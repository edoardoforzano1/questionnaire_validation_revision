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defaultThemeVersion="166925"/>
  <mc:AlternateContent xmlns:mc="http://schemas.openxmlformats.org/markup-compatibility/2006">
    <mc:Choice Requires="x15">
      <x15ac:absPath xmlns:x15ac="http://schemas.microsoft.com/office/spreadsheetml/2010/11/ac" url="/Users/ibrahim.aliahmad/Documents/FAO/Working Files/Questionnaire Validation/Script/questionnaire_validation/NEW Questionnaire/Questionnaires/Validated Questionnaires/YEM/R10/"/>
    </mc:Choice>
  </mc:AlternateContent>
  <xr:revisionPtr revIDLastSave="0" documentId="13_ncr:1_{4D84E4AC-6743-4549-82BC-01CA817AE9BB}" xr6:coauthVersionLast="47" xr6:coauthVersionMax="47" xr10:uidLastSave="{00000000-0000-0000-0000-000000000000}"/>
  <bookViews>
    <workbookView xWindow="-38400" yWindow="-600" windowWidth="38400" windowHeight="21600" xr2:uid="{00000000-000D-0000-FFFF-FFFF00000000}"/>
  </bookViews>
  <sheets>
    <sheet name="survey" sheetId="1" r:id="rId1"/>
    <sheet name="Crop list" sheetId="2" state="hidden" r:id="rId2"/>
    <sheet name="Additional information" sheetId="3" state="hidden" r:id="rId3"/>
    <sheet name="Admin 2 info" sheetId="4" r:id="rId4"/>
  </sheets>
  <definedNames>
    <definedName name="_xlnm._FilterDatabase" localSheetId="1" hidden="1">'Crop list'!$C$3:$F$93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 i="3" l="1"/>
  <c r="D18" i="3"/>
  <c r="D17" i="3"/>
  <c r="D9" i="3"/>
  <c r="D7" i="3"/>
  <c r="D4" i="2" a="1"/>
  <c r="D82" i="2" s="1"/>
  <c r="Z253" i="1"/>
  <c r="Y253" i="1"/>
  <c r="G253" i="1"/>
  <c r="E253" i="1"/>
  <c r="Y252" i="1"/>
  <c r="Z252" i="1" s="1"/>
  <c r="G252" i="1"/>
  <c r="E252" i="1"/>
  <c r="Z251" i="1"/>
  <c r="Y251" i="1"/>
  <c r="Z250" i="1"/>
  <c r="Y250" i="1"/>
  <c r="G250" i="1"/>
  <c r="E250" i="1"/>
  <c r="Z249" i="1"/>
  <c r="Y249" i="1"/>
  <c r="G249" i="1"/>
  <c r="E249" i="1"/>
  <c r="Z248" i="1"/>
  <c r="Y248" i="1"/>
  <c r="G248" i="1"/>
  <c r="E248" i="1"/>
  <c r="Z247" i="1"/>
  <c r="Y247" i="1"/>
  <c r="G247" i="1"/>
  <c r="E247" i="1"/>
  <c r="Z246" i="1"/>
  <c r="Y246" i="1"/>
  <c r="G246" i="1"/>
  <c r="E246" i="1"/>
  <c r="Z245" i="1"/>
  <c r="Y245" i="1"/>
  <c r="G245" i="1"/>
  <c r="E245" i="1"/>
  <c r="Z244" i="1"/>
  <c r="Y244" i="1"/>
  <c r="G244" i="1"/>
  <c r="E244" i="1"/>
  <c r="Z243" i="1"/>
  <c r="Y243" i="1"/>
  <c r="Z242" i="1"/>
  <c r="Y242" i="1"/>
  <c r="Z241" i="1"/>
  <c r="Y241" i="1"/>
  <c r="G241" i="1"/>
  <c r="E241" i="1"/>
  <c r="Z240" i="1"/>
  <c r="Y240" i="1"/>
  <c r="Y239" i="1"/>
  <c r="Z239" i="1" s="1"/>
  <c r="G239" i="1"/>
  <c r="E239" i="1"/>
  <c r="Z238" i="1"/>
  <c r="Y238" i="1"/>
  <c r="G238" i="1"/>
  <c r="E238" i="1"/>
  <c r="Z237" i="1"/>
  <c r="Y237" i="1"/>
  <c r="Y236" i="1"/>
  <c r="Z236" i="1" s="1"/>
  <c r="G236" i="1"/>
  <c r="E236" i="1"/>
  <c r="Z235" i="1"/>
  <c r="Y235" i="1"/>
  <c r="G235" i="1"/>
  <c r="E235" i="1"/>
  <c r="Z234" i="1"/>
  <c r="Y234" i="1"/>
  <c r="Z233" i="1"/>
  <c r="Y233" i="1"/>
  <c r="G233" i="1"/>
  <c r="E233" i="1"/>
  <c r="Z232" i="1"/>
  <c r="Y232" i="1"/>
  <c r="G232" i="1"/>
  <c r="E232" i="1"/>
  <c r="Z231" i="1"/>
  <c r="Y231" i="1"/>
  <c r="G231" i="1"/>
  <c r="E231" i="1"/>
  <c r="Z230" i="1"/>
  <c r="Y230" i="1"/>
  <c r="G230" i="1"/>
  <c r="E230" i="1"/>
  <c r="Z229" i="1"/>
  <c r="Y229" i="1"/>
  <c r="G229" i="1"/>
  <c r="E229" i="1"/>
  <c r="Z228" i="1"/>
  <c r="Y228" i="1"/>
  <c r="G228" i="1"/>
  <c r="E228" i="1"/>
  <c r="Z227" i="1"/>
  <c r="Y227" i="1"/>
  <c r="G227" i="1"/>
  <c r="E227" i="1"/>
  <c r="Z226" i="1"/>
  <c r="Y226" i="1"/>
  <c r="G226" i="1"/>
  <c r="E226" i="1"/>
  <c r="Z225" i="1"/>
  <c r="Y225" i="1"/>
  <c r="G225" i="1"/>
  <c r="E225" i="1"/>
  <c r="Z224" i="1"/>
  <c r="Y224" i="1"/>
  <c r="G224" i="1"/>
  <c r="E224" i="1"/>
  <c r="Z223" i="1"/>
  <c r="Y223" i="1"/>
  <c r="G223" i="1"/>
  <c r="E223" i="1"/>
  <c r="Z222" i="1"/>
  <c r="Y222" i="1"/>
  <c r="G222" i="1"/>
  <c r="E222" i="1"/>
  <c r="Z221" i="1"/>
  <c r="Y221" i="1"/>
  <c r="G221" i="1"/>
  <c r="E221" i="1"/>
  <c r="Z220" i="1"/>
  <c r="Y220" i="1"/>
  <c r="G220" i="1"/>
  <c r="E220" i="1"/>
  <c r="Z219" i="1"/>
  <c r="Y219" i="1"/>
  <c r="G219" i="1"/>
  <c r="E219" i="1"/>
  <c r="Z218" i="1"/>
  <c r="Y218" i="1"/>
  <c r="G218" i="1"/>
  <c r="E218" i="1"/>
  <c r="Y217" i="1"/>
  <c r="Z217" i="1" s="1"/>
  <c r="G217" i="1"/>
  <c r="E217" i="1"/>
  <c r="Y216" i="1"/>
  <c r="Z216" i="1" s="1"/>
  <c r="G216" i="1"/>
  <c r="E216" i="1"/>
  <c r="Z215" i="1"/>
  <c r="Y215" i="1"/>
  <c r="G215" i="1"/>
  <c r="E215" i="1"/>
  <c r="Z214" i="1"/>
  <c r="Y214" i="1"/>
  <c r="G214" i="1"/>
  <c r="E214" i="1"/>
  <c r="Z213" i="1"/>
  <c r="Y213" i="1"/>
  <c r="G213" i="1"/>
  <c r="E213" i="1"/>
  <c r="Z212" i="1"/>
  <c r="Y212" i="1"/>
  <c r="G212" i="1"/>
  <c r="E212" i="1"/>
  <c r="Z211" i="1"/>
  <c r="Y211" i="1"/>
  <c r="G211" i="1"/>
  <c r="E211" i="1"/>
  <c r="Z210" i="1"/>
  <c r="Y210" i="1"/>
  <c r="G210" i="1"/>
  <c r="E210" i="1"/>
  <c r="Z209" i="1"/>
  <c r="Y209" i="1"/>
  <c r="G209" i="1"/>
  <c r="E209" i="1"/>
  <c r="Z208" i="1"/>
  <c r="Y208" i="1"/>
  <c r="G208" i="1"/>
  <c r="E208" i="1"/>
  <c r="Z207" i="1"/>
  <c r="Y207" i="1"/>
  <c r="G207" i="1"/>
  <c r="E207" i="1"/>
  <c r="Z206" i="1"/>
  <c r="Y206" i="1"/>
  <c r="G206" i="1"/>
  <c r="E206" i="1"/>
  <c r="Z205" i="1"/>
  <c r="Y205" i="1"/>
  <c r="G205" i="1"/>
  <c r="E205" i="1"/>
  <c r="Z204" i="1"/>
  <c r="Y204" i="1"/>
  <c r="G204" i="1"/>
  <c r="E204" i="1"/>
  <c r="Z203" i="1"/>
  <c r="Y203" i="1"/>
  <c r="G203" i="1"/>
  <c r="E203" i="1"/>
  <c r="Z202" i="1"/>
  <c r="Y202" i="1"/>
  <c r="G202" i="1"/>
  <c r="E202" i="1"/>
  <c r="Z201" i="1"/>
  <c r="Y201" i="1"/>
  <c r="G201" i="1"/>
  <c r="E201" i="1"/>
  <c r="Z200" i="1"/>
  <c r="Y200" i="1"/>
  <c r="G200" i="1"/>
  <c r="E200" i="1"/>
  <c r="Z199" i="1"/>
  <c r="Y199" i="1"/>
  <c r="G199" i="1"/>
  <c r="E199" i="1"/>
  <c r="Z198" i="1"/>
  <c r="Y198" i="1"/>
  <c r="G198" i="1"/>
  <c r="E198" i="1"/>
  <c r="Z197" i="1"/>
  <c r="Y197" i="1"/>
  <c r="G197" i="1"/>
  <c r="E197" i="1"/>
  <c r="Z196" i="1"/>
  <c r="Y196" i="1"/>
  <c r="G196" i="1"/>
  <c r="E196" i="1"/>
  <c r="Z195" i="1"/>
  <c r="Y195" i="1"/>
  <c r="G195" i="1"/>
  <c r="E195" i="1"/>
  <c r="Z194" i="1"/>
  <c r="Y194" i="1"/>
  <c r="G194" i="1"/>
  <c r="E194" i="1"/>
  <c r="Z193" i="1"/>
  <c r="Y193" i="1"/>
  <c r="G193" i="1"/>
  <c r="E193" i="1"/>
  <c r="Y192" i="1"/>
  <c r="Z192" i="1" s="1"/>
  <c r="G192" i="1"/>
  <c r="E192" i="1"/>
  <c r="Y191" i="1"/>
  <c r="Z191" i="1" s="1"/>
  <c r="G191" i="1"/>
  <c r="E191" i="1"/>
  <c r="Y190" i="1"/>
  <c r="Z190" i="1" s="1"/>
  <c r="G190" i="1"/>
  <c r="E190" i="1"/>
  <c r="Z189" i="1"/>
  <c r="Y189" i="1"/>
  <c r="G189" i="1"/>
  <c r="E189" i="1"/>
  <c r="Y188" i="1"/>
  <c r="Z188" i="1" s="1"/>
  <c r="G188" i="1"/>
  <c r="E188" i="1"/>
  <c r="Y187" i="1"/>
  <c r="Z187" i="1" s="1"/>
  <c r="G187" i="1"/>
  <c r="E187" i="1"/>
  <c r="Z186" i="1"/>
  <c r="Y186" i="1"/>
  <c r="G186" i="1"/>
  <c r="E186" i="1"/>
  <c r="Y185" i="1"/>
  <c r="Z185" i="1" s="1"/>
  <c r="G185" i="1"/>
  <c r="E185" i="1"/>
  <c r="Y184" i="1"/>
  <c r="Z184" i="1" s="1"/>
  <c r="G184" i="1"/>
  <c r="E184" i="1"/>
  <c r="Z183" i="1"/>
  <c r="Y183" i="1"/>
  <c r="Z182" i="1"/>
  <c r="Y182" i="1"/>
  <c r="Q182" i="1"/>
  <c r="Q181" i="1"/>
  <c r="Y181" i="1" s="1"/>
  <c r="Z181" i="1" s="1"/>
  <c r="G181" i="1"/>
  <c r="E181" i="1"/>
  <c r="Z180" i="1"/>
  <c r="Y180" i="1"/>
  <c r="Q180" i="1"/>
  <c r="Q179" i="1"/>
  <c r="Y179" i="1" s="1"/>
  <c r="Z179" i="1" s="1"/>
  <c r="G179" i="1"/>
  <c r="E179" i="1"/>
  <c r="Z178" i="1"/>
  <c r="Y178" i="1"/>
  <c r="Q178" i="1"/>
  <c r="G178" i="1"/>
  <c r="E178" i="1"/>
  <c r="Z177" i="1"/>
  <c r="Y177" i="1"/>
  <c r="Q177" i="1"/>
  <c r="Y176" i="1"/>
  <c r="Z176" i="1" s="1"/>
  <c r="Q176" i="1"/>
  <c r="G176" i="1"/>
  <c r="E176" i="1"/>
  <c r="Z175" i="1"/>
  <c r="Y175" i="1"/>
  <c r="Z174" i="1"/>
  <c r="Y174" i="1"/>
  <c r="Q174" i="1"/>
  <c r="Z173" i="1"/>
  <c r="Y173" i="1"/>
  <c r="Q173" i="1"/>
  <c r="G173" i="1"/>
  <c r="E173" i="1"/>
  <c r="Q172" i="1"/>
  <c r="Y172" i="1" s="1"/>
  <c r="Z172" i="1" s="1"/>
  <c r="G172" i="1"/>
  <c r="E172" i="1"/>
  <c r="Z171" i="1"/>
  <c r="Y171" i="1"/>
  <c r="Q171" i="1"/>
  <c r="G171" i="1"/>
  <c r="E171" i="1"/>
  <c r="Z170" i="1"/>
  <c r="Y170" i="1"/>
  <c r="Q170" i="1"/>
  <c r="Y169" i="1"/>
  <c r="Z169" i="1" s="1"/>
  <c r="Q169" i="1"/>
  <c r="G169" i="1"/>
  <c r="E169" i="1"/>
  <c r="Z168" i="1"/>
  <c r="Y168" i="1"/>
  <c r="Q168" i="1"/>
  <c r="Q167" i="1"/>
  <c r="Y167" i="1" s="1"/>
  <c r="Z167" i="1" s="1"/>
  <c r="G167" i="1"/>
  <c r="E167" i="1"/>
  <c r="Z166" i="1"/>
  <c r="Y166" i="1"/>
  <c r="Q166" i="1"/>
  <c r="Y165" i="1"/>
  <c r="Z165" i="1" s="1"/>
  <c r="Q165" i="1"/>
  <c r="G165" i="1"/>
  <c r="E165" i="1"/>
  <c r="Z164" i="1"/>
  <c r="Y164" i="1"/>
  <c r="Z163" i="1"/>
  <c r="Y163" i="1"/>
  <c r="Q163" i="1"/>
  <c r="Q162" i="1"/>
  <c r="Y162" i="1" s="1"/>
  <c r="Z162" i="1" s="1"/>
  <c r="G162" i="1"/>
  <c r="E162" i="1"/>
  <c r="Z161" i="1"/>
  <c r="Y161" i="1"/>
  <c r="Q161" i="1"/>
  <c r="Y160" i="1"/>
  <c r="Z160" i="1" s="1"/>
  <c r="Q160" i="1"/>
  <c r="G160" i="1"/>
  <c r="E160" i="1"/>
  <c r="Q159" i="1"/>
  <c r="Y159" i="1" s="1"/>
  <c r="Z159" i="1" s="1"/>
  <c r="G159" i="1"/>
  <c r="E159" i="1"/>
  <c r="Z158" i="1"/>
  <c r="Y158" i="1"/>
  <c r="Q158" i="1"/>
  <c r="Q157" i="1"/>
  <c r="Y157" i="1" s="1"/>
  <c r="Z157" i="1" s="1"/>
  <c r="G157" i="1"/>
  <c r="E157" i="1"/>
  <c r="Z156" i="1"/>
  <c r="Y156" i="1"/>
  <c r="Z155" i="1"/>
  <c r="Y155" i="1"/>
  <c r="Q155" i="1"/>
  <c r="Z154" i="1"/>
  <c r="Y154" i="1"/>
  <c r="Q154" i="1"/>
  <c r="G154" i="1"/>
  <c r="E154" i="1"/>
  <c r="Q153" i="1"/>
  <c r="Y153" i="1" s="1"/>
  <c r="Z153" i="1" s="1"/>
  <c r="G153" i="1"/>
  <c r="E153" i="1"/>
  <c r="Y152" i="1"/>
  <c r="Z152" i="1" s="1"/>
  <c r="Q152" i="1"/>
  <c r="G152" i="1"/>
  <c r="E152" i="1"/>
  <c r="A152" i="1"/>
  <c r="A153" i="1" s="1"/>
  <c r="A157" i="1" s="1"/>
  <c r="A159" i="1" s="1"/>
  <c r="A160" i="1" s="1"/>
  <c r="A162" i="1" s="1"/>
  <c r="A165" i="1" s="1"/>
  <c r="A167" i="1" s="1"/>
  <c r="A169" i="1" s="1"/>
  <c r="A171" i="1" s="1"/>
  <c r="A172" i="1" s="1"/>
  <c r="A173" i="1" s="1"/>
  <c r="A176" i="1" s="1"/>
  <c r="A178" i="1" s="1"/>
  <c r="A179" i="1" s="1"/>
  <c r="A181"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8" i="1" s="1"/>
  <c r="A229" i="1" s="1"/>
  <c r="A230" i="1" s="1"/>
  <c r="A231" i="1" s="1"/>
  <c r="A232" i="1" s="1"/>
  <c r="A233" i="1" s="1"/>
  <c r="A235" i="1" s="1"/>
  <c r="A236" i="1" s="1"/>
  <c r="A238" i="1" s="1"/>
  <c r="A239" i="1" s="1"/>
  <c r="Z151" i="1"/>
  <c r="Y151" i="1"/>
  <c r="Q151" i="1"/>
  <c r="Z150" i="1"/>
  <c r="Y150" i="1"/>
  <c r="Q150" i="1"/>
  <c r="G150" i="1"/>
  <c r="E150" i="1"/>
  <c r="Q149" i="1"/>
  <c r="Y149" i="1" s="1"/>
  <c r="Z149" i="1" s="1"/>
  <c r="G149" i="1"/>
  <c r="E149" i="1"/>
  <c r="Q148" i="1"/>
  <c r="Y148" i="1" s="1"/>
  <c r="Z148" i="1" s="1"/>
  <c r="G148" i="1"/>
  <c r="E148" i="1"/>
  <c r="Z147" i="1"/>
  <c r="Y147" i="1"/>
  <c r="Q147" i="1"/>
  <c r="G147" i="1"/>
  <c r="E147" i="1"/>
  <c r="Z146" i="1"/>
  <c r="Y146" i="1"/>
  <c r="Q146" i="1"/>
  <c r="Q145" i="1"/>
  <c r="Y145" i="1" s="1"/>
  <c r="Z145" i="1" s="1"/>
  <c r="G145" i="1"/>
  <c r="E145" i="1"/>
  <c r="Z144" i="1"/>
  <c r="Y144" i="1"/>
  <c r="Q144" i="1"/>
  <c r="Y143" i="1"/>
  <c r="Z143" i="1" s="1"/>
  <c r="Q143" i="1"/>
  <c r="G143" i="1"/>
  <c r="E143" i="1"/>
  <c r="Z142" i="1"/>
  <c r="Y142" i="1"/>
  <c r="Z141" i="1"/>
  <c r="Y141" i="1"/>
  <c r="Q141" i="1"/>
  <c r="Q140" i="1"/>
  <c r="Y140" i="1" s="1"/>
  <c r="Z140" i="1" s="1"/>
  <c r="G140" i="1"/>
  <c r="E140" i="1"/>
  <c r="Z139" i="1"/>
  <c r="Y139" i="1"/>
  <c r="Q139" i="1"/>
  <c r="Q138" i="1"/>
  <c r="Y138" i="1" s="1"/>
  <c r="Z138" i="1" s="1"/>
  <c r="G138" i="1"/>
  <c r="E138" i="1"/>
  <c r="Y137" i="1"/>
  <c r="Z137" i="1" s="1"/>
  <c r="Q137" i="1"/>
  <c r="G137" i="1"/>
  <c r="E137" i="1"/>
  <c r="Z136" i="1"/>
  <c r="Y136" i="1"/>
  <c r="Q136" i="1"/>
  <c r="Q135" i="1"/>
  <c r="Y135" i="1" s="1"/>
  <c r="Z135" i="1" s="1"/>
  <c r="G135" i="1"/>
  <c r="E135" i="1"/>
  <c r="Z134" i="1"/>
  <c r="Y134" i="1"/>
  <c r="Z133" i="1"/>
  <c r="Y133" i="1"/>
  <c r="Q133" i="1"/>
  <c r="Z132" i="1"/>
  <c r="Y132" i="1"/>
  <c r="Q132" i="1"/>
  <c r="G132" i="1"/>
  <c r="E132" i="1"/>
  <c r="Z131" i="1"/>
  <c r="Y131" i="1"/>
  <c r="Q131" i="1"/>
  <c r="G131" i="1"/>
  <c r="E131" i="1"/>
  <c r="Z130" i="1"/>
  <c r="Y130" i="1"/>
  <c r="Q130" i="1"/>
  <c r="Q129" i="1"/>
  <c r="Y129" i="1" s="1"/>
  <c r="Z129" i="1" s="1"/>
  <c r="G129" i="1"/>
  <c r="E129" i="1"/>
  <c r="Z128" i="1"/>
  <c r="Y128" i="1"/>
  <c r="Q128" i="1"/>
  <c r="G128" i="1"/>
  <c r="E128" i="1"/>
  <c r="Z127" i="1"/>
  <c r="Y127" i="1"/>
  <c r="Q127" i="1"/>
  <c r="Z126" i="1"/>
  <c r="Y126" i="1"/>
  <c r="Q126" i="1"/>
  <c r="G126" i="1"/>
  <c r="E126" i="1"/>
  <c r="Z125" i="1"/>
  <c r="Y125" i="1"/>
  <c r="Q125" i="1"/>
  <c r="G125" i="1"/>
  <c r="E125" i="1"/>
  <c r="Z124" i="1"/>
  <c r="Q124" i="1"/>
  <c r="Y124" i="1" s="1"/>
  <c r="G124" i="1"/>
  <c r="E124" i="1"/>
  <c r="Z123" i="1"/>
  <c r="Y123" i="1"/>
  <c r="Q123" i="1"/>
  <c r="G123" i="1"/>
  <c r="E123" i="1"/>
  <c r="Y122" i="1"/>
  <c r="Z122" i="1" s="1"/>
  <c r="Q122" i="1"/>
  <c r="G122" i="1"/>
  <c r="E122" i="1"/>
  <c r="Z121" i="1"/>
  <c r="Y121" i="1"/>
  <c r="Q121" i="1"/>
  <c r="Q120" i="1"/>
  <c r="Y120" i="1" s="1"/>
  <c r="Z120" i="1" s="1"/>
  <c r="G120" i="1"/>
  <c r="E120" i="1"/>
  <c r="Z119" i="1"/>
  <c r="Y119" i="1"/>
  <c r="Q119" i="1"/>
  <c r="Z118" i="1"/>
  <c r="Q118" i="1"/>
  <c r="Y118" i="1" s="1"/>
  <c r="G118" i="1"/>
  <c r="E118" i="1"/>
  <c r="G117" i="1"/>
  <c r="E117" i="1"/>
  <c r="G116" i="1"/>
  <c r="E116" i="1"/>
  <c r="Z115" i="1"/>
  <c r="Y115" i="1"/>
  <c r="Q115" i="1"/>
  <c r="Q114" i="1"/>
  <c r="Y114" i="1" s="1"/>
  <c r="Z114" i="1" s="1"/>
  <c r="G114" i="1"/>
  <c r="E114" i="1"/>
  <c r="Z113" i="1"/>
  <c r="Y113" i="1"/>
  <c r="Q113" i="1"/>
  <c r="Y112" i="1"/>
  <c r="Z112" i="1" s="1"/>
  <c r="Q112" i="1"/>
  <c r="G112" i="1"/>
  <c r="E112" i="1"/>
  <c r="Q111" i="1"/>
  <c r="Y111" i="1" s="1"/>
  <c r="Z111" i="1" s="1"/>
  <c r="G111" i="1"/>
  <c r="E111" i="1"/>
  <c r="Z110" i="1"/>
  <c r="Y110" i="1"/>
  <c r="Q110" i="1"/>
  <c r="Q109" i="1"/>
  <c r="Y109" i="1" s="1"/>
  <c r="Z109" i="1" s="1"/>
  <c r="G109" i="1"/>
  <c r="E109" i="1"/>
  <c r="Z108" i="1"/>
  <c r="Y108" i="1"/>
  <c r="Q108" i="1"/>
  <c r="G108" i="1"/>
  <c r="E108" i="1"/>
  <c r="Z107" i="1"/>
  <c r="Y107" i="1"/>
  <c r="Q107" i="1"/>
  <c r="Y106" i="1"/>
  <c r="Z106" i="1" s="1"/>
  <c r="Q106" i="1"/>
  <c r="G106" i="1"/>
  <c r="E106" i="1"/>
  <c r="A106" i="1"/>
  <c r="A111" i="1" s="1"/>
  <c r="A114" i="1" s="1"/>
  <c r="A118" i="1" s="1"/>
  <c r="A120" i="1" s="1"/>
  <c r="A122" i="1" s="1"/>
  <c r="A123" i="1" s="1"/>
  <c r="A124" i="1" s="1"/>
  <c r="A125" i="1" s="1"/>
  <c r="A126" i="1" s="1"/>
  <c r="A128" i="1" s="1"/>
  <c r="A129" i="1" s="1"/>
  <c r="Z105" i="1"/>
  <c r="Y105" i="1"/>
  <c r="Z104" i="1"/>
  <c r="Y104" i="1"/>
  <c r="Q104" i="1"/>
  <c r="Z103" i="1"/>
  <c r="Q103" i="1"/>
  <c r="Y103" i="1" s="1"/>
  <c r="G103" i="1"/>
  <c r="E103" i="1"/>
  <c r="A103" i="1"/>
  <c r="A101" i="1" s="1"/>
  <c r="Z102" i="1"/>
  <c r="Y102" i="1"/>
  <c r="Q102" i="1"/>
  <c r="G102" i="1"/>
  <c r="E102" i="1"/>
  <c r="Q101" i="1"/>
  <c r="Y101" i="1" s="1"/>
  <c r="Z101" i="1" s="1"/>
  <c r="G101" i="1"/>
  <c r="E101" i="1"/>
  <c r="Z99" i="1"/>
  <c r="Y99" i="1"/>
  <c r="Q99" i="1"/>
  <c r="Z98" i="1"/>
  <c r="Y98" i="1"/>
  <c r="Q98" i="1"/>
  <c r="Q97" i="1"/>
  <c r="Y97" i="1" s="1"/>
  <c r="Z97" i="1" s="1"/>
  <c r="G97" i="1"/>
  <c r="E97" i="1"/>
  <c r="A97" i="1"/>
  <c r="Z96" i="1"/>
  <c r="Y96" i="1"/>
  <c r="Q96" i="1"/>
  <c r="Z95" i="1"/>
  <c r="Q95" i="1"/>
  <c r="Y95" i="1" s="1"/>
  <c r="G95" i="1"/>
  <c r="E95" i="1"/>
  <c r="Z94" i="1"/>
  <c r="Y94" i="1"/>
  <c r="Q94" i="1"/>
  <c r="G94" i="1"/>
  <c r="E94" i="1"/>
  <c r="Z93" i="1"/>
  <c r="Y93" i="1"/>
  <c r="Q93" i="1"/>
  <c r="G93" i="1"/>
  <c r="E93" i="1"/>
  <c r="Z92" i="1"/>
  <c r="Q92" i="1"/>
  <c r="Y92" i="1" s="1"/>
  <c r="G92" i="1"/>
  <c r="E92" i="1"/>
  <c r="Z91" i="1"/>
  <c r="Y91" i="1"/>
  <c r="Q91" i="1"/>
  <c r="Q90" i="1"/>
  <c r="Y90" i="1" s="1"/>
  <c r="Z90" i="1" s="1"/>
  <c r="G90" i="1"/>
  <c r="E90" i="1"/>
  <c r="Z89" i="1"/>
  <c r="Y89" i="1"/>
  <c r="Q89" i="1"/>
  <c r="G89" i="1"/>
  <c r="E89" i="1"/>
  <c r="Q88" i="1"/>
  <c r="Y88" i="1" s="1"/>
  <c r="Z88" i="1" s="1"/>
  <c r="G88" i="1"/>
  <c r="E88" i="1"/>
  <c r="Q87" i="1"/>
  <c r="Y87" i="1" s="1"/>
  <c r="Z87" i="1" s="1"/>
  <c r="G87" i="1"/>
  <c r="E87" i="1"/>
  <c r="Z86" i="1"/>
  <c r="Y86" i="1"/>
  <c r="Q86" i="1"/>
  <c r="Y85" i="1"/>
  <c r="Z85" i="1" s="1"/>
  <c r="Q85" i="1"/>
  <c r="G85" i="1"/>
  <c r="E85" i="1"/>
  <c r="A85" i="1"/>
  <c r="A87" i="1" s="1"/>
  <c r="A92" i="1" s="1"/>
  <c r="A93" i="1" s="1"/>
  <c r="Z84" i="1"/>
  <c r="Y84" i="1"/>
  <c r="Q84" i="1"/>
  <c r="Z83" i="1"/>
  <c r="Y83" i="1"/>
  <c r="Q83" i="1"/>
  <c r="G83" i="1"/>
  <c r="E83" i="1"/>
  <c r="Z82" i="1"/>
  <c r="Q82" i="1"/>
  <c r="Y82" i="1" s="1"/>
  <c r="G82" i="1"/>
  <c r="E82" i="1"/>
  <c r="Z81" i="1"/>
  <c r="Q81" i="1"/>
  <c r="Y81" i="1" s="1"/>
  <c r="G81" i="1"/>
  <c r="E81" i="1"/>
  <c r="Z80" i="1"/>
  <c r="Q80" i="1"/>
  <c r="Y80" i="1" s="1"/>
  <c r="G80" i="1"/>
  <c r="E80" i="1"/>
  <c r="Z79" i="1"/>
  <c r="Y79" i="1"/>
  <c r="Q79" i="1"/>
  <c r="Y78" i="1"/>
  <c r="Z78" i="1" s="1"/>
  <c r="Q78" i="1"/>
  <c r="G78" i="1"/>
  <c r="E78" i="1"/>
  <c r="Q77" i="1"/>
  <c r="Y77" i="1" s="1"/>
  <c r="Z77" i="1" s="1"/>
  <c r="G77" i="1"/>
  <c r="E77" i="1"/>
  <c r="Q76" i="1"/>
  <c r="Y76" i="1" s="1"/>
  <c r="Z76" i="1" s="1"/>
  <c r="G76" i="1"/>
  <c r="E76" i="1"/>
  <c r="Q75" i="1"/>
  <c r="Y75" i="1" s="1"/>
  <c r="Z75" i="1" s="1"/>
  <c r="G75" i="1"/>
  <c r="E75" i="1"/>
  <c r="A75" i="1"/>
  <c r="Z74" i="1"/>
  <c r="Y74" i="1"/>
  <c r="Q74" i="1"/>
  <c r="Q73" i="1"/>
  <c r="Y73" i="1" s="1"/>
  <c r="Z73" i="1" s="1"/>
  <c r="G73" i="1"/>
  <c r="E73" i="1"/>
  <c r="Z72" i="1"/>
  <c r="Y72" i="1"/>
  <c r="Q72" i="1"/>
  <c r="Z71" i="1"/>
  <c r="Y71" i="1"/>
  <c r="Q71" i="1"/>
  <c r="G71" i="1"/>
  <c r="E71" i="1"/>
  <c r="Z70" i="1"/>
  <c r="Q70" i="1"/>
  <c r="Y70" i="1" s="1"/>
  <c r="G70" i="1"/>
  <c r="E70" i="1"/>
  <c r="Z69" i="1"/>
  <c r="Q69" i="1"/>
  <c r="Y69" i="1" s="1"/>
  <c r="G69" i="1"/>
  <c r="E69" i="1"/>
  <c r="Z68" i="1"/>
  <c r="Q68" i="1"/>
  <c r="Y68" i="1" s="1"/>
  <c r="G68" i="1"/>
  <c r="E68" i="1"/>
  <c r="Z67" i="1"/>
  <c r="Y67" i="1"/>
  <c r="Q67" i="1"/>
  <c r="Q66" i="1"/>
  <c r="Y66" i="1" s="1"/>
  <c r="Z66" i="1" s="1"/>
  <c r="G66" i="1"/>
  <c r="E66" i="1"/>
  <c r="Z65" i="1"/>
  <c r="Y65" i="1"/>
  <c r="Q65" i="1"/>
  <c r="G65" i="1"/>
  <c r="E65" i="1"/>
  <c r="Q64" i="1"/>
  <c r="Y64" i="1" s="1"/>
  <c r="Z64" i="1" s="1"/>
  <c r="G64" i="1"/>
  <c r="E64" i="1"/>
  <c r="Q63" i="1"/>
  <c r="Y63" i="1" s="1"/>
  <c r="Z63" i="1" s="1"/>
  <c r="G63" i="1"/>
  <c r="E63" i="1"/>
  <c r="Z61" i="1"/>
  <c r="Y61" i="1"/>
  <c r="Q61" i="1"/>
  <c r="Z60" i="1"/>
  <c r="Y60" i="1"/>
  <c r="Z59" i="1"/>
  <c r="Q59" i="1"/>
  <c r="Y59" i="1" s="1"/>
  <c r="G59" i="1"/>
  <c r="E59" i="1"/>
  <c r="Z58" i="1"/>
  <c r="Q58" i="1"/>
  <c r="Y58" i="1" s="1"/>
  <c r="G58" i="1"/>
  <c r="E58" i="1"/>
  <c r="Z57" i="1"/>
  <c r="Y57" i="1"/>
  <c r="Q57" i="1"/>
  <c r="G57" i="1"/>
  <c r="E57" i="1"/>
  <c r="Z56" i="1"/>
  <c r="Q56" i="1"/>
  <c r="Y56" i="1" s="1"/>
  <c r="G56" i="1"/>
  <c r="E56" i="1"/>
  <c r="A56" i="1"/>
  <c r="A57" i="1" s="1"/>
  <c r="A58" i="1" s="1"/>
  <c r="A59" i="1" s="1"/>
  <c r="A63" i="1" s="1"/>
  <c r="G55" i="1"/>
  <c r="E55" i="1"/>
  <c r="Z54" i="1"/>
  <c r="Y54" i="1"/>
  <c r="Q54" i="1"/>
  <c r="G54" i="1"/>
  <c r="E54" i="1"/>
  <c r="A54" i="1"/>
  <c r="Z53" i="1"/>
  <c r="Q53" i="1"/>
  <c r="Y53" i="1" s="1"/>
  <c r="G53" i="1"/>
  <c r="E53" i="1"/>
  <c r="A53" i="1"/>
  <c r="Z52" i="1"/>
  <c r="Y52" i="1"/>
  <c r="Q52" i="1"/>
  <c r="Q51" i="1"/>
  <c r="Y51" i="1" s="1"/>
  <c r="Z51" i="1" s="1"/>
  <c r="G51" i="1"/>
  <c r="E51" i="1"/>
  <c r="Q50" i="1"/>
  <c r="Y50" i="1" s="1"/>
  <c r="Z50" i="1" s="1"/>
  <c r="G50" i="1"/>
  <c r="E50" i="1"/>
  <c r="Y49" i="1"/>
  <c r="Z49" i="1" s="1"/>
  <c r="Q49" i="1"/>
  <c r="G49" i="1"/>
  <c r="E49" i="1"/>
  <c r="Y48" i="1"/>
  <c r="Z48" i="1" s="1"/>
  <c r="Q48" i="1"/>
  <c r="G48" i="1"/>
  <c r="E48" i="1"/>
  <c r="Z47" i="1"/>
  <c r="Y47" i="1"/>
  <c r="Q47" i="1"/>
  <c r="Q46" i="1"/>
  <c r="Y46" i="1" s="1"/>
  <c r="Z46" i="1" s="1"/>
  <c r="G46" i="1"/>
  <c r="E46" i="1"/>
  <c r="Z45" i="1"/>
  <c r="Y45" i="1"/>
  <c r="Q45" i="1"/>
  <c r="Q44" i="1"/>
  <c r="Y44" i="1" s="1"/>
  <c r="Z44" i="1" s="1"/>
  <c r="G44" i="1"/>
  <c r="E44" i="1"/>
  <c r="Y43" i="1"/>
  <c r="Z43" i="1" s="1"/>
  <c r="G43" i="1"/>
  <c r="E43" i="1"/>
  <c r="Z42" i="1"/>
  <c r="Y42" i="1"/>
  <c r="Q42" i="1"/>
  <c r="Z41" i="1"/>
  <c r="Y41" i="1"/>
  <c r="Z40" i="1"/>
  <c r="Y40" i="1"/>
  <c r="Q40" i="1"/>
  <c r="Z39" i="1"/>
  <c r="Y39" i="1"/>
  <c r="Q39" i="1"/>
  <c r="G39" i="1"/>
  <c r="E39" i="1"/>
  <c r="A39" i="1"/>
  <c r="A43" i="1" s="1"/>
  <c r="A44" i="1" s="1"/>
  <c r="A46" i="1" s="1"/>
  <c r="G38" i="1"/>
  <c r="E38" i="1"/>
  <c r="Q37" i="1"/>
  <c r="Y37" i="1" s="1"/>
  <c r="Z37" i="1" s="1"/>
  <c r="G37" i="1"/>
  <c r="E37" i="1"/>
  <c r="A37" i="1"/>
  <c r="Y36" i="1"/>
  <c r="Z36" i="1" s="1"/>
  <c r="Q36" i="1"/>
  <c r="G36" i="1"/>
  <c r="E36" i="1"/>
  <c r="Z35" i="1"/>
  <c r="Y35" i="1"/>
  <c r="Q35" i="1"/>
  <c r="Z34" i="1"/>
  <c r="Q34" i="1"/>
  <c r="Y34" i="1" s="1"/>
  <c r="G34" i="1"/>
  <c r="E34" i="1"/>
  <c r="Z33" i="1"/>
  <c r="Q33" i="1"/>
  <c r="Y33" i="1" s="1"/>
  <c r="G33" i="1"/>
  <c r="E33" i="1"/>
  <c r="Z32" i="1"/>
  <c r="Y32" i="1"/>
  <c r="Q32" i="1"/>
  <c r="G32" i="1"/>
  <c r="E32" i="1"/>
  <c r="Z31" i="1"/>
  <c r="Y31" i="1"/>
  <c r="Q31" i="1"/>
  <c r="G31" i="1"/>
  <c r="E31" i="1"/>
  <c r="Z30" i="1"/>
  <c r="Q30" i="1"/>
  <c r="Y30" i="1" s="1"/>
  <c r="G30" i="1"/>
  <c r="E30" i="1"/>
  <c r="Z29" i="1"/>
  <c r="Y29" i="1"/>
  <c r="Q29" i="1"/>
  <c r="G29" i="1"/>
  <c r="E29" i="1"/>
  <c r="Z28" i="1"/>
  <c r="Y28" i="1"/>
  <c r="Q28" i="1"/>
  <c r="G28" i="1"/>
  <c r="E28" i="1"/>
  <c r="Z27" i="1"/>
  <c r="Q27" i="1"/>
  <c r="Y27" i="1" s="1"/>
  <c r="G27" i="1"/>
  <c r="E27" i="1"/>
  <c r="Z26" i="1"/>
  <c r="Y26" i="1"/>
  <c r="Q26" i="1"/>
  <c r="Q25" i="1"/>
  <c r="Y25" i="1" s="1"/>
  <c r="Z25" i="1" s="1"/>
  <c r="G25" i="1"/>
  <c r="E25" i="1"/>
  <c r="A25" i="1"/>
  <c r="Y24" i="1"/>
  <c r="Z24" i="1" s="1"/>
  <c r="Q24" i="1"/>
  <c r="G24" i="1"/>
  <c r="E24" i="1"/>
  <c r="Y23" i="1"/>
  <c r="Z23" i="1" s="1"/>
  <c r="Q23" i="1"/>
  <c r="G23" i="1"/>
  <c r="E23" i="1"/>
  <c r="Q22" i="1"/>
  <c r="Y22" i="1" s="1"/>
  <c r="Z22" i="1" s="1"/>
  <c r="G22" i="1"/>
  <c r="E22" i="1"/>
  <c r="Z21" i="1"/>
  <c r="Y21" i="1"/>
  <c r="Z20" i="1"/>
  <c r="Y20" i="1"/>
  <c r="G20" i="1"/>
  <c r="E20" i="1"/>
  <c r="Z19" i="1"/>
  <c r="Y19" i="1"/>
  <c r="G19" i="1"/>
  <c r="E19" i="1"/>
  <c r="Z18" i="1"/>
  <c r="Y18" i="1"/>
  <c r="G18" i="1"/>
  <c r="E18" i="1"/>
  <c r="Z17" i="1"/>
  <c r="Y17" i="1"/>
  <c r="G17" i="1"/>
  <c r="E17" i="1"/>
  <c r="Z16" i="1"/>
  <c r="Y16" i="1"/>
  <c r="G16" i="1"/>
  <c r="E16" i="1"/>
  <c r="G15" i="1"/>
  <c r="E15" i="1"/>
  <c r="Z14" i="1"/>
  <c r="Y14" i="1"/>
  <c r="G14" i="1"/>
  <c r="E14" i="1"/>
  <c r="Z13" i="1"/>
  <c r="Y13" i="1"/>
  <c r="G13" i="1"/>
  <c r="E13" i="1"/>
  <c r="Z12" i="1"/>
  <c r="Y12" i="1"/>
  <c r="G12" i="1"/>
  <c r="E12" i="1"/>
  <c r="Z11" i="1"/>
  <c r="Y11" i="1"/>
  <c r="G11" i="1"/>
  <c r="E11" i="1"/>
  <c r="Z10" i="1"/>
  <c r="Y10" i="1"/>
  <c r="G10" i="1"/>
  <c r="E10" i="1"/>
  <c r="Z9" i="1"/>
  <c r="Y9" i="1"/>
  <c r="G9" i="1"/>
  <c r="E9" i="1"/>
  <c r="Z8" i="1"/>
  <c r="Y8" i="1"/>
  <c r="G8" i="1"/>
  <c r="E8" i="1"/>
  <c r="Z7" i="1"/>
  <c r="Y7" i="1"/>
  <c r="G7" i="1"/>
  <c r="E7" i="1"/>
  <c r="Y6" i="1"/>
  <c r="Z6" i="1" s="1"/>
  <c r="G6" i="1"/>
  <c r="E6" i="1"/>
  <c r="Z5" i="1"/>
  <c r="Y5" i="1"/>
  <c r="G5" i="1"/>
  <c r="E5" i="1"/>
  <c r="Z4" i="1"/>
  <c r="Y4" i="1"/>
  <c r="Z256" i="1" l="1"/>
  <c r="A137" i="1"/>
  <c r="A138" i="1" s="1"/>
  <c r="A140" i="1" s="1"/>
  <c r="A143" i="1" s="1"/>
  <c r="A145" i="1" s="1"/>
  <c r="A147" i="1" s="1"/>
  <c r="A148" i="1" s="1"/>
  <c r="A131" i="1"/>
  <c r="Y258" i="1"/>
  <c r="D4" i="2"/>
  <c r="D19" i="2"/>
  <c r="D35" i="2"/>
  <c r="D51" i="2"/>
  <c r="D67" i="2"/>
  <c r="D83" i="2"/>
  <c r="D20" i="2"/>
  <c r="D36" i="2"/>
  <c r="D52" i="2"/>
  <c r="D68" i="2"/>
  <c r="D84" i="2"/>
  <c r="D5" i="2"/>
  <c r="D21" i="2"/>
  <c r="D37" i="2"/>
  <c r="D53" i="2"/>
  <c r="D69" i="2"/>
  <c r="D85" i="2"/>
  <c r="D6" i="2"/>
  <c r="D22" i="2"/>
  <c r="D38" i="2"/>
  <c r="D54" i="2"/>
  <c r="D70" i="2"/>
  <c r="D86" i="2"/>
  <c r="D7" i="2"/>
  <c r="D23" i="2"/>
  <c r="D39" i="2"/>
  <c r="D55" i="2"/>
  <c r="D71" i="2"/>
  <c r="D87" i="2"/>
  <c r="D8" i="2"/>
  <c r="D24" i="2"/>
  <c r="D40" i="2"/>
  <c r="D56" i="2"/>
  <c r="D72" i="2"/>
  <c r="D88" i="2"/>
  <c r="D9" i="2"/>
  <c r="D25" i="2"/>
  <c r="D41" i="2"/>
  <c r="D57" i="2"/>
  <c r="D73" i="2"/>
  <c r="D89" i="2"/>
  <c r="D10" i="2"/>
  <c r="D26" i="2"/>
  <c r="D42" i="2"/>
  <c r="D58" i="2"/>
  <c r="D74" i="2"/>
  <c r="D90" i="2"/>
  <c r="D11" i="2"/>
  <c r="D27" i="2"/>
  <c r="D43" i="2"/>
  <c r="D59" i="2"/>
  <c r="D75" i="2"/>
  <c r="D91" i="2"/>
  <c r="D12" i="2"/>
  <c r="D28" i="2"/>
  <c r="D44" i="2"/>
  <c r="D60" i="2"/>
  <c r="D76" i="2"/>
  <c r="D92" i="2"/>
  <c r="D13" i="2"/>
  <c r="D29" i="2"/>
  <c r="D45" i="2"/>
  <c r="D61" i="2"/>
  <c r="D77" i="2"/>
  <c r="D93" i="2"/>
  <c r="D14" i="2"/>
  <c r="D30" i="2"/>
  <c r="D46" i="2"/>
  <c r="D62" i="2"/>
  <c r="D78" i="2"/>
  <c r="Y256" i="1"/>
  <c r="D15" i="2"/>
  <c r="D31" i="2"/>
  <c r="D47" i="2"/>
  <c r="D63" i="2"/>
  <c r="D79" i="2"/>
  <c r="D16" i="2"/>
  <c r="D32" i="2"/>
  <c r="D48" i="2"/>
  <c r="D64" i="2"/>
  <c r="D80" i="2"/>
  <c r="Y257" i="1"/>
  <c r="D17" i="2"/>
  <c r="D33" i="2"/>
  <c r="D49" i="2"/>
  <c r="D65" i="2"/>
  <c r="D81" i="2"/>
  <c r="D18" i="2"/>
  <c r="D34" i="2"/>
  <c r="D50" i="2"/>
  <c r="D66" i="2"/>
</calcChain>
</file>

<file path=xl/sharedStrings.xml><?xml version="1.0" encoding="utf-8"?>
<sst xmlns="http://schemas.openxmlformats.org/spreadsheetml/2006/main" count="5044" uniqueCount="2453">
  <si>
    <t>GeoPoll Submission Form</t>
  </si>
  <si>
    <t>FAO - Household Questionnaire</t>
  </si>
  <si>
    <t>Additional notes</t>
  </si>
  <si>
    <t>Q #</t>
  </si>
  <si>
    <t>Q Name</t>
  </si>
  <si>
    <t>Suggested Qname</t>
  </si>
  <si>
    <t>English</t>
  </si>
  <si>
    <t>Length</t>
  </si>
  <si>
    <t>Arabic</t>
  </si>
  <si>
    <t>Q Type</t>
  </si>
  <si>
    <t>Randomize</t>
  </si>
  <si>
    <t>Conditional</t>
  </si>
  <si>
    <t>Programming Instructions</t>
  </si>
  <si>
    <t>Skip Pattern</t>
  </si>
  <si>
    <t>Codes</t>
  </si>
  <si>
    <t xml:space="preserve">Default skip patterns &amp; conditional </t>
  </si>
  <si>
    <t>Specify skip pattern variable (from blue text)</t>
  </si>
  <si>
    <t>Estimated percentage of repondents</t>
  </si>
  <si>
    <t>Mandatory</t>
  </si>
  <si>
    <t>Duration (sec)</t>
  </si>
  <si>
    <t>Weighted duration</t>
  </si>
  <si>
    <t>Core questions only</t>
  </si>
  <si>
    <t>A. PRESENTATION OF THE SURVEY AND ELIGIBILITY CRITERIA SELECTION</t>
  </si>
  <si>
    <t>no</t>
  </si>
  <si>
    <t>NA</t>
  </si>
  <si>
    <t>Optin</t>
  </si>
  <si>
    <t>Open Ended</t>
  </si>
  <si>
    <t>Form Type - TextBox</t>
  </si>
  <si>
    <t>Any Response = phone_number</t>
  </si>
  <si>
    <t>phone_number</t>
  </si>
  <si>
    <t xml:space="preserve">Input the phone number that you are contacting: </t>
  </si>
  <si>
    <t>أدخل رقم الهاتف الذي تتصل به:</t>
  </si>
  <si>
    <t>Any Response = calldispo</t>
  </si>
  <si>
    <t>yes</t>
  </si>
  <si>
    <t>calldispo</t>
  </si>
  <si>
    <t>Phone number: #CATI_MOBILENUMBER#
1)Someone answers
2)Answering machine
3)No answer
4)Hang up or refusal
5)Call back
6)Under review
7)Disconnected</t>
  </si>
  <si>
    <t>رقم الهاتف: #CATI_MOBILENUMBER#
1) يجيب شخص ما 
2) جهاز الرد الالي
3) لا جواب
4) إنهاء المكالمة أو الرفض
5) معاودة الاتصال
6) قيد المراجعة
7) قطع الاتصال</t>
  </si>
  <si>
    <t>Single Choice</t>
  </si>
  <si>
    <t>Form Type - Buttons</t>
  </si>
  <si>
    <t>1 = resp_language
2 = AnsweringMachine
3 = NoAnswer
4 = Refusal
5 = WhenCallBack
6 = UnderReview
7 = Disconnected</t>
  </si>
  <si>
    <t>AnsweringMachine</t>
  </si>
  <si>
    <t>calldispo_answeringmachine</t>
  </si>
  <si>
    <t>Reached an answering machine.</t>
  </si>
  <si>
    <t>لقد تم توجيهك إلى جهاز الرد الالي</t>
  </si>
  <si>
    <t>End Poll AnsweringMachine</t>
  </si>
  <si>
    <t>NoAnswer</t>
  </si>
  <si>
    <t>calldispo_noanswer</t>
  </si>
  <si>
    <t>Phone rang and no one answered.</t>
  </si>
  <si>
    <t>رن الهاتف ولم يرد أحد</t>
  </si>
  <si>
    <t>End Poll NoAnswer</t>
  </si>
  <si>
    <t>UnderReview</t>
  </si>
  <si>
    <t>calldispo_underreview</t>
  </si>
  <si>
    <t>Case needs review by a supervisor.</t>
  </si>
  <si>
    <t>الحالة تحتاج إلى مراجعة من قبل مشرف</t>
  </si>
  <si>
    <t>End Poll UnderReview</t>
  </si>
  <si>
    <t>Disconnected</t>
  </si>
  <si>
    <t>calldispo_disconnected</t>
  </si>
  <si>
    <t>Phone was disconnected or out of service.</t>
  </si>
  <si>
    <t>تم فصل الهاتف أو الهاتف خارج الخدمة</t>
  </si>
  <si>
    <t>End Poll Disconnected</t>
  </si>
  <si>
    <t>resp_language</t>
  </si>
  <si>
    <t>Which language do you wish to proceed with?
[OPERATOR: READ ANSWER CHOICES. SINGLE RESPONSE.]
1)English
2)other options [add as many as necessary]</t>
  </si>
  <si>
    <t>ما هي اللغة التي ترغب في المتابعة بها؟
[المُشغل: اقرأ خيارات الإجابة. استجابة واحدة.]
1) عربي
2) خيارات أخرى [أضف ما يلزم]</t>
  </si>
  <si>
    <t>1 = introduction [English]
2 = introduction [languages &amp; add more if needed]</t>
  </si>
  <si>
    <t>For any response, go to introduction</t>
  </si>
  <si>
    <t>Arabic (Insert most common national languages here [max 4 for translation with GeoPoll].</t>
  </si>
  <si>
    <t>introduction</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</si>
  <si>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</si>
  <si>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15/20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سوف تتلقى #TOPUP#! ائتمان الاتصال كحافز للمشاركة في هذه الدراسة.
يرجى الملاحظة أنه قد يتم تسجيل هذه المكالمة لغاية مراقبة الجودة.
هل لديك اسئلة؟
[المُشغل: أجب على أسئلة المُجيب ، إن وجدت.]
1) تابع</t>
  </si>
  <si>
    <t>1 = Agree</t>
  </si>
  <si>
    <t>For any response, go to Agree</t>
  </si>
  <si>
    <t>No incentive (Set the amount of incentive here, if any.)</t>
  </si>
  <si>
    <t>Agree</t>
  </si>
  <si>
    <t>resp_agree</t>
  </si>
  <si>
    <t xml:space="preserve">Are you interested in participating in this survey?
[OPERATOR: SINGLE RESPONSE]
1)Yes 
2)Not now but another time in the week 
3)No </t>
  </si>
  <si>
    <t>هل لديك رغبة في بالمشاركة في هذه الدراسة؟
[المشغل: استجابة واحدة]
1) نعم
2) ليس الآن ولكن في وقت آخر في الأسبوع
3) لا</t>
  </si>
  <si>
    <t>StartRecording</t>
  </si>
  <si>
    <t>1 = [id_panel OR resp_firstname]
2 = WhenCallBack
3 = resp_refusalwhy</t>
  </si>
  <si>
    <t>if Agree = 1, go to id_panel OR resp_firstname
if Agree = 2, go to WhenCallBack
if Agree = 3, go to resp_refusalwhy</t>
  </si>
  <si>
    <t xml:space="preserve"> 1 = id_panel</t>
  </si>
  <si>
    <t>id_panel</t>
  </si>
  <si>
    <t>Have you or any member of your household received a call on behalf of FAO regarding this topic in the past two years?
[OPERATOR: SINGLE RESPONSE.]
1)YES
2)NO
3)DON'T KNOW</t>
  </si>
  <si>
    <t>هل تلقيت انت أو أي أحد من أفراد أسرتك أي مكالمه بالنيابة عن منظمة الأغذيه و الزراعه [ الفاو ] بخصوص هذا الموضوع خلال العامين السابقين ؟
[ المشغل : أجابه واحده ]
1)نعم
2)لا
3)لا أعرف</t>
  </si>
  <si>
    <t>1-3 = resp_firstname</t>
  </si>
  <si>
    <t>For any response, go to resp_firstname</t>
  </si>
  <si>
    <t xml:space="preserve">It is highly recommended to include the question id_panel if a panelist approach is used. </t>
  </si>
  <si>
    <t>resp_refusalwhy</t>
  </si>
  <si>
    <t>Please let us know why you have REFUSED to take the survey.
[OPERATOR: SINGLE RESPONSE]
1)Not interested
2)Do not want to be recorded
3)Other [specify]</t>
  </si>
  <si>
    <t>يرجى إخبارنا سبب رفضك للمشاركة في هذه الدراسة.
[المشغل: استجابة واحدة]
1) غير مهتم
2) لا أريد أن يتم تسجيلي
3) آخر [حدد]</t>
  </si>
  <si>
    <t>Open Ended - Single Choice</t>
  </si>
  <si>
    <t>Form Type - RadioList</t>
  </si>
  <si>
    <t>Any Response = Refusal</t>
  </si>
  <si>
    <t>For any response, go to Refusal</t>
  </si>
  <si>
    <t>WhenCallBack</t>
  </si>
  <si>
    <t>resp_whencallback</t>
  </si>
  <si>
    <t>When would it be a good time to call you back?
[RECORD HH/MM/DD/MM OF CALLBACK]</t>
  </si>
  <si>
    <t>ما هو التاريخ / الوقت المناسب لمعاودة الاتصال بك؟
[RECORD HH / MM / DD / MM of CALLBACK]</t>
  </si>
  <si>
    <t>Form Type - TextBox
IsCallBackDemographic</t>
  </si>
  <si>
    <t>Any Response = CallbackMessageEN</t>
  </si>
  <si>
    <t>For any response, go to CallbackMessageEN</t>
  </si>
  <si>
    <t>CallbackMessageEN</t>
  </si>
  <si>
    <t>callbackmessage_en</t>
  </si>
  <si>
    <t>Thank you, we will call you back at {WhenCallBack} you requested. Thank you again and have a great day!
[OPERATOR: ENTER CALL NOTES BELOW, WHO YOU SPOKE TO AND WHAT THEY SAID]</t>
  </si>
  <si>
    <t>شكرًا لك ، سوف نعاود الاتصال بك في #WhenCallBack# الذي طلبته. شكرا لك مرة أخرى و نتمنى لك يوم جميل!
[المُشغل: أدخل ملاحظات الاتصال أدناه ، مع من تحدثت وماذا قالوا]</t>
  </si>
  <si>
    <t>Any Response = End poll callback</t>
  </si>
  <si>
    <t>Ineligible</t>
  </si>
  <si>
    <t>You are ineligible for this survey. Thank you for your time and please look out for future surveys!</t>
  </si>
  <si>
    <t xml:space="preserve">أنت غير مؤهل للمشاركة في هذه الدراسة، شكرًا لك على وقتك. ترقب دراسات GeoPoll المستقبلية! </t>
  </si>
  <si>
    <t>End Poll Ineligible</t>
  </si>
  <si>
    <t>Refusal</t>
  </si>
  <si>
    <t>NA </t>
  </si>
  <si>
    <t>Thank you for your time, you will be removed from today's survey.</t>
  </si>
  <si>
    <t>شكراً جزيلاً على وقتك، سنقوم بحذف إسمك من دراسة اليوم.</t>
  </si>
  <si>
    <t>End poll declined</t>
  </si>
  <si>
    <t>B. GENERAL INFORMATION &amp; ELIGIBILITY CRITERIA</t>
  </si>
  <si>
    <t>resp_firstname</t>
  </si>
  <si>
    <t>What is your first name?
[OPERATOR: RECORD THE RESPONDENT'S FIRST NAME. ENTER 999 FOR REFUSED.]</t>
  </si>
  <si>
    <t>ما اسمك؟
[المُشغل: سجل اسم المجيب. أدخل 999 في حالة الرفض.]</t>
  </si>
  <si>
    <t>Any Response = resp_lastname</t>
  </si>
  <si>
    <t>For any response, go to resp_lastname</t>
  </si>
  <si>
    <t>resp_lastname</t>
  </si>
  <si>
    <t>What is your last name? 
[OPERATOR: RECORD THE RESPONDENT'S LAST NAME. ENTER 999 FOR REFUSED.]</t>
  </si>
  <si>
    <t>ما هو اسم عائلتك؟
[المُشغل: سجل اسم عائلة المجيب. أدخل 999 في حالة الرفض.]</t>
  </si>
  <si>
    <t>Any Response = resp_age</t>
  </si>
  <si>
    <t>For any response, go to resp_age</t>
  </si>
  <si>
    <t>resp_age</t>
  </si>
  <si>
    <t>How old are you? 
[OPERATOR: RECORD AGE IN NUMBER OF YEARS. ROUND UP TO NEAREST WHOLE NUMBER. IF THE RESPONDENT GIVES BIRTH YEAR, REPEAT THE QUESTION. ENTER 00 FOR DON'T KNOW.]</t>
  </si>
  <si>
    <t>كم عمرك؟
[المُشغل: سجل العمر في عدد السنوات. قم بالتقريب لأقرب رقم كامل. إذا أعطى المجيب سنة الميلاد ، فكرر السؤال. أدخل 00 للا أعرف.]</t>
  </si>
  <si>
    <t>Range</t>
  </si>
  <si>
    <t>0-17 = Ineligible
18-100 = resp_gender
00 = Ineligible</t>
  </si>
  <si>
    <t>Only respondents from 18-100 will be eligible for the survey.</t>
  </si>
  <si>
    <t>resp_gender</t>
  </si>
  <si>
    <t>What is the gender of the respondent?
[OPERATOR: DO NOT ASK THIS QUESTION OUT LOUD. LISTEN TO THE VOICE AND SELECT THE GENDER.]
1)Male
2)Female
3)DON'T KNOW
4)REFUSED</t>
  </si>
  <si>
    <t>ما هو جنس المجيب؟
[المُشغل: لا تطرح هذا السؤال. استمع إلى الصوت وحدد المربع الصحيح.]
1) ذكر
2) أنثى
3) لا أعرف
4) رفض الإجابة</t>
  </si>
  <si>
    <t>1-4 = phone_number_conf</t>
  </si>
  <si>
    <t>For any response, go to phone_number_conf</t>
  </si>
  <si>
    <t>phone_number_conf</t>
  </si>
  <si>
    <t>Is the phone number I am calling you on yours or a household members?
[OPERATOR: SINGLE RESPONSE.]
1)YES
2)NO
3)DON'T KNOW
4)REFUSED</t>
  </si>
  <si>
    <t>هل رقم الهاتف الذي أتصل به هو رقمك أو رقم أحد أفراد أسرتك؟
[المشغل: استجابة واحدة.]
1) نعم
2) لا
3) لا أعرف
4) رفض الإجابة</t>
  </si>
  <si>
    <t>1 = contact_2
2 = phone_number_personal
3-4 = contact_2</t>
  </si>
  <si>
    <t>if phone_number_conf = 1, go to contact_2
if phone_number_conf = 2, go to phone_number_personal
if phone_number_conf = 3-4, go to contact_2</t>
  </si>
  <si>
    <t>yes - panel</t>
  </si>
  <si>
    <t>phone_number_personal</t>
  </si>
  <si>
    <t>phone_number_pers</t>
  </si>
  <si>
    <t>What is your phone number?
[OPERATOR: RECORD THE NUMBER GIVEN]</t>
  </si>
  <si>
    <t>ما هو رقم هاتفك؟
( المشغل: قم بتسجيل الرقم المعطى لك )</t>
  </si>
  <si>
    <t>Any Response = contact_2</t>
  </si>
  <si>
    <t>For any response, go to contact_2</t>
  </si>
  <si>
    <t>contact_2</t>
  </si>
  <si>
    <t>Can you give me an additonal phone number belonging to you, a relative or a friend at which you can be reached?
[OPERATOR: SINGLE RESPONSE.]
1)YES - mine 
2)YES - other household member
3)YES - friend or relative [non-household member]
4)NO
5)DON'T KNOW
6)REFUSED</t>
  </si>
  <si>
    <t>هل يمكن أن تعطيني رقم هاتف إضافي يخصك ، أو يخص قريبًا أو صديقًا يمكن الوصول إليك من خلاله؟
[المشغل: استجابة واحدة.]
1) نعم - لي
2) نعم - فرد اخر من أفراد الأسرة
3) نعم - صديق أو أحد الأقارب [ ليس فردا من أفراد الأسرة ]
4) لا
5) لا أعرف
6) رفض الإجابة</t>
  </si>
  <si>
    <t>1-3 = phone_number_2
4-6 = hh_admin1</t>
  </si>
  <si>
    <t>if contact_2 = 1-3, go to phone_number_2
if contact_2 = 4-6, go to contact_3</t>
  </si>
  <si>
    <t>phone_number_2</t>
  </si>
  <si>
    <t>What is the additional phone number?
[OPERATOR: RECORD THE NUMBER GIVEN]</t>
  </si>
  <si>
    <t>ما هو رقم الهاتف الإضافي؟
( المشغل: قم بتسجيل الرقم المعطى لك )</t>
  </si>
  <si>
    <t>Any Response = contact_2_name</t>
  </si>
  <si>
    <t>For any response, go to contact_2_name</t>
  </si>
  <si>
    <t>contact_2_name</t>
  </si>
  <si>
    <t>What is the name of the contact?
[OPERATOR: RECORD THE NAME OF THE CONTACT FOR THE PHONE NUMBER.]</t>
  </si>
  <si>
    <t>ما هو اسم صاحب رقم الهاتف الإضافي الذي قمت بمشاركته؟
( المشغل: قم بتسجيل اسم صاحب رقم الهاتف )</t>
  </si>
  <si>
    <t>Send if "contact_2" "Equals" "YES - other household member" OR "contact_2" "Equals" "YES - friend or relative [non-household member]", if not satisfied go to "contact_3"</t>
  </si>
  <si>
    <t>Any Response = contact_3</t>
  </si>
  <si>
    <t>Asked if response to contact_2 was "YES - other household member" or "YES - friend or relative [non-household member]". Otherwise, it skips to "contact_3".
For any response, go to contact_3</t>
  </si>
  <si>
    <t>contact_3</t>
  </si>
  <si>
    <t>1-3= phone_number_3
4-6 = hh_admin1</t>
  </si>
  <si>
    <t>if contact_3 = 1-3, go to phone_number_3
if contact_3 = 4-6, go to hh_admin1</t>
  </si>
  <si>
    <t>phone_number_3</t>
  </si>
  <si>
    <t>Any Response = contact_3_name</t>
  </si>
  <si>
    <t>For any response, go to contact_3_name</t>
  </si>
  <si>
    <t>contact_3_name</t>
  </si>
  <si>
    <t>phone_number_3_name</t>
  </si>
  <si>
    <t>ما هو اسم صاحب رقم الهاتف الإضافي الذي قمت بمشاركته؟
(المشغل: قم بتسجيل اسم صاحب رقم الهاتف)</t>
  </si>
  <si>
    <t>Send if "contact_3" "Equals" "YES - other household member" OR "contact_3" "Equals" "YES - friend or relative [non-household member]", if not satisfied go to "hh_admin1"</t>
  </si>
  <si>
    <t>Any Response = hh_admin1</t>
  </si>
  <si>
    <t>Asked if response to contact_3 was "YES - other household member" or "YES - friend or relative [non-household member]". Otherwise, it skips to "hh_admin1".
For any response, go to hh_admin1</t>
  </si>
  <si>
    <t>hh_admin1</t>
  </si>
  <si>
    <t xml:space="preserve">Currently, in which Governorate does your household reside?
[OPERATOR: SINGLE SELECTION.]
[HINT: HOUSEHOLD CONSISTS OF ALL MEMBERS LIVING TOGETHER, SHARING RESOURCES &amp; EATING FROM THE SAME POT.]
1)ADMIN1
2)DON'T KNOW
3)REFUSED </t>
  </si>
  <si>
    <t>حاليًا ، في أي المحافظة تقيم أسرتك؟
[المشغل: استجابة واحدة.]
[ملحوظة: تتكون الأسرة من جميع الأعضاء الذين يعيشون معًا ، ويتشاركون الموارد ويأكلون من نفس القدر.]
1) ADMIN 1
2) لا أعرف
3) رفض الإجابة</t>
  </si>
  <si>
    <t>Form Type - Buttons
IsDemographic - ADM1</t>
  </si>
  <si>
    <t>1 = hh_admin2_1
2-3 = Ineligible</t>
  </si>
  <si>
    <t xml:space="preserve">The administrative information will be updated by GeoPoll based on the sample design document and the administrative boundaries provided by the dashboard team after the questionnaire validation. </t>
  </si>
  <si>
    <t>hh_admin2_1</t>
  </si>
  <si>
    <t xml:space="preserve">Currently, in which District does your household reside?
[OPERATOR: SINGLE RESPONSE.]
1)ADMIN2
2)DON'T KNOW
3)REFUSED </t>
  </si>
  <si>
    <t>حاليًا ، في أي المديرية تقيم أسرتك؟
[المشغل: استجابة واحدة.]
1) ADMIN 2
2) لا أعرف
3) رفض الإجابة</t>
  </si>
  <si>
    <t>Form Type - Buttons
IsDemographic - ADM2</t>
  </si>
  <si>
    <t>1 =  hh_agricactivity
2-3 = Ineligible</t>
  </si>
  <si>
    <t>quotareached</t>
  </si>
  <si>
    <t>[OPERATOR: DO NOT READ. ANSWER QUESTION BELOW.]
THIS RESPONDENT REPORTED THEY LIVE IN:
{ADM1}
{ADM2}
1)THE GOAL FOR THIS LOCATION HAS BEEN ACHIEVED - END SURVEY
2)THE GOAL FOR THIS LOCATION IS OPEN - CONTINUE SURVEY</t>
  </si>
  <si>
    <t>[المُشغل: لا تقرأ. أجب على السؤال أدناه.]
أبلغ هذا المجيب أنه يعيش في:
{ADM1}
{ADM2}
1) تم تحقيق الهدف لهذا الموقع - إنه الاستبيان
2) لا يزال يتعين تحقيق الهدف لهذا الموقع - تابع الاستبيان</t>
  </si>
  <si>
    <t>1 = End Poll Quota Reached
2 = hh_agricactivity</t>
  </si>
  <si>
    <t>hh_agricactivity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</si>
  <si>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</si>
  <si>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
[المشغل: استجابة واحدة.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
1) نعم - إنتاج المحاصيل
2) نعم - إنتاج الماشية
3) نعم - كل من إنتاج المحاصيل والماشية
4) لا
5) لا أعرف
6) رفض الإجابة</t>
  </si>
  <si>
    <t>1-4 = resp_id
5-6 = Ineligible</t>
  </si>
  <si>
    <t xml:space="preserve">if hh_agricactivity = 1-4, go to resp_id. Otherwise, the respondent is ineligible. </t>
  </si>
  <si>
    <t>B. GENERAL HOUSEHOLD INFORMATION</t>
  </si>
  <si>
    <t>resp_id</t>
  </si>
  <si>
    <t xml:space="preserve">Are you the head of household? 
[OPERATOR: SINGLE RESPONSE.]
1)Yes
2)No
3)DON'T KNOW
4)REFUSED
</t>
  </si>
  <si>
    <t>هل أنت رب الأسرة ؟
[المشغل: استجابة واحدة.]
1) نعم
2) لا
3) لا أعرف
4) رفض الإجابة</t>
  </si>
  <si>
    <t>1 = hh_education 
2-4 = hh_gender</t>
  </si>
  <si>
    <t>if resp_id = 1, go to hh_education. 
Otherwise, go to hh_gender.</t>
  </si>
  <si>
    <t>hh_gender</t>
  </si>
  <si>
    <t>Is the head of your household male or female?
[OPERATOR: SINGLE RESPONSE.]
1)Male 
2)Female
3)DON'T KNOW
4)REFUSED</t>
  </si>
  <si>
    <t>هل رب أسرتك ذكر أم أنثى؟
[المشغل: استجابة واحدة.]
1) ذكر
2) أنثى
3) لا أعرف
4) رفض الإجابة</t>
  </si>
  <si>
    <t>1-4 = hh_education</t>
  </si>
  <si>
    <t>if hh_gender = 1-4, go to hh_education.</t>
  </si>
  <si>
    <t>hh_education</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</si>
  <si>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</si>
  <si>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ما هو المستوى التعليمي الذي وصل إليه رب الأسرة؟
[المشغل: استجابة واحدة.]
1) لا شيء أو لم يكمل المرحلة الابتدائية
2) أكمل المرحلة الابتدائية
3) أكمل المرحلة الثانوية
4) أكمل درجة تعليم عالي [جامعة / كلية]
5) تربية دينية أو غير رسمية فقط
6) لا أعرف
7) رفض الإجابة</t>
  </si>
  <si>
    <t>1-7 = hh_wealth</t>
  </si>
  <si>
    <t>if hh_education = 1-7, go to hh_wealth.</t>
  </si>
  <si>
    <t>1-7 = o_hh_wealth_water</t>
  </si>
  <si>
    <t>hh_wealth_water</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</si>
  <si>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</si>
  <si>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t>من أين تأتي المياه التي تشربونها في المنزل؟
[المُشغل: استجابة واحدة.]
1) صنبور خاص من مياه الأنابيب
2) صنبور عام
3) بئر محمي
4) المياه المعبأة
5) مصدر آمن آخر
6) نهر
7) بئر غير محمي
8) مياه الينابيع
9) قناة أو مياه سطحية أخرى
10) مصدر آخر غير آمن
11) لا أعرف
12) رفض الإجابة</t>
  </si>
  <si>
    <t xml:space="preserve">
1-12 = [income_main OR other optional question]</t>
  </si>
  <si>
    <t>For any response, go to [income_main OR other optional question]</t>
  </si>
  <si>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</si>
  <si>
    <t>o_hh_wealth_water</t>
  </si>
  <si>
    <t>Where does the water that you drink at home come from?
[OPERATOR: SINGLE CHOICE.]
1) Piped water to premise (public or private) 
2) Public tap
3) Well
4) Covered well
5) Covered spring
6) Rainwater
7) Bottled water (mineral/Kawthar)
8) Valley/stream/canal
9) Unprotected well
10) Unprotected spring
11) Water trucks/drum on carts/donkeys
12) Water cistern/reservoir/dam
13)DON'T KNOW
14)REFUSED</t>
  </si>
  <si>
    <t>من أين تأتي المياه التي تشربونها في المنزل؟
[المُشغل: استجابة واحدة.]
1) مشروع مياه موصل إلى المنازل (حكومي أو خاص) 
2) حنفية عامة
3) بئر ارتوازية
4) بئر مغطاة
5) عين مغطاة
6) مياه الأمطار
7) مياه معالجة (معدنية أو كوثر) 
8 ) وادي أو جدول أو غيل 
9 ) بئر مكشوفة
10) ماء عين مكشوفة
11) شاحنات / عربات/ دواب لنقل المياه
12) صهاريج/ حواجز مائية/ سدود
13) لا أعرف
14) رفض الإجابة</t>
  </si>
  <si>
    <t xml:space="preserve">
1-14 = [income_main OR other optional question]</t>
  </si>
  <si>
    <t>For any response, go to [hh_residencetype]</t>
  </si>
  <si>
    <t>1-14 = hh_residencetype</t>
  </si>
  <si>
    <t>hh_wealth_toilet</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</si>
  <si>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</si>
  <si>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t>أين يذهب أفراد الأسرة عادة لاستخدام المرحاض؟
[المُشغل: استجابة واحدة.]
1) مرحاض دافق/مزود بنظام شطف [مرحاض به ماء]
2) مرحاض الحفرة التقليدي [بدون ماء]
3) حفرة مفتوحة [حفرة في الأرض للفضلات بدون ماء أو سقف أو جدار]
4) مرحاض مشترك/جماعي [بالماء أو بدون الماء]
5) لا شيء - في العراء
6) لا أعرف
7) رفض الإجابة</t>
  </si>
  <si>
    <t xml:space="preserve">
1-7 = [income_main OR other optional question]</t>
  </si>
  <si>
    <t>hh_wealth_light</t>
  </si>
  <si>
    <t>What is the main source of light in your dwelling?
[OPERATOR: SINGLE RESPONSE.]
1)Electricity [from generator or electrical grid]
2)Candle
3)Petrol lamp
4)Lamp with batteries
5)Solar panel
6)Other [no electric supply to the house]
7)DON'T KNOW
8)REFUSED</t>
  </si>
  <si>
    <t>ما هو المصدر الرئيسي للضوء في مسكنك؟
[المشغل: استجابة واحدة.]
1) الكهرباء [من المولدات أو الشبكة الكهربائية]
2) الشموع
3) مصباح البنزين
4) مصباح بالبطاريات
5) الالواح الشمسية
5) غير ذلك [لا يوجد تغذية كهربائية للمنزل]
6) لا أعرف
7) رفض الإجابة</t>
  </si>
  <si>
    <t xml:space="preserve">
1-8 = [income_main OR other optional question]</t>
  </si>
  <si>
    <t>hh_residencetype</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</si>
  <si>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</si>
  <si>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أي من أنواع الإقامة التالية يصف إقامتك بشكل أفضل؟
[المُشغل: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
1) مقيم دائم - تعيش في قريتك / بلدتك لمدة تزيد عن عامين وهذا ما تعتبره مكان إقامتك المعتاد
2) 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
3) 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
4) شخص نازح داخليًا - لقد أُجبرت على الفرار من قريتك أو بلدتك بسبب نزاع أو كارثة طبيعية وأنت الآن نازح داخليًا في مكان إقامتك الحالي
5) لاجئ - لقد أُجبرت على الفرار من بلدك بسبب نزاع أو كارثة طبيعية وأنت الآن لاجئ في مكان إقامتك الحالي
6) لا أعرف
7) رفض الإجابة</t>
  </si>
  <si>
    <t>1-7 = hh_size</t>
  </si>
  <si>
    <t>For any response, go to [next question]</t>
  </si>
  <si>
    <t>1-7 =  hh_size</t>
  </si>
  <si>
    <t>hh_size</t>
  </si>
  <si>
    <t>How many people are part of the household?
[OPERATOR: RECORD NUMBER OF MEMBERS IN HOUSEHOLD. ENTER 88 FOR DON'T KNOW &amp; 99 FOR REFUSED.]
[HINT: TO BE A PART OF THE SAME HOUSEHOLD, MEMBERS MUST LIVE UNDER THE SAME ROOF, SHARE THE SAME RESOURCES &amp; EAT FROM THE SAME POT.]</t>
  </si>
  <si>
    <t>كم عدد الأشخاص الذين هم جزء من الأسرة؟
[المُشغل: سجل عدد أعضاء الأسرة. أدخل 88 للا أعرف و 99 في حالة الرفض.]
[ملحوظة: لكي يكونوا جزءًا من نفس الأسرة، يجب أن يكون جميع الاعضاء يعيشون تحت سقف منزل واحد، و يتشاركون نفس الموارد و يأكلون من نفس القدر]</t>
  </si>
  <si>
    <t>1-50 = hh_asset_prod
88-88 = hh_asset_prod
99-99 = hh_asset_prod</t>
  </si>
  <si>
    <t>For any response, go to  o_hh_asset</t>
  </si>
  <si>
    <t>o_hh_asset</t>
  </si>
  <si>
    <t>Does your household own any of the following assets? 
[OPERATOR: MULTIPLE RESPONSES POSSIBLE. READ ANSWER OPTIONS OUT LOUD.]
1)	Land
2)	Farm/agriculture tools [manual items like a plough, sickle, rake etc.]
3)	Farm/agriculture machinery [e.g. tractor, power harvester, etc.]
4)	Water/irrigation pump
5)	Processing assets [e.g. grinding/crushing machine, mill, oil press]
6)	Fishing net
7)	Fishing boat
8)	Livestock (cattle/goats/sheep)
9)	Taxi/ Truck/Van [small truck]
10)	Car
11)	Motorbike / scooter / auto rickshaw
12)	Bicycle
13)	Sewing machine or weaving tool
14)	Other productive assets
15)	Do not own any productive assets
16)	House/Apartment
17)	Mattress or sofa
18)	Stove
19)	Fridge
20)	Television
21)	Radio
22)	Mobile phone
23)	Internet
24)	Bank savings/jewellery/other savings
25)	Generator
26)	Electric bulbs/solar panels/batteries 
27)	Other household assets
28)	Do not own any household assets
29)	DON’T KNOW
30)	REFUSED</t>
  </si>
  <si>
    <t>هل تمتلك أسرتك أيًا من الأصول التالية؟
[المشغل: عدة استجابات محتملة. يرجي قراءة اختيارات الإجابة بصوت مرتفع]
1) أرض
2) معدات زراعية [معدات زراعية يدوية مثل المحراث ، والمنجل ، مجرفة ، إلخ]
3) آلات زراعية [على سبيل المثال حراثة ، حصادة كهربائية ، إلخ]
4) مضخة مياه / ري
5) ادوات تستخدم لمعاملات ما بعد الحصاد [على سبيل المثال آلة طحن / سحق ، مطحنة ، معصرة زيت]
6) شبكة صيد
7) قارب صيد
8) الثروة الحيوانية (الأبقار / الماعز / الأغنام)
9) تاكسي / شاحنة / سيارة نقل [شاحنة صغيرة]
10) سيارة
11) دراجة نارية / دراجة صغيرة / عربة آلية
12) دراجة هوائية
13) ماكينة الخياطة أو أداة النسيج
14) أصول إنتاجية أخرى
15) لا تملك أي أصول إنتاجية
16) بيت / شقة
17) مرتبة أو أريكة
18) موقد
19) ثلاجة
20) تلفاز
21) راديو
22) الهاتف المحمول
23) الإنترنت
24) مدخرات بنكية / مجوهرات / مدخرات أخرى
25) مولد
26) المصابيح الكهربائية / الألواح الشمسية / البطاريات
27) أصول الأسرة الأخرى
28) لا تملك أي أصول منزلية
29) لا أعرف
30) رفض الإجابة</t>
  </si>
  <si>
    <t>Select All That Apply</t>
  </si>
  <si>
    <t>For any response, go to [hh_maritalstat]</t>
  </si>
  <si>
    <t>1-30 =  hh_maritalstat</t>
  </si>
  <si>
    <t>hh_asset_prod</t>
  </si>
  <si>
    <t>hh_asset_prod_
1) hh_asset_prod_process
2) hh_asset_prod_farmmach
3) hh_asset_prod_sewing
4) hh_asset_prod_taxi
5) hh_asset_prod_truck
6) hh_asset_prod_other
7) hh_asset_prod_none
8) hh_asset_prod_dk
9) hh_asset_prod_ref</t>
  </si>
  <si>
    <t>Does your household own any of the following productive assets? 
[OPERATOR: MULTIPLE RESPONSES POSSIBLE. READ ANSWER OPTIONS OUT LOUD.]
1)Processing assets [e.g. grinding/crushing machine, mill, oil press]
2)Farm machinery [e.g. tractor, plough, sickle, etc.]
3)Sewing machine or weaving tool 
4)Taxi
5)Truck
6)Other productive machines or assets
7)No productive machines or assets
8)DON'T KNOW
9)REFUSED</t>
  </si>
  <si>
    <t xml:space="preserve">هل تمتلك أسرتك أي من الأصول الإنتاجية الآتية ؟
[المشغل: عدة استجابات محتملة. يرجي قراءة اختيارات الإجابة بصوت مرتفع]
1.أصول المعالجة (على سبيل المثال ماكينات الطحن و العصر)
2. آلات زراعية ( جرار زراعي ، محراث، منجل ، غيرها)
3. ماكينات الخياطة و حياكة الصوف
4. تاكسي (سيارة أجرة)
5. شاحنة
6. آلات و معدات انتاجية أخرى
7. لا تمتلك أي آلات أو أصول انتاجية 
8. لا أعرف
9. رفض الإجابة
</t>
  </si>
  <si>
    <t>Form Type - Checklist
7,8,9 = IsNone</t>
  </si>
  <si>
    <t>1-9 = hh_asset_transp</t>
  </si>
  <si>
    <t>1)hh_asset_prod_process
2)hh_asset_prod_farmmach
3)hh_asset_prod_sewing
4)hh_asset_prod_taxi
5)hh_asset_prod_truck
6)hh_asset_prod_other
7)hh_asset_prod_none
8)hh_asset_prod_dk
9)hh_asset_prod_ref</t>
  </si>
  <si>
    <t xml:space="preserve">This wealth indicator may be useful to Identify poor households in middle income countries. It could be interesting for F2F surveys, to be used as baseline reference for follow-up surveys. </t>
  </si>
  <si>
    <t>hh_asset_transp</t>
  </si>
  <si>
    <t>hh_asset_transp_
1) hh_asset_transp_bici
2) hh_asset_transp_cart
3) hh_asset_transp_boat
4) hh_asset_transp_motorbike
5) hh_asset_transp_car
6) hh_asset_transp_van
7) hh_asset_transp_other
8) hh_asset_transp_none
9) hh_asset_transp_dk
10) hh_asset_transp_ref</t>
  </si>
  <si>
    <t>Do you or any member of your household own any of the following transportation assets? 
[OPERATOR: MULTIPLE RESPONSES POSSIBLE. READ ANSWER OPTIONS OUT LOUD.]
1)Bicycle
2)Cart [animal drawn]
3)Boat/canoe
4)Motorbike / scooter / auto rickshaw
5)Car
6)Van or small truck
7)Other motor vehicle
8)None of the above
9)DON'T KNOW
10)REFUSED</t>
  </si>
  <si>
    <t>هل تمتلك انت أو اي فرد من أفراد أسرتك أي من أصول النقل التالية ؟
[المشغل: عدة استجابات محتملة. يرجي قراءة اختيارات الإجابة بصوت مرتفع]
1. دراجة
2. عربة تسوق 
3. قارب
4. دراجة نارية / سكوتر / عربة الريكاشة الآلية القيادة (توك توك)
5. سيارة 
6. سيارة نقل أو شاحنة صغيرة
7. مركبة أخري
8. لا شيء مما سبق
9. لا أعرف 
10. رفض الإجابة</t>
  </si>
  <si>
    <t>Form Type - Checklist
8,9,10 = IsNone</t>
  </si>
  <si>
    <t>1-10 = hh_maritalstat</t>
  </si>
  <si>
    <t>1)hh_asset_transp_bici
2)hh_asset_transp_cart
3)hh_asset_transp_boat
4)hh_asset_transp_motorbike
5)hh_asset_transp_car
6)hh_asset_transp_van
7)hh_asset_transp_other
8)hh_asset_transp_none
9)hh_asset_transp_dk
10)hh_asset_transp_ref</t>
  </si>
  <si>
    <t>hh_maritalstat</t>
  </si>
  <si>
    <t xml:space="preserve">What is the head of household’s current marital status? 
[OPERATOR: SINGLE RESPONSE.]
1)Single / never married 
2)Married
3)Separated
4)Divorced
5)Widowed
6)DON’T KNOW
7)REFUSED </t>
  </si>
  <si>
    <t>ما هي الحالة الاجتماعية الحالية لرب الأسرة؟
[المشغل: استجابة واحدة.]
1) أعزب / لم يتزوج قط
2) متزوج
3) منفصل
4) مطلق
5) أرمل
6) لا أعرف
7) رفض الإجابة</t>
  </si>
  <si>
    <t>1-7 = hh_age</t>
  </si>
  <si>
    <t>hh_age</t>
  </si>
  <si>
    <t>How old is the head of household? 
[OPERATOR: SINGLE RESPONSE.]
1)Under 18
2)18 to 40 
3)41 to 65 
4)Over 65
5)DON'T KNOW
6)REFUSED</t>
  </si>
  <si>
    <t>كم عمر رب الاسرة؟
[المشغل: استجابة واحدة.]
1) أقل من 18 عامًا
2) بين 18 و 40 عامًا
3) بين 41 و 65 عامًا
4) فوق 65 عامًا
5) لا أعرف
6) رفض الإجابة</t>
  </si>
  <si>
    <t>1-6 = income_main</t>
  </si>
  <si>
    <t>1-6 = o_fishery_activity</t>
  </si>
  <si>
    <t>C. INCOME SOURCES, LIVELIHOOD AND SHOCKS</t>
  </si>
  <si>
    <t>o_fishery_activity</t>
  </si>
  <si>
    <t>Has anybody in your household been involved in fishery and aquaculture for household consumption or sale in the past 12 months?
[OPERATOR: SINGLE CHOICE.]
1)YES 
2)NO
3) DON'T KNOW
4)REFUSED</t>
  </si>
  <si>
    <t>هل شارك أي فرد من افراد الأسرة  في مصائد الأسماك وتربية الأحياء المائية  لغرض الاستهلاك المنزلي أو للبيع خلال الاثني عشر شهرًا الماضية؟
[المُشغل: استجابة واحدة.]
1) نعم
2) لا
3) لا أعرف
4) رفض الإجابة "</t>
  </si>
  <si>
    <t>1-4 = income_main</t>
  </si>
  <si>
    <t>For any response, go to [income_main]</t>
  </si>
  <si>
    <t>income_main</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</si>
  <si>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</si>
  <si>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ما كان مصدر الدخل الرئيسي لأسرتك في الأشهر الثلاثة الماضية؟
[المشغل: استجابة واحدة. يجب تجنب الخيار "رفض الإجابة" قدر الإمكان.]
1) إنتاج وبيع المحاصيل الأساسية
2) إنتاج وبيع الخضار أو الفاكهة
3) إنتاج وبيع المحاصيل النقدية
4) إنتاج وبيع المواشي ومنتجاتها
5) انتاج و بيع العسل أو منتجات النحل 
6) إنتاج وبيع الأسماك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خلال الأشهر الثلاثة الماضية واستخدمت المدخرات أو الدين حصريًا
20) رفض الإجابة</t>
  </si>
  <si>
    <t>Form Type - Buttons
IsDemographic</t>
  </si>
  <si>
    <t>1-3 = income_main_crop_check
4 = income_main_ls_check 
5 = income_main_comp OR optional question
6 = income_main_fish_check 
7-18 = income_main_comp OR optional question
19-20 = shock</t>
  </si>
  <si>
    <t>if options #1-3 selected go to income_main_crop_check 
if options #4 selected go to income_main_ls_check 
if options #6 selected go to income_main_fish_check
if options #5, 7-18 selected, go to [income_main_comp OR optional question] 
if options #19-20 selected, go to shock</t>
  </si>
  <si>
    <t>7-18 = income_main_gender</t>
  </si>
  <si>
    <t>income_main_crop_check</t>
  </si>
  <si>
    <t xml:space="preserve">Are the crops that you sell also produced by you or anyone in your household?
[OPERATOR: SINGLE RESPONSE.]
1)YES
2)NO
3)DON'T KNOW
4)REFUSED </t>
  </si>
  <si>
    <t>هل المحاصيل التي تبيعها من إنتاجك أنت أو أي شخص في أسرتك؟
[المشغل: استجابة واحدة.]
1) نعم
2) لا
3) لا أعرف
4) رفض الإجابة</t>
  </si>
  <si>
    <t>1-4 = income_main_comp OR optional question</t>
  </si>
  <si>
    <t>if income_main_crop_check = 1-4, go to [income_main_comp OR optional question]</t>
  </si>
  <si>
    <t>1-4 = income_main_gender</t>
  </si>
  <si>
    <t>income_main_ls_check</t>
  </si>
  <si>
    <t xml:space="preserve">Are the livestock and livestock products that you sell also produced by you or anyone in your household?
[OPERATOR: SINGLE RESPONSE.]
1)YES
2)NO
3)DON'T KNOW
4)REFUSED </t>
  </si>
  <si>
    <t>هل المواشي ومنتجاتها التي تبيعها من إنتاجك أنت أو أي شخص في أسرتك؟
[المشغل: استجابة واحدة.]
1) نعم
2) لا
3) لا أعرف
4) رفض الإجابة</t>
  </si>
  <si>
    <t>if income_main_ls_check = 1-4, go to [income_main_comp OR optional question]</t>
  </si>
  <si>
    <t>income_main_fish_check</t>
  </si>
  <si>
    <t xml:space="preserve">Are the fish and/or fish products that you sell also captured or harvested by you or anyone in your household?
[OPERATOR: SINGLE RESPONSE.]
1)YES
2)NO
3)DON'T KNOW
4)REFUSED </t>
  </si>
  <si>
    <t>هل منتجات الأسماك التي تبيعها من إنتاجك أنت أو أي شخص في أسرتك؟
[المشغل: استجابة واحدة.]
1) نعم
2) لا
3) لا أعرف
4) رفض الإجابة</t>
  </si>
  <si>
    <t>if income_main_fish_check = 1-4, go to [income_main_comp OR optional question]</t>
  </si>
  <si>
    <t>income_main_amount</t>
  </si>
  <si>
    <t>How much was earned [in Not applicable] from your main income source, {income_main}, in the past 3 months ?
[OPERATOR: MAKE SURE THE INFORMATION IS RECORDED IN THE CORRECT CURRENCY. ENTER 8888888 FOR DON'T KNOW AND 9999999 FOR REFUSED.]</t>
  </si>
  <si>
    <t>ما المبلغ الذي كسبته أسرتك (بالعملة nan) من مصدر دخلها الرئيسي ، {income_main} ، في الأشهر الثلاثة الماضية؟
[المُشغل: تأكد من تسجيل المعلومات بالعملة الصحيحة. أدخل 8888888 للا أعرف و 9999999 في حالة الرفض.]</t>
  </si>
  <si>
    <t>Not applicable - Not applicable = income_main_comp OR optional question
Not applicable - Not applicable = income_main_amount_conf
8888888-8888888 = income_main_comp OR optional question
9999999-9999999 = income_main_comp OR optional question</t>
  </si>
  <si>
    <t>If the income amount is over the threshold set in "Additional information", the respondent will be asked to confirm with income_main_amount_conf. Otherwise, go to income_main_comp or optional question.</t>
  </si>
  <si>
    <t>We recommend using this pair of questions together.</t>
  </si>
  <si>
    <t>income_main_amount_conf</t>
  </si>
  <si>
    <t>Can you confirm the amount of income you just stated is correct?
[OPERATOR: IF THE AMOUNT EARNED FROM THIS INCOME SOURCE OVER THE PAST 3 MONTH IS INDEED OVER Not applicable, CLICK ON CONTINUE. OTHERWISE, GO BACK AND CHANGE THE AMOUNT ENTERED.]
1)CONTINUE</t>
  </si>
  <si>
    <t>هل يمكنك تأكيد مبلغ الدخل الذي ذكرته للتو؟
[المُشغل: إذا كان المبلغ المكتسب من مصدر الدخل هذا خلال الأشهر الثلاثة الماضية أكثر من Not applicable ، انقر على "تابع". بخلاف ذلك ، الرجاء الرجوع وتغيير المبلغ الذي تم إدخاله.]
1) تابع</t>
  </si>
  <si>
    <t>1 = income_main_comp OR optional question</t>
  </si>
  <si>
    <t>if income_main_amount_conf = 1, go to income_main_comp or optional question</t>
  </si>
  <si>
    <t>income_main_gender</t>
  </si>
  <si>
    <t>What is the gender of the household member[s] generating income from this source? 
[OPERATOR: SINGLE RESPONSE.]
1)Male
2)Female
3)Joint [both male &amp; female]
4)DON'T KNOW
5)REFUSED</t>
  </si>
  <si>
    <t>ما هو جنس الفرد ( الأفراد ) داخل الاسرة الذين يحصلون علي الدخل من هذا المصدر ؟ 
[المشغل: استجابة واحدة.]
1) ذكر
2) أنثى 
3) مختلط ( ذكر و أنثى )
4) لا أعرف
5) رفض الإجابة</t>
  </si>
  <si>
    <t>1-5 = [income_main_comp OR optional question]</t>
  </si>
  <si>
    <t>if income_main_gender = 1-5, go to income_main_comp or optional question</t>
  </si>
  <si>
    <t>1-5 = income_main_comp</t>
  </si>
  <si>
    <t>income_main_control</t>
  </si>
  <si>
    <t>Who controls the revenue that is earned from this source? 
[OPERATOR: SINGLE RESPONSE.]
1)Male household member[s]
2)Female household member[s]
3)Joint household members [both female &amp; male]
4)DON'T KNOW
5)REFUSED</t>
  </si>
  <si>
    <t>من المتحكم فى الدخل الذي تكسبه الاسرة من هذا المصدر ؟
[المشغل: استجابة واحدة.]
1) الافراد الذكور
2) الافراد الاناث
3) كلا من الذكور و الاناث
4) لا أعرف
5) رفض الإجابة</t>
  </si>
  <si>
    <t>if income_main_control = 1-5, go to income_main_comp</t>
  </si>
  <si>
    <t>income_main_comp</t>
  </si>
  <si>
    <t>Has your household's income from {income_main} changed in the last 3 months compared to the same period of Last year?
[OPERATOR: SINGLE RESPONSE.]
1)A lot more [increased by more than 50%]
2)Slightly more
3)Same
4)Slightly less
5)A lot less [less than half as much]
6)DON'T KNOW
7)REFUSED</t>
  </si>
  <si>
    <t>هل تغير دخل أسرتك من {income_main}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</si>
  <si>
    <t>1-7= income_sec</t>
  </si>
  <si>
    <t>if income_main_comp = 1-7, go to income_sec</t>
  </si>
  <si>
    <t>income_sec</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</si>
  <si>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</si>
  <si>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ما هو ثاني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المواشي ومنتجاتها
5) انتاج و بيع العسل أو منتجات النحل 
6) إنتاج وبيع الأسماك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ثانٍ
20) لا أعرف
21) رفض الإجابة</t>
  </si>
  <si>
    <t>Form Type - Buttons
exclude selected "income_main"
IsDemographic</t>
  </si>
  <si>
    <t>1-3 = income_sec_crop_check
4 = income_sec_ls_check
5 = income_sec_comp OR optional question
6 = income_sec_fish_check
7-18 = income_sec_comp OR optional question
19-21 = shock</t>
  </si>
  <si>
    <t>if options #1-3 selected, go to income_sec_crop_check
if options #4 selected, go to income_sec_ls_check
if options #6 selected, go to income_sec_fish_check 
if options #5, 7-18 selected, go to [income_sec_comp OR optional question]
if options #19-21 selected, go to shock</t>
  </si>
  <si>
    <t xml:space="preserve">5 = income_sec_gender  7-18=  income_sec_gender </t>
  </si>
  <si>
    <t>income_sec_crop_check</t>
  </si>
  <si>
    <t>1-4 = income_sec_comp OR optional question</t>
  </si>
  <si>
    <t>if income_sec_crop_check = 1-4, go to [income_sec_comp OR optional question]</t>
  </si>
  <si>
    <t>1-4 = income_sec_gender</t>
  </si>
  <si>
    <t>income_sec_ls_check</t>
  </si>
  <si>
    <t>if income_sec_ls_check = 1-4, go to [income_sec_comp OR optional question]</t>
  </si>
  <si>
    <t>income_sec_fish_check</t>
  </si>
  <si>
    <t>if income_sec_fish_check = 1-4, go to [income_sec_comp OR optional question]</t>
  </si>
  <si>
    <t>income_sec_amount</t>
  </si>
  <si>
    <t>How much was earned [in Not applicable] from your second main income source, {income_sec}, in the past 3 months ?
[OPERATOR: MAKE SURE THE INFORMATION IS RECORDED IN THE CORRECT CURRENCY. ENTER 8888888 FOR DON'T KNOW AND 9999999 FOR REFUSED.]</t>
  </si>
  <si>
    <t>ما المبلغ الذي كسبته أسرتك (بالعملة nan) من ثاني أهم مصدر دخل لها ، #income_sec# ، في الأشهر الثلاثة الماضية؟
[المُشغل: تأكد من تسجيل المعلومات بالعملة الصحيحة. أدخل 8888888 للا أعرف و 9999999 في حالة الرفض.]</t>
  </si>
  <si>
    <t>Not applicable - Not applicable = income_sec_comp or optional question
Not applicable - Not applicable = income_sec_amount_conf
8888888-8888888 = income_sec_comp or optional question
9999999-9999999 = income_sec_comp or optional question</t>
  </si>
  <si>
    <t>If the income amount is over the threshold set in "Additional information", the respondent will be asked to confirm with income_sec_amount_conf. Otherwise, go to income_sec_comp.</t>
  </si>
  <si>
    <t>income_sec_amount_conf</t>
  </si>
  <si>
    <t>1 = income_sec_comp or optional question</t>
  </si>
  <si>
    <t>if income_sec_amount_conf = 1, go to income_sec_comp</t>
  </si>
  <si>
    <t>income_sec_gender</t>
  </si>
  <si>
    <t>1-5 = [income_sec_comp OR optional question]</t>
  </si>
  <si>
    <t>if income_sec_gender = 1-5, go to income_sec_comp or optional question</t>
  </si>
  <si>
    <t>income_sec_control</t>
  </si>
  <si>
    <t>1-5 = income_sec_comp</t>
  </si>
  <si>
    <t>if income_sec_control =  1-5, go to income_sec_comp</t>
  </si>
  <si>
    <t>income_sec_comp</t>
  </si>
  <si>
    <t>Has your household's income from {income_sec} changed in the last 3 months compared to the same period of Last year? 
[OPERATOR: SINGLE RESPONSE.]
1)A lot more [increased by more than 50%]
2)Slightly more
3)Same
4)Slightly less
5)A lot less [less than half as much]
6)DON'T KNOW
7)REFUSED</t>
  </si>
  <si>
    <t>هل تغير دخل أسرتك من {income_sec}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</si>
  <si>
    <t>1-7= income_third</t>
  </si>
  <si>
    <t>if income_sec_comp = 1-7, go to income_third</t>
  </si>
  <si>
    <t>income_third</t>
  </si>
  <si>
    <t>What was your household's third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</si>
  <si>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ما هو ثالث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المواشي ومنتجاتها
5) انتاج و بيع العسل أو منتجات النحل 
6) إنتاج وبيع الأسماك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ثالث
20) لا أعرف
21) رفض الإجابة</t>
  </si>
  <si>
    <t>Form Type - Buttons
exclude selected "income_main"
exclude selected "income_sec"
IsDemographic</t>
  </si>
  <si>
    <t>1-3 = income_third_crop_check
4 = income_third_ls_check
5 = income_third_comp OR optional question
6 = income_third_fish_check
7-18 = income_third_comp OR optional question
19-21 = shock</t>
  </si>
  <si>
    <t>if options #1-3 selected, go to income_third_crop_check
if options #4 selected, go to income_third_ls_check
if option #6 selected, go to income_third_fish_check 
if options #5, 7-18 selected, go to [income_third_comp OR optional question] 
if options #19-21 selected, go to shock</t>
  </si>
  <si>
    <t xml:space="preserve">5 = income_third_gender  7-18=  income_third_gender </t>
  </si>
  <si>
    <t>income_third_crop_check</t>
  </si>
  <si>
    <t>1-4 = income_third_comp OR optional question</t>
  </si>
  <si>
    <t>if income_third_crop_check = 1-4, go to [income_third_comp OR optional question]</t>
  </si>
  <si>
    <t>1-4 = income_third_gender</t>
  </si>
  <si>
    <t>income_third_ls_check</t>
  </si>
  <si>
    <t>if income_third_ls_check = 1-4, go to [income_third_comp OR optional question]</t>
  </si>
  <si>
    <t>income_third_fish_check</t>
  </si>
  <si>
    <t>if income_third_fish_check = 1-4, go to [income_third_comp OR optional question]</t>
  </si>
  <si>
    <t>income_third_amount</t>
  </si>
  <si>
    <t>How much was earned [in Not applicable] from your third main source of income, {income_third}, in the past 3 months ?
[OPERATOR: MAKE SURE THE INFORMATION IS RECORDED IN THE CORRECT CURRENCY. ENTER 8888888 FOR DON'T KNOW AND 9999999 FOR REFUSED.]</t>
  </si>
  <si>
    <t>ما المبلغ الذي كسبته أسرتك (بالعملة nan) من ثالث أهم مصدر دخل لها ، #income_third# ، في الأشهر الثلاثة الماضية؟
[المُشغل: تأكد من تسجيل المعلومات بالعملة الصحيحة. أدخل 8888888 للا أعرف و 9999999 في حالة الرفض.]</t>
  </si>
  <si>
    <t>Not applicable - Not applicable = income_third_comp or optional question
Not applicable - Not applicable = income_third_amount_conf
8888888-8888888 = income_third_comp or optional question
9999999-9999999 = income_third_comp or optional question</t>
  </si>
  <si>
    <t>If the income amount is over the threshold set in "Additional information", the respondent will be asked to confirm with income_third_amount_conf. Otherwise, go to income_third_comp or optional question.</t>
  </si>
  <si>
    <t>income_third_amount_conf</t>
  </si>
  <si>
    <t>1 = income_third_comp or optional question</t>
  </si>
  <si>
    <t>if income_third_amount_conf = 1, go to income_third_comp or optional question</t>
  </si>
  <si>
    <t>income_third_gender</t>
  </si>
  <si>
    <t>1-5 = income_third_comp or optional question</t>
  </si>
  <si>
    <t>if income_third_gender = 1-5, go to [income_third_comp or optional question]</t>
  </si>
  <si>
    <t>income_third_control</t>
  </si>
  <si>
    <t>1-5 = income_third_comp</t>
  </si>
  <si>
    <t>if income_third_control = 1-5, go to income_third_comp</t>
  </si>
  <si>
    <t>income_third_comp</t>
  </si>
  <si>
    <t>Has your household's income from {income_third} changed in the last 3 months compared to the same period of Last year?
[OPERATOR: SINGLE RESPONSE.]
1)A lot more [increased by more than 50%]
2)Slightly more
3)Same
4)Slightly less
5)A lot less [less than half as much]
6)DON'T KNOW
7)REFUSED</t>
  </si>
  <si>
    <t>هل تغير دخل أسرتك من {income_third}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</si>
  <si>
    <t>1-7= shock</t>
  </si>
  <si>
    <t>if income_third_comp = 1-7, go to shock</t>
  </si>
  <si>
    <t>1-7 = o_debt</t>
  </si>
  <si>
    <t>o_debt</t>
  </si>
  <si>
    <t>Have you incurred any new debt in the past three months which you have not repaid?
[OPERATOR: SINGLE RESPONSE.]
1)YES
2)NO
3)DON’T KNOW
4)REFUSED</t>
  </si>
  <si>
    <t>هل تكبدت أي ديون جديدة في الأشهر الثلاثة الماضية لم تسددها؟
[المشغل: استجابة واحدة.]
1) نعم
2) لا
3) لا أعرف
4) رفض الإجابة</t>
  </si>
  <si>
    <t>1 = debt_amount;
2-4 = shock</t>
  </si>
  <si>
    <t>o_debt_amount</t>
  </si>
  <si>
    <t>What is the total amount of debt you currently have [in Rial]?
[OPERATOR: DOUBLE CHECK FOR OUTLIERS &amp; MAKE SURE THE INFORMATION IS RECORDED IN THE CORRECT CURRENCY. ENTER 8888888 FOR DON'T KNOW AND 9999999 FOR REFUSED.]</t>
  </si>
  <si>
    <t>ما هو المبلغ الإجمالي للديون التي عليك حاليًا [بالريال]؟
[المُشغل: تحقق مزدوج من القيم المتطرفة وتأكد من تسجيل المعلومات بالعملة الصحيحة. أدخل 8888888 للا أعرف و 9999999 في حالة الرفض.]</t>
  </si>
  <si>
    <t>Any response go to shock</t>
  </si>
  <si>
    <t xml:space="preserve">
</t>
  </si>
  <si>
    <t>Debt minimum: YER 1000
Debt Maximum: YER 1000000</t>
  </si>
  <si>
    <t>shock</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</si>
  <si>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</si>
  <si>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</si>
  <si>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 وإذا كان الأمر كذلك ، فما كانت؟
[المُشغل: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
1) لا صدمة
2) مرض أو حادث أو وفاة أحد أفراد الأسرة [مرض العائل / النفقات الطبية المرتفعة بشكل غير عادي / نفقات الجنازة / وفاة العائل]
3) فرص العمل أو العمل المفقودة [ليس بسبب مرض / حادث]
4) صدمة أخرى داخل الأسرة
5) أسعار المواد الغذائية أعلى بكثير من المعتاد
6) أسعار الوقود  أو أسعار النقل أعلى بكثير من المعتاد
7) القيود المفروضة على حركة السكان [على سبيل المثال بسبب الوباء أو تلف البنية التحتية]
8) صدمة اقتصادية أخرى
9) تفشي الآفات
10) أمراض نباتية
11) أمراض حيوانية تصيب العديد من الحيوانات أو تتسبب بنفقها
12) عدم إمكانية الوصول للمراعي 
13) صدمة أخرى للمحاصيل والماشية
14) درجات الحرارة الباردة أو البرد
15)  الفيضانات / تآكل ضفاف الأنهار
16) إعصار 
17) الجفاف / الإجهاد الحراري
18) زلزال
19) الانهيارات الارضية
20) حريق مسبب من كارثة طبيعية
21) مخاطر طبيعية أخرى
22) العنف وانعدام الأمن / النزاع
23) سرقة أصول الإنتاج [الأرض / الماشية / الأدوات / إلخ]
24) حريق مسبب من كارثة من صنع الإنسان
25) مخاطر أخرى من صنع الإنسان
26) لا أعرف
27) رفض الإجابة</t>
  </si>
  <si>
    <t>Form Type - Checklist 
1,26,27 = IsNone</t>
  </si>
  <si>
    <t>1-27 = [crp_intro or optional question]</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</si>
  <si>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</si>
  <si>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if shock = 1-27, go to [crp_intro or optional question]</t>
  </si>
  <si>
    <t>1-27= o_debt</t>
  </si>
  <si>
    <t>hh_explanation</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</si>
  <si>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</si>
  <si>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t>إذا تأثرت أسرتك بصدمة كبيرة حديثة ذات صلة بهذا الاستبيان (على سبيل المثال ، زلزال) ، فما هي في رأيك عواقب التي شوهدت بالفعل أو المتوقعه  على أسرتك ، بكلماتك الخاصة؟
[المُشغل: سجل في بضع كلمات العواقب الرئيسية للصدمات الأخيرة . أدخل 88 للا أعرف و 99 في حالة الرفض.]</t>
  </si>
  <si>
    <t>Any Response = covid</t>
  </si>
  <si>
    <t>For any response to hh_explanation, go to covid.</t>
  </si>
  <si>
    <t>covid</t>
  </si>
  <si>
    <t>covid_
1) covid_goodstransp
2) covid_marketclosed
3) covid_borderclosed
4) covid_stayhome
5) covid_gatherings
6) covid_processclosed
7) covid_curfew
8) covid_school
9) covid_other
10) covid_none
11) covid_dk
12) covid_ref</t>
  </si>
  <si>
    <t>Have you or anyone in your household been affected by movement restrictions or social distancing measures aimed at containing COVID-19 in the last 3 months?
[OPERATOR: MULTIPLE RESPONSES POSSIBLE.]
1)Movement restrictions [sometimes producing product scarcity or price hikes]
2)Closure of food markets or other businesses
3)Closure of international borders [affecting the purchase of imported inputs or the sale of goods for export or transhumance]
4)Stay at home order
5)Ban on gatherings
6)Closure of food processors [slaughterhouse / dairy cooperatives / etc] or restaurants
7)Curfews
8)Closure of schools
9)Other [specify]
10)Not affected by restrictions
11)DON'T KNOW
12)REFUSED</t>
  </si>
  <si>
    <t>هل تأثرت أنت أو أي شخص في أسرتك بقيود على الحركة أو إجراءات التباعد الاجتماعي التي تهدف إلى احتواء فيروس الكورونا في الأشهر الثلاثة الماضية؟
[المُشغل: احتمال وجود عدة استجابات.]
1) قيود على الحركة [تؤدي أحيانًا إلى ندرة المنتج أو ارتفاع الأسعار]
2) إغلاق أسواق المواد الغذائية أو غيرها من الأعمال التجارية
3) إغلاق الحدود الدولية [التي تؤثر على شراء المدخلات المستوردة أو بيع البضائع من أجل التصدير أو التنقل الرعوي]
4) الالتزام بالبقاء في المنزل
5) حظر التجمعات
6) إغلاق مصانع معالجة الأغذية [المسلخ / تعاونيات الألبان / إلخ] أو المطاعم
7) حظر التجول
8) إغلاق المدارس
9) آخر ( حدد)
10) لم نتأثر بأي قيود
11) لا أعرف
12) رفض الإجابة</t>
  </si>
  <si>
    <t xml:space="preserve">Open Ended - Select All That Apply </t>
  </si>
  <si>
    <t>Send if "shock" "Contains" "Population movement restrictions [e.g. due to epidemic or infrastructure damage]". If not satisfied go to, [next question or crp_intro].</t>
  </si>
  <si>
    <t>Form Type - Checklist
10,11,12= IsNone</t>
  </si>
  <si>
    <t>1-12 = crp_intro</t>
  </si>
  <si>
    <t>1)covid_goodstransp
2)covid_marketclosed
3)covid_borderclosed
4)covid_stayhome
5)covid_gatherings
6)covid_processclosed
7)covid_curfew
8)covid_school
9)covid_other
10)covid_none
11)covid_dk
12)covid_ref</t>
  </si>
  <si>
    <t>Asked only if respondents report "Population movement restrictions [e.g. due to epidemic or infrastructure damage]" in question on shocks. 
If covid = 1-12, go to crp_intro</t>
  </si>
  <si>
    <t>D. CROP PRODUCTION</t>
  </si>
  <si>
    <t>crp_intro</t>
  </si>
  <si>
    <t>We will now ask you some questions about crop production which apply to you and anyone in your household that is involved in crop production or sales. All questions refer to the crops grown during Ongoing season.
1)CONTINUE</t>
  </si>
  <si>
    <t>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الموسم الحالي. 
1) تابع</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</si>
  <si>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</si>
  <si>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1 = crp_landsize_num</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</si>
  <si>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</si>
  <si>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crp_landsize_num</t>
  </si>
  <si>
    <t>What is the total size of the land you can cultivate?
[OPERATOR: RECORD THE TOTAL LAND SIZE PROVIDED BY THE RESPONDENT. WRITE 8888888 FOR DON'T KNOW AND 9999999 FOR REFUSED. MEASUREMENT UNIT WILL BE SPECIFIED IN THE FOLLOWING QUESTION.]</t>
  </si>
  <si>
    <t>ما هو الحجم الإجمالي للأرض التي يمكنك زراعتها؟
[المُشغل: سجل إجمالي حجم الأرض الذي ذكره المجيب. اكتب 8888888 للا أعرف و 9999999 في حالة الرفض. سيتم تحديد وحدة القياس في السؤال التالي.]</t>
  </si>
  <si>
    <t>0-1000000 = crp_landsize_unit
8888888-8888888 = crp_main
9999999-9999999 = crp_main</t>
  </si>
  <si>
    <t>For any response, go to crp_landsize_unit. Range is between 0 and 1000000. For "Don't know" and "Refused", go to crp_main.</t>
  </si>
  <si>
    <t>crp_landsize_unit</t>
  </si>
  <si>
    <t xml:space="preserve">Unit of measurement for land size: 
[OPERATOR: DO NOT READ. SINGLE RESPONSE.]
1)Acres
2)Hectares
3)Square meters
4)Square feet
5)5)Labneh
6)Qassabh
7)Hablah
8)Ma'ad
9)Salook
10)Shaklah
11)Neiha
12)Matreh
13)Wadan
14)Oqum
15)Asaoo
16)Shagan
17)Arfad
18)Aber
19)Taleem
20)Magabi
21)Hediah
22)Thera'a
23)Materah
</t>
  </si>
  <si>
    <t>وحدة قياس مساحة الارض:
[المُشغل: لا تقرأ. استجابة واحدة.]
1) فدان
2) هكتار
3) متر مربع
4) قدم مربع
5) 5)لبنة
6)قصبة
7) حبل/حبلة
8) معاد
9)سلوق
10) شكلة
11) نيحة
12) مطرح
13)ودن
14) عقم
15)اسعاو
16) شجن
17)رفد/ارفاد
19) عبر
20) تليم
21)مجابي
22) حدية
23) ذراع
24) مطبرة</t>
  </si>
  <si>
    <t>1-5 = crp_main</t>
  </si>
  <si>
    <t>if crp_landsize_unit = 1-5, go to crp_main</t>
  </si>
  <si>
    <t>crp_main</t>
  </si>
  <si>
    <t>What has been the main crop that your household has grown for food and income generation in Ongoing season, if any? 
 [OPERATOR: SINGLE RESPONSE. "NO CROP PRODUCTION" IS IN LAST OPTIONS AT THE END.] 
1)Wheat
2)Millet
3)Sorghum
4)Potatoe
5)Lentils
6)Tomatoes
7)Okra
8)Orange
9)Grapes
10)Coffee
11)Qat
12)Maize
13)Barley
14)Other Cereal
15)Cassava
16)Sweet Potatoes
17)Yams
18)Carrots
19)Cocoyam
20)Other tubers
21)Beans
22)Peas
23)Soybeans
24)Chickpeas
25)Fava beans
26)Broad beans
27)Other pulses
28)Cabbage
29)Lettuce
30)Spinach-Amaranth
31)Cassava leaves
32)Potatoe leaves
33)Moringa
34)Sorrel Hibiscus / Rosselle
35)Green salad herbs [thyme, parsley, mint, rocca, other]
36)Cauliflower
37)Other leafy vegetables
38)Cucumber
39)Pumpkin
40)Eggplant/aubergine
41)Zucchini
42)Bell pepper
43)Onions
44)Haricot
45)Green peas
46)Fava beans green
47)Other non leafy vegs
48)Lemon
49)Grapefruit
50)Mandarins/clementines
51)Other citrus fruit
52)Sweet Banana
53)Plantains
54)Papaya
55)Mango
56)Guava
57)Pineapple
58)Avocado
59)Water Melon
60)Dates
61)Figs
62)Olives
63)Apple
64)Apricot
65)Cherries
66)Peach/nectarine
67)Strawberries
68)Melon [Cantaloupe]
69)Other fruit
70)Coconuts
71)Groundnut/peanut
72)Cashew Nut
73)Kola Nut
74)Sesame
75)Bambara nut
76)Almond
77)Walnut
78)Other nuts
79)Cocoa
80)Tea
81)Sugarcane
82)Sunflower
83)Other food cash crop
84)Cotton
85)Rubber
86)Jute
87)Fodder
88)Tobacco
89)Other non-food cash crop
90)Rice</t>
  </si>
  <si>
    <t>ما هو المحصول الرئيسي الذي تزرعه أسرتك من أجل الغذاء وتوليد الدخل في موسم $ Season $ ، إن وجد؟ 
 [المشغل: استجابة واحدة. 'لا إنتاج للمحصول' في آخر الخيارات في النهاية.] 
1)القمح
2)الدخن
3)الذرة الرفيعة
4)البطاطا
5)العدس
6)الطماطم
7)البامية
8)البرتقال
9)العنب
10)القهوة
11)القات
12)الذرة
13)الشعير
14)الحبوب الأخرى
15)الكسافا
16)البطاطا الحلوة
17)اليام
18)الجزر
19)القلقاس
20)الدرنات الأخرى
21)الفاصوليا
22)البازيلاء
23)فول الصويا
24)الحمص
25)الفول
26)الفاصوليا العريضة
27)البقول الاخرى
28)الملفوف
29)الخس
30)السبانخ - القطيفة
31)أوراق الكسافا
32)أوراق البطاطا
33)المورينجا
34)الكركديه
35)أعشاب السلطة الخضراء [زعتر ، بقدونس ، نعناع ، جرجير ، أنواع أخرى]
36)القرنبيط
37)الخضار الورقية الأخرى
38)الخيار
39)اليقطين
40)الباذنجان
41)الكوسة
42)الفلفل حلو
43)بصل
44)اللوبياء
45)البازلاء الخضراء
46)الفول الأخضر
47)الخضار غير الورقية الأخرى
48)الليمون
49)الجريب فروت
50)اليوسفي / الكليمنتين
51)الحمضيات الأخرى
52)الموز
53)موز الجنة
54)البابايا
55)المانجو
56)الجوافة
57)الأناناس
58)الأفوكادو
59)البطيخ الأحمر
60)التمر
61)التين
62)الزيتون
63)التفاح
64)المشمش
65)الكرز
66)الدراق / النكتارين
67)الفراولة
68)الشمام
69)الفواكه الأخرى
70)جوز الهند
71)الفول السوداني
72)الكاجو
73)جوز الكولا
74)السمسم
75)جوز البامبارا
76)اللوز
77)الجوز
78)المكسرات الأخرى
79)الكاكاو
80)الشاي
81)قصب السكر
82)دوار الشمس
83)المحاصيل الغذائية النقدية الأخرى 
84)القطن
85)المطاط
86)الجوت
87)العلف
88)التبغ
89) المحاصيل النقدية غير الغذائية الأخرى 
90)الرز</t>
  </si>
  <si>
    <t>Form Type - Dropdown
IsDemographic</t>
  </si>
  <si>
    <t>1-90 = crp_irrig_source
91 = crp_main_check
92-93 = crp_salesmain</t>
  </si>
  <si>
    <t>if crp_main = any type of crop, go to crp_irrig_source;
if crp_main = "No crop production", go to crp_main_check
if crp_main = "Don't know" or "Refused", go to crp_salesmain</t>
  </si>
  <si>
    <t>crp_main_check</t>
  </si>
  <si>
    <t>Why did you not produce any crops in Ongoing season?
[OPERATOR: SINGLE RESPONSE.]
1)Don’t usually produce during this season 
2)Wasn't able to produce [e.g. due to difficulties]</t>
  </si>
  <si>
    <t>لماذا لم تنتج أي محاصيل في الموسم الحالي؟
[المشغل: استجابة واحدة.]
1) لا أنتج عادة محاصيل خلال هذا الموسم
2) لم أتمكن من إنتاج المحاصيل (على سبيل المثال بسبب الصعوبات)</t>
  </si>
  <si>
    <t>1 = crp_salesmain
2 = crp_proddif</t>
  </si>
  <si>
    <t>if crp_main_check = 1, go to crp_salesmain
if crp_main_check = 2, go to crp_proddif</t>
  </si>
  <si>
    <t>crp_irrig_source</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</si>
  <si>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</si>
  <si>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كيف  تحصل عادة على الماء لري {crp_main} بشكل رئيسي؟
[المشغل: استجابة واحدة.]
1) بعلي (لا يوجد نظام ري)
2) مياه جوفية
3) مياه سطحية طبيعية ( نهر / بحيرة / بركة مياه / إلخ )
4) نقطة مياه منشأة ( قناة / سد / إلخ)
5) نظام تزويد مياه عام ( ماء الصنبور علي سبيل المثال )
6)  آخر [حدد]
7) لا أعرف
8) رفض الإجابة</t>
  </si>
  <si>
    <t>1-8 = crp_area_change OR optional question</t>
  </si>
  <si>
    <t>if crp_irrig_source = 1-8, go to [crp_area_change or optional question]</t>
  </si>
  <si>
    <t xml:space="preserve">1-8= crp_irrig_system </t>
  </si>
  <si>
    <t>crp_irrig_system</t>
  </si>
  <si>
    <t>Do you [your community] use a pump for your own [the communal] irrigation system?
[OPERATOR: SINGLE RESPONSE.]
1)No, everything works on gravity
2)Yes, there is a communal diesel/gas pump
3)Yes, there is a communal manual pump
4)Yes, there is a manual pump in my field
5)Yes, there is a diesel pump in my field
6)DON'T KNOW
7)REFUSED</t>
  </si>
  <si>
    <t xml:space="preserve">هل تستخدم (أو هل يستخدم المجتمع الذي تنتمي اليه) مضخة لنظام الري ؟
[المشغل: استجابة واحدة.]
1) لا ، كل شيء يعمل علي الجاذبية
2) نعم ، توجد مضخة مشتركة تعمل علي الديزل أو الغاز
3) نعم، توجد مضخة يدوية مشتركة
4) نعم ، توجد مضخة يدوية فى حقلي 
5) نعم، توجد مضخة تعمل بالديزل فى حقلي
6) لا أعرف
7) رفض الإجابة 
</t>
  </si>
  <si>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crp_area_change.</t>
  </si>
  <si>
    <t>1-7 = crp_area_change OR optional question</t>
  </si>
  <si>
    <t>if crp_irrig_system = 1-7, go to [crp_area_change or optional question]</t>
  </si>
  <si>
    <t>1-7 = crp_seed_supply</t>
  </si>
  <si>
    <t>crp_irrig_pay</t>
  </si>
  <si>
    <t>Do you have to pay for water rights [e.g. water rights, communal infrastructure maintenance, gas for communal pump, etc.]? 
[OPERATOR: SINGLE RESPONSE.]
1)YES
2)NO
3)DON'T KNOW
4)REFUSED</t>
  </si>
  <si>
    <t>هل يتعين عليك الدفع مقابل الحصول علي حقوق المياه ( علي سبيل المثال حقوق المياه ، صيانة البنية التحتية المشتركة،  الغاز للمضخات المشتركة ، إلخ ) ؟ 
[المشغل: استجابة واحدة.] 
1) نعم
2) لا
3) لا أعرف
4) رفض الإجابة</t>
  </si>
  <si>
    <t>1-4 = crp_area_change OR optional question</t>
  </si>
  <si>
    <t>if crp_irrig_pay = 1-4, go to [crp_area_change or optional question]</t>
  </si>
  <si>
    <t>crp_seed_supply</t>
  </si>
  <si>
    <t>crp_seed_supply
1) crp_seed_ownprod
2) crp_seed_market
3) crp_seed_company
4) crp_seed_ngo
5) crp_seed_organized_community
6) crp_seed_gov
7) crp_seed_relatives_friends
8) crp_seed_other
9) crp_seed_dk
10) crp_seed_ref</t>
  </si>
  <si>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</si>
  <si>
    <t>من أين تحصل عادة على البذور؟
[المُشغل: احتمال وجود عدة استجابات.]
1) الإنتاج الخاص
2) اشتريها من السوق أو متجر المدخلات الزراعية
3) اشتريها  من شركة بذور خاصة
4) المنظمات الغير حكومية
5) بنوك البذور المجتمعية / شبكات المزارعين / إلخ
6) الحكومة ( وزارة الزراعة علي سبيل المثال )
7) الاقارب أو الاصدقاء
8) آخر
9) لا أعرف
10) رفض الإجابة</t>
  </si>
  <si>
    <t xml:space="preserve">Select All That Apply </t>
  </si>
  <si>
    <t>Form Type - Checklist
9,10 = IsNone</t>
  </si>
  <si>
    <t>1-10 = crp_area_change</t>
  </si>
  <si>
    <t>1)crp_seed_ownprod
2)crp_seed_market
3)crp_seed_company
4)crp_seed_ngo
5)crp_seed_organized_community
6)crp_seed_gov
7)crp_seed_relatives_friends
8)crp_seed_other
9)crp_seed_dk
10)crp_seed_ref</t>
  </si>
  <si>
    <t>if crp_seed_supply = 1-10, go to crp_area_change</t>
  </si>
  <si>
    <t>crp_area_change</t>
  </si>
  <si>
    <t>How did the area planted for {crp_main} from Ongoing season compare to Last year?
[OPERATOR: SINGLE RESPONSE.]
1)A lot more [increased by more than 50%]
2)Slightly more
3)Same
4)Slightly less
5)A lot less [less than half as much]
6)DON'T KNOW
7)REFUSED</t>
  </si>
  <si>
    <t>كيف يمكن مقارنة المساحة المزروعة ل {crp_main} في الموسم الحالي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</si>
  <si>
    <t>1-7 = crp_harv_change</t>
  </si>
  <si>
    <t>if crp_area_change = 1-7, go to crp_harv_change</t>
  </si>
  <si>
    <t>crp_harv_change</t>
  </si>
  <si>
    <t>How does the  harvest of {crp_main} in the Ongoing season compare to Last year? 
[OPERATOR: SINGLE RESPONSE.]
1)A lot more [increased by more than 50%]
2)Slightly more
3)Same
4)Slightly less
5)A lot less [less than half as much]
6)DON'T KNOW
7)REFUSED</t>
  </si>
  <si>
    <t>كيف يمكن مقارنة الحصاد   لـ {crp_main} في الموسم الحالي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</si>
  <si>
    <t>1-7 = crp_proddif OR crp_harv_vol</t>
  </si>
  <si>
    <t>if crp_harv_change = 1-7, go to [crp_proddif or crp_harv_vol]</t>
  </si>
  <si>
    <t>crp_harv_vol</t>
  </si>
  <si>
    <t>How much [threshed] {crp_main} did you harvest this Ongoing season?
[OPERATOR: RECORD THE RESPONSE GIVEN. UNIT OF MEASUREMENT TO BE SPECIFIED IN NEXT QUESTION. ENTER 8888888 FOR DON'T KNOW &amp; 9999999 FOR REFUSED, TO BE USED RARELY - PROBE!]</t>
  </si>
  <si>
    <t xml:space="preserve"> ما هي كمية ال {crp_main}  (المدروس/ة) التي قمت بحصادها هذا الموسم الموسم الحالي؟
[المُشغل: سجل الاستجابة المُعطاة. يتم تحديد وحدة القياس في السؤال التالي. أدخل 8888888 للا أعرف و 9999999 في حالة الرفض ، والتي يجب استخدامها نادرًا - تحقق!]</t>
  </si>
  <si>
    <t>1-1000000 = crp_harv_unit
8888888-8888888 =  crp_proddif
9999999-9999999 =  crp_proddif</t>
  </si>
  <si>
    <t>For any response, go to crp_harv_unit. For "Don't know" or "Refused", go to crp_proddif</t>
  </si>
  <si>
    <t xml:space="preserve">Keep this block of questions together, if used.
</t>
  </si>
  <si>
    <t>crp_harv_unit</t>
  </si>
  <si>
    <t>Unit of measurement for harvested {crp_main} :
[OPERATOR: SINGLE SELECTION]
1)Kilograms [kgs]
2)Tonnes
3)Ounces
4)Pounds
5)Bags
6)Boxes
7)Bundles
8)Packets
9)Other [specify]</t>
  </si>
  <si>
    <t>وحدة قياس حصاد {crp_main}:
[المشغل: اختيار واحد]
1) كيلوغرامات [كلغ]
2) أطنان
3) أوقية
4) أرطال
5) أكياس
6) صناديق
7) حزم
8) رزمات
9) آخر [حدد]</t>
  </si>
  <si>
    <t>Form Type - RadioList
IsDemographic</t>
  </si>
  <si>
    <t>1-4 = crp_harv_lastyr
5-9 = crp_harv_unit_kg</t>
  </si>
  <si>
    <t>If crp_harv_unit = 1-4, go to crp_harv_lastyr
If crp_harv_unit = 5-9, go to crp_harv_unit_kg</t>
  </si>
  <si>
    <t>crp_harv_unit_kg</t>
  </si>
  <si>
    <t>How many kilograms [kgs] in each unit?
[OPERATOR: RECORD THE AMOUNT GIVEN. ENTER 88888 FOR DON'T KNOW &amp; 99999 FOR REFUSED]</t>
  </si>
  <si>
    <t>كم كيلوغرام [كلغ] في كل وحدة؟
[المُشغل: سجل المبلغ المعطى. أدخل 88888 لـلا أعرف و 99999 في حالة الرفض]</t>
  </si>
  <si>
    <t>1-10000 = crp_harv_lastyr
88888-88888 =  crp_harv_lastyr
99999-99999 =  crp_harv_lastyr</t>
  </si>
  <si>
    <t>For any response, go to crp_harv_lastyr</t>
  </si>
  <si>
    <t>crp_harv_lastyr</t>
  </si>
  <si>
    <t>How many {crp_harv_unit} of [threshed] {crp_main} did you harvest last year during the same season?
[OPERATOR: RECORD THE RESPONSE GIVEN. ENTER 8888888 FOR DON'T KNOW &amp; 9999999 FOR REFUSED, TO BE USED RARELY - PROBE!]</t>
  </si>
  <si>
    <t>كم {crp_harv_unit} من {crp_main}   (المدروس/ة) قمت بحصادها العام الماضي خلال نفس الموسم؟
[المُشغل: سجل الاستجابة المُعطاة. أدخل 8888888 لـلا أعرف و 9999999 في حالة الرفض ، والتي يجب استخدامها نادرًا - تحقق!]</t>
  </si>
  <si>
    <t>1-1000000 = crp_proddif
8888888-8888888 = crp_proddif
9999999-9999999 = crp_proddif</t>
  </si>
  <si>
    <t>For any response, go to crp_proddif</t>
  </si>
  <si>
    <t>crp_proddif</t>
  </si>
  <si>
    <t>Has your household faced any significant difficulty in terms of crop production in Ongoing season?
[OPERATOR: SINGLE RESPONSE.]
1)YES
2)NO
3)DON'T KNOW
4)REFUSED</t>
  </si>
  <si>
    <t>هل واجهت أسرتك أي صعوبة في إنتاج المحاصيل في الموسم الحالي؟
[المشغل: استجابة واحدة.]
1) نعم
2) لا
3) لا أعرف
4) رفض الإجابة</t>
  </si>
  <si>
    <t>1 = crp_proddif_2
2-4 = [crp_salesmain or optional question]</t>
  </si>
  <si>
    <t>if crp_proddif = 1, go to crp_proddif_2 ; 
if crp_proddif = 2-4, go to [crp_salesmain or optional question]</t>
  </si>
  <si>
    <t>crp_proddif_2</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</si>
  <si>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</si>
  <si>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Which difficulty has your household faced with crop production in Ongoing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</si>
  <si>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ما الصعوبات التي واجهتها أسرتك في إنتاج المحاصيل في الموسم الحالي؟
[المُشغل: عدة استجابات محتملة. حدد الخيار (الخيارات) الأنسب للمعلومات المقدمة من المجيب.]
1) مرض نباتي
2) تفشي الافات ( بما في ذلك الطيور )
3) رعي الحيوانات الغير منضبط
4) الوصول إلى قطعة الأرض
5) الوصول إلى الأسمدة [غير متوفرة في الأسواق أو أن اسعارها مرتفعة جداً]
6) الوصول الي البذور الجيدة
7)  الوصول إلى ما يكفي من البذور [غير متوفرة في الأسواق أو أن اسعارها مرتفعة جداً]
8) الوصول إلى المبيدات الحشرية
9) الوصول إلى العمالة أو القوى العاملة
10)  الوصول إلى آلات أو أدوات أو حيوانات للحراثة
11) الحصول على الوقود أو الكهرباء لتشغيل المعدات الزراعية
12) تعرية التربة
13) عدم كفاية مياه الري أو مياه الأمطار
14) زيادة مياه الري
15) الحصول على تمويل
16) آخر
17) لا أعرف
18) رفض الإجابة</t>
  </si>
  <si>
    <t>Form Type - Checklist
17,18 = IsNone</t>
  </si>
  <si>
    <t>1-18 = [crp_salesmain OR optional question]</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</si>
  <si>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</si>
  <si>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if crp_proddif_2 = 1-18, go to [crp_salesmain OR optional question]</t>
  </si>
  <si>
    <t>crp_storage</t>
  </si>
  <si>
    <t>Last year, what proportion of your {crp_main} stock did you lose [to pests, rotting, mould, etc.] after the harvest?
[OPERATOR: SINGLE RESPONSE.]
1)None
2)A little
3)An important part of it, but less than half
4)Most of it [half or more]
5)Almost everything 
6)Everything
7)DON'T KNOW
8)REFUSED</t>
  </si>
  <si>
    <t>في العام الماضي ، ما هي نسبة مخزونك التي خسرتها (بسبب الآفات ، والتعفن ، والعفن ، وما إلى ذلك) من إجمالي {crp_main} المخزن؟
[المشغل: استجابة واحدة.]
1) لا شيء
2) قليلا
3) جزء مهم منه ولكن أقل من النصف
4) معظمها [نصف أو أكثر]
5) كل شيء تقريبا
6) كل شيء
7) لا أعرف
8) رفض الإجابة</t>
  </si>
  <si>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</si>
  <si>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t>1-8 = crp_salesmain or optional question</t>
  </si>
  <si>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optional question</t>
  </si>
  <si>
    <t>crp_all</t>
  </si>
  <si>
    <t>crp_all_[name of crop as per crop list]</t>
  </si>
  <si>
    <t>Do you cultivate any other crops aside from {crp_main}, and if so which ones?
[OPERATOR: "No other crop" APPEARS AT THE END OF THE LIST OF OPTIONS. SELECT ALL CROPS LISTED BY THE RESPONDENT.]
1)No other crops
2)DON'T KNOW
3)REFUSED</t>
  </si>
  <si>
    <t>هل تزرع أي محاصيل أخرى غير {crp_main} ، وإذا كان الأمر كذلك فما هي؟
[المُشغل: "لا محاصيل أخرى" تظهر في نهاية قائمة الخيارات. حدد جميع المحاصيل التي ذكرها المجيب.]
1) لا محاصيل أخرى
2) لا أعرف
3) رفض الإجابة</t>
  </si>
  <si>
    <t>Form Type - Checklist
Included unselected "crp_main"
1,2,3= IsNone</t>
  </si>
  <si>
    <t>Dynamics = crp_salesmain
1-3 = crp_salesmain</t>
  </si>
  <si>
    <t>For any response to crp_all, go to crp_salesmain</t>
  </si>
  <si>
    <t>D. CROP MARKETING</t>
  </si>
  <si>
    <t>crp_salesmain</t>
  </si>
  <si>
    <t>What has been the main crop that you have sold over the last 3 months?
[OPERATOR: SELECT ALL CROPS LISTED BY THE RESPONDENT.]
1)Wheat
2)Millet
3)Sorghum
4)Potatoe
5)Lentils
6)Tomatoes
7)Okra
8)Orange
9)Grapes
10)Coffee
11)Qat
12)Maize
13)Barley
14)Other Cereal
15)Cassava
16)Sweet Potatoes
17)Yams
18)Carrots
19)Cocoyam
20)Other tubers
21)Beans
22)Peas
23)Soybeans
24)Chickpeas
25)Fava beans
26)Broad beans
27)Other pulses
28)Cabbage
29)Lettuce
30)Spinach-Amaranth
31)Cassava leaves
32)Potatoe leaves
33)Moringa
34)Sorrel Hibiscus / Rosselle
35)Green salad herbs [thyme, parsley, mint, rocca, other]
36)Cauliflower
37)Other leafy vegetables
38)Cucumber
39)Pumpkin
40)Eggplant/aubergine
41)Zucchini
42)Bell pepper
43)Onions
44)Haricot
45)Green peas
46)Fava beans green
47)Other non leafy vegs
48)Lemon
49)Grapefruit
50)Mandarins/clementines
51)Other citrus fruit
52)Sweet Banana
53)Plantains
54)Papaya
55)Mango
56)Guava
57)Pineapple
58)Avocado
59)Water Melon
60)Dates
61)Figs
62)Olives
63)Apple
64)Apricot
65)Cherries
66)Peach/nectarine
67)Strawberries
68)Melon [Cantaloupe]
69)Other fruit
70)Coconuts
71)Groundnut/peanut
72)Cashew Nut
73)Kola Nut
74)Sesame
75)Bambara nut
76)Almond
77)Walnut
78)Other nuts
79)Cocoa
80)Tea
81)Sugarcane
82)Sunflower
83)Other food cash crop
84)Cotton
85)Rubber
86)Jute
87)Fodder
88)Tobacco
89)Other non-food cash crop
90)Rice
92)DON'T KNOW
93)REFUSED</t>
  </si>
  <si>
    <t>ما هو المحصول الرئيسي الذي بعته خلال الأشهر الثلاثة الماضية؟ 
 [حدد جميع المحاصيل التي سجلها المجيب.] 
1)القمح
2)الدخن
3)الذرة الرفيعة
4)البطاطا
5)العدس
6)الطماطم
7)البامية
8)البرتقال
9)العنب
10)القهوة
11)القات
12)الذرة
13)الشعير
14)الحبوب الأخرى
15)الكسافا
16)البطاطا الحلوة
17)اليام
18)الجزر
19)القلقاس
20)الدرنات الأخرى
21)الفاصوليا
22)البازيلاء
23)فول الصويا
24)الحمص
25)الفول
26)الفاصوليا العريضة
27)البقول الاخرى
28)الملفوف
29)الخس
30)السبانخ - القطيفة
31)أوراق الكسافا
32)أوراق البطاطا
33)المورينجا
34)الكركديه
35)أعشاب السلطة الخضراء [زعتر ، بقدونس ، نعناع ، جرجير ، أنواع أخرى]
36)القرنبيط
37)الخضار الورقية الأخرى
38)الخيار
39)اليقطين
40)الباذنجان
41)الكوسة
42)الفلفل حلو
43)بصل
44)اللوبياء
45)البازلاء الخضراء
46)الفول الأخضر
47)الخضار غير الورقية الأخرى
48)الليمون
49)الجريب فروت
50)اليوسفي / الكليمنتين
51)الحمضيات الأخرى
52)الموز
53)موز الجنة
54)البابايا
55)المانجو
56)الجوافة
57)الأناناس
58)الأفوكادو
59)البطيخ الأحمر
60)التمر
61)التين
62)الزيتون
63)التفاح
64)المشمش
65)الكرز
66)الدراق / النكتارين
67)الفراولة
68)الشمام
69)الفواكه الأخرى
70)جوز الهند
71)الفول السوداني
72)الكاجو
73)جوز الكولا
74)السمسم
75)جوز البامبارا
76)اللوز
77)الجوز
78)المكسرات الأخرى
79)الكاكاو
80)الشاي
81)قصب السكر
82)دوار الشمس
83)المحاصيل الغذائية النقدية الأخرى 
84)القطن
85)المطاط
86)الجوت
87)العلف
88)التبغ
89) المحاصيل النقدية غير الغذائية الأخرى 
90)الرز
92) لا اعرف
93)رفض الإجابة</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</si>
  <si>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</si>
  <si>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1-90 = crp_salesdif
91-92 = ls_intro</t>
  </si>
  <si>
    <t>$CROP SOLD CODES$</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</si>
  <si>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</si>
  <si>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crp_salesdif</t>
  </si>
  <si>
    <t>Has your household faced any significant difficulty in the last 3 months selling your {crp_salesmain}?
[OPERATOR: SINGLE RESPONSE.]
1)YES
2)NO
3)DON'T KNOW
4)REFUSED</t>
  </si>
  <si>
    <t>هل واجهت أسرتك أي صعوبة خلال الأشهر الثلاثة الماضية في بيع {crp_salesmain}؟
[المشغل: استجابة واحدة.]
1) نعم
2) لا
3) لا أعرف
4) رفض الإجابة</t>
  </si>
  <si>
    <t>1 = crp_salesdif_2
2-4 = crp_salesprice</t>
  </si>
  <si>
    <t>if crp_salesdif = 1, go to crp_salesdif_2 ; 
if crp_salesdif = 2-4, go to crp_salesprice</t>
  </si>
  <si>
    <t>crp_salesdif_2</t>
  </si>
  <si>
    <t>crp_saledif_
1) crp_saledif_marketing_cost
2) crp_saledif_damage_losses
3) crp_saledif_low_demand
4) crp_saledif_pay_delay
5) crp_saledif_low_price
6) crp_saledif_processing
7) crp_saledif_competition
8) crp_saledif_other
9) crp_saledif_dk
10) crp_saledif_ref</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</si>
  <si>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</si>
  <si>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 xml:space="preserve">ما الصعوبات التي واجهتها أسرتك في الأشهر الثلاثة الماضية عند بيع {crp_salesmain}؟
[المشغل: عدة استجابات محتملة. حدد الخيار (الخيارات) الأنسب للمعلومات المقدمة من المجيب.]
1) ارتفاع تكاليف النقل أو تكاليف التسويق الأخرى
2) الاضرار و الخسائر نتيجة صعوبات التخزين و صعوبة الوصول الي السوق ( انعدام الامن / البنية التحتية الفقيرة و غيرها ) 
3) قلة الطلب من المشترين و التجار المعتادين
4) تأخر المدفوعات من التجار و المشترين
5) انخفاض أسعار البيع ( مقارنة باسعار المدخلات / التضخم علي سبيل المثال ) 
6) صعوبة معالجة المنتج (قلة مدخلات المعالجة ، المعدات و غيرها ) 
7) تشبع السوق بالمنتجات 
8) آخر
9) لا اعرف
10 ) رفض الإجابة </t>
  </si>
  <si>
    <t>1-10 = crp_salesprice</t>
  </si>
  <si>
    <t>1)crp_saledif_marketing_cost
2)crp_saledif_damage_losses
3)crp_saledif_low_demand
4)crp_saledif_pay_delay
5)crp_saledif_low_price
6)crp_saledif_processing
7)crp_saledif_competition
8)crp_saledif_other
9)crp_saledif_dk
10)crp_saledif_ref</t>
  </si>
  <si>
    <t>if crp_salesdif_2 = 1-10, go to crp_salesprice</t>
  </si>
  <si>
    <t>crp_salesprice</t>
  </si>
  <si>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</si>
  <si>
    <t>كيف تقارن السعر الحالي ل{crp_salesmain} لأسرتك بمتوسط ​​السعر في نفس الفترة من العام الماضي؟
[المشغل: استجابة واحدة. قم بالإصرار على المحصول الرئيسي المذكور.]
1) أكثر بكثير [زادت بنسبة تزيد عن 50٪]
2) أكثر قليلا
3) نفس الشيء
4) أقل قليلاً
5) أقل بكثير [أقل من نصف الكمية]
6) لا أعرف
7) رفض الإجابة</t>
  </si>
  <si>
    <t xml:space="preserve">1-7 = ls_intro </t>
  </si>
  <si>
    <t>if crp_salesprice = 1-7, go to ls_intro</t>
  </si>
  <si>
    <t>E. LIVESTOCK PRODUCTION</t>
  </si>
  <si>
    <t>ls_intro</t>
  </si>
  <si>
    <t>We will now ask you some questions about livestock production which apply to you and anyone in your household that is involved in livestock production or sales. 
1)CONTINUE</t>
  </si>
  <si>
    <t>سنطرح عليك الآن بعض الأسئلة حول إنتاج الماشية التي تنطبق عليك وعلى أي شخص في أسرتك يشارك في إنتاج الماشية أو بيعها.
1) تابع</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</si>
  <si>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</si>
  <si>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1 = ls_main</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</si>
  <si>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</si>
  <si>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ls_main</t>
  </si>
  <si>
    <t>What was the main animal raised by your household for food and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</si>
  <si>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ما هو الحيوان الرئيسي الذي قامت أسرتك بتربيته من أجل الغذاء وتوليد الدخل خلال الاثني عشر شهرًا الماضية؟
[المشغل: استجابة واحدة. اسأل عن الحيوان الأكثر أهمية فقط.] [ملحوظة: لا تنسَ التحقيق في مسألة التنقل الرعوي - نقل االماشية من أرض رعي إلى أخرى.]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آخر
10) لا أعرف
11) رفض الإجابة</t>
  </si>
  <si>
    <t>Form Type - Buttons
set demographic</t>
  </si>
  <si>
    <t>1-9 = ls_num_lastyr
10-11 = ls_proddif</t>
  </si>
  <si>
    <t>if ls_main = 1-9, go to ls_num_lastyr ; 
If ls_main = 10-11, go to ls_proddif</t>
  </si>
  <si>
    <t>ls_num_lastyr</t>
  </si>
  <si>
    <t>How many {ls_main] did you have at the same time last year?
[OPERATOR: RECORD THE NUMBER OF ANIMALS. ENTER 88888 FOR DON'T KNOW AND 99999 FOR REFUSED.]</t>
  </si>
  <si>
    <t>كم {ls_main] كان لديك في نفس الوقت من العام الماضي؟
[المُشغل: سجل عدد الحيوانات. أدخل 88888 للا أعرف و 99999 في حالة الرفض.]</t>
  </si>
  <si>
    <t>0-10000 = ls_num_now
88888-88888 = ls_num_now
99999-99999 = ls_num_now</t>
  </si>
  <si>
    <t>answers can range from 0-10000; any response goes to ls_num_now</t>
  </si>
  <si>
    <t>ls_num_now</t>
  </si>
  <si>
    <t>How many {ls_main} do you have now?
[OPERATOR: RECORD THE NUMBER OF ANIMALS. ENTER 88888 FOR DON'T KNOW AND 99999 FOR REFUSED.]</t>
  </si>
  <si>
    <t>كم {ls_main} لديك الآن؟
[المُشغل: سجل عدد الحيوانات. أدخل 88888 للا أعرف و 99999 في حالة الرفض.]</t>
  </si>
  <si>
    <t>0-10000 = ls_num_change
88888-88888 = ls_num_change
99999-99999 = ls_num_change</t>
  </si>
  <si>
    <t>answers can range from 0-10000; any response goes to ls_num_change</t>
  </si>
  <si>
    <t>ls_num_change</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</si>
  <si>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</si>
  <si>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</si>
  <si>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لماذا تغير عدد الماشية؟
[المُشغل: احتمال وجود عدة استجابات.]
1) لا تغيير ملحوظ في عدد الماشية
2) لم نتمكن البيع بنفس المقدار
3) زيادة عدد المواليد
4) شراء أو مقايضة المزيد من الحيوانات هذا العام
5) إستلام حيوانات مجانًا [إعادة تخزين / هدية]
6) وفاة الحيوانات نتيجة سوء التغذية / الجفاف / قلة الغذاء
7) وفاة الحيوانات نتيجة عوامل أخرى ( الامراض / الطفيليات / الإصابات علي سبيل المثال )
8) بيعت أكثر من المعتاد بسبب الأسعار الجيدة
9) تم البيع أكثر من المعتاد بسبب المبيعات الضائقة [عدم القدرة على إطعام الحيوانات / بحاجة ماسة إلى المال لتلبية الاحتياجات الأساسية للأسرة حتى لو كانت المبيعات غير مستدامة]
10) هروب الحيوانات أو فقدانها أو سرقتها
11) قتل أو توزيع حيوانات أكثر من المعتاد للاستهلاك المنزلي أو للاحتفالات [زواج / جنازات / إلخ]
12) آخر
13) لا أعرف
14) رفض الإجابة</t>
  </si>
  <si>
    <t>Form Type - Checklist
1,13,14 = IsNone</t>
  </si>
  <si>
    <t>1-14 = [ls_proddif OR optional question]</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</si>
  <si>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</si>
  <si>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If ls_num_change 1-14 = [ls_proddif OR optional question]</t>
  </si>
  <si>
    <t>1-14 = ls_feed</t>
  </si>
  <si>
    <t>ls_feed</t>
  </si>
  <si>
    <t>ls_feed
1) ls_feed_open_pasture
2) ls_feed_common_pasture
3) ls_feed_self_produced
4) ls_feed_purchased
5) ls_feed_free_dist
6) ls_feed_other
7) ls_feed_dk
8) ls_feed_ref</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</si>
  <si>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</si>
  <si>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من أين تحصل على الغذاء ل {ls_main} ؟
[المُشغل: احتمال وجود عدة استجابات.]
1) المرعى المفتوح
2) أراضي المراعي التي يديرها المجتمع
3) الحقول المملوكة أو المؤجرة أو الأعلاف المنتجة ذاتيا
4) شراء العلف من الأسواق
5) التوزيع المجاني
6) آخر
7) لا أعرف
8) رفض الإجابة</t>
  </si>
  <si>
    <t>Form Type - Checklist
7,8 = IsNone</t>
  </si>
  <si>
    <t>1-8 = ls_proddif</t>
  </si>
  <si>
    <t>1)ls_feed_open_pasture
2)ls_feed_common_pasture
3)ls_feed_self_produced
4)ls_feed_purchased
5)ls_feed_free_dist
6)ls_feed_other
7)ls_feed_dk
8)ls_feed_ref</t>
  </si>
  <si>
    <t>For any response, go to ls_proddif</t>
  </si>
  <si>
    <t>ls_proddif</t>
  </si>
  <si>
    <t>Has your household faced any significant difficulty with livestock production over the last 3 months?
[OPERATOR: SINGLE RESPONSE.]
1)YES 
2)NO
3)DON'T KNOW
4)REFUSED</t>
  </si>
  <si>
    <t>هل واجهت أسرتك أي صعوبة في إنتاج الماشية خلال الأشهر الثلاثة الماضية؟
[المشغل: استجابة واحدة.]
1) نعم
2) لا
3) لا أعرف
4) رفض الإجابة</t>
  </si>
  <si>
    <t>1=ls_proddif_2
2-4= [ls_salesmain OR optional question]</t>
  </si>
  <si>
    <t>if ls_proddif = 1, go to ls_proddif_2 ; 
if ls_proddif = 2-4, go to [ls_salesmain OR optional question]</t>
  </si>
  <si>
    <t>ls_proddif_2</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</si>
  <si>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</si>
  <si>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</si>
  <si>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ما الصعوبات التي واجهتها أسرتك في إنتاج الماشية في الأشهر الثلاثة الماضية؟
[المُشغل: عدة استجابات محتملة. حدد الخيار (الخيارات) الأنسب للمعلومات المقدمة من المجيب.]
1) صعوبة شراء العلف [الأسعار أو الوصول إلى السوق]
2) الوصول إلى المراعي
3) الحصول على الماء
4) الحصول على الخدمات البيطرية ( التطعيمات / العلاج / نصائح الرش و غيرها )
5) الوصول إلى المدخلات البيطرية [أدوية للحيوانات / أدوات لصحة الحيوان / إلخ]
6) أمراض الماشية أو الموت
7) سرقة المواشي
8) الوصول إلى سوق المواشي لشراء الحيوانات الصغيرة العمر
9) الحصول على الائتمان
10) الوصول إلى القوى العاملة
11) آخر
12) لا أعرف
13) رفض الإجابة</t>
  </si>
  <si>
    <t>Form Type - Checklist
12,13 = IsNone</t>
  </si>
  <si>
    <t>1-13 = [ls_salesmain OR optional question]</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</si>
  <si>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</si>
  <si>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if ls_proddif_2 = 1-13, go to ls_salesmain OR optional question</t>
  </si>
  <si>
    <t>ls_all</t>
  </si>
  <si>
    <t>ls_all_
1)ls_all_cattle
2)ls_all_goats
3)ls_all_sheep
4)ls_all_swine
5)ls_all_equine
6)ls_all_smallmammals
7)ls_all_poultry
8)ls_all_camelids
9)ls_all_other
10)ls_all_none
11)ls_all_dk
12)ls_all_ref</t>
  </si>
  <si>
    <t>Do you own any other livestock aside from {ls_main}, and if so which ones?
[OPERATOR: "No other livestock" APPEARS AT THE END OF THE LIST OF OPTIONS. SELECT ALL ANIMALS LISTED BY THE RESPONDENT.]
1)No other livestock
2)DON'T KNOW
3)REFUSED</t>
  </si>
  <si>
    <t>هل تملك أي ماشية أخرى غير {ls_main} ، وإذا كان الأمر كذلك فما هي؟
[المُشغل: "لا مواشي أخرى" موجودة في خيارات الإجابة الأخيرة. حدد كل الحيوانات المدرجة.]
1) لا مواشي أخرى
2) لا أعرف
3) رفض الإجابة</t>
  </si>
  <si>
    <t>Send if "ls_main" "Equals" "Cattle [cow / beef / veal / yak / buffalo]" Or "ls_main" "Equals" "Goat" Or "ls_main" "Equals" "Sheep" Or "ls_main" "Equals" "Swine [pig / boar / hog / etc]"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</si>
  <si>
    <t>Form Type - Checklist
Included unselected "ls_main"
1,2,3= IsNone</t>
  </si>
  <si>
    <t>Dynamic = ls_salesmain
1-3 = ls_salesmain</t>
  </si>
  <si>
    <t>1)ls_all_cattle
2)ls_all_goats
3)ls_all_sheep
4)ls_all_swine
5)ls_all_equine
6)ls_all_smallmammals
7)ls_all_poultry
8)ls_all_camelids
9)ls_all_other
10)ls_all_none
11)ls_all_dk
12)ls_all_ref</t>
  </si>
  <si>
    <t>The list of animals that were not selected at ls_main will appear here with programming. 
For any response to ls_all, go to ls_salesmain</t>
  </si>
  <si>
    <t>E. LIVESTOCK MARKETING</t>
  </si>
  <si>
    <t>ls_salesmain</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</si>
  <si>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</si>
  <si>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ما كان نوع الماشية الأساسي أو المنتج الحيواني الرئيسي الذي باعته أسرتك في الأشهر الثلاثة الماضية؟
[المشغل: استجابة واحدة. قم بالإصرار على المنتج الرئيسي.]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البيض
10) الحليب أو مشتقاته
11) الجلد أو الصوف
12) لا أعرف
13) رفض الإجابة</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</si>
  <si>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</si>
  <si>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Form Type - Buttons
IsDemographic</t>
  </si>
  <si>
    <t>1-11 = ls_salesdif
12-13 = fish_intro</t>
  </si>
  <si>
    <t>If either income_main or income_sec or income_third = "Production and sale of livestock and livestock products", then this section will be asked to respondents.
Otherwise, skip to fish_main.
if ls_salesmain = 1-11, go to ls_salesdif ; 
if ls_salesmain = 12-13, go to fish_intro</t>
  </si>
  <si>
    <t>ls_salesdif</t>
  </si>
  <si>
    <t>Has your household faced any significant difficulty in the last 3 months selling your {ls_salesmain}?
[OPERATOR: SINGLE RESPONSE.]
1)YES
2)NO
3)DON'T KNOW
4)REFUSED</t>
  </si>
  <si>
    <t>هل واجهت أسرتك أي صعوبة خلال الأشهر الثلاثة الماضية في بيع {ls_salesmain}؟
[المشغل: استجابة واحدة.]
1) نعم
2) لا
3) لا أعرف
4) رفض الإجابة</t>
  </si>
  <si>
    <t>1 = ls_salesdif_2
2-4 = ls_salesprice</t>
  </si>
  <si>
    <t>if ls_salesdif = 1, go to ls_salesdif_2 ; 
if ls_salesdif = 2-4, go to ls_salesprice</t>
  </si>
  <si>
    <t>ls_salesdif_2</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</si>
  <si>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</si>
  <si>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</si>
  <si>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ما الصعوبات التي واجهتها أسرتك خلال الأشهر الثلاثة الماضية في بيع {ls_salesmain}؟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أثناء النقل أو صعوبة الوصول إلى السوق
3) انخفاض الطلب من التجار و المشترين المعتادين
4) تأخر المدفوعات من التجار و المشترين 
5) أسعار بيع منخفضة [على سبيل المثال مقارنة بأسعار المدخلات / التضخم]
6) إغلاق المسالخ أو صعوبة الوصول إلى المسالخ
7) صعوبات في معالجة المنتج بخلاف إغلاق المسلخ [تعثر الوصول إلى مدخلات المعالجة / المعدات / إلخ]
8) تشبع السوق بالمنتجات
9) آخر
10) لا أعرف
11) رفض الإجابة</t>
  </si>
  <si>
    <t>Form Type - Checklist
10,11 = IsNone</t>
  </si>
  <si>
    <t>1-11 = ls_salesprice</t>
  </si>
  <si>
    <t>1)ls_salesdif_marketing_cost
2)ls_salesdif_damage_losses
3)ls_salesdif_low_demand
4)ls_salesdif_pay_delay
5)ls_salesdif_low_price
6)ls_salesdif_slaughterhouse
7)ls_salesdif_processing
8)ls_salesdif_competition
9)ls_salesdif_other
10)ls_salesdif_dk
11)ls_salesdif_ref</t>
  </si>
  <si>
    <t>if ls_salesdif_2 = 1-11, go to ls_salesprice</t>
  </si>
  <si>
    <t>ls_salesprice</t>
  </si>
  <si>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</si>
  <si>
    <t>كيف تقارن السعر الحالي ل {ls_salesmain}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</si>
  <si>
    <t>1-7 = fish_intro</t>
  </si>
  <si>
    <t>For options #1-7, go to fish_intro</t>
  </si>
  <si>
    <t>F. FISHERIES PRODUCTION</t>
  </si>
  <si>
    <t>fish_intro</t>
  </si>
  <si>
    <t>We will now ask you some questions about fishing and aquaculture production which apply to you and anyone in your household that is involved in the capture, culture, processing or sales of fish.
1)CONTINUE</t>
  </si>
  <si>
    <t>سنطرح عليك الآن بعض الأسئلة حول إنتاج الأسماك وتربية الأحياء المائية والتي تنطبق عليك وعلى أي شخص في أسرتك يشارك في صيد الأسماك / الأحياء المائية أو استزراعها أو تجهيزها أو بيعها.
1) تابع</t>
  </si>
  <si>
    <t>Send if "income_main_fish_check" "Equals" "YES" Or "income_sec_fish_check" "Equals" "YES Or "income_third_fish_check" "Equals" "YES", if not satisfied go to "fies"</t>
  </si>
  <si>
    <t>1 = fish_main</t>
  </si>
  <si>
    <t>If the respondent reported production and sales of fish in one of the three main income sources and confirmed that they are involved in production, then this section will be administered to respondents. Otherwise, skip to fies</t>
  </si>
  <si>
    <t>fish_main</t>
  </si>
  <si>
    <t>fish_main_
1) fish_main_coastal
2) fish_main_offshore_sea
3) fish_main_freshwater
4) fish_main_aquaculture
5) fish_main_dk
6) fish_main_ref</t>
  </si>
  <si>
    <t>What type of fishing activity does your household generally practice?
[OPERATOR: MULTIPLE RESPONSES POSSIBLE.]
1)Near coastal, delta, lagoon fishing
2)Offshore sea fishing
3)Freshwater fishing [in lakes, reservoirs, ponds, rivers, or wetlands]
4)Aquaculture
5)DON'T KNOW
6)REFUSED</t>
  </si>
  <si>
    <t>ما نوع نشاط الصيد الذي تمارسه أسرتك بشكل عام؟
[المُشغل: احتمال وجود عدة استجابات.]
1) الصيد الساحلي بالقرب من الساحل و الدلتا و البحيرات
2) الصيد البحري المفتوح
3) صيد الأسماك في المياه العذبة [على سبيل المثال البحيرات والبرك والأنهار]
4) تربية الأحياء المائية
5) لا أعرف
6) رفض الإجابة</t>
  </si>
  <si>
    <t>Form Type - Checklist
5,6 = IsNone</t>
  </si>
  <si>
    <t>1-6 = fish_change</t>
  </si>
  <si>
    <t>1)fish_main_coastal
2)fish_main_offshore_sea
3)fish_main_freshwater
4)fish_main_aquaculture
5)fish_main_dk
6)fish_main_ref</t>
  </si>
  <si>
    <t>if fish_main = 1-6, go to fish_change</t>
  </si>
  <si>
    <t>fish_change</t>
  </si>
  <si>
    <t>How does your fish catch [capture fishery] in the last 3 months [or last harvest] compare to the same period [harvest] last year?
[OPERATOR: SINGLE RESPONSE.]
1)A lot more [increased by more than 50%]
2)Slightly more
3)Same
4)Slightly less
5)A lot less [less than half as much]
6)DON'T KNOW
7)REFUSED</t>
  </si>
  <si>
    <t>كيف يتم صيد الأسماك [الصيد] في الأشهر الثلاثة الماضية [أو آخر حصاد] مقارنة بنفس الفترة [الحصاد] في العام الماضي؟
[المشغل: استجابة واحدة.]
1) أكثر بكثير [زادت بنسبة تزيد عن 50٪]
2) أكثر قليلا
3) نفس الشيء
4) أقل قليلاً
5) أقل بكثير [أقل من نصف الكمية]
6) لا أعرف
7) رفض الإجابة</t>
  </si>
  <si>
    <t>1-7 = fish_proddif</t>
  </si>
  <si>
    <t>if fish_change = 1-7, go to fish_proddif</t>
  </si>
  <si>
    <t>fish_proddif</t>
  </si>
  <si>
    <t>Has your household faced any significant difficulty with fish catch and/or harvest in the last 3 months?
[OPERATOR: SINGLE RESPONSE.]
1)YES
2)NO
3)DON'T KNOW
4)REFUSED</t>
  </si>
  <si>
    <t>هل واجهت أسرتك أي صعوبة في صيد الأسماك و / أو حصادها في الأشهر الثلاثة الماضية؟
[المشغل: استجابة واحدة.]
1) نعم
2) لا
3) لا أعرف
4) رفض الإجابة</t>
  </si>
  <si>
    <t>1=fish_proddif_2
2-4= [fish_salesmain OR optional question]</t>
  </si>
  <si>
    <t>if fish_proddif = 1, go to fish_proddif_2 ; 
if fish_proddif = 2-4, go to fish_salesmain OR optional question</t>
  </si>
  <si>
    <t>fish_proddif_2</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</si>
  <si>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</si>
  <si>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Which difficulties has your household faced with fish catch and/or harvest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</si>
  <si>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ما الصعوبات التي واجهتها أسرتك في صيد الأسماك و / أو حصادها في الأشهر الثلاثة الماضية؟
[المُشغل: عدة استجابات محتملة. حدد الخيار (الخيارات) الأنسب للمعلومات المقدمة من المجيب.]
1) يصعب العثور على الأسماك مقارنة بالسنوات السابقة في نفس الموسم
2) الآفات و الامراض السمكية ( تربية الاحياء السمكية)
3) الوصول الي الاسماك أو مناطق تربية الاحياء المائية ( بسبب الطقس أو مشاكل امنية علي سبيل المثال)
4)الوصول الي الوقود [أسعار أعلى او غير متوفرة]
5) الوصول إلى مواد الصيد و- أو غيرها من المدخلات [أسعار أعلى أو غير متوفرة]
6) الوصول إلى العمالة أو طاقم العمل [أسعار أعلى أو غير متوفرة]
7) إتلاف أو تدمير البنية التحتية [الأحواض والأقفاص والموانئ ومواقع الإنزال]
8) إتلاف أو تدمير القوارب و المعدات
9) آخر 
10) لا أعرف
11) رفض الإجابة</t>
  </si>
  <si>
    <t>1-11 = [fish_salesmain OR optional question]</t>
  </si>
  <si>
    <t>1)fish_proddif_find_fish
2)fish_proddif_pests
3)fish_proddif_access_area
4)fish_proddif_fuel
5)fish_proddif_input_access
6)fish_proddif_labour
7)fish_proddif_infrastructure
8)fish_proddif_damage_equip
9)fish_proddif_other
10)fish_proddif_dk
11)fish_proddif_ref</t>
  </si>
  <si>
    <t>If fish_proddif_2 = 1-11, go to fish_salesmain OR optional question</t>
  </si>
  <si>
    <t xml:space="preserve"> 5=  fish_inputdif
 1-4, 6-11 = fish_salesmain</t>
  </si>
  <si>
    <t>fish_inputdif</t>
  </si>
  <si>
    <t>fish_inputdif_
1) fish_inputdif_bait_feed
2)fish_inputdif_fingerling
3) fish_inputdif_gear
4) fish_inputdif_ice
5) fish_inputdif_fuel
6) fish_inputdif_repairs
7) fish_inputdif_labour
8) fish_inputdif_other 
9)fish_inputdif_dk
10) fish_inputdif_ref</t>
  </si>
  <si>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</si>
  <si>
    <t>ما هي مواد الصيد أو المدخلات التي واجهت أسرتك صعوبة في الوصول إليها خلال الأشهر الثلاثة الماضية؟
[المُشغل: احتمال وجود عدة استجابات.]
1) العلف أو الطعم
2) الاسماك اليافعة ( صغار الاسماك )
3)معدات الصيد [الشبك ، الخطاف ، القضبان علي سبيل المثال]
4) الجليد (الثلج)
5) الوقود
6) اصلاح المعدات بما فيها القوارب و قطع الغيار 
7) العمالة 
8) آخر [حدد]
9) لا أعرف
10) رفض الإجابة</t>
  </si>
  <si>
    <t>Send if "fish_proddif_2" "Contains" "Access to other fishing or culture inputs [prices higher or not available]" if not satisfied go to "fish_salesmain"</t>
  </si>
  <si>
    <t>Form Type - Checklist
9,10= IsNone</t>
  </si>
  <si>
    <t>1-10 = fish_salesmain</t>
  </si>
  <si>
    <t>1)fish_inputdif_bait_feed
2)fish_inputdif_fingerling
3)fish_inputdif_gear
4)fish_inputdif_ice
5)fish_inputdif_fuel
6)fish_inputdif_repairs
7)fish_inputdif_labour
8)fish_inputdif_other 
9)fish_inputdif_dk
10) fish_inputdif_ref</t>
  </si>
  <si>
    <t>Asked only to respondents that answered fish_proddif_2 = 4.
if fish_inputdif = 1-10, go to fish_salesmain</t>
  </si>
  <si>
    <t>F. FISHERIES MARKETING</t>
  </si>
  <si>
    <t>fish_salesmain</t>
  </si>
  <si>
    <t>What was the main fish product sold by your household in the last 3 months?
[OPERATOR: SINGLE RESPONSE.]
1)Fresh fish [any kind, including invertebrates]
2)Preserved fish [including dry fish, smoked fish, fermented fish, salt fish]
3)Frozen fish
4)Canned fish
5)Other [specify]
6)DON'T KNOW
7)REFUSED</t>
  </si>
  <si>
    <t>ما هو المنتج السمكي الرئيسي الذي باعته أسرتك في الأشهر الثلاثة الماضية؟
[المشغل: استجابة واحدة.]
1) السمك الطازج [أي نوع بما في ذلك اللافقاريات]
2) الاسماك المحفوظة [بما في ذلك الاسماك الجافة / الاسماك المدخنة / الاسماك المملحة]
3) الاسماك المجمدة
4) الاسماك المعلبة
5) آخر [حدد]
6) لا أعرف
7) رفض الإجابة</t>
  </si>
  <si>
    <t>1-5 = fish_salesdif
6-7 = fies</t>
  </si>
  <si>
    <t>if fish_salesmain = 1-5, go to fish_salesdif
if fish_salesmain = 6-7, go to fies</t>
  </si>
  <si>
    <t>fish_salesdif</t>
  </si>
  <si>
    <t>Has your household faced any significant difficulty marketing / selling your {fish_salesmain} in the last 3 months?
[OPERATOR: SINGLE RESPONSE]
1)YES
2)NO
3)DON'T KNOW
4)REFUSED</t>
  </si>
  <si>
    <t>هل واجهت أسرتك أي صعوبة خلال الأشهر الثلاثة الماضية في بيع  و تسويق  {fish_salesmain}؟
[المشغل: استجابة واحدة]
1) نعم
2) لا
3) لا أعرف
4) رفض الإجابة</t>
  </si>
  <si>
    <t>1 = fish_salesdif_2
2-4 = fish_salesprice</t>
  </si>
  <si>
    <t>if fish_salesdif = 1, go to fish_salesdif_2 ;
if fish_salesdif = 2-4, go to fish_salesprice</t>
  </si>
  <si>
    <t>fish_salesdif_2</t>
  </si>
  <si>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</si>
  <si>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</si>
  <si>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ما الصعوبات التي واجهتها أسرتك في الأشهر الثلاثة الماضية في بيع {fish_salesmain}؟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الناتجة عن صعوبات في التخزين أو التأخير أو عدم القدرة على الوصول  إلى الأسواق
3) قلة الطلب من التجار أو المشترين المعتادين
4) تأخر المدفوعات من التجار و المشترين 
5) أسعار بيع منخفضة [على سبيل المثال مقارنة بأسعار المدخلات / التضخم]
6) صعوبات في معالجة المنتج [تعثر الوصول إلى مدخلات المعالجة / المعدات / إلخ]
7)تشبع السوق بالمنتجات
8) آخر 
9) لا أعرف
10) رفض الإجابة</t>
  </si>
  <si>
    <t>1-10 = fish_salesprice</t>
  </si>
  <si>
    <t>1)fish_saledif_marketing_cost
2)fish_saledif_damage_losses
3)fish_saledif_low_demand
4)fish_saledif_pay_delay
5)fish_saledif_low_prices
6)fish_saledif_processing
7)fish_saledif_competition
8)fish_saledif_other
9)fish_saledif_dk
10)fish_saledif_ref</t>
  </si>
  <si>
    <t>if fish_salesdif = 1-10, go to fish_salesprice</t>
  </si>
  <si>
    <t>fish_salesprice</t>
  </si>
  <si>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</si>
  <si>
    <t>كيف تقارن السعر الحالي لبيع  {fish_salesmain}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</si>
  <si>
    <t>1-7 = fies</t>
  </si>
  <si>
    <t>if fish_salesprice = 1-7, go to fies</t>
  </si>
  <si>
    <t>G. FOOD SECURITY AND CONSUMPTION</t>
  </si>
  <si>
    <t>fies_intro</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</si>
  <si>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</si>
  <si>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 تشير المجموعة الأولى من الأسئلة إلى التجارب التي واجهتها أنت أو أي فرد من أفراد أسرتك خلال الثلاثين يومًا الماضية.
[المشغل: استجابة واحدة]
1) التالي</t>
  </si>
  <si>
    <t>1 = fies_worried</t>
  </si>
  <si>
    <t>if fies = 1, go to fies_worried</t>
  </si>
  <si>
    <t>Check if the ESS team has an official translation.</t>
  </si>
  <si>
    <t>fies_worried</t>
  </si>
  <si>
    <t>During the last 30 days, was there a time when you or others in your household were worried about not having enough food to eat because of lack of money or other resources?
[OPERATOR: SINGLE RESPONSE]
1)YES
2)NO
3)DON'T KNOW
4)REFUSED</t>
  </si>
  <si>
    <t>خلال الثلاثين يومًا الماضية ، هل حدث أن كنت أنت أو الآخرين في اسرتك قلقين بأنه لن يتوفر لكم الطعام الكافي لتأكلوا بسبب نقص النقود أو المصادر الأخرى؟
[المشغل: استجابة واحدة]
1) نعم
2) لا
3) لا أعرف
4) رفض الإجابة</t>
  </si>
  <si>
    <t>1-4 = fies_healthy</t>
  </si>
  <si>
    <t>if fies_worried = 1-4, go to fies_healthy</t>
  </si>
  <si>
    <t>fies_healthy</t>
  </si>
  <si>
    <t>During the last 30 days, was there a time when you or others in your household were unable to eat healthy and nutritious food because of lack of money or other resources?
[OPERATOR: SINGLE RESPONSE]
1)YES
2)NO
3)DON'T KNOW
4)REFUSED</t>
  </si>
  <si>
    <t>خلال الثلاثين يومًا الماضية ، هل حدث أن لم يكن باستطاعتك أنت أو الآخرين في اسرتك أكل طعام صحي ومغذي بسبب نقص النقود أو المصادر الأخرى؟
[المشغل: استجابة واحدة]
1) نعم
2) لا
3) لا أعرف
4) رفض الإجابة</t>
  </si>
  <si>
    <t>1-4 = fies_fewfoods</t>
  </si>
  <si>
    <t>if fies_healthy = 1-4, go to fies_fewfoods</t>
  </si>
  <si>
    <t>fies_fewfoods</t>
  </si>
  <si>
    <t>During the last 30 days, was there a time when you or others in your household ate only a few kinds of foods because of lack of money or other resources?
[OPERATOR: SINGLE RESPONSE]
1)YES
2)NO
3)DON'T KNOW
4)REFUSED</t>
  </si>
  <si>
    <t>خلال الثلاثين يومًا الماضية ، هل حدث أن أنت أو الآخرين في اسرتك أكلتم أنواعاً قليلةً من الأطعمة بسبب نقص النقود أو المصادر الأخرى ؟ 
[المشغل: استجابة واحدة]
1) نعم
2) لا
3) لا أعرف
4) رفض الإجابة</t>
  </si>
  <si>
    <t>1-4 = fies_skipped</t>
  </si>
  <si>
    <t>if fies_fewfoods = 1-4, go to fies_skipped</t>
  </si>
  <si>
    <t>fies_skipped</t>
  </si>
  <si>
    <t>During the last 30 days, was there a time when you or others in your household had to skip a meal because of lack of money or other resources to get food?
[OPERATOR: SINGLE RESPONSE]
1)YES
2)NO
3)DON'T KNOW
4)REFUSED</t>
  </si>
  <si>
    <t>خلال الثلاثين يومًا الماضية ، هل كان عليك أنت أو الآخرين في اسرتك أن تتخلوا عن وجبة طعام بسبب نقص النقود أو المصادر الأخرى للحصول على الطعام ؟
[المشغل: استجابة واحدة]
1) نعم
2) لا
3) لا أعرف
4) رفض الإجابة</t>
  </si>
  <si>
    <t>1-4 = fies_ateless</t>
  </si>
  <si>
    <t>if fies_skipped = 1-4, go to fies_ateless</t>
  </si>
  <si>
    <t>fies_ateless</t>
  </si>
  <si>
    <t>During the last 30 days, was there a time when you or others in your household ate less than you thought you should because of lack of money or other resources?
[OPERATOR: SINGLE RESPONSE]
1)YES
2)NO
3)DON'T KNOW
4)REFUSED</t>
  </si>
  <si>
    <t>خلال الثلاثين يومًا الماضية ، هل حدث أن أكلت أنت أو الآخرين في اسرتك أقل مما اعتقدت أنكم يجب أن تأكلوا بسبب نقص النقود أو المصادر الأخرى؟ 
[المشغل: استجابة واحدة]
1) نعم
2) لا
3) لا أعرف
4) رفض الإجابة</t>
  </si>
  <si>
    <t>1-4 = fies_ranout</t>
  </si>
  <si>
    <t>if fies_ateless = 1-4, go to fies_ranout</t>
  </si>
  <si>
    <t>fies_ranout</t>
  </si>
  <si>
    <t>In the past 30 days, was there ever no food to eat of any kind in your house because of lack of resources to get food?
[OPERATOR: SINGLE RESPONSE]
1)YES
2)NO
3)DON'T KNOW
4)REFUSED</t>
  </si>
  <si>
    <t>خلال الثلاثين يومًا الماضية ، هل حدث أن لم يكن هنالك أي طعام لتأكله من أي نوع في منزلك  (نفد الطعام في منزلك) بسبب نقص الموارد للحصول على الطعام؟ 
[المشغل: استجابة واحدة]
1) نعم
2) لا
3) لا أعرف
4) رفض الإجابة</t>
  </si>
  <si>
    <t>1=fies_ranout_hhs
2-4 = fies_hungry</t>
  </si>
  <si>
    <t>if fies_ranout = 1, go to fies_ranout_hhs. Otherwise, go to fies_hungry</t>
  </si>
  <si>
    <t>fies_ranout_hhs</t>
  </si>
  <si>
    <t>How often did this happen?
[OPERATOR: SINGLE RESPONSE]
1)Rarely [1-2 times in the past 30 days]
2)Sometimes [3-10 times in the past 30 days]
3)Often [more than 10 times in the last 30 days]
4)DON'T KNOW
5)REFUSED</t>
  </si>
  <si>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</si>
  <si>
    <t xml:space="preserve">1-5 = fies_hungry </t>
  </si>
  <si>
    <t>if fies_ranout_hhs = 1-5, go to fies_hungry</t>
  </si>
  <si>
    <t>fies_hungry</t>
  </si>
  <si>
    <t>In the past 30 days, did you or any household member ever go to sleep at night hungry because there was not enough food?
[OPERATOR: SINGLE RESPONSE]
1)YES
2)NO
3)DON'T KNOW
4)REFUSED</t>
  </si>
  <si>
    <t>خلال الثلاثين يومًا الماضية ، هل سبق لك أو لأي فرد من أفراد أسرتك أن تنام ليلاً وأنت جائعاً بسبب عدم وجود ما يكفي من الطعام؟ 
[المشغل: استجابة واحدة]
1) نعم
2) لا
3) لا أعرف
4) رفض الإجابة</t>
  </si>
  <si>
    <t>1=fies_hungry_hhs
2-4 = fies_whlday</t>
  </si>
  <si>
    <t>if fies_hungry = 1, go to fies_hungry_hhs. Otherwise, go to fies_whlday</t>
  </si>
  <si>
    <t>fies_hungry_hhs</t>
  </si>
  <si>
    <t>1-5 = fies_whlday</t>
  </si>
  <si>
    <t>if fies_hungry_hhs = 1-5, go to fies_whlday</t>
  </si>
  <si>
    <t>fies_whlday</t>
  </si>
  <si>
    <t>In the past 30 days, did you or any household member ever go a whole day and night without eating anything at all because there was not enough food?
[OPERATOR: SINGLE RESPONSE]
1)YES
2)NO
3)DON'T KNOW
4)REFUSED</t>
  </si>
  <si>
    <t>خلال الثلاثين يومًا الماضية ، هل بقيت أنت أو أي فرد من أفراد أسرتك يومًا كاملاً ليلاً ونهارًا دون تناول أي شيء على الإطلاق بسبب عدم وجود ما يكفي من الطعام؟ 
[المشغل: استجابة واحدة]
1) نعم
2) لا
3) لا أعرف
4) رفض الإجابة</t>
  </si>
  <si>
    <t>1=fies_whlday_hhs
2-4 = [lcsi_intro OR hdds]</t>
  </si>
  <si>
    <t>if fies_whlday = 1, go to fies_whlday_hhs. Otherwise, go to lcsi_intro OR hdds</t>
  </si>
  <si>
    <t>2-4 = lcsi_intro</t>
  </si>
  <si>
    <t>fies_whlday_hhs</t>
  </si>
  <si>
    <t>1-5 = [lcsi_intro OR hdds]</t>
  </si>
  <si>
    <t>if fies_whlday_hhs = 1-5, go to lcsi_intro OR hdds</t>
  </si>
  <si>
    <t>1-5 = lcsi_intro</t>
  </si>
  <si>
    <t>lcsi_intro</t>
  </si>
  <si>
    <t>Now I would like to ask you another set of questions on coping strategies, referring to the past 30 days.
[OPERATOR: SINGLE RESPONSE]
1)NEXT</t>
  </si>
  <si>
    <t>الآن أود أن أسألك عن المجموعة الثانية من الأسئلة حول استراتيجيات المواجهة ، بالإشارة إلى الثلاثين يومًا الماضية.
[المشغل: استجابة واحدة]
1) التالي</t>
  </si>
  <si>
    <t>1 = cs_stress_hh_assets</t>
  </si>
  <si>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</si>
  <si>
    <t>cs_stress_hh_assets</t>
  </si>
  <si>
    <t xml:space="preserve"> cs_stress_hh_assets</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</si>
  <si>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</si>
  <si>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شخص في أسرتك لبيع أصول / سلع منزلية (راديو ، أثاث ، تلفزيون ، مجوهرات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</si>
  <si>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cs_stress_spent_savings</t>
  </si>
  <si>
    <t>cs_stress_spent_savings</t>
  </si>
  <si>
    <t xml:space="preserve"> cs_stress_spent_savings</t>
  </si>
  <si>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</si>
  <si>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إنفاق مدخرات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</si>
  <si>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cs_stress_credit</t>
  </si>
  <si>
    <t>cs_stress_sold_more_animals</t>
  </si>
  <si>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</si>
  <si>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لبيع حيوانات (غير تناسلية) أكثر من المعتاد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</si>
  <si>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[next question]</t>
  </si>
  <si>
    <t>cs_stress_eat_elsewhere</t>
  </si>
  <si>
    <t>Over the past 30 days, did anyone in your household have to send household members to eat elsewhere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</si>
  <si>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إرسال أفراد الأسرة لتناول الطعام في مكان آخر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</si>
  <si>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cs_stress_borrowed_or_helped</t>
  </si>
  <si>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</si>
  <si>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اقتراض الطعام أو الاعتماد على مساعدة الأصدقاء أو الأقارب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</si>
  <si>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cs_stress_credit</t>
  </si>
  <si>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</si>
  <si>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شراء الطعام عن طريق الائتمان أو اقتراض الطعام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</si>
  <si>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cs_stress_borrowed_money</t>
  </si>
  <si>
    <t>cs_stress_borrowed_money</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</si>
  <si>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</si>
  <si>
    <t>خلال الثلاثين يومًا الماضية ، هل اضطر أي فرد في أسرتك إلى اقتراض المال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</si>
  <si>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cs_crisis_no_school</t>
  </si>
  <si>
    <t>cs_stress_changed_school</t>
  </si>
  <si>
    <t>Over the past 30 days, did anyone in your household have to move children to less expensive schools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</si>
  <si>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نقل أطفاله إلى مدرسة أقل تكلفة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</si>
  <si>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cs_crisis_sold_prod_assets</t>
  </si>
  <si>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</si>
  <si>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شخص في أسرتك إلى بيع أصول منتجة أو وسائل نقل (ماكينة خياطة ، عربة يد ، دراجة ، سيارة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</si>
  <si>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cs_crisis_no_school</t>
  </si>
  <si>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</si>
  <si>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سحب أطفاله من المدرسة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</si>
  <si>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cs_crisis_reduced_health_exp</t>
  </si>
  <si>
    <t>cs_crisis_reduced_health_exp</t>
  </si>
  <si>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</si>
  <si>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تقليل النفقات على الصحة (بما في ذلك الأدوية)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</si>
  <si>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cs_crisis_decrease_input_exp</t>
  </si>
  <si>
    <t>cs_crisis_harv_immature_crops</t>
  </si>
  <si>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</si>
  <si>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حصاد المحاصيل غير الناضجة (مثل الذرة الخضراء) لتناولها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</si>
  <si>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cs_crisis_consume_seed_stock</t>
  </si>
  <si>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</si>
  <si>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استهلك أي شخص في أسرتك مخزون البذور الذي كان من المقرر الاحتفاظ به / حفظه لموسم الزراعة التالي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</si>
  <si>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cs_crisis_decrease_input_exp</t>
  </si>
  <si>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</si>
  <si>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شخص في أسرتك إلى تقليل الإنفاق على الأسمدة ومبيدات الآفات والأعلاف والأعلاف الحيوانية والرعاية البيطرية وما إلى ذلك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</si>
  <si>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cs_emergency_sold_house</t>
  </si>
  <si>
    <t>cs_emergency_sold_house</t>
  </si>
  <si>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</si>
  <si>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بيع منزل أو أرض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</si>
  <si>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cs_emergency_begged</t>
  </si>
  <si>
    <t>cs_emergency_begged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</si>
  <si>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</si>
  <si>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إلى التسول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</si>
  <si>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cs_emergency_sold_last_female</t>
  </si>
  <si>
    <t>cs_emergency_illegal</t>
  </si>
  <si>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</si>
  <si>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للانخراط في أنشطة دخل غير قانونية أو مهينة (السرقة ، الدعارة)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</si>
  <si>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cs_emergency_sold_last_female</t>
  </si>
  <si>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</si>
  <si>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 أي فرد في أسرتك لبيع آخر إناث الحيوانات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</si>
  <si>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1-6 = hdds</t>
  </si>
  <si>
    <t>cs_emergency_hh_migration</t>
  </si>
  <si>
    <t>Over the past 30 days,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</si>
  <si>
    <t>خلال الثلاثين يومًا الماضية ، هل اضطرت أسرتك بأكملها إلى الهجرة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</si>
  <si>
    <t>hdds</t>
  </si>
  <si>
    <t>hdds
1) hdds_cereals
2) hdds_rootstubers
3) hdds_vegetables
4) hdds_fruits
5) hdds_meat
6) hdds_eggs
7) hdds_fish
8) hdds_legumes
9) hdds_milkdairy
10) hdds_oils
11)hdds_sugar
12) hdds_condiments</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</si>
  <si>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</si>
  <si>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الآن أود أن أسألك عن المجموعة الثالثة من الأسئلة حول استهلاك الغذاء ، بالإشارة إلى 24 ساعة أمس.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
[المُشغل: حدد كل المجموعات الغذائية المستهلكة خلال الـ 24 ساعة الماضية كإجابة للمُجيب. ردود متعددة ممكنة.]
1) الحبوب [الذرة الرفيعة / الدخن / الذرة / القمح / الأرز / السباغيتي / الخبز أو أدخل أي حبوب أخرى متوفرة محليًا]
2) الجذور والدرنات [البطاطا الحلوة البيضاء / البطاطا / اليام / الكسافا أو درنات أخرى]
3) الخضار [الكل]
4) الفواكه [الكل]
5) اللحوم / الدواجن ومخلفاتها [لحم البقر / لحم الخنزير / لحم الغنم / لحم الماعز / الأرانب / الطرائد البرية / الدجاج / البط / الكبد / الكلى / القلب / أو غيرها من لحوم الأعضاء]
6) البيض
7) الأسماك أو المحار [الأسماك الطازجة أو المجففة/ المحار]
8) البقوليات والمكسرات [الفول / الفاصوليا / البازلاء / الفول السوداني / العدس / اللوز / المكسرات الأخرى]
9) الحليب ومنتجات الألبان الأخرى [حليب طازج / لبن رائب / زبادي / جبن / منتجات ألبان أخرى]
10) الزيوت والدهون [ الزبدة / المارجرين / الدهون / الزيت / الزيوت الأخرى]
11) السكر أو المنتجات السكرية [عسل / مربى / دوناتس / حلوى / شوكولاتة / بسكويت / حلو / كيك ومنتجات حلوة أخرى]
12) التوابل [الكاكاو / الملح / الثوم / البهارات / الخميرة / مسحوق الخبز (بكنج باودر) / الطماطم أو صلصة الطماطم / اللحوم أو الأسماك كتوابل] والقهوة / الشاي</t>
  </si>
  <si>
    <t>Form Type - Checklist</t>
  </si>
  <si>
    <t>1-12 = hdds_confirmation</t>
  </si>
  <si>
    <t>1)hdds_cereals
2)hdds_rootstubers
3)hdds_vegetables
4)hdds_fruits
5)hdds_meat
6)hdds_eggs
7)hdds_fish
8)hdds_legumes
9)hdds_milkdairy
10)hdds_oils
11)hdds_sugar
12)hdds_condiments</t>
  </si>
  <si>
    <t>if hdds = 1-12, go to hdds_confirmation</t>
  </si>
  <si>
    <t>hdds_confirmation</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</si>
  <si>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</si>
  <si>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
إذا قمت بالتحقق مسبقًا ، فيرجى النقر على "تابع". بخلاف ذلك ، يرجى الرجوع والتأكد من تحديد جميع المجموعات الغذائية المستهلكة في 24 ساعة من اليوم.
1) تابع</t>
  </si>
  <si>
    <t>1 = need or next question</t>
  </si>
  <si>
    <t>if hdds_confirmation = 1, go to need or optional question</t>
  </si>
  <si>
    <t>1= fcs_intro</t>
  </si>
  <si>
    <t>fcs_intro</t>
  </si>
  <si>
    <t xml:space="preserve">Now I would like to ask you about the foods and drinks your household ate or drank in the last 7 days during the day and at night [breakfast, lunch, dinner, snacks]. 
1)CONTINUE
</t>
  </si>
  <si>
    <t>الآن أود أن أسألك عن الأطعمة والمشروبات التي أكلتها أو شربتها أسرتك في آخر 7 أيام خلال النهار والليل [الإفطار ، والغداء ، والعشاء ، والوجبات الخفيفة]
1) تابع</t>
  </si>
  <si>
    <t>1 = fcs_staple_days</t>
  </si>
  <si>
    <t>if fcs_intro = 1, go to fcs_staple_days</t>
  </si>
  <si>
    <t>fcs_staple_days</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</si>
  <si>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</si>
  <si>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كم يومًا خلال السبعة أيام الماضية ، تناول أفراد أسرتك النشويات والجذور والدرنات مثل الأرز والذرة والمعكرونة والخبز والذرة الرفيعة والدخن والبطاطا والكسافا والبطاطا الحلوة البيضاء؟
[المُشغل: سجل عدد الأيام من صفر إلى 7]
[ملحوظة: إذا تم تناول هذه الأطعمة بكميات صغيرة فقط ، فلا تقم بتضمينها.]</t>
  </si>
  <si>
    <t>0-7 = fcs_pulses_days</t>
  </si>
  <si>
    <t>For any response, go to fcs_pulses_days</t>
  </si>
  <si>
    <t>fcs_pulses_days</t>
  </si>
  <si>
    <t>How many days over the last 7 days, did members of your household eat pulses and nuts such as beans, lentils, cowpeas, soybean, pigeon peas and peanuts or other nuts?
[OPERATOR: RECORD NUMBER OF DAYS 0 - 7]
[HINT: IF CONSUMED ONLY IN SMALL QUANTITY, DO NOT INCLUDE.]</t>
  </si>
  <si>
    <t>كم يومًا خلال السبعة أيام الماضية ، تناول أفراد أسرتك البقول والمكسرات مثل الفاصوليا والعدس واللوبيا وفول الصويا والفول والفول السوداني أو غيرها من المكسرات؟
[المُشغل: سجل عدد الأيام من صفر إلى 7]
[ملحوظة: إذا تم تناول هذه الأطعمة بكميات صغيرة فقط ، فلا تقم بتضمينها.]</t>
  </si>
  <si>
    <t>0-7 = fcs_vegetables_days</t>
  </si>
  <si>
    <t>For any response, go to fcs_vegetables_days</t>
  </si>
  <si>
    <t>fcs_vegetables_days</t>
  </si>
  <si>
    <t>How many days over the last 7 days, did members of your household eat vegetables or leaves such as tomatoes, okra, zucchini, cauliflower, cucumber, onions and/or other leaves/vegetables?
[OPERATOR: RECORD NUMBER OF DAYS 0 - 7] 
[HINT: IF CONSUMED ONLY IN SMALL QUANTITY, DO NOT INCLUDE.]</t>
  </si>
  <si>
    <t>كم يومًا خلال السبعة أيام الماضية ، أكل أفراد أسرتك خضروات أو خضار ورقية مثل  طماطم ، بامية ، كوسة ، قرنييط (زهرة) ، خيار ، بصل و / أو خضار ورقية / خضروات أخرى؟
[المُشغل: سجل عدد الأيام من صفر إلى 7]
[ملحوظة: إذا تم تناول هذه الأطعمة بكميات صغيرة فقط ، فلا تقم بتضمينها.]</t>
  </si>
  <si>
    <t>0-7 = fcs_fruit_days</t>
  </si>
  <si>
    <t>For any response, go to fcs_fruit_days</t>
  </si>
  <si>
    <t>fcs_fruit_days</t>
  </si>
  <si>
    <t>How many days over the last 7 days, did members of your household eat fruit such as apple, orange, banana, grapes, mango, papaya, fig, muskmelon, red watermelon, dates and/or other fruits?
[OPERATOR: RECORD NUMBER OF DAYS 0 - 7]
[HINT: IF CONSUMED ONLY IN SMALL QUANTITY, DO NOT INCLUDE.]</t>
  </si>
  <si>
    <t>كم يومًا خلال السبعة أيام الماضية ، تناول أفراد أسرتك فواكه مثل التفاح / البرتقال ، الموز ، العنب ، المانجو ، البابايا ، التين ، الشمام ، البطيخ الاحمر ، البلح و / أو غيرها من الفواكه؟
[المُشغل: سجل عدد الأيام من صفر إلى 7]
[ملحوظة: إذا تم تناول هذه الأطعمة بكميات صغيرة فقط ، فلا تقم بتضمينها.]</t>
  </si>
  <si>
    <t>0-7 = fcs_meat_fish_days</t>
  </si>
  <si>
    <t>For any response, go to fcs_meat_fish_days</t>
  </si>
  <si>
    <t>fcs_meat_fish_days</t>
  </si>
  <si>
    <t>How many days over the last 7 days, did members of your household eat meat, eggs or fish [any type of meat or fish including insects, birds, bush meat, seafood, or organs]?
[OPERATOR: RECORD NUMBER OF DAYS 0 - 7]
[HINT: IF CONSUMED ONLY IN SMALL QUANTITY, DO NOT INCLUDE.]</t>
  </si>
  <si>
    <t>كم يومًا خلال السبعة أيام الماضية ، تناول أفراد أسرتك اللحوم أو البيض أو الأسماك [أي نوع من اللحوم أو الأسماك بما في ذلك الحشرات أو الطيور أو لحوم الحيوانات البرية أو المأكولات البحرية أو لحوم الأعضاء] ؟
[المُشغل: سجل عدد الأيام من صفر إلى 7]
[ملحوظة: إذا تم تناول هذه الأطعمة بكميات صغيرة فقط ، فلا تقم بتضمينها.]</t>
  </si>
  <si>
    <t>0-7 = fcs_dairy_days</t>
  </si>
  <si>
    <t>For any response, go to fcs_dairy_days</t>
  </si>
  <si>
    <t>fcs_dairy_days</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</si>
  <si>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</si>
  <si>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كم يومًا خلال السبعة أيام الماضية ، استهلك أفراد أسرتك الحليب الطازج أو اللبن الرائب أو الزبادي أو الجبن أو منتجات الألبان الأخرى؟ [باستثناء المارجرين / الزبدة أو كميات صغيرة من الحليب للشاي / القهوة]
[المُشغل: سجل عدد الأيام من صفر إلى 7]
[ملحوظة: إذا تم تناول هذه الأطعمة بكميات صغيرة فقط ، فلا تقم بتضمينها.]</t>
  </si>
  <si>
    <t>0-7 = fcs_sugar_days</t>
  </si>
  <si>
    <t>For any response, go to fcs_sugar_days</t>
  </si>
  <si>
    <t>fcs_sugar_days</t>
  </si>
  <si>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</si>
  <si>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t>كم يومًا خلال السبعة أيام الماضية ، استهلك أفراد أسرتك السكر أو الحلوى مثل السكر والعسل والمربى والكيك والحلو والبسكويت والحلويات الأخرى والمشروبات السكرية؟
[المُشغل: سجل عدد الأيام من صفر إلى 7]
[ملحوظة: إذا تم تناول هذه الأطعمة بكميات صغيرة فقط ، فلا تقم بتضمينها.]</t>
  </si>
  <si>
    <t>0-7 = fcs_oil_days</t>
  </si>
  <si>
    <t>For any response, go to fcs_oil_days</t>
  </si>
  <si>
    <t>fcs_oil_days</t>
  </si>
  <si>
    <t>How many days over the last 7 days, did members of your household eat oil/fat/butter such as vegetable oil, palm oil, groundnut oil, margarine, other fats / oil?
[OPERATOR: RECORD NUMBER OF DAYS 0 - 7]
[HINT: IF CONSUMED ONLY IN SMALL QUANTITY, DO NOT INCLUDE.]</t>
  </si>
  <si>
    <t>كم يومًا خلال السبعة أيام الماضية ، تناول أفراد أسرتك الزيت / الدهون / الزبدة مثل الزيت النباتي وزيت النخيل وزيت الفول السوداني والسمن النباتي والدهون / الزيوت الأخرى؟
[المُشغل: سجل عدد الأيام من صفر إلى 7]
[ملحوظة: إذا تم تناول هذه الأطعمة بكميات صغيرة فقط ، فلا تقم بتضمينها.]</t>
  </si>
  <si>
    <t>0-7 = fcs_condiments_days</t>
  </si>
  <si>
    <t>For any response, go to fcs_condiments_days</t>
  </si>
  <si>
    <t>fcs_condiments_days</t>
  </si>
  <si>
    <t>How many days over the last 7 days, did members of your household eat spices or condiments such as tea, coffee, cocoa, salt, garlic, spices, yeast, meat fish as a condiment or small amounts of milk for tea or coffee?
[OPERATOR: RECORD NUMBER OF DAYS 0 - 7]</t>
  </si>
  <si>
    <t>كم يومًا خلال السبعة أيام الماضية ، تناول أفراد أسرتك البهارات أو التوابل مثل الشاي أو القهوة أو الكاكاو أو الملح أو الثوم أو البهارات أو الخميرة أو اللحوم والأسماك كتوابل أو كميات صغيرة من الحليب للشاي أو القهوة؟
[المُشغل: سجل عدد الأيام من صفر إلى 7]
[ملحوظة: إذا تم تناول هذه الأطعمة بكميات صغيرة فقط ، فلا تقم بتضمينها.]</t>
  </si>
  <si>
    <t>0-7 = rcsi_intro</t>
  </si>
  <si>
    <t>For any response, go to rcsi_intro</t>
  </si>
  <si>
    <t>rcsi_intro</t>
  </si>
  <si>
    <t>Now I will ask you about the number of days, in the last 7 days, during which the household has done some of the actions that I will mention to cope with the lack of food or money to buy food.
1)CONTINUE</t>
  </si>
  <si>
    <t>الآن سوف أسألك عن عدد الأيام ، في الأيام السبعة الماضية ، والتي قامت خلالها الأسرة ببعض الإجراءات التي سأذكرها للتغلب على نقص الطعام أو المال لشراء الطعام.
1) تابع</t>
  </si>
  <si>
    <t>1 = rcsi_less_preferred_foods</t>
  </si>
  <si>
    <t>For any response, go to rcsi_less_preferred_foods</t>
  </si>
  <si>
    <t>rcsi_less_preferred_foods</t>
  </si>
  <si>
    <t>In the past 7 days, how many days did your household rely on less preferred or less expensive food due to lack of food/money?  
[OPERATOR: RECORD NUMBER OF DAYS 0 - 7 ]</t>
  </si>
  <si>
    <t>في الأيام السبعة الماضية ، كم عدد الأيام التي اعتمدت فيها أسرتك على طعام أقل تفضيلًا أو أقل تكلفة بسبب نقص الطعام / المال؟
[المُشغل: سجل عدد الأيام من صفر إلى 7]</t>
  </si>
  <si>
    <t>0-7 = rcsi_borrowed_food</t>
  </si>
  <si>
    <t>For any response, go to rcsi_borrowed_food</t>
  </si>
  <si>
    <t>rcsi_borrowed_food</t>
  </si>
  <si>
    <t>In the past 7 days, how many days did your household borrow food, or rely on help from a friend or relative due to lack of food or money to buy food? 
[OPERATOR: RECORD NUMBER OF DAYS 0 - 7 ]</t>
  </si>
  <si>
    <t>في الأيام السبعة الماضية ، كم عدد الأيام التي استعارت فيها أسرتك الطعام ، أو اعتمدت على المساعدة من صديق أو قريب بسبب نقص الطعام أو المال لشراء الطعام؟
[المُشغل: سجل عدد الأيام من صفر إلى 7]</t>
  </si>
  <si>
    <t>0-7 = rcsi_reduce_number_meals</t>
  </si>
  <si>
    <t>For any response, go to rcsi_reduce_number_meals</t>
  </si>
  <si>
    <t>rcsi_reduce_number_meals</t>
  </si>
  <si>
    <t>In the past 7 days, how many days did your household reduce the number of meals eaten in a day due to lack of food or money to buy food?
[OPERATOR: RECORD NUMBER OF DAYS 0 - 7 ]</t>
  </si>
  <si>
    <t>في الأيام السبعة الماضية ، كم عدد الأيام التي قللت فيها أسرتك عدد الوجبات التي يتم تناولها في اليوم بسبب نقص الطعام أو المال لشراء الطعام؟
[المُشغل: سجل عدد الأيام من صفر إلى 7]</t>
  </si>
  <si>
    <t>0-7 = rcsi_limit_portions</t>
  </si>
  <si>
    <t>For any response, go to rcsi_limit_portions</t>
  </si>
  <si>
    <t>rcsi_limit_portions</t>
  </si>
  <si>
    <t>In the past 7 days, how many days did your household limit portion sizes at mealtime due to lack of food or money to buy food? 
[OPERATOR: RECORD NUMBER OF DAYS 0 - 7 ]</t>
  </si>
  <si>
    <t>في الأيام السبعة الماضية ، كم عدد الأيام التي حددت فيها أسرتك أحجام الحصص في وقت الوجبة بسبب نقص الطعام أو المال لشراء الطعام؟
[المُشغل: سجل عدد الأيام من صفر إلى 7]</t>
  </si>
  <si>
    <t>0-7 = rcsi_restrict_adult_consumpt</t>
  </si>
  <si>
    <t>For any response, go to rcsi_restrict_adult_consumpt</t>
  </si>
  <si>
    <t>rcsi_restrict_adult_consumpt</t>
  </si>
  <si>
    <t>In the past 7 days, how many days did your household restrict consumption by adults so children could eat, due to lack of food or money to buy food?
[OPERATOR: RECORD NUMBER OF DAYS 0 - 7 ]</t>
  </si>
  <si>
    <t>في الأيام السبعة الماضية ، كم عدد الأيام التي قامت فيها أسرتك بتقييد استهلاك البالغين حتى يتمكن الأطفال من تناول الطعام ، بسبب نقص الطعام أو المال لشراء الطعام؟
[المُشغل: سجل عدد الأيام من صفر إلى 7]</t>
  </si>
  <si>
    <t>0-7 = need</t>
  </si>
  <si>
    <t>For any response, go to need</t>
  </si>
  <si>
    <t>H. NEEDS ASSISTANCE</t>
  </si>
  <si>
    <t>need</t>
  </si>
  <si>
    <t>Does your household need assistance for agricultural activities [including crop, livestock and fisheries/aquaculture activities] over the next 3 to 6 months?
[OPERATOR: SINGLE RESPONSE.]
1)YES
2)NO
3)DON'T KNOW
4)REFUSED</t>
  </si>
  <si>
    <t>هل تحتاج أسرتك إلى مساعدة للقيام بالأنشطة الزراعية [بما فى ذلك انتاج المحاصيل أو الماشية أو مصايد الأسماك / أنشطة تربية الأحياء المائية] خلال الأشهر الثلاثة إلى الستة المقبلة؟
[المشغل: استجابة واحدة.]
1) نعم
2) لا
3) لا أعرف
4) رفض الإجابة</t>
  </si>
  <si>
    <t>Send if "hh_agricactivity" "Equals" "Yes - crop production" Or "hh_agricactivity" "Equals" "Yes - livestock production" Or "hh_agricactivity" "Equals" "Yes - both crop and livestock production"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</si>
  <si>
    <t>1 = need_2
2-4= need_received</t>
  </si>
  <si>
    <t>Only administered to agricultural households. Otherwise, go to "callback". 
if need = 1, go to need_2
if need = 2-4, go to need_received</t>
  </si>
  <si>
    <t>need_2</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</si>
  <si>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</si>
  <si>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</si>
  <si>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ما هي أكبر احتياجات أسرتك للمساعدة في إنتاج المحاصيل أو الماشية أو مصايد الأسماك / تربية الأحياء المائية خلال الأشهر الثلاثة إلى الستة المقبلة؟
[المشغل: عدة استجابات محتملة. لا تقرأ الخيارات إذا كان ذلك ممكنًا.]
1) الطعام
2) المساعدة النقدية 
3) قسائم المشتريات 
4) مدخلات انتاج المحاصيل و الخضروات [على سبيل المثال البذور و الاسمدة و المعدات] 
5) البنية التحتية لانتاج المحاصيل و الخضروات [على سبيل المثال الري، اعادة تأهيل قنوات الري و المضخات]
6) التدريبات المهنية و المعرفة / النصائح التقنية لإنتاج المحاصيل 
7) أعلاف الحيوانات [علف أو علف تكميلي]
8) الخدمات البيطرية [على سبيل المثال التطعيم والتخلص من الديدان]
9) البنية التحتية لانتاج الماشية [على سبيل المثال نقاط المياه ، ممرات التنقل الرعوي ، المأوى ، النقاط الصحية]
10) التدريبات المهنية و المعرفة / النصائح التقنية لانتاج الماشية 
11) المدخلات لانتاج الاسماك و تربية الاحياء المائية 
12)البنية التحتية لانتاج مصايد الاسماك و تربية الاحياء المائية  [اعادة تأهيل الموانيء و اصلاح البرك علي سبيل المثال]
13) التدريبات المهنية و المعرفة / النصائح التقنية لانتاج مصايد الاسماك و تربية الاحياء المائية
14) اعادة ترميم البنية التحتية و البيئية ( علي نطاق مجتمعي ) 
15) التخزين البارد
16) دعم المبيعات أو التسويق [المشتريات العامة علي سبيل المثال]
17) آخر [حدد]
18)  لا أعرف
19) رفض الإجابة</t>
  </si>
  <si>
    <t>Form Type - Checklist
18,19 = IsNone</t>
  </si>
  <si>
    <t>1-19 = need_received</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</si>
  <si>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</si>
  <si>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if need_2 = 1-19, go to need_received</t>
  </si>
  <si>
    <t>need_received</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</si>
  <si>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</si>
  <si>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</si>
  <si>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هل تلقت أسرتك أي مساعدة خلال الأشهر الثلاثة الماضية ، وإذا كان الأمر كذلك ، فمن أي نوع؟
[المشغل: عدة استجابات محتملة. اقرأ الخيارات.]
1) الغذاء
2) مساعدة نقدية 
3) قسائم المشتريات
4) مساعدة لانتاج المحاصيل و الخضروات
5) مساعدة لانتاج الماشية 
6) مساعدة لانتاج مصايد الاسماك و تربية الاحياء المائية 
7) اعادة تأهيل البنية التحتية و البيئية علي نطاق مجتمعي 
8) دعم المبيعات أو التسويق [المشتريات العامة على سبيل المثال]
9) آخر [حدد]
10) لم تتلق المساعدة
11) لا أعرف 
12) رفض الإجابة</t>
  </si>
  <si>
    <t>Form Type - Checklist
10,11,12 = IsNone</t>
  </si>
  <si>
    <t>1-9 = assistance_quality 
10-12 = callback</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</si>
  <si>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</si>
  <si>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 xml:space="preserve">if need_received = 1-9, go to assistance_quality.
Otherwise, go to callback. </t>
  </si>
  <si>
    <t>assistance_quality</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</si>
  <si>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</si>
  <si>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هل كنت راضيا عن جودة المساعدة التي قدمت لكم ؟ 
[المشغل: استجابة واحدة. جودة المساعدة من حيث كفاية المساعدة للتغلب على صعوبات الانتاج أو البيع.]
1) نعم
2) لا - لم يتم استلامها في الوقت المحدد
3) لا - لم تلبي احتياجاتي
4) لا - الكمية لم تكن كافية
5) لا - حدثت مشكلة مع المزود
6) لا - حدث خلل في المساعدة العينية المقدمة [على سبيل المثال أدوات ذات جودة رديئة]
7) لا أعرف
8) رفض الإجابة</t>
  </si>
  <si>
    <t>1-8 = [callback or optional question]</t>
  </si>
  <si>
    <t>if assistance_quality = 1-8, go to callback or assistance_provider</t>
  </si>
  <si>
    <t>1-8 = assistance provider</t>
  </si>
  <si>
    <t>assistance_provider</t>
  </si>
  <si>
    <t>assistance_provider
1) assistance_fao
2) assistance_wfp
3) assistance_otherun
4) assistance_gov
5) assistance_ngo
6) assistance_dk
7) assistance_ref</t>
  </si>
  <si>
    <t>Who provided your household with this assistance?
[OPERATOR: MULTIPLE RESPONSE.]
1)FAO
2)WFP
3)Other UN agencies
4)Government
5)Non-governmental/local organization
6)DON'T KNOW
7)REFUSED</t>
  </si>
  <si>
    <t>من قام بتقديم تلك المساعدة لاسرتك ؟ 
[المُشغل: احتمال وجود عدة استجابات.]
1) منطمة الاغذية و الزراعة للأمم المتحدة 
2) برنامج الغذاء العالمي 
3) منظمات أخرى تابعة للامم المتحدة
4) جهات حكومية
5) منظمة محلية / غير حكومية 
6) لا أعرف 
7) رفض الإجابة</t>
  </si>
  <si>
    <t>Form Type - Checklist
6,7 = IsNone</t>
  </si>
  <si>
    <t>1-7 = callback</t>
  </si>
  <si>
    <t>1)assistance_fao
2)assistance_wfp
3)assistance_otherun
4)assistance_gov
5)assistance_ngo
6)assistance_dk
7)assistance_ref</t>
  </si>
  <si>
    <t xml:space="preserve">if assistance_provider = 1-7, go to callback </t>
  </si>
  <si>
    <t>I. CLOSING</t>
  </si>
  <si>
    <t>callback</t>
  </si>
  <si>
    <t>Your answers will help us to understand and respond to your community needs. May we call you back again in a few months?
[OPERATOR: SINGLE RESPONSE.]
1)YES
2)NO</t>
  </si>
  <si>
    <t>ستساعدنا إجاباتك على فهم احتياجات مجتمعك والاستجابة لها. هل يمكننا الاتصال بك مرة أخرى في غضون بضعة أشهر؟
[المشغل: استجابة واحدة.]
1) نعم
2) لا</t>
  </si>
  <si>
    <t>1 = leader_contact
2 = language2</t>
  </si>
  <si>
    <t>if callback = 1, go to leader_contact
if 2, go to language2</t>
  </si>
  <si>
    <t>leader_contact</t>
  </si>
  <si>
    <t>Can you provide me with the contact information of a leader in your community?
[OPERATOR: SINGLE RESPONSE.]
1)YES 
2)NO
3)DON'T KNOW
4)REFUSED</t>
  </si>
  <si>
    <t>هل يمكنك تزويدي بمعلومات الاتصال الخاصة بقائد/شخص مسؤول في مجتمعك؟
[المشغل: استجابة واحدة.]
1) نعم
2) لا
3) لا أعرف
4) رفض الإجابة</t>
  </si>
  <si>
    <t>1 = leader_type
2-4 = future_int_day</t>
  </si>
  <si>
    <t>if leader_contact = 1, go to leader_type;
if leader_contact = 2-4, go to future_int_day</t>
  </si>
  <si>
    <t>no - panel</t>
  </si>
  <si>
    <t>leader_type</t>
  </si>
  <si>
    <t>What type of community leader can you provide information for?
[OPERATOR: SINGLE RESPONSE.]
1)Village / town administrator
2)Agricultural extension officer
3)Health extension officer
4)Teacher
5)Other [specify]
6)DON'T KNOW
7)REFUSED</t>
  </si>
  <si>
    <t>ما وظيفة هذا القائد/الشخص المسؤول لمن يمكنك تزويد المعلومات ؟
[المشغل: استجابة واحدة.]
1) مدير قرية / بلدة
2) مرشد زراعي
3) اخصائي إرشاد صحي
4) مدرس
5) آخر (حدد)
6) لا أعرف
7) رفض الإجابة</t>
  </si>
  <si>
    <t>1-7 = phone_number_leader</t>
  </si>
  <si>
    <t>if leader_type = 1-7, go to phone_number_leader</t>
  </si>
  <si>
    <t>phone_number_leader</t>
  </si>
  <si>
    <t>What is the leader's phone number?
[OPERATOR: RECORD THE NUMBER GIVEN]</t>
  </si>
  <si>
    <t>ما هو رقم هاتف هذا القائد / الشخص المسؤول؟
[المُشغل: سجل الرقم المُعطى]</t>
  </si>
  <si>
    <t>Any Response = leader_name</t>
  </si>
  <si>
    <t>For any response, go to leader_name</t>
  </si>
  <si>
    <t>leader_name</t>
  </si>
  <si>
    <t>What is the leader's name?
[OPERATOR: RECORD THE NAME OF THE CONTACT FOR THE PHONE NUMBER.]</t>
  </si>
  <si>
    <t>ما هو اسم هذا القائد / الشخص المسؤول؟
[المُشغل: سجل اسم صاحب رقم الهاتف.]</t>
  </si>
  <si>
    <t>Any Response = future_int_day</t>
  </si>
  <si>
    <t>For any response, go to future_int_day</t>
  </si>
  <si>
    <t>future_int_day</t>
  </si>
  <si>
    <t>future_int_day_
1) future_int_day_mon
2) future_int_day_tues
3) future_int_day_wed
4) future_int_day_thurs
5) future_int_day_fri
6) future_int_day_sat
7) future_int_day_sun</t>
  </si>
  <si>
    <t>For future interviews, in which day[s] can I call you?
[OPERATOR: MULTIPLE ANSWERS POSSIBLE.]
1)Monday
2)Tuesday
3)Wednesday
4)Thursday
5)Friday
6)Saturday
7)Sunday</t>
  </si>
  <si>
    <t>للمقابلات المستقبلية ، في أي يوم (أيام) يمكنني الاتصال بك؟
[المُشغل: إمكانية الحصول على إجابات متعددة.]
1) الاثنين
2) الثلاثاء
3) الأربعاء
4) الخميس
5) الجمعة
6) السبت
7) الأحد</t>
  </si>
  <si>
    <t>1-7 = future_int_time</t>
  </si>
  <si>
    <t>if l_future_int_day = 1-7, go to future_int_time</t>
  </si>
  <si>
    <t>future_int_time</t>
  </si>
  <si>
    <t>future_int_time_ 
1) future_int_time_morn
2) future_int_time_aft
3) future_int_time_eve</t>
  </si>
  <si>
    <t>For future interviews, at what time[s] can I call you?
[OPERATOR: MULTIPLE ANSWERS POSSIBLE.]
1)Mornings
2)Afternoons
3)Evenings</t>
  </si>
  <si>
    <t>للمقابلات المستقبلية ، في أي وقت (أوقات) يمكنني الاتصال بك؟
[المُشغل: إمكانية الحصول على إجابات متعددة.]
1) الصباح
2) بعد الظهر
3) المساء</t>
  </si>
  <si>
    <t>1-3 = language2</t>
  </si>
  <si>
    <t>if future_int_time = 1-3, go to language2</t>
  </si>
  <si>
    <t>language2</t>
  </si>
  <si>
    <t>Select the language that was mostly used to complete the interview.
[OPERATOR: SINGLE RESPONSE.]
1)English
2)other languages [consistent with resp_language]</t>
  </si>
  <si>
    <t>حدد اللغة التي تم استخدامها في الغالب لإكمال المقابلة.
[المشغل: استجابة واحدة.]
1) العربية
2) لغات أخرى [متوافقة مع resp_language]</t>
  </si>
  <si>
    <t>1-2 = closeout</t>
  </si>
  <si>
    <t>closeout</t>
  </si>
  <si>
    <t>Thank you for your time. The interview has come to an end. You will receive your #TOPUP# airtime credit on this phone within the next 2 days.</t>
  </si>
  <si>
    <t>شكرا لك على وقتك. انتهت المقابلة. ستتلقى رصيدك #TOPUP# على هذا الهاتف في غضون اليومين المقبلين.</t>
  </si>
  <si>
    <t xml:space="preserve">AVERAGE ESTIMATED DURATION </t>
  </si>
  <si>
    <t>AVERAGE ESTIMATED DURATION (without fisheries section)</t>
  </si>
  <si>
    <t>AVERAGE ESTIMATED DURATION (without fisheries section or panel)</t>
  </si>
  <si>
    <t xml:space="preserve">Select top 10 crops </t>
  </si>
  <si>
    <t>GeoPoll code</t>
  </si>
  <si>
    <t>Dataset code</t>
  </si>
  <si>
    <t>Label (EN)</t>
  </si>
  <si>
    <t>Label (AR)</t>
  </si>
  <si>
    <t>1.1</t>
  </si>
  <si>
    <t>Rice</t>
  </si>
  <si>
    <t>الرز</t>
  </si>
  <si>
    <t>x</t>
  </si>
  <si>
    <t>1.2</t>
  </si>
  <si>
    <t>Wheat</t>
  </si>
  <si>
    <t>القمح</t>
  </si>
  <si>
    <t>1.3</t>
  </si>
  <si>
    <t>Millet</t>
  </si>
  <si>
    <t>الدخن</t>
  </si>
  <si>
    <t>1.4</t>
  </si>
  <si>
    <t>Sorghum</t>
  </si>
  <si>
    <t>الذرة الرفيعة</t>
  </si>
  <si>
    <t>1.5</t>
  </si>
  <si>
    <t>Maize</t>
  </si>
  <si>
    <t>الذرة</t>
  </si>
  <si>
    <t>1.6</t>
  </si>
  <si>
    <t>Barley</t>
  </si>
  <si>
    <t>الشعير</t>
  </si>
  <si>
    <t>1.99</t>
  </si>
  <si>
    <t>Other Cereal</t>
  </si>
  <si>
    <t>الحبوب الأخرى</t>
  </si>
  <si>
    <t>2.1</t>
  </si>
  <si>
    <t>Cassava</t>
  </si>
  <si>
    <t>الكسافا</t>
  </si>
  <si>
    <t>2.2</t>
  </si>
  <si>
    <t>Potatoe</t>
  </si>
  <si>
    <t>البطاطا</t>
  </si>
  <si>
    <t>2.3</t>
  </si>
  <si>
    <t>Sweet Potatoes</t>
  </si>
  <si>
    <t>البطاطا الحلوة</t>
  </si>
  <si>
    <t>2.4</t>
  </si>
  <si>
    <t>Yams</t>
  </si>
  <si>
    <t>اليام</t>
  </si>
  <si>
    <t>2.5</t>
  </si>
  <si>
    <t>Carrots</t>
  </si>
  <si>
    <t>الجزر</t>
  </si>
  <si>
    <t>2.6</t>
  </si>
  <si>
    <t>Cocoyam</t>
  </si>
  <si>
    <t>القلقاس</t>
  </si>
  <si>
    <t>2.99</t>
  </si>
  <si>
    <t>Other tubers</t>
  </si>
  <si>
    <t>الدرنات الأخرى</t>
  </si>
  <si>
    <t>3.1</t>
  </si>
  <si>
    <t>Beans</t>
  </si>
  <si>
    <t>الفاصوليا</t>
  </si>
  <si>
    <t>3.2</t>
  </si>
  <si>
    <t>Lentils</t>
  </si>
  <si>
    <t>العدس</t>
  </si>
  <si>
    <t>3.3</t>
  </si>
  <si>
    <t>Peas</t>
  </si>
  <si>
    <t>البازيلاء</t>
  </si>
  <si>
    <t>3.4</t>
  </si>
  <si>
    <t>Soybeans</t>
  </si>
  <si>
    <t>فول الصويا</t>
  </si>
  <si>
    <t>3.5</t>
  </si>
  <si>
    <t>Chickpeas</t>
  </si>
  <si>
    <t>الحمص</t>
  </si>
  <si>
    <t>3.6</t>
  </si>
  <si>
    <t>Fava beans</t>
  </si>
  <si>
    <t>الفول</t>
  </si>
  <si>
    <t>3.7</t>
  </si>
  <si>
    <t>Broad beans</t>
  </si>
  <si>
    <t>الفاصوليا العريضة</t>
  </si>
  <si>
    <t>3.99</t>
  </si>
  <si>
    <t>Other pulses</t>
  </si>
  <si>
    <t>البقول الاخرى</t>
  </si>
  <si>
    <t>4.1</t>
  </si>
  <si>
    <t>Cabbage</t>
  </si>
  <si>
    <t>الملفوف</t>
  </si>
  <si>
    <t>4.2</t>
  </si>
  <si>
    <t>Lettuce</t>
  </si>
  <si>
    <t>الخس</t>
  </si>
  <si>
    <t>4.3</t>
  </si>
  <si>
    <t>Spinach-Amaranth</t>
  </si>
  <si>
    <t>السبانخ - القطيفة</t>
  </si>
  <si>
    <t>4.4</t>
  </si>
  <si>
    <t>Cassava leaves</t>
  </si>
  <si>
    <t>أوراق الكسافا</t>
  </si>
  <si>
    <t>4.5</t>
  </si>
  <si>
    <t>Potatoe leaves</t>
  </si>
  <si>
    <t>أوراق البطاطا</t>
  </si>
  <si>
    <t>4.6</t>
  </si>
  <si>
    <t>Moringa</t>
  </si>
  <si>
    <t>المورينجا</t>
  </si>
  <si>
    <t>4.7</t>
  </si>
  <si>
    <t>Sorrel Hibiscus / Rosselle</t>
  </si>
  <si>
    <t>الكركديه</t>
  </si>
  <si>
    <t>4.9</t>
  </si>
  <si>
    <t>Green salad herbs [thyme, parsley, mint, rocca, other]</t>
  </si>
  <si>
    <t>أعشاب السلطة الخضراء [زعتر ، بقدونس ، نعناع ، جرجير ، أنواع أخرى]</t>
  </si>
  <si>
    <t>4.101</t>
  </si>
  <si>
    <t>Cauliflower</t>
  </si>
  <si>
    <t>القرنبيط</t>
  </si>
  <si>
    <t>4.99</t>
  </si>
  <si>
    <t>Other leafy vegetables</t>
  </si>
  <si>
    <t>الخضار الورقية الأخرى</t>
  </si>
  <si>
    <t>5.1</t>
  </si>
  <si>
    <t>Tomatoes</t>
  </si>
  <si>
    <t>الطماطم</t>
  </si>
  <si>
    <t>5.2</t>
  </si>
  <si>
    <t>Cucumber</t>
  </si>
  <si>
    <t>الخيار</t>
  </si>
  <si>
    <t>5.3</t>
  </si>
  <si>
    <t>Pumpkin</t>
  </si>
  <si>
    <t>اليقطين</t>
  </si>
  <si>
    <t>5.4</t>
  </si>
  <si>
    <t>Eggplant/aubergine</t>
  </si>
  <si>
    <t>الباذنجان</t>
  </si>
  <si>
    <t>5.5</t>
  </si>
  <si>
    <t>Zucchini</t>
  </si>
  <si>
    <t>الكوسة</t>
  </si>
  <si>
    <t>5.6</t>
  </si>
  <si>
    <t>Okra</t>
  </si>
  <si>
    <t>البامية</t>
  </si>
  <si>
    <t>5.7</t>
  </si>
  <si>
    <t>Bell pepper</t>
  </si>
  <si>
    <t>الفلفل حلو</t>
  </si>
  <si>
    <t>5.8</t>
  </si>
  <si>
    <t>Onions</t>
  </si>
  <si>
    <t>بصل</t>
  </si>
  <si>
    <t>5.9</t>
  </si>
  <si>
    <t>Haricot</t>
  </si>
  <si>
    <t>اللوبياء</t>
  </si>
  <si>
    <t>5.101</t>
  </si>
  <si>
    <t>Green peas</t>
  </si>
  <si>
    <t>البازلاء الخضراء</t>
  </si>
  <si>
    <t>5.11</t>
  </si>
  <si>
    <t>Fava beans green</t>
  </si>
  <si>
    <t>الفول الأخضر</t>
  </si>
  <si>
    <t>5.99</t>
  </si>
  <si>
    <t>Other non leafy vegs</t>
  </si>
  <si>
    <t>الخضار غير الورقية الأخرى</t>
  </si>
  <si>
    <t>6.1</t>
  </si>
  <si>
    <t>Orange</t>
  </si>
  <si>
    <t>البرتقال</t>
  </si>
  <si>
    <t>6.2</t>
  </si>
  <si>
    <t>Lemon</t>
  </si>
  <si>
    <t>الليمون</t>
  </si>
  <si>
    <t>6.3</t>
  </si>
  <si>
    <t>Grapefruit</t>
  </si>
  <si>
    <t>الجريب فروت</t>
  </si>
  <si>
    <t>6.4</t>
  </si>
  <si>
    <t>Mandarins/clementines</t>
  </si>
  <si>
    <t>اليوسفي / الكليمنتين</t>
  </si>
  <si>
    <t>6.99</t>
  </si>
  <si>
    <t>Other citrus fruit</t>
  </si>
  <si>
    <t>الحمضيات الأخرى</t>
  </si>
  <si>
    <t>7.1</t>
  </si>
  <si>
    <t>Sweet Banana</t>
  </si>
  <si>
    <t>الموز</t>
  </si>
  <si>
    <t>7.2</t>
  </si>
  <si>
    <t>Plantains</t>
  </si>
  <si>
    <t>موز الجنة</t>
  </si>
  <si>
    <t>7.3</t>
  </si>
  <si>
    <t>Papaya</t>
  </si>
  <si>
    <t>البابايا</t>
  </si>
  <si>
    <t>7.4</t>
  </si>
  <si>
    <t>Mango</t>
  </si>
  <si>
    <t>المانجو</t>
  </si>
  <si>
    <t>7.5</t>
  </si>
  <si>
    <t>Guava</t>
  </si>
  <si>
    <t>الجوافة</t>
  </si>
  <si>
    <t>7.6</t>
  </si>
  <si>
    <t>Pineapple</t>
  </si>
  <si>
    <t>الأناناس</t>
  </si>
  <si>
    <t>7.7</t>
  </si>
  <si>
    <t>Avocado</t>
  </si>
  <si>
    <t>الأفوكادو</t>
  </si>
  <si>
    <t>7.8</t>
  </si>
  <si>
    <t>Water Melon</t>
  </si>
  <si>
    <t>البطيخ الأحمر</t>
  </si>
  <si>
    <t>7.9</t>
  </si>
  <si>
    <t>Dates</t>
  </si>
  <si>
    <t>التمر</t>
  </si>
  <si>
    <t>7.101</t>
  </si>
  <si>
    <t>Figs</t>
  </si>
  <si>
    <t>التين</t>
  </si>
  <si>
    <t>7.11</t>
  </si>
  <si>
    <t>Grapes</t>
  </si>
  <si>
    <t>العنب</t>
  </si>
  <si>
    <t>7.12</t>
  </si>
  <si>
    <t>Olives</t>
  </si>
  <si>
    <t>الزيتون</t>
  </si>
  <si>
    <t>7.13</t>
  </si>
  <si>
    <t>Apple</t>
  </si>
  <si>
    <t>التفاح</t>
  </si>
  <si>
    <t>7.14</t>
  </si>
  <si>
    <t>Apricot</t>
  </si>
  <si>
    <t>المشمش</t>
  </si>
  <si>
    <t>7.15</t>
  </si>
  <si>
    <t>Cherries</t>
  </si>
  <si>
    <t>الكرز</t>
  </si>
  <si>
    <t>7.16</t>
  </si>
  <si>
    <t>Peach/nectarine</t>
  </si>
  <si>
    <t>الدراق / النكتارين</t>
  </si>
  <si>
    <t>7.17</t>
  </si>
  <si>
    <t>Strawberries</t>
  </si>
  <si>
    <t>الفراولة</t>
  </si>
  <si>
    <t>7.18</t>
  </si>
  <si>
    <t>Melon [Cantaloupe]</t>
  </si>
  <si>
    <t>الشمام</t>
  </si>
  <si>
    <t>7.99</t>
  </si>
  <si>
    <t>Other fruit</t>
  </si>
  <si>
    <t>الفواكه الأخرى</t>
  </si>
  <si>
    <t>8.1</t>
  </si>
  <si>
    <t>Coconuts</t>
  </si>
  <si>
    <t>جوز الهند</t>
  </si>
  <si>
    <t>8.2</t>
  </si>
  <si>
    <t>Groundnut/peanut</t>
  </si>
  <si>
    <t>الفول السوداني</t>
  </si>
  <si>
    <t>8.3</t>
  </si>
  <si>
    <t>Cashew Nut</t>
  </si>
  <si>
    <t>الكاجو</t>
  </si>
  <si>
    <t>8.4</t>
  </si>
  <si>
    <t>Kola Nut</t>
  </si>
  <si>
    <t>جوز الكولا</t>
  </si>
  <si>
    <t>8.5</t>
  </si>
  <si>
    <t>Sesame</t>
  </si>
  <si>
    <t>السمسم</t>
  </si>
  <si>
    <t>8.6</t>
  </si>
  <si>
    <t>Bambara nut</t>
  </si>
  <si>
    <t>جوز البامبارا</t>
  </si>
  <si>
    <t>8.7</t>
  </si>
  <si>
    <t>Almond</t>
  </si>
  <si>
    <t>اللوز</t>
  </si>
  <si>
    <t>8.8</t>
  </si>
  <si>
    <t>Walnut</t>
  </si>
  <si>
    <t>الجوز</t>
  </si>
  <si>
    <t>8.99</t>
  </si>
  <si>
    <t>Other nuts</t>
  </si>
  <si>
    <t>المكسرات الأخرى</t>
  </si>
  <si>
    <t>9.1</t>
  </si>
  <si>
    <t>Cocoa</t>
  </si>
  <si>
    <t>الكاكاو</t>
  </si>
  <si>
    <t>9.2</t>
  </si>
  <si>
    <t>Coffee</t>
  </si>
  <si>
    <t>القهوة</t>
  </si>
  <si>
    <t>9.3</t>
  </si>
  <si>
    <t>Tea</t>
  </si>
  <si>
    <t>الشاي</t>
  </si>
  <si>
    <t>9.4</t>
  </si>
  <si>
    <t>Sugarcane</t>
  </si>
  <si>
    <t>قصب السكر</t>
  </si>
  <si>
    <t>9.5</t>
  </si>
  <si>
    <t>Sunflower</t>
  </si>
  <si>
    <t>دوار الشمس</t>
  </si>
  <si>
    <t>9.99</t>
  </si>
  <si>
    <t>Other food cash crop</t>
  </si>
  <si>
    <t xml:space="preserve">المحاصيل الغذائية النقدية الأخرى </t>
  </si>
  <si>
    <t>10.1</t>
  </si>
  <si>
    <t>Cotton</t>
  </si>
  <si>
    <t>القطن</t>
  </si>
  <si>
    <t>10.2</t>
  </si>
  <si>
    <t>Rubber</t>
  </si>
  <si>
    <t>المطاط</t>
  </si>
  <si>
    <t>10.3</t>
  </si>
  <si>
    <t>Jute</t>
  </si>
  <si>
    <t>الجوت</t>
  </si>
  <si>
    <t>10.4</t>
  </si>
  <si>
    <t>Fodder</t>
  </si>
  <si>
    <t>العلف</t>
  </si>
  <si>
    <t>10.5</t>
  </si>
  <si>
    <t>Tobacco</t>
  </si>
  <si>
    <t>التبغ</t>
  </si>
  <si>
    <t>10.6</t>
  </si>
  <si>
    <t>Qat</t>
  </si>
  <si>
    <t>القات</t>
  </si>
  <si>
    <t>10.99</t>
  </si>
  <si>
    <t>Other non-food cash crop</t>
  </si>
  <si>
    <t xml:space="preserve"> المحاصيل النقدية غير الغذائية الأخرى </t>
  </si>
  <si>
    <t>Original</t>
  </si>
  <si>
    <t>Replacement (EN)</t>
  </si>
  <si>
    <t>Replacement (AR)</t>
  </si>
  <si>
    <t>Comment (EN)</t>
  </si>
  <si>
    <t>Comment (AR)</t>
  </si>
  <si>
    <t>Example (EN)</t>
  </si>
  <si>
    <t>Example (AR)</t>
  </si>
  <si>
    <t>FOR CORE QUESTIONS    .
(Mandatory to fill out)    .</t>
  </si>
  <si>
    <t>ADMIN1</t>
  </si>
  <si>
    <t>Governorate</t>
  </si>
  <si>
    <t>المحافظة</t>
  </si>
  <si>
    <t>The first subdivision of the country, after national level; region; province; governorate; etc.</t>
  </si>
  <si>
    <t>التقسيم الأول للبلاد ، بعد المستوى الوطني ؛ منطقة؛ محافظة؛ ولاية ؛ إلخ.</t>
  </si>
  <si>
    <t>region</t>
  </si>
  <si>
    <t>منطقة</t>
  </si>
  <si>
    <t>ADMIN2</t>
  </si>
  <si>
    <t>District</t>
  </si>
  <si>
    <t>المديرية</t>
  </si>
  <si>
    <t>The second subdivision of the country; district; municipality; LGA; etc.</t>
  </si>
  <si>
    <t>التقسيم الثاني للبلاد ؛ قضاء؛ بلدية؛ إلخ.</t>
  </si>
  <si>
    <t>district</t>
  </si>
  <si>
    <t>قضاء</t>
  </si>
  <si>
    <t>reference year</t>
  </si>
  <si>
    <t>Last year</t>
  </si>
  <si>
    <t>العام الماضي</t>
  </si>
  <si>
    <t xml:space="preserve">Comparison questions will need need a reference year. Select whether you want to use "last year" or "a normal year" as a baseline. A "normal year" should refers to an average year from the past 5 years - make sure to train the enumerators accordingly. </t>
  </si>
  <si>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</si>
  <si>
    <t>a normal year</t>
  </si>
  <si>
    <t>العام العادي</t>
  </si>
  <si>
    <t>season</t>
  </si>
  <si>
    <t>Ongoing season</t>
  </si>
  <si>
    <t>الموسم الحالي</t>
  </si>
  <si>
    <t>Name the crop season(s) of interest if there are several cropping seasons in the country (e.g. Meher and Belg in Ethiopia, rainy season / flood-recession cropping / irrigated dry season in the Sahel). You can refer to the “last season” or “ongoing season".</t>
  </si>
  <si>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</si>
  <si>
    <t>wet season</t>
  </si>
  <si>
    <t>موسم الأمطار</t>
  </si>
  <si>
    <t>season phase</t>
  </si>
  <si>
    <t>النمو</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</si>
  <si>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</si>
  <si>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حدد مرحلة الموسم في وقت جمع البيانات.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</si>
  <si>
    <t>Harvesting</t>
  </si>
  <si>
    <t>الحصاد</t>
  </si>
  <si>
    <t>local measurement unit</t>
  </si>
  <si>
    <t>5)Labneh
6)Qassabh
7)Hablah
8)Ma'ad
9)Salook
10)Shaklah
11)Neiha
12)Matreh
13)Wadan
14)Oqum
15)Asaoo
16)Shagan
17)Arfad
18)Aber
19)Taleem
20)Magabi
21)Hediah
22)Thera'a
23)Materah</t>
  </si>
  <si>
    <t>5)لبنة
6)قصبة
7) حبل/حبلة
8) معاد
9)سلوق
10) شكلة
11) نيحة
12) مطرح
13)ودن
14) عقم
15)اسعاو
16) شجن
17)رفد/ارفاد
19) عبر
20) تليم
21)مجابي
22) حدية
23) ذراع
24) مطبرة</t>
  </si>
  <si>
    <t xml:space="preserve">Specify the local measurement unit for land size, other than acres, hectares, square meters and square feet. If no other unit of measurement is needed, keep this cell blank. </t>
  </si>
  <si>
    <t>حدد وحدة القياس المحلية لمساحة الأرض ، بخلاف الفدان والهكتار والمتر المربع والقدم المربع. إذا لم تكن هناك حاجة إلى وحدة قياس أخرى ، احتفظ بهذه الخلية فارغة.</t>
  </si>
  <si>
    <t>Jeribs</t>
  </si>
  <si>
    <t>جريب</t>
  </si>
  <si>
    <t>local measurement unit conversion</t>
  </si>
  <si>
    <t>Include the conversion of the local measurement unit to hectares. In other words, how many local measurement units are in 1 ha. Only digits in Latin numbers should be inputted.</t>
  </si>
  <si>
    <t xml:space="preserve">قم بتضمين تحويل وحدة القياس المحلية إلى هكتار. بمعنى آخر ، إلى كم هو عدد وحدات القياس المحلية في هكتار واحد. يرجى إدخال الأرقام في الأبجدية اللاتينية (...3, 2, 1). </t>
  </si>
  <si>
    <t>FOR OPTIONAL QUESTIONS    .
(Fill out if applicable)    .</t>
  </si>
  <si>
    <t>currency</t>
  </si>
  <si>
    <t>Not applicable</t>
  </si>
  <si>
    <t xml:space="preserve">The name of the main currency used nationally; USD; Naira; Rial; Pesos; etc. </t>
  </si>
  <si>
    <t>اسم العملة الرئيسية المستخدمة وطنيا ؛ دولار أمريكي؛ نيرة؛ الريال؛ بيزو؛ إلخ.</t>
  </si>
  <si>
    <t>Naira</t>
  </si>
  <si>
    <t>نيرة</t>
  </si>
  <si>
    <t>MIN AMOUNT</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</si>
  <si>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in Latin numbers should be inputted.</t>
  </si>
  <si>
    <t xml:space="preserve">يجب تعيين الحد الأدنى لمبلغ مصدر الدخل على 0 أو أي قيمة أقل منها لا يمكن إجراء معاملة. على سبيل المثال ، يمكن أن تكون أصغر عملة / ورقة نقدية في عملة ما هي 1000 ، وفي هذه الحالة يمكنك تعيين الحد الأدنى عند 1000. يجب أن يكون هذا المبلغ بنفس العملة المحددة في الصف أعلاه. يرجى إدخال الأرقام في الأبجدية اللاتينية (...3, 2, 1). </t>
  </si>
  <si>
    <t>MAX AMOUNT</t>
  </si>
  <si>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in Latin numbers should be inputted.</t>
  </si>
  <si>
    <t xml:space="preserve">حدد الحد الأقصى لمبلغ مصدر الدخل على مدى 3 أشهر. لن يتمكن جامعي البيانات من إدخال قيم أعلى من هذا المبلغ في الأسئلة المتعلقة بمبالغ الدخل. باستخدام المسوح التمثيلية السابقة لهذه الفئة من السكان ، يمكنك تقدير هذا المبلغ باستخدام متوسط ​​الدخل بالإضافة إلى خمسة انحرافات معيارية ما لم يكن هناك تضخم مرتفع في الدولة. في الحالة الأخيرة ، قم بتعيين الحد الأقصى للقيمة بناءً على سياق بلدك (أعلى من النهج المقترح). يجب أن يكون هذا المبلغ بنفس العملة المحددة أعلاه.  يرجى إدخال الأرقام في الأبجدية اللاتينية (...3, 2, 1). </t>
  </si>
  <si>
    <t>THRESHOLD</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</si>
  <si>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in Latin numbers should be inputted.</t>
  </si>
  <si>
    <t xml:space="preserve">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 يرجى إدخال الأرقام في الأبجدية اللاتينية (...3, 2, 1). </t>
  </si>
  <si>
    <t>local vegetables</t>
  </si>
  <si>
    <t>tomatoes, okra, zucchini, cauliflower, cucumber, onions</t>
  </si>
  <si>
    <t>طماطم ، بامية ، كوسة ، قرنييط (زهرة) ، خيار ، بصل</t>
  </si>
  <si>
    <t>Input some common local vegetables [to be used as examples in the food consumption score indicator].</t>
  </si>
  <si>
    <t>أدخل بعض الخضروات المحلية الشائعة [لاستخدامها كأمثلة في مؤشر درجة استهلاك الغذاء].</t>
  </si>
  <si>
    <t>eggplants, zucchini, cauliflower</t>
  </si>
  <si>
    <t>باذنجان ، كوسة ، قرنبيط</t>
  </si>
  <si>
    <t>local fruits</t>
  </si>
  <si>
    <t>apple, orange, banana, grapes, mango, papaya, fig, muskmelon, red watermelon, dates</t>
  </si>
  <si>
    <t>التفاح / البرتقال ، الموز ، العنب ، المانجو ، البابايا ، التين ، الشمام ، البطيخ الاحمر ، البلح</t>
  </si>
  <si>
    <t>Input some common local fruits [to be used as examples in the food consumption score indicator].</t>
  </si>
  <si>
    <t>أدخل بعض الفاكهة المحلية الشائعة [لاستخدامها كأمثلة في مؤشر درجة استهلاك الغذاء].</t>
  </si>
  <si>
    <t>apples, bananas, oranges</t>
  </si>
  <si>
    <t>التفاح والموز والبرتقال</t>
  </si>
  <si>
    <t>FILL OUT FOR QUESTIONNAIRE DURATION ESTIMATION    .</t>
  </si>
  <si>
    <t>Expected percentage of respondents cultivating crops</t>
  </si>
  <si>
    <t>51% (Source: DIEM Round 4)</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</si>
  <si>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</si>
  <si>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t>
  </si>
  <si>
    <t>Expected percentage of respondents raising livestock</t>
  </si>
  <si>
    <t>57% (Source: DIEM Round 4)</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</si>
  <si>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</si>
  <si>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t>
  </si>
  <si>
    <t>Expected percentage of respondents involved in fishery</t>
  </si>
  <si>
    <t>2% (Source: DIEM Round 4)</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</si>
  <si>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</si>
  <si>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t>
  </si>
  <si>
    <t>adm2_name</t>
  </si>
  <si>
    <t>adm2_name_local</t>
  </si>
  <si>
    <t>adm2_pcode</t>
  </si>
  <si>
    <t>adm1_name</t>
  </si>
  <si>
    <t>adm1_pcode</t>
  </si>
  <si>
    <t>adm0_name</t>
  </si>
  <si>
    <t>adm0_ISO3</t>
  </si>
  <si>
    <t>Al Qafr</t>
  </si>
  <si>
    <t>القفر</t>
  </si>
  <si>
    <t>YE1101</t>
  </si>
  <si>
    <t>Ibb</t>
  </si>
  <si>
    <t>YE11</t>
  </si>
  <si>
    <t>Yemen</t>
  </si>
  <si>
    <t>YEM</t>
  </si>
  <si>
    <t>Yarim</t>
  </si>
  <si>
    <t>يريم</t>
  </si>
  <si>
    <t>YE1102</t>
  </si>
  <si>
    <t>Al Dhihar</t>
  </si>
  <si>
    <t>الظهار</t>
  </si>
  <si>
    <t>YE1119</t>
  </si>
  <si>
    <t>إب</t>
  </si>
  <si>
    <t>YE1120</t>
  </si>
  <si>
    <t>Khur Maksar</t>
  </si>
  <si>
    <t>خور مكسر</t>
  </si>
  <si>
    <t>YE2408</t>
  </si>
  <si>
    <t>Aden</t>
  </si>
  <si>
    <t>YE24</t>
  </si>
  <si>
    <t>Ar Radmah</t>
  </si>
  <si>
    <t>الرضمة</t>
  </si>
  <si>
    <t>YE1103</t>
  </si>
  <si>
    <t>An Nadirah</t>
  </si>
  <si>
    <t>النادرة</t>
  </si>
  <si>
    <t>YE1104</t>
  </si>
  <si>
    <t>Ash Sha'ir</t>
  </si>
  <si>
    <t>الشعر</t>
  </si>
  <si>
    <t>YE1105</t>
  </si>
  <si>
    <t>Sibah</t>
  </si>
  <si>
    <t>سباح</t>
  </si>
  <si>
    <t>YE1205</t>
  </si>
  <si>
    <t>Abyan</t>
  </si>
  <si>
    <t>YE12</t>
  </si>
  <si>
    <t>As Saddah</t>
  </si>
  <si>
    <t>السدة</t>
  </si>
  <si>
    <t>YE1106</t>
  </si>
  <si>
    <t>Al Makhadir</t>
  </si>
  <si>
    <t>المخادر</t>
  </si>
  <si>
    <t>YE1107</t>
  </si>
  <si>
    <t>Hubaysh</t>
  </si>
  <si>
    <t>حبيش</t>
  </si>
  <si>
    <t>YE1108</t>
  </si>
  <si>
    <t>Hazm Al Udayn</t>
  </si>
  <si>
    <t>حزم العدين</t>
  </si>
  <si>
    <t>YE1109</t>
  </si>
  <si>
    <t>Far Al Udayn</t>
  </si>
  <si>
    <t>فرع العدين</t>
  </si>
  <si>
    <t>YE1110</t>
  </si>
  <si>
    <t>Al Udayn</t>
  </si>
  <si>
    <t>العدين</t>
  </si>
  <si>
    <t>YE1111</t>
  </si>
  <si>
    <t>Jiblah</t>
  </si>
  <si>
    <t>جبلة</t>
  </si>
  <si>
    <t>YE1112</t>
  </si>
  <si>
    <t>Ba'dan</t>
  </si>
  <si>
    <t>بعدان</t>
  </si>
  <si>
    <t>YE1113</t>
  </si>
  <si>
    <t>As Sabrah</t>
  </si>
  <si>
    <t>السبرة</t>
  </si>
  <si>
    <t>YE1114</t>
  </si>
  <si>
    <t>Zingibar</t>
  </si>
  <si>
    <t>زنجبار</t>
  </si>
  <si>
    <t>YE1210</t>
  </si>
  <si>
    <t>Khanfir</t>
  </si>
  <si>
    <t>خنفر</t>
  </si>
  <si>
    <t>YE1211</t>
  </si>
  <si>
    <t>As Sayyani</t>
  </si>
  <si>
    <t>السياني</t>
  </si>
  <si>
    <t>YE1115</t>
  </si>
  <si>
    <t>Old City</t>
  </si>
  <si>
    <t>صنعاء القديمة</t>
  </si>
  <si>
    <t>YE1301</t>
  </si>
  <si>
    <t>Sana'a City</t>
  </si>
  <si>
    <t>YE13</t>
  </si>
  <si>
    <t>Dhi As Sufal</t>
  </si>
  <si>
    <t>ذي السفال</t>
  </si>
  <si>
    <t>YE1116</t>
  </si>
  <si>
    <t>Mudhaykhirah</t>
  </si>
  <si>
    <t>مذيخرة</t>
  </si>
  <si>
    <t>YE1117</t>
  </si>
  <si>
    <t>Jihanah</t>
  </si>
  <si>
    <t>جحانة</t>
  </si>
  <si>
    <t>YE2316</t>
  </si>
  <si>
    <t>Sana'a</t>
  </si>
  <si>
    <t>YE23</t>
  </si>
  <si>
    <t>Al Mashannah</t>
  </si>
  <si>
    <t>المشنة</t>
  </si>
  <si>
    <t>YE1118</t>
  </si>
  <si>
    <t>Al Mahfad</t>
  </si>
  <si>
    <t>المحفد</t>
  </si>
  <si>
    <t>YE1201</t>
  </si>
  <si>
    <t>Bidbadah</t>
  </si>
  <si>
    <t>بدبده</t>
  </si>
  <si>
    <t>YE2605</t>
  </si>
  <si>
    <t>Ma'rib</t>
  </si>
  <si>
    <t>YE26</t>
  </si>
  <si>
    <t>Mudiyah</t>
  </si>
  <si>
    <t>موديه</t>
  </si>
  <si>
    <t>YE1202</t>
  </si>
  <si>
    <t>Jayshan</t>
  </si>
  <si>
    <t>جيشان</t>
  </si>
  <si>
    <t>YE1203</t>
  </si>
  <si>
    <t>Hamdan</t>
  </si>
  <si>
    <t>همدان</t>
  </si>
  <si>
    <t>YE2319</t>
  </si>
  <si>
    <t>Lawdar</t>
  </si>
  <si>
    <t>لودر</t>
  </si>
  <si>
    <t>YE1204</t>
  </si>
  <si>
    <t>Rasad</t>
  </si>
  <si>
    <t>رصد</t>
  </si>
  <si>
    <t>YE1206</t>
  </si>
  <si>
    <t>At Taffah</t>
  </si>
  <si>
    <t>الطفة</t>
  </si>
  <si>
    <t>YE1407</t>
  </si>
  <si>
    <t>Al Bayda</t>
  </si>
  <si>
    <t>YE14</t>
  </si>
  <si>
    <t>Sarar</t>
  </si>
  <si>
    <t>سرار</t>
  </si>
  <si>
    <t>YE1207</t>
  </si>
  <si>
    <t>Al Wade'a</t>
  </si>
  <si>
    <t>الوضيع</t>
  </si>
  <si>
    <t>YE1208</t>
  </si>
  <si>
    <t>Ahwar</t>
  </si>
  <si>
    <t>احوار</t>
  </si>
  <si>
    <t>YE1209</t>
  </si>
  <si>
    <t>Shu'aub</t>
  </si>
  <si>
    <t>شعوب</t>
  </si>
  <si>
    <t>YE1302</t>
  </si>
  <si>
    <t>As Sawadiyah</t>
  </si>
  <si>
    <t>السوادية</t>
  </si>
  <si>
    <t>YE1411</t>
  </si>
  <si>
    <t>Az'zal</t>
  </si>
  <si>
    <t>أزال</t>
  </si>
  <si>
    <t>YE1303</t>
  </si>
  <si>
    <t>Az Zahir</t>
  </si>
  <si>
    <t>الزاهر</t>
  </si>
  <si>
    <t>YE1405</t>
  </si>
  <si>
    <t>Assafi'yah</t>
  </si>
  <si>
    <t>الصافية</t>
  </si>
  <si>
    <t>YE1304</t>
  </si>
  <si>
    <t>Dhi Na'im</t>
  </si>
  <si>
    <t>ذي ناعم</t>
  </si>
  <si>
    <t>YE1406</t>
  </si>
  <si>
    <t>Al Wahdah</t>
  </si>
  <si>
    <t>الوحدة</t>
  </si>
  <si>
    <t>YE1306</t>
  </si>
  <si>
    <t>At Tahrir</t>
  </si>
  <si>
    <t>التحرير</t>
  </si>
  <si>
    <t>YE1307</t>
  </si>
  <si>
    <t>Ma'ain</t>
  </si>
  <si>
    <t>معين</t>
  </si>
  <si>
    <t>YE1308</t>
  </si>
  <si>
    <t>Ath'thaorah</t>
  </si>
  <si>
    <t>الثورة</t>
  </si>
  <si>
    <t>YE1309</t>
  </si>
  <si>
    <t>Bani Al Harith</t>
  </si>
  <si>
    <t>بني الحارث</t>
  </si>
  <si>
    <t>YE1310</t>
  </si>
  <si>
    <t>Radman Al Awad</t>
  </si>
  <si>
    <t>ردمان</t>
  </si>
  <si>
    <t>YE1412</t>
  </si>
  <si>
    <t>Sanhan</t>
  </si>
  <si>
    <t>سنحان وبني بهلول</t>
  </si>
  <si>
    <t>YE2305</t>
  </si>
  <si>
    <t>Na'man</t>
  </si>
  <si>
    <t>نعمان</t>
  </si>
  <si>
    <t>YE1401</t>
  </si>
  <si>
    <t>Sabah</t>
  </si>
  <si>
    <t>صباح</t>
  </si>
  <si>
    <t>YE1417</t>
  </si>
  <si>
    <t>Nati'</t>
  </si>
  <si>
    <t>ناطع</t>
  </si>
  <si>
    <t>YE1402</t>
  </si>
  <si>
    <t>Maswarah</t>
  </si>
  <si>
    <t>مسورة</t>
  </si>
  <si>
    <t>YE1403</t>
  </si>
  <si>
    <t>As Sawma'ah</t>
  </si>
  <si>
    <t>الصومعة</t>
  </si>
  <si>
    <t>YE1404</t>
  </si>
  <si>
    <t>Mukayras</t>
  </si>
  <si>
    <t>مكيراس</t>
  </si>
  <si>
    <t>YE1408</t>
  </si>
  <si>
    <t>Al Bayda City</t>
  </si>
  <si>
    <t>مدينة البيضاء</t>
  </si>
  <si>
    <t>YE1409</t>
  </si>
  <si>
    <t>البيضاء</t>
  </si>
  <si>
    <t>YE1410</t>
  </si>
  <si>
    <t>Rada'</t>
  </si>
  <si>
    <t>رداع</t>
  </si>
  <si>
    <t>YE1413</t>
  </si>
  <si>
    <t>Al Quraishyah</t>
  </si>
  <si>
    <t>القريشية</t>
  </si>
  <si>
    <t>YE1414</t>
  </si>
  <si>
    <t>Wald Rabi'</t>
  </si>
  <si>
    <t>ولد ربيع</t>
  </si>
  <si>
    <t>YE1415</t>
  </si>
  <si>
    <t>Al A'rsh</t>
  </si>
  <si>
    <t>العرش</t>
  </si>
  <si>
    <t>YE1416</t>
  </si>
  <si>
    <t>Mawza</t>
  </si>
  <si>
    <t>موزع</t>
  </si>
  <si>
    <t>YE1507</t>
  </si>
  <si>
    <t>Ta'iz</t>
  </si>
  <si>
    <t>YE15</t>
  </si>
  <si>
    <t>Ar Ryashyyah</t>
  </si>
  <si>
    <t>الرياشية</t>
  </si>
  <si>
    <t>YE1418</t>
  </si>
  <si>
    <t>As Silw</t>
  </si>
  <si>
    <t>الصلو</t>
  </si>
  <si>
    <t>YE1513</t>
  </si>
  <si>
    <t>Ash Sharyah</t>
  </si>
  <si>
    <t>الشرية</t>
  </si>
  <si>
    <t>YE1419</t>
  </si>
  <si>
    <t>Al Malagim</t>
  </si>
  <si>
    <t>الملاجم</t>
  </si>
  <si>
    <t>YE1420</t>
  </si>
  <si>
    <t>Mawiyah</t>
  </si>
  <si>
    <t>ماوية</t>
  </si>
  <si>
    <t>YE1501</t>
  </si>
  <si>
    <t>Shara'b As Salam</t>
  </si>
  <si>
    <t>شرعب السلام</t>
  </si>
  <si>
    <t>YE1502</t>
  </si>
  <si>
    <t>Shara'b Ar Rawnah</t>
  </si>
  <si>
    <t>شرعب الرونة</t>
  </si>
  <si>
    <t>YE1503</t>
  </si>
  <si>
    <t>Maqbanah</t>
  </si>
  <si>
    <t>مقبنة</t>
  </si>
  <si>
    <t>YE1504</t>
  </si>
  <si>
    <t>Al  Mukha</t>
  </si>
  <si>
    <t>المخاء</t>
  </si>
  <si>
    <t>YE1505</t>
  </si>
  <si>
    <t>Dhubab</t>
  </si>
  <si>
    <t>ذباب</t>
  </si>
  <si>
    <t>YE1506</t>
  </si>
  <si>
    <t>Jabal Habashy</t>
  </si>
  <si>
    <t>جبل حبشي</t>
  </si>
  <si>
    <t>YE1508</t>
  </si>
  <si>
    <t>Mashra'a Wa Hadnan</t>
  </si>
  <si>
    <t>مشرعة وحدنان</t>
  </si>
  <si>
    <t>YE1509</t>
  </si>
  <si>
    <t>Sabir Al Mawadim</t>
  </si>
  <si>
    <t>صبر الموادم</t>
  </si>
  <si>
    <t>YE1510</t>
  </si>
  <si>
    <t>Al Misrakh</t>
  </si>
  <si>
    <t>المسراخ</t>
  </si>
  <si>
    <t>YE1511</t>
  </si>
  <si>
    <t>Al Humaydat</t>
  </si>
  <si>
    <t>الحميدات</t>
  </si>
  <si>
    <t>YE1602</t>
  </si>
  <si>
    <t>Al Jawf</t>
  </si>
  <si>
    <t>YE16</t>
  </si>
  <si>
    <t>Dimnat Khadir</t>
  </si>
  <si>
    <t>دمنة خدير</t>
  </si>
  <si>
    <t>YE1512</t>
  </si>
  <si>
    <t>Ash Shamayatayn</t>
  </si>
  <si>
    <t>الشمايتين</t>
  </si>
  <si>
    <t>YE1514</t>
  </si>
  <si>
    <t>Al Wazi'iyah</t>
  </si>
  <si>
    <t>الوازعية</t>
  </si>
  <si>
    <t>YE1515</t>
  </si>
  <si>
    <t>Hayfan</t>
  </si>
  <si>
    <t>حيفان</t>
  </si>
  <si>
    <t>YE1516</t>
  </si>
  <si>
    <t>Al Mudhaffar</t>
  </si>
  <si>
    <t>المظفر</t>
  </si>
  <si>
    <t>YE1517</t>
  </si>
  <si>
    <t>Al Qahirah</t>
  </si>
  <si>
    <t>القاهرة</t>
  </si>
  <si>
    <t>YE1518</t>
  </si>
  <si>
    <t>Salh</t>
  </si>
  <si>
    <t>صالة</t>
  </si>
  <si>
    <t>YE1519</t>
  </si>
  <si>
    <t>At Ta'iziyah</t>
  </si>
  <si>
    <t>التعزية</t>
  </si>
  <si>
    <t>YE1520</t>
  </si>
  <si>
    <t>Al Ma'afer</t>
  </si>
  <si>
    <t>المعافر</t>
  </si>
  <si>
    <t>YE1521</t>
  </si>
  <si>
    <t>Merkhah Al Ulya</t>
  </si>
  <si>
    <t>مرخه العليا</t>
  </si>
  <si>
    <t>YE2108</t>
  </si>
  <si>
    <t>Shabwah</t>
  </si>
  <si>
    <t>YE21</t>
  </si>
  <si>
    <t>Al Mawasit</t>
  </si>
  <si>
    <t>المواسط</t>
  </si>
  <si>
    <t>YE1522</t>
  </si>
  <si>
    <t>Sama</t>
  </si>
  <si>
    <t>سامع</t>
  </si>
  <si>
    <t>YE1523</t>
  </si>
  <si>
    <t>Khabb wa ash Sha'af</t>
  </si>
  <si>
    <t>خب و الشعف</t>
  </si>
  <si>
    <t>YE1601</t>
  </si>
  <si>
    <t>Al Matammah</t>
  </si>
  <si>
    <t>المطمه</t>
  </si>
  <si>
    <t>YE1603</t>
  </si>
  <si>
    <t>YE1604</t>
  </si>
  <si>
    <t>Al Hazm</t>
  </si>
  <si>
    <t>الحزم</t>
  </si>
  <si>
    <t>YE1605</t>
  </si>
  <si>
    <t>Al Maton</t>
  </si>
  <si>
    <t>المتون</t>
  </si>
  <si>
    <t>YE1606</t>
  </si>
  <si>
    <t>Al Maslub</t>
  </si>
  <si>
    <t>المصلوب</t>
  </si>
  <si>
    <t>YE1607</t>
  </si>
  <si>
    <t>Al Ghayl</t>
  </si>
  <si>
    <t>الغيل</t>
  </si>
  <si>
    <t>YE1608</t>
  </si>
  <si>
    <t>Al Khalq</t>
  </si>
  <si>
    <t>الخلق</t>
  </si>
  <si>
    <t>YE1609</t>
  </si>
  <si>
    <t>Bart Al Anan</t>
  </si>
  <si>
    <t>برط العنان</t>
  </si>
  <si>
    <t>YE1610</t>
  </si>
  <si>
    <t>Rajuzah</t>
  </si>
  <si>
    <t>رجوزه</t>
  </si>
  <si>
    <t>YE1611</t>
  </si>
  <si>
    <t>Kharab Al Marashi</t>
  </si>
  <si>
    <t>خراب المراشى</t>
  </si>
  <si>
    <t>YE1612</t>
  </si>
  <si>
    <t>Bakil Al Mir</t>
  </si>
  <si>
    <t>بكيل المير</t>
  </si>
  <si>
    <t>YE1701</t>
  </si>
  <si>
    <t>Hajjah</t>
  </si>
  <si>
    <t>YE17</t>
  </si>
  <si>
    <t>Haradh</t>
  </si>
  <si>
    <t>حرض</t>
  </si>
  <si>
    <t>YE1702</t>
  </si>
  <si>
    <t>Midi</t>
  </si>
  <si>
    <t>ميدي</t>
  </si>
  <si>
    <t>YE1703</t>
  </si>
  <si>
    <t>Abs</t>
  </si>
  <si>
    <t>عبس</t>
  </si>
  <si>
    <t>YE1704</t>
  </si>
  <si>
    <t>Hayran</t>
  </si>
  <si>
    <t>حيران</t>
  </si>
  <si>
    <t>YE1705</t>
  </si>
  <si>
    <t>Al Jamimah</t>
  </si>
  <si>
    <t>الجميمة</t>
  </si>
  <si>
    <t>YE1708</t>
  </si>
  <si>
    <t>Mustaba</t>
  </si>
  <si>
    <t>مستباء</t>
  </si>
  <si>
    <t>YE1706</t>
  </si>
  <si>
    <t>Kushar</t>
  </si>
  <si>
    <t>كشر</t>
  </si>
  <si>
    <t>YE1707</t>
  </si>
  <si>
    <t>Kuhlan Ash Sharaf</t>
  </si>
  <si>
    <t>كحلان الشرف</t>
  </si>
  <si>
    <t>YE1709</t>
  </si>
  <si>
    <t>Aflah Ash Shawm</t>
  </si>
  <si>
    <t>افلح الشام</t>
  </si>
  <si>
    <t>YE1710</t>
  </si>
  <si>
    <t>Khayran Al Muharraq</t>
  </si>
  <si>
    <t>خيران المحرق</t>
  </si>
  <si>
    <t>YE1711</t>
  </si>
  <si>
    <t>Aslem</t>
  </si>
  <si>
    <t>اسلم</t>
  </si>
  <si>
    <t>YE1712</t>
  </si>
  <si>
    <t>Al Hajjaylah</t>
  </si>
  <si>
    <t>الحجيلة</t>
  </si>
  <si>
    <t>YE1811</t>
  </si>
  <si>
    <t>Al Hodeidah</t>
  </si>
  <si>
    <t>YE18</t>
  </si>
  <si>
    <t>Qafl Shamer</t>
  </si>
  <si>
    <t>قفل شمر</t>
  </si>
  <si>
    <t>YE1713</t>
  </si>
  <si>
    <t>Al Miftah</t>
  </si>
  <si>
    <t>المفتاح</t>
  </si>
  <si>
    <t>YE1716</t>
  </si>
  <si>
    <t>Aflah Al Yaman</t>
  </si>
  <si>
    <t>افلح اليمن</t>
  </si>
  <si>
    <t>YE1714</t>
  </si>
  <si>
    <t>Ash Shahil</t>
  </si>
  <si>
    <t>الشاهل</t>
  </si>
  <si>
    <t>YE1721</t>
  </si>
  <si>
    <t>Ku'aydinah</t>
  </si>
  <si>
    <t>كعيدنه</t>
  </si>
  <si>
    <t>YE1722</t>
  </si>
  <si>
    <t>Al Mahabishah</t>
  </si>
  <si>
    <t>المحابشة</t>
  </si>
  <si>
    <t>YE1715</t>
  </si>
  <si>
    <t>Wadhrah</t>
  </si>
  <si>
    <t>وضرة</t>
  </si>
  <si>
    <t>YE1723</t>
  </si>
  <si>
    <t>Al Maghrabah</t>
  </si>
  <si>
    <t>المغربة</t>
  </si>
  <si>
    <t>YE1717</t>
  </si>
  <si>
    <t>Kuhlan Affar</t>
  </si>
  <si>
    <t>كحلان عفار</t>
  </si>
  <si>
    <t>YE1718</t>
  </si>
  <si>
    <t>Najrah</t>
  </si>
  <si>
    <t>نجرة</t>
  </si>
  <si>
    <t>YE1726</t>
  </si>
  <si>
    <t>Sharas</t>
  </si>
  <si>
    <t>شرس</t>
  </si>
  <si>
    <t>YE1719</t>
  </si>
  <si>
    <t>Mabyan</t>
  </si>
  <si>
    <t>مبين</t>
  </si>
  <si>
    <t>YE1720</t>
  </si>
  <si>
    <t>Bani Qa'is</t>
  </si>
  <si>
    <t>بني قيس</t>
  </si>
  <si>
    <t>YE1724</t>
  </si>
  <si>
    <t>Ash Shaghadirah</t>
  </si>
  <si>
    <t>الشغادرة</t>
  </si>
  <si>
    <t>YE1725</t>
  </si>
  <si>
    <t>Bani Al Awam</t>
  </si>
  <si>
    <t>بني العوام</t>
  </si>
  <si>
    <t>YE1727</t>
  </si>
  <si>
    <t>Hays</t>
  </si>
  <si>
    <t>حيس</t>
  </si>
  <si>
    <t>YE1819</t>
  </si>
  <si>
    <t>Al Khawkhah</t>
  </si>
  <si>
    <t>الخوخه</t>
  </si>
  <si>
    <t>YE1820</t>
  </si>
  <si>
    <t>Hajjah City</t>
  </si>
  <si>
    <t>مدينة حجة</t>
  </si>
  <si>
    <t>YE1728</t>
  </si>
  <si>
    <t>حجة</t>
  </si>
  <si>
    <t>YE1729</t>
  </si>
  <si>
    <t>Ash Shihr</t>
  </si>
  <si>
    <t>الشحر</t>
  </si>
  <si>
    <t>YE1915</t>
  </si>
  <si>
    <t>Hadramawt</t>
  </si>
  <si>
    <t>YE19</t>
  </si>
  <si>
    <t>Ghayl Bin Yamin</t>
  </si>
  <si>
    <t>غيل بن يمين</t>
  </si>
  <si>
    <t>YE1916</t>
  </si>
  <si>
    <t>Ghayl Ba Wazir</t>
  </si>
  <si>
    <t>غيل باوزير</t>
  </si>
  <si>
    <t>YE1917</t>
  </si>
  <si>
    <t>Washhah</t>
  </si>
  <si>
    <t>وشحة</t>
  </si>
  <si>
    <t>YE1730</t>
  </si>
  <si>
    <t>Az Zuhrah</t>
  </si>
  <si>
    <t>الزهرة</t>
  </si>
  <si>
    <t>YE1801</t>
  </si>
  <si>
    <t>Alluheyah</t>
  </si>
  <si>
    <t>اللحية</t>
  </si>
  <si>
    <t>YE1802</t>
  </si>
  <si>
    <t>Kamaran</t>
  </si>
  <si>
    <t>كمران</t>
  </si>
  <si>
    <t>YE1803</t>
  </si>
  <si>
    <t>As Salif</t>
  </si>
  <si>
    <t>الصليف</t>
  </si>
  <si>
    <t>YE1804</t>
  </si>
  <si>
    <t>Qarah</t>
  </si>
  <si>
    <t>قارة</t>
  </si>
  <si>
    <t>YE1731</t>
  </si>
  <si>
    <t>Al Munirah</t>
  </si>
  <si>
    <t>المنيرة</t>
  </si>
  <si>
    <t>YE1805</t>
  </si>
  <si>
    <t>As Said</t>
  </si>
  <si>
    <t>الصعيد</t>
  </si>
  <si>
    <t>YE2112</t>
  </si>
  <si>
    <t>Al Qanawis</t>
  </si>
  <si>
    <t>القناوص</t>
  </si>
  <si>
    <t>YE1806</t>
  </si>
  <si>
    <t>Al Mighlaf</t>
  </si>
  <si>
    <t>المغلاف</t>
  </si>
  <si>
    <t>YE1808</t>
  </si>
  <si>
    <t>Az Zaydiyah</t>
  </si>
  <si>
    <t>الزيدية</t>
  </si>
  <si>
    <t>YE1807</t>
  </si>
  <si>
    <t>Ad Dahi</t>
  </si>
  <si>
    <t>الضحي</t>
  </si>
  <si>
    <t>YE1809</t>
  </si>
  <si>
    <t>Bajil</t>
  </si>
  <si>
    <t>باجل</t>
  </si>
  <si>
    <t>YE1810</t>
  </si>
  <si>
    <t>Ataq</t>
  </si>
  <si>
    <t>عتق</t>
  </si>
  <si>
    <t>YE2113</t>
  </si>
  <si>
    <t>Bura</t>
  </si>
  <si>
    <t>براع</t>
  </si>
  <si>
    <t>YE1812</t>
  </si>
  <si>
    <t>Habban</t>
  </si>
  <si>
    <t>حبان</t>
  </si>
  <si>
    <t>YE2114</t>
  </si>
  <si>
    <t>Al Marawi'ah</t>
  </si>
  <si>
    <t>المراوعة</t>
  </si>
  <si>
    <t>YE1813</t>
  </si>
  <si>
    <t>Ad Durayhimi</t>
  </si>
  <si>
    <t>الدريهمي</t>
  </si>
  <si>
    <t>YE1814</t>
  </si>
  <si>
    <t>As Sukhnah</t>
  </si>
  <si>
    <t>السخنة</t>
  </si>
  <si>
    <t>YE1815</t>
  </si>
  <si>
    <t>Al Mansuriyah</t>
  </si>
  <si>
    <t>المنصورية</t>
  </si>
  <si>
    <t>YE1816</t>
  </si>
  <si>
    <t>Bayt Al Faqiah</t>
  </si>
  <si>
    <t>بيت الفقيه</t>
  </si>
  <si>
    <t>YE1817</t>
  </si>
  <si>
    <t>Jabal Ra's</t>
  </si>
  <si>
    <t>جبل راس</t>
  </si>
  <si>
    <t>YE1818</t>
  </si>
  <si>
    <t>Qatabir</t>
  </si>
  <si>
    <t>قطابر</t>
  </si>
  <si>
    <t>YE2202</t>
  </si>
  <si>
    <t>Sa'dah</t>
  </si>
  <si>
    <t>YE22</t>
  </si>
  <si>
    <t>Al Hawak</t>
  </si>
  <si>
    <t>الحوك</t>
  </si>
  <si>
    <t>YE1821</t>
  </si>
  <si>
    <t>Al Mina</t>
  </si>
  <si>
    <t>الميناء</t>
  </si>
  <si>
    <t>YE1822</t>
  </si>
  <si>
    <t>Monabbih</t>
  </si>
  <si>
    <t>منبه</t>
  </si>
  <si>
    <t>YE2203</t>
  </si>
  <si>
    <t>Al Hali</t>
  </si>
  <si>
    <t>الحالي</t>
  </si>
  <si>
    <t>YE1823</t>
  </si>
  <si>
    <t>Zabid</t>
  </si>
  <si>
    <t>زبيد</t>
  </si>
  <si>
    <t>YE1824</t>
  </si>
  <si>
    <t>Al Garrahi</t>
  </si>
  <si>
    <t>الجراحي</t>
  </si>
  <si>
    <t>YE1825</t>
  </si>
  <si>
    <t>At Tuhayat</t>
  </si>
  <si>
    <t>التحيتا</t>
  </si>
  <si>
    <t>YE1826</t>
  </si>
  <si>
    <t>Rumah</t>
  </si>
  <si>
    <t>رماه</t>
  </si>
  <si>
    <t>YE1901</t>
  </si>
  <si>
    <t>Thamud</t>
  </si>
  <si>
    <t>ثمود</t>
  </si>
  <si>
    <t>YE1902</t>
  </si>
  <si>
    <t>Al Qaf</t>
  </si>
  <si>
    <t>القف</t>
  </si>
  <si>
    <t>YE1903</t>
  </si>
  <si>
    <t>Zamakh wa Manwakh</t>
  </si>
  <si>
    <t>زموخ ومنوخ</t>
  </si>
  <si>
    <t>YE1904</t>
  </si>
  <si>
    <t>Hagr As Sai'ar</t>
  </si>
  <si>
    <t>حجر الصيعر</t>
  </si>
  <si>
    <t>YE1905</t>
  </si>
  <si>
    <t>Al Abr</t>
  </si>
  <si>
    <t>العبر</t>
  </si>
  <si>
    <t>YE1906</t>
  </si>
  <si>
    <t>Al Qatn</t>
  </si>
  <si>
    <t>YE1907</t>
  </si>
  <si>
    <t>Shibam</t>
  </si>
  <si>
    <t>شبام</t>
  </si>
  <si>
    <t>YE1908</t>
  </si>
  <si>
    <t>Sah</t>
  </si>
  <si>
    <t>ساه</t>
  </si>
  <si>
    <t>YE1909</t>
  </si>
  <si>
    <t>Sayun</t>
  </si>
  <si>
    <t>سيئون</t>
  </si>
  <si>
    <t>YE1910</t>
  </si>
  <si>
    <t>Huraidhah</t>
  </si>
  <si>
    <t>حريضه</t>
  </si>
  <si>
    <t>YE1928</t>
  </si>
  <si>
    <t>Tarim</t>
  </si>
  <si>
    <t>تريم</t>
  </si>
  <si>
    <t>YE1911</t>
  </si>
  <si>
    <t>As Sawm</t>
  </si>
  <si>
    <t>السوم</t>
  </si>
  <si>
    <t>YE1912</t>
  </si>
  <si>
    <t>Ar Raydah Wa Qusayar</t>
  </si>
  <si>
    <t>الريده وقصيعر</t>
  </si>
  <si>
    <t>YE1913</t>
  </si>
  <si>
    <t>Ad Dis</t>
  </si>
  <si>
    <t>الديس</t>
  </si>
  <si>
    <t>YE1914</t>
  </si>
  <si>
    <t>Daw'an</t>
  </si>
  <si>
    <t>دوعن</t>
  </si>
  <si>
    <t>YE1918</t>
  </si>
  <si>
    <t>Wadi Al Ayn</t>
  </si>
  <si>
    <t>وادي العين وحوره</t>
  </si>
  <si>
    <t>YE1919</t>
  </si>
  <si>
    <t>Rakhyah</t>
  </si>
  <si>
    <t>رخيه</t>
  </si>
  <si>
    <t>YE1920</t>
  </si>
  <si>
    <t>Amd</t>
  </si>
  <si>
    <t>عمد</t>
  </si>
  <si>
    <t>YE1921</t>
  </si>
  <si>
    <t>Adh Dhlia'ah</t>
  </si>
  <si>
    <t>الضليعه</t>
  </si>
  <si>
    <t>YE1922</t>
  </si>
  <si>
    <t>Yabuth</t>
  </si>
  <si>
    <t>يبعث</t>
  </si>
  <si>
    <t>YE1923</t>
  </si>
  <si>
    <t>Ghamr</t>
  </si>
  <si>
    <t>غمر</t>
  </si>
  <si>
    <t>YE2204</t>
  </si>
  <si>
    <t>Hajr</t>
  </si>
  <si>
    <t>حجر</t>
  </si>
  <si>
    <t>YE1924</t>
  </si>
  <si>
    <t>Brom Mayfa</t>
  </si>
  <si>
    <t>بروم ميفع</t>
  </si>
  <si>
    <t>YE1925</t>
  </si>
  <si>
    <t>Al Mukalla</t>
  </si>
  <si>
    <t>المكلا</t>
  </si>
  <si>
    <t>YE1926</t>
  </si>
  <si>
    <t>Al Mukalla City</t>
  </si>
  <si>
    <t>مدينة المكلا</t>
  </si>
  <si>
    <t>YE1927</t>
  </si>
  <si>
    <t>Al Hada</t>
  </si>
  <si>
    <t>الحداء</t>
  </si>
  <si>
    <t>YE2001</t>
  </si>
  <si>
    <t>Dhamar</t>
  </si>
  <si>
    <t>YE20</t>
  </si>
  <si>
    <t>Mayfa'at Anss</t>
  </si>
  <si>
    <t>ميفعة عنس</t>
  </si>
  <si>
    <t>YE2009</t>
  </si>
  <si>
    <t>Jahran</t>
  </si>
  <si>
    <t>جهران</t>
  </si>
  <si>
    <t>YE2002</t>
  </si>
  <si>
    <t>Arma</t>
  </si>
  <si>
    <t>عرماء</t>
  </si>
  <si>
    <t>YE2104</t>
  </si>
  <si>
    <t>Jabal Ash sharq</t>
  </si>
  <si>
    <t>جبل الشرق</t>
  </si>
  <si>
    <t>YE2003</t>
  </si>
  <si>
    <t>Usaylan</t>
  </si>
  <si>
    <t>عسيلان</t>
  </si>
  <si>
    <t>YE2105</t>
  </si>
  <si>
    <t>Maghirib Ans</t>
  </si>
  <si>
    <t>مغرب عنس</t>
  </si>
  <si>
    <t>YE2004</t>
  </si>
  <si>
    <t>Utmah</t>
  </si>
  <si>
    <t>عتمة</t>
  </si>
  <si>
    <t>YE2005</t>
  </si>
  <si>
    <t>Wusab Al Ali</t>
  </si>
  <si>
    <t>وصاب العالي</t>
  </si>
  <si>
    <t>YE2006</t>
  </si>
  <si>
    <t>Wusab As Safil</t>
  </si>
  <si>
    <t>وصاب السافل</t>
  </si>
  <si>
    <t>YE2007</t>
  </si>
  <si>
    <t>Dhamar City</t>
  </si>
  <si>
    <t>مدينة ذمار</t>
  </si>
  <si>
    <t>YE2008</t>
  </si>
  <si>
    <t>Anss</t>
  </si>
  <si>
    <t>عنس</t>
  </si>
  <si>
    <t>YE2010</t>
  </si>
  <si>
    <t>Dawran Aness</t>
  </si>
  <si>
    <t>ضوران اًنس</t>
  </si>
  <si>
    <t>YE2011</t>
  </si>
  <si>
    <t>Al Manar</t>
  </si>
  <si>
    <t>المنار</t>
  </si>
  <si>
    <t>YE2012</t>
  </si>
  <si>
    <t>Dhar</t>
  </si>
  <si>
    <t>دهر</t>
  </si>
  <si>
    <t>YE2101</t>
  </si>
  <si>
    <t>Al Talh</t>
  </si>
  <si>
    <t>الطلح</t>
  </si>
  <si>
    <t>YE2102</t>
  </si>
  <si>
    <t>Jardan</t>
  </si>
  <si>
    <t>جردان</t>
  </si>
  <si>
    <t>YE2103</t>
  </si>
  <si>
    <t>Ain</t>
  </si>
  <si>
    <t>عين</t>
  </si>
  <si>
    <t>YE2106</t>
  </si>
  <si>
    <t>Bayhan</t>
  </si>
  <si>
    <t>بيحان</t>
  </si>
  <si>
    <t>YE2107</t>
  </si>
  <si>
    <t>Merkhah As Sufla</t>
  </si>
  <si>
    <t>مرخه السفلى</t>
  </si>
  <si>
    <t>YE2109</t>
  </si>
  <si>
    <t>Nisab</t>
  </si>
  <si>
    <t>نصاب</t>
  </si>
  <si>
    <t>YE2110</t>
  </si>
  <si>
    <t>Razih</t>
  </si>
  <si>
    <t>رازح</t>
  </si>
  <si>
    <t>YE2205</t>
  </si>
  <si>
    <t>Hatib</t>
  </si>
  <si>
    <t>حطيب</t>
  </si>
  <si>
    <t>YE2111</t>
  </si>
  <si>
    <t>Shada'a</t>
  </si>
  <si>
    <t>شداء</t>
  </si>
  <si>
    <t>YE2206</t>
  </si>
  <si>
    <t>Ar Rawdah</t>
  </si>
  <si>
    <t>الروضه</t>
  </si>
  <si>
    <t>YE2115</t>
  </si>
  <si>
    <t>Al Dhaher</t>
  </si>
  <si>
    <t>الظاهر</t>
  </si>
  <si>
    <t>YE2207</t>
  </si>
  <si>
    <t>Mayfa'a</t>
  </si>
  <si>
    <t>ميفعه</t>
  </si>
  <si>
    <t>YE2116</t>
  </si>
  <si>
    <t>Rudum</t>
  </si>
  <si>
    <t>رضوم</t>
  </si>
  <si>
    <t>YE2117</t>
  </si>
  <si>
    <t>Baqim</t>
  </si>
  <si>
    <t>باقم</t>
  </si>
  <si>
    <t>YE2201</t>
  </si>
  <si>
    <t>Arhab</t>
  </si>
  <si>
    <t>ارحب</t>
  </si>
  <si>
    <t>YE2302</t>
  </si>
  <si>
    <t>Haydan</t>
  </si>
  <si>
    <t>حيدان</t>
  </si>
  <si>
    <t>YE2208</t>
  </si>
  <si>
    <t>Nihm</t>
  </si>
  <si>
    <t>نهم</t>
  </si>
  <si>
    <t>YE2303</t>
  </si>
  <si>
    <t>Bani Hushaysh</t>
  </si>
  <si>
    <t>بني حشيش</t>
  </si>
  <si>
    <t>YE2304</t>
  </si>
  <si>
    <t>Saqayn</t>
  </si>
  <si>
    <t>ساقين</t>
  </si>
  <si>
    <t>YE2209</t>
  </si>
  <si>
    <t>Bani Matar</t>
  </si>
  <si>
    <t>بني مطر</t>
  </si>
  <si>
    <t>YE2307</t>
  </si>
  <si>
    <t>Raghwan</t>
  </si>
  <si>
    <t>رغوان</t>
  </si>
  <si>
    <t>YE2602</t>
  </si>
  <si>
    <t>Majz</t>
  </si>
  <si>
    <t>مجز</t>
  </si>
  <si>
    <t>YE2210</t>
  </si>
  <si>
    <t>Sahar</t>
  </si>
  <si>
    <t>سحار</t>
  </si>
  <si>
    <t>YE2211</t>
  </si>
  <si>
    <t>As Safra</t>
  </si>
  <si>
    <t>الصفراء</t>
  </si>
  <si>
    <t>YE2212</t>
  </si>
  <si>
    <t>Al Hashwah</t>
  </si>
  <si>
    <t>الحشوه</t>
  </si>
  <si>
    <t>YE2213</t>
  </si>
  <si>
    <t>Kitaf wa Al Boqe'e</t>
  </si>
  <si>
    <t>كتاف والبقع</t>
  </si>
  <si>
    <t>YE2214</t>
  </si>
  <si>
    <t>Sa'adah</t>
  </si>
  <si>
    <t>صعدة</t>
  </si>
  <si>
    <t>YE2215</t>
  </si>
  <si>
    <t>Bilad Ar Rus</t>
  </si>
  <si>
    <t>بلاد الروس</t>
  </si>
  <si>
    <t>YE2306</t>
  </si>
  <si>
    <t>Al Haymah Ad Dakhiliyah</t>
  </si>
  <si>
    <t>الحيمة الداخلية</t>
  </si>
  <si>
    <t>YE2308</t>
  </si>
  <si>
    <t>Al Haymah Al Kharijiyah</t>
  </si>
  <si>
    <t>الحيمة الخارجية</t>
  </si>
  <si>
    <t>YE2309</t>
  </si>
  <si>
    <t>Manakhah</t>
  </si>
  <si>
    <t>مناخه</t>
  </si>
  <si>
    <t>YE2310</t>
  </si>
  <si>
    <t>Sa'fan</t>
  </si>
  <si>
    <t>صعفان</t>
  </si>
  <si>
    <t>YE2311</t>
  </si>
  <si>
    <t>Khwlan</t>
  </si>
  <si>
    <t>خولان</t>
  </si>
  <si>
    <t>YE2312</t>
  </si>
  <si>
    <t>Attyal</t>
  </si>
  <si>
    <t>الطيال</t>
  </si>
  <si>
    <t>YE2313</t>
  </si>
  <si>
    <t>Bani Dhabyan</t>
  </si>
  <si>
    <t>بني ضبيان</t>
  </si>
  <si>
    <t>YE2314</t>
  </si>
  <si>
    <t>Al Husn</t>
  </si>
  <si>
    <t>الحصن</t>
  </si>
  <si>
    <t>YE2315</t>
  </si>
  <si>
    <t>Dar Sad</t>
  </si>
  <si>
    <t>دار سعد</t>
  </si>
  <si>
    <t>YE2401</t>
  </si>
  <si>
    <t>Milhan</t>
  </si>
  <si>
    <t>ملحان</t>
  </si>
  <si>
    <t>YE2705</t>
  </si>
  <si>
    <t>Al Mahwit</t>
  </si>
  <si>
    <t>YE27</t>
  </si>
  <si>
    <t>Ash Shaikh Outhman</t>
  </si>
  <si>
    <t>الشيخ عثمان</t>
  </si>
  <si>
    <t>YE2402</t>
  </si>
  <si>
    <t>Yafa'a</t>
  </si>
  <si>
    <t>يافع</t>
  </si>
  <si>
    <t>YE2502</t>
  </si>
  <si>
    <t>Lahj</t>
  </si>
  <si>
    <t>YE25</t>
  </si>
  <si>
    <t>Al Mualla</t>
  </si>
  <si>
    <t>المعلا</t>
  </si>
  <si>
    <t>YE2406</t>
  </si>
  <si>
    <t>Al Mansura</t>
  </si>
  <si>
    <t>المنصورة</t>
  </si>
  <si>
    <t>YE2403</t>
  </si>
  <si>
    <t>Al Buraiqeh</t>
  </si>
  <si>
    <t>البريقه</t>
  </si>
  <si>
    <t>YE2404</t>
  </si>
  <si>
    <t>Attawahi</t>
  </si>
  <si>
    <t>التواهي</t>
  </si>
  <si>
    <t>YE2405</t>
  </si>
  <si>
    <t>Craiter</t>
  </si>
  <si>
    <t>كريتر</t>
  </si>
  <si>
    <t>YE2407</t>
  </si>
  <si>
    <t>Al Had</t>
  </si>
  <si>
    <t>الحد</t>
  </si>
  <si>
    <t>YE2501</t>
  </si>
  <si>
    <t>Al Maflahy</t>
  </si>
  <si>
    <t>المفلحي</t>
  </si>
  <si>
    <t>YE2503</t>
  </si>
  <si>
    <t>Yahr</t>
  </si>
  <si>
    <t>يهر</t>
  </si>
  <si>
    <t>YE2504</t>
  </si>
  <si>
    <t>Al Milah</t>
  </si>
  <si>
    <t>الملاح</t>
  </si>
  <si>
    <t>YE2508</t>
  </si>
  <si>
    <t>Tur Al Bahah</t>
  </si>
  <si>
    <t>طور الباحة</t>
  </si>
  <si>
    <t>YE2511</t>
  </si>
  <si>
    <t>Habil Jabr</t>
  </si>
  <si>
    <t>حبيل جبر</t>
  </si>
  <si>
    <t>YE2505</t>
  </si>
  <si>
    <t>Halimayn</t>
  </si>
  <si>
    <t>حالمين</t>
  </si>
  <si>
    <t>YE2506</t>
  </si>
  <si>
    <t>Radfan</t>
  </si>
  <si>
    <t>ردفان</t>
  </si>
  <si>
    <t>YE2507</t>
  </si>
  <si>
    <t>Hufash</t>
  </si>
  <si>
    <t>حفاش</t>
  </si>
  <si>
    <t>YE2706</t>
  </si>
  <si>
    <t>Bani Sa'd</t>
  </si>
  <si>
    <t>بني سعد</t>
  </si>
  <si>
    <t>YE2707</t>
  </si>
  <si>
    <t>Al Musaymir</t>
  </si>
  <si>
    <t>المسيمير</t>
  </si>
  <si>
    <t>YE2509</t>
  </si>
  <si>
    <t>Al Mahwait City</t>
  </si>
  <si>
    <t>مدينة المحويت</t>
  </si>
  <si>
    <t>YE2708</t>
  </si>
  <si>
    <t>Al Qabbaytah</t>
  </si>
  <si>
    <t>القبيطه</t>
  </si>
  <si>
    <t>YE2510</t>
  </si>
  <si>
    <t>Tuban</t>
  </si>
  <si>
    <t>تبن</t>
  </si>
  <si>
    <t>YE2515</t>
  </si>
  <si>
    <t>Majzar</t>
  </si>
  <si>
    <t>مجزر</t>
  </si>
  <si>
    <t>YE2601</t>
  </si>
  <si>
    <t>Al Maqatirah</t>
  </si>
  <si>
    <t>المقاطرة</t>
  </si>
  <si>
    <t>YE2512</t>
  </si>
  <si>
    <t>Al Madaribah Wa Al Arah</t>
  </si>
  <si>
    <t>المضاربة و العاره</t>
  </si>
  <si>
    <t>YE2513</t>
  </si>
  <si>
    <t>Al  Hawtah</t>
  </si>
  <si>
    <t>الحوطة</t>
  </si>
  <si>
    <t>YE2514</t>
  </si>
  <si>
    <t>Medghal</t>
  </si>
  <si>
    <t>مدغل</t>
  </si>
  <si>
    <t>YE2603</t>
  </si>
  <si>
    <t>Harib Al Qaramish</t>
  </si>
  <si>
    <t>حريب القرامش</t>
  </si>
  <si>
    <t>YE2604</t>
  </si>
  <si>
    <t>Sirwah</t>
  </si>
  <si>
    <t>صرواح</t>
  </si>
  <si>
    <t>YE2606</t>
  </si>
  <si>
    <t>Al Jubah</t>
  </si>
  <si>
    <t>الجوبة</t>
  </si>
  <si>
    <t>YE2607</t>
  </si>
  <si>
    <t>Rahabah</t>
  </si>
  <si>
    <t>رحبه</t>
  </si>
  <si>
    <t>YE2608</t>
  </si>
  <si>
    <t>Jabal Iyal Yazid</t>
  </si>
  <si>
    <t>جبل عيال يزيد</t>
  </si>
  <si>
    <t>YE2912</t>
  </si>
  <si>
    <t>Amran</t>
  </si>
  <si>
    <t>YE29</t>
  </si>
  <si>
    <t>Harib</t>
  </si>
  <si>
    <t>حريب</t>
  </si>
  <si>
    <t>YE2609</t>
  </si>
  <si>
    <t>Mahliyah</t>
  </si>
  <si>
    <t>ماهليه</t>
  </si>
  <si>
    <t>YE2610</t>
  </si>
  <si>
    <t>Al Abdiyah</t>
  </si>
  <si>
    <t>العبدية</t>
  </si>
  <si>
    <t>YE2611</t>
  </si>
  <si>
    <t>Marib City</t>
  </si>
  <si>
    <t>مدينة مأرب</t>
  </si>
  <si>
    <t>YE2612</t>
  </si>
  <si>
    <t>Hat</t>
  </si>
  <si>
    <t>حات</t>
  </si>
  <si>
    <t>YE2802</t>
  </si>
  <si>
    <t>Al Maharah</t>
  </si>
  <si>
    <t>YE28</t>
  </si>
  <si>
    <t>Marib</t>
  </si>
  <si>
    <t>مأرب</t>
  </si>
  <si>
    <t>YE2613</t>
  </si>
  <si>
    <t>Hawf</t>
  </si>
  <si>
    <t>حوف</t>
  </si>
  <si>
    <t>YE2803</t>
  </si>
  <si>
    <t>Al Ghaydah</t>
  </si>
  <si>
    <t>الغيظه</t>
  </si>
  <si>
    <t>YE2804</t>
  </si>
  <si>
    <t>Jabal Murad</t>
  </si>
  <si>
    <t>جبل مراد</t>
  </si>
  <si>
    <t>YE2614</t>
  </si>
  <si>
    <t>Man'ar</t>
  </si>
  <si>
    <t>منعر</t>
  </si>
  <si>
    <t>YE2805</t>
  </si>
  <si>
    <t>Al Masilah</t>
  </si>
  <si>
    <t>المسيلة</t>
  </si>
  <si>
    <t>YE2806</t>
  </si>
  <si>
    <t>Shibam Kawkaban</t>
  </si>
  <si>
    <t>شبام كوكبان</t>
  </si>
  <si>
    <t>YE2701</t>
  </si>
  <si>
    <t>Harf Sufyan</t>
  </si>
  <si>
    <t>حرف سفيان</t>
  </si>
  <si>
    <t>YE2901</t>
  </si>
  <si>
    <t>At Tawilah</t>
  </si>
  <si>
    <t>الطويلة</t>
  </si>
  <si>
    <t>YE2702</t>
  </si>
  <si>
    <t>Ar Rujum</t>
  </si>
  <si>
    <t>الرجم</t>
  </si>
  <si>
    <t>YE2703</t>
  </si>
  <si>
    <t>Al Khabt</t>
  </si>
  <si>
    <t>الخبت</t>
  </si>
  <si>
    <t>YE2704</t>
  </si>
  <si>
    <t>Huth</t>
  </si>
  <si>
    <t>حوث</t>
  </si>
  <si>
    <t>YE2902</t>
  </si>
  <si>
    <t>Al Ashah</t>
  </si>
  <si>
    <t>العشـــــه</t>
  </si>
  <si>
    <t>YE2903</t>
  </si>
  <si>
    <t>Al Qaflah</t>
  </si>
  <si>
    <t>القفلة</t>
  </si>
  <si>
    <t>YE2904</t>
  </si>
  <si>
    <t>Al Mahwait</t>
  </si>
  <si>
    <t>المحويت</t>
  </si>
  <si>
    <t>YE2709</t>
  </si>
  <si>
    <t>Shahan</t>
  </si>
  <si>
    <t>شحن</t>
  </si>
  <si>
    <t>YE2801</t>
  </si>
  <si>
    <t>Shaharah</t>
  </si>
  <si>
    <t>شهاره</t>
  </si>
  <si>
    <t>YE2905</t>
  </si>
  <si>
    <t>Sayhut</t>
  </si>
  <si>
    <t>سيحوت</t>
  </si>
  <si>
    <t>YE2807</t>
  </si>
  <si>
    <t>Qishn</t>
  </si>
  <si>
    <t>قشن</t>
  </si>
  <si>
    <t>YE2808</t>
  </si>
  <si>
    <t>Huswain</t>
  </si>
  <si>
    <t>حصوين</t>
  </si>
  <si>
    <t>YE2809</t>
  </si>
  <si>
    <t>Al Madan</t>
  </si>
  <si>
    <t>المــدان</t>
  </si>
  <si>
    <t>YE2906</t>
  </si>
  <si>
    <t>Kharif</t>
  </si>
  <si>
    <t>خارف</t>
  </si>
  <si>
    <t>YE2910</t>
  </si>
  <si>
    <t>Suwayr</t>
  </si>
  <si>
    <t>صـويــــر</t>
  </si>
  <si>
    <t>YE2907</t>
  </si>
  <si>
    <t>Habur Zulaymah</t>
  </si>
  <si>
    <t>حبور ظليمة</t>
  </si>
  <si>
    <t>YE2908</t>
  </si>
  <si>
    <t>Dhi Bin</t>
  </si>
  <si>
    <t>ذيبين</t>
  </si>
  <si>
    <t>YE2909</t>
  </si>
  <si>
    <t>Raydah</t>
  </si>
  <si>
    <t>ريده</t>
  </si>
  <si>
    <t>YE2911</t>
  </si>
  <si>
    <t>As Sudah</t>
  </si>
  <si>
    <t>السوده</t>
  </si>
  <si>
    <t>YE2913</t>
  </si>
  <si>
    <t>عمران</t>
  </si>
  <si>
    <t>YE2915</t>
  </si>
  <si>
    <t>As Sawd</t>
  </si>
  <si>
    <t>السود</t>
  </si>
  <si>
    <t>YE2914</t>
  </si>
  <si>
    <t>Maswar</t>
  </si>
  <si>
    <t>مسور</t>
  </si>
  <si>
    <t>YE2916</t>
  </si>
  <si>
    <t>Bani Suraim</t>
  </si>
  <si>
    <t>بني صريم</t>
  </si>
  <si>
    <t>YE2920</t>
  </si>
  <si>
    <t>Juban</t>
  </si>
  <si>
    <t>جبن</t>
  </si>
  <si>
    <t>YE3001</t>
  </si>
  <si>
    <t>Ad Dali'</t>
  </si>
  <si>
    <t>YE30</t>
  </si>
  <si>
    <t>Damt</t>
  </si>
  <si>
    <t>دمت</t>
  </si>
  <si>
    <t>YE3002</t>
  </si>
  <si>
    <t>Qa'atabah</t>
  </si>
  <si>
    <t>قعطبة</t>
  </si>
  <si>
    <t>YE3003</t>
  </si>
  <si>
    <t>Ash Shu'ayb</t>
  </si>
  <si>
    <t>الشعيب</t>
  </si>
  <si>
    <t>YE3004</t>
  </si>
  <si>
    <t>Thula</t>
  </si>
  <si>
    <t>ثلاء</t>
  </si>
  <si>
    <t>YE2917</t>
  </si>
  <si>
    <t>Iyal Surayh</t>
  </si>
  <si>
    <t>عيال سريح</t>
  </si>
  <si>
    <t>YE2918</t>
  </si>
  <si>
    <t>Khamir</t>
  </si>
  <si>
    <t>خمر</t>
  </si>
  <si>
    <t>YE2919</t>
  </si>
  <si>
    <t>Al Hussein</t>
  </si>
  <si>
    <t>الحصين</t>
  </si>
  <si>
    <t>YE3005</t>
  </si>
  <si>
    <t>Ad Dhale'e</t>
  </si>
  <si>
    <t>الضالع</t>
  </si>
  <si>
    <t>YE3006</t>
  </si>
  <si>
    <t>Jahaf</t>
  </si>
  <si>
    <t>جحاف</t>
  </si>
  <si>
    <t>YE3007</t>
  </si>
  <si>
    <t>Al Azariq</t>
  </si>
  <si>
    <t>الازارق</t>
  </si>
  <si>
    <t>YE3008</t>
  </si>
  <si>
    <t>Al Husha</t>
  </si>
  <si>
    <t>الحشاء</t>
  </si>
  <si>
    <t>YE3009</t>
  </si>
  <si>
    <t>Bilad At Ta'am</t>
  </si>
  <si>
    <t>بلاد الطعام</t>
  </si>
  <si>
    <t>YE3101</t>
  </si>
  <si>
    <t>Raymah</t>
  </si>
  <si>
    <t>YE31</t>
  </si>
  <si>
    <t>As Salafiyah</t>
  </si>
  <si>
    <t>السلفية</t>
  </si>
  <si>
    <t>YE3102</t>
  </si>
  <si>
    <t>Al Jabin</t>
  </si>
  <si>
    <t>الجبين</t>
  </si>
  <si>
    <t>YE3103</t>
  </si>
  <si>
    <t>Mazhar</t>
  </si>
  <si>
    <t>مزهر</t>
  </si>
  <si>
    <t>YE3104</t>
  </si>
  <si>
    <t>Kusmah</t>
  </si>
  <si>
    <t>كسمه</t>
  </si>
  <si>
    <t>YE3105</t>
  </si>
  <si>
    <t>Al Jafariyah</t>
  </si>
  <si>
    <t>الجعفرية</t>
  </si>
  <si>
    <t>YE3106</t>
  </si>
  <si>
    <t>Hidaybu</t>
  </si>
  <si>
    <t>حديبو</t>
  </si>
  <si>
    <t>YE3201</t>
  </si>
  <si>
    <t>Socotra</t>
  </si>
  <si>
    <t>YE32</t>
  </si>
  <si>
    <t>Qulensya Wa Abd Al Kuri</t>
  </si>
  <si>
    <t>قلنسيه وعبدالكوري</t>
  </si>
  <si>
    <t>YE3202</t>
  </si>
  <si>
    <t>As Sabain</t>
  </si>
  <si>
    <t>السبعين</t>
  </si>
  <si>
    <t>YE1305</t>
  </si>
  <si>
    <t>1)1.2
2)1.3
3)1.4
4)2.2
5)3.2
6)5.1
7)5.6
8)6.1
9)7.11
10)9.2
11)10.6
12)1.5
13)1.6
14)1.99
15)2.1
16)2.3
17)2.4
18)2.5
19)2.6
20)2.99
21)3.1
22)3.3
23)3.4
24)3.5
25)3.6
26)3.7
27)3.99
28)4.1
29)4.2
30)4.3
31)4.4
32)4.5
33)4.6
34)4.7
35)4.9
36)4.101
37)4.99
38)5.2
39)5.3
40)5.4
41)5.5
42)5.7
43)5.8
44)5.9
45)5.101
46)5.11
47)5.99
48)6.2
49)6.3
50)6.4
51)6.99
52)7.1
53)7.2
54)7.3
55)7.4
56)7.5
57)7.6
58)7.7
59)7.8
60)7.9
61)7.101
62)7.12
63)7.13
64)7.14
65)7.15
66)7.16
67)7.17
68)7.18
69)7.99
70)8.1
71)8.2
72)8.3
73)8.4
74)8.5
75)8.6
76)8.7
77)8.8
78)8.99
79)9.1
80)9.3
81)9.4
82)9.5
83)9.99
84)10.1
85)10.2
86)10.3
87)10.4
88)10.5
89)10.99
90)1.1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</si>
</sst>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1170000]B2dd/mm/yyyy;@"/>
    <numFmt numFmtId="166" formatCode="0.0%"/>
  </numFmts>
  <fonts count="51">
    <font>
      <sz val="11"/>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0"/>
      <color rgb="FF000000"/>
      <name val="Arial"/>
      <family val="2"/>
    </font>
    <font>
      <sz val="11"/>
      <name val="Calibri"/>
      <family val="2"/>
      <scheme val="minor"/>
    </font>
    <font>
      <sz val="12"/>
      <name val="Calibri"/>
      <family val="2"/>
      <scheme val="minor"/>
    </font>
    <font>
      <b/>
      <sz val="12"/>
      <color theme="0"/>
      <name val="Calibri"/>
      <family val="2"/>
      <scheme val="minor"/>
    </font>
    <font>
      <b/>
      <sz val="12"/>
      <name val="Calibri"/>
      <family val="2"/>
      <scheme val="minor"/>
    </font>
    <font>
      <sz val="12"/>
      <color rgb="FFFF0000"/>
      <name val="Calibri"/>
      <family val="2"/>
      <scheme val="minor"/>
    </font>
    <font>
      <sz val="12"/>
      <color theme="4"/>
      <name val="Calibri"/>
      <family val="2"/>
      <scheme val="minor"/>
    </font>
    <font>
      <i/>
      <sz val="12"/>
      <name val="Calibri"/>
      <family val="2"/>
      <scheme val="minor"/>
    </font>
    <font>
      <b/>
      <sz val="12"/>
      <color theme="4"/>
      <name val="Calibri"/>
      <family val="2"/>
      <scheme val="minor"/>
    </font>
    <font>
      <b/>
      <i/>
      <sz val="12"/>
      <name val="Calibri"/>
      <family val="2"/>
      <scheme val="minor"/>
    </font>
    <font>
      <b/>
      <sz val="12"/>
      <color rgb="FF7030A0"/>
      <name val="Calibri"/>
      <family val="2"/>
      <scheme val="minor"/>
    </font>
    <font>
      <sz val="12"/>
      <color rgb="FF7030A0"/>
      <name val="Calibri"/>
      <family val="2"/>
      <scheme val="minor"/>
    </font>
    <font>
      <b/>
      <sz val="11"/>
      <color rgb="FF000000"/>
      <name val="Calibri"/>
      <family val="2"/>
    </font>
    <font>
      <sz val="11"/>
      <color rgb="FF000000"/>
      <name val="Calibri"/>
      <family val="2"/>
    </font>
    <font>
      <sz val="11"/>
      <name val="Calibri"/>
      <family val="2"/>
    </font>
    <font>
      <i/>
      <sz val="11"/>
      <color rgb="FF000000"/>
      <name val="Calibri"/>
      <family val="2"/>
    </font>
    <font>
      <sz val="10"/>
      <name val="Calibri"/>
      <family val="2"/>
      <scheme val="minor"/>
    </font>
    <font>
      <b/>
      <sz val="11"/>
      <name val="Calibri"/>
      <family val="2"/>
    </font>
    <font>
      <b/>
      <sz val="11"/>
      <name val="Calibri"/>
      <family val="2"/>
      <scheme val="minor"/>
    </font>
    <font>
      <b/>
      <sz val="12"/>
      <color theme="1"/>
      <name val="Calibri"/>
      <family val="2"/>
      <scheme val="minor"/>
    </font>
    <font>
      <sz val="12"/>
      <color rgb="FF000000"/>
      <name val="Calibri"/>
      <family val="2"/>
      <scheme val="minor"/>
    </font>
    <font>
      <b/>
      <i/>
      <sz val="12"/>
      <color theme="1"/>
      <name val="Calibri"/>
      <family val="2"/>
      <scheme val="minor"/>
    </font>
    <font>
      <sz val="10.5"/>
      <name val="Calibri"/>
      <family val="2"/>
      <scheme val="minor"/>
    </font>
    <font>
      <sz val="12"/>
      <color rgb="FF00B050"/>
      <name val="Calibri"/>
      <family val="2"/>
      <scheme val="minor"/>
    </font>
    <font>
      <b/>
      <sz val="12"/>
      <color theme="9" tint="-0.499984740745262"/>
      <name val="Calibri"/>
      <family val="2"/>
      <scheme val="minor"/>
    </font>
    <font>
      <sz val="12"/>
      <color theme="9" tint="-0.499984740745262"/>
      <name val="Calibri"/>
      <family val="2"/>
      <scheme val="minor"/>
    </font>
    <font>
      <sz val="12"/>
      <color theme="9" tint="-0.499984740745262"/>
      <name val="Calibri (Body)"/>
    </font>
    <font>
      <b/>
      <sz val="12"/>
      <color theme="9" tint="-0.499984740745262"/>
      <name val="Calibri (Body)"/>
    </font>
    <font>
      <sz val="11"/>
      <color theme="9" tint="-0.499984740745262"/>
      <name val="Calibri (Body)"/>
    </font>
    <font>
      <sz val="10"/>
      <color theme="4"/>
      <name val="Calibri"/>
      <family val="2"/>
      <scheme val="minor"/>
    </font>
    <font>
      <sz val="12"/>
      <name val="Calibri (Body)"/>
    </font>
    <font>
      <sz val="12"/>
      <color rgb="FFFF0000"/>
      <name val="Calibri (Body)"/>
    </font>
    <font>
      <sz val="12"/>
      <name val="Calibri"/>
      <family val="2"/>
    </font>
    <font>
      <b/>
      <sz val="12"/>
      <color theme="4"/>
      <name val="Calibri (Body)"/>
    </font>
    <font>
      <sz val="11"/>
      <name val="Calibri (Body)"/>
    </font>
    <font>
      <b/>
      <sz val="12"/>
      <name val="Calibri (Body)"/>
    </font>
    <font>
      <b/>
      <sz val="10"/>
      <color theme="4"/>
      <name val="Calibri"/>
      <family val="2"/>
      <scheme val="minor"/>
    </font>
    <font>
      <sz val="14"/>
      <name val="Calibri"/>
      <family val="2"/>
      <scheme val="minor"/>
    </font>
    <font>
      <sz val="14"/>
      <color theme="9" tint="-0.499984740745262"/>
      <name val="Inherit"/>
    </font>
    <font>
      <i/>
      <sz val="10.5"/>
      <name val="Calibri"/>
      <family val="2"/>
    </font>
    <font>
      <sz val="12"/>
      <color rgb="FF000000"/>
      <name val="Calibri"/>
      <family val="2"/>
    </font>
    <font>
      <sz val="12"/>
      <color theme="1"/>
      <name val="Calibri"/>
      <family val="2"/>
    </font>
    <font>
      <sz val="12"/>
      <color rgb="FF000000"/>
      <name val="Calibri"/>
      <family val="2"/>
    </font>
    <font>
      <sz val="11"/>
      <color rgb="FF000000"/>
      <name val="Calibri"/>
      <family val="2"/>
    </font>
    <font>
      <sz val="12"/>
      <color theme="8" tint="-0.499984740745262"/>
      <name val="Calibri"/>
      <family val="2"/>
      <scheme val="minor"/>
    </font>
    <font>
      <b/>
      <sz val="11"/>
      <name val="Calibri"/>
      <family val="2"/>
    </font>
  </fonts>
  <fills count="15">
    <fill>
      <patternFill patternType="none"/>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4.9989318521683403E-2"/>
        <bgColor indexed="64"/>
      </patternFill>
    </fill>
    <fill>
      <patternFill patternType="solid">
        <fgColor theme="0" tint="-0.14999847407452621"/>
        <bgColor rgb="FF000000"/>
      </patternFill>
    </fill>
    <fill>
      <patternFill patternType="solid">
        <fgColor rgb="FFFFFF00"/>
        <bgColor indexed="64"/>
      </patternFill>
    </fill>
    <fill>
      <patternFill patternType="solid">
        <fgColor theme="7" tint="0.79998168889431442"/>
        <bgColor indexed="64"/>
      </patternFill>
    </fill>
  </fills>
  <borders count="8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thin">
        <color auto="1"/>
      </top>
      <bottom style="thin">
        <color auto="1"/>
      </bottom>
      <diagonal/>
    </border>
    <border>
      <left style="thin">
        <color theme="1"/>
      </left>
      <right style="thin">
        <color indexed="64"/>
      </right>
      <top/>
      <bottom style="medium">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auto="1"/>
      </left>
      <right style="thin">
        <color auto="1"/>
      </right>
      <top style="thin">
        <color auto="1"/>
      </top>
      <bottom style="thin">
        <color auto="1"/>
      </bottom>
      <diagonal/>
    </border>
  </borders>
  <cellStyleXfs count="21">
    <xf numFmtId="0" fontId="0" fillId="0" borderId="0"/>
    <xf numFmtId="0" fontId="4" fillId="0" borderId="0"/>
    <xf numFmtId="0" fontId="5" fillId="0" borderId="0"/>
    <xf numFmtId="0" fontId="3" fillId="0" borderId="0"/>
    <xf numFmtId="0" fontId="4" fillId="0" borderId="0"/>
    <xf numFmtId="0" fontId="3" fillId="0" borderId="0"/>
    <xf numFmtId="0" fontId="3" fillId="0" borderId="0"/>
    <xf numFmtId="0" fontId="8" fillId="8" borderId="21"/>
    <xf numFmtId="0" fontId="4" fillId="0" borderId="0"/>
    <xf numFmtId="0" fontId="4" fillId="0" borderId="0"/>
    <xf numFmtId="0" fontId="4" fillId="0" borderId="0"/>
    <xf numFmtId="9"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cellStyleXfs>
  <cellXfs count="684">
    <xf numFmtId="0" fontId="0" fillId="0" borderId="0" xfId="0"/>
    <xf numFmtId="0" fontId="0" fillId="0" borderId="22" xfId="0" applyBorder="1"/>
    <xf numFmtId="0" fontId="6" fillId="0" borderId="22" xfId="0" applyFont="1" applyBorder="1" applyAlignment="1">
      <alignment horizontal="center" vertical="center"/>
    </xf>
    <xf numFmtId="0" fontId="0" fillId="0" borderId="23" xfId="0" applyBorder="1"/>
    <xf numFmtId="0" fontId="6" fillId="0" borderId="25" xfId="0" applyFont="1" applyBorder="1" applyAlignment="1">
      <alignment horizontal="center" vertical="center"/>
    </xf>
    <xf numFmtId="0" fontId="0" fillId="0" borderId="25" xfId="0" applyBorder="1"/>
    <xf numFmtId="0" fontId="6" fillId="0" borderId="26" xfId="0" applyFont="1" applyBorder="1" applyAlignment="1">
      <alignment horizontal="center" vertical="center"/>
    </xf>
    <xf numFmtId="0" fontId="0" fillId="0" borderId="26" xfId="0" applyBorder="1"/>
    <xf numFmtId="0" fontId="6" fillId="0" borderId="1" xfId="0" applyFont="1" applyBorder="1"/>
    <xf numFmtId="0" fontId="7" fillId="0" borderId="35" xfId="3" applyFont="1" applyBorder="1" applyAlignment="1" applyProtection="1">
      <alignment horizontal="left" vertical="center" wrapText="1"/>
      <protection locked="0"/>
    </xf>
    <xf numFmtId="0" fontId="7" fillId="0" borderId="36" xfId="3" applyFont="1" applyBorder="1" applyAlignment="1" applyProtection="1">
      <alignment horizontal="left" vertical="center" wrapText="1"/>
      <protection locked="0"/>
    </xf>
    <xf numFmtId="0" fontId="7" fillId="0" borderId="36" xfId="5" applyFont="1" applyBorder="1" applyAlignment="1" applyProtection="1">
      <alignment horizontal="left" vertical="center" wrapText="1"/>
      <protection locked="0"/>
    </xf>
    <xf numFmtId="0" fontId="12" fillId="9" borderId="36" xfId="3" applyFont="1" applyFill="1" applyBorder="1" applyAlignment="1" applyProtection="1">
      <alignment horizontal="left" vertical="center" wrapText="1"/>
      <protection locked="0"/>
    </xf>
    <xf numFmtId="0" fontId="7" fillId="0" borderId="37" xfId="3" applyFont="1" applyBorder="1" applyAlignment="1" applyProtection="1">
      <alignment horizontal="left" vertical="center" wrapText="1"/>
      <protection locked="0"/>
    </xf>
    <xf numFmtId="0" fontId="7" fillId="6" borderId="8" xfId="2" applyFont="1" applyFill="1" applyBorder="1" applyAlignment="1" applyProtection="1">
      <alignment horizontal="center" vertical="center"/>
      <protection locked="0"/>
    </xf>
    <xf numFmtId="0" fontId="7" fillId="6" borderId="13" xfId="0" applyFont="1" applyFill="1" applyBorder="1" applyAlignment="1" applyProtection="1">
      <alignment horizontal="left" vertical="center" wrapText="1"/>
      <protection locked="0"/>
    </xf>
    <xf numFmtId="0" fontId="7" fillId="6" borderId="3" xfId="2" applyFont="1" applyFill="1" applyBorder="1" applyAlignment="1" applyProtection="1">
      <alignment horizontal="center" vertical="center" wrapText="1"/>
      <protection locked="0"/>
    </xf>
    <xf numFmtId="0" fontId="7" fillId="6" borderId="3" xfId="0" applyFont="1" applyFill="1" applyBorder="1" applyAlignment="1" applyProtection="1">
      <alignment horizontal="center" vertical="center" wrapText="1"/>
      <protection locked="0"/>
    </xf>
    <xf numFmtId="0" fontId="7" fillId="6" borderId="3" xfId="3" applyFont="1" applyFill="1" applyBorder="1" applyAlignment="1" applyProtection="1">
      <alignment horizontal="left" vertical="center" wrapText="1"/>
      <protection locked="0"/>
    </xf>
    <xf numFmtId="0" fontId="7" fillId="6" borderId="1" xfId="0" applyFont="1" applyFill="1" applyBorder="1" applyAlignment="1" applyProtection="1">
      <alignment horizontal="left" vertical="center" wrapText="1"/>
      <protection locked="0"/>
    </xf>
    <xf numFmtId="0" fontId="7" fillId="6" borderId="1" xfId="2" applyFont="1" applyFill="1" applyBorder="1" applyAlignment="1" applyProtection="1">
      <alignment horizontal="center" vertical="center" wrapText="1"/>
      <protection locked="0"/>
    </xf>
    <xf numFmtId="0" fontId="7" fillId="6" borderId="1" xfId="0" applyFont="1" applyFill="1" applyBorder="1" applyAlignment="1" applyProtection="1">
      <alignment horizontal="center" vertical="center" wrapText="1"/>
      <protection locked="0"/>
    </xf>
    <xf numFmtId="0" fontId="7" fillId="6" borderId="1" xfId="3" applyFont="1" applyFill="1" applyBorder="1" applyAlignment="1" applyProtection="1">
      <alignment horizontal="left" vertical="center" wrapText="1"/>
      <protection locked="0"/>
    </xf>
    <xf numFmtId="0" fontId="7" fillId="6" borderId="2" xfId="2" applyFont="1" applyFill="1" applyBorder="1" applyAlignment="1" applyProtection="1">
      <alignment horizontal="center" vertical="center" wrapText="1"/>
      <protection locked="0"/>
    </xf>
    <xf numFmtId="0" fontId="7" fillId="6" borderId="13" xfId="2" applyFont="1" applyFill="1" applyBorder="1" applyAlignment="1" applyProtection="1">
      <alignment horizontal="center" vertical="center" wrapText="1"/>
      <protection locked="0"/>
    </xf>
    <xf numFmtId="0" fontId="7" fillId="0" borderId="34" xfId="3" applyFont="1" applyBorder="1" applyAlignment="1" applyProtection="1">
      <alignment horizontal="left" vertical="center" wrapText="1"/>
      <protection locked="0"/>
    </xf>
    <xf numFmtId="0" fontId="7" fillId="6" borderId="19" xfId="2" applyFont="1" applyFill="1" applyBorder="1" applyAlignment="1" applyProtection="1">
      <alignment horizontal="center" vertical="center"/>
      <protection locked="0"/>
    </xf>
    <xf numFmtId="0" fontId="7" fillId="6" borderId="2" xfId="0" applyFont="1" applyFill="1" applyBorder="1" applyAlignment="1" applyProtection="1">
      <alignment horizontal="left" vertical="center" wrapText="1"/>
      <protection locked="0"/>
    </xf>
    <xf numFmtId="0" fontId="7" fillId="6" borderId="13" xfId="0" applyFont="1" applyFill="1" applyBorder="1" applyAlignment="1" applyProtection="1">
      <alignment horizontal="center" vertical="center" wrapText="1"/>
      <protection locked="0"/>
    </xf>
    <xf numFmtId="0" fontId="7" fillId="6" borderId="20" xfId="3" applyFont="1" applyFill="1" applyBorder="1" applyAlignment="1" applyProtection="1">
      <alignment horizontal="left" vertical="center" wrapText="1"/>
      <protection locked="0"/>
    </xf>
    <xf numFmtId="0" fontId="7" fillId="10" borderId="17" xfId="0" applyFont="1" applyFill="1" applyBorder="1" applyAlignment="1" applyProtection="1">
      <alignment horizontal="left" vertical="center" wrapText="1"/>
      <protection locked="0"/>
    </xf>
    <xf numFmtId="0" fontId="7" fillId="6" borderId="14" xfId="3" applyFont="1" applyFill="1" applyBorder="1" applyAlignment="1" applyProtection="1">
      <alignment horizontal="left" vertical="center" wrapText="1"/>
      <protection locked="0"/>
    </xf>
    <xf numFmtId="0" fontId="12" fillId="7" borderId="14" xfId="0" applyFont="1" applyFill="1" applyBorder="1" applyAlignment="1" applyProtection="1">
      <alignment horizontal="left" vertical="center" wrapText="1"/>
      <protection locked="0"/>
    </xf>
    <xf numFmtId="0" fontId="7" fillId="6" borderId="3" xfId="3" applyFont="1" applyFill="1" applyBorder="1" applyAlignment="1" applyProtection="1">
      <alignment horizontal="center" vertical="center" wrapText="1"/>
      <protection locked="0"/>
    </xf>
    <xf numFmtId="0" fontId="7" fillId="6" borderId="17" xfId="3" applyFont="1" applyFill="1" applyBorder="1" applyAlignment="1" applyProtection="1">
      <alignment horizontal="left" vertical="center" wrapText="1"/>
      <protection locked="0"/>
    </xf>
    <xf numFmtId="0" fontId="7" fillId="7" borderId="17" xfId="0" applyFont="1" applyFill="1" applyBorder="1" applyAlignment="1" applyProtection="1">
      <alignment horizontal="left" vertical="center" wrapText="1"/>
      <protection locked="0"/>
    </xf>
    <xf numFmtId="0" fontId="7" fillId="6" borderId="1" xfId="3" applyFont="1" applyFill="1" applyBorder="1" applyAlignment="1" applyProtection="1">
      <alignment horizontal="center" vertical="center" wrapText="1"/>
      <protection locked="0"/>
    </xf>
    <xf numFmtId="0" fontId="7" fillId="6" borderId="13" xfId="3" applyFont="1" applyFill="1" applyBorder="1" applyAlignment="1" applyProtection="1">
      <alignment horizontal="left" vertical="center" wrapText="1"/>
      <protection locked="0"/>
    </xf>
    <xf numFmtId="0" fontId="7" fillId="6" borderId="1" xfId="3" applyFont="1" applyFill="1" applyBorder="1" applyAlignment="1" applyProtection="1">
      <alignment vertical="center" wrapText="1"/>
      <protection locked="0"/>
    </xf>
    <xf numFmtId="0" fontId="9" fillId="6" borderId="1" xfId="2" applyFont="1" applyFill="1" applyBorder="1" applyAlignment="1" applyProtection="1">
      <alignment horizontal="center" vertical="center" wrapText="1"/>
      <protection locked="0"/>
    </xf>
    <xf numFmtId="0" fontId="7" fillId="6" borderId="6" xfId="2" applyFont="1" applyFill="1" applyBorder="1" applyAlignment="1" applyProtection="1">
      <alignment horizontal="center" vertical="center"/>
      <protection locked="0"/>
    </xf>
    <xf numFmtId="0" fontId="7" fillId="6" borderId="2" xfId="3" applyFont="1" applyFill="1" applyBorder="1" applyAlignment="1" applyProtection="1">
      <alignment horizontal="left" vertical="center" wrapText="1"/>
      <protection locked="0"/>
    </xf>
    <xf numFmtId="0" fontId="7" fillId="6" borderId="15" xfId="3" applyFont="1" applyFill="1" applyBorder="1" applyAlignment="1" applyProtection="1">
      <alignment horizontal="left" vertical="center" wrapText="1"/>
      <protection locked="0"/>
    </xf>
    <xf numFmtId="0" fontId="7" fillId="9" borderId="14" xfId="0" applyFont="1" applyFill="1" applyBorder="1" applyAlignment="1" applyProtection="1">
      <alignment horizontal="left" vertical="center" wrapText="1"/>
      <protection locked="0"/>
    </xf>
    <xf numFmtId="0" fontId="7" fillId="9" borderId="17" xfId="3" applyFont="1" applyFill="1" applyBorder="1" applyAlignment="1" applyProtection="1">
      <alignment horizontal="left" vertical="center" wrapText="1"/>
      <protection locked="0"/>
    </xf>
    <xf numFmtId="0" fontId="7" fillId="9" borderId="20" xfId="3" applyFont="1" applyFill="1" applyBorder="1" applyAlignment="1" applyProtection="1">
      <alignment horizontal="left" vertical="center" wrapText="1"/>
      <protection locked="0"/>
    </xf>
    <xf numFmtId="0" fontId="7" fillId="0" borderId="8" xfId="2" applyFont="1" applyBorder="1" applyAlignment="1" applyProtection="1">
      <alignment horizontal="center" vertical="center"/>
      <protection locked="0"/>
    </xf>
    <xf numFmtId="0" fontId="7" fillId="0" borderId="1" xfId="0" applyFont="1" applyBorder="1" applyAlignment="1" applyProtection="1">
      <alignment horizontal="left" vertical="center" wrapText="1"/>
      <protection locked="0"/>
    </xf>
    <xf numFmtId="0" fontId="7" fillId="0" borderId="1" xfId="2" applyFont="1" applyBorder="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0" fontId="23" fillId="0" borderId="1" xfId="0" applyFont="1" applyBorder="1"/>
    <xf numFmtId="0" fontId="7" fillId="0" borderId="49" xfId="3" applyFont="1" applyBorder="1" applyAlignment="1" applyProtection="1">
      <alignment horizontal="left" vertical="center" wrapText="1"/>
      <protection locked="0"/>
    </xf>
    <xf numFmtId="0" fontId="21" fillId="10" borderId="17" xfId="0" applyFont="1" applyFill="1" applyBorder="1" applyAlignment="1" applyProtection="1">
      <alignment horizontal="left" vertical="center" wrapText="1"/>
      <protection locked="0"/>
    </xf>
    <xf numFmtId="0" fontId="9" fillId="6" borderId="48" xfId="0" applyFont="1" applyFill="1" applyBorder="1" applyAlignment="1" applyProtection="1">
      <alignment horizontal="center" vertical="center"/>
      <protection locked="0"/>
    </xf>
    <xf numFmtId="0" fontId="7" fillId="6" borderId="48" xfId="0" applyFont="1" applyFill="1" applyBorder="1" applyAlignment="1" applyProtection="1">
      <alignment horizontal="center" vertical="center"/>
      <protection locked="0"/>
    </xf>
    <xf numFmtId="0" fontId="7" fillId="6" borderId="48" xfId="3" applyFont="1" applyFill="1" applyBorder="1" applyAlignment="1" applyProtection="1">
      <alignment horizontal="center" vertical="center" wrapText="1"/>
      <protection locked="0"/>
    </xf>
    <xf numFmtId="0" fontId="25" fillId="6" borderId="1" xfId="0" applyFont="1" applyFill="1" applyBorder="1" applyAlignment="1" applyProtection="1">
      <alignment horizontal="left" vertical="center" wrapText="1"/>
      <protection locked="0"/>
    </xf>
    <xf numFmtId="0" fontId="7" fillId="6" borderId="48" xfId="3" applyFont="1" applyFill="1" applyBorder="1" applyAlignment="1" applyProtection="1">
      <alignment vertical="center" wrapText="1"/>
      <protection locked="0"/>
    </xf>
    <xf numFmtId="0" fontId="7" fillId="6" borderId="7" xfId="2" applyFont="1" applyFill="1" applyBorder="1" applyAlignment="1" applyProtection="1">
      <alignment horizontal="center" vertical="center"/>
      <protection locked="0"/>
    </xf>
    <xf numFmtId="0" fontId="7" fillId="6" borderId="3" xfId="0" applyFont="1" applyFill="1" applyBorder="1" applyAlignment="1" applyProtection="1">
      <alignment horizontal="left" vertical="center" wrapText="1"/>
      <protection locked="0"/>
    </xf>
    <xf numFmtId="0" fontId="7" fillId="0" borderId="14" xfId="2" applyFont="1" applyBorder="1" applyAlignment="1" applyProtection="1">
      <alignment horizontal="left" vertical="center" wrapText="1"/>
      <protection locked="0"/>
    </xf>
    <xf numFmtId="0" fontId="7" fillId="9" borderId="14" xfId="3" applyFont="1" applyFill="1" applyBorder="1" applyAlignment="1" applyProtection="1">
      <alignment horizontal="left" vertical="center" wrapText="1"/>
      <protection locked="0"/>
    </xf>
    <xf numFmtId="0" fontId="14" fillId="12" borderId="17" xfId="0" applyFont="1" applyFill="1" applyBorder="1" applyAlignment="1" applyProtection="1">
      <alignment horizontal="center" vertical="center" wrapText="1"/>
      <protection locked="0"/>
    </xf>
    <xf numFmtId="0" fontId="14" fillId="6" borderId="17" xfId="3" applyFont="1" applyFill="1" applyBorder="1" applyAlignment="1" applyProtection="1">
      <alignment horizontal="left" vertical="center" wrapText="1"/>
      <protection locked="0"/>
    </xf>
    <xf numFmtId="0" fontId="7" fillId="9" borderId="14" xfId="3" applyFont="1" applyFill="1" applyBorder="1" applyAlignment="1" applyProtection="1">
      <alignment vertical="center" wrapText="1"/>
      <protection locked="0"/>
    </xf>
    <xf numFmtId="0" fontId="25" fillId="6" borderId="14" xfId="0" applyFont="1" applyFill="1" applyBorder="1" applyAlignment="1" applyProtection="1">
      <alignment horizontal="left" vertical="center" wrapText="1"/>
      <protection locked="0"/>
    </xf>
    <xf numFmtId="0" fontId="7" fillId="0" borderId="49" xfId="3" applyFont="1" applyBorder="1" applyAlignment="1" applyProtection="1">
      <alignment horizontal="left" vertical="center"/>
      <protection locked="0"/>
    </xf>
    <xf numFmtId="0" fontId="28" fillId="4" borderId="36" xfId="3" applyFont="1" applyFill="1" applyBorder="1" applyAlignment="1" applyProtection="1">
      <alignment horizontal="left" vertical="center" wrapText="1"/>
      <protection locked="0"/>
    </xf>
    <xf numFmtId="0" fontId="12" fillId="0" borderId="36" xfId="3" applyFont="1" applyBorder="1" applyAlignment="1" applyProtection="1">
      <alignment horizontal="left" vertical="center" wrapText="1"/>
      <protection locked="0"/>
    </xf>
    <xf numFmtId="0" fontId="7" fillId="0" borderId="29" xfId="3" applyFont="1" applyBorder="1" applyAlignment="1" applyProtection="1">
      <alignment horizontal="left" vertical="center" wrapText="1"/>
      <protection locked="0"/>
    </xf>
    <xf numFmtId="0" fontId="28" fillId="4" borderId="7" xfId="2" applyFont="1" applyFill="1" applyBorder="1" applyAlignment="1" applyProtection="1">
      <alignment horizontal="center" vertical="center"/>
      <protection locked="0"/>
    </xf>
    <xf numFmtId="0" fontId="30" fillId="4" borderId="3" xfId="2" applyFont="1" applyFill="1" applyBorder="1" applyAlignment="1" applyProtection="1">
      <alignment horizontal="center" vertical="center" wrapText="1"/>
      <protection locked="0"/>
    </xf>
    <xf numFmtId="0" fontId="30" fillId="4" borderId="3" xfId="3" applyFont="1" applyFill="1" applyBorder="1" applyAlignment="1" applyProtection="1">
      <alignment horizontal="center" vertical="center" wrapText="1"/>
      <protection locked="0"/>
    </xf>
    <xf numFmtId="0" fontId="30" fillId="4" borderId="17" xfId="3" applyFont="1" applyFill="1" applyBorder="1" applyAlignment="1" applyProtection="1">
      <alignment horizontal="left" vertical="center" wrapText="1"/>
      <protection locked="0"/>
    </xf>
    <xf numFmtId="49" fontId="30" fillId="4" borderId="60" xfId="0" applyNumberFormat="1" applyFont="1" applyFill="1" applyBorder="1" applyAlignment="1" applyProtection="1">
      <alignment vertical="center" wrapText="1"/>
      <protection locked="0"/>
    </xf>
    <xf numFmtId="0" fontId="30" fillId="4" borderId="3" xfId="3" applyFont="1" applyFill="1" applyBorder="1" applyAlignment="1" applyProtection="1">
      <alignment horizontal="left" vertical="center" wrapText="1"/>
      <protection locked="0"/>
    </xf>
    <xf numFmtId="0" fontId="28" fillId="4" borderId="3" xfId="3" applyFont="1" applyFill="1" applyBorder="1" applyAlignment="1" applyProtection="1">
      <alignment horizontal="left" vertical="center" wrapText="1"/>
      <protection locked="0"/>
    </xf>
    <xf numFmtId="0" fontId="7" fillId="0" borderId="1" xfId="3" applyFont="1" applyBorder="1" applyAlignment="1" applyProtection="1">
      <alignment horizontal="left" vertical="center" wrapText="1"/>
      <protection locked="0"/>
    </xf>
    <xf numFmtId="0" fontId="7" fillId="0" borderId="17" xfId="3" applyFont="1" applyBorder="1" applyAlignment="1" applyProtection="1">
      <alignment horizontal="center" vertical="center" wrapText="1"/>
      <protection locked="0"/>
    </xf>
    <xf numFmtId="0" fontId="7" fillId="0" borderId="14" xfId="3" applyFont="1" applyBorder="1" applyAlignment="1" applyProtection="1">
      <alignment horizontal="center" vertical="center" wrapText="1"/>
      <protection locked="0"/>
    </xf>
    <xf numFmtId="0" fontId="7" fillId="0" borderId="14" xfId="5" applyFont="1" applyBorder="1" applyAlignment="1" applyProtection="1">
      <alignment horizontal="center" vertical="center" wrapText="1"/>
      <protection locked="0"/>
    </xf>
    <xf numFmtId="0" fontId="12" fillId="0" borderId="14" xfId="3" applyFont="1" applyBorder="1" applyAlignment="1" applyProtection="1">
      <alignment horizontal="left" vertical="center" wrapText="1"/>
      <protection locked="0"/>
    </xf>
    <xf numFmtId="0" fontId="7" fillId="0" borderId="14" xfId="3" applyFont="1" applyBorder="1" applyAlignment="1" applyProtection="1">
      <alignment horizontal="left" vertical="center" wrapText="1"/>
      <protection locked="0"/>
    </xf>
    <xf numFmtId="0" fontId="7" fillId="0" borderId="15" xfId="3" applyFont="1" applyBorder="1" applyAlignment="1" applyProtection="1">
      <alignment horizontal="center" vertical="center" wrapText="1"/>
      <protection locked="0"/>
    </xf>
    <xf numFmtId="0" fontId="7" fillId="0" borderId="17" xfId="3" applyFont="1" applyBorder="1" applyAlignment="1" applyProtection="1">
      <alignment horizontal="left" vertical="center" wrapText="1"/>
      <protection locked="0"/>
    </xf>
    <xf numFmtId="0" fontId="7" fillId="0" borderId="20" xfId="3" applyFont="1" applyBorder="1" applyAlignment="1" applyProtection="1">
      <alignment horizontal="left" vertical="center" wrapText="1"/>
      <protection locked="0"/>
    </xf>
    <xf numFmtId="0" fontId="7" fillId="0" borderId="2" xfId="3" applyFont="1" applyBorder="1" applyAlignment="1" applyProtection="1">
      <alignment horizontal="left" vertical="center" wrapText="1"/>
      <protection locked="0"/>
    </xf>
    <xf numFmtId="0" fontId="7" fillId="9" borderId="14" xfId="2" applyFont="1" applyFill="1" applyBorder="1" applyAlignment="1" applyProtection="1">
      <alignment horizontal="left" vertical="center" wrapText="1"/>
      <protection locked="0"/>
    </xf>
    <xf numFmtId="0" fontId="7" fillId="0" borderId="17" xfId="2" applyFont="1" applyBorder="1" applyAlignment="1" applyProtection="1">
      <alignment horizontal="left" vertical="center" wrapText="1"/>
      <protection locked="0"/>
    </xf>
    <xf numFmtId="0" fontId="7" fillId="0" borderId="17" xfId="0" applyFont="1" applyBorder="1" applyAlignment="1" applyProtection="1">
      <alignment vertical="center"/>
      <protection locked="0"/>
    </xf>
    <xf numFmtId="0" fontId="7" fillId="0" borderId="44" xfId="3" applyFont="1" applyBorder="1" applyAlignment="1" applyProtection="1">
      <alignment horizontal="left" vertical="center" wrapText="1"/>
      <protection locked="0"/>
    </xf>
    <xf numFmtId="0" fontId="7" fillId="0" borderId="15" xfId="0" applyFont="1" applyBorder="1" applyAlignment="1" applyProtection="1">
      <alignment horizontal="left" vertical="center" wrapText="1"/>
      <protection locked="0"/>
    </xf>
    <xf numFmtId="0" fontId="7" fillId="0" borderId="15" xfId="3" applyFont="1" applyBorder="1" applyAlignment="1" applyProtection="1">
      <alignment horizontal="left" vertical="center" wrapText="1"/>
      <protection locked="0"/>
    </xf>
    <xf numFmtId="0" fontId="7" fillId="0" borderId="14" xfId="0" applyFont="1" applyBorder="1" applyAlignment="1" applyProtection="1">
      <alignment horizontal="left" vertical="center" wrapText="1"/>
      <protection locked="0"/>
    </xf>
    <xf numFmtId="0" fontId="7" fillId="0" borderId="16" xfId="2" applyFont="1" applyBorder="1" applyAlignment="1" applyProtection="1">
      <alignment horizontal="center" vertical="center" wrapText="1"/>
      <protection locked="0"/>
    </xf>
    <xf numFmtId="0" fontId="7" fillId="0" borderId="28" xfId="3" applyFont="1" applyBorder="1" applyAlignment="1" applyProtection="1">
      <alignment horizontal="left" vertical="center" wrapText="1"/>
      <protection locked="0"/>
    </xf>
    <xf numFmtId="0" fontId="7" fillId="0" borderId="7" xfId="2" applyFont="1" applyBorder="1" applyAlignment="1" applyProtection="1">
      <alignment horizontal="center" vertical="center"/>
      <protection locked="0"/>
    </xf>
    <xf numFmtId="0" fontId="7" fillId="0" borderId="3" xfId="0" applyFont="1" applyBorder="1" applyAlignment="1" applyProtection="1">
      <alignment horizontal="center" vertical="center" wrapText="1"/>
      <protection locked="0"/>
    </xf>
    <xf numFmtId="0" fontId="7" fillId="0" borderId="1" xfId="3" applyFont="1" applyBorder="1" applyAlignment="1" applyProtection="1">
      <alignment horizontal="center" vertical="center" wrapText="1"/>
      <protection locked="0"/>
    </xf>
    <xf numFmtId="0" fontId="7" fillId="0" borderId="2" xfId="2" applyFont="1" applyBorder="1" applyAlignment="1" applyProtection="1">
      <alignment horizontal="center" vertical="center"/>
      <protection locked="0"/>
    </xf>
    <xf numFmtId="0" fontId="7" fillId="0" borderId="2" xfId="2" applyFont="1" applyBorder="1" applyAlignment="1" applyProtection="1">
      <alignment horizontal="center" vertical="center" wrapText="1"/>
      <protection locked="0"/>
    </xf>
    <xf numFmtId="0" fontId="7" fillId="0" borderId="2" xfId="3" applyFont="1" applyBorder="1" applyAlignment="1" applyProtection="1">
      <alignment horizontal="center" vertical="center" wrapText="1"/>
      <protection locked="0"/>
    </xf>
    <xf numFmtId="0" fontId="7" fillId="0" borderId="3" xfId="0" applyFont="1" applyBorder="1" applyAlignment="1" applyProtection="1">
      <alignment horizontal="left" vertical="center" wrapText="1"/>
      <protection locked="0"/>
    </xf>
    <xf numFmtId="0" fontId="7" fillId="0" borderId="3" xfId="2" applyFont="1" applyBorder="1" applyAlignment="1" applyProtection="1">
      <alignment horizontal="center" vertical="center" wrapText="1"/>
      <protection locked="0"/>
    </xf>
    <xf numFmtId="0" fontId="9" fillId="0" borderId="3" xfId="0" applyFont="1" applyBorder="1" applyAlignment="1" applyProtection="1">
      <alignment horizontal="center" vertical="center" wrapText="1"/>
      <protection locked="0"/>
    </xf>
    <xf numFmtId="0" fontId="7" fillId="0" borderId="3" xfId="3" applyFont="1" applyBorder="1" applyAlignment="1" applyProtection="1">
      <alignment vertical="center" wrapText="1"/>
      <protection locked="0"/>
    </xf>
    <xf numFmtId="0" fontId="7" fillId="0" borderId="3" xfId="3" applyFont="1" applyBorder="1" applyAlignment="1" applyProtection="1">
      <alignment horizontal="center" vertical="center" wrapText="1"/>
      <protection locked="0"/>
    </xf>
    <xf numFmtId="0" fontId="7" fillId="6" borderId="1" xfId="2" applyFont="1" applyFill="1" applyBorder="1" applyAlignment="1" applyProtection="1">
      <alignment horizontal="center" vertical="center"/>
      <protection locked="0"/>
    </xf>
    <xf numFmtId="0" fontId="7" fillId="0" borderId="0" xfId="3" applyFont="1" applyAlignment="1" applyProtection="1">
      <alignment horizontal="center" vertical="center"/>
      <protection locked="0"/>
    </xf>
    <xf numFmtId="0" fontId="7" fillId="0" borderId="1" xfId="3" applyFont="1" applyBorder="1" applyAlignment="1" applyProtection="1">
      <alignment horizontal="center" vertical="center"/>
      <protection locked="0"/>
    </xf>
    <xf numFmtId="0" fontId="7" fillId="0" borderId="6" xfId="2" applyFont="1" applyBorder="1" applyAlignment="1" applyProtection="1">
      <alignment horizontal="center" vertical="center"/>
      <protection locked="0"/>
    </xf>
    <xf numFmtId="0" fontId="7" fillId="0" borderId="2" xfId="0" applyFont="1" applyBorder="1" applyAlignment="1" applyProtection="1">
      <alignment horizontal="center" vertical="center" wrapText="1"/>
      <protection locked="0"/>
    </xf>
    <xf numFmtId="0" fontId="7" fillId="0" borderId="13" xfId="0" applyFont="1" applyBorder="1" applyAlignment="1" applyProtection="1">
      <alignment horizontal="center" vertical="center" wrapText="1"/>
      <protection locked="0"/>
    </xf>
    <xf numFmtId="0" fontId="7" fillId="7" borderId="1" xfId="0" applyFont="1" applyFill="1" applyBorder="1" applyAlignment="1" applyProtection="1">
      <alignment horizontal="center" vertical="center" wrapText="1"/>
      <protection locked="0"/>
    </xf>
    <xf numFmtId="0" fontId="14" fillId="6" borderId="1" xfId="3" applyFont="1" applyFill="1" applyBorder="1" applyAlignment="1" applyProtection="1">
      <alignment horizontal="center" vertical="center" wrapText="1"/>
      <protection locked="0"/>
    </xf>
    <xf numFmtId="9" fontId="19" fillId="0" borderId="42" xfId="11" applyFont="1" applyBorder="1" applyAlignment="1">
      <alignment horizontal="center" vertical="center" wrapText="1"/>
    </xf>
    <xf numFmtId="9" fontId="19" fillId="0" borderId="47" xfId="11" applyFont="1" applyBorder="1" applyAlignment="1">
      <alignment horizontal="center" vertical="center" wrapText="1"/>
    </xf>
    <xf numFmtId="0" fontId="13" fillId="0" borderId="3" xfId="3" applyFont="1" applyBorder="1" applyAlignment="1" applyProtection="1">
      <alignment vertical="center" wrapText="1"/>
      <protection locked="0"/>
    </xf>
    <xf numFmtId="0" fontId="27" fillId="0" borderId="2" xfId="3" applyFont="1" applyBorder="1" applyAlignment="1" applyProtection="1">
      <alignment horizontal="left" vertical="center" wrapText="1"/>
      <protection locked="0"/>
    </xf>
    <xf numFmtId="0" fontId="7" fillId="0" borderId="20" xfId="3" applyFont="1" applyBorder="1" applyAlignment="1" applyProtection="1">
      <alignment horizontal="center" vertical="center" wrapText="1"/>
      <protection locked="0"/>
    </xf>
    <xf numFmtId="0" fontId="14" fillId="9" borderId="36" xfId="3" applyFont="1" applyFill="1" applyBorder="1" applyAlignment="1" applyProtection="1">
      <alignment horizontal="left" vertical="center" wrapText="1"/>
      <protection locked="0"/>
    </xf>
    <xf numFmtId="0" fontId="12" fillId="12" borderId="17" xfId="0" applyFont="1" applyFill="1" applyBorder="1" applyAlignment="1" applyProtection="1">
      <alignment horizontal="left" vertical="center" wrapText="1"/>
      <protection locked="0"/>
    </xf>
    <xf numFmtId="0" fontId="7" fillId="4" borderId="7" xfId="2" applyFont="1" applyFill="1" applyBorder="1" applyAlignment="1" applyProtection="1">
      <alignment horizontal="center" vertical="center"/>
      <protection locked="0"/>
    </xf>
    <xf numFmtId="0" fontId="7" fillId="6" borderId="17" xfId="2" applyFont="1" applyFill="1" applyBorder="1" applyAlignment="1" applyProtection="1">
      <alignment horizontal="left" vertical="center" wrapText="1"/>
      <protection locked="0"/>
    </xf>
    <xf numFmtId="0" fontId="7" fillId="0" borderId="36" xfId="3" applyFont="1" applyBorder="1" applyAlignment="1" applyProtection="1">
      <alignment horizontal="center" vertical="center" wrapText="1"/>
      <protection locked="0"/>
    </xf>
    <xf numFmtId="0" fontId="7" fillId="0" borderId="49" xfId="3" applyFont="1" applyBorder="1" applyAlignment="1" applyProtection="1">
      <alignment horizontal="center" vertical="center" wrapText="1"/>
      <protection locked="0"/>
    </xf>
    <xf numFmtId="0" fontId="7" fillId="0" borderId="0" xfId="3" applyFont="1" applyAlignment="1" applyProtection="1">
      <alignment horizontal="left" vertical="center" wrapText="1"/>
      <protection locked="0"/>
    </xf>
    <xf numFmtId="0" fontId="7" fillId="0" borderId="16" xfId="2" applyFont="1" applyBorder="1" applyAlignment="1">
      <alignment horizontal="center" vertical="center" wrapText="1"/>
    </xf>
    <xf numFmtId="0" fontId="7" fillId="0" borderId="16" xfId="2" applyFont="1" applyBorder="1" applyAlignment="1">
      <alignment horizontal="left" vertical="center" wrapText="1"/>
    </xf>
    <xf numFmtId="0" fontId="7" fillId="0" borderId="4" xfId="2" applyFont="1" applyBorder="1" applyAlignment="1">
      <alignment horizontal="center" vertical="center" wrapText="1"/>
    </xf>
    <xf numFmtId="0" fontId="7" fillId="0" borderId="4" xfId="3" applyFont="1" applyBorder="1" applyAlignment="1">
      <alignment horizontal="left" vertical="center" wrapText="1"/>
    </xf>
    <xf numFmtId="0" fontId="7" fillId="0" borderId="4" xfId="0" applyFont="1" applyBorder="1" applyAlignment="1">
      <alignment horizontal="center" vertical="center" wrapText="1"/>
    </xf>
    <xf numFmtId="0" fontId="7" fillId="0" borderId="2" xfId="2" applyFont="1" applyBorder="1" applyAlignment="1">
      <alignment horizontal="center" vertical="center" wrapText="1"/>
    </xf>
    <xf numFmtId="0" fontId="7" fillId="0" borderId="13" xfId="2" applyFont="1" applyBorder="1" applyAlignment="1">
      <alignment horizontal="center" vertical="center" wrapText="1"/>
    </xf>
    <xf numFmtId="0" fontId="7" fillId="0" borderId="13" xfId="0" applyFont="1" applyBorder="1" applyAlignment="1">
      <alignment horizontal="center" vertical="center" wrapText="1"/>
    </xf>
    <xf numFmtId="0" fontId="28" fillId="0" borderId="0" xfId="3" applyFont="1" applyProtection="1">
      <protection locked="0"/>
    </xf>
    <xf numFmtId="0" fontId="28" fillId="0" borderId="0" xfId="0" applyFont="1" applyProtection="1">
      <protection locked="0"/>
    </xf>
    <xf numFmtId="0" fontId="29" fillId="0" borderId="0" xfId="3" applyFont="1" applyAlignment="1" applyProtection="1">
      <alignment horizontal="center" vertical="center" wrapText="1"/>
      <protection locked="0"/>
    </xf>
    <xf numFmtId="0" fontId="7" fillId="0" borderId="0" xfId="0" applyFont="1" applyAlignment="1" applyProtection="1">
      <alignment horizontal="center" vertical="center"/>
      <protection locked="0"/>
    </xf>
    <xf numFmtId="0" fontId="7" fillId="0" borderId="0" xfId="0" applyFont="1" applyAlignment="1" applyProtection="1">
      <alignment horizontal="center" vertical="center" wrapText="1"/>
      <protection locked="0"/>
    </xf>
    <xf numFmtId="0" fontId="7" fillId="0" borderId="17" xfId="3" applyFont="1" applyBorder="1" applyAlignment="1">
      <alignment horizontal="left" vertical="center" wrapText="1"/>
    </xf>
    <xf numFmtId="0" fontId="7" fillId="0" borderId="3" xfId="2" applyFont="1" applyBorder="1" applyAlignment="1">
      <alignment horizontal="center" vertical="center" wrapText="1"/>
    </xf>
    <xf numFmtId="0" fontId="7" fillId="0" borderId="3" xfId="3" applyFont="1" applyBorder="1" applyAlignment="1">
      <alignment horizontal="left" vertical="center" wrapText="1"/>
    </xf>
    <xf numFmtId="0" fontId="7" fillId="0" borderId="3" xfId="0" applyFont="1" applyBorder="1" applyAlignment="1">
      <alignment horizontal="center" vertical="center" wrapText="1"/>
    </xf>
    <xf numFmtId="0" fontId="7" fillId="0" borderId="0" xfId="3" applyFont="1" applyProtection="1">
      <protection locked="0"/>
    </xf>
    <xf numFmtId="0" fontId="7" fillId="0" borderId="0" xfId="0" applyFont="1" applyProtection="1">
      <protection locked="0"/>
    </xf>
    <xf numFmtId="0" fontId="9" fillId="0" borderId="0" xfId="3" applyFont="1" applyAlignment="1" applyProtection="1">
      <alignment horizontal="center" vertical="center"/>
      <protection locked="0"/>
    </xf>
    <xf numFmtId="0" fontId="7" fillId="0" borderId="17" xfId="0" applyFont="1" applyBorder="1" applyAlignment="1">
      <alignment horizontal="left" vertical="center" wrapText="1"/>
    </xf>
    <xf numFmtId="0" fontId="7" fillId="0" borderId="14" xfId="3" applyFont="1" applyBorder="1" applyAlignment="1">
      <alignment horizontal="left" vertical="center" wrapText="1"/>
    </xf>
    <xf numFmtId="0" fontId="7" fillId="0" borderId="1" xfId="2" applyFont="1" applyBorder="1" applyAlignment="1">
      <alignment horizontal="center" vertical="center" wrapText="1"/>
    </xf>
    <xf numFmtId="0" fontId="7" fillId="0" borderId="1" xfId="0" applyFont="1" applyBorder="1" applyAlignment="1">
      <alignment horizontal="center" vertical="center" wrapText="1"/>
    </xf>
    <xf numFmtId="0" fontId="7" fillId="0" borderId="3" xfId="3" applyFont="1" applyBorder="1" applyAlignment="1">
      <alignment horizontal="center" vertical="center" wrapText="1"/>
    </xf>
    <xf numFmtId="0" fontId="7" fillId="0" borderId="0" xfId="3" applyFont="1" applyAlignment="1" applyProtection="1">
      <alignment vertical="center" wrapText="1"/>
      <protection locked="0"/>
    </xf>
    <xf numFmtId="0" fontId="7" fillId="0" borderId="49" xfId="3" applyFont="1" applyBorder="1" applyAlignment="1" applyProtection="1">
      <alignment vertical="center" wrapText="1"/>
      <protection locked="0"/>
    </xf>
    <xf numFmtId="0" fontId="7" fillId="0" borderId="20" xfId="3" applyFont="1" applyBorder="1" applyAlignment="1">
      <alignment horizontal="left" vertical="center" wrapText="1"/>
    </xf>
    <xf numFmtId="0" fontId="7" fillId="0" borderId="13" xfId="3" applyFont="1" applyBorder="1" applyAlignment="1">
      <alignment horizontal="center" vertical="center" wrapText="1"/>
    </xf>
    <xf numFmtId="0" fontId="7" fillId="0" borderId="2" xfId="3" applyFont="1" applyBorder="1" applyAlignment="1">
      <alignment horizontal="left" vertical="center" wrapText="1"/>
    </xf>
    <xf numFmtId="0" fontId="7" fillId="0" borderId="36" xfId="3" applyFont="1" applyBorder="1" applyAlignment="1" applyProtection="1">
      <alignment vertical="center" wrapText="1"/>
      <protection locked="0"/>
    </xf>
    <xf numFmtId="0" fontId="7" fillId="0" borderId="1" xfId="3" applyFont="1" applyBorder="1" applyAlignment="1">
      <alignment horizontal="center" vertical="center" wrapText="1"/>
    </xf>
    <xf numFmtId="0" fontId="3" fillId="0" borderId="0" xfId="0" applyFont="1" applyProtection="1">
      <protection locked="0"/>
    </xf>
    <xf numFmtId="0" fontId="7" fillId="0" borderId="14" xfId="0" applyFont="1" applyBorder="1" applyAlignment="1">
      <alignment horizontal="left" vertical="center" wrapText="1"/>
    </xf>
    <xf numFmtId="0" fontId="6" fillId="0" borderId="48" xfId="6" applyFont="1" applyBorder="1" applyAlignment="1">
      <alignment vertical="center" wrapText="1"/>
    </xf>
    <xf numFmtId="0" fontId="6" fillId="0" borderId="48" xfId="3" applyFont="1" applyBorder="1" applyAlignment="1">
      <alignment vertical="center" wrapText="1"/>
    </xf>
    <xf numFmtId="0" fontId="7" fillId="0" borderId="1" xfId="3" applyFont="1" applyBorder="1" applyAlignment="1">
      <alignment vertical="center" wrapText="1"/>
    </xf>
    <xf numFmtId="0" fontId="7" fillId="0" borderId="1" xfId="3" applyFont="1" applyBorder="1" applyAlignment="1">
      <alignment horizontal="left" vertical="center" wrapText="1"/>
    </xf>
    <xf numFmtId="0" fontId="9" fillId="0" borderId="1" xfId="2" applyFont="1" applyBorder="1" applyAlignment="1">
      <alignment horizontal="center" vertical="center" wrapText="1"/>
    </xf>
    <xf numFmtId="0" fontId="7" fillId="0" borderId="17" xfId="2" applyFont="1" applyBorder="1" applyAlignment="1">
      <alignment horizontal="left" vertical="center" wrapText="1"/>
    </xf>
    <xf numFmtId="0" fontId="7" fillId="0" borderId="3" xfId="3" applyFont="1" applyBorder="1" applyAlignment="1">
      <alignment vertical="center" wrapText="1"/>
    </xf>
    <xf numFmtId="0" fontId="7" fillId="0" borderId="14" xfId="0" applyFont="1" applyBorder="1" applyAlignment="1" applyProtection="1">
      <alignment vertical="center"/>
      <protection locked="0"/>
    </xf>
    <xf numFmtId="0" fontId="7" fillId="0" borderId="3" xfId="0" applyFont="1" applyBorder="1" applyAlignment="1" applyProtection="1">
      <alignment horizontal="center" vertical="center"/>
      <protection locked="0"/>
    </xf>
    <xf numFmtId="0" fontId="7" fillId="0" borderId="3" xfId="3" applyFont="1" applyBorder="1" applyAlignment="1" applyProtection="1">
      <alignment horizontal="left" vertical="center" wrapText="1"/>
      <protection locked="0"/>
    </xf>
    <xf numFmtId="0" fontId="9" fillId="0" borderId="3" xfId="0" applyFont="1" applyBorder="1" applyAlignment="1" applyProtection="1">
      <alignment horizontal="center" vertical="center"/>
      <protection locked="0"/>
    </xf>
    <xf numFmtId="0" fontId="7" fillId="0" borderId="17" xfId="0" applyFont="1" applyBorder="1" applyAlignment="1" applyProtection="1">
      <alignment horizontal="left" vertical="center" wrapText="1"/>
      <protection locked="0"/>
    </xf>
    <xf numFmtId="0" fontId="7" fillId="0" borderId="14" xfId="2" applyFont="1" applyBorder="1" applyAlignment="1">
      <alignment horizontal="left" vertical="center" wrapText="1"/>
    </xf>
    <xf numFmtId="0" fontId="7" fillId="0" borderId="1" xfId="3" applyFont="1" applyBorder="1" applyAlignment="1">
      <alignment horizontal="center" vertical="center"/>
    </xf>
    <xf numFmtId="0" fontId="25" fillId="9" borderId="0" xfId="0" applyFont="1" applyFill="1" applyAlignment="1" applyProtection="1">
      <alignment horizontal="left" vertical="center" wrapText="1"/>
      <protection locked="0"/>
    </xf>
    <xf numFmtId="0" fontId="25" fillId="0" borderId="50" xfId="0" applyFont="1" applyBorder="1" applyAlignment="1">
      <alignment horizontal="left" vertical="center" wrapText="1"/>
    </xf>
    <xf numFmtId="0" fontId="7" fillId="0" borderId="1" xfId="2" applyFont="1" applyBorder="1" applyAlignment="1" applyProtection="1">
      <alignment horizontal="left" vertical="center" wrapText="1"/>
      <protection locked="0"/>
    </xf>
    <xf numFmtId="0" fontId="7" fillId="0" borderId="0" xfId="2" applyFont="1" applyAlignment="1" applyProtection="1">
      <alignment horizontal="left" vertical="center" wrapText="1"/>
      <protection locked="0"/>
    </xf>
    <xf numFmtId="0" fontId="7" fillId="0" borderId="1" xfId="3" applyFont="1" applyBorder="1" applyAlignment="1" applyProtection="1">
      <alignment vertical="center" wrapText="1"/>
      <protection locked="0"/>
    </xf>
    <xf numFmtId="0" fontId="7" fillId="0" borderId="1" xfId="14" applyFont="1" applyBorder="1" applyAlignment="1" applyProtection="1">
      <alignment horizontal="center" vertical="center" wrapText="1"/>
      <protection locked="0"/>
    </xf>
    <xf numFmtId="0" fontId="9" fillId="0" borderId="1" xfId="14" applyFont="1" applyBorder="1" applyAlignment="1" applyProtection="1">
      <alignment horizontal="center" vertical="center" wrapText="1"/>
      <protection locked="0"/>
    </xf>
    <xf numFmtId="0" fontId="7" fillId="0" borderId="1" xfId="14" applyFont="1" applyBorder="1" applyAlignment="1">
      <alignment horizontal="center" vertical="center" wrapText="1"/>
    </xf>
    <xf numFmtId="0" fontId="9" fillId="0" borderId="1" xfId="14" applyFont="1" applyBorder="1" applyAlignment="1">
      <alignment horizontal="center" vertical="center" wrapText="1"/>
    </xf>
    <xf numFmtId="0" fontId="3" fillId="0" borderId="52" xfId="2" applyFont="1" applyBorder="1" applyAlignment="1" applyProtection="1">
      <alignment horizontal="left" vertical="center" wrapText="1"/>
      <protection locked="0"/>
    </xf>
    <xf numFmtId="0" fontId="0" fillId="0" borderId="48" xfId="2" applyFont="1" applyBorder="1" applyAlignment="1">
      <alignment horizontal="left" vertical="center" wrapText="1"/>
    </xf>
    <xf numFmtId="0" fontId="12" fillId="0" borderId="49" xfId="3" applyFont="1" applyBorder="1" applyAlignment="1" applyProtection="1">
      <alignment vertical="center" wrapText="1"/>
      <protection locked="0"/>
    </xf>
    <xf numFmtId="0" fontId="7" fillId="0" borderId="60" xfId="0" applyFont="1" applyBorder="1" applyAlignment="1" applyProtection="1">
      <alignment horizontal="left" vertical="center" wrapText="1"/>
      <protection locked="0"/>
    </xf>
    <xf numFmtId="0" fontId="12" fillId="0" borderId="36" xfId="3" applyFont="1" applyBorder="1" applyAlignment="1" applyProtection="1">
      <alignment vertical="center" wrapText="1"/>
      <protection locked="0"/>
    </xf>
    <xf numFmtId="0" fontId="14" fillId="0" borderId="17" xfId="0" applyFont="1" applyBorder="1" applyAlignment="1" applyProtection="1">
      <alignment horizontal="center" vertical="center" wrapText="1"/>
      <protection locked="0"/>
    </xf>
    <xf numFmtId="0" fontId="9" fillId="0" borderId="36" xfId="3" applyFont="1" applyBorder="1" applyAlignment="1" applyProtection="1">
      <alignment horizontal="center" vertical="center" wrapText="1"/>
      <protection locked="0"/>
    </xf>
    <xf numFmtId="0" fontId="9" fillId="0" borderId="3" xfId="0" applyFont="1" applyBorder="1" applyAlignment="1">
      <alignment horizontal="center" vertical="center" wrapText="1"/>
    </xf>
    <xf numFmtId="0" fontId="7" fillId="0" borderId="1" xfId="0" applyFont="1" applyBorder="1" applyAlignment="1">
      <alignment vertical="center" wrapText="1"/>
    </xf>
    <xf numFmtId="0" fontId="7" fillId="0" borderId="3" xfId="2" applyFont="1" applyBorder="1" applyAlignment="1" applyProtection="1">
      <alignment horizontal="center" vertical="center"/>
      <protection locked="0"/>
    </xf>
    <xf numFmtId="0" fontId="7" fillId="0" borderId="1" xfId="0" applyFont="1" applyBorder="1" applyAlignment="1">
      <alignment horizontal="left" vertical="center" wrapText="1"/>
    </xf>
    <xf numFmtId="0" fontId="7" fillId="0" borderId="3" xfId="0" applyFont="1" applyBorder="1" applyAlignment="1">
      <alignment horizontal="left" vertical="center" wrapText="1"/>
    </xf>
    <xf numFmtId="0" fontId="9" fillId="0" borderId="0" xfId="0" applyFont="1" applyAlignment="1" applyProtection="1">
      <alignment horizontal="center" vertical="center"/>
      <protection locked="0"/>
    </xf>
    <xf numFmtId="0" fontId="7" fillId="0" borderId="0" xfId="3" applyFont="1" applyAlignment="1" applyProtection="1">
      <alignment horizontal="left" vertical="center"/>
      <protection locked="0"/>
    </xf>
    <xf numFmtId="0" fontId="12" fillId="0" borderId="17" xfId="3" applyFont="1" applyBorder="1" applyAlignment="1" applyProtection="1">
      <alignment horizontal="left" vertical="center"/>
      <protection locked="0"/>
    </xf>
    <xf numFmtId="0" fontId="12" fillId="0" borderId="17" xfId="3" applyFont="1" applyBorder="1" applyAlignment="1">
      <alignment horizontal="left" vertical="center" wrapText="1"/>
    </xf>
    <xf numFmtId="0" fontId="7" fillId="0" borderId="3" xfId="2" applyFont="1" applyBorder="1" applyAlignment="1">
      <alignment horizontal="center" vertical="center"/>
    </xf>
    <xf numFmtId="0" fontId="7" fillId="0" borderId="3" xfId="0" applyFont="1" applyBorder="1" applyAlignment="1">
      <alignment horizontal="center" vertical="center"/>
    </xf>
    <xf numFmtId="0" fontId="7" fillId="0" borderId="17" xfId="2" applyFont="1" applyBorder="1" applyAlignment="1" applyProtection="1">
      <alignment horizontal="left" vertical="center"/>
      <protection locked="0"/>
    </xf>
    <xf numFmtId="0" fontId="7" fillId="0" borderId="17" xfId="2" applyFont="1" applyBorder="1" applyAlignment="1">
      <alignment horizontal="left" vertical="center"/>
    </xf>
    <xf numFmtId="0" fontId="7" fillId="0" borderId="1" xfId="2" applyFont="1" applyBorder="1" applyAlignment="1">
      <alignment horizontal="center" vertical="center"/>
    </xf>
    <xf numFmtId="0" fontId="7" fillId="0" borderId="3" xfId="2" applyFont="1" applyBorder="1" applyAlignment="1">
      <alignment horizontal="left" vertical="center" wrapText="1"/>
    </xf>
    <xf numFmtId="0" fontId="9" fillId="0" borderId="3" xfId="2" applyFont="1" applyBorder="1" applyAlignment="1">
      <alignment horizontal="center" vertical="center"/>
    </xf>
    <xf numFmtId="0" fontId="7" fillId="0" borderId="14" xfId="3" applyFont="1" applyBorder="1" applyAlignment="1">
      <alignment horizontal="center" vertical="center" wrapText="1"/>
    </xf>
    <xf numFmtId="0" fontId="7" fillId="0" borderId="18" xfId="3" applyFont="1" applyBorder="1" applyAlignment="1">
      <alignment horizontal="left" vertical="center" wrapText="1"/>
    </xf>
    <xf numFmtId="0" fontId="7" fillId="0" borderId="10" xfId="2" applyFont="1" applyBorder="1" applyAlignment="1">
      <alignment horizontal="center" vertical="center" wrapText="1"/>
    </xf>
    <xf numFmtId="0" fontId="7" fillId="0" borderId="10" xfId="3" applyFont="1" applyBorder="1" applyAlignment="1">
      <alignment horizontal="center" vertical="center" wrapText="1"/>
    </xf>
    <xf numFmtId="0" fontId="7" fillId="0" borderId="10" xfId="3" applyFont="1" applyBorder="1" applyAlignment="1">
      <alignment horizontal="left" vertical="center" wrapText="1"/>
    </xf>
    <xf numFmtId="0" fontId="7" fillId="0" borderId="12" xfId="0" applyFont="1" applyBorder="1" applyAlignment="1">
      <alignment horizontal="center" vertical="center" wrapText="1"/>
    </xf>
    <xf numFmtId="0" fontId="9" fillId="0" borderId="10" xfId="14" applyFont="1" applyBorder="1" applyAlignment="1">
      <alignment horizontal="center" vertical="center" wrapText="1"/>
    </xf>
    <xf numFmtId="0" fontId="12" fillId="0" borderId="14" xfId="3" applyFont="1" applyBorder="1" applyAlignment="1">
      <alignment horizontal="left" vertical="center" wrapText="1"/>
    </xf>
    <xf numFmtId="0" fontId="3" fillId="0" borderId="48" xfId="3" applyBorder="1" applyAlignment="1">
      <alignment horizontal="left" vertical="center" wrapText="1"/>
    </xf>
    <xf numFmtId="0" fontId="7" fillId="0" borderId="14" xfId="5" applyFont="1" applyBorder="1" applyAlignment="1">
      <alignment horizontal="center" vertical="center" wrapText="1"/>
    </xf>
    <xf numFmtId="0" fontId="7" fillId="0" borderId="14" xfId="5" applyFont="1" applyBorder="1" applyAlignment="1">
      <alignment horizontal="left" vertical="center" wrapText="1"/>
    </xf>
    <xf numFmtId="0" fontId="7" fillId="0" borderId="1" xfId="5" applyFont="1" applyBorder="1" applyAlignment="1">
      <alignment horizontal="left" vertical="center" wrapText="1"/>
    </xf>
    <xf numFmtId="0" fontId="7" fillId="0" borderId="17" xfId="3" applyFont="1" applyBorder="1" applyAlignment="1">
      <alignment horizontal="center" vertical="center" wrapText="1"/>
    </xf>
    <xf numFmtId="0" fontId="9" fillId="3" borderId="15" xfId="2" applyFont="1" applyFill="1" applyBorder="1" applyAlignment="1">
      <alignment horizontal="center" vertical="center" wrapText="1"/>
    </xf>
    <xf numFmtId="0" fontId="9" fillId="0" borderId="15" xfId="2" applyFont="1" applyBorder="1" applyAlignment="1">
      <alignment horizontal="center" vertical="center" wrapText="1"/>
    </xf>
    <xf numFmtId="0" fontId="9" fillId="0" borderId="2" xfId="2" applyFont="1" applyBorder="1" applyAlignment="1">
      <alignment horizontal="center" vertical="center" wrapText="1"/>
    </xf>
    <xf numFmtId="0" fontId="9" fillId="4" borderId="2" xfId="2" applyFont="1" applyFill="1" applyBorder="1" applyAlignment="1">
      <alignment horizontal="center" vertical="center" wrapText="1"/>
    </xf>
    <xf numFmtId="0" fontId="9" fillId="3" borderId="2" xfId="2" applyFont="1" applyFill="1" applyBorder="1" applyAlignment="1">
      <alignment horizontal="center" vertical="center" wrapText="1"/>
    </xf>
    <xf numFmtId="0" fontId="9" fillId="0" borderId="6" xfId="2" applyFont="1" applyBorder="1" applyAlignment="1">
      <alignment horizontal="center" vertical="center"/>
    </xf>
    <xf numFmtId="0" fontId="7" fillId="0" borderId="0" xfId="0" applyFont="1" applyAlignment="1" applyProtection="1">
      <alignment wrapText="1"/>
      <protection locked="0"/>
    </xf>
    <xf numFmtId="0" fontId="7" fillId="0" borderId="0" xfId="0" applyFont="1" applyAlignment="1" applyProtection="1">
      <alignment horizontal="center"/>
      <protection locked="0"/>
    </xf>
    <xf numFmtId="0" fontId="9" fillId="0" borderId="0" xfId="0" applyFont="1" applyProtection="1">
      <protection locked="0"/>
    </xf>
    <xf numFmtId="0" fontId="9" fillId="0" borderId="32" xfId="0" applyFont="1" applyBorder="1" applyProtection="1">
      <protection locked="0"/>
    </xf>
    <xf numFmtId="0" fontId="9" fillId="0" borderId="31" xfId="0" applyFont="1" applyBorder="1" applyAlignment="1" applyProtection="1">
      <alignment wrapText="1"/>
      <protection locked="0"/>
    </xf>
    <xf numFmtId="0" fontId="9" fillId="0" borderId="4" xfId="14" applyFont="1" applyBorder="1" applyAlignment="1">
      <alignment horizontal="center" vertical="center" wrapText="1"/>
    </xf>
    <xf numFmtId="0" fontId="7" fillId="0" borderId="0" xfId="3" applyFont="1" applyAlignment="1" applyProtection="1">
      <alignment wrapText="1"/>
      <protection locked="0"/>
    </xf>
    <xf numFmtId="0" fontId="9" fillId="0" borderId="13" xfId="14" applyFont="1" applyBorder="1" applyAlignment="1">
      <alignment horizontal="center" vertical="center" wrapText="1"/>
    </xf>
    <xf numFmtId="0" fontId="9" fillId="0" borderId="3" xfId="14" applyFont="1" applyBorder="1" applyAlignment="1">
      <alignment horizontal="center" vertical="center" wrapText="1"/>
    </xf>
    <xf numFmtId="0" fontId="9" fillId="6" borderId="1" xfId="14" applyFont="1" applyFill="1" applyBorder="1" applyAlignment="1" applyProtection="1">
      <alignment horizontal="center" vertical="center" wrapText="1"/>
      <protection locked="0"/>
    </xf>
    <xf numFmtId="0" fontId="9" fillId="0" borderId="2" xfId="14" applyFont="1" applyBorder="1" applyAlignment="1">
      <alignment horizontal="center" vertical="center" wrapText="1"/>
    </xf>
    <xf numFmtId="0" fontId="9" fillId="6" borderId="2" xfId="14" applyFont="1" applyFill="1" applyBorder="1" applyAlignment="1" applyProtection="1">
      <alignment horizontal="center" vertical="center" wrapText="1"/>
      <protection locked="0"/>
    </xf>
    <xf numFmtId="0" fontId="7" fillId="6" borderId="2" xfId="14" applyFont="1" applyFill="1" applyBorder="1" applyAlignment="1" applyProtection="1">
      <alignment horizontal="center" vertical="center" wrapText="1"/>
      <protection locked="0"/>
    </xf>
    <xf numFmtId="0" fontId="7" fillId="6" borderId="13" xfId="14" applyFont="1" applyFill="1" applyBorder="1" applyAlignment="1" applyProtection="1">
      <alignment horizontal="center" vertical="center" wrapText="1"/>
      <protection locked="0"/>
    </xf>
    <xf numFmtId="0" fontId="9" fillId="6" borderId="13" xfId="14" applyFont="1" applyFill="1" applyBorder="1" applyAlignment="1" applyProtection="1">
      <alignment horizontal="center" vertical="center" wrapText="1"/>
      <protection locked="0"/>
    </xf>
    <xf numFmtId="0" fontId="9" fillId="0" borderId="1" xfId="2" applyFont="1" applyBorder="1" applyAlignment="1" applyProtection="1">
      <alignment horizontal="center" vertical="center" wrapText="1"/>
      <protection locked="0"/>
    </xf>
    <xf numFmtId="0" fontId="10" fillId="0" borderId="0" xfId="3" applyFont="1" applyProtection="1">
      <protection locked="0"/>
    </xf>
    <xf numFmtId="0" fontId="7" fillId="0" borderId="0" xfId="0" applyFont="1" applyAlignment="1" applyProtection="1">
      <alignment horizontal="left" vertical="center" wrapText="1"/>
      <protection locked="0"/>
    </xf>
    <xf numFmtId="0" fontId="7" fillId="6" borderId="1" xfId="14" applyFont="1" applyFill="1" applyBorder="1" applyAlignment="1" applyProtection="1">
      <alignment horizontal="center" vertical="center" wrapText="1"/>
      <protection locked="0"/>
    </xf>
    <xf numFmtId="0" fontId="7" fillId="0" borderId="3" xfId="14" applyFont="1" applyBorder="1" applyAlignment="1">
      <alignment horizontal="center" vertical="center" wrapText="1"/>
    </xf>
    <xf numFmtId="0" fontId="13" fillId="0" borderId="2" xfId="3" applyFont="1" applyBorder="1" applyAlignment="1" applyProtection="1">
      <alignment vertical="center" wrapText="1"/>
      <protection locked="0"/>
    </xf>
    <xf numFmtId="0" fontId="29" fillId="4" borderId="3" xfId="14" applyFont="1" applyFill="1" applyBorder="1" applyAlignment="1" applyProtection="1">
      <alignment horizontal="center" vertical="center" wrapText="1"/>
      <protection locked="0"/>
    </xf>
    <xf numFmtId="0" fontId="9" fillId="0" borderId="3" xfId="14" applyFont="1" applyBorder="1" applyAlignment="1">
      <alignment horizontal="center" vertical="center"/>
    </xf>
    <xf numFmtId="0" fontId="9" fillId="0" borderId="0" xfId="0" applyFont="1" applyAlignment="1" applyProtection="1">
      <alignment horizontal="center" vertical="center" wrapText="1"/>
      <protection locked="0"/>
    </xf>
    <xf numFmtId="0" fontId="7" fillId="0" borderId="29" xfId="3" applyFont="1" applyBorder="1" applyAlignment="1" applyProtection="1">
      <alignment horizontal="center" vertical="center" wrapText="1"/>
      <protection locked="0"/>
    </xf>
    <xf numFmtId="0" fontId="7" fillId="0" borderId="20" xfId="3" applyFont="1" applyBorder="1" applyAlignment="1">
      <alignment horizontal="center" vertical="center" wrapText="1"/>
    </xf>
    <xf numFmtId="0" fontId="28" fillId="0" borderId="36" xfId="3" applyFont="1" applyBorder="1" applyAlignment="1" applyProtection="1">
      <alignment horizontal="left" vertical="center" wrapText="1"/>
      <protection locked="0"/>
    </xf>
    <xf numFmtId="0" fontId="28" fillId="0" borderId="17" xfId="3" applyFont="1" applyBorder="1" applyAlignment="1" applyProtection="1">
      <alignment horizontal="left" vertical="center" wrapText="1"/>
      <protection locked="0"/>
    </xf>
    <xf numFmtId="0" fontId="30" fillId="0" borderId="14" xfId="3" applyFont="1" applyBorder="1" applyAlignment="1" applyProtection="1">
      <alignment horizontal="left" vertical="center" wrapText="1"/>
      <protection locked="0"/>
    </xf>
    <xf numFmtId="0" fontId="30" fillId="0" borderId="1" xfId="2" applyFont="1" applyBorder="1" applyAlignment="1" applyProtection="1">
      <alignment horizontal="center" vertical="center" wrapText="1"/>
      <protection locked="0"/>
    </xf>
    <xf numFmtId="0" fontId="30" fillId="0" borderId="3" xfId="2" applyFont="1" applyBorder="1" applyAlignment="1" applyProtection="1">
      <alignment horizontal="center" vertical="center" wrapText="1"/>
      <protection locked="0"/>
    </xf>
    <xf numFmtId="49" fontId="30" fillId="0" borderId="60" xfId="0" applyNumberFormat="1" applyFont="1" applyBorder="1" applyAlignment="1" applyProtection="1">
      <alignment horizontal="left" vertical="center" wrapText="1"/>
      <protection locked="0"/>
    </xf>
    <xf numFmtId="0" fontId="30" fillId="0" borderId="3" xfId="0" applyFont="1" applyBorder="1" applyAlignment="1" applyProtection="1">
      <alignment horizontal="center" vertical="center" wrapText="1"/>
      <protection locked="0"/>
    </xf>
    <xf numFmtId="0" fontId="29" fillId="0" borderId="3" xfId="0" applyFont="1" applyBorder="1" applyAlignment="1" applyProtection="1">
      <alignment horizontal="center" vertical="center" wrapText="1"/>
      <protection locked="0"/>
    </xf>
    <xf numFmtId="0" fontId="28" fillId="0" borderId="6" xfId="2" applyFont="1" applyBorder="1" applyAlignment="1" applyProtection="1">
      <alignment horizontal="center" vertical="center"/>
      <protection locked="0"/>
    </xf>
    <xf numFmtId="0" fontId="7" fillId="0" borderId="20" xfId="0" applyFont="1" applyBorder="1" applyAlignment="1" applyProtection="1">
      <alignment horizontal="left" vertical="center" wrapText="1"/>
      <protection locked="0"/>
    </xf>
    <xf numFmtId="0" fontId="9" fillId="0" borderId="3" xfId="14" applyFont="1" applyBorder="1" applyAlignment="1" applyProtection="1">
      <alignment horizontal="center" vertical="center" wrapText="1"/>
      <protection locked="0"/>
    </xf>
    <xf numFmtId="0" fontId="9" fillId="0" borderId="2" xfId="14" applyFont="1" applyBorder="1" applyAlignment="1" applyProtection="1">
      <alignment horizontal="center" vertical="center" wrapText="1"/>
      <protection locked="0"/>
    </xf>
    <xf numFmtId="0" fontId="7" fillId="0" borderId="60" xfId="2" applyFont="1" applyBorder="1" applyAlignment="1" applyProtection="1">
      <alignment horizontal="left" vertical="center" wrapText="1"/>
      <protection locked="0"/>
    </xf>
    <xf numFmtId="0" fontId="9" fillId="0" borderId="3" xfId="2" applyFont="1" applyBorder="1" applyAlignment="1" applyProtection="1">
      <alignment horizontal="center" vertical="center" wrapText="1"/>
      <protection locked="0"/>
    </xf>
    <xf numFmtId="0" fontId="7" fillId="0" borderId="1" xfId="0" applyFont="1" applyBorder="1" applyAlignment="1" applyProtection="1">
      <alignment vertical="center" wrapText="1"/>
      <protection locked="0"/>
    </xf>
    <xf numFmtId="0" fontId="7" fillId="0" borderId="3" xfId="14" applyFont="1" applyBorder="1" applyAlignment="1" applyProtection="1">
      <alignment horizontal="center" vertical="center" wrapText="1"/>
      <protection locked="0"/>
    </xf>
    <xf numFmtId="0" fontId="7" fillId="0" borderId="48" xfId="3" applyFont="1" applyBorder="1" applyAlignment="1" applyProtection="1">
      <alignment vertical="center" wrapText="1"/>
      <protection locked="0"/>
    </xf>
    <xf numFmtId="0" fontId="7" fillId="0" borderId="17" xfId="3" applyFont="1" applyBorder="1" applyAlignment="1" applyProtection="1">
      <alignment vertical="center" wrapText="1"/>
      <protection locked="0"/>
    </xf>
    <xf numFmtId="0" fontId="7" fillId="0" borderId="2" xfId="14" applyFont="1" applyBorder="1" applyAlignment="1" applyProtection="1">
      <alignment horizontal="center" vertical="center" wrapText="1"/>
      <protection locked="0"/>
    </xf>
    <xf numFmtId="9" fontId="19" fillId="0" borderId="0" xfId="11" applyFont="1" applyAlignment="1">
      <alignment horizontal="center" vertical="center"/>
    </xf>
    <xf numFmtId="0" fontId="22" fillId="3" borderId="4" xfId="2" applyFont="1" applyFill="1" applyBorder="1" applyAlignment="1">
      <alignment horizontal="center" vertical="center" wrapText="1"/>
    </xf>
    <xf numFmtId="0" fontId="22" fillId="3" borderId="33" xfId="2" applyFont="1" applyFill="1" applyBorder="1" applyAlignment="1">
      <alignment horizontal="center" vertical="center" wrapText="1"/>
    </xf>
    <xf numFmtId="164" fontId="19" fillId="0" borderId="0" xfId="0" applyNumberFormat="1" applyFont="1" applyAlignment="1">
      <alignment horizontal="center" vertical="center"/>
    </xf>
    <xf numFmtId="164" fontId="19" fillId="0" borderId="0" xfId="0" applyNumberFormat="1" applyFont="1" applyAlignment="1" applyProtection="1">
      <alignment horizontal="center" vertical="center"/>
      <protection locked="0"/>
    </xf>
    <xf numFmtId="9" fontId="19" fillId="0" borderId="0" xfId="11" applyFont="1" applyAlignment="1" applyProtection="1">
      <alignment horizontal="center" vertical="center"/>
      <protection locked="0"/>
    </xf>
    <xf numFmtId="0" fontId="19" fillId="0" borderId="0" xfId="0" applyFont="1" applyAlignment="1" applyProtection="1">
      <alignment horizontal="center" vertical="center"/>
      <protection locked="0"/>
    </xf>
    <xf numFmtId="164" fontId="19" fillId="0" borderId="0" xfId="0" applyNumberFormat="1" applyFont="1" applyAlignment="1">
      <alignment horizontal="center" vertical="center" wrapText="1"/>
    </xf>
    <xf numFmtId="164" fontId="19" fillId="0" borderId="0" xfId="0" applyNumberFormat="1" applyFont="1" applyAlignment="1" applyProtection="1">
      <alignment horizontal="center" vertical="center" wrapText="1"/>
      <protection locked="0"/>
    </xf>
    <xf numFmtId="164" fontId="19" fillId="0" borderId="0" xfId="0" applyNumberFormat="1" applyFont="1" applyAlignment="1">
      <alignment horizontal="right" vertical="center"/>
    </xf>
    <xf numFmtId="0" fontId="7" fillId="0" borderId="62" xfId="3" applyFont="1" applyBorder="1" applyAlignment="1" applyProtection="1">
      <alignment horizontal="left" vertical="center" wrapText="1"/>
      <protection locked="0"/>
    </xf>
    <xf numFmtId="0" fontId="31" fillId="4" borderId="7" xfId="2" applyFont="1" applyFill="1" applyBorder="1" applyAlignment="1" applyProtection="1">
      <alignment horizontal="center" vertical="center" wrapText="1"/>
      <protection locked="0"/>
    </xf>
    <xf numFmtId="0" fontId="31" fillId="4" borderId="17" xfId="3" applyFont="1" applyFill="1" applyBorder="1" applyAlignment="1" applyProtection="1">
      <alignment horizontal="left" vertical="center" wrapText="1"/>
      <protection locked="0"/>
    </xf>
    <xf numFmtId="0" fontId="31" fillId="4" borderId="49" xfId="3" applyFont="1" applyFill="1" applyBorder="1" applyAlignment="1" applyProtection="1">
      <alignment horizontal="left" vertical="center" wrapText="1"/>
      <protection locked="0"/>
    </xf>
    <xf numFmtId="164" fontId="33" fillId="0" borderId="0" xfId="0" applyNumberFormat="1" applyFont="1" applyAlignment="1" applyProtection="1">
      <alignment horizontal="center" vertical="center" wrapText="1"/>
      <protection locked="0"/>
    </xf>
    <xf numFmtId="9" fontId="33" fillId="0" borderId="0" xfId="11" applyFont="1" applyAlignment="1">
      <alignment horizontal="center" vertical="center"/>
    </xf>
    <xf numFmtId="164" fontId="33" fillId="0" borderId="0" xfId="0" applyNumberFormat="1" applyFont="1" applyAlignment="1">
      <alignment horizontal="center" vertical="center"/>
    </xf>
    <xf numFmtId="0" fontId="31" fillId="0" borderId="0" xfId="0" applyFont="1" applyAlignment="1" applyProtection="1">
      <alignment horizontal="center" vertical="center" wrapText="1"/>
      <protection locked="0"/>
    </xf>
    <xf numFmtId="0" fontId="31" fillId="0" borderId="0" xfId="3" applyFont="1" applyAlignment="1" applyProtection="1">
      <alignment wrapText="1"/>
      <protection locked="0"/>
    </xf>
    <xf numFmtId="0" fontId="32" fillId="0" borderId="0" xfId="3" applyFont="1" applyAlignment="1" applyProtection="1">
      <alignment horizontal="center" vertical="center" wrapText="1"/>
      <protection locked="0"/>
    </xf>
    <xf numFmtId="0" fontId="31" fillId="0" borderId="0" xfId="0" applyFont="1" applyAlignment="1" applyProtection="1">
      <alignment wrapText="1"/>
      <protection locked="0"/>
    </xf>
    <xf numFmtId="0" fontId="31" fillId="4" borderId="7" xfId="2" applyFont="1" applyFill="1" applyBorder="1" applyAlignment="1" applyProtection="1">
      <alignment horizontal="center" vertical="center"/>
      <protection locked="0"/>
    </xf>
    <xf numFmtId="0" fontId="31" fillId="0" borderId="0" xfId="0" applyFont="1" applyAlignment="1" applyProtection="1">
      <alignment horizontal="center" vertical="center"/>
      <protection locked="0"/>
    </xf>
    <xf numFmtId="0" fontId="31" fillId="0" borderId="0" xfId="3" applyFont="1" applyProtection="1">
      <protection locked="0"/>
    </xf>
    <xf numFmtId="0" fontId="31" fillId="0" borderId="0" xfId="0" applyFont="1" applyProtection="1">
      <protection locked="0"/>
    </xf>
    <xf numFmtId="0" fontId="32" fillId="4" borderId="1" xfId="0" applyFont="1" applyFill="1" applyBorder="1" applyAlignment="1">
      <alignment horizontal="center" vertical="center" wrapText="1"/>
    </xf>
    <xf numFmtId="0" fontId="31" fillId="4" borderId="1" xfId="0" applyFont="1" applyFill="1" applyBorder="1" applyAlignment="1">
      <alignment horizontal="center" vertical="center" wrapText="1"/>
    </xf>
    <xf numFmtId="49" fontId="31" fillId="4" borderId="38" xfId="0" applyNumberFormat="1" applyFont="1" applyFill="1" applyBorder="1" applyAlignment="1">
      <alignment horizontal="left" vertical="center" wrapText="1"/>
    </xf>
    <xf numFmtId="0" fontId="31" fillId="4" borderId="3" xfId="2" applyFont="1" applyFill="1" applyBorder="1" applyAlignment="1">
      <alignment horizontal="center" vertical="center" wrapText="1"/>
    </xf>
    <xf numFmtId="0" fontId="31" fillId="4" borderId="14" xfId="3" applyFont="1" applyFill="1" applyBorder="1" applyAlignment="1">
      <alignment horizontal="left" vertical="center" wrapText="1"/>
    </xf>
    <xf numFmtId="0" fontId="31" fillId="4" borderId="17" xfId="3" applyFont="1" applyFill="1" applyBorder="1" applyAlignment="1">
      <alignment horizontal="left" vertical="center" wrapText="1"/>
    </xf>
    <xf numFmtId="0" fontId="31" fillId="4" borderId="36" xfId="3" applyFont="1" applyFill="1" applyBorder="1" applyAlignment="1" applyProtection="1">
      <alignment horizontal="left" vertical="center" wrapText="1"/>
      <protection locked="0"/>
    </xf>
    <xf numFmtId="0" fontId="31" fillId="4" borderId="1" xfId="2" applyFont="1" applyFill="1" applyBorder="1" applyAlignment="1">
      <alignment horizontal="center" vertical="center" wrapText="1"/>
    </xf>
    <xf numFmtId="0" fontId="32" fillId="0" borderId="3" xfId="14" applyFont="1" applyBorder="1" applyAlignment="1">
      <alignment horizontal="center" vertical="center" wrapText="1"/>
    </xf>
    <xf numFmtId="0" fontId="31" fillId="0" borderId="3" xfId="14" applyFont="1" applyBorder="1" applyAlignment="1">
      <alignment horizontal="center" vertical="center" wrapText="1"/>
    </xf>
    <xf numFmtId="49" fontId="31" fillId="0" borderId="38" xfId="0" applyNumberFormat="1" applyFont="1" applyBorder="1" applyAlignment="1">
      <alignment vertical="center" wrapText="1"/>
    </xf>
    <xf numFmtId="0" fontId="31" fillId="0" borderId="1" xfId="2" applyFont="1" applyBorder="1" applyAlignment="1">
      <alignment horizontal="center" vertical="center" wrapText="1"/>
    </xf>
    <xf numFmtId="0" fontId="31" fillId="0" borderId="1" xfId="3" applyFont="1" applyBorder="1" applyAlignment="1">
      <alignment horizontal="center" vertical="center" wrapText="1"/>
    </xf>
    <xf numFmtId="0" fontId="31" fillId="0" borderId="17" xfId="3" applyFont="1" applyBorder="1" applyAlignment="1">
      <alignment horizontal="left" vertical="center" wrapText="1"/>
    </xf>
    <xf numFmtId="0" fontId="31" fillId="0" borderId="17" xfId="3" applyFont="1" applyBorder="1" applyAlignment="1" applyProtection="1">
      <alignment horizontal="left" vertical="center" wrapText="1"/>
      <protection locked="0"/>
    </xf>
    <xf numFmtId="0" fontId="31" fillId="0" borderId="36" xfId="3" applyFont="1" applyBorder="1" applyAlignment="1" applyProtection="1">
      <alignment horizontal="left" vertical="center" wrapText="1"/>
      <protection locked="0"/>
    </xf>
    <xf numFmtId="0" fontId="31" fillId="0" borderId="1" xfId="3" applyFont="1" applyBorder="1" applyAlignment="1">
      <alignment horizontal="left" vertical="center" wrapText="1"/>
    </xf>
    <xf numFmtId="0" fontId="31" fillId="0" borderId="14" xfId="3" applyFont="1" applyBorder="1" applyAlignment="1" applyProtection="1">
      <alignment horizontal="left" vertical="center" wrapText="1"/>
      <protection locked="0"/>
    </xf>
    <xf numFmtId="0" fontId="32" fillId="4" borderId="3" xfId="14" applyFont="1" applyFill="1" applyBorder="1" applyAlignment="1">
      <alignment horizontal="center" vertical="center" wrapText="1"/>
    </xf>
    <xf numFmtId="0" fontId="31" fillId="4" borderId="3" xfId="14" applyFont="1" applyFill="1" applyBorder="1" applyAlignment="1">
      <alignment horizontal="center" vertical="center" wrapText="1"/>
    </xf>
    <xf numFmtId="49" fontId="31" fillId="4" borderId="38" xfId="0" applyNumberFormat="1" applyFont="1" applyFill="1" applyBorder="1" applyAlignment="1">
      <alignment vertical="center" wrapText="1"/>
    </xf>
    <xf numFmtId="0" fontId="31" fillId="4" borderId="1" xfId="3" applyFont="1" applyFill="1" applyBorder="1" applyAlignment="1">
      <alignment horizontal="center" vertical="center" wrapText="1"/>
    </xf>
    <xf numFmtId="0" fontId="31" fillId="4" borderId="17" xfId="0" applyFont="1" applyFill="1" applyBorder="1" applyAlignment="1">
      <alignment horizontal="left" vertical="center" wrapText="1"/>
    </xf>
    <xf numFmtId="0" fontId="31" fillId="4" borderId="17" xfId="0" applyFont="1" applyFill="1" applyBorder="1" applyAlignment="1" applyProtection="1">
      <alignment horizontal="left" vertical="center" wrapText="1"/>
      <protection locked="0"/>
    </xf>
    <xf numFmtId="0" fontId="31" fillId="4" borderId="1" xfId="3" applyFont="1" applyFill="1" applyBorder="1" applyAlignment="1">
      <alignment horizontal="left" vertical="center" wrapText="1"/>
    </xf>
    <xf numFmtId="0" fontId="31" fillId="4" borderId="14" xfId="3" applyFont="1" applyFill="1" applyBorder="1" applyAlignment="1" applyProtection="1">
      <alignment horizontal="left" vertical="center" wrapText="1"/>
      <protection locked="0"/>
    </xf>
    <xf numFmtId="0" fontId="3" fillId="0" borderId="48" xfId="2" applyFont="1" applyBorder="1" applyAlignment="1" applyProtection="1">
      <alignment horizontal="left" vertical="center" wrapText="1"/>
      <protection locked="0"/>
    </xf>
    <xf numFmtId="0" fontId="23" fillId="0" borderId="1" xfId="0" applyFont="1" applyBorder="1" applyAlignment="1">
      <alignment horizontal="center" vertical="center"/>
    </xf>
    <xf numFmtId="0" fontId="6" fillId="0" borderId="1" xfId="0" applyFont="1" applyBorder="1" applyAlignment="1">
      <alignment horizontal="center"/>
    </xf>
    <xf numFmtId="0" fontId="6" fillId="0" borderId="25" xfId="0" applyFont="1" applyBorder="1"/>
    <xf numFmtId="0" fontId="23" fillId="0" borderId="1" xfId="0" applyFont="1" applyBorder="1" applyAlignment="1">
      <alignment horizontal="center" vertical="center" wrapText="1"/>
    </xf>
    <xf numFmtId="0" fontId="6" fillId="0" borderId="26" xfId="0" applyFont="1" applyBorder="1"/>
    <xf numFmtId="0" fontId="6" fillId="0" borderId="22" xfId="0" applyFont="1" applyBorder="1"/>
    <xf numFmtId="0" fontId="7" fillId="4" borderId="8" xfId="2" applyFont="1" applyFill="1" applyBorder="1" applyAlignment="1" applyProtection="1">
      <alignment horizontal="center" vertical="center"/>
      <protection locked="0"/>
    </xf>
    <xf numFmtId="0" fontId="19" fillId="0" borderId="0" xfId="0" applyFont="1" applyAlignment="1" applyProtection="1">
      <alignment horizontal="right" vertical="center"/>
      <protection locked="0"/>
    </xf>
    <xf numFmtId="9" fontId="19" fillId="0" borderId="0" xfId="11" applyFont="1" applyAlignment="1" applyProtection="1">
      <alignment horizontal="right" vertical="center"/>
      <protection locked="0"/>
    </xf>
    <xf numFmtId="9" fontId="22" fillId="0" borderId="32" xfId="11" applyFont="1" applyBorder="1" applyAlignment="1" applyProtection="1">
      <alignment horizontal="right" vertical="center"/>
      <protection locked="0"/>
    </xf>
    <xf numFmtId="0" fontId="22" fillId="0" borderId="32" xfId="0" applyFont="1" applyBorder="1" applyAlignment="1" applyProtection="1">
      <alignment horizontal="right" vertical="center"/>
      <protection locked="0"/>
    </xf>
    <xf numFmtId="9" fontId="22" fillId="0" borderId="65" xfId="11" applyFont="1" applyBorder="1" applyAlignment="1" applyProtection="1">
      <alignment horizontal="right" vertical="center"/>
      <protection locked="0"/>
    </xf>
    <xf numFmtId="0" fontId="22" fillId="0" borderId="65" xfId="0" applyFont="1" applyBorder="1" applyAlignment="1" applyProtection="1">
      <alignment horizontal="right" vertical="center"/>
      <protection locked="0"/>
    </xf>
    <xf numFmtId="0" fontId="9" fillId="0" borderId="65" xfId="0" applyFont="1" applyBorder="1" applyProtection="1">
      <protection locked="0"/>
    </xf>
    <xf numFmtId="0" fontId="9" fillId="0" borderId="66" xfId="0" applyFont="1" applyBorder="1" applyAlignment="1" applyProtection="1">
      <alignment wrapText="1"/>
      <protection locked="0"/>
    </xf>
    <xf numFmtId="164" fontId="19" fillId="0" borderId="0" xfId="0" applyNumberFormat="1" applyFont="1" applyAlignment="1" applyProtection="1">
      <alignment horizontal="right" vertical="center"/>
      <protection locked="0"/>
    </xf>
    <xf numFmtId="0" fontId="7" fillId="0" borderId="5" xfId="2" applyFont="1" applyBorder="1" applyAlignment="1" applyProtection="1">
      <alignment horizontal="center" vertical="center"/>
      <protection locked="0"/>
    </xf>
    <xf numFmtId="0" fontId="7" fillId="0" borderId="6" xfId="2" applyFont="1" applyBorder="1" applyAlignment="1" applyProtection="1">
      <alignment horizontal="center" vertical="center" wrapText="1"/>
      <protection locked="0"/>
    </xf>
    <xf numFmtId="0" fontId="31" fillId="4" borderId="8" xfId="2" applyFont="1" applyFill="1" applyBorder="1" applyAlignment="1" applyProtection="1">
      <alignment horizontal="center" vertical="center"/>
      <protection locked="0"/>
    </xf>
    <xf numFmtId="9" fontId="33" fillId="0" borderId="0" xfId="11" applyFont="1" applyAlignment="1" applyProtection="1">
      <alignment horizontal="center" vertical="center"/>
      <protection locked="0"/>
    </xf>
    <xf numFmtId="0" fontId="7" fillId="0" borderId="7" xfId="2" applyFont="1" applyBorder="1" applyAlignment="1" applyProtection="1">
      <alignment horizontal="center" vertical="center" wrapText="1"/>
      <protection locked="0"/>
    </xf>
    <xf numFmtId="0" fontId="7" fillId="0" borderId="19" xfId="2" applyFont="1" applyBorder="1" applyAlignment="1" applyProtection="1">
      <alignment horizontal="center" vertical="center"/>
      <protection locked="0"/>
    </xf>
    <xf numFmtId="0" fontId="9" fillId="0" borderId="0" xfId="3" applyFont="1" applyProtection="1">
      <protection locked="0"/>
    </xf>
    <xf numFmtId="0" fontId="31" fillId="0" borderId="7" xfId="2" applyFont="1" applyBorder="1" applyAlignment="1" applyProtection="1">
      <alignment horizontal="center" vertical="center"/>
      <protection locked="0"/>
    </xf>
    <xf numFmtId="0" fontId="7" fillId="0" borderId="43" xfId="2" applyFont="1" applyBorder="1" applyAlignment="1" applyProtection="1">
      <alignment horizontal="center" vertical="center"/>
      <protection locked="0"/>
    </xf>
    <xf numFmtId="0" fontId="7" fillId="0" borderId="9" xfId="2" applyFont="1" applyBorder="1" applyAlignment="1" applyProtection="1">
      <alignment horizontal="center" vertical="center"/>
      <protection locked="0"/>
    </xf>
    <xf numFmtId="0" fontId="9" fillId="3" borderId="28" xfId="0" applyFont="1" applyFill="1" applyBorder="1" applyAlignment="1" applyProtection="1">
      <alignment horizontal="center" vertical="center" wrapText="1"/>
      <protection locked="0"/>
    </xf>
    <xf numFmtId="0" fontId="14" fillId="6" borderId="2" xfId="3" applyFont="1" applyFill="1" applyBorder="1" applyAlignment="1" applyProtection="1">
      <alignment vertical="center" wrapText="1"/>
      <protection locked="0"/>
    </xf>
    <xf numFmtId="0" fontId="14" fillId="6" borderId="15" xfId="3" applyFont="1" applyFill="1" applyBorder="1" applyAlignment="1" applyProtection="1">
      <alignment vertical="center" wrapText="1"/>
      <protection locked="0"/>
    </xf>
    <xf numFmtId="0" fontId="9" fillId="6" borderId="3" xfId="0" applyFont="1" applyFill="1" applyBorder="1" applyAlignment="1" applyProtection="1">
      <alignment horizontal="center" vertical="center" wrapText="1"/>
      <protection locked="0"/>
    </xf>
    <xf numFmtId="0" fontId="7" fillId="6" borderId="1" xfId="3" applyFont="1" applyFill="1" applyBorder="1" applyProtection="1">
      <protection locked="0"/>
    </xf>
    <xf numFmtId="0" fontId="7" fillId="6" borderId="14" xfId="3" applyFont="1" applyFill="1" applyBorder="1" applyProtection="1">
      <protection locked="0"/>
    </xf>
    <xf numFmtId="0" fontId="14" fillId="6" borderId="1" xfId="3" applyFont="1" applyFill="1" applyBorder="1" applyAlignment="1" applyProtection="1">
      <alignment vertical="center" wrapText="1"/>
      <protection locked="0"/>
    </xf>
    <xf numFmtId="0" fontId="14" fillId="6" borderId="14" xfId="3" applyFont="1" applyFill="1" applyBorder="1" applyAlignment="1" applyProtection="1">
      <alignment vertical="center" wrapText="1"/>
      <protection locked="0"/>
    </xf>
    <xf numFmtId="0" fontId="9" fillId="0" borderId="1" xfId="7" applyFont="1" applyFill="1" applyBorder="1" applyAlignment="1">
      <alignment horizontal="center" vertical="center"/>
    </xf>
    <xf numFmtId="0" fontId="7" fillId="0" borderId="6" xfId="2" applyFont="1" applyBorder="1" applyAlignment="1">
      <alignment horizontal="center" vertical="center"/>
    </xf>
    <xf numFmtId="0" fontId="21" fillId="0" borderId="1" xfId="2" applyFont="1" applyBorder="1" applyAlignment="1">
      <alignment horizontal="center" vertical="center" wrapText="1"/>
    </xf>
    <xf numFmtId="0" fontId="7" fillId="0" borderId="67" xfId="0" applyFont="1" applyBorder="1" applyAlignment="1" applyProtection="1">
      <alignment horizontal="left" vertical="center" wrapText="1"/>
      <protection locked="0"/>
    </xf>
    <xf numFmtId="0" fontId="7" fillId="6" borderId="67" xfId="3" applyFont="1" applyFill="1" applyBorder="1" applyAlignment="1" applyProtection="1">
      <alignment horizontal="left" vertical="center" wrapText="1"/>
      <protection locked="0"/>
    </xf>
    <xf numFmtId="0" fontId="7" fillId="12" borderId="17" xfId="0" applyFont="1" applyFill="1" applyBorder="1" applyAlignment="1" applyProtection="1">
      <alignment horizontal="left" vertical="center" wrapText="1"/>
      <protection locked="0"/>
    </xf>
    <xf numFmtId="0" fontId="7" fillId="6" borderId="17" xfId="0" applyFont="1" applyFill="1" applyBorder="1" applyAlignment="1" applyProtection="1">
      <alignment horizontal="left" vertical="center" wrapText="1"/>
      <protection locked="0"/>
    </xf>
    <xf numFmtId="0" fontId="10" fillId="6" borderId="67" xfId="3" applyFont="1" applyFill="1" applyBorder="1" applyAlignment="1" applyProtection="1">
      <alignment horizontal="left" vertical="center" wrapText="1"/>
      <protection locked="0"/>
    </xf>
    <xf numFmtId="49" fontId="30" fillId="0" borderId="38" xfId="0" applyNumberFormat="1" applyFont="1" applyBorder="1" applyAlignment="1">
      <alignment vertical="center" wrapText="1"/>
    </xf>
    <xf numFmtId="9" fontId="39" fillId="0" borderId="0" xfId="11" applyFont="1" applyAlignment="1" applyProtection="1">
      <alignment horizontal="center" vertical="center"/>
      <protection locked="0"/>
    </xf>
    <xf numFmtId="0" fontId="35" fillId="0" borderId="7" xfId="2" applyFont="1" applyBorder="1" applyAlignment="1" applyProtection="1">
      <alignment horizontal="center" vertical="center"/>
      <protection locked="0"/>
    </xf>
    <xf numFmtId="0" fontId="35" fillId="0" borderId="17" xfId="2" applyFont="1" applyBorder="1" applyAlignment="1" applyProtection="1">
      <alignment horizontal="center" vertical="center"/>
      <protection locked="0"/>
    </xf>
    <xf numFmtId="0" fontId="35" fillId="0" borderId="49" xfId="3" applyFont="1" applyBorder="1" applyAlignment="1" applyProtection="1">
      <alignment horizontal="left" vertical="center" wrapText="1"/>
      <protection locked="0"/>
    </xf>
    <xf numFmtId="0" fontId="35" fillId="0" borderId="0" xfId="0" applyFont="1" applyAlignment="1" applyProtection="1">
      <alignment horizontal="center" vertical="center"/>
      <protection locked="0"/>
    </xf>
    <xf numFmtId="0" fontId="35" fillId="0" borderId="0" xfId="3" applyFont="1" applyProtection="1">
      <protection locked="0"/>
    </xf>
    <xf numFmtId="0" fontId="35" fillId="0" borderId="0" xfId="0" applyFont="1" applyProtection="1">
      <protection locked="0"/>
    </xf>
    <xf numFmtId="0" fontId="12" fillId="6" borderId="14" xfId="0" applyFont="1" applyFill="1" applyBorder="1" applyAlignment="1" applyProtection="1">
      <alignment horizontal="left" vertical="center" wrapText="1"/>
      <protection locked="0"/>
    </xf>
    <xf numFmtId="0" fontId="10" fillId="6" borderId="3" xfId="2" applyFont="1" applyFill="1" applyBorder="1" applyAlignment="1" applyProtection="1">
      <alignment horizontal="center" vertical="center" wrapText="1"/>
      <protection locked="0"/>
    </xf>
    <xf numFmtId="0" fontId="10" fillId="6" borderId="14" xfId="3" applyFont="1" applyFill="1" applyBorder="1" applyAlignment="1" applyProtection="1">
      <alignment horizontal="left" vertical="center" wrapText="1"/>
      <protection locked="0"/>
    </xf>
    <xf numFmtId="0" fontId="9" fillId="6" borderId="3" xfId="14" applyFont="1" applyFill="1" applyBorder="1" applyAlignment="1" applyProtection="1">
      <alignment horizontal="center" vertical="center" wrapText="1"/>
      <protection locked="0"/>
    </xf>
    <xf numFmtId="0" fontId="7" fillId="6" borderId="3" xfId="14" applyFont="1" applyFill="1" applyBorder="1" applyAlignment="1" applyProtection="1">
      <alignment horizontal="center" vertical="center" wrapText="1"/>
      <protection locked="0"/>
    </xf>
    <xf numFmtId="0" fontId="36" fillId="6" borderId="14" xfId="3" applyFont="1" applyFill="1" applyBorder="1" applyAlignment="1" applyProtection="1">
      <alignment horizontal="left" vertical="center" wrapText="1"/>
      <protection locked="0"/>
    </xf>
    <xf numFmtId="0" fontId="16" fillId="12" borderId="14" xfId="0" applyFont="1" applyFill="1" applyBorder="1" applyAlignment="1" applyProtection="1">
      <alignment horizontal="left" vertical="center" wrapText="1"/>
      <protection locked="0"/>
    </xf>
    <xf numFmtId="0" fontId="12" fillId="12" borderId="14" xfId="0" applyFont="1" applyFill="1" applyBorder="1" applyAlignment="1" applyProtection="1">
      <alignment horizontal="left" vertical="center" wrapText="1"/>
      <protection locked="0"/>
    </xf>
    <xf numFmtId="0" fontId="21" fillId="0" borderId="3" xfId="0" applyFont="1" applyBorder="1" applyAlignment="1">
      <alignment horizontal="center" vertical="center" wrapText="1"/>
    </xf>
    <xf numFmtId="0" fontId="6" fillId="0" borderId="1" xfId="3" applyFont="1" applyBorder="1" applyAlignment="1">
      <alignment vertical="top" wrapText="1"/>
    </xf>
    <xf numFmtId="0" fontId="35" fillId="6" borderId="1" xfId="2" applyFont="1" applyFill="1" applyBorder="1" applyAlignment="1" applyProtection="1">
      <alignment horizontal="center" vertical="center" wrapText="1"/>
      <protection locked="0"/>
    </xf>
    <xf numFmtId="0" fontId="7" fillId="6" borderId="14" xfId="2" applyFont="1" applyFill="1" applyBorder="1" applyAlignment="1" applyProtection="1">
      <alignment horizontal="left" vertical="center" wrapText="1"/>
      <protection locked="0"/>
    </xf>
    <xf numFmtId="0" fontId="7" fillId="12" borderId="3" xfId="0" applyFont="1" applyFill="1" applyBorder="1" applyAlignment="1" applyProtection="1">
      <alignment horizontal="center" vertical="center" wrapText="1"/>
      <protection locked="0"/>
    </xf>
    <xf numFmtId="0" fontId="7" fillId="6" borderId="48" xfId="3" applyFont="1" applyFill="1" applyBorder="1" applyAlignment="1" applyProtection="1">
      <alignment horizontal="left" vertical="center" wrapText="1"/>
      <protection locked="0"/>
    </xf>
    <xf numFmtId="0" fontId="14" fillId="9" borderId="35" xfId="3" applyFont="1" applyFill="1" applyBorder="1" applyAlignment="1" applyProtection="1">
      <alignment horizontal="left" vertical="center" wrapText="1"/>
      <protection locked="0"/>
    </xf>
    <xf numFmtId="49" fontId="30" fillId="0" borderId="38" xfId="0" applyNumberFormat="1" applyFont="1" applyBorder="1" applyAlignment="1">
      <alignment horizontal="left" vertical="center" wrapText="1"/>
    </xf>
    <xf numFmtId="0" fontId="7" fillId="6" borderId="2" xfId="0" applyFont="1" applyFill="1" applyBorder="1" applyAlignment="1" applyProtection="1">
      <alignment horizontal="center" vertical="center" wrapText="1"/>
      <protection locked="0"/>
    </xf>
    <xf numFmtId="0" fontId="6" fillId="0" borderId="48" xfId="2" applyFont="1" applyBorder="1" applyAlignment="1">
      <alignment horizontal="left" vertical="center" wrapText="1"/>
    </xf>
    <xf numFmtId="0" fontId="7" fillId="0" borderId="67" xfId="3" applyFont="1" applyBorder="1" applyAlignment="1" applyProtection="1">
      <alignment horizontal="center" vertical="center" wrapText="1"/>
      <protection locked="0"/>
    </xf>
    <xf numFmtId="9" fontId="19" fillId="0" borderId="0" xfId="11" applyFont="1" applyAlignment="1">
      <alignment horizontal="center" vertical="center" wrapText="1"/>
    </xf>
    <xf numFmtId="0" fontId="14" fillId="0" borderId="36" xfId="3" applyFont="1" applyBorder="1" applyAlignment="1" applyProtection="1">
      <alignment horizontal="left" vertical="center" wrapText="1"/>
      <protection locked="0"/>
    </xf>
    <xf numFmtId="0" fontId="15" fillId="0" borderId="17" xfId="3" applyFont="1" applyBorder="1" applyAlignment="1">
      <alignment horizontal="center" vertical="center" wrapText="1"/>
    </xf>
    <xf numFmtId="0" fontId="40" fillId="0" borderId="3" xfId="2" applyFont="1" applyBorder="1" applyAlignment="1">
      <alignment horizontal="center" vertical="center"/>
    </xf>
    <xf numFmtId="0" fontId="35" fillId="0" borderId="3" xfId="2" applyFont="1" applyBorder="1" applyAlignment="1">
      <alignment horizontal="center" vertical="center"/>
    </xf>
    <xf numFmtId="0" fontId="35" fillId="0" borderId="48" xfId="0" applyFont="1" applyBorder="1" applyAlignment="1">
      <alignment wrapText="1"/>
    </xf>
    <xf numFmtId="0" fontId="35" fillId="0" borderId="17" xfId="2" applyFont="1" applyBorder="1" applyAlignment="1">
      <alignment horizontal="left" vertical="center" wrapText="1"/>
    </xf>
    <xf numFmtId="0" fontId="38" fillId="0" borderId="17" xfId="3" applyFont="1" applyBorder="1" applyAlignment="1">
      <alignment horizontal="left" vertical="center" wrapText="1"/>
    </xf>
    <xf numFmtId="0" fontId="7" fillId="0" borderId="2" xfId="0" applyFont="1" applyBorder="1" applyAlignment="1">
      <alignment horizontal="left" vertical="center" wrapText="1"/>
    </xf>
    <xf numFmtId="0" fontId="13" fillId="0" borderId="14" xfId="3" applyFont="1" applyBorder="1" applyAlignment="1">
      <alignment horizontal="left" vertical="center" wrapText="1"/>
    </xf>
    <xf numFmtId="0" fontId="42" fillId="0" borderId="1" xfId="2" applyFont="1" applyBorder="1" applyAlignment="1">
      <alignment horizontal="center" vertical="center" wrapText="1"/>
    </xf>
    <xf numFmtId="0" fontId="7" fillId="0" borderId="2" xfId="14" applyFont="1" applyBorder="1" applyAlignment="1">
      <alignment horizontal="center" vertical="center" wrapText="1"/>
    </xf>
    <xf numFmtId="0" fontId="7" fillId="0" borderId="2" xfId="3" applyFont="1" applyBorder="1" applyAlignment="1">
      <alignment horizontal="center" vertical="center" wrapText="1"/>
    </xf>
    <xf numFmtId="0" fontId="7" fillId="0" borderId="15" xfId="3" applyFont="1" applyBorder="1" applyAlignment="1">
      <alignment horizontal="left" vertical="center" wrapText="1"/>
    </xf>
    <xf numFmtId="0" fontId="34" fillId="12" borderId="1" xfId="0" applyFont="1" applyFill="1" applyBorder="1" applyAlignment="1" applyProtection="1">
      <alignment horizontal="center" vertical="center"/>
      <protection locked="0"/>
    </xf>
    <xf numFmtId="0" fontId="41" fillId="12" borderId="1" xfId="0" applyFont="1" applyFill="1" applyBorder="1" applyAlignment="1" applyProtection="1">
      <alignment horizontal="center" vertical="center"/>
      <protection locked="0"/>
    </xf>
    <xf numFmtId="0" fontId="0" fillId="6" borderId="48" xfId="2" applyFont="1" applyFill="1" applyBorder="1" applyAlignment="1" applyProtection="1">
      <alignment horizontal="left" vertical="center" wrapText="1"/>
      <protection locked="0"/>
    </xf>
    <xf numFmtId="0" fontId="7" fillId="0" borderId="48" xfId="3" applyFont="1" applyBorder="1" applyAlignment="1">
      <alignment horizontal="left" vertical="center" wrapText="1"/>
    </xf>
    <xf numFmtId="0" fontId="9" fillId="0" borderId="3" xfId="2" applyFont="1" applyBorder="1" applyAlignment="1">
      <alignment horizontal="center" vertical="center" wrapText="1"/>
    </xf>
    <xf numFmtId="0" fontId="11" fillId="0" borderId="1" xfId="3" applyFont="1" applyBorder="1" applyAlignment="1">
      <alignment horizontal="left" vertical="center" wrapText="1"/>
    </xf>
    <xf numFmtId="0" fontId="24" fillId="0" borderId="48" xfId="0" applyFont="1" applyBorder="1" applyAlignment="1">
      <alignment horizontal="center" vertical="center"/>
    </xf>
    <xf numFmtId="0" fontId="7" fillId="0" borderId="48" xfId="0" applyFont="1" applyBorder="1" applyAlignment="1">
      <alignment vertical="center" wrapText="1"/>
    </xf>
    <xf numFmtId="0" fontId="7" fillId="0" borderId="48" xfId="0" applyFont="1" applyBorder="1" applyAlignment="1">
      <alignment horizontal="center" vertical="center" wrapText="1"/>
    </xf>
    <xf numFmtId="0" fontId="9" fillId="0" borderId="1" xfId="0" applyFont="1" applyBorder="1" applyAlignment="1">
      <alignment horizontal="center" vertical="center"/>
    </xf>
    <xf numFmtId="0" fontId="7" fillId="0" borderId="1" xfId="0" applyFont="1" applyBorder="1" applyAlignment="1">
      <alignment horizontal="center" vertical="center"/>
    </xf>
    <xf numFmtId="0" fontId="7" fillId="0" borderId="14" xfId="0" applyFont="1" applyBorder="1" applyAlignment="1">
      <alignment vertical="center"/>
    </xf>
    <xf numFmtId="0" fontId="11" fillId="0" borderId="14" xfId="3" applyFont="1" applyBorder="1" applyAlignment="1">
      <alignment horizontal="left" vertical="center" wrapText="1"/>
    </xf>
    <xf numFmtId="0" fontId="7" fillId="0" borderId="48" xfId="3" applyFont="1" applyBorder="1" applyAlignment="1">
      <alignment vertical="center" wrapText="1"/>
    </xf>
    <xf numFmtId="0" fontId="7" fillId="0" borderId="59" xfId="3" applyFont="1" applyBorder="1" applyAlignment="1">
      <alignment horizontal="left" vertical="center" wrapText="1"/>
    </xf>
    <xf numFmtId="0" fontId="7" fillId="0" borderId="15" xfId="0" applyFont="1" applyBorder="1" applyAlignment="1">
      <alignment horizontal="left" vertical="center" wrapText="1"/>
    </xf>
    <xf numFmtId="0" fontId="10" fillId="0" borderId="48" xfId="3" applyFont="1" applyBorder="1" applyAlignment="1">
      <alignment horizontal="left" vertical="center" wrapText="1"/>
    </xf>
    <xf numFmtId="0" fontId="37" fillId="0" borderId="3" xfId="0" applyFont="1" applyBorder="1" applyAlignment="1">
      <alignment horizontal="center" vertical="center" wrapText="1"/>
    </xf>
    <xf numFmtId="0" fontId="7" fillId="0" borderId="2" xfId="0" applyFont="1" applyBorder="1" applyAlignment="1">
      <alignment horizontal="center" vertical="center" wrapText="1"/>
    </xf>
    <xf numFmtId="0" fontId="9" fillId="0" borderId="48" xfId="0" applyFont="1" applyBorder="1" applyAlignment="1">
      <alignment horizontal="center" vertical="center"/>
    </xf>
    <xf numFmtId="0" fontId="7" fillId="0" borderId="48" xfId="0" applyFont="1" applyBorder="1" applyAlignment="1">
      <alignment horizontal="center" vertical="center"/>
    </xf>
    <xf numFmtId="0" fontId="35" fillId="0" borderId="2" xfId="2" applyFont="1" applyBorder="1" applyAlignment="1">
      <alignment horizontal="center" vertical="center" wrapText="1"/>
    </xf>
    <xf numFmtId="0" fontId="7" fillId="0" borderId="0" xfId="3" applyFont="1"/>
    <xf numFmtId="0" fontId="7" fillId="6" borderId="48" xfId="0" applyFont="1" applyFill="1" applyBorder="1" applyAlignment="1" applyProtection="1">
      <alignment horizontal="center" vertical="center" wrapText="1"/>
      <protection locked="0"/>
    </xf>
    <xf numFmtId="0" fontId="35" fillId="6" borderId="2" xfId="2" applyFont="1" applyFill="1" applyBorder="1" applyAlignment="1" applyProtection="1">
      <alignment horizontal="center" vertical="center" wrapText="1"/>
      <protection locked="0"/>
    </xf>
    <xf numFmtId="0" fontId="32" fillId="4" borderId="1" xfId="0" applyFont="1" applyFill="1" applyBorder="1" applyAlignment="1" applyProtection="1">
      <alignment horizontal="center" vertical="center" wrapText="1"/>
      <protection locked="0"/>
    </xf>
    <xf numFmtId="0" fontId="31" fillId="4" borderId="1" xfId="0" applyFont="1" applyFill="1" applyBorder="1" applyAlignment="1" applyProtection="1">
      <alignment horizontal="center" vertical="center" wrapText="1"/>
      <protection locked="0"/>
    </xf>
    <xf numFmtId="49" fontId="31" fillId="4" borderId="38" xfId="0" applyNumberFormat="1" applyFont="1" applyFill="1" applyBorder="1" applyAlignment="1" applyProtection="1">
      <alignment horizontal="left" vertical="center" wrapText="1"/>
      <protection locked="0"/>
    </xf>
    <xf numFmtId="0" fontId="31" fillId="4" borderId="3" xfId="2" applyFont="1" applyFill="1" applyBorder="1" applyAlignment="1" applyProtection="1">
      <alignment horizontal="center" vertical="center" wrapText="1"/>
      <protection locked="0"/>
    </xf>
    <xf numFmtId="49" fontId="30" fillId="0" borderId="38" xfId="0" applyNumberFormat="1" applyFont="1" applyBorder="1" applyAlignment="1" applyProtection="1">
      <alignment horizontal="left" vertical="center" wrapText="1"/>
      <protection locked="0"/>
    </xf>
    <xf numFmtId="0" fontId="31" fillId="4" borderId="1" xfId="2" applyFont="1" applyFill="1" applyBorder="1" applyAlignment="1" applyProtection="1">
      <alignment horizontal="center" vertical="center" wrapText="1"/>
      <protection locked="0"/>
    </xf>
    <xf numFmtId="0" fontId="9" fillId="0" borderId="0" xfId="3" applyFont="1" applyAlignment="1">
      <alignment horizontal="center" vertical="center"/>
    </xf>
    <xf numFmtId="0" fontId="32" fillId="0" borderId="0" xfId="3" applyFont="1" applyAlignment="1">
      <alignment horizontal="center" vertical="center" wrapText="1"/>
    </xf>
    <xf numFmtId="0" fontId="7" fillId="0" borderId="0" xfId="0" applyFont="1" applyAlignment="1">
      <alignment horizontal="center" vertical="center"/>
    </xf>
    <xf numFmtId="0" fontId="7" fillId="0" borderId="0" xfId="0" applyFont="1"/>
    <xf numFmtId="0" fontId="9" fillId="0" borderId="0" xfId="3" applyFont="1" applyAlignment="1">
      <alignment horizontal="center" vertical="center" wrapText="1"/>
    </xf>
    <xf numFmtId="0" fontId="40" fillId="0" borderId="0" xfId="3" applyFont="1" applyAlignment="1">
      <alignment horizontal="center" vertical="center"/>
    </xf>
    <xf numFmtId="0" fontId="9" fillId="0" borderId="0" xfId="0" applyFont="1" applyAlignment="1">
      <alignment horizontal="center" vertical="center"/>
    </xf>
    <xf numFmtId="2" fontId="7" fillId="0" borderId="0" xfId="0" applyNumberFormat="1" applyFont="1" applyProtection="1">
      <protection locked="0"/>
    </xf>
    <xf numFmtId="2" fontId="22" fillId="0" borderId="33" xfId="0" applyNumberFormat="1" applyFont="1" applyBorder="1" applyAlignment="1" applyProtection="1">
      <alignment horizontal="right" vertical="center"/>
      <protection locked="0"/>
    </xf>
    <xf numFmtId="2" fontId="22" fillId="0" borderId="64" xfId="0" applyNumberFormat="1" applyFont="1" applyBorder="1" applyAlignment="1" applyProtection="1">
      <alignment horizontal="right" vertical="center"/>
      <protection locked="0"/>
    </xf>
    <xf numFmtId="2" fontId="22" fillId="0" borderId="11" xfId="0" applyNumberFormat="1" applyFont="1" applyBorder="1" applyAlignment="1" applyProtection="1">
      <alignment horizontal="right" vertical="center"/>
      <protection locked="0"/>
    </xf>
    <xf numFmtId="164" fontId="33" fillId="0" borderId="0" xfId="0" applyNumberFormat="1" applyFont="1" applyAlignment="1">
      <alignment horizontal="center" vertical="center" wrapText="1"/>
    </xf>
    <xf numFmtId="164" fontId="39" fillId="0" borderId="0" xfId="0" applyNumberFormat="1" applyFont="1" applyAlignment="1">
      <alignment horizontal="center" vertical="center"/>
    </xf>
    <xf numFmtId="0" fontId="7" fillId="0" borderId="1" xfId="2" applyFont="1" applyBorder="1" applyAlignment="1">
      <alignment horizontal="left" vertical="center" wrapText="1"/>
    </xf>
    <xf numFmtId="49" fontId="30" fillId="4" borderId="38" xfId="0" applyNumberFormat="1" applyFont="1" applyFill="1" applyBorder="1" applyAlignment="1">
      <alignment vertical="center" wrapText="1"/>
    </xf>
    <xf numFmtId="0" fontId="7" fillId="0" borderId="3" xfId="2" applyFont="1" applyBorder="1" applyAlignment="1" applyProtection="1">
      <alignment horizontal="left" vertical="center" wrapText="1"/>
      <protection locked="0"/>
    </xf>
    <xf numFmtId="0" fontId="25" fillId="0" borderId="1" xfId="0" applyFont="1" applyBorder="1" applyAlignment="1" applyProtection="1">
      <alignment horizontal="left" vertical="center" wrapText="1"/>
      <protection locked="0"/>
    </xf>
    <xf numFmtId="9" fontId="19" fillId="0" borderId="2" xfId="11" applyFont="1" applyBorder="1" applyAlignment="1">
      <alignment horizontal="center" vertical="center" wrapText="1"/>
    </xf>
    <xf numFmtId="9" fontId="19" fillId="0" borderId="10" xfId="11" applyFont="1" applyBorder="1" applyAlignment="1">
      <alignment horizontal="center" vertical="center" wrapText="1"/>
    </xf>
    <xf numFmtId="9" fontId="19" fillId="0" borderId="74" xfId="11" applyFont="1" applyBorder="1" applyAlignment="1">
      <alignment horizontal="center" vertical="center" wrapText="1"/>
    </xf>
    <xf numFmtId="0" fontId="0" fillId="0" borderId="25" xfId="0" applyBorder="1" applyAlignment="1">
      <alignment wrapText="1"/>
    </xf>
    <xf numFmtId="0" fontId="0" fillId="0" borderId="26" xfId="0" applyBorder="1" applyAlignment="1">
      <alignment wrapText="1"/>
    </xf>
    <xf numFmtId="0" fontId="0" fillId="0" borderId="22" xfId="0" applyBorder="1" applyAlignment="1">
      <alignment wrapText="1"/>
    </xf>
    <xf numFmtId="0" fontId="6" fillId="0" borderId="1" xfId="0" applyFont="1" applyBorder="1" applyAlignment="1">
      <alignment readingOrder="2"/>
    </xf>
    <xf numFmtId="0" fontId="6" fillId="0" borderId="3" xfId="0" applyFont="1" applyBorder="1" applyAlignment="1">
      <alignment readingOrder="2"/>
    </xf>
    <xf numFmtId="0" fontId="23" fillId="0" borderId="3" xfId="0" applyFont="1" applyBorder="1" applyAlignment="1">
      <alignment readingOrder="2"/>
    </xf>
    <xf numFmtId="0" fontId="9" fillId="9" borderId="1" xfId="7" applyFont="1" applyFill="1" applyBorder="1" applyAlignment="1" applyProtection="1">
      <alignment horizontal="center" vertical="center"/>
      <protection locked="0"/>
    </xf>
    <xf numFmtId="0" fontId="7" fillId="0" borderId="1" xfId="3" applyFont="1" applyBorder="1" applyAlignment="1">
      <alignment horizontal="right" vertical="center" wrapText="1"/>
    </xf>
    <xf numFmtId="0" fontId="7" fillId="0" borderId="1" xfId="5" applyFont="1" applyBorder="1" applyAlignment="1">
      <alignment horizontal="right" vertical="center" wrapText="1"/>
    </xf>
    <xf numFmtId="0" fontId="0" fillId="0" borderId="48" xfId="3" applyFont="1" applyBorder="1" applyAlignment="1">
      <alignment horizontal="right" vertical="center" wrapText="1"/>
    </xf>
    <xf numFmtId="0" fontId="7" fillId="0" borderId="1" xfId="0" applyFont="1" applyBorder="1" applyAlignment="1" applyProtection="1">
      <alignment horizontal="right" vertical="center" wrapText="1"/>
      <protection locked="0"/>
    </xf>
    <xf numFmtId="0" fontId="7" fillId="0" borderId="1" xfId="0" applyFont="1" applyBorder="1" applyAlignment="1">
      <alignment horizontal="right" vertical="center" wrapText="1"/>
    </xf>
    <xf numFmtId="0" fontId="7" fillId="0" borderId="10" xfId="3" applyFont="1" applyBorder="1" applyAlignment="1">
      <alignment horizontal="right" vertical="center" wrapText="1"/>
    </xf>
    <xf numFmtId="0" fontId="7" fillId="0" borderId="3" xfId="2" applyFont="1" applyBorder="1" applyAlignment="1">
      <alignment horizontal="right" vertical="center" wrapText="1"/>
    </xf>
    <xf numFmtId="0" fontId="7" fillId="0" borderId="3" xfId="3" applyFont="1" applyBorder="1" applyAlignment="1">
      <alignment horizontal="right" vertical="center" wrapText="1"/>
    </xf>
    <xf numFmtId="0" fontId="43" fillId="0" borderId="0" xfId="0" applyFont="1" applyAlignment="1">
      <alignment horizontal="right" vertical="center" wrapText="1"/>
    </xf>
    <xf numFmtId="0" fontId="7" fillId="0" borderId="2" xfId="0" applyFont="1" applyBorder="1" applyAlignment="1">
      <alignment horizontal="right" vertical="center" wrapText="1"/>
    </xf>
    <xf numFmtId="165" fontId="7" fillId="0" borderId="2" xfId="0" applyNumberFormat="1" applyFont="1" applyBorder="1" applyAlignment="1">
      <alignment horizontal="right" vertical="center" wrapText="1"/>
    </xf>
    <xf numFmtId="0" fontId="7" fillId="0" borderId="3" xfId="0" applyFont="1" applyBorder="1" applyAlignment="1">
      <alignment horizontal="right" vertical="center" wrapText="1"/>
    </xf>
    <xf numFmtId="0" fontId="7" fillId="6" borderId="13" xfId="0" applyFont="1" applyFill="1" applyBorder="1" applyAlignment="1" applyProtection="1">
      <alignment horizontal="right" vertical="center" wrapText="1"/>
      <protection locked="0"/>
    </xf>
    <xf numFmtId="0" fontId="7" fillId="6" borderId="1" xfId="0" applyFont="1" applyFill="1" applyBorder="1" applyAlignment="1" applyProtection="1">
      <alignment horizontal="right" vertical="center" wrapText="1"/>
      <protection locked="0"/>
    </xf>
    <xf numFmtId="0" fontId="7" fillId="6" borderId="2" xfId="0" applyFont="1" applyFill="1" applyBorder="1" applyAlignment="1" applyProtection="1">
      <alignment horizontal="right" vertical="center" wrapText="1"/>
      <protection locked="0"/>
    </xf>
    <xf numFmtId="0" fontId="7" fillId="6" borderId="1" xfId="3" applyFont="1" applyFill="1" applyBorder="1" applyAlignment="1" applyProtection="1">
      <alignment horizontal="right" vertical="center" wrapText="1"/>
      <protection locked="0"/>
    </xf>
    <xf numFmtId="0" fontId="7" fillId="6" borderId="13" xfId="3" applyFont="1" applyFill="1" applyBorder="1" applyAlignment="1" applyProtection="1">
      <alignment horizontal="right" vertical="center" wrapText="1"/>
      <protection locked="0"/>
    </xf>
    <xf numFmtId="0" fontId="7" fillId="6" borderId="3" xfId="0" applyFont="1" applyFill="1" applyBorder="1" applyAlignment="1" applyProtection="1">
      <alignment horizontal="right" vertical="center" wrapText="1"/>
      <protection locked="0"/>
    </xf>
    <xf numFmtId="0" fontId="7" fillId="0" borderId="2" xfId="3" applyFont="1" applyBorder="1" applyAlignment="1">
      <alignment horizontal="right" vertical="center" wrapText="1"/>
    </xf>
    <xf numFmtId="0" fontId="7" fillId="6" borderId="2" xfId="3" applyFont="1" applyFill="1" applyBorder="1" applyAlignment="1" applyProtection="1">
      <alignment horizontal="right" vertical="center" wrapText="1"/>
      <protection locked="0"/>
    </xf>
    <xf numFmtId="0" fontId="7" fillId="0" borderId="3" xfId="3" applyFont="1" applyBorder="1" applyAlignment="1" applyProtection="1">
      <alignment horizontal="right" vertical="center" wrapText="1"/>
      <protection locked="0"/>
    </xf>
    <xf numFmtId="49" fontId="30" fillId="4" borderId="38" xfId="0" applyNumberFormat="1" applyFont="1" applyFill="1" applyBorder="1" applyAlignment="1" applyProtection="1">
      <alignment horizontal="right" vertical="center" wrapText="1"/>
      <protection locked="0"/>
    </xf>
    <xf numFmtId="0" fontId="7" fillId="0" borderId="4" xfId="3" applyFont="1" applyBorder="1" applyAlignment="1">
      <alignment horizontal="right" vertical="center" wrapText="1"/>
    </xf>
    <xf numFmtId="0" fontId="7" fillId="6" borderId="48" xfId="3" applyFont="1" applyFill="1" applyBorder="1" applyAlignment="1" applyProtection="1">
      <alignment horizontal="right" vertical="center" wrapText="1"/>
      <protection locked="0"/>
    </xf>
    <xf numFmtId="0" fontId="7" fillId="0" borderId="48" xfId="3" applyFont="1" applyBorder="1" applyAlignment="1">
      <alignment horizontal="right" vertical="center" wrapText="1"/>
    </xf>
    <xf numFmtId="165" fontId="7" fillId="0" borderId="1" xfId="0" applyNumberFormat="1" applyFont="1" applyBorder="1" applyAlignment="1">
      <alignment horizontal="right" vertical="center" wrapText="1"/>
    </xf>
    <xf numFmtId="9" fontId="19" fillId="0" borderId="79" xfId="11" applyFont="1" applyBorder="1" applyAlignment="1">
      <alignment horizontal="center" vertical="center" wrapText="1"/>
    </xf>
    <xf numFmtId="0" fontId="45" fillId="6" borderId="1" xfId="3" applyFont="1" applyFill="1" applyBorder="1" applyAlignment="1" applyProtection="1">
      <alignment vertical="center" wrapText="1"/>
      <protection locked="0"/>
    </xf>
    <xf numFmtId="0" fontId="46" fillId="6" borderId="1" xfId="3" applyFont="1" applyFill="1" applyBorder="1" applyAlignment="1" applyProtection="1">
      <alignment vertical="center" wrapText="1"/>
      <protection locked="0"/>
    </xf>
    <xf numFmtId="0" fontId="47" fillId="0" borderId="1" xfId="3" applyFont="1" applyBorder="1" applyAlignment="1">
      <alignment vertical="center" wrapText="1"/>
    </xf>
    <xf numFmtId="0" fontId="48" fillId="0" borderId="48" xfId="3" applyFont="1" applyBorder="1" applyAlignment="1">
      <alignment vertical="center" wrapText="1"/>
    </xf>
    <xf numFmtId="0" fontId="2" fillId="6" borderId="1" xfId="0" applyFont="1" applyFill="1" applyBorder="1" applyAlignment="1" applyProtection="1">
      <alignment horizontal="right" vertical="center" wrapText="1"/>
      <protection locked="0"/>
    </xf>
    <xf numFmtId="0" fontId="2" fillId="4" borderId="1" xfId="0" applyFont="1" applyFill="1" applyBorder="1" applyAlignment="1">
      <alignment horizontal="left" vertical="center" wrapText="1"/>
    </xf>
    <xf numFmtId="0" fontId="2" fillId="4" borderId="1" xfId="0" applyFont="1" applyFill="1" applyBorder="1" applyAlignment="1">
      <alignment horizontal="right" vertical="center" wrapText="1"/>
    </xf>
    <xf numFmtId="0" fontId="2" fillId="0" borderId="1" xfId="0" applyFont="1" applyBorder="1" applyAlignment="1" applyProtection="1">
      <alignment horizontal="left" vertical="center" wrapText="1"/>
      <protection locked="0"/>
    </xf>
    <xf numFmtId="0" fontId="2" fillId="0" borderId="0" xfId="0" applyFont="1" applyAlignment="1" applyProtection="1">
      <alignment horizontal="left" vertical="center"/>
      <protection locked="0"/>
    </xf>
    <xf numFmtId="0" fontId="37" fillId="0" borderId="1" xfId="3" applyFont="1" applyBorder="1" applyAlignment="1">
      <alignment horizontal="right" vertical="center" wrapText="1"/>
    </xf>
    <xf numFmtId="0" fontId="2" fillId="0" borderId="0" xfId="0" applyFont="1" applyAlignment="1">
      <alignment horizontal="left" vertical="center" wrapText="1"/>
    </xf>
    <xf numFmtId="0" fontId="2" fillId="0" borderId="1" xfId="3" applyFont="1" applyBorder="1" applyAlignment="1" applyProtection="1">
      <alignment horizontal="left" vertical="center" wrapText="1"/>
      <protection locked="0"/>
    </xf>
    <xf numFmtId="0" fontId="2" fillId="0" borderId="1" xfId="3" applyFont="1" applyBorder="1" applyAlignment="1">
      <alignment horizontal="right" vertical="center" wrapText="1"/>
    </xf>
    <xf numFmtId="0" fontId="2" fillId="0" borderId="48" xfId="0" applyFont="1" applyBorder="1" applyAlignment="1">
      <alignment horizontal="center" vertical="center"/>
    </xf>
    <xf numFmtId="0" fontId="2" fillId="0" borderId="48" xfId="0" applyFont="1" applyBorder="1" applyAlignment="1">
      <alignment vertical="center" wrapText="1"/>
    </xf>
    <xf numFmtId="0" fontId="2" fillId="0" borderId="3" xfId="3" applyFont="1" applyBorder="1" applyAlignment="1">
      <alignment horizontal="right" vertical="center" wrapText="1"/>
    </xf>
    <xf numFmtId="0" fontId="2" fillId="0" borderId="3" xfId="3" applyFont="1" applyBorder="1" applyAlignment="1" applyProtection="1">
      <alignment horizontal="left" vertical="center" wrapText="1"/>
      <protection locked="0"/>
    </xf>
    <xf numFmtId="0" fontId="2" fillId="0" borderId="2" xfId="3" applyFont="1" applyBorder="1" applyAlignment="1" applyProtection="1">
      <alignment horizontal="left" vertical="center" wrapText="1"/>
      <protection locked="0"/>
    </xf>
    <xf numFmtId="0" fontId="2" fillId="0" borderId="1" xfId="3" applyFont="1" applyBorder="1" applyAlignment="1">
      <alignment vertical="center" wrapText="1"/>
    </xf>
    <xf numFmtId="0" fontId="2" fillId="6" borderId="1" xfId="3" applyFont="1" applyFill="1" applyBorder="1" applyAlignment="1" applyProtection="1">
      <alignment vertical="center" wrapText="1"/>
      <protection locked="0"/>
    </xf>
    <xf numFmtId="0" fontId="2" fillId="0" borderId="63" xfId="3" applyFont="1" applyBorder="1" applyAlignment="1">
      <alignment horizontal="left" vertical="center" wrapText="1"/>
    </xf>
    <xf numFmtId="0" fontId="2" fillId="0" borderId="48" xfId="3" applyFont="1" applyBorder="1" applyAlignment="1">
      <alignment horizontal="right" vertical="center" wrapText="1"/>
    </xf>
    <xf numFmtId="0" fontId="14" fillId="0" borderId="49" xfId="3" applyFont="1" applyBorder="1" applyAlignment="1" applyProtection="1">
      <alignment horizontal="center" vertical="center" wrapText="1"/>
      <protection locked="0"/>
    </xf>
    <xf numFmtId="0" fontId="12" fillId="0" borderId="49" xfId="3" applyFont="1" applyBorder="1" applyAlignment="1" applyProtection="1">
      <alignment horizontal="center" vertical="center" wrapText="1"/>
      <protection locked="0"/>
    </xf>
    <xf numFmtId="0" fontId="7" fillId="13" borderId="8" xfId="2" applyFont="1" applyFill="1" applyBorder="1" applyAlignment="1" applyProtection="1">
      <alignment horizontal="center" vertical="center"/>
      <protection locked="0"/>
    </xf>
    <xf numFmtId="0" fontId="9" fillId="13" borderId="1" xfId="14" applyFont="1" applyFill="1" applyBorder="1" applyAlignment="1" applyProtection="1">
      <alignment horizontal="center" vertical="center" wrapText="1"/>
      <protection locked="0"/>
    </xf>
    <xf numFmtId="0" fontId="7" fillId="13" borderId="1" xfId="14" applyFont="1" applyFill="1" applyBorder="1" applyAlignment="1" applyProtection="1">
      <alignment horizontal="center" vertical="center" wrapText="1"/>
      <protection locked="0"/>
    </xf>
    <xf numFmtId="0" fontId="7" fillId="13" borderId="1" xfId="0" applyFont="1" applyFill="1" applyBorder="1" applyAlignment="1" applyProtection="1">
      <alignment horizontal="left" vertical="center" wrapText="1"/>
      <protection locked="0"/>
    </xf>
    <xf numFmtId="0" fontId="7" fillId="13" borderId="1" xfId="2" applyFont="1" applyFill="1" applyBorder="1" applyAlignment="1" applyProtection="1">
      <alignment horizontal="center" vertical="center" wrapText="1"/>
      <protection locked="0"/>
    </xf>
    <xf numFmtId="0" fontId="7" fillId="13" borderId="1" xfId="0" applyFont="1" applyFill="1" applyBorder="1" applyAlignment="1" applyProtection="1">
      <alignment horizontal="right" vertical="center" wrapText="1"/>
      <protection locked="0"/>
    </xf>
    <xf numFmtId="0" fontId="7" fillId="13" borderId="1" xfId="0" applyFont="1" applyFill="1" applyBorder="1" applyAlignment="1" applyProtection="1">
      <alignment horizontal="center" vertical="center" wrapText="1"/>
      <protection locked="0"/>
    </xf>
    <xf numFmtId="0" fontId="13" fillId="13" borderId="2" xfId="3" applyFont="1" applyFill="1" applyBorder="1" applyAlignment="1" applyProtection="1">
      <alignment vertical="center" wrapText="1"/>
      <protection locked="0"/>
    </xf>
    <xf numFmtId="0" fontId="7" fillId="13" borderId="17" xfId="3" applyFont="1" applyFill="1" applyBorder="1" applyAlignment="1" applyProtection="1">
      <alignment horizontal="center" vertical="center" wrapText="1"/>
      <protection locked="0"/>
    </xf>
    <xf numFmtId="0" fontId="7" fillId="13" borderId="1" xfId="3" applyFont="1" applyFill="1" applyBorder="1" applyAlignment="1" applyProtection="1">
      <alignment vertical="center" wrapText="1"/>
      <protection locked="0"/>
    </xf>
    <xf numFmtId="0" fontId="7" fillId="13" borderId="14" xfId="3" applyFont="1" applyFill="1" applyBorder="1" applyAlignment="1" applyProtection="1">
      <alignment vertical="center" wrapText="1"/>
      <protection locked="0"/>
    </xf>
    <xf numFmtId="9" fontId="19" fillId="13" borderId="0" xfId="11" applyFont="1" applyFill="1" applyAlignment="1" applyProtection="1">
      <alignment horizontal="center" vertical="center"/>
      <protection locked="0"/>
    </xf>
    <xf numFmtId="0" fontId="7" fillId="13" borderId="0" xfId="0" applyFont="1" applyFill="1" applyAlignment="1" applyProtection="1">
      <alignment horizontal="center" vertical="center"/>
      <protection locked="0"/>
    </xf>
    <xf numFmtId="0" fontId="7" fillId="13" borderId="0" xfId="3" applyFont="1" applyFill="1" applyProtection="1">
      <protection locked="0"/>
    </xf>
    <xf numFmtId="0" fontId="9" fillId="13" borderId="0" xfId="3" applyFont="1" applyFill="1" applyAlignment="1" applyProtection="1">
      <alignment horizontal="center" vertical="center"/>
      <protection locked="0"/>
    </xf>
    <xf numFmtId="0" fontId="7" fillId="13" borderId="0" xfId="0" applyFont="1" applyFill="1" applyProtection="1">
      <protection locked="0"/>
    </xf>
    <xf numFmtId="164" fontId="19" fillId="13" borderId="0" xfId="0" applyNumberFormat="1" applyFont="1" applyFill="1" applyAlignment="1" applyProtection="1">
      <alignment horizontal="center" vertical="center"/>
      <protection locked="0"/>
    </xf>
    <xf numFmtId="0" fontId="13" fillId="13" borderId="1" xfId="3" applyFont="1" applyFill="1" applyBorder="1" applyAlignment="1" applyProtection="1">
      <alignment vertical="center" wrapText="1"/>
      <protection locked="0"/>
    </xf>
    <xf numFmtId="0" fontId="9" fillId="5" borderId="1" xfId="14" applyFont="1" applyFill="1" applyBorder="1" applyAlignment="1" applyProtection="1">
      <alignment horizontal="center" vertical="center" wrapText="1"/>
      <protection locked="0"/>
    </xf>
    <xf numFmtId="0" fontId="7" fillId="5" borderId="1" xfId="0" applyFont="1" applyFill="1" applyBorder="1" applyAlignment="1" applyProtection="1">
      <alignment vertical="top" wrapText="1"/>
      <protection locked="0"/>
    </xf>
    <xf numFmtId="0" fontId="7" fillId="5" borderId="2" xfId="2" applyFont="1" applyFill="1" applyBorder="1" applyAlignment="1" applyProtection="1">
      <alignment horizontal="center" vertical="center" wrapText="1"/>
      <protection locked="0"/>
    </xf>
    <xf numFmtId="0" fontId="7" fillId="5" borderId="1" xfId="0" applyFont="1" applyFill="1" applyBorder="1" applyAlignment="1" applyProtection="1">
      <alignment horizontal="right" vertical="top" wrapText="1"/>
      <protection locked="0"/>
    </xf>
    <xf numFmtId="0" fontId="7" fillId="5" borderId="1" xfId="0" applyFont="1" applyFill="1" applyBorder="1" applyAlignment="1" applyProtection="1">
      <alignment horizontal="center" vertical="center" wrapText="1"/>
      <protection locked="0"/>
    </xf>
    <xf numFmtId="0" fontId="7" fillId="5" borderId="13" xfId="2" applyFont="1" applyFill="1" applyBorder="1" applyAlignment="1" applyProtection="1">
      <alignment horizontal="center" vertical="center" wrapText="1"/>
      <protection locked="0"/>
    </xf>
    <xf numFmtId="0" fontId="7" fillId="5" borderId="1" xfId="2" applyFont="1" applyFill="1" applyBorder="1" applyAlignment="1" applyProtection="1">
      <alignment horizontal="center" vertical="center" wrapText="1"/>
      <protection locked="0"/>
    </xf>
    <xf numFmtId="0" fontId="7" fillId="5" borderId="1" xfId="3" applyFont="1" applyFill="1" applyBorder="1" applyAlignment="1" applyProtection="1">
      <alignment horizontal="left" vertical="center" wrapText="1"/>
      <protection locked="0"/>
    </xf>
    <xf numFmtId="0" fontId="7" fillId="5" borderId="17" xfId="3" applyFont="1" applyFill="1" applyBorder="1" applyAlignment="1" applyProtection="1">
      <alignment horizontal="center" vertical="center" wrapText="1"/>
      <protection locked="0"/>
    </xf>
    <xf numFmtId="0" fontId="7" fillId="5" borderId="1" xfId="3" applyFont="1" applyFill="1" applyBorder="1" applyAlignment="1" applyProtection="1">
      <alignment vertical="center" wrapText="1"/>
      <protection locked="0"/>
    </xf>
    <xf numFmtId="0" fontId="12" fillId="14" borderId="34" xfId="3" applyFont="1" applyFill="1" applyBorder="1" applyAlignment="1" applyProtection="1">
      <alignment horizontal="left" vertical="center" wrapText="1"/>
      <protection locked="0"/>
    </xf>
    <xf numFmtId="0" fontId="7" fillId="13" borderId="1" xfId="3" applyFont="1" applyFill="1" applyBorder="1" applyAlignment="1" applyProtection="1">
      <alignment horizontal="left" vertical="center" wrapText="1"/>
      <protection locked="0"/>
    </xf>
    <xf numFmtId="0" fontId="12" fillId="13" borderId="36" xfId="3" applyFont="1" applyFill="1" applyBorder="1" applyAlignment="1" applyProtection="1">
      <alignment horizontal="left" vertical="center" wrapText="1"/>
      <protection locked="0"/>
    </xf>
    <xf numFmtId="0" fontId="7" fillId="0" borderId="77" xfId="2" applyFont="1" applyBorder="1" applyAlignment="1" applyProtection="1">
      <alignment horizontal="center" vertical="center"/>
      <protection locked="0"/>
    </xf>
    <xf numFmtId="0" fontId="7" fillId="5" borderId="3" xfId="2" applyFont="1" applyFill="1" applyBorder="1" applyAlignment="1" applyProtection="1">
      <alignment horizontal="left" vertical="center" wrapText="1"/>
      <protection locked="0"/>
    </xf>
    <xf numFmtId="0" fontId="7" fillId="5" borderId="3" xfId="2" applyFont="1" applyFill="1" applyBorder="1" applyAlignment="1" applyProtection="1">
      <alignment horizontal="center" vertical="center"/>
      <protection locked="0"/>
    </xf>
    <xf numFmtId="0" fontId="7" fillId="5" borderId="0" xfId="2" applyFont="1" applyFill="1" applyAlignment="1" applyProtection="1">
      <alignment horizontal="right" vertical="center" wrapText="1"/>
      <protection locked="0"/>
    </xf>
    <xf numFmtId="0" fontId="7" fillId="5" borderId="17" xfId="2" applyFont="1" applyFill="1" applyBorder="1" applyAlignment="1" applyProtection="1">
      <alignment horizontal="center" vertical="center"/>
      <protection locked="0"/>
    </xf>
    <xf numFmtId="0" fontId="7" fillId="5" borderId="17" xfId="3" applyFont="1" applyFill="1" applyBorder="1" applyAlignment="1" applyProtection="1">
      <alignment horizontal="left" vertical="center" wrapText="1"/>
      <protection locked="0"/>
    </xf>
    <xf numFmtId="0" fontId="7" fillId="0" borderId="17" xfId="2" applyFont="1" applyBorder="1" applyAlignment="1" applyProtection="1">
      <alignment horizontal="center" vertical="center"/>
      <protection locked="0"/>
    </xf>
    <xf numFmtId="0" fontId="7" fillId="5" borderId="1" xfId="0" applyFont="1" applyFill="1" applyBorder="1" applyAlignment="1" applyProtection="1">
      <alignment vertical="center" wrapText="1"/>
      <protection locked="0"/>
    </xf>
    <xf numFmtId="0" fontId="7" fillId="5" borderId="1" xfId="2" applyFont="1" applyFill="1" applyBorder="1" applyAlignment="1" applyProtection="1">
      <alignment horizontal="right" vertical="center" wrapText="1"/>
      <protection locked="0"/>
    </xf>
    <xf numFmtId="0" fontId="7" fillId="5" borderId="1" xfId="2" applyFont="1" applyFill="1" applyBorder="1" applyAlignment="1" applyProtection="1">
      <alignment horizontal="right" vertical="top" wrapText="1"/>
      <protection locked="0"/>
    </xf>
    <xf numFmtId="0" fontId="2" fillId="0" borderId="22" xfId="19" applyFont="1" applyBorder="1"/>
    <xf numFmtId="0" fontId="2" fillId="0" borderId="25" xfId="19" applyFont="1" applyBorder="1"/>
    <xf numFmtId="0" fontId="2" fillId="0" borderId="25" xfId="19" applyFont="1" applyBorder="1" applyAlignment="1">
      <alignment horizontal="left" vertical="center"/>
    </xf>
    <xf numFmtId="0" fontId="2" fillId="0" borderId="23" xfId="19" applyFont="1" applyBorder="1"/>
    <xf numFmtId="0" fontId="2" fillId="0" borderId="54" xfId="19" applyFont="1" applyBorder="1"/>
    <xf numFmtId="0" fontId="17" fillId="0" borderId="5" xfId="19" applyFont="1" applyBorder="1" applyAlignment="1">
      <alignment horizontal="center"/>
    </xf>
    <xf numFmtId="0" fontId="17" fillId="0" borderId="4" xfId="19" applyFont="1" applyBorder="1" applyAlignment="1">
      <alignment horizontal="center"/>
    </xf>
    <xf numFmtId="0" fontId="17" fillId="0" borderId="16" xfId="19" applyFont="1" applyBorder="1" applyAlignment="1">
      <alignment horizontal="center"/>
    </xf>
    <xf numFmtId="0" fontId="17" fillId="0" borderId="39" xfId="19" applyFont="1" applyBorder="1" applyAlignment="1">
      <alignment horizontal="center" vertical="center"/>
    </xf>
    <xf numFmtId="0" fontId="17" fillId="0" borderId="69" xfId="20" applyFont="1" applyBorder="1" applyAlignment="1">
      <alignment horizontal="center" vertical="center"/>
    </xf>
    <xf numFmtId="0" fontId="17" fillId="0" borderId="33" xfId="19" applyFont="1" applyBorder="1" applyAlignment="1">
      <alignment horizontal="center"/>
    </xf>
    <xf numFmtId="0" fontId="2" fillId="0" borderId="24" xfId="19" applyFont="1" applyBorder="1"/>
    <xf numFmtId="0" fontId="18" fillId="0" borderId="43" xfId="19" applyFont="1" applyBorder="1" applyAlignment="1">
      <alignment vertical="center"/>
    </xf>
    <xf numFmtId="2" fontId="2" fillId="9" borderId="1" xfId="20" applyNumberFormat="1" applyFont="1" applyFill="1" applyBorder="1" applyAlignment="1">
      <alignment horizontal="center" vertical="center"/>
    </xf>
    <xf numFmtId="0" fontId="2" fillId="9" borderId="1" xfId="20" applyFont="1" applyFill="1" applyBorder="1" applyAlignment="1" applyProtection="1">
      <alignment horizontal="center" vertical="center"/>
      <protection locked="0"/>
    </xf>
    <xf numFmtId="0" fontId="18" fillId="0" borderId="45" xfId="19" applyFont="1" applyBorder="1" applyAlignment="1">
      <alignment horizontal="left" vertical="center" wrapText="1"/>
    </xf>
    <xf numFmtId="0" fontId="18" fillId="0" borderId="1" xfId="20" applyFont="1" applyBorder="1" applyAlignment="1">
      <alignment vertical="center" wrapText="1"/>
    </xf>
    <xf numFmtId="0" fontId="18" fillId="0" borderId="44" xfId="19" applyFont="1" applyBorder="1" applyAlignment="1">
      <alignment horizontal="center" vertical="center" wrapText="1"/>
    </xf>
    <xf numFmtId="0" fontId="18" fillId="0" borderId="46" xfId="19" applyFont="1" applyBorder="1" applyAlignment="1">
      <alignment horizontal="center" vertical="center" wrapText="1"/>
    </xf>
    <xf numFmtId="0" fontId="18" fillId="0" borderId="8" xfId="19" applyFont="1" applyBorder="1" applyAlignment="1">
      <alignment vertical="center"/>
    </xf>
    <xf numFmtId="1" fontId="2" fillId="9" borderId="1" xfId="20" applyNumberFormat="1" applyFont="1" applyFill="1" applyBorder="1" applyAlignment="1">
      <alignment horizontal="center" vertical="center"/>
    </xf>
    <xf numFmtId="0" fontId="18" fillId="0" borderId="41" xfId="19" applyFont="1" applyBorder="1" applyAlignment="1">
      <alignment horizontal="left" vertical="center" wrapText="1"/>
    </xf>
    <xf numFmtId="0" fontId="18" fillId="0" borderId="1" xfId="19" applyFont="1" applyBorder="1" applyAlignment="1">
      <alignment horizontal="center" vertical="center" wrapText="1"/>
    </xf>
    <xf numFmtId="0" fontId="18" fillId="0" borderId="40" xfId="19" applyFont="1" applyBorder="1" applyAlignment="1">
      <alignment horizontal="center" vertical="center" wrapText="1"/>
    </xf>
    <xf numFmtId="0" fontId="2" fillId="0" borderId="1" xfId="19" applyFont="1" applyBorder="1" applyAlignment="1">
      <alignment horizontal="center" vertical="center"/>
    </xf>
    <xf numFmtId="0" fontId="2" fillId="9" borderId="1" xfId="19" applyFont="1" applyFill="1" applyBorder="1" applyAlignment="1" applyProtection="1">
      <alignment horizontal="center" vertical="center"/>
      <protection locked="0"/>
    </xf>
    <xf numFmtId="0" fontId="2" fillId="9" borderId="14" xfId="19" applyFont="1" applyFill="1" applyBorder="1" applyAlignment="1" applyProtection="1">
      <alignment horizontal="center" vertical="center"/>
      <protection locked="0"/>
    </xf>
    <xf numFmtId="0" fontId="19" fillId="0" borderId="41" xfId="19" applyFont="1" applyBorder="1" applyAlignment="1">
      <alignment horizontal="left" vertical="center" wrapText="1"/>
    </xf>
    <xf numFmtId="0" fontId="19" fillId="0" borderId="1" xfId="20" applyFont="1" applyBorder="1" applyAlignment="1">
      <alignment vertical="center" wrapText="1"/>
    </xf>
    <xf numFmtId="0" fontId="19" fillId="0" borderId="1" xfId="19" applyFont="1" applyBorder="1" applyAlignment="1">
      <alignment horizontal="center" vertical="center" wrapText="1"/>
    </xf>
    <xf numFmtId="0" fontId="19" fillId="0" borderId="40" xfId="19" applyFont="1" applyBorder="1" applyAlignment="1">
      <alignment horizontal="center" vertical="center" wrapText="1"/>
    </xf>
    <xf numFmtId="0" fontId="19" fillId="0" borderId="70" xfId="20" applyFont="1" applyBorder="1" applyAlignment="1">
      <alignment vertical="center" wrapText="1"/>
    </xf>
    <xf numFmtId="0" fontId="19" fillId="0" borderId="42" xfId="19" applyFont="1" applyBorder="1" applyAlignment="1">
      <alignment horizontal="center" vertical="center" wrapText="1"/>
    </xf>
    <xf numFmtId="0" fontId="20" fillId="0" borderId="8" xfId="19" applyFont="1" applyBorder="1" applyAlignment="1">
      <alignment vertical="center"/>
    </xf>
    <xf numFmtId="0" fontId="19" fillId="0" borderId="41" xfId="20" applyFont="1" applyBorder="1" applyAlignment="1">
      <alignment vertical="center" wrapText="1"/>
    </xf>
    <xf numFmtId="0" fontId="19" fillId="0" borderId="67" xfId="19" applyFont="1" applyBorder="1" applyAlignment="1">
      <alignment horizontal="center" vertical="center" wrapText="1"/>
    </xf>
    <xf numFmtId="0" fontId="20" fillId="0" borderId="55" xfId="19" applyFont="1" applyBorder="1" applyAlignment="1">
      <alignment vertical="center"/>
    </xf>
    <xf numFmtId="2" fontId="2" fillId="4" borderId="10" xfId="20" applyNumberFormat="1" applyFont="1" applyFill="1" applyBorder="1" applyAlignment="1">
      <alignment horizontal="center" vertical="center"/>
    </xf>
    <xf numFmtId="2" fontId="2" fillId="9" borderId="68" xfId="20" applyNumberFormat="1" applyFont="1" applyFill="1" applyBorder="1" applyAlignment="1" applyProtection="1">
      <alignment horizontal="center" vertical="center" wrapText="1"/>
      <protection locked="0"/>
    </xf>
    <xf numFmtId="0" fontId="19" fillId="0" borderId="56" xfId="20" applyFont="1" applyBorder="1" applyAlignment="1">
      <alignment vertical="center" wrapText="1"/>
    </xf>
    <xf numFmtId="0" fontId="19" fillId="0" borderId="76" xfId="19" applyFont="1" applyBorder="1" applyAlignment="1">
      <alignment vertical="center" wrapText="1"/>
    </xf>
    <xf numFmtId="2" fontId="19" fillId="0" borderId="12" xfId="19" applyNumberFormat="1" applyFont="1" applyBorder="1" applyAlignment="1">
      <alignment horizontal="center" vertical="center" wrapText="1"/>
    </xf>
    <xf numFmtId="2" fontId="19" fillId="0" borderId="51" xfId="20" applyNumberFormat="1" applyFont="1" applyBorder="1" applyAlignment="1">
      <alignment horizontal="center" vertical="center" wrapText="1"/>
    </xf>
    <xf numFmtId="0" fontId="18" fillId="0" borderId="7" xfId="19" applyFont="1" applyBorder="1" applyAlignment="1">
      <alignment vertical="center"/>
    </xf>
    <xf numFmtId="0" fontId="2" fillId="9" borderId="44" xfId="20" applyFont="1" applyFill="1" applyBorder="1" applyAlignment="1" applyProtection="1">
      <alignment horizontal="center" vertical="center"/>
      <protection locked="0"/>
    </xf>
    <xf numFmtId="0" fontId="18" fillId="0" borderId="57" xfId="19" applyFont="1" applyBorder="1" applyAlignment="1">
      <alignment horizontal="left" vertical="center" wrapText="1"/>
    </xf>
    <xf numFmtId="0" fontId="18" fillId="0" borderId="77" xfId="19" applyFont="1" applyBorder="1" applyAlignment="1">
      <alignment wrapText="1"/>
    </xf>
    <xf numFmtId="0" fontId="18" fillId="0" borderId="3" xfId="19" applyFont="1" applyBorder="1" applyAlignment="1">
      <alignment horizontal="center" vertical="center" wrapText="1"/>
    </xf>
    <xf numFmtId="0" fontId="18" fillId="0" borderId="58" xfId="19" applyFont="1" applyBorder="1" applyAlignment="1">
      <alignment horizontal="center" vertical="center" wrapText="1"/>
    </xf>
    <xf numFmtId="0" fontId="18" fillId="0" borderId="8" xfId="20" applyFont="1" applyBorder="1" applyAlignment="1">
      <alignment horizontal="left" vertical="center"/>
    </xf>
    <xf numFmtId="1" fontId="2" fillId="0" borderId="1" xfId="20" applyNumberFormat="1" applyFont="1" applyBorder="1" applyAlignment="1">
      <alignment horizontal="center" vertical="center"/>
    </xf>
    <xf numFmtId="1" fontId="2" fillId="9" borderId="14" xfId="20" applyNumberFormat="1" applyFont="1" applyFill="1" applyBorder="1" applyAlignment="1" applyProtection="1">
      <alignment horizontal="center" vertical="center"/>
      <protection locked="0"/>
    </xf>
    <xf numFmtId="0" fontId="19" fillId="0" borderId="41" xfId="19" applyFont="1" applyBorder="1" applyAlignment="1">
      <alignment vertical="center" wrapText="1"/>
    </xf>
    <xf numFmtId="0" fontId="19" fillId="0" borderId="70" xfId="19" applyFont="1" applyBorder="1" applyAlignment="1">
      <alignment vertical="center" wrapText="1"/>
    </xf>
    <xf numFmtId="3" fontId="19" fillId="0" borderId="1" xfId="20" applyNumberFormat="1" applyFont="1" applyBorder="1" applyAlignment="1">
      <alignment horizontal="center" vertical="center" wrapText="1"/>
    </xf>
    <xf numFmtId="3" fontId="2" fillId="4" borderId="67" xfId="20" applyNumberFormat="1" applyFont="1" applyFill="1" applyBorder="1" applyAlignment="1">
      <alignment horizontal="center" vertical="center"/>
    </xf>
    <xf numFmtId="1" fontId="2" fillId="9" borderId="14" xfId="19" applyNumberFormat="1" applyFont="1" applyFill="1" applyBorder="1" applyAlignment="1" applyProtection="1">
      <alignment horizontal="center" vertical="center"/>
      <protection locked="0"/>
    </xf>
    <xf numFmtId="3" fontId="19" fillId="0" borderId="1" xfId="19" applyNumberFormat="1" applyFont="1" applyBorder="1" applyAlignment="1">
      <alignment horizontal="center" vertical="center" wrapText="1"/>
    </xf>
    <xf numFmtId="0" fontId="19" fillId="4" borderId="0" xfId="19" applyFont="1" applyFill="1" applyAlignment="1">
      <alignment wrapText="1"/>
    </xf>
    <xf numFmtId="1" fontId="2" fillId="9" borderId="14" xfId="20" applyNumberFormat="1" applyFont="1" applyFill="1" applyBorder="1" applyAlignment="1" applyProtection="1">
      <alignment horizontal="center" vertical="center" wrapText="1"/>
      <protection locked="0"/>
    </xf>
    <xf numFmtId="0" fontId="19" fillId="0" borderId="75" xfId="19" applyFont="1" applyBorder="1" applyAlignment="1">
      <alignment vertical="center" wrapText="1"/>
    </xf>
    <xf numFmtId="0" fontId="2" fillId="0" borderId="26" xfId="19" applyFont="1" applyBorder="1"/>
    <xf numFmtId="0" fontId="2" fillId="9" borderId="1" xfId="19" applyFont="1" applyFill="1" applyBorder="1" applyAlignment="1" applyProtection="1">
      <alignment vertical="center" wrapText="1"/>
      <protection locked="0"/>
    </xf>
    <xf numFmtId="0" fontId="20" fillId="0" borderId="9" xfId="19" applyFont="1" applyBorder="1" applyAlignment="1">
      <alignment vertical="center"/>
    </xf>
    <xf numFmtId="0" fontId="2" fillId="9" borderId="10" xfId="20" applyFont="1" applyFill="1" applyBorder="1" applyAlignment="1" applyProtection="1">
      <alignment horizontal="left" vertical="center" wrapText="1"/>
      <protection locked="0"/>
    </xf>
    <xf numFmtId="0" fontId="2" fillId="9" borderId="18" xfId="20" applyFont="1" applyFill="1" applyBorder="1" applyAlignment="1" applyProtection="1">
      <alignment horizontal="left" vertical="center" wrapText="1"/>
      <protection locked="0"/>
    </xf>
    <xf numFmtId="0" fontId="19" fillId="0" borderId="53" xfId="19" applyFont="1" applyBorder="1" applyAlignment="1">
      <alignment horizontal="left" vertical="center" wrapText="1"/>
    </xf>
    <xf numFmtId="0" fontId="19" fillId="0" borderId="72" xfId="19" applyFont="1" applyBorder="1" applyAlignment="1">
      <alignment vertical="center" wrapText="1"/>
    </xf>
    <xf numFmtId="0" fontId="19" fillId="0" borderId="10" xfId="19" applyFont="1" applyBorder="1" applyAlignment="1">
      <alignment horizontal="center" vertical="center" wrapText="1"/>
    </xf>
    <xf numFmtId="0" fontId="19" fillId="0" borderId="47" xfId="19" applyFont="1" applyBorder="1" applyAlignment="1">
      <alignment horizontal="center" vertical="center" wrapText="1"/>
    </xf>
    <xf numFmtId="0" fontId="2" fillId="0" borderId="28" xfId="19" applyFont="1" applyBorder="1" applyAlignment="1">
      <alignment wrapText="1"/>
    </xf>
    <xf numFmtId="0" fontId="18" fillId="0" borderId="55" xfId="19" applyFont="1" applyBorder="1" applyAlignment="1">
      <alignment vertical="center"/>
    </xf>
    <xf numFmtId="0" fontId="2" fillId="0" borderId="12" xfId="19" applyFont="1" applyBorder="1" applyAlignment="1">
      <alignment horizontal="center" vertical="center"/>
    </xf>
    <xf numFmtId="0" fontId="2" fillId="0" borderId="68" xfId="19" applyFont="1" applyBorder="1" applyAlignment="1">
      <alignment horizontal="center" vertical="center"/>
    </xf>
    <xf numFmtId="0" fontId="19" fillId="0" borderId="56" xfId="19" applyFont="1" applyBorder="1" applyAlignment="1">
      <alignment horizontal="left" vertical="center" wrapText="1"/>
    </xf>
    <xf numFmtId="0" fontId="19" fillId="4" borderId="71" xfId="20" applyFont="1" applyFill="1" applyBorder="1" applyAlignment="1">
      <alignment vertical="center" wrapText="1"/>
    </xf>
    <xf numFmtId="0" fontId="19" fillId="0" borderId="12" xfId="19" applyFont="1" applyBorder="1" applyAlignment="1">
      <alignment horizontal="center" vertical="center" wrapText="1"/>
    </xf>
    <xf numFmtId="0" fontId="19" fillId="4" borderId="51" xfId="20" applyFont="1" applyFill="1" applyBorder="1" applyAlignment="1">
      <alignment horizontal="center" vertical="center" wrapText="1"/>
    </xf>
    <xf numFmtId="0" fontId="20" fillId="0" borderId="43" xfId="19" applyFont="1" applyBorder="1" applyAlignment="1">
      <alignment horizontal="left" vertical="center" wrapText="1"/>
    </xf>
    <xf numFmtId="166" fontId="2" fillId="0" borderId="44" xfId="20" applyNumberFormat="1" applyFont="1" applyBorder="1" applyAlignment="1">
      <alignment horizontal="center" vertical="center"/>
    </xf>
    <xf numFmtId="166" fontId="2" fillId="9" borderId="44" xfId="19" applyNumberFormat="1" applyFont="1" applyFill="1" applyBorder="1" applyAlignment="1" applyProtection="1">
      <alignment horizontal="center" vertical="center"/>
      <protection locked="0"/>
    </xf>
    <xf numFmtId="0" fontId="44" fillId="0" borderId="44" xfId="20" applyFont="1" applyBorder="1" applyAlignment="1">
      <alignment vertical="center" wrapText="1"/>
    </xf>
    <xf numFmtId="0" fontId="19" fillId="0" borderId="78" xfId="19" applyFont="1" applyBorder="1" applyAlignment="1">
      <alignment vertical="center" wrapText="1"/>
    </xf>
    <xf numFmtId="0" fontId="20" fillId="0" borderId="8" xfId="19" applyFont="1" applyBorder="1" applyAlignment="1">
      <alignment horizontal="left" vertical="center" wrapText="1"/>
    </xf>
    <xf numFmtId="166" fontId="2" fillId="0" borderId="13" xfId="20" applyNumberFormat="1" applyFont="1" applyBorder="1" applyAlignment="1">
      <alignment horizontal="center" vertical="center"/>
    </xf>
    <xf numFmtId="166" fontId="2" fillId="9" borderId="1" xfId="19" applyNumberFormat="1" applyFont="1" applyFill="1" applyBorder="1" applyAlignment="1" applyProtection="1">
      <alignment horizontal="center" vertical="center"/>
      <protection locked="0"/>
    </xf>
    <xf numFmtId="0" fontId="44" fillId="0" borderId="1" xfId="20" applyFont="1" applyBorder="1" applyAlignment="1">
      <alignment vertical="center" wrapText="1"/>
    </xf>
    <xf numFmtId="0" fontId="19" fillId="0" borderId="73" xfId="19" applyFont="1" applyBorder="1" applyAlignment="1">
      <alignment vertical="center" wrapText="1"/>
    </xf>
    <xf numFmtId="0" fontId="20" fillId="0" borderId="9" xfId="19" applyFont="1" applyBorder="1" applyAlignment="1">
      <alignment horizontal="left" vertical="center" wrapText="1"/>
    </xf>
    <xf numFmtId="166" fontId="2" fillId="0" borderId="10" xfId="20" applyNumberFormat="1" applyFont="1" applyBorder="1" applyAlignment="1">
      <alignment horizontal="center" vertical="center"/>
    </xf>
    <xf numFmtId="166" fontId="2" fillId="9" borderId="10" xfId="19" applyNumberFormat="1" applyFont="1" applyFill="1" applyBorder="1" applyAlignment="1" applyProtection="1">
      <alignment horizontal="center" vertical="center"/>
      <protection locked="0"/>
    </xf>
    <xf numFmtId="0" fontId="44" fillId="0" borderId="10" xfId="20" applyFont="1" applyBorder="1" applyAlignment="1">
      <alignment vertical="center" wrapText="1"/>
    </xf>
    <xf numFmtId="0" fontId="2" fillId="0" borderId="26" xfId="19" applyFont="1" applyBorder="1" applyAlignment="1">
      <alignment horizontal="left" vertical="center"/>
    </xf>
    <xf numFmtId="0" fontId="2" fillId="0" borderId="22" xfId="19" applyFont="1" applyBorder="1" applyAlignment="1">
      <alignment horizontal="left" vertical="center"/>
    </xf>
    <xf numFmtId="0" fontId="49" fillId="9" borderId="14" xfId="3" applyFont="1" applyFill="1" applyBorder="1" applyAlignment="1" applyProtection="1">
      <alignment horizontal="left" vertical="center" wrapText="1"/>
      <protection locked="0"/>
    </xf>
    <xf numFmtId="0" fontId="7" fillId="9" borderId="17" xfId="3" applyFont="1" applyFill="1" applyBorder="1" applyAlignment="1" applyProtection="1">
      <alignment horizontal="center" vertical="center" wrapText="1"/>
      <protection locked="0"/>
    </xf>
    <xf numFmtId="0" fontId="49" fillId="9" borderId="17" xfId="3" applyFont="1" applyFill="1" applyBorder="1" applyAlignment="1" applyProtection="1">
      <alignment horizontal="center" vertical="center" wrapText="1"/>
      <protection locked="0"/>
    </xf>
    <xf numFmtId="0" fontId="9" fillId="6" borderId="20" xfId="3" applyFont="1" applyFill="1" applyBorder="1" applyAlignment="1" applyProtection="1">
      <alignment horizontal="center" vertical="center" wrapText="1"/>
      <protection locked="0"/>
    </xf>
    <xf numFmtId="0" fontId="7" fillId="5" borderId="17" xfId="2" applyFont="1" applyFill="1" applyBorder="1" applyAlignment="1" applyProtection="1">
      <alignment horizontal="center" vertical="center" wrapText="1"/>
      <protection locked="0"/>
    </xf>
    <xf numFmtId="0" fontId="49" fillId="9" borderId="67" xfId="3" applyFont="1" applyFill="1" applyBorder="1" applyAlignment="1" applyProtection="1">
      <alignment vertical="center" wrapText="1"/>
      <protection locked="0"/>
    </xf>
    <xf numFmtId="0" fontId="21" fillId="0" borderId="17" xfId="0" applyFont="1" applyBorder="1" applyAlignment="1" applyProtection="1">
      <alignment horizontal="left" vertical="center" wrapText="1"/>
      <protection locked="0"/>
    </xf>
    <xf numFmtId="0" fontId="0" fillId="9" borderId="52" xfId="2" applyFont="1" applyFill="1" applyBorder="1" applyAlignment="1" applyProtection="1">
      <alignment horizontal="left" vertical="center" wrapText="1"/>
      <protection locked="0"/>
    </xf>
    <xf numFmtId="0" fontId="7" fillId="10" borderId="17" xfId="0" applyFont="1" applyFill="1" applyBorder="1" applyAlignment="1" applyProtection="1">
      <alignment horizontal="center" vertical="center" wrapText="1"/>
      <protection locked="0"/>
    </xf>
    <xf numFmtId="0" fontId="7" fillId="9" borderId="1" xfId="3" applyFont="1" applyFill="1" applyBorder="1" applyAlignment="1" applyProtection="1">
      <alignment horizontal="left" vertical="center" wrapText="1"/>
      <protection locked="0"/>
    </xf>
    <xf numFmtId="0" fontId="1" fillId="9" borderId="1" xfId="20" applyFont="1" applyFill="1" applyBorder="1" applyAlignment="1" applyProtection="1">
      <alignment horizontal="center" vertical="center" wrapText="1"/>
      <protection locked="0"/>
    </xf>
    <xf numFmtId="0" fontId="1" fillId="9" borderId="68" xfId="20" quotePrefix="1" applyFont="1" applyFill="1" applyBorder="1" applyAlignment="1" applyProtection="1">
      <alignment horizontal="center" vertical="center" wrapText="1"/>
      <protection locked="0"/>
    </xf>
    <xf numFmtId="0" fontId="50" fillId="0" borderId="80" xfId="0" applyFont="1" applyBorder="1" applyAlignment="1">
      <alignment horizontal="center" vertical="top"/>
    </xf>
    <xf numFmtId="0" fontId="7" fillId="5" borderId="28" xfId="2" applyFont="1" applyFill="1" applyBorder="1" applyAlignment="1">
      <alignment horizontal="center" vertical="center"/>
    </xf>
    <xf numFmtId="0" fontId="0" fillId="0" borderId="32" xfId="0" applyBorder="1"/>
    <xf numFmtId="0" fontId="0" fillId="0" borderId="33" xfId="0" applyBorder="1"/>
    <xf numFmtId="0" fontId="26" fillId="9" borderId="36" xfId="3" applyFont="1" applyFill="1" applyBorder="1" applyAlignment="1" applyProtection="1">
      <alignment horizontal="center" vertical="center" wrapText="1"/>
      <protection locked="0"/>
    </xf>
    <xf numFmtId="0" fontId="0" fillId="0" borderId="29" xfId="0" applyBorder="1"/>
    <xf numFmtId="0" fontId="0" fillId="0" borderId="49" xfId="0" applyBorder="1"/>
    <xf numFmtId="0" fontId="12" fillId="0" borderId="36" xfId="3" applyFont="1" applyBorder="1" applyAlignment="1" applyProtection="1">
      <alignment horizontal="center" vertical="center" wrapText="1"/>
      <protection locked="0"/>
    </xf>
    <xf numFmtId="0" fontId="7" fillId="2" borderId="27" xfId="14" applyFont="1" applyFill="1" applyBorder="1" applyAlignment="1">
      <alignment horizontal="center" vertical="center" wrapText="1"/>
    </xf>
    <xf numFmtId="0" fontId="9" fillId="0" borderId="0" xfId="0" applyFont="1" applyProtection="1">
      <protection locked="0"/>
    </xf>
    <xf numFmtId="0" fontId="7" fillId="0" borderId="0" xfId="0" applyFont="1" applyAlignment="1" applyProtection="1">
      <alignment horizontal="center"/>
      <protection locked="0"/>
    </xf>
    <xf numFmtId="0" fontId="7" fillId="0" borderId="0" xfId="0" applyFont="1" applyAlignment="1" applyProtection="1">
      <alignment wrapText="1"/>
      <protection locked="0"/>
    </xf>
    <xf numFmtId="0" fontId="7" fillId="0" borderId="0" xfId="0" applyFont="1" applyProtection="1">
      <protection locked="0"/>
    </xf>
    <xf numFmtId="0" fontId="7" fillId="3" borderId="61" xfId="14" applyFont="1" applyFill="1" applyBorder="1" applyAlignment="1">
      <alignment horizontal="center" vertical="center" wrapText="1"/>
    </xf>
    <xf numFmtId="0" fontId="0" fillId="0" borderId="62" xfId="0" applyBorder="1"/>
    <xf numFmtId="0" fontId="9" fillId="3" borderId="28" xfId="2" applyFont="1" applyFill="1" applyBorder="1" applyAlignment="1">
      <alignment horizontal="center" vertical="center" wrapText="1"/>
    </xf>
    <xf numFmtId="0" fontId="0" fillId="0" borderId="30" xfId="0" applyBorder="1"/>
    <xf numFmtId="0" fontId="12" fillId="11" borderId="1" xfId="3" applyFont="1" applyFill="1" applyBorder="1" applyAlignment="1">
      <alignment horizontal="center" vertical="center" wrapText="1"/>
    </xf>
    <xf numFmtId="0" fontId="0" fillId="0" borderId="3" xfId="0" applyBorder="1"/>
    <xf numFmtId="0" fontId="14" fillId="0" borderId="36" xfId="3" applyFont="1" applyBorder="1" applyAlignment="1" applyProtection="1">
      <alignment horizontal="center" vertical="center" wrapText="1"/>
      <protection locked="0"/>
    </xf>
    <xf numFmtId="0" fontId="2" fillId="0" borderId="28" xfId="19" applyFont="1" applyBorder="1" applyAlignment="1">
      <alignment horizontal="center" vertical="top" textRotation="90" wrapText="1"/>
    </xf>
    <xf numFmtId="0" fontId="2" fillId="0" borderId="28" xfId="19" applyFont="1" applyBorder="1" applyAlignment="1">
      <alignment horizontal="center" vertical="top" textRotation="90"/>
    </xf>
  </cellXfs>
  <cellStyles count="21">
    <cellStyle name="Check Cell" xfId="7" builtinId="23"/>
    <cellStyle name="Normal" xfId="0" builtinId="0"/>
    <cellStyle name="Normal 2" xfId="1" xr:uid="{00000000-0005-0000-0000-000001000000}"/>
    <cellStyle name="Normal 2 2" xfId="4" xr:uid="{00000000-0005-0000-0000-000004000000}"/>
    <cellStyle name="Normal 2 2 2" xfId="9" xr:uid="{00000000-0005-0000-0000-000009000000}"/>
    <cellStyle name="Normal 2 2 3" xfId="14" xr:uid="{00000000-0005-0000-0000-00000E000000}"/>
    <cellStyle name="Normal 2 2 3 2" xfId="15" xr:uid="{00000000-0005-0000-0000-00000F000000}"/>
    <cellStyle name="Normal 2 2 3 3" xfId="17" xr:uid="{00000000-0005-0000-0000-000011000000}"/>
    <cellStyle name="Normal 2 2 3 4" xfId="18" xr:uid="{00000000-0005-0000-0000-000012000000}"/>
    <cellStyle name="Normal 2 3" xfId="8" xr:uid="{00000000-0005-0000-0000-000008000000}"/>
    <cellStyle name="Normal 2 4" xfId="13" xr:uid="{00000000-0005-0000-0000-00000D000000}"/>
    <cellStyle name="Normal 3" xfId="3" xr:uid="{00000000-0005-0000-0000-000003000000}"/>
    <cellStyle name="Normal 3 2" xfId="6" xr:uid="{00000000-0005-0000-0000-000006000000}"/>
    <cellStyle name="Normal 4" xfId="5" xr:uid="{00000000-0005-0000-0000-000005000000}"/>
    <cellStyle name="Normal 4 2" xfId="10" xr:uid="{00000000-0005-0000-0000-00000A000000}"/>
    <cellStyle name="Normal 4 2 2" xfId="12" xr:uid="{00000000-0005-0000-0000-00000C000000}"/>
    <cellStyle name="Normal 4 2 2 2" xfId="16" xr:uid="{00000000-0005-0000-0000-000010000000}"/>
    <cellStyle name="Normal 4 2 2 2 2" xfId="20" xr:uid="{00000000-0005-0000-0000-000014000000}"/>
    <cellStyle name="Normal 4 2 3" xfId="19" xr:uid="{00000000-0005-0000-0000-000013000000}"/>
    <cellStyle name="Normal 5" xfId="2" xr:uid="{00000000-0005-0000-0000-000002000000}"/>
    <cellStyle name="Percent" xfId="11" builtinId="5"/>
  </cellStyles>
  <dxfs count="24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ont>
        <color rgb="FF9C0006"/>
      </font>
      <fill>
        <patternFill>
          <bgColor rgb="FFFFC7CE"/>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t="26785" b="35417"/>
        <a:stretch>
          <a:fillRect/>
        </a:stretch>
      </xdr:blipFill>
      <xdr:spPr bwMode="auto">
        <a:xfrm>
          <a:off x="0" y="28916"/>
          <a:ext cx="935182" cy="411480"/>
        </a:xfrm>
        <a:prstGeom prst="rect">
          <a:avLst/>
        </a:prstGeom>
        <a:noFill/>
        <a:ln>
          <a:noFill/>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499984740745262"/>
  </sheetPr>
  <dimension ref="A1:XEP258"/>
  <sheetViews>
    <sheetView tabSelected="1" zoomScale="70" zoomScaleNormal="70" workbookViewId="0">
      <pane xSplit="4" ySplit="3" topLeftCell="F109" activePane="bottomRight" state="frozen"/>
      <selection pane="topRight" activeCell="B3" sqref="B3"/>
      <selection pane="bottomLeft" activeCell="B3" sqref="B3"/>
      <selection pane="bottomRight" activeCell="D111" sqref="D111"/>
    </sheetView>
  </sheetViews>
  <sheetFormatPr baseColWidth="10" defaultColWidth="8.6640625" defaultRowHeight="16" outlineLevelCol="1"/>
  <cols>
    <col min="1" max="1" width="7.5" style="145" hidden="1" customWidth="1"/>
    <col min="2" max="2" width="26" style="228" customWidth="1"/>
    <col min="3" max="3" width="36.6640625" style="227" hidden="1" customWidth="1"/>
    <col min="4" max="4" width="72.6640625" style="226" customWidth="1"/>
    <col min="5" max="5" width="9.6640625" style="145" hidden="1" customWidth="1"/>
    <col min="6" max="6" width="72.6640625" style="226" customWidth="1"/>
    <col min="7" max="7" width="9.6640625" style="145" hidden="1" customWidth="1"/>
    <col min="8" max="8" width="15.6640625" style="145" customWidth="1"/>
    <col min="9" max="9" width="12.33203125" style="145" customWidth="1"/>
    <col min="10" max="10" width="41" style="145" customWidth="1"/>
    <col min="11" max="11" width="33" style="145" customWidth="1"/>
    <col min="12" max="12" width="41.6640625" style="145" customWidth="1"/>
    <col min="13" max="13" width="33.1640625" style="145" customWidth="1"/>
    <col min="14" max="14" width="47.33203125" style="145" customWidth="1"/>
    <col min="15" max="15" width="22.33203125" style="145" customWidth="1"/>
    <col min="16" max="16" width="40.6640625" style="145" customWidth="1"/>
    <col min="17" max="17" width="15" style="331" hidden="1" customWidth="1"/>
    <col min="18" max="18" width="8.6640625" style="159" hidden="1" customWidth="1"/>
    <col min="19" max="19" width="8.6640625" style="145" hidden="1" customWidth="1"/>
    <col min="20" max="20" width="20.6640625" style="196" hidden="1" customWidth="1"/>
    <col min="21" max="21" width="8.6640625" style="145" hidden="1" customWidth="1" outlineLevel="1"/>
    <col min="22" max="22" width="8.6640625" style="145" hidden="1" customWidth="1" collapsed="1"/>
    <col min="23" max="23" width="8.6640625" style="145" hidden="1" customWidth="1"/>
    <col min="24" max="24" width="15.33203125" style="330" hidden="1" customWidth="1"/>
    <col min="25" max="25" width="11.5" style="330" customWidth="1"/>
    <col min="26" max="26" width="10.6640625" style="145" hidden="1" customWidth="1" outlineLevel="1"/>
    <col min="27" max="27" width="8.6640625" style="145" customWidth="1" collapsed="1"/>
    <col min="28" max="28" width="8.6640625" style="145" customWidth="1"/>
    <col min="29" max="16384" width="8.6640625" style="145"/>
  </cols>
  <sheetData>
    <row r="1" spans="1:26" ht="18.75" customHeight="1" thickBot="1">
      <c r="A1" s="670" t="s">
        <v>0</v>
      </c>
      <c r="B1" s="671"/>
      <c r="C1" s="672"/>
      <c r="D1" s="673"/>
      <c r="E1" s="674"/>
      <c r="F1" s="673"/>
      <c r="G1" s="674"/>
      <c r="H1" s="674"/>
      <c r="I1" s="674"/>
      <c r="J1" s="674"/>
      <c r="K1" s="674"/>
      <c r="L1" s="674"/>
      <c r="M1" s="674"/>
      <c r="N1" s="674"/>
      <c r="O1" s="674"/>
      <c r="P1" s="674"/>
      <c r="Q1" s="276"/>
      <c r="R1" s="138"/>
      <c r="T1" s="138"/>
      <c r="X1" s="277"/>
      <c r="Y1" s="277"/>
    </row>
    <row r="2" spans="1:26" ht="15" customHeight="1" thickBot="1">
      <c r="A2" s="675" t="s">
        <v>1</v>
      </c>
      <c r="B2" s="676"/>
      <c r="C2" s="676"/>
      <c r="D2" s="676"/>
      <c r="E2" s="676"/>
      <c r="F2" s="676"/>
      <c r="G2" s="676"/>
      <c r="H2" s="676"/>
      <c r="I2" s="676"/>
      <c r="J2" s="676"/>
      <c r="K2" s="676"/>
      <c r="L2" s="676"/>
      <c r="M2" s="676"/>
      <c r="N2" s="676"/>
      <c r="O2" s="676"/>
      <c r="P2" s="677" t="s">
        <v>2</v>
      </c>
      <c r="Q2" s="276"/>
      <c r="R2" s="138"/>
      <c r="X2" s="277"/>
      <c r="Y2" s="277"/>
    </row>
    <row r="3" spans="1:26" s="228" customFormat="1" ht="61.5" customHeight="1" thickBot="1">
      <c r="A3" s="225" t="s">
        <v>3</v>
      </c>
      <c r="B3" s="224" t="s">
        <v>4</v>
      </c>
      <c r="C3" s="222" t="s">
        <v>5</v>
      </c>
      <c r="D3" s="224" t="s">
        <v>6</v>
      </c>
      <c r="E3" s="223" t="s">
        <v>7</v>
      </c>
      <c r="F3" s="224" t="s">
        <v>8</v>
      </c>
      <c r="G3" s="223" t="s">
        <v>7</v>
      </c>
      <c r="H3" s="224" t="s">
        <v>9</v>
      </c>
      <c r="I3" s="223" t="s">
        <v>10</v>
      </c>
      <c r="J3" s="222" t="s">
        <v>11</v>
      </c>
      <c r="K3" s="222" t="s">
        <v>12</v>
      </c>
      <c r="L3" s="221" t="s">
        <v>13</v>
      </c>
      <c r="M3" s="221" t="s">
        <v>14</v>
      </c>
      <c r="N3" s="220" t="s">
        <v>15</v>
      </c>
      <c r="O3" s="220" t="s">
        <v>16</v>
      </c>
      <c r="P3" s="678"/>
      <c r="Q3" s="272" t="s">
        <v>17</v>
      </c>
      <c r="R3" s="249"/>
      <c r="T3" s="349" t="s">
        <v>18</v>
      </c>
      <c r="X3" s="272" t="s">
        <v>19</v>
      </c>
      <c r="Y3" s="273" t="s">
        <v>20</v>
      </c>
      <c r="Z3" s="273" t="s">
        <v>21</v>
      </c>
    </row>
    <row r="4" spans="1:26" ht="18" customHeight="1" thickBot="1">
      <c r="A4" s="663" t="s">
        <v>22</v>
      </c>
      <c r="B4" s="664"/>
      <c r="C4" s="664"/>
      <c r="D4" s="664"/>
      <c r="E4" s="664"/>
      <c r="F4" s="664"/>
      <c r="G4" s="664"/>
      <c r="H4" s="664"/>
      <c r="I4" s="664"/>
      <c r="J4" s="664"/>
      <c r="K4" s="664"/>
      <c r="L4" s="664"/>
      <c r="M4" s="664"/>
      <c r="N4" s="664"/>
      <c r="O4" s="664"/>
      <c r="P4" s="665"/>
      <c r="Q4" s="276"/>
      <c r="R4" s="138"/>
      <c r="T4" s="196" t="s">
        <v>23</v>
      </c>
      <c r="X4" s="277"/>
      <c r="Y4" s="274" t="str">
        <f>IF(X4="","",X4*V4)</f>
        <v/>
      </c>
      <c r="Z4" s="138" t="str">
        <f t="shared" ref="Z4:Z14" si="0">IF(T4="yes",Y4,"")</f>
        <v/>
      </c>
    </row>
    <row r="5" spans="1:26" ht="26.25" customHeight="1">
      <c r="A5" s="96" t="s">
        <v>24</v>
      </c>
      <c r="B5" s="234" t="s">
        <v>25</v>
      </c>
      <c r="C5" s="245"/>
      <c r="D5" s="142" t="s">
        <v>25</v>
      </c>
      <c r="E5" s="141">
        <f t="shared" ref="E5:E20" si="1">LEN(D5)</f>
        <v>5</v>
      </c>
      <c r="F5" s="142" t="s">
        <v>25</v>
      </c>
      <c r="G5" s="141">
        <f t="shared" ref="G5:G20" si="2">LEN(F5)</f>
        <v>5</v>
      </c>
      <c r="H5" s="141" t="s">
        <v>26</v>
      </c>
      <c r="I5" s="141" t="s">
        <v>24</v>
      </c>
      <c r="J5" s="141" t="s">
        <v>24</v>
      </c>
      <c r="K5" s="141" t="s">
        <v>27</v>
      </c>
      <c r="L5" s="140" t="s">
        <v>28</v>
      </c>
      <c r="M5" s="219" t="s">
        <v>24</v>
      </c>
      <c r="N5" s="219" t="s">
        <v>24</v>
      </c>
      <c r="O5" s="78"/>
      <c r="P5" s="9"/>
      <c r="Q5" s="276"/>
      <c r="R5" s="138"/>
      <c r="T5" s="196" t="s">
        <v>23</v>
      </c>
      <c r="X5" s="275">
        <v>0</v>
      </c>
      <c r="Y5" s="274">
        <f t="shared" ref="Y5:Y14" si="3">IF(X5="","",X5*Q5)</f>
        <v>0</v>
      </c>
      <c r="Z5" s="138" t="str">
        <f t="shared" si="0"/>
        <v/>
      </c>
    </row>
    <row r="6" spans="1:26" ht="17" customHeight="1">
      <c r="A6" s="96" t="s">
        <v>24</v>
      </c>
      <c r="B6" s="191" t="s">
        <v>29</v>
      </c>
      <c r="C6" s="143" t="s">
        <v>29</v>
      </c>
      <c r="D6" s="164" t="s">
        <v>30</v>
      </c>
      <c r="E6" s="141">
        <f t="shared" si="1"/>
        <v>48</v>
      </c>
      <c r="F6" s="464" t="s">
        <v>31</v>
      </c>
      <c r="G6" s="141">
        <f t="shared" si="2"/>
        <v>29</v>
      </c>
      <c r="H6" s="141" t="s">
        <v>26</v>
      </c>
      <c r="I6" s="141" t="s">
        <v>24</v>
      </c>
      <c r="J6" s="141" t="s">
        <v>24</v>
      </c>
      <c r="K6" s="141" t="s">
        <v>27</v>
      </c>
      <c r="L6" s="140" t="s">
        <v>32</v>
      </c>
      <c r="M6" s="219" t="s">
        <v>24</v>
      </c>
      <c r="N6" s="219" t="s">
        <v>24</v>
      </c>
      <c r="O6" s="78"/>
      <c r="P6" s="51"/>
      <c r="Q6" s="276"/>
      <c r="R6" s="138"/>
      <c r="T6" s="196" t="s">
        <v>33</v>
      </c>
      <c r="X6" s="275">
        <v>0</v>
      </c>
      <c r="Y6" s="274">
        <f t="shared" si="3"/>
        <v>0</v>
      </c>
      <c r="Z6" s="138">
        <f t="shared" si="0"/>
        <v>0</v>
      </c>
    </row>
    <row r="7" spans="1:26" ht="136" customHeight="1">
      <c r="A7" s="46" t="s">
        <v>24</v>
      </c>
      <c r="B7" s="183" t="s">
        <v>34</v>
      </c>
      <c r="C7" s="143" t="s">
        <v>34</v>
      </c>
      <c r="D7" s="164" t="s">
        <v>35</v>
      </c>
      <c r="E7" s="149">
        <f t="shared" si="1"/>
        <v>146</v>
      </c>
      <c r="F7" s="464" t="s">
        <v>36</v>
      </c>
      <c r="G7" s="149">
        <f t="shared" si="2"/>
        <v>153</v>
      </c>
      <c r="H7" s="158" t="s">
        <v>37</v>
      </c>
      <c r="I7" s="149" t="s">
        <v>24</v>
      </c>
      <c r="J7" s="149" t="s">
        <v>24</v>
      </c>
      <c r="K7" s="149" t="s">
        <v>38</v>
      </c>
      <c r="L7" s="148" t="s">
        <v>39</v>
      </c>
      <c r="M7" s="219" t="s">
        <v>24</v>
      </c>
      <c r="N7" s="207" t="s">
        <v>24</v>
      </c>
      <c r="O7" s="79"/>
      <c r="P7" s="10"/>
      <c r="Q7" s="276"/>
      <c r="R7" s="138"/>
      <c r="T7" s="196" t="s">
        <v>23</v>
      </c>
      <c r="X7" s="275">
        <v>14.69530773162842</v>
      </c>
      <c r="Y7" s="274">
        <f t="shared" si="3"/>
        <v>0</v>
      </c>
      <c r="Z7" s="138" t="str">
        <f t="shared" si="0"/>
        <v/>
      </c>
    </row>
    <row r="8" spans="1:26" ht="37.5" customHeight="1">
      <c r="A8" s="46" t="s">
        <v>24</v>
      </c>
      <c r="B8" s="183" t="s">
        <v>40</v>
      </c>
      <c r="C8" s="143" t="s">
        <v>41</v>
      </c>
      <c r="D8" s="218" t="s">
        <v>42</v>
      </c>
      <c r="E8" s="149">
        <f t="shared" si="1"/>
        <v>29</v>
      </c>
      <c r="F8" s="465" t="s">
        <v>43</v>
      </c>
      <c r="G8" s="149">
        <f t="shared" si="2"/>
        <v>33</v>
      </c>
      <c r="H8" s="158" t="s">
        <v>24</v>
      </c>
      <c r="I8" s="158" t="s">
        <v>24</v>
      </c>
      <c r="J8" s="158" t="s">
        <v>24</v>
      </c>
      <c r="K8" s="158" t="s">
        <v>24</v>
      </c>
      <c r="L8" s="217" t="s">
        <v>44</v>
      </c>
      <c r="M8" s="219" t="s">
        <v>24</v>
      </c>
      <c r="N8" s="216" t="s">
        <v>24</v>
      </c>
      <c r="O8" s="80"/>
      <c r="P8" s="11"/>
      <c r="Q8" s="276"/>
      <c r="R8" s="138"/>
      <c r="T8" s="196" t="s">
        <v>23</v>
      </c>
      <c r="X8" s="275">
        <v>0</v>
      </c>
      <c r="Y8" s="274">
        <f t="shared" si="3"/>
        <v>0</v>
      </c>
      <c r="Z8" s="138" t="str">
        <f t="shared" si="0"/>
        <v/>
      </c>
    </row>
    <row r="9" spans="1:26" ht="37.5" customHeight="1">
      <c r="A9" s="46" t="s">
        <v>24</v>
      </c>
      <c r="B9" s="183" t="s">
        <v>45</v>
      </c>
      <c r="C9" s="143" t="s">
        <v>46</v>
      </c>
      <c r="D9" s="218" t="s">
        <v>47</v>
      </c>
      <c r="E9" s="149">
        <f t="shared" si="1"/>
        <v>31</v>
      </c>
      <c r="F9" s="465" t="s">
        <v>48</v>
      </c>
      <c r="G9" s="149">
        <f t="shared" si="2"/>
        <v>21</v>
      </c>
      <c r="H9" s="158" t="s">
        <v>24</v>
      </c>
      <c r="I9" s="158" t="s">
        <v>24</v>
      </c>
      <c r="J9" s="158" t="s">
        <v>24</v>
      </c>
      <c r="K9" s="158" t="s">
        <v>24</v>
      </c>
      <c r="L9" s="217" t="s">
        <v>49</v>
      </c>
      <c r="M9" s="219" t="s">
        <v>24</v>
      </c>
      <c r="N9" s="216" t="s">
        <v>24</v>
      </c>
      <c r="O9" s="80"/>
      <c r="P9" s="11"/>
      <c r="Q9" s="276"/>
      <c r="R9" s="138"/>
      <c r="T9" s="196" t="s">
        <v>23</v>
      </c>
      <c r="X9" s="275">
        <v>0</v>
      </c>
      <c r="Y9" s="274">
        <f t="shared" si="3"/>
        <v>0</v>
      </c>
      <c r="Z9" s="138" t="str">
        <f t="shared" si="0"/>
        <v/>
      </c>
    </row>
    <row r="10" spans="1:26" ht="37.5" customHeight="1">
      <c r="A10" s="46" t="s">
        <v>24</v>
      </c>
      <c r="B10" s="183" t="s">
        <v>50</v>
      </c>
      <c r="C10" s="143" t="s">
        <v>51</v>
      </c>
      <c r="D10" s="218" t="s">
        <v>52</v>
      </c>
      <c r="E10" s="149">
        <f t="shared" si="1"/>
        <v>34</v>
      </c>
      <c r="F10" s="465" t="s">
        <v>53</v>
      </c>
      <c r="G10" s="149">
        <f t="shared" si="2"/>
        <v>35</v>
      </c>
      <c r="H10" s="158" t="s">
        <v>24</v>
      </c>
      <c r="I10" s="158" t="s">
        <v>24</v>
      </c>
      <c r="J10" s="158" t="s">
        <v>24</v>
      </c>
      <c r="K10" s="158" t="s">
        <v>24</v>
      </c>
      <c r="L10" s="217" t="s">
        <v>54</v>
      </c>
      <c r="M10" s="219" t="s">
        <v>24</v>
      </c>
      <c r="N10" s="216" t="s">
        <v>24</v>
      </c>
      <c r="O10" s="80"/>
      <c r="P10" s="11"/>
      <c r="Q10" s="276"/>
      <c r="R10" s="138"/>
      <c r="T10" s="196" t="s">
        <v>23</v>
      </c>
      <c r="X10" s="275">
        <v>0</v>
      </c>
      <c r="Y10" s="274">
        <f t="shared" si="3"/>
        <v>0</v>
      </c>
      <c r="Z10" s="138" t="str">
        <f t="shared" si="0"/>
        <v/>
      </c>
    </row>
    <row r="11" spans="1:26" ht="37.5" customHeight="1">
      <c r="A11" s="46" t="s">
        <v>24</v>
      </c>
      <c r="B11" s="183" t="s">
        <v>55</v>
      </c>
      <c r="C11" s="143" t="s">
        <v>56</v>
      </c>
      <c r="D11" s="218" t="s">
        <v>57</v>
      </c>
      <c r="E11" s="149">
        <f t="shared" si="1"/>
        <v>41</v>
      </c>
      <c r="F11" s="465" t="s">
        <v>58</v>
      </c>
      <c r="G11" s="149">
        <f t="shared" si="2"/>
        <v>35</v>
      </c>
      <c r="H11" s="158" t="s">
        <v>24</v>
      </c>
      <c r="I11" s="158" t="s">
        <v>24</v>
      </c>
      <c r="J11" s="158" t="s">
        <v>24</v>
      </c>
      <c r="K11" s="158" t="s">
        <v>24</v>
      </c>
      <c r="L11" s="217" t="s">
        <v>59</v>
      </c>
      <c r="M11" s="219" t="s">
        <v>24</v>
      </c>
      <c r="N11" s="216" t="s">
        <v>24</v>
      </c>
      <c r="O11" s="80"/>
      <c r="P11" s="11"/>
      <c r="Q11" s="276"/>
      <c r="R11" s="138"/>
      <c r="T11" s="196" t="s">
        <v>23</v>
      </c>
      <c r="X11" s="275">
        <v>0</v>
      </c>
      <c r="Y11" s="274">
        <f t="shared" si="3"/>
        <v>0</v>
      </c>
      <c r="Z11" s="138" t="str">
        <f t="shared" si="0"/>
        <v/>
      </c>
    </row>
    <row r="12" spans="1:26" ht="98" customHeight="1">
      <c r="A12" s="46" t="s">
        <v>24</v>
      </c>
      <c r="B12" s="183" t="s">
        <v>60</v>
      </c>
      <c r="C12" s="143" t="s">
        <v>60</v>
      </c>
      <c r="D12" s="215" t="s">
        <v>61</v>
      </c>
      <c r="E12" s="149">
        <f t="shared" si="1"/>
        <v>148</v>
      </c>
      <c r="F12" s="466" t="s">
        <v>62</v>
      </c>
      <c r="G12" s="149">
        <f t="shared" si="2"/>
        <v>124</v>
      </c>
      <c r="H12" s="158" t="s">
        <v>37</v>
      </c>
      <c r="I12" s="149" t="s">
        <v>24</v>
      </c>
      <c r="J12" s="149" t="s">
        <v>24</v>
      </c>
      <c r="K12" s="149" t="s">
        <v>38</v>
      </c>
      <c r="L12" s="148" t="s">
        <v>63</v>
      </c>
      <c r="M12" s="219" t="s">
        <v>24</v>
      </c>
      <c r="N12" s="214" t="s">
        <v>64</v>
      </c>
      <c r="O12" s="81"/>
      <c r="P12" s="12" t="s">
        <v>65</v>
      </c>
      <c r="Q12" s="276"/>
      <c r="R12" s="138"/>
      <c r="T12" s="196" t="s">
        <v>23</v>
      </c>
      <c r="X12" s="275">
        <v>3.103272438049316</v>
      </c>
      <c r="Y12" s="274">
        <f t="shared" si="3"/>
        <v>0</v>
      </c>
      <c r="Z12" s="138" t="str">
        <f t="shared" si="0"/>
        <v/>
      </c>
    </row>
    <row r="13" spans="1:26" ht="408.5" customHeight="1">
      <c r="A13" s="46" t="s">
        <v>24</v>
      </c>
      <c r="B13" s="183" t="s">
        <v>66</v>
      </c>
      <c r="C13" s="143" t="s">
        <v>66</v>
      </c>
      <c r="D13" s="47" t="s">
        <v>67</v>
      </c>
      <c r="E13" s="149">
        <f t="shared" si="1"/>
        <v>1098</v>
      </c>
      <c r="F13" s="466" t="s">
        <v>68</v>
      </c>
      <c r="G13" s="149">
        <f t="shared" si="2"/>
        <v>823</v>
      </c>
      <c r="H13" s="158" t="s">
        <v>37</v>
      </c>
      <c r="I13" s="149" t="s">
        <v>24</v>
      </c>
      <c r="J13" s="149" t="s">
        <v>24</v>
      </c>
      <c r="K13" s="149" t="s">
        <v>38</v>
      </c>
      <c r="L13" s="148" t="s">
        <v>69</v>
      </c>
      <c r="M13" s="219" t="s">
        <v>24</v>
      </c>
      <c r="N13" s="214" t="s">
        <v>70</v>
      </c>
      <c r="O13" s="81"/>
      <c r="P13" s="12" t="s">
        <v>71</v>
      </c>
      <c r="Q13" s="276"/>
      <c r="R13" s="138"/>
      <c r="T13" s="196" t="s">
        <v>23</v>
      </c>
      <c r="X13" s="275">
        <v>37.418449401855469</v>
      </c>
      <c r="Y13" s="274">
        <f t="shared" si="3"/>
        <v>0</v>
      </c>
      <c r="Z13" s="138" t="str">
        <f t="shared" si="0"/>
        <v/>
      </c>
    </row>
    <row r="14" spans="1:26" s="144" customFormat="1" ht="119" customHeight="1">
      <c r="A14" s="46" t="s">
        <v>24</v>
      </c>
      <c r="B14" s="183" t="s">
        <v>72</v>
      </c>
      <c r="C14" s="143" t="s">
        <v>73</v>
      </c>
      <c r="D14" s="164" t="s">
        <v>74</v>
      </c>
      <c r="E14" s="149">
        <f t="shared" si="1"/>
        <v>134</v>
      </c>
      <c r="F14" s="466" t="s">
        <v>75</v>
      </c>
      <c r="G14" s="149">
        <f t="shared" si="2"/>
        <v>119</v>
      </c>
      <c r="H14" s="158" t="s">
        <v>76</v>
      </c>
      <c r="I14" s="149" t="s">
        <v>24</v>
      </c>
      <c r="J14" s="149" t="s">
        <v>24</v>
      </c>
      <c r="K14" s="149" t="s">
        <v>38</v>
      </c>
      <c r="L14" s="148" t="s">
        <v>77</v>
      </c>
      <c r="M14" s="219" t="s">
        <v>24</v>
      </c>
      <c r="N14" s="148" t="s">
        <v>78</v>
      </c>
      <c r="O14" s="650" t="s">
        <v>79</v>
      </c>
      <c r="P14" s="10"/>
      <c r="Q14" s="276">
        <v>1</v>
      </c>
      <c r="R14" s="138"/>
      <c r="T14" s="196" t="s">
        <v>23</v>
      </c>
      <c r="U14" s="145"/>
      <c r="X14" s="275">
        <v>3.805951595306396</v>
      </c>
      <c r="Y14" s="274">
        <f t="shared" si="3"/>
        <v>3.805951595306396</v>
      </c>
      <c r="Z14" s="138" t="str">
        <f t="shared" si="0"/>
        <v/>
      </c>
    </row>
    <row r="15" spans="1:26" s="144" customFormat="1" ht="136" customHeight="1">
      <c r="A15" s="14" t="s">
        <v>24</v>
      </c>
      <c r="B15" s="235" t="s">
        <v>80</v>
      </c>
      <c r="C15" s="17" t="s">
        <v>80</v>
      </c>
      <c r="D15" s="22" t="s">
        <v>81</v>
      </c>
      <c r="E15" s="20">
        <f t="shared" si="1"/>
        <v>172</v>
      </c>
      <c r="F15" s="495" t="s">
        <v>82</v>
      </c>
      <c r="G15" s="16">
        <f t="shared" si="2"/>
        <v>185</v>
      </c>
      <c r="H15" s="36" t="s">
        <v>37</v>
      </c>
      <c r="I15" s="20" t="s">
        <v>24</v>
      </c>
      <c r="J15" s="20" t="s">
        <v>24</v>
      </c>
      <c r="K15" s="20" t="s">
        <v>38</v>
      </c>
      <c r="L15" s="31" t="s">
        <v>83</v>
      </c>
      <c r="M15" s="78" t="s">
        <v>24</v>
      </c>
      <c r="N15" s="31" t="s">
        <v>84</v>
      </c>
      <c r="O15" s="31"/>
      <c r="P15" s="68" t="s">
        <v>85</v>
      </c>
      <c r="Q15" s="276">
        <v>1</v>
      </c>
      <c r="R15" s="138"/>
      <c r="T15" s="196" t="s">
        <v>23</v>
      </c>
      <c r="U15" s="145"/>
      <c r="X15" s="275"/>
      <c r="Y15" s="275"/>
      <c r="Z15" s="138"/>
    </row>
    <row r="16" spans="1:26" s="144" customFormat="1" ht="119" customHeight="1">
      <c r="A16" s="46" t="s">
        <v>24</v>
      </c>
      <c r="B16" s="183" t="s">
        <v>86</v>
      </c>
      <c r="C16" s="143" t="s">
        <v>86</v>
      </c>
      <c r="D16" s="194" t="s">
        <v>87</v>
      </c>
      <c r="E16" s="149">
        <f t="shared" si="1"/>
        <v>153</v>
      </c>
      <c r="F16" s="468" t="s">
        <v>88</v>
      </c>
      <c r="G16" s="149">
        <f t="shared" si="2"/>
        <v>122</v>
      </c>
      <c r="H16" s="158" t="s">
        <v>89</v>
      </c>
      <c r="I16" s="149" t="s">
        <v>24</v>
      </c>
      <c r="J16" s="149" t="s">
        <v>24</v>
      </c>
      <c r="K16" s="149" t="s">
        <v>90</v>
      </c>
      <c r="L16" s="148" t="s">
        <v>91</v>
      </c>
      <c r="M16" s="219" t="s">
        <v>24</v>
      </c>
      <c r="N16" s="148" t="s">
        <v>92</v>
      </c>
      <c r="O16" s="82"/>
      <c r="P16" s="10"/>
      <c r="Q16" s="276">
        <v>1</v>
      </c>
      <c r="R16" s="138"/>
      <c r="T16" s="146" t="s">
        <v>23</v>
      </c>
      <c r="U16" s="145"/>
      <c r="X16" s="275">
        <v>0</v>
      </c>
      <c r="Y16" s="274">
        <f t="shared" ref="Y16:Y37" si="4">IF(X16="","",X16*Q16)</f>
        <v>0</v>
      </c>
      <c r="Z16" s="138" t="str">
        <f t="shared" ref="Z16:Z37" si="5">IF(T16="yes",Y16,"")</f>
        <v/>
      </c>
    </row>
    <row r="17" spans="1:26" s="144" customFormat="1" ht="51" customHeight="1">
      <c r="A17" s="46" t="s">
        <v>24</v>
      </c>
      <c r="B17" s="183" t="s">
        <v>93</v>
      </c>
      <c r="C17" s="143" t="s">
        <v>94</v>
      </c>
      <c r="D17" s="164" t="s">
        <v>95</v>
      </c>
      <c r="E17" s="149">
        <f t="shared" si="1"/>
        <v>80</v>
      </c>
      <c r="F17" s="163" t="s">
        <v>96</v>
      </c>
      <c r="G17" s="149">
        <f t="shared" si="2"/>
        <v>89</v>
      </c>
      <c r="H17" s="158" t="s">
        <v>26</v>
      </c>
      <c r="I17" s="149" t="s">
        <v>24</v>
      </c>
      <c r="J17" s="149" t="s">
        <v>24</v>
      </c>
      <c r="K17" s="149" t="s">
        <v>97</v>
      </c>
      <c r="L17" s="148" t="s">
        <v>98</v>
      </c>
      <c r="M17" s="219" t="s">
        <v>24</v>
      </c>
      <c r="N17" s="148" t="s">
        <v>99</v>
      </c>
      <c r="O17" s="82"/>
      <c r="P17" s="10"/>
      <c r="Q17" s="276">
        <v>1</v>
      </c>
      <c r="R17" s="138"/>
      <c r="T17" s="146" t="s">
        <v>23</v>
      </c>
      <c r="U17" s="145"/>
      <c r="X17" s="275">
        <v>0</v>
      </c>
      <c r="Y17" s="274">
        <f t="shared" si="4"/>
        <v>0</v>
      </c>
      <c r="Z17" s="138" t="str">
        <f t="shared" si="5"/>
        <v/>
      </c>
    </row>
    <row r="18" spans="1:26" s="144" customFormat="1" ht="85" customHeight="1">
      <c r="A18" s="46" t="s">
        <v>24</v>
      </c>
      <c r="B18" s="183" t="s">
        <v>100</v>
      </c>
      <c r="C18" s="143" t="s">
        <v>101</v>
      </c>
      <c r="D18" s="164" t="s">
        <v>102</v>
      </c>
      <c r="E18" s="149">
        <f t="shared" si="1"/>
        <v>176</v>
      </c>
      <c r="F18" s="464" t="s">
        <v>103</v>
      </c>
      <c r="G18" s="149">
        <f t="shared" si="2"/>
        <v>164</v>
      </c>
      <c r="H18" s="158" t="s">
        <v>26</v>
      </c>
      <c r="I18" s="149" t="s">
        <v>24</v>
      </c>
      <c r="J18" s="149" t="s">
        <v>24</v>
      </c>
      <c r="K18" s="149" t="s">
        <v>27</v>
      </c>
      <c r="L18" s="148" t="s">
        <v>104</v>
      </c>
      <c r="M18" s="219" t="s">
        <v>24</v>
      </c>
      <c r="N18" s="207" t="s">
        <v>24</v>
      </c>
      <c r="O18" s="79"/>
      <c r="P18" s="10"/>
      <c r="Q18" s="276">
        <v>1</v>
      </c>
      <c r="R18" s="138"/>
      <c r="T18" s="146" t="s">
        <v>23</v>
      </c>
      <c r="U18" s="145"/>
      <c r="X18" s="275">
        <v>0</v>
      </c>
      <c r="Y18" s="274">
        <f t="shared" si="4"/>
        <v>0</v>
      </c>
      <c r="Z18" s="138" t="str">
        <f t="shared" si="5"/>
        <v/>
      </c>
    </row>
    <row r="19" spans="1:26" s="144" customFormat="1" ht="50.25" customHeight="1">
      <c r="A19" s="46" t="s">
        <v>24</v>
      </c>
      <c r="B19" s="183" t="s">
        <v>105</v>
      </c>
      <c r="C19" s="143" t="s">
        <v>24</v>
      </c>
      <c r="D19" s="164" t="s">
        <v>106</v>
      </c>
      <c r="E19" s="149">
        <f t="shared" si="1"/>
        <v>99</v>
      </c>
      <c r="F19" s="464" t="s">
        <v>107</v>
      </c>
      <c r="G19" s="149">
        <f t="shared" si="2"/>
        <v>89</v>
      </c>
      <c r="H19" s="158" t="s">
        <v>24</v>
      </c>
      <c r="I19" s="149" t="s">
        <v>24</v>
      </c>
      <c r="J19" s="149" t="s">
        <v>24</v>
      </c>
      <c r="K19" s="149" t="s">
        <v>24</v>
      </c>
      <c r="L19" s="148" t="s">
        <v>108</v>
      </c>
      <c r="M19" s="219" t="s">
        <v>24</v>
      </c>
      <c r="N19" s="207" t="s">
        <v>24</v>
      </c>
      <c r="O19" s="79"/>
      <c r="P19" s="10"/>
      <c r="Q19" s="276">
        <v>1</v>
      </c>
      <c r="R19" s="138"/>
      <c r="T19" s="146" t="s">
        <v>23</v>
      </c>
      <c r="U19" s="145"/>
      <c r="X19" s="275">
        <v>0</v>
      </c>
      <c r="Y19" s="274">
        <f t="shared" si="4"/>
        <v>0</v>
      </c>
      <c r="Z19" s="138" t="str">
        <f t="shared" si="5"/>
        <v/>
      </c>
    </row>
    <row r="20" spans="1:26" s="144" customFormat="1" ht="50.25" customHeight="1" thickBot="1">
      <c r="A20" s="348" t="s">
        <v>24</v>
      </c>
      <c r="B20" s="213" t="s">
        <v>109</v>
      </c>
      <c r="C20" s="212" t="s">
        <v>110</v>
      </c>
      <c r="D20" s="211" t="s">
        <v>111</v>
      </c>
      <c r="E20" s="209">
        <f t="shared" si="1"/>
        <v>65</v>
      </c>
      <c r="F20" s="469" t="s">
        <v>112</v>
      </c>
      <c r="G20" s="209">
        <f t="shared" si="2"/>
        <v>54</v>
      </c>
      <c r="H20" s="210" t="s">
        <v>24</v>
      </c>
      <c r="I20" s="209" t="s">
        <v>24</v>
      </c>
      <c r="J20" s="209" t="s">
        <v>24</v>
      </c>
      <c r="K20" s="209" t="s">
        <v>24</v>
      </c>
      <c r="L20" s="208" t="s">
        <v>113</v>
      </c>
      <c r="M20" s="219" t="s">
        <v>24</v>
      </c>
      <c r="N20" s="207" t="s">
        <v>24</v>
      </c>
      <c r="O20" s="83"/>
      <c r="P20" s="13"/>
      <c r="Q20" s="276">
        <v>1</v>
      </c>
      <c r="R20" s="138"/>
      <c r="T20" s="146" t="s">
        <v>23</v>
      </c>
      <c r="U20" s="145"/>
      <c r="X20" s="275">
        <v>0</v>
      </c>
      <c r="Y20" s="274">
        <f t="shared" si="4"/>
        <v>0</v>
      </c>
      <c r="Z20" s="138" t="str">
        <f t="shared" si="5"/>
        <v/>
      </c>
    </row>
    <row r="21" spans="1:26" s="428" customFormat="1" ht="17" customHeight="1" thickBot="1">
      <c r="A21" s="663" t="s">
        <v>114</v>
      </c>
      <c r="B21" s="664"/>
      <c r="C21" s="664"/>
      <c r="D21" s="664"/>
      <c r="E21" s="664"/>
      <c r="F21" s="664"/>
      <c r="G21" s="664"/>
      <c r="H21" s="664"/>
      <c r="I21" s="664"/>
      <c r="J21" s="664"/>
      <c r="K21" s="664"/>
      <c r="L21" s="664"/>
      <c r="M21" s="664"/>
      <c r="N21" s="664"/>
      <c r="O21" s="664"/>
      <c r="P21" s="665"/>
      <c r="Q21" s="271"/>
      <c r="R21" s="439"/>
      <c r="T21" s="437"/>
      <c r="U21" s="440"/>
      <c r="X21" s="274"/>
      <c r="Y21" s="274" t="str">
        <f t="shared" si="4"/>
        <v/>
      </c>
      <c r="Z21" s="439" t="str">
        <f t="shared" si="5"/>
        <v/>
      </c>
    </row>
    <row r="22" spans="1:26" s="144" customFormat="1" ht="68.25" customHeight="1">
      <c r="A22" s="347" t="s">
        <v>24</v>
      </c>
      <c r="B22" s="206" t="s">
        <v>115</v>
      </c>
      <c r="C22" s="200" t="s">
        <v>115</v>
      </c>
      <c r="D22" s="205" t="s">
        <v>116</v>
      </c>
      <c r="E22" s="204">
        <f>LEN(D22)</f>
        <v>96</v>
      </c>
      <c r="F22" s="470" t="s">
        <v>117</v>
      </c>
      <c r="G22" s="204">
        <f>LEN(F22)</f>
        <v>60</v>
      </c>
      <c r="H22" s="174" t="s">
        <v>26</v>
      </c>
      <c r="I22" s="204" t="s">
        <v>24</v>
      </c>
      <c r="J22" s="204" t="s">
        <v>24</v>
      </c>
      <c r="K22" s="204" t="s">
        <v>27</v>
      </c>
      <c r="L22" s="203" t="s">
        <v>118</v>
      </c>
      <c r="M22" s="219" t="s">
        <v>24</v>
      </c>
      <c r="N22" s="205" t="s">
        <v>119</v>
      </c>
      <c r="O22" s="202"/>
      <c r="P22" s="66"/>
      <c r="Q22" s="271">
        <f>1</f>
        <v>1</v>
      </c>
      <c r="R22" s="138"/>
      <c r="T22" s="437" t="s">
        <v>33</v>
      </c>
      <c r="U22" s="145"/>
      <c r="X22" s="274">
        <v>25.874027252197269</v>
      </c>
      <c r="Y22" s="274">
        <f t="shared" si="4"/>
        <v>25.874027252197269</v>
      </c>
      <c r="Z22" s="138">
        <f t="shared" si="5"/>
        <v>25.874027252197269</v>
      </c>
    </row>
    <row r="23" spans="1:26" s="144" customFormat="1" ht="51" customHeight="1">
      <c r="A23" s="46" t="s">
        <v>24</v>
      </c>
      <c r="B23" s="206" t="s">
        <v>120</v>
      </c>
      <c r="C23" s="200" t="s">
        <v>120</v>
      </c>
      <c r="D23" s="205" t="s">
        <v>121</v>
      </c>
      <c r="E23" s="204">
        <f>LEN(D23)</f>
        <v>95</v>
      </c>
      <c r="F23" s="470" t="s">
        <v>122</v>
      </c>
      <c r="G23" s="204">
        <f>LEN(F23)</f>
        <v>75</v>
      </c>
      <c r="H23" s="174" t="s">
        <v>26</v>
      </c>
      <c r="I23" s="204" t="s">
        <v>24</v>
      </c>
      <c r="J23" s="204" t="s">
        <v>24</v>
      </c>
      <c r="K23" s="204" t="s">
        <v>27</v>
      </c>
      <c r="L23" s="203" t="s">
        <v>123</v>
      </c>
      <c r="M23" s="219" t="s">
        <v>24</v>
      </c>
      <c r="N23" s="166" t="s">
        <v>124</v>
      </c>
      <c r="O23" s="202"/>
      <c r="P23" s="66"/>
      <c r="Q23" s="271">
        <f>1</f>
        <v>1</v>
      </c>
      <c r="R23" s="138"/>
      <c r="T23" s="437" t="s">
        <v>33</v>
      </c>
      <c r="U23" s="145"/>
      <c r="X23" s="274">
        <v>8.5994815826416016</v>
      </c>
      <c r="Y23" s="274">
        <f t="shared" si="4"/>
        <v>8.5994815826416016</v>
      </c>
      <c r="Z23" s="138">
        <f t="shared" si="5"/>
        <v>8.5994815826416016</v>
      </c>
    </row>
    <row r="24" spans="1:26" s="144" customFormat="1" ht="85" customHeight="1">
      <c r="A24" s="96">
        <v>1</v>
      </c>
      <c r="B24" s="248" t="s">
        <v>125</v>
      </c>
      <c r="C24" s="201" t="s">
        <v>125</v>
      </c>
      <c r="D24" s="142" t="s">
        <v>126</v>
      </c>
      <c r="E24" s="200">
        <f>LEN(D24)</f>
        <v>177</v>
      </c>
      <c r="F24" s="471" t="s">
        <v>127</v>
      </c>
      <c r="G24" s="200">
        <f>LEN(F24)</f>
        <v>135</v>
      </c>
      <c r="H24" s="200" t="s">
        <v>128</v>
      </c>
      <c r="I24" s="200" t="s">
        <v>24</v>
      </c>
      <c r="J24" s="200" t="s">
        <v>24</v>
      </c>
      <c r="K24" s="200" t="s">
        <v>27</v>
      </c>
      <c r="L24" s="140" t="s">
        <v>129</v>
      </c>
      <c r="M24" s="219" t="s">
        <v>24</v>
      </c>
      <c r="N24" s="199" t="s">
        <v>130</v>
      </c>
      <c r="O24" s="198"/>
      <c r="P24" s="66"/>
      <c r="Q24" s="271">
        <f>1</f>
        <v>1</v>
      </c>
      <c r="R24" s="138"/>
      <c r="T24" s="443" t="s">
        <v>33</v>
      </c>
      <c r="U24" s="145"/>
      <c r="X24" s="274">
        <v>9.8907184600830078</v>
      </c>
      <c r="Y24" s="274">
        <f t="shared" si="4"/>
        <v>9.8907184600830078</v>
      </c>
      <c r="Z24" s="138">
        <f t="shared" si="5"/>
        <v>9.8907184600830078</v>
      </c>
    </row>
    <row r="25" spans="1:26" s="144" customFormat="1" ht="153" customHeight="1">
      <c r="A25" s="96">
        <f>A24+1</f>
        <v>2</v>
      </c>
      <c r="B25" s="183" t="s">
        <v>131</v>
      </c>
      <c r="C25" s="143" t="s">
        <v>131</v>
      </c>
      <c r="D25" s="164" t="s">
        <v>132</v>
      </c>
      <c r="E25" s="149">
        <f>LEN(D25)</f>
        <v>168</v>
      </c>
      <c r="F25" s="464" t="s">
        <v>133</v>
      </c>
      <c r="G25" s="149">
        <f>LEN(F25)</f>
        <v>127</v>
      </c>
      <c r="H25" s="158" t="s">
        <v>37</v>
      </c>
      <c r="I25" s="149" t="s">
        <v>24</v>
      </c>
      <c r="J25" s="149" t="s">
        <v>24</v>
      </c>
      <c r="K25" s="149" t="s">
        <v>38</v>
      </c>
      <c r="L25" s="148" t="s">
        <v>134</v>
      </c>
      <c r="M25" s="219" t="s">
        <v>24</v>
      </c>
      <c r="N25" s="140" t="s">
        <v>135</v>
      </c>
      <c r="O25" s="84"/>
      <c r="P25" s="10"/>
      <c r="Q25" s="271">
        <f>1</f>
        <v>1</v>
      </c>
      <c r="R25" s="138"/>
      <c r="T25" s="443" t="s">
        <v>33</v>
      </c>
      <c r="U25" s="145"/>
      <c r="X25" s="274">
        <v>1.7156481742858889</v>
      </c>
      <c r="Y25" s="274">
        <f t="shared" si="4"/>
        <v>1.7156481742858889</v>
      </c>
      <c r="Z25" s="138">
        <f t="shared" si="5"/>
        <v>1.7156481742858889</v>
      </c>
    </row>
    <row r="26" spans="1:26" s="144" customFormat="1">
      <c r="A26" s="96"/>
      <c r="B26" s="262"/>
      <c r="C26" s="97"/>
      <c r="D26" s="126"/>
      <c r="E26" s="48"/>
      <c r="F26" s="48"/>
      <c r="G26" s="48"/>
      <c r="H26" s="98"/>
      <c r="I26" s="48"/>
      <c r="J26" s="48"/>
      <c r="K26" s="48"/>
      <c r="L26" s="84"/>
      <c r="M26" s="84"/>
      <c r="N26" s="84"/>
      <c r="O26" s="84"/>
      <c r="P26" s="10"/>
      <c r="Q26" s="276">
        <f>1</f>
        <v>1</v>
      </c>
      <c r="R26" s="138"/>
      <c r="T26" s="196"/>
      <c r="U26" s="145"/>
      <c r="X26" s="275"/>
      <c r="Y26" s="275" t="str">
        <f t="shared" si="4"/>
        <v/>
      </c>
      <c r="Z26" s="138" t="str">
        <f t="shared" si="5"/>
        <v/>
      </c>
    </row>
    <row r="27" spans="1:26" s="294" customFormat="1" ht="136" customHeight="1">
      <c r="A27" s="346"/>
      <c r="B27" s="304" t="s">
        <v>136</v>
      </c>
      <c r="C27" s="305" t="s">
        <v>136</v>
      </c>
      <c r="D27" s="306" t="s">
        <v>137</v>
      </c>
      <c r="E27" s="307">
        <f t="shared" ref="E27:E34" si="6">LEN(D27)</f>
        <v>134</v>
      </c>
      <c r="F27" s="365" t="s">
        <v>138</v>
      </c>
      <c r="G27" s="307">
        <f t="shared" ref="G27:G34" si="7">LEN(F27)</f>
        <v>124</v>
      </c>
      <c r="H27" s="308" t="s">
        <v>37</v>
      </c>
      <c r="I27" s="307" t="s">
        <v>24</v>
      </c>
      <c r="J27" s="307" t="s">
        <v>24</v>
      </c>
      <c r="K27" s="307" t="s">
        <v>38</v>
      </c>
      <c r="L27" s="309" t="s">
        <v>139</v>
      </c>
      <c r="M27" s="219" t="s">
        <v>24</v>
      </c>
      <c r="N27" s="309" t="s">
        <v>140</v>
      </c>
      <c r="O27" s="310"/>
      <c r="P27" s="311"/>
      <c r="Q27" s="286">
        <f>1</f>
        <v>1</v>
      </c>
      <c r="R27" s="293"/>
      <c r="T27" s="438" t="s">
        <v>141</v>
      </c>
      <c r="U27" s="295"/>
      <c r="X27" s="287">
        <v>6.375236988067627</v>
      </c>
      <c r="Y27" s="274">
        <f t="shared" si="4"/>
        <v>6.375236988067627</v>
      </c>
      <c r="Z27" s="138" t="str">
        <f t="shared" si="5"/>
        <v/>
      </c>
    </row>
    <row r="28" spans="1:26" s="294" customFormat="1" ht="51" customHeight="1">
      <c r="A28" s="346"/>
      <c r="B28" s="304" t="s">
        <v>142</v>
      </c>
      <c r="C28" s="305" t="s">
        <v>143</v>
      </c>
      <c r="D28" s="365" t="s">
        <v>144</v>
      </c>
      <c r="E28" s="307">
        <f t="shared" si="6"/>
        <v>63</v>
      </c>
      <c r="F28" s="472" t="s">
        <v>145</v>
      </c>
      <c r="G28" s="307">
        <f t="shared" si="7"/>
        <v>54</v>
      </c>
      <c r="H28" s="308" t="s">
        <v>26</v>
      </c>
      <c r="I28" s="307" t="s">
        <v>24</v>
      </c>
      <c r="J28" s="307" t="s">
        <v>24</v>
      </c>
      <c r="K28" s="307" t="s">
        <v>27</v>
      </c>
      <c r="L28" s="309" t="s">
        <v>146</v>
      </c>
      <c r="M28" s="219" t="s">
        <v>24</v>
      </c>
      <c r="N28" s="312" t="s">
        <v>147</v>
      </c>
      <c r="O28" s="313"/>
      <c r="P28" s="311"/>
      <c r="Q28" s="286">
        <f>1</f>
        <v>1</v>
      </c>
      <c r="R28" s="293"/>
      <c r="T28" s="438" t="s">
        <v>141</v>
      </c>
      <c r="U28" s="295"/>
      <c r="X28" s="287">
        <v>28.70000076293945</v>
      </c>
      <c r="Y28" s="274">
        <f t="shared" si="4"/>
        <v>28.70000076293945</v>
      </c>
      <c r="Z28" s="138" t="str">
        <f t="shared" si="5"/>
        <v/>
      </c>
    </row>
    <row r="29" spans="1:26" s="294" customFormat="1" ht="187" customHeight="1">
      <c r="A29" s="292"/>
      <c r="B29" s="314" t="s">
        <v>148</v>
      </c>
      <c r="C29" s="315" t="s">
        <v>148</v>
      </c>
      <c r="D29" s="316" t="s">
        <v>149</v>
      </c>
      <c r="E29" s="303">
        <f t="shared" si="6"/>
        <v>265</v>
      </c>
      <c r="F29" s="316" t="s">
        <v>150</v>
      </c>
      <c r="G29" s="303">
        <f t="shared" si="7"/>
        <v>252</v>
      </c>
      <c r="H29" s="317" t="s">
        <v>37</v>
      </c>
      <c r="I29" s="303" t="s">
        <v>24</v>
      </c>
      <c r="J29" s="303" t="s">
        <v>24</v>
      </c>
      <c r="K29" s="303" t="s">
        <v>38</v>
      </c>
      <c r="L29" s="301" t="s">
        <v>151</v>
      </c>
      <c r="M29" s="219" t="s">
        <v>24</v>
      </c>
      <c r="N29" s="318" t="s">
        <v>152</v>
      </c>
      <c r="O29" s="319"/>
      <c r="P29" s="302"/>
      <c r="Q29" s="286">
        <f>1</f>
        <v>1</v>
      </c>
      <c r="R29" s="293"/>
      <c r="T29" s="438" t="s">
        <v>141</v>
      </c>
      <c r="U29" s="295"/>
      <c r="X29" s="287">
        <v>10.14181709289551</v>
      </c>
      <c r="Y29" s="274">
        <f t="shared" si="4"/>
        <v>10.14181709289551</v>
      </c>
      <c r="Z29" s="138" t="str">
        <f t="shared" si="5"/>
        <v/>
      </c>
    </row>
    <row r="30" spans="1:26" s="294" customFormat="1" ht="51" customHeight="1">
      <c r="A30" s="292"/>
      <c r="B30" s="314" t="s">
        <v>153</v>
      </c>
      <c r="C30" s="315" t="s">
        <v>153</v>
      </c>
      <c r="D30" s="365" t="s">
        <v>154</v>
      </c>
      <c r="E30" s="303">
        <f t="shared" si="6"/>
        <v>73</v>
      </c>
      <c r="F30" s="472" t="s">
        <v>155</v>
      </c>
      <c r="G30" s="303">
        <f t="shared" si="7"/>
        <v>63</v>
      </c>
      <c r="H30" s="317" t="s">
        <v>26</v>
      </c>
      <c r="I30" s="303" t="s">
        <v>24</v>
      </c>
      <c r="J30" s="303" t="s">
        <v>24</v>
      </c>
      <c r="K30" s="303" t="s">
        <v>27</v>
      </c>
      <c r="L30" s="301" t="s">
        <v>156</v>
      </c>
      <c r="M30" s="219" t="s">
        <v>24</v>
      </c>
      <c r="N30" s="320" t="s">
        <v>157</v>
      </c>
      <c r="O30" s="321"/>
      <c r="P30" s="302"/>
      <c r="Q30" s="286">
        <f>1</f>
        <v>1</v>
      </c>
      <c r="R30" s="293"/>
      <c r="T30" s="438" t="s">
        <v>141</v>
      </c>
      <c r="U30" s="295"/>
      <c r="X30" s="287">
        <v>21.659982681274411</v>
      </c>
      <c r="Y30" s="274">
        <f t="shared" si="4"/>
        <v>21.659982681274411</v>
      </c>
      <c r="Z30" s="138" t="str">
        <f t="shared" si="5"/>
        <v/>
      </c>
    </row>
    <row r="31" spans="1:26" s="294" customFormat="1" ht="102" customHeight="1">
      <c r="A31" s="292"/>
      <c r="B31" s="314" t="s">
        <v>158</v>
      </c>
      <c r="C31" s="315" t="s">
        <v>158</v>
      </c>
      <c r="D31" s="365" t="s">
        <v>159</v>
      </c>
      <c r="E31" s="303">
        <f t="shared" si="6"/>
        <v>98</v>
      </c>
      <c r="F31" s="451" t="s">
        <v>160</v>
      </c>
      <c r="G31" s="303">
        <f t="shared" si="7"/>
        <v>94</v>
      </c>
      <c r="H31" s="317" t="s">
        <v>26</v>
      </c>
      <c r="I31" s="303" t="s">
        <v>24</v>
      </c>
      <c r="J31" s="303" t="s">
        <v>161</v>
      </c>
      <c r="K31" s="303" t="s">
        <v>27</v>
      </c>
      <c r="L31" s="301" t="s">
        <v>162</v>
      </c>
      <c r="M31" s="219" t="s">
        <v>24</v>
      </c>
      <c r="N31" s="320" t="s">
        <v>163</v>
      </c>
      <c r="O31" s="283"/>
      <c r="P31" s="302"/>
      <c r="Q31" s="286">
        <f>1</f>
        <v>1</v>
      </c>
      <c r="R31" s="293"/>
      <c r="T31" s="438" t="s">
        <v>141</v>
      </c>
      <c r="U31" s="295"/>
      <c r="X31" s="287">
        <v>11.82179641723633</v>
      </c>
      <c r="Y31" s="274">
        <f t="shared" si="4"/>
        <v>11.82179641723633</v>
      </c>
      <c r="Z31" s="138" t="str">
        <f t="shared" si="5"/>
        <v/>
      </c>
    </row>
    <row r="32" spans="1:26" s="294" customFormat="1" ht="187" customHeight="1">
      <c r="A32" s="292"/>
      <c r="B32" s="314" t="s">
        <v>164</v>
      </c>
      <c r="C32" s="315" t="s">
        <v>164</v>
      </c>
      <c r="D32" s="316" t="s">
        <v>149</v>
      </c>
      <c r="E32" s="303">
        <f t="shared" si="6"/>
        <v>265</v>
      </c>
      <c r="F32" s="316" t="s">
        <v>150</v>
      </c>
      <c r="G32" s="303">
        <f t="shared" si="7"/>
        <v>252</v>
      </c>
      <c r="H32" s="317" t="s">
        <v>37</v>
      </c>
      <c r="I32" s="303" t="s">
        <v>24</v>
      </c>
      <c r="J32" s="303" t="s">
        <v>24</v>
      </c>
      <c r="K32" s="303" t="s">
        <v>38</v>
      </c>
      <c r="L32" s="301" t="s">
        <v>165</v>
      </c>
      <c r="M32" s="219" t="s">
        <v>24</v>
      </c>
      <c r="N32" s="318" t="s">
        <v>166</v>
      </c>
      <c r="O32" s="319"/>
      <c r="P32" s="302"/>
      <c r="Q32" s="286">
        <f>1</f>
        <v>1</v>
      </c>
      <c r="R32" s="293"/>
      <c r="T32" s="438" t="s">
        <v>141</v>
      </c>
      <c r="U32" s="295"/>
      <c r="X32" s="287">
        <v>3.163594007492065</v>
      </c>
      <c r="Y32" s="274">
        <f t="shared" si="4"/>
        <v>3.163594007492065</v>
      </c>
      <c r="Z32" s="138" t="str">
        <f t="shared" si="5"/>
        <v/>
      </c>
    </row>
    <row r="33" spans="1:27" s="294" customFormat="1" ht="51" customHeight="1">
      <c r="A33" s="292"/>
      <c r="B33" s="314" t="s">
        <v>167</v>
      </c>
      <c r="C33" s="315" t="s">
        <v>167</v>
      </c>
      <c r="D33" s="365" t="s">
        <v>154</v>
      </c>
      <c r="E33" s="303">
        <f t="shared" si="6"/>
        <v>73</v>
      </c>
      <c r="F33" s="472" t="s">
        <v>155</v>
      </c>
      <c r="G33" s="303">
        <f t="shared" si="7"/>
        <v>63</v>
      </c>
      <c r="H33" s="317" t="s">
        <v>26</v>
      </c>
      <c r="I33" s="303" t="s">
        <v>24</v>
      </c>
      <c r="J33" s="303" t="s">
        <v>24</v>
      </c>
      <c r="K33" s="303" t="s">
        <v>27</v>
      </c>
      <c r="L33" s="301" t="s">
        <v>168</v>
      </c>
      <c r="M33" s="219" t="s">
        <v>24</v>
      </c>
      <c r="N33" s="320" t="s">
        <v>169</v>
      </c>
      <c r="O33" s="321"/>
      <c r="P33" s="302"/>
      <c r="Q33" s="286">
        <f>1</f>
        <v>1</v>
      </c>
      <c r="R33" s="293"/>
      <c r="T33" s="438" t="s">
        <v>141</v>
      </c>
      <c r="U33" s="295"/>
      <c r="X33" s="287">
        <v>10.83014392852783</v>
      </c>
      <c r="Y33" s="274">
        <f t="shared" si="4"/>
        <v>10.83014392852783</v>
      </c>
      <c r="Z33" s="138" t="str">
        <f t="shared" si="5"/>
        <v/>
      </c>
    </row>
    <row r="34" spans="1:27" s="294" customFormat="1" ht="102" customHeight="1">
      <c r="A34" s="292"/>
      <c r="B34" s="314" t="s">
        <v>170</v>
      </c>
      <c r="C34" s="314" t="s">
        <v>171</v>
      </c>
      <c r="D34" s="365" t="s">
        <v>159</v>
      </c>
      <c r="E34" s="303">
        <f t="shared" si="6"/>
        <v>98</v>
      </c>
      <c r="F34" s="451" t="s">
        <v>172</v>
      </c>
      <c r="G34" s="303">
        <f t="shared" si="7"/>
        <v>92</v>
      </c>
      <c r="H34" s="317" t="s">
        <v>26</v>
      </c>
      <c r="I34" s="303" t="s">
        <v>24</v>
      </c>
      <c r="J34" s="303" t="s">
        <v>173</v>
      </c>
      <c r="K34" s="303" t="s">
        <v>27</v>
      </c>
      <c r="L34" s="301" t="s">
        <v>174</v>
      </c>
      <c r="M34" s="219" t="s">
        <v>24</v>
      </c>
      <c r="N34" s="320" t="s">
        <v>175</v>
      </c>
      <c r="O34" s="283"/>
      <c r="P34" s="302"/>
      <c r="Q34" s="286">
        <f>1</f>
        <v>1</v>
      </c>
      <c r="R34" s="293"/>
      <c r="T34" s="438" t="s">
        <v>141</v>
      </c>
      <c r="U34" s="295"/>
      <c r="X34" s="287">
        <v>11.260416984558111</v>
      </c>
      <c r="Y34" s="274">
        <f t="shared" si="4"/>
        <v>11.260416984558111</v>
      </c>
      <c r="Z34" s="138" t="str">
        <f t="shared" si="5"/>
        <v/>
      </c>
    </row>
    <row r="35" spans="1:27" s="135" customFormat="1">
      <c r="A35" s="70"/>
      <c r="B35" s="247"/>
      <c r="C35" s="247"/>
      <c r="D35" s="74"/>
      <c r="E35" s="71"/>
      <c r="F35" s="71"/>
      <c r="G35" s="71"/>
      <c r="H35" s="72"/>
      <c r="I35" s="71"/>
      <c r="J35" s="71"/>
      <c r="K35" s="71"/>
      <c r="L35" s="73"/>
      <c r="M35" s="78"/>
      <c r="N35" s="75"/>
      <c r="O35" s="76"/>
      <c r="P35" s="67"/>
      <c r="Q35" s="276">
        <f>1</f>
        <v>1</v>
      </c>
      <c r="R35" s="138"/>
      <c r="T35" s="137"/>
      <c r="U35" s="136"/>
      <c r="X35" s="275"/>
      <c r="Y35" s="275" t="str">
        <f t="shared" si="4"/>
        <v/>
      </c>
      <c r="Z35" s="138" t="str">
        <f t="shared" si="5"/>
        <v/>
      </c>
    </row>
    <row r="36" spans="1:27" s="144" customFormat="1" ht="153" customHeight="1">
      <c r="A36" s="96">
        <v>3</v>
      </c>
      <c r="B36" s="234" t="s">
        <v>176</v>
      </c>
      <c r="C36" s="143" t="s">
        <v>176</v>
      </c>
      <c r="D36" s="142" t="s">
        <v>177</v>
      </c>
      <c r="E36" s="141">
        <f>LEN(D36)</f>
        <v>229</v>
      </c>
      <c r="F36" s="471" t="s">
        <v>178</v>
      </c>
      <c r="G36" s="141">
        <f>LEN(F36)</f>
        <v>198</v>
      </c>
      <c r="H36" s="151" t="s">
        <v>37</v>
      </c>
      <c r="I36" s="141" t="s">
        <v>24</v>
      </c>
      <c r="J36" s="141" t="s">
        <v>24</v>
      </c>
      <c r="K36" s="141" t="s">
        <v>179</v>
      </c>
      <c r="L36" s="399" t="s">
        <v>180</v>
      </c>
      <c r="M36" s="219" t="s">
        <v>24</v>
      </c>
      <c r="N36" s="679" t="s">
        <v>181</v>
      </c>
      <c r="O36" s="281"/>
      <c r="P36" s="10"/>
      <c r="Q36" s="271">
        <f>1</f>
        <v>1</v>
      </c>
      <c r="R36" s="138"/>
      <c r="T36" s="443" t="s">
        <v>33</v>
      </c>
      <c r="U36" s="145"/>
      <c r="X36" s="274">
        <v>13.957258919109851</v>
      </c>
      <c r="Y36" s="274">
        <f t="shared" si="4"/>
        <v>13.957258919109851</v>
      </c>
      <c r="Z36" s="138">
        <f t="shared" si="5"/>
        <v>13.957258919109851</v>
      </c>
    </row>
    <row r="37" spans="1:27" s="144" customFormat="1" ht="136" customHeight="1">
      <c r="A37" s="46">
        <f>A36+1</f>
        <v>4</v>
      </c>
      <c r="B37" s="183" t="s">
        <v>182</v>
      </c>
      <c r="C37" s="143" t="s">
        <v>182</v>
      </c>
      <c r="D37" s="400" t="s">
        <v>183</v>
      </c>
      <c r="E37" s="149">
        <f>LEN(D37)</f>
        <v>120</v>
      </c>
      <c r="F37" s="473" t="s">
        <v>184</v>
      </c>
      <c r="G37" s="149">
        <f>LEN(F37)</f>
        <v>100</v>
      </c>
      <c r="H37" s="158" t="s">
        <v>37</v>
      </c>
      <c r="I37" s="149" t="s">
        <v>24</v>
      </c>
      <c r="J37" s="149" t="s">
        <v>24</v>
      </c>
      <c r="K37" s="149" t="s">
        <v>185</v>
      </c>
      <c r="L37" s="401" t="s">
        <v>186</v>
      </c>
      <c r="M37" s="219" t="s">
        <v>24</v>
      </c>
      <c r="N37" s="680"/>
      <c r="O37" s="391"/>
      <c r="P37" s="124"/>
      <c r="Q37" s="271">
        <f>1</f>
        <v>1</v>
      </c>
      <c r="R37" s="138"/>
      <c r="T37" s="443" t="s">
        <v>33</v>
      </c>
      <c r="U37" s="145"/>
      <c r="X37" s="274">
        <v>7.9549989700317383</v>
      </c>
      <c r="Y37" s="274">
        <f t="shared" si="4"/>
        <v>7.9549989700317383</v>
      </c>
      <c r="Z37" s="138">
        <f t="shared" si="5"/>
        <v>7.9549989700317383</v>
      </c>
    </row>
    <row r="38" spans="1:27" s="144" customFormat="1" ht="153" customHeight="1">
      <c r="A38" s="110"/>
      <c r="B38" s="236" t="s">
        <v>187</v>
      </c>
      <c r="C38" s="134" t="s">
        <v>187</v>
      </c>
      <c r="D38" s="164" t="s">
        <v>188</v>
      </c>
      <c r="E38" s="402">
        <f>LEN(D38)</f>
        <v>218</v>
      </c>
      <c r="F38" s="474" t="s">
        <v>189</v>
      </c>
      <c r="G38" s="402">
        <f>LEN(F38)</f>
        <v>190</v>
      </c>
      <c r="H38" s="158" t="s">
        <v>37</v>
      </c>
      <c r="I38" s="158" t="s">
        <v>24</v>
      </c>
      <c r="J38" s="158" t="s">
        <v>24</v>
      </c>
      <c r="K38" s="158" t="s">
        <v>38</v>
      </c>
      <c r="L38" s="148" t="s">
        <v>190</v>
      </c>
      <c r="M38" s="219" t="s">
        <v>24</v>
      </c>
      <c r="N38" s="398"/>
      <c r="O38" s="368"/>
      <c r="P38" s="369"/>
      <c r="Q38" s="274"/>
      <c r="R38" s="274"/>
      <c r="S38" s="138"/>
      <c r="U38" s="196"/>
      <c r="V38" s="145"/>
      <c r="Y38" s="274"/>
      <c r="Z38" s="274"/>
      <c r="AA38" s="138"/>
    </row>
    <row r="39" spans="1:27" s="144" customFormat="1" ht="272" customHeight="1">
      <c r="A39" s="110" t="e">
        <f>#REF!+1</f>
        <v>#REF!</v>
      </c>
      <c r="B39" s="236" t="s">
        <v>191</v>
      </c>
      <c r="C39" s="403" t="s">
        <v>191</v>
      </c>
      <c r="D39" s="156" t="s">
        <v>192</v>
      </c>
      <c r="E39" s="132">
        <f>LEN(D39)</f>
        <v>658</v>
      </c>
      <c r="F39" s="474" t="s">
        <v>193</v>
      </c>
      <c r="G39" s="132">
        <f>LEN(F39)</f>
        <v>600</v>
      </c>
      <c r="H39" s="404" t="s">
        <v>37</v>
      </c>
      <c r="I39" s="132" t="s">
        <v>24</v>
      </c>
      <c r="J39" s="132" t="s">
        <v>24</v>
      </c>
      <c r="K39" s="132" t="s">
        <v>38</v>
      </c>
      <c r="L39" s="405" t="s">
        <v>194</v>
      </c>
      <c r="M39" s="219" t="s">
        <v>24</v>
      </c>
      <c r="N39" s="154" t="s">
        <v>195</v>
      </c>
      <c r="O39" s="85"/>
      <c r="P39" s="25"/>
      <c r="Q39" s="271">
        <f>1</f>
        <v>1</v>
      </c>
      <c r="R39" s="138"/>
      <c r="T39" s="443" t="s">
        <v>33</v>
      </c>
      <c r="U39" s="145"/>
      <c r="X39" s="274">
        <v>24.41083908081055</v>
      </c>
      <c r="Y39" s="274">
        <f t="shared" ref="Y39:Y54" si="8">IF(X39="","",X39*Q39)</f>
        <v>24.41083908081055</v>
      </c>
      <c r="Z39" s="138">
        <f t="shared" ref="Z39:Z54" si="9">IF(T39="yes",Y39,"")</f>
        <v>24.41083908081055</v>
      </c>
    </row>
    <row r="40" spans="1:27" s="144" customFormat="1" ht="17" customHeight="1" thickBot="1">
      <c r="A40" s="99"/>
      <c r="B40" s="263"/>
      <c r="C40" s="270"/>
      <c r="D40" s="86"/>
      <c r="E40" s="100"/>
      <c r="F40" s="100"/>
      <c r="G40" s="100"/>
      <c r="H40" s="101"/>
      <c r="I40" s="100"/>
      <c r="J40" s="100"/>
      <c r="K40" s="100"/>
      <c r="L40" s="86"/>
      <c r="M40" s="86"/>
      <c r="N40" s="86"/>
      <c r="O40" s="86"/>
      <c r="P40" s="25"/>
      <c r="Q40" s="276">
        <f>1</f>
        <v>1</v>
      </c>
      <c r="R40" s="138"/>
      <c r="T40" s="196"/>
      <c r="U40" s="145"/>
      <c r="X40" s="275"/>
      <c r="Y40" s="275" t="str">
        <f t="shared" si="8"/>
        <v/>
      </c>
      <c r="Z40" s="138" t="str">
        <f t="shared" si="9"/>
        <v/>
      </c>
    </row>
    <row r="41" spans="1:27" s="144" customFormat="1" ht="17" customHeight="1" thickBot="1">
      <c r="A41" s="663" t="s">
        <v>196</v>
      </c>
      <c r="B41" s="664"/>
      <c r="C41" s="664"/>
      <c r="D41" s="664"/>
      <c r="E41" s="664"/>
      <c r="F41" s="664"/>
      <c r="G41" s="664"/>
      <c r="H41" s="664"/>
      <c r="I41" s="664"/>
      <c r="J41" s="664"/>
      <c r="K41" s="664"/>
      <c r="L41" s="664"/>
      <c r="M41" s="664"/>
      <c r="N41" s="664"/>
      <c r="O41" s="664"/>
      <c r="P41" s="665"/>
      <c r="Q41" s="276"/>
      <c r="R41" s="138"/>
      <c r="T41" s="146"/>
      <c r="U41" s="145"/>
      <c r="X41" s="275"/>
      <c r="Y41" s="274" t="str">
        <f t="shared" si="8"/>
        <v/>
      </c>
      <c r="Z41" s="138" t="str">
        <f t="shared" si="9"/>
        <v/>
      </c>
    </row>
    <row r="42" spans="1:27" s="144" customFormat="1">
      <c r="A42" s="193"/>
      <c r="B42" s="193"/>
      <c r="C42" s="193"/>
      <c r="D42" s="103"/>
      <c r="E42" s="193"/>
      <c r="F42" s="103"/>
      <c r="G42" s="193"/>
      <c r="H42" s="193"/>
      <c r="I42" s="193"/>
      <c r="J42" s="193"/>
      <c r="K42" s="193"/>
      <c r="L42" s="193"/>
      <c r="M42" s="193"/>
      <c r="N42" s="193"/>
      <c r="O42" s="193"/>
      <c r="P42" s="51"/>
      <c r="Q42" s="276">
        <f>1</f>
        <v>1</v>
      </c>
      <c r="R42" s="138"/>
      <c r="T42" s="146"/>
      <c r="U42" s="145"/>
      <c r="X42" s="275"/>
      <c r="Y42" s="275" t="str">
        <f t="shared" si="8"/>
        <v/>
      </c>
      <c r="Z42" s="138" t="str">
        <f t="shared" si="9"/>
        <v/>
      </c>
    </row>
    <row r="43" spans="1:27" s="371" customFormat="1" ht="153" customHeight="1">
      <c r="A43" s="367" t="e">
        <f>A39+1</f>
        <v>#REF!</v>
      </c>
      <c r="B43" s="395" t="s">
        <v>197</v>
      </c>
      <c r="C43" s="396" t="s">
        <v>197</v>
      </c>
      <c r="D43" s="397" t="s">
        <v>198</v>
      </c>
      <c r="E43" s="396">
        <f>LEN(D43)</f>
        <v>97</v>
      </c>
      <c r="F43" s="489" t="s">
        <v>199</v>
      </c>
      <c r="G43" s="396">
        <f>LEN(F43)</f>
        <v>84</v>
      </c>
      <c r="H43" s="396" t="s">
        <v>37</v>
      </c>
      <c r="I43" s="396" t="s">
        <v>24</v>
      </c>
      <c r="J43" s="396" t="s">
        <v>24</v>
      </c>
      <c r="K43" s="396" t="s">
        <v>38</v>
      </c>
      <c r="L43" s="398" t="s">
        <v>200</v>
      </c>
      <c r="M43" s="219" t="s">
        <v>24</v>
      </c>
      <c r="N43" s="398" t="s">
        <v>201</v>
      </c>
      <c r="O43" s="368"/>
      <c r="P43" s="369"/>
      <c r="Q43" s="366">
        <v>1</v>
      </c>
      <c r="R43" s="370"/>
      <c r="T43" s="442" t="s">
        <v>33</v>
      </c>
      <c r="U43" s="372"/>
      <c r="X43" s="449">
        <v>10.5</v>
      </c>
      <c r="Y43" s="274">
        <f t="shared" si="8"/>
        <v>10.5</v>
      </c>
      <c r="Z43" s="370">
        <f t="shared" si="9"/>
        <v>10.5</v>
      </c>
    </row>
    <row r="44" spans="1:27" s="144" customFormat="1" ht="136" customHeight="1">
      <c r="A44" s="96" t="e">
        <f>A43+1</f>
        <v>#REF!</v>
      </c>
      <c r="B44" s="234" t="s">
        <v>202</v>
      </c>
      <c r="C44" s="143" t="s">
        <v>202</v>
      </c>
      <c r="D44" s="195" t="s">
        <v>203</v>
      </c>
      <c r="E44" s="141">
        <f>LEN(D44)</f>
        <v>116</v>
      </c>
      <c r="F44" s="475" t="s">
        <v>204</v>
      </c>
      <c r="G44" s="141">
        <f>LEN(F44)</f>
        <v>92</v>
      </c>
      <c r="H44" s="143" t="s">
        <v>37</v>
      </c>
      <c r="I44" s="141" t="s">
        <v>24</v>
      </c>
      <c r="J44" s="141" t="s">
        <v>24</v>
      </c>
      <c r="K44" s="141" t="s">
        <v>38</v>
      </c>
      <c r="L44" s="140" t="s">
        <v>205</v>
      </c>
      <c r="M44" s="219" t="s">
        <v>24</v>
      </c>
      <c r="N44" s="140" t="s">
        <v>206</v>
      </c>
      <c r="O44" s="84"/>
      <c r="P44" s="51"/>
      <c r="Q44" s="271">
        <f>1</f>
        <v>1</v>
      </c>
      <c r="R44" s="138"/>
      <c r="T44" s="437" t="s">
        <v>33</v>
      </c>
      <c r="U44" s="145"/>
      <c r="X44" s="274">
        <v>10.504533767700201</v>
      </c>
      <c r="Y44" s="274">
        <f t="shared" si="8"/>
        <v>10.504533767700201</v>
      </c>
      <c r="Z44" s="138">
        <f t="shared" si="9"/>
        <v>10.504533767700201</v>
      </c>
    </row>
    <row r="45" spans="1:27" s="144" customFormat="1">
      <c r="A45" s="96"/>
      <c r="B45" s="262"/>
      <c r="C45" s="97"/>
      <c r="D45" s="102"/>
      <c r="E45" s="103"/>
      <c r="F45" s="103"/>
      <c r="G45" s="103"/>
      <c r="H45" s="97"/>
      <c r="I45" s="103"/>
      <c r="J45" s="103"/>
      <c r="K45" s="103"/>
      <c r="L45" s="84"/>
      <c r="M45" s="84"/>
      <c r="N45" s="84"/>
      <c r="O45" s="84"/>
      <c r="P45" s="51"/>
      <c r="Q45" s="276">
        <f>1</f>
        <v>1</v>
      </c>
      <c r="R45" s="138"/>
      <c r="T45" s="146"/>
      <c r="U45" s="145"/>
      <c r="X45" s="275"/>
      <c r="Y45" s="275" t="str">
        <f t="shared" si="8"/>
        <v/>
      </c>
      <c r="Z45" s="138" t="str">
        <f t="shared" si="9"/>
        <v/>
      </c>
    </row>
    <row r="46" spans="1:27" s="144" customFormat="1" ht="187" customHeight="1">
      <c r="A46" s="46" t="e">
        <f>A44+1</f>
        <v>#REF!</v>
      </c>
      <c r="B46" s="183" t="s">
        <v>207</v>
      </c>
      <c r="C46" s="143" t="s">
        <v>207</v>
      </c>
      <c r="D46" s="496" t="s">
        <v>208</v>
      </c>
      <c r="E46" s="149">
        <f>LEN(D46)</f>
        <v>314</v>
      </c>
      <c r="F46" s="497" t="s">
        <v>209</v>
      </c>
      <c r="G46" s="149">
        <f>LEN(F46)</f>
        <v>263</v>
      </c>
      <c r="H46" s="150" t="s">
        <v>37</v>
      </c>
      <c r="I46" s="149" t="s">
        <v>24</v>
      </c>
      <c r="J46" s="149" t="s">
        <v>24</v>
      </c>
      <c r="K46" s="149" t="s">
        <v>38</v>
      </c>
      <c r="L46" s="148" t="s">
        <v>210</v>
      </c>
      <c r="M46" s="219" t="s">
        <v>24</v>
      </c>
      <c r="N46" s="140" t="s">
        <v>211</v>
      </c>
      <c r="O46" s="44" t="s">
        <v>212</v>
      </c>
      <c r="P46" s="25"/>
      <c r="Q46" s="271">
        <f>1</f>
        <v>1</v>
      </c>
      <c r="R46" s="138"/>
      <c r="T46" s="437" t="s">
        <v>33</v>
      </c>
      <c r="U46" s="145"/>
      <c r="X46" s="274">
        <v>12.42189884185791</v>
      </c>
      <c r="Y46" s="274">
        <f t="shared" si="8"/>
        <v>12.42189884185791</v>
      </c>
      <c r="Z46" s="138">
        <f t="shared" si="9"/>
        <v>12.42189884185791</v>
      </c>
    </row>
    <row r="47" spans="1:27" s="144" customFormat="1">
      <c r="A47" s="46"/>
      <c r="B47" s="181"/>
      <c r="C47" s="97"/>
      <c r="D47" s="47"/>
      <c r="E47" s="48"/>
      <c r="F47" s="47"/>
      <c r="G47" s="48"/>
      <c r="H47" s="49"/>
      <c r="I47" s="48"/>
      <c r="J47" s="48"/>
      <c r="K47" s="48"/>
      <c r="L47" s="92"/>
      <c r="M47" s="84"/>
      <c r="N47" s="84"/>
      <c r="O47" s="84"/>
      <c r="P47" s="25"/>
      <c r="Q47" s="276">
        <f>1</f>
        <v>1</v>
      </c>
      <c r="R47" s="138"/>
      <c r="T47" s="146"/>
      <c r="U47" s="145"/>
      <c r="X47" s="275"/>
      <c r="Y47" s="275" t="str">
        <f t="shared" si="8"/>
        <v/>
      </c>
      <c r="Z47" s="138" t="str">
        <f t="shared" si="9"/>
        <v/>
      </c>
    </row>
    <row r="48" spans="1:27" s="528" customFormat="1" ht="272" hidden="1" customHeight="1">
      <c r="A48" s="515">
        <v>10</v>
      </c>
      <c r="B48" s="516" t="s">
        <v>213</v>
      </c>
      <c r="C48" s="517" t="s">
        <v>213</v>
      </c>
      <c r="D48" s="518" t="s">
        <v>214</v>
      </c>
      <c r="E48" s="519">
        <f>LEN(D48)</f>
        <v>313</v>
      </c>
      <c r="F48" s="520" t="s">
        <v>215</v>
      </c>
      <c r="G48" s="519">
        <f>LEN(F48)</f>
        <v>276</v>
      </c>
      <c r="H48" s="521" t="s">
        <v>37</v>
      </c>
      <c r="I48" s="519" t="s">
        <v>24</v>
      </c>
      <c r="J48" s="519" t="s">
        <v>24</v>
      </c>
      <c r="K48" s="519" t="s">
        <v>38</v>
      </c>
      <c r="L48" s="522" t="s">
        <v>216</v>
      </c>
      <c r="M48" s="523" t="s">
        <v>24</v>
      </c>
      <c r="N48" s="524" t="s">
        <v>217</v>
      </c>
      <c r="O48" s="525"/>
      <c r="P48" s="681" t="s">
        <v>218</v>
      </c>
      <c r="Q48" s="526">
        <f>1</f>
        <v>1</v>
      </c>
      <c r="R48" s="527"/>
      <c r="T48" s="529" t="s">
        <v>33</v>
      </c>
      <c r="U48" s="530"/>
      <c r="X48" s="531">
        <v>16.615655899047852</v>
      </c>
      <c r="Y48" s="531">
        <f t="shared" si="8"/>
        <v>16.615655899047852</v>
      </c>
      <c r="Z48" s="527">
        <f t="shared" si="9"/>
        <v>16.615655899047852</v>
      </c>
    </row>
    <row r="49" spans="1:26" s="144" customFormat="1" ht="289" customHeight="1">
      <c r="A49" s="46">
        <v>10</v>
      </c>
      <c r="B49" s="181" t="s">
        <v>219</v>
      </c>
      <c r="C49" s="180" t="s">
        <v>213</v>
      </c>
      <c r="D49" s="47" t="s">
        <v>220</v>
      </c>
      <c r="E49" s="48">
        <f>LEN(D49)</f>
        <v>395</v>
      </c>
      <c r="F49" s="467" t="s">
        <v>221</v>
      </c>
      <c r="G49" s="48">
        <f>LEN(F49)</f>
        <v>376</v>
      </c>
      <c r="H49" s="49" t="s">
        <v>37</v>
      </c>
      <c r="I49" s="48" t="s">
        <v>24</v>
      </c>
      <c r="J49" s="48" t="s">
        <v>24</v>
      </c>
      <c r="K49" s="48" t="s">
        <v>38</v>
      </c>
      <c r="L49" s="246" t="s">
        <v>222</v>
      </c>
      <c r="M49" s="78" t="s">
        <v>24</v>
      </c>
      <c r="N49" s="179" t="s">
        <v>223</v>
      </c>
      <c r="O49" s="64" t="s">
        <v>224</v>
      </c>
      <c r="P49" s="667"/>
      <c r="Q49" s="276">
        <f>1</f>
        <v>1</v>
      </c>
      <c r="R49" s="138"/>
      <c r="T49" s="146" t="s">
        <v>33</v>
      </c>
      <c r="U49" s="145"/>
      <c r="X49" s="275">
        <v>16.615655899047852</v>
      </c>
      <c r="Y49" s="275">
        <f t="shared" si="8"/>
        <v>16.615655899047852</v>
      </c>
      <c r="Z49" s="138">
        <f t="shared" si="9"/>
        <v>16.615655899047852</v>
      </c>
    </row>
    <row r="50" spans="1:26" s="528" customFormat="1" ht="187" hidden="1" customHeight="1">
      <c r="A50" s="515">
        <v>10</v>
      </c>
      <c r="B50" s="516" t="s">
        <v>225</v>
      </c>
      <c r="C50" s="517" t="s">
        <v>225</v>
      </c>
      <c r="D50" s="518" t="s">
        <v>226</v>
      </c>
      <c r="E50" s="519">
        <f>LEN(D50)</f>
        <v>312</v>
      </c>
      <c r="F50" s="520" t="s">
        <v>227</v>
      </c>
      <c r="G50" s="519">
        <f>LEN(F50)</f>
        <v>307</v>
      </c>
      <c r="H50" s="521" t="s">
        <v>37</v>
      </c>
      <c r="I50" s="519" t="s">
        <v>24</v>
      </c>
      <c r="J50" s="519" t="s">
        <v>24</v>
      </c>
      <c r="K50" s="519" t="s">
        <v>38</v>
      </c>
      <c r="L50" s="522" t="s">
        <v>228</v>
      </c>
      <c r="M50" s="523" t="s">
        <v>24</v>
      </c>
      <c r="N50" s="524" t="s">
        <v>217</v>
      </c>
      <c r="O50" s="525"/>
      <c r="P50" s="667"/>
      <c r="Q50" s="526">
        <f>1</f>
        <v>1</v>
      </c>
      <c r="R50" s="527"/>
      <c r="T50" s="529" t="s">
        <v>33</v>
      </c>
      <c r="U50" s="530"/>
      <c r="X50" s="531">
        <v>12.600021362304689</v>
      </c>
      <c r="Y50" s="531">
        <f t="shared" si="8"/>
        <v>12.600021362304689</v>
      </c>
      <c r="Z50" s="527">
        <f t="shared" si="9"/>
        <v>12.600021362304689</v>
      </c>
    </row>
    <row r="51" spans="1:26" s="528" customFormat="1" ht="204" hidden="1" customHeight="1">
      <c r="A51" s="515">
        <v>10</v>
      </c>
      <c r="B51" s="516" t="s">
        <v>229</v>
      </c>
      <c r="C51" s="517" t="s">
        <v>229</v>
      </c>
      <c r="D51" s="518" t="s">
        <v>230</v>
      </c>
      <c r="E51" s="519">
        <f>LEN(D51)</f>
        <v>255</v>
      </c>
      <c r="F51" s="520" t="s">
        <v>231</v>
      </c>
      <c r="G51" s="519">
        <f>LEN(F51)</f>
        <v>245</v>
      </c>
      <c r="H51" s="521" t="s">
        <v>37</v>
      </c>
      <c r="I51" s="519" t="s">
        <v>24</v>
      </c>
      <c r="J51" s="519" t="s">
        <v>24</v>
      </c>
      <c r="K51" s="519" t="s">
        <v>38</v>
      </c>
      <c r="L51" s="532" t="s">
        <v>232</v>
      </c>
      <c r="M51" s="523" t="s">
        <v>24</v>
      </c>
      <c r="N51" s="524" t="s">
        <v>217</v>
      </c>
      <c r="O51" s="525"/>
      <c r="P51" s="668"/>
      <c r="Q51" s="526">
        <f>1</f>
        <v>1</v>
      </c>
      <c r="R51" s="527"/>
      <c r="T51" s="529" t="s">
        <v>33</v>
      </c>
      <c r="U51" s="530"/>
      <c r="X51" s="531">
        <v>11.655922889709471</v>
      </c>
      <c r="Y51" s="531">
        <f t="shared" si="8"/>
        <v>11.655922889709471</v>
      </c>
      <c r="Z51" s="527">
        <f t="shared" si="9"/>
        <v>11.655922889709471</v>
      </c>
    </row>
    <row r="52" spans="1:26" s="144" customFormat="1">
      <c r="A52" s="46"/>
      <c r="B52" s="181"/>
      <c r="C52" s="267"/>
      <c r="D52" s="498"/>
      <c r="E52" s="103"/>
      <c r="F52" s="103"/>
      <c r="G52" s="103"/>
      <c r="H52" s="97"/>
      <c r="I52" s="103"/>
      <c r="J52" s="103"/>
      <c r="K52" s="103"/>
      <c r="L52" s="117"/>
      <c r="M52" s="84"/>
      <c r="N52" s="269"/>
      <c r="O52" s="269"/>
      <c r="P52" s="513"/>
      <c r="Q52" s="276">
        <f>1</f>
        <v>1</v>
      </c>
      <c r="R52" s="138"/>
      <c r="T52" s="146"/>
      <c r="U52" s="145"/>
      <c r="X52" s="275"/>
      <c r="Y52" s="275" t="str">
        <f t="shared" si="8"/>
        <v/>
      </c>
      <c r="Z52" s="138" t="str">
        <f t="shared" si="9"/>
        <v/>
      </c>
    </row>
    <row r="53" spans="1:26" s="144" customFormat="1" ht="409.5" customHeight="1">
      <c r="A53" s="14">
        <f>A51+1</f>
        <v>11</v>
      </c>
      <c r="B53" s="235" t="s">
        <v>233</v>
      </c>
      <c r="C53" s="17" t="s">
        <v>233</v>
      </c>
      <c r="D53" s="15" t="s">
        <v>234</v>
      </c>
      <c r="E53" s="16">
        <f t="shared" ref="E53:E59" si="10">LEN(D53)</f>
        <v>1333</v>
      </c>
      <c r="F53" s="477" t="s">
        <v>235</v>
      </c>
      <c r="G53" s="16">
        <f t="shared" ref="G53:G59" si="11">LEN(F53)</f>
        <v>987</v>
      </c>
      <c r="H53" s="17" t="s">
        <v>37</v>
      </c>
      <c r="I53" s="16" t="s">
        <v>24</v>
      </c>
      <c r="J53" s="16" t="s">
        <v>24</v>
      </c>
      <c r="K53" s="16" t="s">
        <v>38</v>
      </c>
      <c r="L53" s="18" t="s">
        <v>236</v>
      </c>
      <c r="M53" s="78" t="s">
        <v>24</v>
      </c>
      <c r="N53" s="38" t="s">
        <v>237</v>
      </c>
      <c r="O53" s="651" t="s">
        <v>238</v>
      </c>
      <c r="P53" s="51"/>
      <c r="Q53" s="276">
        <f>1</f>
        <v>1</v>
      </c>
      <c r="R53" s="138"/>
      <c r="T53" s="146" t="s">
        <v>23</v>
      </c>
      <c r="U53" s="145"/>
      <c r="X53" s="275">
        <v>13.22066497802734</v>
      </c>
      <c r="Y53" s="275">
        <f t="shared" si="8"/>
        <v>13.22066497802734</v>
      </c>
      <c r="Z53" s="138" t="str">
        <f t="shared" si="9"/>
        <v/>
      </c>
    </row>
    <row r="54" spans="1:26" s="144" customFormat="1" ht="125.25" customHeight="1">
      <c r="A54" s="14">
        <f>A53+1</f>
        <v>12</v>
      </c>
      <c r="B54" s="235" t="s">
        <v>239</v>
      </c>
      <c r="C54" s="21" t="s">
        <v>239</v>
      </c>
      <c r="D54" s="19" t="s">
        <v>240</v>
      </c>
      <c r="E54" s="20">
        <f t="shared" si="10"/>
        <v>269</v>
      </c>
      <c r="F54" s="477" t="s">
        <v>241</v>
      </c>
      <c r="G54" s="20">
        <f t="shared" si="11"/>
        <v>247</v>
      </c>
      <c r="H54" s="21" t="s">
        <v>128</v>
      </c>
      <c r="I54" s="20" t="s">
        <v>24</v>
      </c>
      <c r="J54" s="20" t="s">
        <v>24</v>
      </c>
      <c r="K54" s="20" t="s">
        <v>27</v>
      </c>
      <c r="L54" s="22" t="s">
        <v>242</v>
      </c>
      <c r="M54" s="78" t="s">
        <v>24</v>
      </c>
      <c r="N54" s="38" t="s">
        <v>237</v>
      </c>
      <c r="O54" s="655" t="s">
        <v>243</v>
      </c>
      <c r="P54" s="10"/>
      <c r="Q54" s="276">
        <f>1</f>
        <v>1</v>
      </c>
      <c r="R54" s="138"/>
      <c r="T54" s="146" t="s">
        <v>23</v>
      </c>
      <c r="U54" s="145"/>
      <c r="X54" s="275">
        <v>16.90229415893555</v>
      </c>
      <c r="Y54" s="275">
        <f t="shared" si="8"/>
        <v>16.90229415893555</v>
      </c>
      <c r="Z54" s="138" t="str">
        <f t="shared" si="9"/>
        <v/>
      </c>
    </row>
    <row r="55" spans="1:26" s="144" customFormat="1" ht="264.5" customHeight="1">
      <c r="A55" s="14"/>
      <c r="B55" s="533" t="s">
        <v>244</v>
      </c>
      <c r="C55" s="239"/>
      <c r="D55" s="534" t="s">
        <v>245</v>
      </c>
      <c r="E55" s="535">
        <f t="shared" si="10"/>
        <v>935</v>
      </c>
      <c r="F55" s="536" t="s">
        <v>246</v>
      </c>
      <c r="G55" s="535">
        <f t="shared" si="11"/>
        <v>916</v>
      </c>
      <c r="H55" s="537" t="s">
        <v>247</v>
      </c>
      <c r="I55" s="538"/>
      <c r="J55" s="538"/>
      <c r="K55" s="539"/>
      <c r="L55" s="540"/>
      <c r="M55" s="541"/>
      <c r="N55" s="542" t="s">
        <v>248</v>
      </c>
      <c r="O55" s="652" t="s">
        <v>249</v>
      </c>
      <c r="Q55" s="276"/>
      <c r="R55" s="138"/>
      <c r="T55" s="146"/>
      <c r="U55" s="145"/>
      <c r="X55" s="275"/>
      <c r="Y55" s="275"/>
      <c r="Z55" s="138"/>
    </row>
    <row r="56" spans="1:26" s="528" customFormat="1" ht="238" hidden="1" customHeight="1">
      <c r="A56" s="515">
        <f>A54+1</f>
        <v>13</v>
      </c>
      <c r="B56" s="516" t="s">
        <v>250</v>
      </c>
      <c r="C56" s="517" t="s">
        <v>251</v>
      </c>
      <c r="D56" s="518" t="s">
        <v>252</v>
      </c>
      <c r="E56" s="519">
        <f t="shared" si="10"/>
        <v>406</v>
      </c>
      <c r="F56" s="520" t="s">
        <v>253</v>
      </c>
      <c r="G56" s="519">
        <f t="shared" si="11"/>
        <v>382</v>
      </c>
      <c r="H56" s="521" t="s">
        <v>247</v>
      </c>
      <c r="I56" s="519" t="s">
        <v>24</v>
      </c>
      <c r="J56" s="519" t="s">
        <v>24</v>
      </c>
      <c r="K56" s="519" t="s">
        <v>254</v>
      </c>
      <c r="L56" s="544" t="s">
        <v>255</v>
      </c>
      <c r="M56" s="523" t="s">
        <v>256</v>
      </c>
      <c r="N56" s="524" t="s">
        <v>237</v>
      </c>
      <c r="O56" s="523"/>
      <c r="P56" s="545" t="s">
        <v>257</v>
      </c>
      <c r="Q56" s="526">
        <f>1</f>
        <v>1</v>
      </c>
      <c r="R56" s="527"/>
      <c r="T56" s="529" t="s">
        <v>23</v>
      </c>
      <c r="U56" s="530"/>
      <c r="X56" s="531">
        <v>16.957803726196289</v>
      </c>
      <c r="Y56" s="531">
        <f t="shared" ref="Y56:Y61" si="12">IF(X56="","",X56*Q56)</f>
        <v>16.957803726196289</v>
      </c>
      <c r="Z56" s="527" t="str">
        <f t="shared" ref="Z56:Z61" si="13">IF(T56="yes",Y56,"")</f>
        <v/>
      </c>
    </row>
    <row r="57" spans="1:26" s="528" customFormat="1" ht="255" hidden="1" customHeight="1">
      <c r="A57" s="515">
        <f>A56+1</f>
        <v>14</v>
      </c>
      <c r="B57" s="516" t="s">
        <v>258</v>
      </c>
      <c r="C57" s="517" t="s">
        <v>259</v>
      </c>
      <c r="D57" s="518" t="s">
        <v>260</v>
      </c>
      <c r="E57" s="519">
        <f t="shared" si="10"/>
        <v>336</v>
      </c>
      <c r="F57" s="520" t="s">
        <v>261</v>
      </c>
      <c r="G57" s="519">
        <f t="shared" si="11"/>
        <v>328</v>
      </c>
      <c r="H57" s="521" t="s">
        <v>247</v>
      </c>
      <c r="I57" s="519" t="s">
        <v>24</v>
      </c>
      <c r="J57" s="519" t="s">
        <v>24</v>
      </c>
      <c r="K57" s="519" t="s">
        <v>262</v>
      </c>
      <c r="L57" s="544" t="s">
        <v>263</v>
      </c>
      <c r="M57" s="523" t="s">
        <v>264</v>
      </c>
      <c r="N57" s="524" t="s">
        <v>237</v>
      </c>
      <c r="O57" s="523"/>
      <c r="P57" s="545" t="s">
        <v>257</v>
      </c>
      <c r="Q57" s="526">
        <f>1</f>
        <v>1</v>
      </c>
      <c r="R57" s="527"/>
      <c r="T57" s="529" t="s">
        <v>23</v>
      </c>
      <c r="U57" s="530"/>
      <c r="X57" s="531">
        <v>11.02202892303467</v>
      </c>
      <c r="Y57" s="531">
        <f t="shared" si="12"/>
        <v>11.02202892303467</v>
      </c>
      <c r="Z57" s="527" t="str">
        <f t="shared" si="13"/>
        <v/>
      </c>
    </row>
    <row r="58" spans="1:26" s="144" customFormat="1" ht="187" customHeight="1">
      <c r="A58" s="14">
        <f>A57+1</f>
        <v>15</v>
      </c>
      <c r="B58" s="240" t="s">
        <v>265</v>
      </c>
      <c r="C58" s="239" t="s">
        <v>265</v>
      </c>
      <c r="D58" s="15" t="s">
        <v>266</v>
      </c>
      <c r="E58" s="23">
        <f t="shared" si="10"/>
        <v>180</v>
      </c>
      <c r="F58" s="476" t="s">
        <v>267</v>
      </c>
      <c r="G58" s="23">
        <f t="shared" si="11"/>
        <v>152</v>
      </c>
      <c r="H58" s="21" t="s">
        <v>37</v>
      </c>
      <c r="I58" s="24" t="s">
        <v>24</v>
      </c>
      <c r="J58" s="24" t="s">
        <v>24</v>
      </c>
      <c r="K58" s="20" t="s">
        <v>38</v>
      </c>
      <c r="L58" s="22" t="s">
        <v>268</v>
      </c>
      <c r="M58" s="78" t="s">
        <v>24</v>
      </c>
      <c r="N58" s="38" t="s">
        <v>237</v>
      </c>
      <c r="O58" s="114"/>
      <c r="P58" s="25"/>
      <c r="Q58" s="276">
        <f>1</f>
        <v>1</v>
      </c>
      <c r="R58" s="138"/>
      <c r="T58" s="146" t="s">
        <v>23</v>
      </c>
      <c r="U58" s="145"/>
      <c r="X58" s="275">
        <v>9.9618663787841797</v>
      </c>
      <c r="Y58" s="275">
        <f t="shared" si="12"/>
        <v>9.9618663787841797</v>
      </c>
      <c r="Z58" s="138" t="str">
        <f t="shared" si="13"/>
        <v/>
      </c>
    </row>
    <row r="59" spans="1:26" s="144" customFormat="1" ht="171" customHeight="1" thickBot="1">
      <c r="A59" s="14">
        <f>A58+1</f>
        <v>16</v>
      </c>
      <c r="B59" s="237" t="s">
        <v>269</v>
      </c>
      <c r="C59" s="238" t="s">
        <v>269</v>
      </c>
      <c r="D59" s="27" t="s">
        <v>270</v>
      </c>
      <c r="E59" s="23">
        <f t="shared" si="10"/>
        <v>133</v>
      </c>
      <c r="F59" s="478" t="s">
        <v>271</v>
      </c>
      <c r="G59" s="23">
        <f t="shared" si="11"/>
        <v>147</v>
      </c>
      <c r="H59" s="21" t="s">
        <v>37</v>
      </c>
      <c r="I59" s="23" t="s">
        <v>24</v>
      </c>
      <c r="J59" s="23" t="s">
        <v>24</v>
      </c>
      <c r="K59" s="20" t="s">
        <v>38</v>
      </c>
      <c r="L59" s="22" t="s">
        <v>272</v>
      </c>
      <c r="M59" s="78" t="s">
        <v>24</v>
      </c>
      <c r="N59" s="38" t="s">
        <v>237</v>
      </c>
      <c r="O59" s="653" t="s">
        <v>273</v>
      </c>
      <c r="P59" s="10"/>
      <c r="Q59" s="276">
        <f>1</f>
        <v>1</v>
      </c>
      <c r="R59" s="138"/>
      <c r="T59" s="146" t="s">
        <v>23</v>
      </c>
      <c r="U59" s="145"/>
      <c r="X59" s="275">
        <v>7.02484130859375</v>
      </c>
      <c r="Y59" s="275">
        <f t="shared" si="12"/>
        <v>7.02484130859375</v>
      </c>
      <c r="Z59" s="138" t="str">
        <f t="shared" si="13"/>
        <v/>
      </c>
    </row>
    <row r="60" spans="1:26" s="428" customFormat="1" ht="17" customHeight="1" thickBot="1">
      <c r="A60" s="663" t="s">
        <v>274</v>
      </c>
      <c r="B60" s="664"/>
      <c r="C60" s="664"/>
      <c r="D60" s="664"/>
      <c r="E60" s="664"/>
      <c r="F60" s="664"/>
      <c r="G60" s="664"/>
      <c r="H60" s="664"/>
      <c r="I60" s="664"/>
      <c r="J60" s="664"/>
      <c r="K60" s="664"/>
      <c r="L60" s="664"/>
      <c r="M60" s="664"/>
      <c r="N60" s="664"/>
      <c r="O60" s="664"/>
      <c r="P60" s="665"/>
      <c r="Q60" s="271"/>
      <c r="R60" s="439"/>
      <c r="T60" s="437"/>
      <c r="U60" s="440"/>
      <c r="X60" s="274"/>
      <c r="Y60" s="274" t="str">
        <f t="shared" si="12"/>
        <v/>
      </c>
      <c r="Z60" s="439" t="str">
        <f t="shared" si="13"/>
        <v/>
      </c>
    </row>
    <row r="61" spans="1:26" s="144" customFormat="1">
      <c r="A61" s="193"/>
      <c r="B61" s="193"/>
      <c r="C61" s="193"/>
      <c r="D61" s="103"/>
      <c r="E61" s="193"/>
      <c r="F61" s="193"/>
      <c r="G61" s="193"/>
      <c r="H61" s="193"/>
      <c r="I61" s="193"/>
      <c r="J61" s="193"/>
      <c r="K61" s="193"/>
      <c r="L61" s="193"/>
      <c r="M61" s="84"/>
      <c r="N61" s="193"/>
      <c r="O61" s="193"/>
      <c r="P61" s="51"/>
      <c r="Q61" s="276">
        <f>1</f>
        <v>1</v>
      </c>
      <c r="R61" s="138"/>
      <c r="T61" s="146"/>
      <c r="U61" s="145"/>
      <c r="X61" s="275"/>
      <c r="Y61" s="275" t="str">
        <f t="shared" si="12"/>
        <v/>
      </c>
      <c r="Z61" s="138" t="str">
        <f t="shared" si="13"/>
        <v/>
      </c>
    </row>
    <row r="62" spans="1:26" s="144" customFormat="1" ht="164.5" customHeight="1">
      <c r="A62" s="546"/>
      <c r="B62" s="533" t="s">
        <v>275</v>
      </c>
      <c r="C62" s="193"/>
      <c r="D62" s="547" t="s">
        <v>276</v>
      </c>
      <c r="E62" s="548"/>
      <c r="F62" s="549" t="s">
        <v>277</v>
      </c>
      <c r="G62" s="548"/>
      <c r="H62" s="548" t="s">
        <v>37</v>
      </c>
      <c r="I62" s="548"/>
      <c r="J62" s="548"/>
      <c r="K62" s="548"/>
      <c r="L62" s="654" t="s">
        <v>278</v>
      </c>
      <c r="M62" s="551"/>
      <c r="N62" s="550" t="s">
        <v>279</v>
      </c>
      <c r="O62" s="552"/>
      <c r="P62" s="51"/>
      <c r="Q62" s="276"/>
      <c r="R62" s="138"/>
      <c r="T62" s="146"/>
      <c r="U62" s="145"/>
      <c r="X62" s="275"/>
      <c r="Y62" s="275"/>
      <c r="Z62" s="138"/>
    </row>
    <row r="63" spans="1:26" s="144" customFormat="1" ht="409.5" customHeight="1">
      <c r="A63" s="96">
        <f>A59+1</f>
        <v>17</v>
      </c>
      <c r="B63" s="234" t="s">
        <v>280</v>
      </c>
      <c r="C63" s="143" t="s">
        <v>280</v>
      </c>
      <c r="D63" s="142" t="s">
        <v>281</v>
      </c>
      <c r="E63" s="141">
        <f>LEN(D63)</f>
        <v>1204</v>
      </c>
      <c r="F63" s="419" t="s">
        <v>282</v>
      </c>
      <c r="G63" s="141">
        <f>LEN(F63)</f>
        <v>1108</v>
      </c>
      <c r="H63" s="143" t="s">
        <v>37</v>
      </c>
      <c r="I63" s="141" t="s">
        <v>24</v>
      </c>
      <c r="J63" s="141" t="s">
        <v>24</v>
      </c>
      <c r="K63" s="141" t="s">
        <v>283</v>
      </c>
      <c r="L63" s="140" t="s">
        <v>284</v>
      </c>
      <c r="M63" s="219" t="s">
        <v>24</v>
      </c>
      <c r="N63" s="147" t="s">
        <v>285</v>
      </c>
      <c r="O63" s="52" t="s">
        <v>286</v>
      </c>
      <c r="P63" s="51"/>
      <c r="Q63" s="271">
        <f>1</f>
        <v>1</v>
      </c>
      <c r="R63" s="138"/>
      <c r="T63" s="437" t="s">
        <v>33</v>
      </c>
      <c r="U63" s="145"/>
      <c r="X63" s="274">
        <v>31.888334274291989</v>
      </c>
      <c r="Y63" s="274">
        <f t="shared" ref="Y63:Y99" si="14">IF(X63="","",X63*Q63)</f>
        <v>31.888334274291989</v>
      </c>
      <c r="Z63" s="138">
        <f t="shared" ref="Z63:Z99" si="15">IF(T63="yes",Y63,"")</f>
        <v>31.888334274291989</v>
      </c>
    </row>
    <row r="64" spans="1:26" s="144" customFormat="1" ht="136" customHeight="1">
      <c r="A64" s="96"/>
      <c r="B64" s="234" t="s">
        <v>287</v>
      </c>
      <c r="C64" s="245" t="s">
        <v>287</v>
      </c>
      <c r="D64" s="148" t="s">
        <v>288</v>
      </c>
      <c r="E64" s="141">
        <f>LEN(D64)</f>
        <v>143</v>
      </c>
      <c r="F64" s="419" t="s">
        <v>289</v>
      </c>
      <c r="G64" s="141">
        <f>LEN(F64)</f>
        <v>123</v>
      </c>
      <c r="H64" s="143" t="s">
        <v>37</v>
      </c>
      <c r="I64" s="141" t="s">
        <v>24</v>
      </c>
      <c r="J64" s="141" t="s">
        <v>24</v>
      </c>
      <c r="K64" s="141" t="s">
        <v>38</v>
      </c>
      <c r="L64" s="140" t="s">
        <v>290</v>
      </c>
      <c r="M64" s="219" t="s">
        <v>24</v>
      </c>
      <c r="N64" s="147" t="s">
        <v>291</v>
      </c>
      <c r="O64" s="52" t="s">
        <v>292</v>
      </c>
      <c r="P64" s="51"/>
      <c r="Q64" s="271">
        <f>1</f>
        <v>1</v>
      </c>
      <c r="R64" s="138"/>
      <c r="T64" s="437" t="s">
        <v>33</v>
      </c>
      <c r="U64" s="145"/>
      <c r="X64" s="274">
        <v>8</v>
      </c>
      <c r="Y64" s="274">
        <f t="shared" si="14"/>
        <v>8</v>
      </c>
      <c r="Z64" s="138">
        <f t="shared" si="15"/>
        <v>8</v>
      </c>
    </row>
    <row r="65" spans="1:16370" s="144" customFormat="1" ht="153" customHeight="1">
      <c r="A65" s="96"/>
      <c r="B65" s="234" t="s">
        <v>293</v>
      </c>
      <c r="C65" s="245" t="s">
        <v>293</v>
      </c>
      <c r="D65" s="148" t="s">
        <v>294</v>
      </c>
      <c r="E65" s="141">
        <f>LEN(D65)</f>
        <v>170</v>
      </c>
      <c r="F65" s="419" t="s">
        <v>295</v>
      </c>
      <c r="G65" s="141">
        <f>LEN(F65)</f>
        <v>132</v>
      </c>
      <c r="H65" s="143" t="s">
        <v>37</v>
      </c>
      <c r="I65" s="141" t="s">
        <v>24</v>
      </c>
      <c r="J65" s="141" t="s">
        <v>24</v>
      </c>
      <c r="K65" s="141" t="s">
        <v>38</v>
      </c>
      <c r="L65" s="140" t="s">
        <v>290</v>
      </c>
      <c r="M65" s="219" t="s">
        <v>24</v>
      </c>
      <c r="N65" s="147" t="s">
        <v>296</v>
      </c>
      <c r="O65" s="52" t="s">
        <v>292</v>
      </c>
      <c r="P65" s="51"/>
      <c r="Q65" s="271">
        <f>1</f>
        <v>1</v>
      </c>
      <c r="R65" s="138"/>
      <c r="T65" s="437" t="s">
        <v>33</v>
      </c>
      <c r="U65" s="145"/>
      <c r="X65" s="274">
        <v>8</v>
      </c>
      <c r="Y65" s="274">
        <f t="shared" si="14"/>
        <v>8</v>
      </c>
      <c r="Z65" s="138">
        <f t="shared" si="15"/>
        <v>8</v>
      </c>
    </row>
    <row r="66" spans="1:16370" s="144" customFormat="1" ht="153" customHeight="1">
      <c r="A66" s="96"/>
      <c r="B66" s="234" t="s">
        <v>297</v>
      </c>
      <c r="C66" s="245" t="s">
        <v>297</v>
      </c>
      <c r="D66" s="148" t="s">
        <v>298</v>
      </c>
      <c r="E66" s="141">
        <f>LEN(D66)</f>
        <v>176</v>
      </c>
      <c r="F66" s="419" t="s">
        <v>299</v>
      </c>
      <c r="G66" s="141">
        <f>LEN(F68)</f>
        <v>207</v>
      </c>
      <c r="H66" s="143" t="s">
        <v>37</v>
      </c>
      <c r="I66" s="141" t="s">
        <v>24</v>
      </c>
      <c r="J66" s="141" t="s">
        <v>24</v>
      </c>
      <c r="K66" s="141" t="s">
        <v>38</v>
      </c>
      <c r="L66" s="140" t="s">
        <v>290</v>
      </c>
      <c r="M66" s="219" t="s">
        <v>24</v>
      </c>
      <c r="N66" s="147" t="s">
        <v>300</v>
      </c>
      <c r="O66" s="52" t="s">
        <v>292</v>
      </c>
      <c r="P66" s="51"/>
      <c r="Q66" s="271">
        <f>1</f>
        <v>1</v>
      </c>
      <c r="R66" s="138"/>
      <c r="T66" s="437" t="s">
        <v>33</v>
      </c>
      <c r="U66" s="145"/>
      <c r="X66" s="274">
        <v>8</v>
      </c>
      <c r="Y66" s="274">
        <f t="shared" si="14"/>
        <v>8</v>
      </c>
      <c r="Z66" s="138">
        <f t="shared" si="15"/>
        <v>8</v>
      </c>
    </row>
    <row r="67" spans="1:16370" s="144" customFormat="1">
      <c r="A67" s="96"/>
      <c r="B67" s="262"/>
      <c r="C67" s="267"/>
      <c r="D67" s="268"/>
      <c r="E67" s="103"/>
      <c r="G67" s="103"/>
      <c r="H67" s="97"/>
      <c r="I67" s="103"/>
      <c r="J67" s="103"/>
      <c r="K67" s="103"/>
      <c r="L67" s="84"/>
      <c r="M67" s="60"/>
      <c r="N67" s="172"/>
      <c r="O67" s="172"/>
      <c r="P67" s="51"/>
      <c r="Q67" s="276">
        <f>1</f>
        <v>1</v>
      </c>
      <c r="R67" s="138"/>
      <c r="T67" s="146"/>
      <c r="U67" s="145"/>
      <c r="X67" s="275"/>
      <c r="Y67" s="275" t="str">
        <f t="shared" si="14"/>
        <v/>
      </c>
      <c r="Z67" s="138" t="str">
        <f t="shared" si="15"/>
        <v/>
      </c>
    </row>
    <row r="68" spans="1:16370" s="144" customFormat="1" ht="136" hidden="1" customHeight="1">
      <c r="A68" s="14">
        <v>18</v>
      </c>
      <c r="B68" s="235" t="s">
        <v>301</v>
      </c>
      <c r="C68" s="17" t="s">
        <v>301</v>
      </c>
      <c r="D68" s="22" t="s">
        <v>302</v>
      </c>
      <c r="E68" s="20">
        <f>LEN(D68)</f>
        <v>237</v>
      </c>
      <c r="F68" s="479" t="s">
        <v>303</v>
      </c>
      <c r="G68" s="20">
        <f>LEN(F70)</f>
        <v>170</v>
      </c>
      <c r="H68" s="20" t="s">
        <v>128</v>
      </c>
      <c r="I68" s="20" t="s">
        <v>24</v>
      </c>
      <c r="J68" s="20" t="s">
        <v>24</v>
      </c>
      <c r="K68" s="20" t="s">
        <v>27</v>
      </c>
      <c r="L68" s="31" t="s">
        <v>304</v>
      </c>
      <c r="M68" s="78" t="s">
        <v>24</v>
      </c>
      <c r="N68" s="373" t="s">
        <v>305</v>
      </c>
      <c r="O68" s="32"/>
      <c r="P68" s="669" t="s">
        <v>306</v>
      </c>
      <c r="Q68" s="276">
        <f>1</f>
        <v>1</v>
      </c>
      <c r="R68" s="138"/>
      <c r="T68" s="146" t="s">
        <v>23</v>
      </c>
      <c r="U68" s="145"/>
      <c r="X68" s="275">
        <v>31.963766098022461</v>
      </c>
      <c r="Y68" s="275">
        <f t="shared" si="14"/>
        <v>31.963766098022461</v>
      </c>
      <c r="Z68" s="138" t="str">
        <f t="shared" si="15"/>
        <v/>
      </c>
    </row>
    <row r="69" spans="1:16370" s="144" customFormat="1" ht="119" hidden="1" customHeight="1">
      <c r="A69" s="14">
        <v>18</v>
      </c>
      <c r="B69" s="235" t="s">
        <v>307</v>
      </c>
      <c r="C69" s="244" t="s">
        <v>307</v>
      </c>
      <c r="D69" s="22" t="s">
        <v>308</v>
      </c>
      <c r="E69" s="20">
        <f>LEN(D69)</f>
        <v>256</v>
      </c>
      <c r="F69" s="479" t="s">
        <v>309</v>
      </c>
      <c r="G69" s="20">
        <f>LEN(F71)</f>
        <v>166</v>
      </c>
      <c r="H69" s="33" t="s">
        <v>37</v>
      </c>
      <c r="I69" s="16" t="s">
        <v>24</v>
      </c>
      <c r="J69" s="16" t="s">
        <v>24</v>
      </c>
      <c r="K69" s="16" t="s">
        <v>38</v>
      </c>
      <c r="L69" s="34" t="s">
        <v>310</v>
      </c>
      <c r="M69" s="78" t="s">
        <v>24</v>
      </c>
      <c r="N69" s="363" t="s">
        <v>311</v>
      </c>
      <c r="O69" s="35"/>
      <c r="P69" s="668"/>
      <c r="Q69" s="276">
        <f>1</f>
        <v>1</v>
      </c>
      <c r="R69" s="138"/>
      <c r="T69" s="146" t="s">
        <v>23</v>
      </c>
      <c r="U69" s="145"/>
      <c r="X69" s="275">
        <v>2.2273674011230469</v>
      </c>
      <c r="Y69" s="275">
        <f t="shared" si="14"/>
        <v>2.2273674011230469</v>
      </c>
      <c r="Z69" s="138" t="str">
        <f t="shared" si="15"/>
        <v/>
      </c>
    </row>
    <row r="70" spans="1:16370" s="144" customFormat="1" ht="170" customHeight="1">
      <c r="A70" s="58">
        <v>19</v>
      </c>
      <c r="B70" s="376" t="s">
        <v>312</v>
      </c>
      <c r="C70" s="377" t="s">
        <v>312</v>
      </c>
      <c r="D70" s="57" t="s">
        <v>313</v>
      </c>
      <c r="E70" s="16">
        <f>LEN(D70)</f>
        <v>181</v>
      </c>
      <c r="F70" s="479" t="s">
        <v>314</v>
      </c>
      <c r="G70" s="16">
        <f>LEN(F72)</f>
        <v>0</v>
      </c>
      <c r="H70" s="17" t="s">
        <v>37</v>
      </c>
      <c r="I70" s="16" t="s">
        <v>24</v>
      </c>
      <c r="J70" s="16" t="s">
        <v>24</v>
      </c>
      <c r="K70" s="16" t="s">
        <v>38</v>
      </c>
      <c r="L70" s="34" t="s">
        <v>315</v>
      </c>
      <c r="M70" s="78" t="s">
        <v>24</v>
      </c>
      <c r="N70" s="362" t="s">
        <v>316</v>
      </c>
      <c r="O70" s="30" t="s">
        <v>317</v>
      </c>
      <c r="P70" s="51"/>
      <c r="Q70" s="276">
        <f>1</f>
        <v>1</v>
      </c>
      <c r="R70" s="138"/>
      <c r="T70" s="146" t="s">
        <v>23</v>
      </c>
      <c r="U70" s="145"/>
      <c r="X70" s="275">
        <v>4.7874016761779794</v>
      </c>
      <c r="Y70" s="275">
        <f t="shared" si="14"/>
        <v>4.7874016761779794</v>
      </c>
      <c r="Z70" s="138" t="str">
        <f t="shared" si="15"/>
        <v/>
      </c>
    </row>
    <row r="71" spans="1:16370" s="144" customFormat="1" ht="153" hidden="1" customHeight="1">
      <c r="A71" s="26">
        <v>20</v>
      </c>
      <c r="B71" s="240" t="s">
        <v>318</v>
      </c>
      <c r="C71" s="244" t="s">
        <v>318</v>
      </c>
      <c r="D71" s="37" t="s">
        <v>319</v>
      </c>
      <c r="E71" s="24">
        <f>LEN(D71)</f>
        <v>215</v>
      </c>
      <c r="F71" s="479" t="s">
        <v>320</v>
      </c>
      <c r="G71" s="24">
        <f>LEN(F73)</f>
        <v>261</v>
      </c>
      <c r="H71" s="36" t="s">
        <v>37</v>
      </c>
      <c r="I71" s="20" t="s">
        <v>24</v>
      </c>
      <c r="J71" s="20" t="s">
        <v>24</v>
      </c>
      <c r="K71" s="20" t="s">
        <v>38</v>
      </c>
      <c r="L71" s="22" t="s">
        <v>317</v>
      </c>
      <c r="M71" s="78" t="s">
        <v>24</v>
      </c>
      <c r="N71" s="31" t="s">
        <v>321</v>
      </c>
      <c r="O71" s="361"/>
      <c r="P71" s="10"/>
      <c r="Q71" s="276">
        <f>1</f>
        <v>1</v>
      </c>
      <c r="R71" s="138"/>
      <c r="S71" s="499"/>
      <c r="T71" s="146" t="s">
        <v>23</v>
      </c>
      <c r="U71" s="145"/>
      <c r="V71" s="499"/>
      <c r="W71" s="499"/>
      <c r="X71" s="275">
        <v>20.918367385864261</v>
      </c>
      <c r="Y71" s="275">
        <f t="shared" si="14"/>
        <v>20.918367385864261</v>
      </c>
      <c r="Z71" s="138" t="str">
        <f t="shared" si="15"/>
        <v/>
      </c>
      <c r="AA71" s="499"/>
      <c r="AB71" s="499"/>
      <c r="AC71" s="499"/>
      <c r="AD71" s="499"/>
      <c r="AE71" s="499"/>
      <c r="AF71" s="499"/>
      <c r="AG71" s="499"/>
      <c r="AH71" s="499"/>
      <c r="AI71" s="499"/>
      <c r="AJ71" s="499"/>
      <c r="AK71" s="499"/>
      <c r="AL71" s="499"/>
      <c r="AM71" s="499"/>
      <c r="AN71" s="499"/>
      <c r="AO71" s="499"/>
      <c r="AP71" s="499"/>
      <c r="AQ71" s="499"/>
      <c r="AR71" s="499"/>
      <c r="AS71" s="499"/>
      <c r="AT71" s="499"/>
      <c r="AU71" s="499"/>
      <c r="AV71" s="499"/>
      <c r="AW71" s="499"/>
      <c r="AX71" s="499"/>
      <c r="AY71" s="499"/>
      <c r="AZ71" s="499"/>
      <c r="BA71" s="499"/>
      <c r="BB71" s="499"/>
      <c r="BC71" s="499"/>
      <c r="BD71" s="499"/>
      <c r="BE71" s="499"/>
      <c r="BF71" s="499"/>
      <c r="BG71" s="499"/>
      <c r="BH71" s="499"/>
      <c r="BI71" s="499"/>
      <c r="BJ71" s="499"/>
      <c r="BK71" s="499"/>
      <c r="BL71" s="499"/>
      <c r="BM71" s="499"/>
      <c r="BN71" s="499"/>
      <c r="BO71" s="499"/>
      <c r="BP71" s="499"/>
      <c r="BQ71" s="499"/>
      <c r="BR71" s="499"/>
      <c r="BS71" s="499"/>
      <c r="BT71" s="499"/>
      <c r="BU71" s="499"/>
      <c r="BV71" s="499"/>
      <c r="BW71" s="499"/>
      <c r="BX71" s="499"/>
      <c r="BY71" s="499"/>
      <c r="BZ71" s="499"/>
      <c r="CA71" s="499"/>
      <c r="CB71" s="499"/>
      <c r="CC71" s="499"/>
      <c r="CD71" s="499"/>
      <c r="CE71" s="499"/>
      <c r="CF71" s="499"/>
      <c r="CG71" s="499"/>
      <c r="CH71" s="499"/>
      <c r="CI71" s="499"/>
      <c r="CJ71" s="499"/>
      <c r="CK71" s="499"/>
      <c r="CL71" s="499"/>
      <c r="CM71" s="499"/>
      <c r="CN71" s="499"/>
      <c r="CO71" s="499"/>
      <c r="CP71" s="499"/>
      <c r="CQ71" s="499"/>
      <c r="CR71" s="499"/>
      <c r="CS71" s="499"/>
      <c r="CT71" s="499"/>
      <c r="CU71" s="499"/>
      <c r="CV71" s="499"/>
      <c r="CW71" s="499"/>
      <c r="CX71" s="499"/>
      <c r="CY71" s="499"/>
      <c r="CZ71" s="499"/>
      <c r="DA71" s="499"/>
      <c r="DB71" s="499"/>
      <c r="DC71" s="499"/>
      <c r="DD71" s="499"/>
      <c r="DE71" s="499"/>
      <c r="DF71" s="499"/>
      <c r="DG71" s="499"/>
      <c r="DH71" s="499"/>
      <c r="DI71" s="499"/>
      <c r="DJ71" s="499"/>
      <c r="DK71" s="499"/>
      <c r="DL71" s="499"/>
      <c r="DM71" s="499"/>
      <c r="DN71" s="499"/>
      <c r="DO71" s="499"/>
      <c r="DP71" s="499"/>
      <c r="DQ71" s="499"/>
      <c r="DR71" s="499"/>
      <c r="DS71" s="499"/>
      <c r="DT71" s="499"/>
      <c r="DU71" s="499"/>
      <c r="DV71" s="499"/>
      <c r="DW71" s="499"/>
      <c r="DX71" s="499"/>
      <c r="DY71" s="499"/>
      <c r="DZ71" s="499"/>
      <c r="EA71" s="499"/>
      <c r="EB71" s="499"/>
      <c r="EC71" s="499"/>
      <c r="ED71" s="499"/>
      <c r="EE71" s="499"/>
      <c r="EF71" s="499"/>
      <c r="EG71" s="499"/>
      <c r="EH71" s="499"/>
      <c r="EI71" s="499"/>
      <c r="EJ71" s="499"/>
      <c r="EK71" s="499"/>
      <c r="EL71" s="499"/>
      <c r="EM71" s="499"/>
      <c r="EN71" s="499"/>
      <c r="EO71" s="499"/>
      <c r="EP71" s="499"/>
      <c r="EQ71" s="499"/>
      <c r="ER71" s="499"/>
      <c r="ES71" s="499"/>
      <c r="ET71" s="499"/>
      <c r="EU71" s="499"/>
      <c r="EV71" s="499"/>
      <c r="EW71" s="499"/>
      <c r="EX71" s="499"/>
      <c r="EY71" s="499"/>
      <c r="EZ71" s="499"/>
      <c r="FA71" s="499"/>
      <c r="FB71" s="499"/>
      <c r="FC71" s="499"/>
      <c r="FD71" s="499"/>
      <c r="FE71" s="499"/>
      <c r="FF71" s="499"/>
      <c r="FG71" s="499"/>
      <c r="FH71" s="499"/>
      <c r="FI71" s="499"/>
      <c r="FJ71" s="499"/>
      <c r="FK71" s="499"/>
      <c r="FL71" s="499"/>
      <c r="FM71" s="499"/>
      <c r="FN71" s="499"/>
      <c r="FO71" s="499"/>
      <c r="FP71" s="499"/>
      <c r="FQ71" s="499"/>
      <c r="FR71" s="499"/>
      <c r="FS71" s="499"/>
      <c r="FT71" s="499"/>
      <c r="FU71" s="499"/>
      <c r="FV71" s="499"/>
      <c r="FW71" s="499"/>
      <c r="FX71" s="499"/>
      <c r="FY71" s="499"/>
      <c r="FZ71" s="499"/>
      <c r="GA71" s="499"/>
      <c r="GB71" s="499"/>
      <c r="GC71" s="499"/>
      <c r="GD71" s="499"/>
      <c r="GE71" s="499"/>
      <c r="GF71" s="499"/>
      <c r="GG71" s="499"/>
      <c r="GH71" s="499"/>
      <c r="GI71" s="499"/>
      <c r="GJ71" s="499"/>
      <c r="GK71" s="499"/>
      <c r="GL71" s="499"/>
      <c r="GM71" s="499"/>
      <c r="GN71" s="499"/>
      <c r="GO71" s="499"/>
      <c r="GP71" s="499"/>
      <c r="GQ71" s="499"/>
      <c r="GR71" s="499"/>
      <c r="GS71" s="499"/>
      <c r="GT71" s="499"/>
      <c r="GU71" s="499"/>
      <c r="GV71" s="499"/>
      <c r="GW71" s="499"/>
      <c r="GX71" s="499"/>
      <c r="GY71" s="499"/>
      <c r="GZ71" s="499"/>
      <c r="HA71" s="499"/>
      <c r="HB71" s="499"/>
      <c r="HC71" s="499"/>
      <c r="HD71" s="499"/>
      <c r="HE71" s="499"/>
      <c r="HF71" s="499"/>
      <c r="HG71" s="499"/>
      <c r="HH71" s="499"/>
      <c r="HI71" s="499"/>
      <c r="HJ71" s="499"/>
      <c r="HK71" s="499"/>
      <c r="HL71" s="499"/>
      <c r="HM71" s="499"/>
      <c r="HN71" s="499"/>
      <c r="HO71" s="499"/>
      <c r="HP71" s="499"/>
      <c r="HQ71" s="499"/>
      <c r="HR71" s="499"/>
      <c r="HS71" s="499"/>
      <c r="HT71" s="499"/>
      <c r="HU71" s="499"/>
      <c r="HV71" s="499"/>
      <c r="HW71" s="499"/>
      <c r="HX71" s="499"/>
      <c r="HY71" s="499"/>
      <c r="HZ71" s="499"/>
      <c r="IA71" s="499"/>
      <c r="IB71" s="499"/>
      <c r="IC71" s="499"/>
      <c r="ID71" s="499"/>
      <c r="IE71" s="499"/>
      <c r="IF71" s="499"/>
      <c r="IG71" s="499"/>
      <c r="IH71" s="499"/>
      <c r="II71" s="499"/>
      <c r="IJ71" s="499"/>
      <c r="IK71" s="499"/>
      <c r="IL71" s="499"/>
      <c r="IM71" s="499"/>
      <c r="IN71" s="499"/>
      <c r="IO71" s="499"/>
      <c r="IP71" s="499"/>
      <c r="IQ71" s="499"/>
      <c r="IR71" s="499"/>
      <c r="IS71" s="499"/>
      <c r="IT71" s="499"/>
      <c r="IU71" s="499"/>
      <c r="IV71" s="499"/>
      <c r="IW71" s="499"/>
      <c r="IX71" s="499"/>
      <c r="IY71" s="499"/>
      <c r="IZ71" s="499"/>
      <c r="JA71" s="499"/>
      <c r="JB71" s="499"/>
      <c r="JC71" s="499"/>
      <c r="JD71" s="499"/>
      <c r="JE71" s="499"/>
      <c r="JF71" s="499"/>
      <c r="JG71" s="499"/>
      <c r="JH71" s="499"/>
      <c r="JI71" s="499"/>
      <c r="JJ71" s="499"/>
      <c r="JK71" s="499"/>
      <c r="JL71" s="499"/>
      <c r="JM71" s="499"/>
      <c r="JN71" s="499"/>
      <c r="JO71" s="499"/>
      <c r="JP71" s="499"/>
      <c r="JQ71" s="499"/>
      <c r="JR71" s="499"/>
      <c r="JS71" s="499"/>
      <c r="JT71" s="499"/>
      <c r="JU71" s="499"/>
      <c r="JV71" s="499"/>
      <c r="JW71" s="499"/>
      <c r="JX71" s="499"/>
      <c r="JY71" s="499"/>
      <c r="JZ71" s="499"/>
      <c r="KA71" s="499"/>
      <c r="KB71" s="499"/>
      <c r="KC71" s="499"/>
      <c r="KD71" s="499"/>
      <c r="KE71" s="499"/>
      <c r="KF71" s="499"/>
      <c r="KG71" s="499"/>
      <c r="KH71" s="499"/>
      <c r="KI71" s="499"/>
      <c r="KJ71" s="499"/>
      <c r="KK71" s="499"/>
      <c r="KL71" s="499"/>
      <c r="KM71" s="499"/>
      <c r="KN71" s="499"/>
      <c r="KO71" s="499"/>
      <c r="KP71" s="499"/>
      <c r="KQ71" s="499"/>
      <c r="KR71" s="499"/>
      <c r="KS71" s="499"/>
      <c r="KT71" s="499"/>
      <c r="KU71" s="499"/>
      <c r="KV71" s="499"/>
      <c r="KW71" s="499"/>
      <c r="KX71" s="499"/>
      <c r="KY71" s="499"/>
      <c r="KZ71" s="499"/>
      <c r="LA71" s="499"/>
      <c r="LB71" s="499"/>
      <c r="LC71" s="499"/>
      <c r="LD71" s="499"/>
      <c r="LE71" s="499"/>
      <c r="LF71" s="499"/>
      <c r="LG71" s="499"/>
      <c r="LH71" s="499"/>
      <c r="LI71" s="499"/>
      <c r="LJ71" s="499"/>
      <c r="LK71" s="499"/>
      <c r="LL71" s="499"/>
      <c r="LM71" s="499"/>
      <c r="LN71" s="499"/>
      <c r="LO71" s="499"/>
      <c r="LP71" s="499"/>
      <c r="LQ71" s="499"/>
      <c r="LR71" s="499"/>
      <c r="LS71" s="499"/>
      <c r="LT71" s="499"/>
      <c r="LU71" s="499"/>
      <c r="LV71" s="499"/>
      <c r="LW71" s="499"/>
      <c r="LX71" s="499"/>
      <c r="LY71" s="499"/>
      <c r="LZ71" s="499"/>
      <c r="MA71" s="499"/>
      <c r="MB71" s="499"/>
      <c r="MC71" s="499"/>
      <c r="MD71" s="499"/>
      <c r="ME71" s="499"/>
      <c r="MF71" s="499"/>
      <c r="MG71" s="499"/>
      <c r="MH71" s="499"/>
      <c r="MI71" s="499"/>
      <c r="MJ71" s="499"/>
      <c r="MK71" s="499"/>
      <c r="ML71" s="499"/>
      <c r="MM71" s="499"/>
      <c r="MN71" s="499"/>
      <c r="MO71" s="499"/>
      <c r="MP71" s="499"/>
      <c r="MQ71" s="499"/>
      <c r="MR71" s="499"/>
      <c r="MS71" s="499"/>
      <c r="MT71" s="499"/>
      <c r="MU71" s="499"/>
      <c r="MV71" s="499"/>
      <c r="MW71" s="499"/>
      <c r="MX71" s="499"/>
      <c r="MY71" s="499"/>
      <c r="MZ71" s="499"/>
      <c r="NA71" s="499"/>
      <c r="NB71" s="499"/>
      <c r="NC71" s="499"/>
      <c r="ND71" s="499"/>
      <c r="NE71" s="499"/>
      <c r="NF71" s="499"/>
      <c r="NG71" s="499"/>
      <c r="NH71" s="499"/>
      <c r="NI71" s="499"/>
      <c r="NJ71" s="499"/>
      <c r="NK71" s="499"/>
      <c r="NL71" s="499"/>
      <c r="NM71" s="499"/>
      <c r="NN71" s="499"/>
      <c r="NO71" s="499"/>
      <c r="NP71" s="499"/>
      <c r="NQ71" s="499"/>
      <c r="NR71" s="499"/>
      <c r="NS71" s="499"/>
      <c r="NT71" s="499"/>
      <c r="NU71" s="499"/>
      <c r="NV71" s="499"/>
      <c r="NW71" s="499"/>
      <c r="NX71" s="499"/>
      <c r="NY71" s="499"/>
      <c r="NZ71" s="499"/>
      <c r="OA71" s="499"/>
      <c r="OB71" s="499"/>
      <c r="OC71" s="499"/>
      <c r="OD71" s="499"/>
      <c r="OE71" s="499"/>
      <c r="OF71" s="499"/>
      <c r="OG71" s="499"/>
      <c r="OH71" s="499"/>
      <c r="OI71" s="499"/>
      <c r="OJ71" s="499"/>
      <c r="OK71" s="499"/>
      <c r="OL71" s="499"/>
      <c r="OM71" s="499"/>
      <c r="ON71" s="499"/>
      <c r="OO71" s="499"/>
      <c r="OP71" s="499"/>
      <c r="OQ71" s="499"/>
      <c r="OR71" s="499"/>
      <c r="OS71" s="499"/>
      <c r="OT71" s="499"/>
      <c r="OU71" s="499"/>
      <c r="OV71" s="499"/>
      <c r="OW71" s="499"/>
      <c r="OX71" s="499"/>
      <c r="OY71" s="499"/>
      <c r="OZ71" s="499"/>
      <c r="PA71" s="499"/>
      <c r="PB71" s="499"/>
      <c r="PC71" s="499"/>
      <c r="PD71" s="499"/>
      <c r="PE71" s="499"/>
      <c r="PF71" s="499"/>
      <c r="PG71" s="499"/>
      <c r="PH71" s="499"/>
      <c r="PI71" s="499"/>
      <c r="PJ71" s="499"/>
      <c r="PK71" s="499"/>
      <c r="PL71" s="499"/>
      <c r="PM71" s="499"/>
      <c r="PN71" s="499"/>
      <c r="PO71" s="499"/>
      <c r="PP71" s="499"/>
      <c r="PQ71" s="499"/>
      <c r="PR71" s="499"/>
      <c r="PS71" s="499"/>
      <c r="PT71" s="499"/>
      <c r="PU71" s="499"/>
      <c r="PV71" s="499"/>
      <c r="PW71" s="499"/>
      <c r="PX71" s="499"/>
      <c r="PY71" s="499"/>
      <c r="PZ71" s="499"/>
      <c r="QA71" s="499"/>
      <c r="QB71" s="499"/>
      <c r="QC71" s="499"/>
      <c r="QD71" s="499"/>
      <c r="QE71" s="499"/>
      <c r="QF71" s="499"/>
      <c r="QG71" s="499"/>
      <c r="QH71" s="499"/>
      <c r="QI71" s="499"/>
      <c r="QJ71" s="499"/>
      <c r="QK71" s="499"/>
      <c r="QL71" s="499"/>
      <c r="QM71" s="499"/>
      <c r="QN71" s="499"/>
      <c r="QO71" s="499"/>
      <c r="QP71" s="499"/>
      <c r="QQ71" s="499"/>
      <c r="QR71" s="499"/>
      <c r="QS71" s="499"/>
      <c r="QT71" s="499"/>
      <c r="QU71" s="499"/>
      <c r="QV71" s="499"/>
      <c r="QW71" s="499"/>
      <c r="QX71" s="499"/>
      <c r="QY71" s="499"/>
      <c r="QZ71" s="499"/>
      <c r="RA71" s="499"/>
      <c r="RB71" s="499"/>
      <c r="RC71" s="499"/>
      <c r="RD71" s="499"/>
      <c r="RE71" s="499"/>
      <c r="RF71" s="499"/>
      <c r="RG71" s="499"/>
      <c r="RH71" s="499"/>
      <c r="RI71" s="499"/>
      <c r="RJ71" s="499"/>
      <c r="RK71" s="499"/>
      <c r="RL71" s="499"/>
      <c r="RM71" s="499"/>
      <c r="RN71" s="499"/>
      <c r="RO71" s="499"/>
      <c r="RP71" s="499"/>
      <c r="RQ71" s="499"/>
      <c r="RR71" s="499"/>
      <c r="RS71" s="499"/>
      <c r="RT71" s="499"/>
      <c r="RU71" s="499"/>
      <c r="RV71" s="499"/>
      <c r="RW71" s="499"/>
      <c r="RX71" s="499"/>
      <c r="RY71" s="499"/>
      <c r="RZ71" s="499"/>
      <c r="SA71" s="499"/>
      <c r="SB71" s="499"/>
      <c r="SC71" s="499"/>
      <c r="SD71" s="499"/>
      <c r="SE71" s="499"/>
      <c r="SF71" s="499"/>
      <c r="SG71" s="499"/>
      <c r="SH71" s="499"/>
      <c r="SI71" s="499"/>
      <c r="SJ71" s="499"/>
      <c r="SK71" s="499"/>
      <c r="SL71" s="499"/>
      <c r="SM71" s="499"/>
      <c r="SN71" s="499"/>
      <c r="SO71" s="499"/>
      <c r="SP71" s="499"/>
      <c r="SQ71" s="499"/>
      <c r="SR71" s="499"/>
      <c r="SS71" s="499"/>
      <c r="ST71" s="499"/>
      <c r="SU71" s="499"/>
      <c r="SV71" s="499"/>
      <c r="SW71" s="499"/>
      <c r="SX71" s="499"/>
      <c r="SY71" s="499"/>
      <c r="SZ71" s="499"/>
      <c r="TA71" s="499"/>
      <c r="TB71" s="499"/>
      <c r="TC71" s="499"/>
      <c r="TD71" s="499"/>
      <c r="TE71" s="499"/>
      <c r="TF71" s="499"/>
      <c r="TG71" s="499"/>
      <c r="TH71" s="499"/>
      <c r="TI71" s="499"/>
      <c r="TJ71" s="499"/>
      <c r="TK71" s="499"/>
      <c r="TL71" s="499"/>
      <c r="TM71" s="499"/>
      <c r="TN71" s="499"/>
      <c r="TO71" s="499"/>
      <c r="TP71" s="499"/>
      <c r="TQ71" s="499"/>
      <c r="TR71" s="499"/>
      <c r="TS71" s="499"/>
      <c r="TT71" s="499"/>
      <c r="TU71" s="499"/>
      <c r="TV71" s="499"/>
      <c r="TW71" s="499"/>
      <c r="TX71" s="499"/>
      <c r="TY71" s="499"/>
      <c r="TZ71" s="499"/>
      <c r="UA71" s="499"/>
      <c r="UB71" s="499"/>
      <c r="UC71" s="499"/>
      <c r="UD71" s="499"/>
      <c r="UE71" s="499"/>
      <c r="UF71" s="499"/>
      <c r="UG71" s="499"/>
      <c r="UH71" s="499"/>
      <c r="UI71" s="499"/>
      <c r="UJ71" s="499"/>
      <c r="UK71" s="499"/>
      <c r="UL71" s="499"/>
      <c r="UM71" s="499"/>
      <c r="UN71" s="499"/>
      <c r="UO71" s="499"/>
      <c r="UP71" s="499"/>
      <c r="UQ71" s="499"/>
      <c r="UR71" s="499"/>
      <c r="US71" s="499"/>
      <c r="UT71" s="499"/>
      <c r="UU71" s="499"/>
      <c r="UV71" s="499"/>
      <c r="UW71" s="499"/>
      <c r="UX71" s="499"/>
      <c r="UY71" s="499"/>
      <c r="UZ71" s="499"/>
      <c r="VA71" s="499"/>
      <c r="VB71" s="499"/>
      <c r="VC71" s="499"/>
      <c r="VD71" s="499"/>
      <c r="VE71" s="499"/>
      <c r="VF71" s="499"/>
      <c r="VG71" s="499"/>
      <c r="VH71" s="499"/>
      <c r="VI71" s="499"/>
      <c r="VJ71" s="499"/>
      <c r="VK71" s="499"/>
      <c r="VL71" s="499"/>
      <c r="VM71" s="499"/>
      <c r="VN71" s="499"/>
      <c r="VO71" s="499"/>
      <c r="VP71" s="499"/>
      <c r="VQ71" s="499"/>
      <c r="VR71" s="499"/>
      <c r="VS71" s="499"/>
      <c r="VT71" s="499"/>
      <c r="VU71" s="499"/>
      <c r="VV71" s="499"/>
      <c r="VW71" s="499"/>
      <c r="VX71" s="499"/>
      <c r="VY71" s="499"/>
      <c r="VZ71" s="499"/>
      <c r="WA71" s="499"/>
      <c r="WB71" s="499"/>
      <c r="WC71" s="499"/>
      <c r="WD71" s="499"/>
      <c r="WE71" s="499"/>
      <c r="WF71" s="499"/>
      <c r="WG71" s="499"/>
      <c r="WH71" s="499"/>
      <c r="WI71" s="499"/>
      <c r="WJ71" s="499"/>
      <c r="WK71" s="499"/>
      <c r="WL71" s="499"/>
      <c r="WM71" s="499"/>
      <c r="WN71" s="499"/>
      <c r="WO71" s="499"/>
      <c r="WP71" s="499"/>
      <c r="WQ71" s="499"/>
      <c r="WR71" s="499"/>
      <c r="WS71" s="499"/>
      <c r="WT71" s="499"/>
      <c r="WU71" s="499"/>
      <c r="WV71" s="499"/>
      <c r="WW71" s="499"/>
      <c r="WX71" s="499"/>
      <c r="WY71" s="499"/>
      <c r="WZ71" s="499"/>
      <c r="XA71" s="499"/>
      <c r="XB71" s="499"/>
      <c r="XC71" s="499"/>
      <c r="XD71" s="499"/>
      <c r="XE71" s="499"/>
      <c r="XF71" s="499"/>
      <c r="XG71" s="499"/>
      <c r="XH71" s="499"/>
      <c r="XI71" s="499"/>
      <c r="XJ71" s="499"/>
      <c r="XK71" s="499"/>
      <c r="XL71" s="499"/>
      <c r="XM71" s="499"/>
      <c r="XN71" s="499"/>
      <c r="XO71" s="499"/>
      <c r="XP71" s="499"/>
      <c r="XQ71" s="499"/>
      <c r="XR71" s="499"/>
      <c r="XS71" s="499"/>
      <c r="XT71" s="499"/>
      <c r="XU71" s="499"/>
      <c r="XV71" s="499"/>
      <c r="XW71" s="499"/>
      <c r="XX71" s="499"/>
      <c r="XY71" s="499"/>
      <c r="XZ71" s="499"/>
      <c r="YA71" s="499"/>
      <c r="YB71" s="499"/>
      <c r="YC71" s="499"/>
      <c r="YD71" s="499"/>
      <c r="YE71" s="499"/>
      <c r="YF71" s="499"/>
      <c r="YG71" s="499"/>
      <c r="YH71" s="499"/>
      <c r="YI71" s="499"/>
      <c r="YJ71" s="499"/>
      <c r="YK71" s="499"/>
      <c r="YL71" s="499"/>
      <c r="YM71" s="499"/>
      <c r="YN71" s="499"/>
      <c r="YO71" s="499"/>
      <c r="YP71" s="499"/>
      <c r="YQ71" s="499"/>
      <c r="YR71" s="499"/>
      <c r="YS71" s="499"/>
      <c r="YT71" s="499"/>
      <c r="YU71" s="499"/>
      <c r="YV71" s="499"/>
      <c r="YW71" s="499"/>
      <c r="YX71" s="499"/>
      <c r="YY71" s="499"/>
      <c r="YZ71" s="499"/>
      <c r="ZA71" s="499"/>
      <c r="ZB71" s="499"/>
      <c r="ZC71" s="499"/>
      <c r="ZD71" s="499"/>
      <c r="ZE71" s="499"/>
      <c r="ZF71" s="499"/>
      <c r="ZG71" s="499"/>
      <c r="ZH71" s="499"/>
      <c r="ZI71" s="499"/>
      <c r="ZJ71" s="499"/>
      <c r="ZK71" s="499"/>
      <c r="ZL71" s="499"/>
      <c r="ZM71" s="499"/>
      <c r="ZN71" s="499"/>
      <c r="ZO71" s="499"/>
      <c r="ZP71" s="499"/>
      <c r="ZQ71" s="499"/>
      <c r="ZR71" s="499"/>
      <c r="ZS71" s="499"/>
      <c r="ZT71" s="499"/>
      <c r="ZU71" s="499"/>
      <c r="ZV71" s="499"/>
      <c r="ZW71" s="499"/>
      <c r="ZX71" s="499"/>
      <c r="ZY71" s="499"/>
      <c r="ZZ71" s="499"/>
      <c r="AAA71" s="499"/>
      <c r="AAB71" s="499"/>
      <c r="AAC71" s="499"/>
      <c r="AAD71" s="499"/>
      <c r="AAE71" s="499"/>
      <c r="AAF71" s="499"/>
      <c r="AAG71" s="499"/>
      <c r="AAH71" s="499"/>
      <c r="AAI71" s="499"/>
      <c r="AAJ71" s="499"/>
      <c r="AAK71" s="499"/>
      <c r="AAL71" s="499"/>
      <c r="AAM71" s="499"/>
      <c r="AAN71" s="499"/>
      <c r="AAO71" s="499"/>
      <c r="AAP71" s="499"/>
      <c r="AAQ71" s="499"/>
      <c r="AAR71" s="499"/>
      <c r="AAS71" s="499"/>
      <c r="AAT71" s="499"/>
      <c r="AAU71" s="499"/>
      <c r="AAV71" s="499"/>
      <c r="AAW71" s="499"/>
      <c r="AAX71" s="499"/>
      <c r="AAY71" s="499"/>
      <c r="AAZ71" s="499"/>
      <c r="ABA71" s="499"/>
      <c r="ABB71" s="499"/>
      <c r="ABC71" s="499"/>
      <c r="ABD71" s="499"/>
      <c r="ABE71" s="499"/>
      <c r="ABF71" s="499"/>
      <c r="ABG71" s="499"/>
      <c r="ABH71" s="499"/>
      <c r="ABI71" s="499"/>
      <c r="ABJ71" s="499"/>
      <c r="ABK71" s="499"/>
      <c r="ABL71" s="499"/>
      <c r="ABM71" s="499"/>
      <c r="ABN71" s="499"/>
      <c r="ABO71" s="499"/>
      <c r="ABP71" s="499"/>
      <c r="ABQ71" s="499"/>
      <c r="ABR71" s="499"/>
      <c r="ABS71" s="499"/>
      <c r="ABT71" s="499"/>
      <c r="ABU71" s="499"/>
      <c r="ABV71" s="499"/>
      <c r="ABW71" s="499"/>
      <c r="ABX71" s="499"/>
      <c r="ABY71" s="499"/>
      <c r="ABZ71" s="499"/>
      <c r="ACA71" s="499"/>
      <c r="ACB71" s="499"/>
      <c r="ACC71" s="499"/>
      <c r="ACD71" s="499"/>
      <c r="ACE71" s="499"/>
      <c r="ACF71" s="499"/>
      <c r="ACG71" s="499"/>
      <c r="ACH71" s="499"/>
      <c r="ACI71" s="499"/>
      <c r="ACJ71" s="499"/>
      <c r="ACK71" s="499"/>
      <c r="ACL71" s="499"/>
      <c r="ACM71" s="499"/>
      <c r="ACN71" s="499"/>
      <c r="ACO71" s="499"/>
      <c r="ACP71" s="499"/>
      <c r="ACQ71" s="499"/>
      <c r="ACR71" s="499"/>
      <c r="ACS71" s="499"/>
      <c r="ACT71" s="499"/>
      <c r="ACU71" s="499"/>
      <c r="ACV71" s="499"/>
      <c r="ACW71" s="499"/>
      <c r="ACX71" s="499"/>
      <c r="ACY71" s="499"/>
      <c r="ACZ71" s="499"/>
      <c r="ADA71" s="499"/>
      <c r="ADB71" s="499"/>
      <c r="ADC71" s="499"/>
      <c r="ADD71" s="499"/>
      <c r="ADE71" s="499"/>
      <c r="ADF71" s="499"/>
      <c r="ADG71" s="499"/>
      <c r="ADH71" s="499"/>
      <c r="ADI71" s="499"/>
      <c r="ADJ71" s="499"/>
      <c r="ADK71" s="499"/>
      <c r="ADL71" s="499"/>
      <c r="ADM71" s="499"/>
      <c r="ADN71" s="499"/>
      <c r="ADO71" s="499"/>
      <c r="ADP71" s="499"/>
      <c r="ADQ71" s="499"/>
      <c r="ADR71" s="499"/>
      <c r="ADS71" s="499"/>
      <c r="ADT71" s="499"/>
      <c r="ADU71" s="499"/>
      <c r="ADV71" s="499"/>
      <c r="ADW71" s="499"/>
      <c r="ADX71" s="499"/>
      <c r="ADY71" s="499"/>
      <c r="ADZ71" s="499"/>
      <c r="AEA71" s="499"/>
      <c r="AEB71" s="499"/>
      <c r="AEC71" s="499"/>
      <c r="AED71" s="499"/>
      <c r="AEE71" s="499"/>
      <c r="AEF71" s="499"/>
      <c r="AEG71" s="499"/>
      <c r="AEH71" s="499"/>
      <c r="AEI71" s="499"/>
      <c r="AEJ71" s="499"/>
      <c r="AEK71" s="499"/>
      <c r="AEL71" s="499"/>
      <c r="AEM71" s="499"/>
      <c r="AEN71" s="499"/>
      <c r="AEO71" s="499"/>
      <c r="AEP71" s="499"/>
      <c r="AEQ71" s="499"/>
      <c r="AER71" s="499"/>
      <c r="AES71" s="499"/>
      <c r="AET71" s="499"/>
      <c r="AEU71" s="499"/>
      <c r="AEV71" s="499"/>
      <c r="AEW71" s="499"/>
      <c r="AEX71" s="499"/>
      <c r="AEY71" s="499"/>
      <c r="AEZ71" s="499"/>
      <c r="AFA71" s="499"/>
      <c r="AFB71" s="499"/>
      <c r="AFC71" s="499"/>
      <c r="AFD71" s="499"/>
      <c r="AFE71" s="499"/>
      <c r="AFF71" s="499"/>
      <c r="AFG71" s="499"/>
      <c r="AFH71" s="499"/>
      <c r="AFI71" s="499"/>
      <c r="AFJ71" s="499"/>
      <c r="AFK71" s="499"/>
      <c r="AFL71" s="499"/>
      <c r="AFM71" s="499"/>
      <c r="AFN71" s="499"/>
      <c r="AFO71" s="499"/>
      <c r="AFP71" s="499"/>
      <c r="AFQ71" s="499"/>
      <c r="AFR71" s="499"/>
      <c r="AFS71" s="499"/>
      <c r="AFT71" s="499"/>
      <c r="AFU71" s="499"/>
      <c r="AFV71" s="499"/>
      <c r="AFW71" s="499"/>
      <c r="AFX71" s="499"/>
      <c r="AFY71" s="499"/>
      <c r="AFZ71" s="499"/>
      <c r="AGA71" s="499"/>
      <c r="AGB71" s="499"/>
      <c r="AGC71" s="499"/>
      <c r="AGD71" s="499"/>
      <c r="AGE71" s="499"/>
      <c r="AGF71" s="499"/>
      <c r="AGG71" s="499"/>
      <c r="AGH71" s="499"/>
      <c r="AGI71" s="499"/>
      <c r="AGJ71" s="499"/>
      <c r="AGK71" s="499"/>
      <c r="AGL71" s="499"/>
      <c r="AGM71" s="499"/>
      <c r="AGN71" s="499"/>
      <c r="AGO71" s="499"/>
      <c r="AGP71" s="499"/>
      <c r="AGQ71" s="499"/>
      <c r="AGR71" s="499"/>
      <c r="AGS71" s="499"/>
      <c r="AGT71" s="499"/>
      <c r="AGU71" s="499"/>
      <c r="AGV71" s="499"/>
      <c r="AGW71" s="499"/>
      <c r="AGX71" s="499"/>
      <c r="AGY71" s="499"/>
      <c r="AGZ71" s="499"/>
      <c r="AHA71" s="499"/>
      <c r="AHB71" s="499"/>
      <c r="AHC71" s="499"/>
      <c r="AHD71" s="499"/>
      <c r="AHE71" s="499"/>
      <c r="AHF71" s="499"/>
      <c r="AHG71" s="499"/>
      <c r="AHH71" s="499"/>
      <c r="AHI71" s="499"/>
      <c r="AHJ71" s="499"/>
      <c r="AHK71" s="499"/>
      <c r="AHL71" s="499"/>
      <c r="AHM71" s="499"/>
      <c r="AHN71" s="499"/>
      <c r="AHO71" s="499"/>
      <c r="AHP71" s="499"/>
      <c r="AHQ71" s="499"/>
      <c r="AHR71" s="499"/>
      <c r="AHS71" s="499"/>
      <c r="AHT71" s="499"/>
      <c r="AHU71" s="499"/>
      <c r="AHV71" s="499"/>
      <c r="AHW71" s="499"/>
      <c r="AHX71" s="499"/>
      <c r="AHY71" s="499"/>
      <c r="AHZ71" s="499"/>
      <c r="AIA71" s="499"/>
      <c r="AIB71" s="499"/>
      <c r="AIC71" s="499"/>
      <c r="AID71" s="499"/>
      <c r="AIE71" s="499"/>
      <c r="AIF71" s="499"/>
      <c r="AIG71" s="499"/>
      <c r="AIH71" s="499"/>
      <c r="AII71" s="499"/>
      <c r="AIJ71" s="499"/>
      <c r="AIK71" s="499"/>
      <c r="AIL71" s="499"/>
      <c r="AIM71" s="499"/>
      <c r="AIN71" s="499"/>
      <c r="AIO71" s="499"/>
      <c r="AIP71" s="499"/>
      <c r="AIQ71" s="499"/>
      <c r="AIR71" s="499"/>
      <c r="AIS71" s="499"/>
      <c r="AIT71" s="499"/>
      <c r="AIU71" s="499"/>
      <c r="AIV71" s="499"/>
      <c r="AIW71" s="499"/>
      <c r="AIX71" s="499"/>
      <c r="AIY71" s="499"/>
      <c r="AIZ71" s="499"/>
      <c r="AJA71" s="499"/>
      <c r="AJB71" s="499"/>
      <c r="AJC71" s="499"/>
      <c r="AJD71" s="499"/>
      <c r="AJE71" s="499"/>
      <c r="AJF71" s="499"/>
      <c r="AJG71" s="499"/>
      <c r="AJH71" s="499"/>
      <c r="AJI71" s="499"/>
      <c r="AJJ71" s="499"/>
      <c r="AJK71" s="499"/>
      <c r="AJL71" s="499"/>
      <c r="AJM71" s="499"/>
      <c r="AJN71" s="499"/>
      <c r="AJO71" s="499"/>
      <c r="AJP71" s="499"/>
      <c r="AJQ71" s="499"/>
      <c r="AJR71" s="499"/>
      <c r="AJS71" s="499"/>
      <c r="AJT71" s="499"/>
      <c r="AJU71" s="499"/>
      <c r="AJV71" s="499"/>
      <c r="AJW71" s="499"/>
      <c r="AJX71" s="499"/>
      <c r="AJY71" s="499"/>
      <c r="AJZ71" s="499"/>
      <c r="AKA71" s="499"/>
      <c r="AKB71" s="499"/>
      <c r="AKC71" s="499"/>
      <c r="AKD71" s="499"/>
      <c r="AKE71" s="499"/>
      <c r="AKF71" s="499"/>
      <c r="AKG71" s="499"/>
      <c r="AKH71" s="499"/>
      <c r="AKI71" s="499"/>
      <c r="AKJ71" s="499"/>
      <c r="AKK71" s="499"/>
      <c r="AKL71" s="499"/>
      <c r="AKM71" s="499"/>
      <c r="AKN71" s="499"/>
      <c r="AKO71" s="499"/>
      <c r="AKP71" s="499"/>
      <c r="AKQ71" s="499"/>
      <c r="AKR71" s="499"/>
      <c r="AKS71" s="499"/>
      <c r="AKT71" s="499"/>
      <c r="AKU71" s="499"/>
      <c r="AKV71" s="499"/>
      <c r="AKW71" s="499"/>
      <c r="AKX71" s="499"/>
      <c r="AKY71" s="499"/>
      <c r="AKZ71" s="499"/>
      <c r="ALA71" s="499"/>
      <c r="ALB71" s="499"/>
      <c r="ALC71" s="499"/>
      <c r="ALD71" s="499"/>
      <c r="ALE71" s="499"/>
      <c r="ALF71" s="499"/>
      <c r="ALG71" s="499"/>
      <c r="ALH71" s="499"/>
      <c r="ALI71" s="499"/>
      <c r="ALJ71" s="499"/>
      <c r="ALK71" s="499"/>
      <c r="ALL71" s="499"/>
      <c r="ALM71" s="499"/>
      <c r="ALN71" s="499"/>
      <c r="ALO71" s="499"/>
      <c r="ALP71" s="499"/>
      <c r="ALQ71" s="499"/>
      <c r="ALR71" s="499"/>
      <c r="ALS71" s="499"/>
      <c r="ALT71" s="499"/>
      <c r="ALU71" s="499"/>
      <c r="ALV71" s="499"/>
      <c r="ALW71" s="499"/>
      <c r="ALX71" s="499"/>
      <c r="ALY71" s="499"/>
      <c r="ALZ71" s="499"/>
      <c r="AMA71" s="499"/>
      <c r="AMB71" s="499"/>
      <c r="AMC71" s="499"/>
      <c r="AMD71" s="499"/>
      <c r="AME71" s="499"/>
      <c r="AMF71" s="499"/>
      <c r="AMG71" s="499"/>
      <c r="AMH71" s="499"/>
      <c r="AMI71" s="499"/>
      <c r="AMJ71" s="499"/>
      <c r="AMK71" s="499"/>
      <c r="AML71" s="499"/>
      <c r="AMM71" s="499"/>
      <c r="AMN71" s="499"/>
      <c r="AMO71" s="499"/>
      <c r="AMP71" s="499"/>
      <c r="AMQ71" s="499"/>
      <c r="AMR71" s="499"/>
      <c r="AMS71" s="499"/>
      <c r="AMT71" s="499"/>
      <c r="AMU71" s="499"/>
      <c r="AMV71" s="499"/>
      <c r="AMW71" s="499"/>
      <c r="AMX71" s="499"/>
      <c r="AMY71" s="499"/>
      <c r="AMZ71" s="499"/>
      <c r="ANA71" s="499"/>
      <c r="ANB71" s="499"/>
      <c r="ANC71" s="499"/>
      <c r="AND71" s="499"/>
      <c r="ANE71" s="499"/>
      <c r="ANF71" s="499"/>
      <c r="ANG71" s="499"/>
      <c r="ANH71" s="499"/>
      <c r="ANI71" s="499"/>
      <c r="ANJ71" s="499"/>
      <c r="ANK71" s="499"/>
      <c r="ANL71" s="499"/>
      <c r="ANM71" s="499"/>
      <c r="ANN71" s="499"/>
      <c r="ANO71" s="499"/>
      <c r="ANP71" s="499"/>
      <c r="ANQ71" s="499"/>
      <c r="ANR71" s="499"/>
      <c r="ANS71" s="499"/>
      <c r="ANT71" s="499"/>
      <c r="ANU71" s="499"/>
      <c r="ANV71" s="499"/>
      <c r="ANW71" s="499"/>
      <c r="ANX71" s="499"/>
      <c r="ANY71" s="499"/>
      <c r="ANZ71" s="499"/>
      <c r="AOA71" s="499"/>
      <c r="AOB71" s="499"/>
      <c r="AOC71" s="499"/>
      <c r="AOD71" s="499"/>
      <c r="AOE71" s="499"/>
      <c r="AOF71" s="499"/>
      <c r="AOG71" s="499"/>
      <c r="AOH71" s="499"/>
      <c r="AOI71" s="499"/>
      <c r="AOJ71" s="499"/>
      <c r="AOK71" s="499"/>
      <c r="AOL71" s="499"/>
      <c r="AOM71" s="499"/>
      <c r="AON71" s="499"/>
      <c r="AOO71" s="499"/>
      <c r="AOP71" s="499"/>
      <c r="AOQ71" s="499"/>
      <c r="AOR71" s="499"/>
      <c r="AOS71" s="499"/>
      <c r="AOT71" s="499"/>
      <c r="AOU71" s="499"/>
      <c r="AOV71" s="499"/>
      <c r="AOW71" s="499"/>
      <c r="AOX71" s="499"/>
      <c r="AOY71" s="499"/>
      <c r="AOZ71" s="499"/>
      <c r="APA71" s="499"/>
      <c r="APB71" s="499"/>
      <c r="APC71" s="499"/>
      <c r="APD71" s="499"/>
      <c r="APE71" s="499"/>
      <c r="APF71" s="499"/>
      <c r="APG71" s="499"/>
      <c r="APH71" s="499"/>
      <c r="API71" s="499"/>
      <c r="APJ71" s="499"/>
      <c r="APK71" s="499"/>
      <c r="APL71" s="499"/>
      <c r="APM71" s="499"/>
      <c r="APN71" s="499"/>
      <c r="APO71" s="499"/>
      <c r="APP71" s="499"/>
      <c r="APQ71" s="499"/>
      <c r="APR71" s="499"/>
      <c r="APS71" s="499"/>
      <c r="APT71" s="499"/>
      <c r="APU71" s="499"/>
      <c r="APV71" s="499"/>
      <c r="APW71" s="499"/>
      <c r="APX71" s="499"/>
      <c r="APY71" s="499"/>
      <c r="APZ71" s="499"/>
      <c r="AQA71" s="499"/>
      <c r="AQB71" s="499"/>
      <c r="AQC71" s="499"/>
      <c r="AQD71" s="499"/>
      <c r="AQE71" s="499"/>
      <c r="AQF71" s="499"/>
      <c r="AQG71" s="499"/>
      <c r="AQH71" s="499"/>
      <c r="AQI71" s="499"/>
      <c r="AQJ71" s="499"/>
      <c r="AQK71" s="499"/>
      <c r="AQL71" s="499"/>
      <c r="AQM71" s="499"/>
      <c r="AQN71" s="499"/>
      <c r="AQO71" s="499"/>
      <c r="AQP71" s="499"/>
      <c r="AQQ71" s="499"/>
      <c r="AQR71" s="499"/>
      <c r="AQS71" s="499"/>
      <c r="AQT71" s="499"/>
      <c r="AQU71" s="499"/>
      <c r="AQV71" s="499"/>
      <c r="AQW71" s="499"/>
      <c r="AQX71" s="499"/>
      <c r="AQY71" s="499"/>
      <c r="AQZ71" s="499"/>
      <c r="ARA71" s="499"/>
      <c r="ARB71" s="499"/>
      <c r="ARC71" s="499"/>
      <c r="ARD71" s="499"/>
      <c r="ARE71" s="499"/>
      <c r="ARF71" s="499"/>
      <c r="ARG71" s="499"/>
      <c r="ARH71" s="499"/>
      <c r="ARI71" s="499"/>
      <c r="ARJ71" s="499"/>
      <c r="ARK71" s="499"/>
      <c r="ARL71" s="499"/>
      <c r="ARM71" s="499"/>
      <c r="ARN71" s="499"/>
      <c r="ARO71" s="499"/>
      <c r="ARP71" s="499"/>
      <c r="ARQ71" s="499"/>
      <c r="ARR71" s="499"/>
      <c r="ARS71" s="499"/>
      <c r="ART71" s="499"/>
      <c r="ARU71" s="499"/>
      <c r="ARV71" s="499"/>
      <c r="ARW71" s="499"/>
      <c r="ARX71" s="499"/>
      <c r="ARY71" s="499"/>
      <c r="ARZ71" s="499"/>
      <c r="ASA71" s="499"/>
      <c r="ASB71" s="499"/>
      <c r="ASC71" s="499"/>
      <c r="ASD71" s="499"/>
      <c r="ASE71" s="499"/>
      <c r="ASF71" s="499"/>
      <c r="ASG71" s="499"/>
      <c r="ASH71" s="499"/>
      <c r="ASI71" s="499"/>
      <c r="ASJ71" s="499"/>
      <c r="ASK71" s="499"/>
      <c r="ASL71" s="499"/>
      <c r="ASM71" s="499"/>
      <c r="ASN71" s="499"/>
      <c r="ASO71" s="499"/>
      <c r="ASP71" s="499"/>
      <c r="ASQ71" s="499"/>
      <c r="ASR71" s="499"/>
      <c r="ASS71" s="499"/>
      <c r="AST71" s="499"/>
      <c r="ASU71" s="499"/>
      <c r="ASV71" s="499"/>
      <c r="ASW71" s="499"/>
      <c r="ASX71" s="499"/>
      <c r="ASY71" s="499"/>
      <c r="ASZ71" s="499"/>
      <c r="ATA71" s="499"/>
      <c r="ATB71" s="499"/>
      <c r="ATC71" s="499"/>
      <c r="ATD71" s="499"/>
      <c r="ATE71" s="499"/>
      <c r="ATF71" s="499"/>
      <c r="ATG71" s="499"/>
      <c r="ATH71" s="499"/>
      <c r="ATI71" s="499"/>
      <c r="ATJ71" s="499"/>
      <c r="ATK71" s="499"/>
      <c r="ATL71" s="499"/>
      <c r="ATM71" s="499"/>
      <c r="ATN71" s="499"/>
      <c r="ATO71" s="499"/>
      <c r="ATP71" s="499"/>
      <c r="ATQ71" s="499"/>
      <c r="ATR71" s="499"/>
      <c r="ATS71" s="499"/>
      <c r="ATT71" s="499"/>
      <c r="ATU71" s="499"/>
      <c r="ATV71" s="499"/>
      <c r="ATW71" s="499"/>
      <c r="ATX71" s="499"/>
      <c r="ATY71" s="499"/>
      <c r="ATZ71" s="499"/>
      <c r="AUA71" s="499"/>
      <c r="AUB71" s="499"/>
      <c r="AUC71" s="499"/>
      <c r="AUD71" s="499"/>
      <c r="AUE71" s="499"/>
      <c r="AUF71" s="499"/>
      <c r="AUG71" s="499"/>
      <c r="AUH71" s="499"/>
      <c r="AUI71" s="499"/>
      <c r="AUJ71" s="499"/>
      <c r="AUK71" s="499"/>
      <c r="AUL71" s="499"/>
      <c r="AUM71" s="499"/>
      <c r="AUN71" s="499"/>
      <c r="AUO71" s="499"/>
      <c r="AUP71" s="499"/>
      <c r="AUQ71" s="499"/>
      <c r="AUR71" s="499"/>
      <c r="AUS71" s="499"/>
      <c r="AUT71" s="499"/>
      <c r="AUU71" s="499"/>
      <c r="AUV71" s="499"/>
      <c r="AUW71" s="499"/>
      <c r="AUX71" s="499"/>
      <c r="AUY71" s="499"/>
      <c r="AUZ71" s="499"/>
      <c r="AVA71" s="499"/>
      <c r="AVB71" s="499"/>
      <c r="AVC71" s="499"/>
      <c r="AVD71" s="499"/>
      <c r="AVE71" s="499"/>
      <c r="AVF71" s="499"/>
      <c r="AVG71" s="499"/>
      <c r="AVH71" s="499"/>
      <c r="AVI71" s="499"/>
      <c r="AVJ71" s="499"/>
      <c r="AVK71" s="499"/>
      <c r="AVL71" s="499"/>
      <c r="AVM71" s="499"/>
      <c r="AVN71" s="499"/>
      <c r="AVO71" s="499"/>
      <c r="AVP71" s="499"/>
      <c r="AVQ71" s="499"/>
      <c r="AVR71" s="499"/>
      <c r="AVS71" s="499"/>
      <c r="AVT71" s="499"/>
      <c r="AVU71" s="499"/>
      <c r="AVV71" s="499"/>
      <c r="AVW71" s="499"/>
      <c r="AVX71" s="499"/>
      <c r="AVY71" s="499"/>
      <c r="AVZ71" s="499"/>
      <c r="AWA71" s="499"/>
      <c r="AWB71" s="499"/>
      <c r="AWC71" s="499"/>
      <c r="AWD71" s="499"/>
      <c r="AWE71" s="499"/>
      <c r="AWF71" s="499"/>
      <c r="AWG71" s="499"/>
      <c r="AWH71" s="499"/>
      <c r="AWI71" s="499"/>
      <c r="AWJ71" s="499"/>
      <c r="AWK71" s="499"/>
      <c r="AWL71" s="499"/>
      <c r="AWM71" s="499"/>
      <c r="AWN71" s="499"/>
      <c r="AWO71" s="499"/>
      <c r="AWP71" s="499"/>
      <c r="AWQ71" s="499"/>
      <c r="AWR71" s="499"/>
      <c r="AWS71" s="499"/>
      <c r="AWT71" s="499"/>
      <c r="AWU71" s="499"/>
      <c r="AWV71" s="499"/>
      <c r="AWW71" s="499"/>
      <c r="AWX71" s="499"/>
      <c r="AWY71" s="499"/>
      <c r="AWZ71" s="499"/>
      <c r="AXA71" s="499"/>
      <c r="AXB71" s="499"/>
      <c r="AXC71" s="499"/>
      <c r="AXD71" s="499"/>
      <c r="AXE71" s="499"/>
      <c r="AXF71" s="499"/>
      <c r="AXG71" s="499"/>
      <c r="AXH71" s="499"/>
      <c r="AXI71" s="499"/>
      <c r="AXJ71" s="499"/>
      <c r="AXK71" s="499"/>
      <c r="AXL71" s="499"/>
      <c r="AXM71" s="499"/>
      <c r="AXN71" s="499"/>
      <c r="AXO71" s="499"/>
      <c r="AXP71" s="499"/>
      <c r="AXQ71" s="499"/>
      <c r="AXR71" s="499"/>
      <c r="AXS71" s="499"/>
      <c r="AXT71" s="499"/>
      <c r="AXU71" s="499"/>
      <c r="AXV71" s="499"/>
      <c r="AXW71" s="499"/>
      <c r="AXX71" s="499"/>
      <c r="AXY71" s="499"/>
      <c r="AXZ71" s="499"/>
      <c r="AYA71" s="499"/>
      <c r="AYB71" s="499"/>
      <c r="AYC71" s="499"/>
      <c r="AYD71" s="499"/>
      <c r="AYE71" s="499"/>
      <c r="AYF71" s="499"/>
      <c r="AYG71" s="499"/>
      <c r="AYH71" s="499"/>
      <c r="AYI71" s="499"/>
      <c r="AYJ71" s="499"/>
      <c r="AYK71" s="499"/>
      <c r="AYL71" s="499"/>
      <c r="AYM71" s="499"/>
      <c r="AYN71" s="499"/>
      <c r="AYO71" s="499"/>
      <c r="AYP71" s="499"/>
      <c r="AYQ71" s="499"/>
      <c r="AYR71" s="499"/>
      <c r="AYS71" s="499"/>
      <c r="AYT71" s="499"/>
      <c r="AYU71" s="499"/>
      <c r="AYV71" s="499"/>
      <c r="AYW71" s="499"/>
      <c r="AYX71" s="499"/>
      <c r="AYY71" s="499"/>
      <c r="AYZ71" s="499"/>
      <c r="AZA71" s="499"/>
      <c r="AZB71" s="499"/>
      <c r="AZC71" s="499"/>
      <c r="AZD71" s="499"/>
      <c r="AZE71" s="499"/>
      <c r="AZF71" s="499"/>
      <c r="AZG71" s="499"/>
      <c r="AZH71" s="499"/>
      <c r="AZI71" s="499"/>
      <c r="AZJ71" s="499"/>
      <c r="AZK71" s="499"/>
      <c r="AZL71" s="499"/>
      <c r="AZM71" s="499"/>
      <c r="AZN71" s="499"/>
      <c r="AZO71" s="499"/>
      <c r="AZP71" s="499"/>
      <c r="AZQ71" s="499"/>
      <c r="AZR71" s="499"/>
      <c r="AZS71" s="499"/>
      <c r="AZT71" s="499"/>
      <c r="AZU71" s="499"/>
      <c r="AZV71" s="499"/>
      <c r="AZW71" s="499"/>
      <c r="AZX71" s="499"/>
      <c r="AZY71" s="499"/>
      <c r="AZZ71" s="499"/>
      <c r="BAA71" s="499"/>
      <c r="BAB71" s="499"/>
      <c r="BAC71" s="499"/>
      <c r="BAD71" s="499"/>
      <c r="BAE71" s="499"/>
      <c r="BAF71" s="499"/>
      <c r="BAG71" s="499"/>
      <c r="BAH71" s="499"/>
      <c r="BAI71" s="499"/>
      <c r="BAJ71" s="499"/>
      <c r="BAK71" s="499"/>
      <c r="BAL71" s="499"/>
      <c r="BAM71" s="499"/>
      <c r="BAN71" s="499"/>
      <c r="BAO71" s="499"/>
      <c r="BAP71" s="499"/>
      <c r="BAQ71" s="499"/>
      <c r="BAR71" s="499"/>
      <c r="BAS71" s="499"/>
      <c r="BAT71" s="499"/>
      <c r="BAU71" s="499"/>
      <c r="BAV71" s="499"/>
      <c r="BAW71" s="499"/>
      <c r="BAX71" s="499"/>
      <c r="BAY71" s="499"/>
      <c r="BAZ71" s="499"/>
      <c r="BBA71" s="499"/>
      <c r="BBB71" s="499"/>
      <c r="BBC71" s="499"/>
      <c r="BBD71" s="499"/>
      <c r="BBE71" s="499"/>
      <c r="BBF71" s="499"/>
      <c r="BBG71" s="499"/>
      <c r="BBH71" s="499"/>
      <c r="BBI71" s="499"/>
      <c r="BBJ71" s="499"/>
      <c r="BBK71" s="499"/>
      <c r="BBL71" s="499"/>
      <c r="BBM71" s="499"/>
      <c r="BBN71" s="499"/>
      <c r="BBO71" s="499"/>
      <c r="BBP71" s="499"/>
      <c r="BBQ71" s="499"/>
      <c r="BBR71" s="499"/>
      <c r="BBS71" s="499"/>
      <c r="BBT71" s="499"/>
      <c r="BBU71" s="499"/>
      <c r="BBV71" s="499"/>
      <c r="BBW71" s="499"/>
      <c r="BBX71" s="499"/>
      <c r="BBY71" s="499"/>
      <c r="BBZ71" s="499"/>
      <c r="BCA71" s="499"/>
      <c r="BCB71" s="499"/>
      <c r="BCC71" s="499"/>
      <c r="BCD71" s="499"/>
      <c r="BCE71" s="499"/>
      <c r="BCF71" s="499"/>
      <c r="BCG71" s="499"/>
      <c r="BCH71" s="499"/>
      <c r="BCI71" s="499"/>
      <c r="BCJ71" s="499"/>
      <c r="BCK71" s="499"/>
      <c r="BCL71" s="499"/>
      <c r="BCM71" s="499"/>
      <c r="BCN71" s="499"/>
      <c r="BCO71" s="499"/>
      <c r="BCP71" s="499"/>
      <c r="BCQ71" s="499"/>
      <c r="BCR71" s="499"/>
      <c r="BCS71" s="499"/>
      <c r="BCT71" s="499"/>
      <c r="BCU71" s="499"/>
      <c r="BCV71" s="499"/>
      <c r="BCW71" s="499"/>
      <c r="BCX71" s="499"/>
      <c r="BCY71" s="499"/>
      <c r="BCZ71" s="499"/>
      <c r="BDA71" s="499"/>
      <c r="BDB71" s="499"/>
      <c r="BDC71" s="499"/>
      <c r="BDD71" s="499"/>
      <c r="BDE71" s="499"/>
      <c r="BDF71" s="499"/>
      <c r="BDG71" s="499"/>
      <c r="BDH71" s="499"/>
      <c r="BDI71" s="499"/>
      <c r="BDJ71" s="499"/>
      <c r="BDK71" s="499"/>
      <c r="BDL71" s="499"/>
      <c r="BDM71" s="499"/>
      <c r="BDN71" s="499"/>
      <c r="BDO71" s="499"/>
      <c r="BDP71" s="499"/>
      <c r="BDQ71" s="499"/>
      <c r="BDR71" s="499"/>
      <c r="BDS71" s="499"/>
      <c r="BDT71" s="499"/>
      <c r="BDU71" s="499"/>
      <c r="BDV71" s="499"/>
      <c r="BDW71" s="499"/>
      <c r="BDX71" s="499"/>
      <c r="BDY71" s="499"/>
      <c r="BDZ71" s="499"/>
      <c r="BEA71" s="499"/>
      <c r="BEB71" s="499"/>
      <c r="BEC71" s="499"/>
      <c r="BED71" s="499"/>
      <c r="BEE71" s="499"/>
      <c r="BEF71" s="499"/>
      <c r="BEG71" s="499"/>
      <c r="BEH71" s="499"/>
      <c r="BEI71" s="499"/>
      <c r="BEJ71" s="499"/>
      <c r="BEK71" s="499"/>
      <c r="BEL71" s="499"/>
      <c r="BEM71" s="499"/>
      <c r="BEN71" s="499"/>
      <c r="BEO71" s="499"/>
      <c r="BEP71" s="499"/>
      <c r="BEQ71" s="499"/>
      <c r="BER71" s="499"/>
      <c r="BES71" s="499"/>
      <c r="BET71" s="499"/>
      <c r="BEU71" s="499"/>
      <c r="BEV71" s="499"/>
      <c r="BEW71" s="499"/>
      <c r="BEX71" s="499"/>
      <c r="BEY71" s="499"/>
      <c r="BEZ71" s="499"/>
      <c r="BFA71" s="499"/>
      <c r="BFB71" s="499"/>
      <c r="BFC71" s="499"/>
      <c r="BFD71" s="499"/>
      <c r="BFE71" s="499"/>
      <c r="BFF71" s="499"/>
      <c r="BFG71" s="499"/>
      <c r="BFH71" s="499"/>
      <c r="BFI71" s="499"/>
      <c r="BFJ71" s="499"/>
      <c r="BFK71" s="499"/>
      <c r="BFL71" s="499"/>
      <c r="BFM71" s="499"/>
      <c r="BFN71" s="499"/>
      <c r="BFO71" s="499"/>
      <c r="BFP71" s="499"/>
      <c r="BFQ71" s="499"/>
      <c r="BFR71" s="499"/>
      <c r="BFS71" s="499"/>
      <c r="BFT71" s="499"/>
      <c r="BFU71" s="499"/>
      <c r="BFV71" s="499"/>
      <c r="BFW71" s="499"/>
      <c r="BFX71" s="499"/>
      <c r="BFY71" s="499"/>
      <c r="BFZ71" s="499"/>
      <c r="BGA71" s="499"/>
      <c r="BGB71" s="499"/>
      <c r="BGC71" s="499"/>
      <c r="BGD71" s="499"/>
      <c r="BGE71" s="499"/>
      <c r="BGF71" s="499"/>
      <c r="BGG71" s="499"/>
      <c r="BGH71" s="499"/>
      <c r="BGI71" s="499"/>
      <c r="BGJ71" s="499"/>
      <c r="BGK71" s="499"/>
      <c r="BGL71" s="499"/>
      <c r="BGM71" s="499"/>
      <c r="BGN71" s="499"/>
      <c r="BGO71" s="499"/>
      <c r="BGP71" s="499"/>
      <c r="BGQ71" s="499"/>
      <c r="BGR71" s="499"/>
      <c r="BGS71" s="499"/>
      <c r="BGT71" s="499"/>
      <c r="BGU71" s="499"/>
      <c r="BGV71" s="499"/>
      <c r="BGW71" s="499"/>
      <c r="BGX71" s="499"/>
      <c r="BGY71" s="499"/>
      <c r="BGZ71" s="499"/>
      <c r="BHA71" s="499"/>
      <c r="BHB71" s="499"/>
      <c r="BHC71" s="499"/>
      <c r="BHD71" s="499"/>
      <c r="BHE71" s="499"/>
      <c r="BHF71" s="499"/>
      <c r="BHG71" s="499"/>
      <c r="BHH71" s="499"/>
      <c r="BHI71" s="499"/>
      <c r="BHJ71" s="499"/>
      <c r="BHK71" s="499"/>
      <c r="BHL71" s="499"/>
      <c r="BHM71" s="499"/>
      <c r="BHN71" s="499"/>
      <c r="BHO71" s="499"/>
      <c r="BHP71" s="499"/>
      <c r="BHQ71" s="499"/>
      <c r="BHR71" s="499"/>
      <c r="BHS71" s="499"/>
      <c r="BHT71" s="499"/>
      <c r="BHU71" s="499"/>
      <c r="BHV71" s="499"/>
      <c r="BHW71" s="499"/>
      <c r="BHX71" s="499"/>
      <c r="BHY71" s="499"/>
      <c r="BHZ71" s="499"/>
      <c r="BIA71" s="499"/>
      <c r="BIB71" s="499"/>
      <c r="BIC71" s="499"/>
      <c r="BID71" s="499"/>
      <c r="BIE71" s="499"/>
      <c r="BIF71" s="499"/>
      <c r="BIG71" s="499"/>
      <c r="BIH71" s="499"/>
      <c r="BII71" s="499"/>
      <c r="BIJ71" s="499"/>
      <c r="BIK71" s="499"/>
      <c r="BIL71" s="499"/>
      <c r="BIM71" s="499"/>
      <c r="BIN71" s="499"/>
      <c r="BIO71" s="499"/>
      <c r="BIP71" s="499"/>
      <c r="BIQ71" s="499"/>
      <c r="BIR71" s="499"/>
      <c r="BIS71" s="499"/>
      <c r="BIT71" s="499"/>
      <c r="BIU71" s="499"/>
      <c r="BIV71" s="499"/>
      <c r="BIW71" s="499"/>
      <c r="BIX71" s="499"/>
      <c r="BIY71" s="499"/>
      <c r="BIZ71" s="499"/>
      <c r="BJA71" s="499"/>
      <c r="BJB71" s="499"/>
      <c r="BJC71" s="499"/>
      <c r="BJD71" s="499"/>
      <c r="BJE71" s="499"/>
      <c r="BJF71" s="499"/>
      <c r="BJG71" s="499"/>
      <c r="BJH71" s="499"/>
      <c r="BJI71" s="499"/>
      <c r="BJJ71" s="499"/>
      <c r="BJK71" s="499"/>
      <c r="BJL71" s="499"/>
      <c r="BJM71" s="499"/>
      <c r="BJN71" s="499"/>
      <c r="BJO71" s="499"/>
      <c r="BJP71" s="499"/>
      <c r="BJQ71" s="499"/>
      <c r="BJR71" s="499"/>
      <c r="BJS71" s="499"/>
      <c r="BJT71" s="499"/>
      <c r="BJU71" s="499"/>
      <c r="BJV71" s="499"/>
      <c r="BJW71" s="499"/>
      <c r="BJX71" s="499"/>
      <c r="BJY71" s="499"/>
      <c r="BJZ71" s="499"/>
      <c r="BKA71" s="499"/>
      <c r="BKB71" s="499"/>
      <c r="BKC71" s="499"/>
      <c r="BKD71" s="499"/>
      <c r="BKE71" s="499"/>
      <c r="BKF71" s="499"/>
      <c r="BKG71" s="499"/>
      <c r="BKH71" s="499"/>
      <c r="BKI71" s="499"/>
      <c r="BKJ71" s="499"/>
      <c r="BKK71" s="499"/>
      <c r="BKL71" s="499"/>
      <c r="BKM71" s="499"/>
      <c r="BKN71" s="499"/>
      <c r="BKO71" s="499"/>
      <c r="BKP71" s="499"/>
      <c r="BKQ71" s="499"/>
      <c r="BKR71" s="499"/>
      <c r="BKS71" s="499"/>
      <c r="BKT71" s="499"/>
      <c r="BKU71" s="499"/>
      <c r="BKV71" s="499"/>
      <c r="BKW71" s="499"/>
      <c r="BKX71" s="499"/>
      <c r="BKY71" s="499"/>
      <c r="BKZ71" s="499"/>
      <c r="BLA71" s="499"/>
      <c r="BLB71" s="499"/>
      <c r="BLC71" s="499"/>
      <c r="BLD71" s="499"/>
      <c r="BLE71" s="499"/>
      <c r="BLF71" s="499"/>
      <c r="BLG71" s="499"/>
      <c r="BLH71" s="499"/>
      <c r="BLI71" s="499"/>
      <c r="BLJ71" s="499"/>
      <c r="BLK71" s="499"/>
      <c r="BLL71" s="499"/>
      <c r="BLM71" s="499"/>
      <c r="BLN71" s="499"/>
      <c r="BLO71" s="499"/>
      <c r="BLP71" s="499"/>
      <c r="BLQ71" s="499"/>
      <c r="BLR71" s="499"/>
      <c r="BLS71" s="499"/>
      <c r="BLT71" s="499"/>
      <c r="BLU71" s="499"/>
      <c r="BLV71" s="499"/>
      <c r="BLW71" s="499"/>
      <c r="BLX71" s="499"/>
      <c r="BLY71" s="499"/>
      <c r="BLZ71" s="499"/>
      <c r="BMA71" s="499"/>
      <c r="BMB71" s="499"/>
      <c r="BMC71" s="499"/>
      <c r="BMD71" s="499"/>
      <c r="BME71" s="499"/>
      <c r="BMF71" s="499"/>
      <c r="BMG71" s="499"/>
      <c r="BMH71" s="499"/>
      <c r="BMI71" s="499"/>
      <c r="BMJ71" s="499"/>
      <c r="BMK71" s="499"/>
      <c r="BML71" s="499"/>
      <c r="BMM71" s="499"/>
      <c r="BMN71" s="499"/>
      <c r="BMO71" s="499"/>
      <c r="BMP71" s="499"/>
      <c r="BMQ71" s="499"/>
      <c r="BMR71" s="499"/>
      <c r="BMS71" s="499"/>
      <c r="BMT71" s="499"/>
      <c r="BMU71" s="499"/>
      <c r="BMV71" s="499"/>
      <c r="BMW71" s="499"/>
      <c r="BMX71" s="499"/>
      <c r="BMY71" s="499"/>
      <c r="BMZ71" s="499"/>
      <c r="BNA71" s="499"/>
      <c r="BNB71" s="499"/>
      <c r="BNC71" s="499"/>
      <c r="BND71" s="499"/>
      <c r="BNE71" s="499"/>
      <c r="BNF71" s="499"/>
      <c r="BNG71" s="499"/>
      <c r="BNH71" s="499"/>
      <c r="BNI71" s="499"/>
      <c r="BNJ71" s="499"/>
      <c r="BNK71" s="499"/>
      <c r="BNL71" s="499"/>
      <c r="BNM71" s="499"/>
      <c r="BNN71" s="499"/>
      <c r="BNO71" s="499"/>
      <c r="BNP71" s="499"/>
      <c r="BNQ71" s="499"/>
      <c r="BNR71" s="499"/>
      <c r="BNS71" s="499"/>
      <c r="BNT71" s="499"/>
      <c r="BNU71" s="499"/>
      <c r="BNV71" s="499"/>
      <c r="BNW71" s="499"/>
      <c r="BNX71" s="499"/>
      <c r="BNY71" s="499"/>
      <c r="BNZ71" s="499"/>
      <c r="BOA71" s="499"/>
      <c r="BOB71" s="499"/>
      <c r="BOC71" s="499"/>
      <c r="BOD71" s="499"/>
      <c r="BOE71" s="499"/>
      <c r="BOF71" s="499"/>
      <c r="BOG71" s="499"/>
      <c r="BOH71" s="499"/>
      <c r="BOI71" s="499"/>
      <c r="BOJ71" s="499"/>
      <c r="BOK71" s="499"/>
      <c r="BOL71" s="499"/>
      <c r="BOM71" s="499"/>
      <c r="BON71" s="499"/>
      <c r="BOO71" s="499"/>
      <c r="BOP71" s="499"/>
      <c r="BOQ71" s="499"/>
      <c r="BOR71" s="499"/>
      <c r="BOS71" s="499"/>
      <c r="BOT71" s="499"/>
      <c r="BOU71" s="499"/>
      <c r="BOV71" s="499"/>
      <c r="BOW71" s="499"/>
      <c r="BOX71" s="499"/>
      <c r="BOY71" s="499"/>
      <c r="BOZ71" s="499"/>
      <c r="BPA71" s="499"/>
      <c r="BPB71" s="499"/>
      <c r="BPC71" s="499"/>
      <c r="BPD71" s="499"/>
      <c r="BPE71" s="499"/>
      <c r="BPF71" s="499"/>
      <c r="BPG71" s="499"/>
      <c r="BPH71" s="499"/>
      <c r="BPI71" s="499"/>
      <c r="BPJ71" s="499"/>
      <c r="BPK71" s="499"/>
      <c r="BPL71" s="499"/>
      <c r="BPM71" s="499"/>
      <c r="BPN71" s="499"/>
      <c r="BPO71" s="499"/>
      <c r="BPP71" s="499"/>
      <c r="BPQ71" s="499"/>
      <c r="BPR71" s="499"/>
      <c r="BPS71" s="499"/>
      <c r="BPT71" s="499"/>
      <c r="BPU71" s="499"/>
      <c r="BPV71" s="499"/>
      <c r="BPW71" s="499"/>
      <c r="BPX71" s="499"/>
      <c r="BPY71" s="499"/>
      <c r="BPZ71" s="499"/>
      <c r="BQA71" s="499"/>
      <c r="BQB71" s="499"/>
      <c r="BQC71" s="499"/>
      <c r="BQD71" s="499"/>
      <c r="BQE71" s="499"/>
      <c r="BQF71" s="499"/>
      <c r="BQG71" s="499"/>
      <c r="BQH71" s="499"/>
      <c r="BQI71" s="499"/>
      <c r="BQJ71" s="499"/>
      <c r="BQK71" s="499"/>
      <c r="BQL71" s="499"/>
      <c r="BQM71" s="499"/>
      <c r="BQN71" s="499"/>
      <c r="BQO71" s="499"/>
      <c r="BQP71" s="499"/>
      <c r="BQQ71" s="499"/>
      <c r="BQR71" s="499"/>
      <c r="BQS71" s="499"/>
      <c r="BQT71" s="499"/>
      <c r="BQU71" s="499"/>
      <c r="BQV71" s="499"/>
      <c r="BQW71" s="499"/>
      <c r="BQX71" s="499"/>
      <c r="BQY71" s="499"/>
      <c r="BQZ71" s="499"/>
      <c r="BRA71" s="499"/>
      <c r="BRB71" s="499"/>
      <c r="BRC71" s="499"/>
      <c r="BRD71" s="499"/>
      <c r="BRE71" s="499"/>
      <c r="BRF71" s="499"/>
      <c r="BRG71" s="499"/>
      <c r="BRH71" s="499"/>
      <c r="BRI71" s="499"/>
      <c r="BRJ71" s="499"/>
      <c r="BRK71" s="499"/>
      <c r="BRL71" s="499"/>
      <c r="BRM71" s="499"/>
      <c r="BRN71" s="499"/>
      <c r="BRO71" s="499"/>
      <c r="BRP71" s="499"/>
      <c r="BRQ71" s="499"/>
      <c r="BRR71" s="499"/>
      <c r="BRS71" s="499"/>
      <c r="BRT71" s="499"/>
      <c r="BRU71" s="499"/>
      <c r="BRV71" s="499"/>
      <c r="BRW71" s="499"/>
      <c r="BRX71" s="499"/>
      <c r="BRY71" s="499"/>
      <c r="BRZ71" s="499"/>
      <c r="BSA71" s="499"/>
      <c r="BSB71" s="499"/>
      <c r="BSC71" s="499"/>
      <c r="BSD71" s="499"/>
      <c r="BSE71" s="499"/>
      <c r="BSF71" s="499"/>
      <c r="BSG71" s="499"/>
      <c r="BSH71" s="499"/>
      <c r="BSI71" s="499"/>
      <c r="BSJ71" s="499"/>
      <c r="BSK71" s="499"/>
      <c r="BSL71" s="499"/>
      <c r="BSM71" s="499"/>
      <c r="BSN71" s="499"/>
      <c r="BSO71" s="499"/>
      <c r="BSP71" s="499"/>
      <c r="BSQ71" s="499"/>
      <c r="BSR71" s="499"/>
      <c r="BSS71" s="499"/>
      <c r="BST71" s="499"/>
      <c r="BSU71" s="499"/>
      <c r="BSV71" s="499"/>
      <c r="BSW71" s="499"/>
      <c r="BSX71" s="499"/>
      <c r="BSY71" s="499"/>
      <c r="BSZ71" s="499"/>
      <c r="BTA71" s="499"/>
      <c r="BTB71" s="499"/>
      <c r="BTC71" s="499"/>
      <c r="BTD71" s="499"/>
      <c r="BTE71" s="499"/>
      <c r="BTF71" s="499"/>
      <c r="BTG71" s="499"/>
      <c r="BTH71" s="499"/>
      <c r="BTI71" s="499"/>
      <c r="BTJ71" s="499"/>
      <c r="BTK71" s="499"/>
      <c r="BTL71" s="499"/>
      <c r="BTM71" s="499"/>
      <c r="BTN71" s="499"/>
      <c r="BTO71" s="499"/>
      <c r="BTP71" s="499"/>
      <c r="BTQ71" s="499"/>
      <c r="BTR71" s="499"/>
      <c r="BTS71" s="499"/>
      <c r="BTT71" s="499"/>
      <c r="BTU71" s="499"/>
      <c r="BTV71" s="499"/>
      <c r="BTW71" s="499"/>
      <c r="BTX71" s="499"/>
      <c r="BTY71" s="499"/>
      <c r="BTZ71" s="499"/>
      <c r="BUA71" s="499"/>
      <c r="BUB71" s="499"/>
      <c r="BUC71" s="499"/>
      <c r="BUD71" s="499"/>
      <c r="BUE71" s="499"/>
      <c r="BUF71" s="499"/>
      <c r="BUG71" s="499"/>
      <c r="BUH71" s="499"/>
      <c r="BUI71" s="499"/>
      <c r="BUJ71" s="499"/>
      <c r="BUK71" s="499"/>
      <c r="BUL71" s="499"/>
      <c r="BUM71" s="499"/>
      <c r="BUN71" s="499"/>
      <c r="BUO71" s="499"/>
      <c r="BUP71" s="499"/>
      <c r="BUQ71" s="499"/>
      <c r="BUR71" s="499"/>
      <c r="BUS71" s="499"/>
      <c r="BUT71" s="499"/>
      <c r="BUU71" s="499"/>
      <c r="BUV71" s="499"/>
      <c r="BUW71" s="499"/>
      <c r="BUX71" s="499"/>
      <c r="BUY71" s="499"/>
      <c r="BUZ71" s="499"/>
      <c r="BVA71" s="499"/>
      <c r="BVB71" s="499"/>
      <c r="BVC71" s="499"/>
      <c r="BVD71" s="499"/>
      <c r="BVE71" s="499"/>
      <c r="BVF71" s="499"/>
      <c r="BVG71" s="499"/>
      <c r="BVH71" s="499"/>
      <c r="BVI71" s="499"/>
      <c r="BVJ71" s="499"/>
      <c r="BVK71" s="499"/>
      <c r="BVL71" s="499"/>
      <c r="BVM71" s="499"/>
      <c r="BVN71" s="499"/>
      <c r="BVO71" s="499"/>
      <c r="BVP71" s="499"/>
      <c r="BVQ71" s="499"/>
      <c r="BVR71" s="499"/>
      <c r="BVS71" s="499"/>
      <c r="BVT71" s="499"/>
      <c r="BVU71" s="499"/>
      <c r="BVV71" s="499"/>
      <c r="BVW71" s="499"/>
      <c r="BVX71" s="499"/>
      <c r="BVY71" s="499"/>
      <c r="BVZ71" s="499"/>
      <c r="BWA71" s="499"/>
      <c r="BWB71" s="499"/>
      <c r="BWC71" s="499"/>
      <c r="BWD71" s="499"/>
      <c r="BWE71" s="499"/>
      <c r="BWF71" s="499"/>
      <c r="BWG71" s="499"/>
      <c r="BWH71" s="499"/>
      <c r="BWI71" s="499"/>
      <c r="BWJ71" s="499"/>
      <c r="BWK71" s="499"/>
      <c r="BWL71" s="499"/>
      <c r="BWM71" s="499"/>
      <c r="BWN71" s="499"/>
      <c r="BWO71" s="499"/>
      <c r="BWP71" s="499"/>
      <c r="BWQ71" s="499"/>
      <c r="BWR71" s="499"/>
      <c r="BWS71" s="499"/>
      <c r="BWT71" s="499"/>
      <c r="BWU71" s="499"/>
      <c r="BWV71" s="499"/>
      <c r="BWW71" s="499"/>
      <c r="BWX71" s="499"/>
      <c r="BWY71" s="499"/>
      <c r="BWZ71" s="499"/>
      <c r="BXA71" s="499"/>
      <c r="BXB71" s="499"/>
      <c r="BXC71" s="499"/>
      <c r="BXD71" s="499"/>
      <c r="BXE71" s="499"/>
      <c r="BXF71" s="499"/>
      <c r="BXG71" s="499"/>
      <c r="BXH71" s="499"/>
      <c r="BXI71" s="499"/>
      <c r="BXJ71" s="499"/>
      <c r="BXK71" s="499"/>
      <c r="BXL71" s="499"/>
      <c r="BXM71" s="499"/>
      <c r="BXN71" s="499"/>
      <c r="BXO71" s="499"/>
      <c r="BXP71" s="499"/>
      <c r="BXQ71" s="499"/>
      <c r="BXR71" s="499"/>
      <c r="BXS71" s="499"/>
      <c r="BXT71" s="499"/>
      <c r="BXU71" s="499"/>
      <c r="BXV71" s="499"/>
      <c r="BXW71" s="499"/>
      <c r="BXX71" s="499"/>
      <c r="BXY71" s="499"/>
      <c r="BXZ71" s="499"/>
      <c r="BYA71" s="499"/>
      <c r="BYB71" s="499"/>
      <c r="BYC71" s="499"/>
      <c r="BYD71" s="499"/>
      <c r="BYE71" s="499"/>
      <c r="BYF71" s="499"/>
      <c r="BYG71" s="499"/>
      <c r="BYH71" s="499"/>
      <c r="BYI71" s="499"/>
      <c r="BYJ71" s="499"/>
      <c r="BYK71" s="499"/>
      <c r="BYL71" s="499"/>
      <c r="BYM71" s="499"/>
      <c r="BYN71" s="499"/>
      <c r="BYO71" s="499"/>
      <c r="BYP71" s="499"/>
      <c r="BYQ71" s="499"/>
      <c r="BYR71" s="499"/>
      <c r="BYS71" s="499"/>
      <c r="BYT71" s="499"/>
      <c r="BYU71" s="499"/>
      <c r="BYV71" s="499"/>
      <c r="BYW71" s="499"/>
      <c r="BYX71" s="499"/>
      <c r="BYY71" s="499"/>
      <c r="BYZ71" s="499"/>
      <c r="BZA71" s="499"/>
      <c r="BZB71" s="499"/>
      <c r="BZC71" s="499"/>
      <c r="BZD71" s="499"/>
      <c r="BZE71" s="499"/>
      <c r="BZF71" s="499"/>
      <c r="BZG71" s="499"/>
      <c r="BZH71" s="499"/>
      <c r="BZI71" s="499"/>
      <c r="BZJ71" s="499"/>
      <c r="BZK71" s="499"/>
      <c r="BZL71" s="499"/>
      <c r="BZM71" s="499"/>
      <c r="BZN71" s="499"/>
      <c r="BZO71" s="499"/>
      <c r="BZP71" s="499"/>
      <c r="BZQ71" s="499"/>
      <c r="BZR71" s="499"/>
      <c r="BZS71" s="499"/>
      <c r="BZT71" s="499"/>
      <c r="BZU71" s="499"/>
      <c r="BZV71" s="499"/>
      <c r="BZW71" s="499"/>
      <c r="BZX71" s="499"/>
      <c r="BZY71" s="499"/>
      <c r="BZZ71" s="499"/>
      <c r="CAA71" s="499"/>
      <c r="CAB71" s="499"/>
      <c r="CAC71" s="499"/>
      <c r="CAD71" s="499"/>
      <c r="CAE71" s="499"/>
      <c r="CAF71" s="499"/>
      <c r="CAG71" s="499"/>
      <c r="CAH71" s="499"/>
      <c r="CAI71" s="499"/>
      <c r="CAJ71" s="499"/>
      <c r="CAK71" s="499"/>
      <c r="CAL71" s="499"/>
      <c r="CAM71" s="499"/>
      <c r="CAN71" s="499"/>
      <c r="CAO71" s="499"/>
      <c r="CAP71" s="499"/>
      <c r="CAQ71" s="499"/>
      <c r="CAR71" s="499"/>
      <c r="CAS71" s="499"/>
      <c r="CAT71" s="499"/>
      <c r="CAU71" s="499"/>
      <c r="CAV71" s="499"/>
      <c r="CAW71" s="499"/>
      <c r="CAX71" s="499"/>
      <c r="CAY71" s="499"/>
      <c r="CAZ71" s="499"/>
      <c r="CBA71" s="499"/>
      <c r="CBB71" s="499"/>
      <c r="CBC71" s="499"/>
      <c r="CBD71" s="499"/>
      <c r="CBE71" s="499"/>
      <c r="CBF71" s="499"/>
      <c r="CBG71" s="499"/>
      <c r="CBH71" s="499"/>
      <c r="CBI71" s="499"/>
      <c r="CBJ71" s="499"/>
      <c r="CBK71" s="499"/>
      <c r="CBL71" s="499"/>
      <c r="CBM71" s="499"/>
      <c r="CBN71" s="499"/>
      <c r="CBO71" s="499"/>
      <c r="CBP71" s="499"/>
      <c r="CBQ71" s="499"/>
      <c r="CBR71" s="499"/>
      <c r="CBS71" s="499"/>
      <c r="CBT71" s="499"/>
      <c r="CBU71" s="499"/>
      <c r="CBV71" s="499"/>
      <c r="CBW71" s="499"/>
      <c r="CBX71" s="499"/>
      <c r="CBY71" s="499"/>
      <c r="CBZ71" s="499"/>
      <c r="CCA71" s="499"/>
      <c r="CCB71" s="499"/>
      <c r="CCC71" s="499"/>
      <c r="CCD71" s="499"/>
      <c r="CCE71" s="499"/>
      <c r="CCF71" s="499"/>
      <c r="CCG71" s="499"/>
      <c r="CCH71" s="499"/>
      <c r="CCI71" s="499"/>
      <c r="CCJ71" s="499"/>
      <c r="CCK71" s="499"/>
      <c r="CCL71" s="499"/>
      <c r="CCM71" s="499"/>
      <c r="CCN71" s="499"/>
      <c r="CCO71" s="499"/>
      <c r="CCP71" s="499"/>
      <c r="CCQ71" s="499"/>
      <c r="CCR71" s="499"/>
      <c r="CCS71" s="499"/>
      <c r="CCT71" s="499"/>
      <c r="CCU71" s="499"/>
      <c r="CCV71" s="499"/>
      <c r="CCW71" s="499"/>
      <c r="CCX71" s="499"/>
      <c r="CCY71" s="499"/>
      <c r="CCZ71" s="499"/>
      <c r="CDA71" s="499"/>
      <c r="CDB71" s="499"/>
      <c r="CDC71" s="499"/>
      <c r="CDD71" s="499"/>
      <c r="CDE71" s="499"/>
      <c r="CDF71" s="499"/>
      <c r="CDG71" s="499"/>
      <c r="CDH71" s="499"/>
      <c r="CDI71" s="499"/>
      <c r="CDJ71" s="499"/>
      <c r="CDK71" s="499"/>
      <c r="CDL71" s="499"/>
      <c r="CDM71" s="499"/>
      <c r="CDN71" s="499"/>
      <c r="CDO71" s="499"/>
      <c r="CDP71" s="499"/>
      <c r="CDQ71" s="499"/>
      <c r="CDR71" s="499"/>
      <c r="CDS71" s="499"/>
      <c r="CDT71" s="499"/>
      <c r="CDU71" s="499"/>
      <c r="CDV71" s="499"/>
      <c r="CDW71" s="499"/>
      <c r="CDX71" s="499"/>
      <c r="CDY71" s="499"/>
      <c r="CDZ71" s="499"/>
      <c r="CEA71" s="499"/>
      <c r="CEB71" s="499"/>
      <c r="CEC71" s="499"/>
      <c r="CED71" s="499"/>
      <c r="CEE71" s="499"/>
      <c r="CEF71" s="499"/>
      <c r="CEG71" s="499"/>
      <c r="CEH71" s="499"/>
      <c r="CEI71" s="499"/>
      <c r="CEJ71" s="499"/>
      <c r="CEK71" s="499"/>
      <c r="CEL71" s="499"/>
      <c r="CEM71" s="499"/>
      <c r="CEN71" s="499"/>
      <c r="CEO71" s="499"/>
      <c r="CEP71" s="499"/>
      <c r="CEQ71" s="499"/>
      <c r="CER71" s="499"/>
      <c r="CES71" s="499"/>
      <c r="CET71" s="499"/>
      <c r="CEU71" s="499"/>
      <c r="CEV71" s="499"/>
      <c r="CEW71" s="499"/>
      <c r="CEX71" s="499"/>
      <c r="CEY71" s="499"/>
      <c r="CEZ71" s="499"/>
      <c r="CFA71" s="499"/>
      <c r="CFB71" s="499"/>
      <c r="CFC71" s="499"/>
      <c r="CFD71" s="499"/>
      <c r="CFE71" s="499"/>
      <c r="CFF71" s="499"/>
      <c r="CFG71" s="499"/>
      <c r="CFH71" s="499"/>
      <c r="CFI71" s="499"/>
      <c r="CFJ71" s="499"/>
      <c r="CFK71" s="499"/>
      <c r="CFL71" s="499"/>
      <c r="CFM71" s="499"/>
      <c r="CFN71" s="499"/>
      <c r="CFO71" s="499"/>
      <c r="CFP71" s="499"/>
      <c r="CFQ71" s="499"/>
      <c r="CFR71" s="499"/>
      <c r="CFS71" s="499"/>
      <c r="CFT71" s="499"/>
      <c r="CFU71" s="499"/>
      <c r="CFV71" s="499"/>
      <c r="CFW71" s="499"/>
      <c r="CFX71" s="499"/>
      <c r="CFY71" s="499"/>
      <c r="CFZ71" s="499"/>
      <c r="CGA71" s="499"/>
      <c r="CGB71" s="499"/>
      <c r="CGC71" s="499"/>
      <c r="CGD71" s="499"/>
      <c r="CGE71" s="499"/>
      <c r="CGF71" s="499"/>
      <c r="CGG71" s="499"/>
      <c r="CGH71" s="499"/>
      <c r="CGI71" s="499"/>
      <c r="CGJ71" s="499"/>
      <c r="CGK71" s="499"/>
      <c r="CGL71" s="499"/>
      <c r="CGM71" s="499"/>
      <c r="CGN71" s="499"/>
      <c r="CGO71" s="499"/>
      <c r="CGP71" s="499"/>
      <c r="CGQ71" s="499"/>
      <c r="CGR71" s="499"/>
      <c r="CGS71" s="499"/>
      <c r="CGT71" s="499"/>
      <c r="CGU71" s="499"/>
      <c r="CGV71" s="499"/>
      <c r="CGW71" s="499"/>
      <c r="CGX71" s="499"/>
      <c r="CGY71" s="499"/>
      <c r="CGZ71" s="499"/>
      <c r="CHA71" s="499"/>
      <c r="CHB71" s="499"/>
      <c r="CHC71" s="499"/>
      <c r="CHD71" s="499"/>
      <c r="CHE71" s="499"/>
      <c r="CHF71" s="499"/>
      <c r="CHG71" s="499"/>
      <c r="CHH71" s="499"/>
      <c r="CHI71" s="499"/>
      <c r="CHJ71" s="499"/>
      <c r="CHK71" s="499"/>
      <c r="CHL71" s="499"/>
      <c r="CHM71" s="499"/>
      <c r="CHN71" s="499"/>
      <c r="CHO71" s="499"/>
      <c r="CHP71" s="499"/>
      <c r="CHQ71" s="499"/>
      <c r="CHR71" s="499"/>
      <c r="CHS71" s="499"/>
      <c r="CHT71" s="499"/>
      <c r="CHU71" s="499"/>
      <c r="CHV71" s="499"/>
      <c r="CHW71" s="499"/>
      <c r="CHX71" s="499"/>
      <c r="CHY71" s="499"/>
      <c r="CHZ71" s="499"/>
      <c r="CIA71" s="499"/>
      <c r="CIB71" s="499"/>
      <c r="CIC71" s="499"/>
      <c r="CID71" s="499"/>
      <c r="CIE71" s="499"/>
      <c r="CIF71" s="499"/>
      <c r="CIG71" s="499"/>
      <c r="CIH71" s="499"/>
      <c r="CII71" s="499"/>
      <c r="CIJ71" s="499"/>
      <c r="CIK71" s="499"/>
      <c r="CIL71" s="499"/>
      <c r="CIM71" s="499"/>
      <c r="CIN71" s="499"/>
      <c r="CIO71" s="499"/>
      <c r="CIP71" s="499"/>
      <c r="CIQ71" s="499"/>
      <c r="CIR71" s="499"/>
      <c r="CIS71" s="499"/>
      <c r="CIT71" s="499"/>
      <c r="CIU71" s="499"/>
      <c r="CIV71" s="499"/>
      <c r="CIW71" s="499"/>
      <c r="CIX71" s="499"/>
      <c r="CIY71" s="499"/>
      <c r="CIZ71" s="499"/>
      <c r="CJA71" s="499"/>
      <c r="CJB71" s="499"/>
      <c r="CJC71" s="499"/>
      <c r="CJD71" s="499"/>
      <c r="CJE71" s="499"/>
      <c r="CJF71" s="499"/>
      <c r="CJG71" s="499"/>
      <c r="CJH71" s="499"/>
      <c r="CJI71" s="499"/>
      <c r="CJJ71" s="499"/>
      <c r="CJK71" s="499"/>
      <c r="CJL71" s="499"/>
      <c r="CJM71" s="499"/>
      <c r="CJN71" s="499"/>
      <c r="CJO71" s="499"/>
      <c r="CJP71" s="499"/>
      <c r="CJQ71" s="499"/>
      <c r="CJR71" s="499"/>
      <c r="CJS71" s="499"/>
      <c r="CJT71" s="499"/>
      <c r="CJU71" s="499"/>
      <c r="CJV71" s="499"/>
      <c r="CJW71" s="499"/>
      <c r="CJX71" s="499"/>
      <c r="CJY71" s="499"/>
      <c r="CJZ71" s="499"/>
      <c r="CKA71" s="499"/>
      <c r="CKB71" s="499"/>
      <c r="CKC71" s="499"/>
      <c r="CKD71" s="499"/>
      <c r="CKE71" s="499"/>
      <c r="CKF71" s="499"/>
      <c r="CKG71" s="499"/>
      <c r="CKH71" s="499"/>
      <c r="CKI71" s="499"/>
      <c r="CKJ71" s="499"/>
      <c r="CKK71" s="499"/>
      <c r="CKL71" s="499"/>
      <c r="CKM71" s="499"/>
      <c r="CKN71" s="499"/>
      <c r="CKO71" s="499"/>
      <c r="CKP71" s="499"/>
      <c r="CKQ71" s="499"/>
      <c r="CKR71" s="499"/>
      <c r="CKS71" s="499"/>
      <c r="CKT71" s="499"/>
      <c r="CKU71" s="499"/>
      <c r="CKV71" s="499"/>
      <c r="CKW71" s="499"/>
      <c r="CKX71" s="499"/>
      <c r="CKY71" s="499"/>
      <c r="CKZ71" s="499"/>
      <c r="CLA71" s="499"/>
      <c r="CLB71" s="499"/>
      <c r="CLC71" s="499"/>
      <c r="CLD71" s="499"/>
      <c r="CLE71" s="499"/>
      <c r="CLF71" s="499"/>
      <c r="CLG71" s="499"/>
      <c r="CLH71" s="499"/>
      <c r="CLI71" s="499"/>
      <c r="CLJ71" s="499"/>
      <c r="CLK71" s="499"/>
      <c r="CLL71" s="499"/>
      <c r="CLM71" s="499"/>
      <c r="CLN71" s="499"/>
      <c r="CLO71" s="499"/>
      <c r="CLP71" s="499"/>
      <c r="CLQ71" s="499"/>
      <c r="CLR71" s="499"/>
      <c r="CLS71" s="499"/>
      <c r="CLT71" s="499"/>
      <c r="CLU71" s="499"/>
      <c r="CLV71" s="499"/>
      <c r="CLW71" s="499"/>
      <c r="CLX71" s="499"/>
      <c r="CLY71" s="499"/>
      <c r="CLZ71" s="499"/>
      <c r="CMA71" s="499"/>
      <c r="CMB71" s="499"/>
      <c r="CMC71" s="499"/>
      <c r="CMD71" s="499"/>
      <c r="CME71" s="499"/>
      <c r="CMF71" s="499"/>
      <c r="CMG71" s="499"/>
      <c r="CMH71" s="499"/>
      <c r="CMI71" s="499"/>
      <c r="CMJ71" s="499"/>
      <c r="CMK71" s="499"/>
      <c r="CML71" s="499"/>
      <c r="CMM71" s="499"/>
      <c r="CMN71" s="499"/>
      <c r="CMO71" s="499"/>
      <c r="CMP71" s="499"/>
      <c r="CMQ71" s="499"/>
      <c r="CMR71" s="499"/>
      <c r="CMS71" s="499"/>
      <c r="CMT71" s="499"/>
      <c r="CMU71" s="499"/>
      <c r="CMV71" s="499"/>
      <c r="CMW71" s="499"/>
      <c r="CMX71" s="499"/>
      <c r="CMY71" s="499"/>
      <c r="CMZ71" s="499"/>
      <c r="CNA71" s="499"/>
      <c r="CNB71" s="499"/>
      <c r="CNC71" s="499"/>
      <c r="CND71" s="499"/>
      <c r="CNE71" s="499"/>
      <c r="CNF71" s="499"/>
      <c r="CNG71" s="499"/>
      <c r="CNH71" s="499"/>
      <c r="CNI71" s="499"/>
      <c r="CNJ71" s="499"/>
      <c r="CNK71" s="499"/>
      <c r="CNL71" s="499"/>
      <c r="CNM71" s="499"/>
      <c r="CNN71" s="499"/>
      <c r="CNO71" s="499"/>
      <c r="CNP71" s="499"/>
      <c r="CNQ71" s="499"/>
      <c r="CNR71" s="499"/>
      <c r="CNS71" s="499"/>
      <c r="CNT71" s="499"/>
      <c r="CNU71" s="499"/>
      <c r="CNV71" s="499"/>
      <c r="CNW71" s="499"/>
      <c r="CNX71" s="499"/>
      <c r="CNY71" s="499"/>
      <c r="CNZ71" s="499"/>
      <c r="COA71" s="499"/>
      <c r="COB71" s="499"/>
      <c r="COC71" s="499"/>
      <c r="COD71" s="499"/>
      <c r="COE71" s="499"/>
      <c r="COF71" s="499"/>
      <c r="COG71" s="499"/>
      <c r="COH71" s="499"/>
      <c r="COI71" s="499"/>
      <c r="COJ71" s="499"/>
      <c r="COK71" s="499"/>
      <c r="COL71" s="499"/>
      <c r="COM71" s="499"/>
      <c r="CON71" s="499"/>
      <c r="COO71" s="499"/>
      <c r="COP71" s="499"/>
      <c r="COQ71" s="499"/>
      <c r="COR71" s="499"/>
      <c r="COS71" s="499"/>
      <c r="COT71" s="499"/>
      <c r="COU71" s="499"/>
      <c r="COV71" s="499"/>
      <c r="COW71" s="499"/>
      <c r="COX71" s="499"/>
      <c r="COY71" s="499"/>
      <c r="COZ71" s="499"/>
      <c r="CPA71" s="499"/>
      <c r="CPB71" s="499"/>
      <c r="CPC71" s="499"/>
      <c r="CPD71" s="499"/>
      <c r="CPE71" s="499"/>
      <c r="CPF71" s="499"/>
      <c r="CPG71" s="499"/>
      <c r="CPH71" s="499"/>
      <c r="CPI71" s="499"/>
      <c r="CPJ71" s="499"/>
      <c r="CPK71" s="499"/>
      <c r="CPL71" s="499"/>
      <c r="CPM71" s="499"/>
      <c r="CPN71" s="499"/>
      <c r="CPO71" s="499"/>
      <c r="CPP71" s="499"/>
      <c r="CPQ71" s="499"/>
      <c r="CPR71" s="499"/>
      <c r="CPS71" s="499"/>
      <c r="CPT71" s="499"/>
      <c r="CPU71" s="499"/>
      <c r="CPV71" s="499"/>
      <c r="CPW71" s="499"/>
      <c r="CPX71" s="499"/>
      <c r="CPY71" s="499"/>
      <c r="CPZ71" s="499"/>
      <c r="CQA71" s="499"/>
      <c r="CQB71" s="499"/>
      <c r="CQC71" s="499"/>
      <c r="CQD71" s="499"/>
      <c r="CQE71" s="499"/>
      <c r="CQF71" s="499"/>
      <c r="CQG71" s="499"/>
      <c r="CQH71" s="499"/>
      <c r="CQI71" s="499"/>
      <c r="CQJ71" s="499"/>
      <c r="CQK71" s="499"/>
      <c r="CQL71" s="499"/>
      <c r="CQM71" s="499"/>
      <c r="CQN71" s="499"/>
      <c r="CQO71" s="499"/>
      <c r="CQP71" s="499"/>
      <c r="CQQ71" s="499"/>
      <c r="CQR71" s="499"/>
      <c r="CQS71" s="499"/>
      <c r="CQT71" s="499"/>
      <c r="CQU71" s="499"/>
      <c r="CQV71" s="499"/>
      <c r="CQW71" s="499"/>
      <c r="CQX71" s="499"/>
      <c r="CQY71" s="499"/>
      <c r="CQZ71" s="499"/>
      <c r="CRA71" s="499"/>
      <c r="CRB71" s="499"/>
      <c r="CRC71" s="499"/>
      <c r="CRD71" s="499"/>
      <c r="CRE71" s="499"/>
      <c r="CRF71" s="499"/>
      <c r="CRG71" s="499"/>
      <c r="CRH71" s="499"/>
      <c r="CRI71" s="499"/>
      <c r="CRJ71" s="499"/>
      <c r="CRK71" s="499"/>
      <c r="CRL71" s="499"/>
      <c r="CRM71" s="499"/>
      <c r="CRN71" s="499"/>
      <c r="CRO71" s="499"/>
      <c r="CRP71" s="499"/>
      <c r="CRQ71" s="499"/>
      <c r="CRR71" s="499"/>
      <c r="CRS71" s="499"/>
      <c r="CRT71" s="499"/>
      <c r="CRU71" s="499"/>
      <c r="CRV71" s="499"/>
      <c r="CRW71" s="499"/>
      <c r="CRX71" s="499"/>
      <c r="CRY71" s="499"/>
      <c r="CRZ71" s="499"/>
      <c r="CSA71" s="499"/>
      <c r="CSB71" s="499"/>
      <c r="CSC71" s="499"/>
      <c r="CSD71" s="499"/>
      <c r="CSE71" s="499"/>
      <c r="CSF71" s="499"/>
      <c r="CSG71" s="499"/>
      <c r="CSH71" s="499"/>
      <c r="CSI71" s="499"/>
      <c r="CSJ71" s="499"/>
      <c r="CSK71" s="499"/>
      <c r="CSL71" s="499"/>
      <c r="CSM71" s="499"/>
      <c r="CSN71" s="499"/>
      <c r="CSO71" s="499"/>
      <c r="CSP71" s="499"/>
      <c r="CSQ71" s="499"/>
      <c r="CSR71" s="499"/>
      <c r="CSS71" s="499"/>
      <c r="CST71" s="499"/>
      <c r="CSU71" s="499"/>
      <c r="CSV71" s="499"/>
      <c r="CSW71" s="499"/>
      <c r="CSX71" s="499"/>
      <c r="CSY71" s="499"/>
      <c r="CSZ71" s="499"/>
      <c r="CTA71" s="499"/>
      <c r="CTB71" s="499"/>
      <c r="CTC71" s="499"/>
      <c r="CTD71" s="499"/>
      <c r="CTE71" s="499"/>
      <c r="CTF71" s="499"/>
      <c r="CTG71" s="499"/>
      <c r="CTH71" s="499"/>
      <c r="CTI71" s="499"/>
      <c r="CTJ71" s="499"/>
      <c r="CTK71" s="499"/>
      <c r="CTL71" s="499"/>
      <c r="CTM71" s="499"/>
      <c r="CTN71" s="499"/>
      <c r="CTO71" s="499"/>
      <c r="CTP71" s="499"/>
      <c r="CTQ71" s="499"/>
      <c r="CTR71" s="499"/>
      <c r="CTS71" s="499"/>
      <c r="CTT71" s="499"/>
      <c r="CTU71" s="499"/>
      <c r="CTV71" s="499"/>
      <c r="CTW71" s="499"/>
      <c r="CTX71" s="499"/>
      <c r="CTY71" s="499"/>
      <c r="CTZ71" s="499"/>
      <c r="CUA71" s="499"/>
      <c r="CUB71" s="499"/>
      <c r="CUC71" s="499"/>
      <c r="CUD71" s="499"/>
      <c r="CUE71" s="499"/>
      <c r="CUF71" s="499"/>
      <c r="CUG71" s="499"/>
      <c r="CUH71" s="499"/>
      <c r="CUI71" s="499"/>
      <c r="CUJ71" s="499"/>
      <c r="CUK71" s="499"/>
      <c r="CUL71" s="499"/>
      <c r="CUM71" s="499"/>
      <c r="CUN71" s="499"/>
      <c r="CUO71" s="499"/>
      <c r="CUP71" s="499"/>
      <c r="CUQ71" s="499"/>
      <c r="CUR71" s="499"/>
      <c r="CUS71" s="499"/>
      <c r="CUT71" s="499"/>
      <c r="CUU71" s="499"/>
      <c r="CUV71" s="499"/>
      <c r="CUW71" s="499"/>
      <c r="CUX71" s="499"/>
      <c r="CUY71" s="499"/>
      <c r="CUZ71" s="499"/>
      <c r="CVA71" s="499"/>
      <c r="CVB71" s="499"/>
      <c r="CVC71" s="499"/>
      <c r="CVD71" s="499"/>
      <c r="CVE71" s="499"/>
      <c r="CVF71" s="499"/>
      <c r="CVG71" s="499"/>
      <c r="CVH71" s="499"/>
      <c r="CVI71" s="499"/>
      <c r="CVJ71" s="499"/>
      <c r="CVK71" s="499"/>
      <c r="CVL71" s="499"/>
      <c r="CVM71" s="499"/>
      <c r="CVN71" s="499"/>
      <c r="CVO71" s="499"/>
      <c r="CVP71" s="499"/>
      <c r="CVQ71" s="499"/>
      <c r="CVR71" s="499"/>
      <c r="CVS71" s="499"/>
      <c r="CVT71" s="499"/>
      <c r="CVU71" s="499"/>
      <c r="CVV71" s="499"/>
      <c r="CVW71" s="499"/>
      <c r="CVX71" s="499"/>
      <c r="CVY71" s="499"/>
      <c r="CVZ71" s="499"/>
      <c r="CWA71" s="499"/>
      <c r="CWB71" s="499"/>
      <c r="CWC71" s="499"/>
      <c r="CWD71" s="499"/>
      <c r="CWE71" s="499"/>
      <c r="CWF71" s="499"/>
      <c r="CWG71" s="499"/>
      <c r="CWH71" s="499"/>
      <c r="CWI71" s="499"/>
      <c r="CWJ71" s="499"/>
      <c r="CWK71" s="499"/>
      <c r="CWL71" s="499"/>
      <c r="CWM71" s="499"/>
      <c r="CWN71" s="499"/>
      <c r="CWO71" s="499"/>
      <c r="CWP71" s="499"/>
      <c r="CWQ71" s="499"/>
      <c r="CWR71" s="499"/>
      <c r="CWS71" s="499"/>
      <c r="CWT71" s="499"/>
      <c r="CWU71" s="499"/>
      <c r="CWV71" s="499"/>
      <c r="CWW71" s="499"/>
      <c r="CWX71" s="499"/>
      <c r="CWY71" s="499"/>
      <c r="CWZ71" s="499"/>
      <c r="CXA71" s="499"/>
      <c r="CXB71" s="499"/>
      <c r="CXC71" s="499"/>
      <c r="CXD71" s="499"/>
      <c r="CXE71" s="499"/>
      <c r="CXF71" s="499"/>
      <c r="CXG71" s="499"/>
      <c r="CXH71" s="499"/>
      <c r="CXI71" s="499"/>
      <c r="CXJ71" s="499"/>
      <c r="CXK71" s="499"/>
      <c r="CXL71" s="499"/>
      <c r="CXM71" s="499"/>
      <c r="CXN71" s="499"/>
      <c r="CXO71" s="499"/>
      <c r="CXP71" s="499"/>
      <c r="CXQ71" s="499"/>
      <c r="CXR71" s="499"/>
      <c r="CXS71" s="499"/>
      <c r="CXT71" s="499"/>
      <c r="CXU71" s="499"/>
      <c r="CXV71" s="499"/>
      <c r="CXW71" s="499"/>
      <c r="CXX71" s="499"/>
      <c r="CXY71" s="499"/>
      <c r="CXZ71" s="499"/>
      <c r="CYA71" s="499"/>
      <c r="CYB71" s="499"/>
      <c r="CYC71" s="499"/>
      <c r="CYD71" s="499"/>
      <c r="CYE71" s="499"/>
      <c r="CYF71" s="499"/>
      <c r="CYG71" s="499"/>
      <c r="CYH71" s="499"/>
      <c r="CYI71" s="499"/>
      <c r="CYJ71" s="499"/>
      <c r="CYK71" s="499"/>
      <c r="CYL71" s="499"/>
      <c r="CYM71" s="499"/>
      <c r="CYN71" s="499"/>
      <c r="CYO71" s="499"/>
      <c r="CYP71" s="499"/>
      <c r="CYQ71" s="499"/>
      <c r="CYR71" s="499"/>
      <c r="CYS71" s="499"/>
      <c r="CYT71" s="499"/>
      <c r="CYU71" s="499"/>
      <c r="CYV71" s="499"/>
      <c r="CYW71" s="499"/>
      <c r="CYX71" s="499"/>
      <c r="CYY71" s="499"/>
      <c r="CYZ71" s="499"/>
      <c r="CZA71" s="499"/>
      <c r="CZB71" s="499"/>
      <c r="CZC71" s="499"/>
      <c r="CZD71" s="499"/>
      <c r="CZE71" s="499"/>
      <c r="CZF71" s="499"/>
      <c r="CZG71" s="499"/>
      <c r="CZH71" s="499"/>
      <c r="CZI71" s="499"/>
      <c r="CZJ71" s="499"/>
      <c r="CZK71" s="499"/>
      <c r="CZL71" s="499"/>
      <c r="CZM71" s="499"/>
      <c r="CZN71" s="499"/>
      <c r="CZO71" s="499"/>
      <c r="CZP71" s="499"/>
      <c r="CZQ71" s="499"/>
      <c r="CZR71" s="499"/>
      <c r="CZS71" s="499"/>
      <c r="CZT71" s="499"/>
      <c r="CZU71" s="499"/>
      <c r="CZV71" s="499"/>
      <c r="CZW71" s="499"/>
      <c r="CZX71" s="499"/>
      <c r="CZY71" s="499"/>
      <c r="CZZ71" s="499"/>
      <c r="DAA71" s="499"/>
      <c r="DAB71" s="499"/>
      <c r="DAC71" s="499"/>
      <c r="DAD71" s="499"/>
      <c r="DAE71" s="499"/>
      <c r="DAF71" s="499"/>
      <c r="DAG71" s="499"/>
      <c r="DAH71" s="499"/>
      <c r="DAI71" s="499"/>
      <c r="DAJ71" s="499"/>
      <c r="DAK71" s="499"/>
      <c r="DAL71" s="499"/>
      <c r="DAM71" s="499"/>
      <c r="DAN71" s="499"/>
      <c r="DAO71" s="499"/>
      <c r="DAP71" s="499"/>
      <c r="DAQ71" s="499"/>
      <c r="DAR71" s="499"/>
      <c r="DAS71" s="499"/>
      <c r="DAT71" s="499"/>
      <c r="DAU71" s="499"/>
      <c r="DAV71" s="499"/>
      <c r="DAW71" s="499"/>
      <c r="DAX71" s="499"/>
      <c r="DAY71" s="499"/>
      <c r="DAZ71" s="499"/>
      <c r="DBA71" s="499"/>
      <c r="DBB71" s="499"/>
      <c r="DBC71" s="499"/>
      <c r="DBD71" s="499"/>
      <c r="DBE71" s="499"/>
      <c r="DBF71" s="499"/>
      <c r="DBG71" s="499"/>
      <c r="DBH71" s="499"/>
      <c r="DBI71" s="499"/>
      <c r="DBJ71" s="499"/>
      <c r="DBK71" s="499"/>
      <c r="DBL71" s="499"/>
      <c r="DBM71" s="499"/>
      <c r="DBN71" s="499"/>
      <c r="DBO71" s="499"/>
      <c r="DBP71" s="499"/>
      <c r="DBQ71" s="499"/>
      <c r="DBR71" s="499"/>
      <c r="DBS71" s="499"/>
      <c r="DBT71" s="499"/>
      <c r="DBU71" s="499"/>
      <c r="DBV71" s="499"/>
      <c r="DBW71" s="499"/>
      <c r="DBX71" s="499"/>
      <c r="DBY71" s="499"/>
      <c r="DBZ71" s="499"/>
      <c r="DCA71" s="499"/>
      <c r="DCB71" s="499"/>
      <c r="DCC71" s="499"/>
      <c r="DCD71" s="499"/>
      <c r="DCE71" s="499"/>
      <c r="DCF71" s="499"/>
      <c r="DCG71" s="499"/>
      <c r="DCH71" s="499"/>
      <c r="DCI71" s="499"/>
      <c r="DCJ71" s="499"/>
      <c r="DCK71" s="499"/>
      <c r="DCL71" s="499"/>
      <c r="DCM71" s="499"/>
      <c r="DCN71" s="499"/>
      <c r="DCO71" s="499"/>
      <c r="DCP71" s="499"/>
      <c r="DCQ71" s="499"/>
      <c r="DCR71" s="499"/>
      <c r="DCS71" s="499"/>
      <c r="DCT71" s="499"/>
      <c r="DCU71" s="499"/>
      <c r="DCV71" s="499"/>
      <c r="DCW71" s="499"/>
      <c r="DCX71" s="499"/>
      <c r="DCY71" s="499"/>
      <c r="DCZ71" s="499"/>
      <c r="DDA71" s="499"/>
      <c r="DDB71" s="499"/>
      <c r="DDC71" s="499"/>
      <c r="DDD71" s="499"/>
      <c r="DDE71" s="499"/>
      <c r="DDF71" s="499"/>
      <c r="DDG71" s="499"/>
      <c r="DDH71" s="499"/>
      <c r="DDI71" s="499"/>
      <c r="DDJ71" s="499"/>
      <c r="DDK71" s="499"/>
      <c r="DDL71" s="499"/>
      <c r="DDM71" s="499"/>
      <c r="DDN71" s="499"/>
      <c r="DDO71" s="499"/>
      <c r="DDP71" s="499"/>
      <c r="DDQ71" s="499"/>
      <c r="DDR71" s="499"/>
      <c r="DDS71" s="499"/>
      <c r="DDT71" s="499"/>
      <c r="DDU71" s="499"/>
      <c r="DDV71" s="499"/>
      <c r="DDW71" s="499"/>
      <c r="DDX71" s="499"/>
      <c r="DDY71" s="499"/>
      <c r="DDZ71" s="499"/>
      <c r="DEA71" s="499"/>
      <c r="DEB71" s="499"/>
      <c r="DEC71" s="499"/>
      <c r="DED71" s="499"/>
      <c r="DEE71" s="499"/>
      <c r="DEF71" s="499"/>
      <c r="DEG71" s="499"/>
      <c r="DEH71" s="499"/>
      <c r="DEI71" s="499"/>
      <c r="DEJ71" s="499"/>
      <c r="DEK71" s="499"/>
      <c r="DEL71" s="499"/>
      <c r="DEM71" s="499"/>
      <c r="DEN71" s="499"/>
      <c r="DEO71" s="499"/>
      <c r="DEP71" s="499"/>
      <c r="DEQ71" s="499"/>
      <c r="DER71" s="499"/>
      <c r="DES71" s="499"/>
      <c r="DET71" s="499"/>
      <c r="DEU71" s="499"/>
      <c r="DEV71" s="499"/>
      <c r="DEW71" s="499"/>
      <c r="DEX71" s="499"/>
      <c r="DEY71" s="499"/>
      <c r="DEZ71" s="499"/>
      <c r="DFA71" s="499"/>
      <c r="DFB71" s="499"/>
      <c r="DFC71" s="499"/>
      <c r="DFD71" s="499"/>
      <c r="DFE71" s="499"/>
      <c r="DFF71" s="499"/>
      <c r="DFG71" s="499"/>
      <c r="DFH71" s="499"/>
      <c r="DFI71" s="499"/>
      <c r="DFJ71" s="499"/>
      <c r="DFK71" s="499"/>
      <c r="DFL71" s="499"/>
      <c r="DFM71" s="499"/>
      <c r="DFN71" s="499"/>
      <c r="DFO71" s="499"/>
      <c r="DFP71" s="499"/>
      <c r="DFQ71" s="499"/>
      <c r="DFR71" s="499"/>
      <c r="DFS71" s="499"/>
      <c r="DFT71" s="499"/>
      <c r="DFU71" s="499"/>
      <c r="DFV71" s="499"/>
      <c r="DFW71" s="499"/>
      <c r="DFX71" s="499"/>
      <c r="DFY71" s="499"/>
      <c r="DFZ71" s="499"/>
      <c r="DGA71" s="499"/>
      <c r="DGB71" s="499"/>
      <c r="DGC71" s="499"/>
      <c r="DGD71" s="499"/>
      <c r="DGE71" s="499"/>
      <c r="DGF71" s="499"/>
      <c r="DGG71" s="499"/>
      <c r="DGH71" s="499"/>
      <c r="DGI71" s="499"/>
      <c r="DGJ71" s="499"/>
      <c r="DGK71" s="499"/>
      <c r="DGL71" s="499"/>
      <c r="DGM71" s="499"/>
      <c r="DGN71" s="499"/>
      <c r="DGO71" s="499"/>
      <c r="DGP71" s="499"/>
      <c r="DGQ71" s="499"/>
      <c r="DGR71" s="499"/>
      <c r="DGS71" s="499"/>
      <c r="DGT71" s="499"/>
      <c r="DGU71" s="499"/>
      <c r="DGV71" s="499"/>
      <c r="DGW71" s="499"/>
      <c r="DGX71" s="499"/>
      <c r="DGY71" s="499"/>
      <c r="DGZ71" s="499"/>
      <c r="DHA71" s="499"/>
      <c r="DHB71" s="499"/>
      <c r="DHC71" s="499"/>
      <c r="DHD71" s="499"/>
      <c r="DHE71" s="499"/>
      <c r="DHF71" s="499"/>
      <c r="DHG71" s="499"/>
      <c r="DHH71" s="499"/>
      <c r="DHI71" s="499"/>
      <c r="DHJ71" s="499"/>
      <c r="DHK71" s="499"/>
      <c r="DHL71" s="499"/>
      <c r="DHM71" s="499"/>
      <c r="DHN71" s="499"/>
      <c r="DHO71" s="499"/>
      <c r="DHP71" s="499"/>
      <c r="DHQ71" s="499"/>
      <c r="DHR71" s="499"/>
      <c r="DHS71" s="499"/>
      <c r="DHT71" s="499"/>
      <c r="DHU71" s="499"/>
      <c r="DHV71" s="499"/>
      <c r="DHW71" s="499"/>
      <c r="DHX71" s="499"/>
      <c r="DHY71" s="499"/>
      <c r="DHZ71" s="499"/>
      <c r="DIA71" s="499"/>
      <c r="DIB71" s="499"/>
      <c r="DIC71" s="499"/>
      <c r="DID71" s="499"/>
      <c r="DIE71" s="499"/>
      <c r="DIF71" s="499"/>
      <c r="DIG71" s="499"/>
      <c r="DIH71" s="499"/>
      <c r="DII71" s="499"/>
      <c r="DIJ71" s="499"/>
      <c r="DIK71" s="499"/>
      <c r="DIL71" s="499"/>
      <c r="DIM71" s="499"/>
      <c r="DIN71" s="499"/>
      <c r="DIO71" s="499"/>
      <c r="DIP71" s="499"/>
      <c r="DIQ71" s="499"/>
      <c r="DIR71" s="499"/>
      <c r="DIS71" s="499"/>
      <c r="DIT71" s="499"/>
      <c r="DIU71" s="499"/>
      <c r="DIV71" s="499"/>
      <c r="DIW71" s="499"/>
      <c r="DIX71" s="499"/>
      <c r="DIY71" s="499"/>
      <c r="DIZ71" s="499"/>
      <c r="DJA71" s="499"/>
      <c r="DJB71" s="499"/>
      <c r="DJC71" s="499"/>
      <c r="DJD71" s="499"/>
      <c r="DJE71" s="499"/>
      <c r="DJF71" s="499"/>
      <c r="DJG71" s="499"/>
      <c r="DJH71" s="499"/>
      <c r="DJI71" s="499"/>
      <c r="DJJ71" s="499"/>
      <c r="DJK71" s="499"/>
      <c r="DJL71" s="499"/>
      <c r="DJM71" s="499"/>
      <c r="DJN71" s="499"/>
      <c r="DJO71" s="499"/>
      <c r="DJP71" s="499"/>
      <c r="DJQ71" s="499"/>
      <c r="DJR71" s="499"/>
      <c r="DJS71" s="499"/>
      <c r="DJT71" s="499"/>
      <c r="DJU71" s="499"/>
      <c r="DJV71" s="499"/>
      <c r="DJW71" s="499"/>
      <c r="DJX71" s="499"/>
      <c r="DJY71" s="499"/>
      <c r="DJZ71" s="499"/>
      <c r="DKA71" s="499"/>
      <c r="DKB71" s="499"/>
      <c r="DKC71" s="499"/>
      <c r="DKD71" s="499"/>
      <c r="DKE71" s="499"/>
      <c r="DKF71" s="499"/>
      <c r="DKG71" s="499"/>
      <c r="DKH71" s="499"/>
      <c r="DKI71" s="499"/>
      <c r="DKJ71" s="499"/>
      <c r="DKK71" s="499"/>
      <c r="DKL71" s="499"/>
      <c r="DKM71" s="499"/>
      <c r="DKN71" s="499"/>
      <c r="DKO71" s="499"/>
      <c r="DKP71" s="499"/>
      <c r="DKQ71" s="499"/>
      <c r="DKR71" s="499"/>
      <c r="DKS71" s="499"/>
      <c r="DKT71" s="499"/>
      <c r="DKU71" s="499"/>
      <c r="DKV71" s="499"/>
      <c r="DKW71" s="499"/>
      <c r="DKX71" s="499"/>
      <c r="DKY71" s="499"/>
      <c r="DKZ71" s="499"/>
      <c r="DLA71" s="499"/>
      <c r="DLB71" s="499"/>
      <c r="DLC71" s="499"/>
      <c r="DLD71" s="499"/>
      <c r="DLE71" s="499"/>
      <c r="DLF71" s="499"/>
      <c r="DLG71" s="499"/>
      <c r="DLH71" s="499"/>
      <c r="DLI71" s="499"/>
      <c r="DLJ71" s="499"/>
      <c r="DLK71" s="499"/>
      <c r="DLL71" s="499"/>
      <c r="DLM71" s="499"/>
      <c r="DLN71" s="499"/>
      <c r="DLO71" s="499"/>
      <c r="DLP71" s="499"/>
      <c r="DLQ71" s="499"/>
      <c r="DLR71" s="499"/>
      <c r="DLS71" s="499"/>
      <c r="DLT71" s="499"/>
      <c r="DLU71" s="499"/>
      <c r="DLV71" s="499"/>
      <c r="DLW71" s="499"/>
      <c r="DLX71" s="499"/>
      <c r="DLY71" s="499"/>
      <c r="DLZ71" s="499"/>
      <c r="DMA71" s="499"/>
      <c r="DMB71" s="499"/>
      <c r="DMC71" s="499"/>
      <c r="DMD71" s="499"/>
      <c r="DME71" s="499"/>
      <c r="DMF71" s="499"/>
      <c r="DMG71" s="499"/>
      <c r="DMH71" s="499"/>
      <c r="DMI71" s="499"/>
      <c r="DMJ71" s="499"/>
      <c r="DMK71" s="499"/>
      <c r="DML71" s="499"/>
      <c r="DMM71" s="499"/>
      <c r="DMN71" s="499"/>
      <c r="DMO71" s="499"/>
      <c r="DMP71" s="499"/>
      <c r="DMQ71" s="499"/>
      <c r="DMR71" s="499"/>
      <c r="DMS71" s="499"/>
      <c r="DMT71" s="499"/>
      <c r="DMU71" s="499"/>
      <c r="DMV71" s="499"/>
      <c r="DMW71" s="499"/>
      <c r="DMX71" s="499"/>
      <c r="DMY71" s="499"/>
      <c r="DMZ71" s="499"/>
      <c r="DNA71" s="499"/>
      <c r="DNB71" s="499"/>
      <c r="DNC71" s="499"/>
      <c r="DND71" s="499"/>
      <c r="DNE71" s="499"/>
      <c r="DNF71" s="499"/>
      <c r="DNG71" s="499"/>
      <c r="DNH71" s="499"/>
      <c r="DNI71" s="499"/>
      <c r="DNJ71" s="499"/>
      <c r="DNK71" s="499"/>
      <c r="DNL71" s="499"/>
      <c r="DNM71" s="499"/>
      <c r="DNN71" s="499"/>
      <c r="DNO71" s="499"/>
      <c r="DNP71" s="499"/>
      <c r="DNQ71" s="499"/>
      <c r="DNR71" s="499"/>
      <c r="DNS71" s="499"/>
      <c r="DNT71" s="499"/>
      <c r="DNU71" s="499"/>
      <c r="DNV71" s="499"/>
      <c r="DNW71" s="499"/>
      <c r="DNX71" s="499"/>
      <c r="DNY71" s="499"/>
      <c r="DNZ71" s="499"/>
      <c r="DOA71" s="499"/>
      <c r="DOB71" s="499"/>
      <c r="DOC71" s="499"/>
      <c r="DOD71" s="499"/>
      <c r="DOE71" s="499"/>
      <c r="DOF71" s="499"/>
      <c r="DOG71" s="499"/>
      <c r="DOH71" s="499"/>
      <c r="DOI71" s="499"/>
      <c r="DOJ71" s="499"/>
      <c r="DOK71" s="499"/>
      <c r="DOL71" s="499"/>
      <c r="DOM71" s="499"/>
      <c r="DON71" s="499"/>
      <c r="DOO71" s="499"/>
      <c r="DOP71" s="499"/>
      <c r="DOQ71" s="499"/>
      <c r="DOR71" s="499"/>
      <c r="DOS71" s="499"/>
      <c r="DOT71" s="499"/>
      <c r="DOU71" s="499"/>
      <c r="DOV71" s="499"/>
      <c r="DOW71" s="499"/>
      <c r="DOX71" s="499"/>
      <c r="DOY71" s="499"/>
      <c r="DOZ71" s="499"/>
      <c r="DPA71" s="499"/>
      <c r="DPB71" s="499"/>
      <c r="DPC71" s="499"/>
      <c r="DPD71" s="499"/>
      <c r="DPE71" s="499"/>
      <c r="DPF71" s="499"/>
      <c r="DPG71" s="499"/>
      <c r="DPH71" s="499"/>
      <c r="DPI71" s="499"/>
      <c r="DPJ71" s="499"/>
      <c r="DPK71" s="499"/>
      <c r="DPL71" s="499"/>
      <c r="DPM71" s="499"/>
      <c r="DPN71" s="499"/>
      <c r="DPO71" s="499"/>
      <c r="DPP71" s="499"/>
      <c r="DPQ71" s="499"/>
      <c r="DPR71" s="499"/>
      <c r="DPS71" s="499"/>
      <c r="DPT71" s="499"/>
      <c r="DPU71" s="499"/>
      <c r="DPV71" s="499"/>
      <c r="DPW71" s="499"/>
      <c r="DPX71" s="499"/>
      <c r="DPY71" s="499"/>
      <c r="DPZ71" s="499"/>
      <c r="DQA71" s="499"/>
      <c r="DQB71" s="499"/>
      <c r="DQC71" s="499"/>
      <c r="DQD71" s="499"/>
      <c r="DQE71" s="499"/>
      <c r="DQF71" s="499"/>
      <c r="DQG71" s="499"/>
      <c r="DQH71" s="499"/>
      <c r="DQI71" s="499"/>
      <c r="DQJ71" s="499"/>
      <c r="DQK71" s="499"/>
      <c r="DQL71" s="499"/>
      <c r="DQM71" s="499"/>
      <c r="DQN71" s="499"/>
      <c r="DQO71" s="499"/>
      <c r="DQP71" s="499"/>
      <c r="DQQ71" s="499"/>
      <c r="DQR71" s="499"/>
      <c r="DQS71" s="499"/>
      <c r="DQT71" s="499"/>
      <c r="DQU71" s="499"/>
      <c r="DQV71" s="499"/>
      <c r="DQW71" s="499"/>
      <c r="DQX71" s="499"/>
      <c r="DQY71" s="499"/>
      <c r="DQZ71" s="499"/>
      <c r="DRA71" s="499"/>
      <c r="DRB71" s="499"/>
      <c r="DRC71" s="499"/>
      <c r="DRD71" s="499"/>
      <c r="DRE71" s="499"/>
      <c r="DRF71" s="499"/>
      <c r="DRG71" s="499"/>
      <c r="DRH71" s="499"/>
      <c r="DRI71" s="499"/>
      <c r="DRJ71" s="499"/>
      <c r="DRK71" s="499"/>
      <c r="DRL71" s="499"/>
      <c r="DRM71" s="499"/>
      <c r="DRN71" s="499"/>
      <c r="DRO71" s="499"/>
      <c r="DRP71" s="499"/>
      <c r="DRQ71" s="499"/>
      <c r="DRR71" s="499"/>
      <c r="DRS71" s="499"/>
      <c r="DRT71" s="499"/>
      <c r="DRU71" s="499"/>
      <c r="DRV71" s="499"/>
      <c r="DRW71" s="499"/>
      <c r="DRX71" s="499"/>
      <c r="DRY71" s="499"/>
      <c r="DRZ71" s="499"/>
      <c r="DSA71" s="499"/>
      <c r="DSB71" s="499"/>
      <c r="DSC71" s="499"/>
      <c r="DSD71" s="499"/>
      <c r="DSE71" s="499"/>
      <c r="DSF71" s="499"/>
      <c r="DSG71" s="499"/>
      <c r="DSH71" s="499"/>
      <c r="DSI71" s="499"/>
      <c r="DSJ71" s="499"/>
      <c r="DSK71" s="499"/>
      <c r="DSL71" s="499"/>
      <c r="DSM71" s="499"/>
      <c r="DSN71" s="499"/>
      <c r="DSO71" s="499"/>
      <c r="DSP71" s="499"/>
      <c r="DSQ71" s="499"/>
      <c r="DSR71" s="499"/>
      <c r="DSS71" s="499"/>
      <c r="DST71" s="499"/>
      <c r="DSU71" s="499"/>
      <c r="DSV71" s="499"/>
      <c r="DSW71" s="499"/>
      <c r="DSX71" s="499"/>
      <c r="DSY71" s="499"/>
      <c r="DSZ71" s="499"/>
      <c r="DTA71" s="499"/>
      <c r="DTB71" s="499"/>
      <c r="DTC71" s="499"/>
      <c r="DTD71" s="499"/>
      <c r="DTE71" s="499"/>
      <c r="DTF71" s="499"/>
      <c r="DTG71" s="499"/>
      <c r="DTH71" s="499"/>
      <c r="DTI71" s="499"/>
      <c r="DTJ71" s="499"/>
      <c r="DTK71" s="499"/>
      <c r="DTL71" s="499"/>
      <c r="DTM71" s="499"/>
      <c r="DTN71" s="499"/>
      <c r="DTO71" s="499"/>
      <c r="DTP71" s="499"/>
      <c r="DTQ71" s="499"/>
      <c r="DTR71" s="499"/>
      <c r="DTS71" s="499"/>
      <c r="DTT71" s="499"/>
      <c r="DTU71" s="499"/>
      <c r="DTV71" s="499"/>
      <c r="DTW71" s="499"/>
      <c r="DTX71" s="499"/>
      <c r="DTY71" s="499"/>
      <c r="DTZ71" s="499"/>
      <c r="DUA71" s="499"/>
      <c r="DUB71" s="499"/>
      <c r="DUC71" s="499"/>
      <c r="DUD71" s="499"/>
      <c r="DUE71" s="499"/>
      <c r="DUF71" s="499"/>
      <c r="DUG71" s="499"/>
      <c r="DUH71" s="499"/>
      <c r="DUI71" s="499"/>
      <c r="DUJ71" s="499"/>
      <c r="DUK71" s="499"/>
      <c r="DUL71" s="499"/>
      <c r="DUM71" s="499"/>
      <c r="DUN71" s="499"/>
      <c r="DUO71" s="499"/>
      <c r="DUP71" s="499"/>
      <c r="DUQ71" s="499"/>
      <c r="DUR71" s="499"/>
      <c r="DUS71" s="499"/>
      <c r="DUT71" s="499"/>
      <c r="DUU71" s="499"/>
      <c r="DUV71" s="499"/>
      <c r="DUW71" s="499"/>
      <c r="DUX71" s="499"/>
      <c r="DUY71" s="499"/>
      <c r="DUZ71" s="499"/>
      <c r="DVA71" s="499"/>
      <c r="DVB71" s="499"/>
      <c r="DVC71" s="499"/>
      <c r="DVD71" s="499"/>
      <c r="DVE71" s="499"/>
      <c r="DVF71" s="499"/>
      <c r="DVG71" s="499"/>
      <c r="DVH71" s="499"/>
      <c r="DVI71" s="499"/>
      <c r="DVJ71" s="499"/>
      <c r="DVK71" s="499"/>
      <c r="DVL71" s="499"/>
      <c r="DVM71" s="499"/>
      <c r="DVN71" s="499"/>
      <c r="DVO71" s="499"/>
      <c r="DVP71" s="499"/>
      <c r="DVQ71" s="499"/>
      <c r="DVR71" s="499"/>
      <c r="DVS71" s="499"/>
      <c r="DVT71" s="499"/>
      <c r="DVU71" s="499"/>
      <c r="DVV71" s="499"/>
      <c r="DVW71" s="499"/>
      <c r="DVX71" s="499"/>
      <c r="DVY71" s="499"/>
      <c r="DVZ71" s="499"/>
      <c r="DWA71" s="499"/>
      <c r="DWB71" s="499"/>
      <c r="DWC71" s="499"/>
      <c r="DWD71" s="499"/>
      <c r="DWE71" s="499"/>
      <c r="DWF71" s="499"/>
      <c r="DWG71" s="499"/>
      <c r="DWH71" s="499"/>
      <c r="DWI71" s="499"/>
      <c r="DWJ71" s="499"/>
      <c r="DWK71" s="499"/>
      <c r="DWL71" s="499"/>
      <c r="DWM71" s="499"/>
      <c r="DWN71" s="499"/>
      <c r="DWO71" s="499"/>
      <c r="DWP71" s="499"/>
      <c r="DWQ71" s="499"/>
      <c r="DWR71" s="499"/>
      <c r="DWS71" s="499"/>
      <c r="DWT71" s="499"/>
      <c r="DWU71" s="499"/>
      <c r="DWV71" s="499"/>
      <c r="DWW71" s="499"/>
      <c r="DWX71" s="499"/>
      <c r="DWY71" s="499"/>
      <c r="DWZ71" s="499"/>
      <c r="DXA71" s="499"/>
      <c r="DXB71" s="499"/>
      <c r="DXC71" s="499"/>
      <c r="DXD71" s="499"/>
      <c r="DXE71" s="499"/>
      <c r="DXF71" s="499"/>
      <c r="DXG71" s="499"/>
      <c r="DXH71" s="499"/>
      <c r="DXI71" s="499"/>
      <c r="DXJ71" s="499"/>
      <c r="DXK71" s="499"/>
      <c r="DXL71" s="499"/>
      <c r="DXM71" s="499"/>
      <c r="DXN71" s="499"/>
      <c r="DXO71" s="499"/>
      <c r="DXP71" s="499"/>
      <c r="DXQ71" s="499"/>
      <c r="DXR71" s="499"/>
      <c r="DXS71" s="499"/>
      <c r="DXT71" s="499"/>
      <c r="DXU71" s="499"/>
      <c r="DXV71" s="499"/>
      <c r="DXW71" s="499"/>
      <c r="DXX71" s="499"/>
      <c r="DXY71" s="499"/>
      <c r="DXZ71" s="499"/>
      <c r="DYA71" s="499"/>
      <c r="DYB71" s="499"/>
      <c r="DYC71" s="499"/>
      <c r="DYD71" s="499"/>
      <c r="DYE71" s="499"/>
      <c r="DYF71" s="499"/>
      <c r="DYG71" s="499"/>
      <c r="DYH71" s="499"/>
      <c r="DYI71" s="499"/>
      <c r="DYJ71" s="499"/>
      <c r="DYK71" s="499"/>
      <c r="DYL71" s="499"/>
      <c r="DYM71" s="499"/>
      <c r="DYN71" s="499"/>
      <c r="DYO71" s="499"/>
      <c r="DYP71" s="499"/>
      <c r="DYQ71" s="499"/>
      <c r="DYR71" s="499"/>
      <c r="DYS71" s="499"/>
      <c r="DYT71" s="499"/>
      <c r="DYU71" s="499"/>
      <c r="DYV71" s="499"/>
      <c r="DYW71" s="499"/>
      <c r="DYX71" s="499"/>
      <c r="DYY71" s="499"/>
      <c r="DYZ71" s="499"/>
      <c r="DZA71" s="499"/>
      <c r="DZB71" s="499"/>
      <c r="DZC71" s="499"/>
      <c r="DZD71" s="499"/>
      <c r="DZE71" s="499"/>
      <c r="DZF71" s="499"/>
      <c r="DZG71" s="499"/>
      <c r="DZH71" s="499"/>
      <c r="DZI71" s="499"/>
      <c r="DZJ71" s="499"/>
      <c r="DZK71" s="499"/>
      <c r="DZL71" s="499"/>
      <c r="DZM71" s="499"/>
      <c r="DZN71" s="499"/>
      <c r="DZO71" s="499"/>
      <c r="DZP71" s="499"/>
      <c r="DZQ71" s="499"/>
      <c r="DZR71" s="499"/>
      <c r="DZS71" s="499"/>
      <c r="DZT71" s="499"/>
      <c r="DZU71" s="499"/>
      <c r="DZV71" s="499"/>
      <c r="DZW71" s="499"/>
      <c r="DZX71" s="499"/>
      <c r="DZY71" s="499"/>
      <c r="DZZ71" s="499"/>
      <c r="EAA71" s="499"/>
      <c r="EAB71" s="499"/>
      <c r="EAC71" s="499"/>
      <c r="EAD71" s="499"/>
      <c r="EAE71" s="499"/>
      <c r="EAF71" s="499"/>
      <c r="EAG71" s="499"/>
      <c r="EAH71" s="499"/>
      <c r="EAI71" s="499"/>
      <c r="EAJ71" s="499"/>
      <c r="EAK71" s="499"/>
      <c r="EAL71" s="499"/>
      <c r="EAM71" s="499"/>
      <c r="EAN71" s="499"/>
      <c r="EAO71" s="499"/>
      <c r="EAP71" s="499"/>
      <c r="EAQ71" s="499"/>
      <c r="EAR71" s="499"/>
      <c r="EAS71" s="499"/>
      <c r="EAT71" s="499"/>
      <c r="EAU71" s="499"/>
      <c r="EAV71" s="499"/>
      <c r="EAW71" s="499"/>
      <c r="EAX71" s="499"/>
      <c r="EAY71" s="499"/>
      <c r="EAZ71" s="499"/>
      <c r="EBA71" s="499"/>
      <c r="EBB71" s="499"/>
      <c r="EBC71" s="499"/>
      <c r="EBD71" s="499"/>
      <c r="EBE71" s="499"/>
      <c r="EBF71" s="499"/>
      <c r="EBG71" s="499"/>
      <c r="EBH71" s="499"/>
      <c r="EBI71" s="499"/>
      <c r="EBJ71" s="499"/>
      <c r="EBK71" s="499"/>
      <c r="EBL71" s="499"/>
      <c r="EBM71" s="499"/>
      <c r="EBN71" s="499"/>
      <c r="EBO71" s="499"/>
      <c r="EBP71" s="499"/>
      <c r="EBQ71" s="499"/>
      <c r="EBR71" s="499"/>
      <c r="EBS71" s="499"/>
      <c r="EBT71" s="499"/>
      <c r="EBU71" s="499"/>
      <c r="EBV71" s="499"/>
      <c r="EBW71" s="499"/>
      <c r="EBX71" s="499"/>
      <c r="EBY71" s="499"/>
      <c r="EBZ71" s="499"/>
      <c r="ECA71" s="499"/>
      <c r="ECB71" s="499"/>
      <c r="ECC71" s="499"/>
      <c r="ECD71" s="499"/>
      <c r="ECE71" s="499"/>
      <c r="ECF71" s="499"/>
      <c r="ECG71" s="499"/>
      <c r="ECH71" s="499"/>
      <c r="ECI71" s="499"/>
      <c r="ECJ71" s="499"/>
      <c r="ECK71" s="499"/>
      <c r="ECL71" s="499"/>
      <c r="ECM71" s="499"/>
      <c r="ECN71" s="499"/>
      <c r="ECO71" s="499"/>
      <c r="ECP71" s="499"/>
      <c r="ECQ71" s="499"/>
      <c r="ECR71" s="499"/>
      <c r="ECS71" s="499"/>
      <c r="ECT71" s="499"/>
      <c r="ECU71" s="499"/>
      <c r="ECV71" s="499"/>
      <c r="ECW71" s="499"/>
      <c r="ECX71" s="499"/>
      <c r="ECY71" s="499"/>
      <c r="ECZ71" s="499"/>
      <c r="EDA71" s="499"/>
      <c r="EDB71" s="499"/>
      <c r="EDC71" s="499"/>
      <c r="EDD71" s="499"/>
      <c r="EDE71" s="499"/>
      <c r="EDF71" s="499"/>
      <c r="EDG71" s="499"/>
      <c r="EDH71" s="499"/>
      <c r="EDI71" s="499"/>
      <c r="EDJ71" s="499"/>
      <c r="EDK71" s="499"/>
      <c r="EDL71" s="499"/>
      <c r="EDM71" s="499"/>
      <c r="EDN71" s="499"/>
      <c r="EDO71" s="499"/>
      <c r="EDP71" s="499"/>
      <c r="EDQ71" s="499"/>
      <c r="EDR71" s="499"/>
      <c r="EDS71" s="499"/>
      <c r="EDT71" s="499"/>
      <c r="EDU71" s="499"/>
      <c r="EDV71" s="499"/>
      <c r="EDW71" s="499"/>
      <c r="EDX71" s="499"/>
      <c r="EDY71" s="499"/>
      <c r="EDZ71" s="499"/>
      <c r="EEA71" s="499"/>
      <c r="EEB71" s="499"/>
      <c r="EEC71" s="499"/>
      <c r="EED71" s="499"/>
      <c r="EEE71" s="499"/>
      <c r="EEF71" s="499"/>
      <c r="EEG71" s="499"/>
      <c r="EEH71" s="499"/>
      <c r="EEI71" s="499"/>
      <c r="EEJ71" s="499"/>
      <c r="EEK71" s="499"/>
      <c r="EEL71" s="499"/>
      <c r="EEM71" s="499"/>
      <c r="EEN71" s="499"/>
      <c r="EEO71" s="499"/>
      <c r="EEP71" s="499"/>
      <c r="EEQ71" s="499"/>
      <c r="EER71" s="499"/>
      <c r="EES71" s="499"/>
      <c r="EET71" s="499"/>
      <c r="EEU71" s="499"/>
      <c r="EEV71" s="499"/>
      <c r="EEW71" s="499"/>
      <c r="EEX71" s="499"/>
      <c r="EEY71" s="499"/>
      <c r="EEZ71" s="499"/>
      <c r="EFA71" s="499"/>
      <c r="EFB71" s="499"/>
      <c r="EFC71" s="499"/>
      <c r="EFD71" s="499"/>
      <c r="EFE71" s="499"/>
      <c r="EFF71" s="499"/>
      <c r="EFG71" s="499"/>
      <c r="EFH71" s="499"/>
      <c r="EFI71" s="499"/>
      <c r="EFJ71" s="499"/>
      <c r="EFK71" s="499"/>
      <c r="EFL71" s="499"/>
      <c r="EFM71" s="499"/>
      <c r="EFN71" s="499"/>
      <c r="EFO71" s="499"/>
      <c r="EFP71" s="499"/>
      <c r="EFQ71" s="499"/>
      <c r="EFR71" s="499"/>
      <c r="EFS71" s="499"/>
      <c r="EFT71" s="499"/>
      <c r="EFU71" s="499"/>
      <c r="EFV71" s="499"/>
      <c r="EFW71" s="499"/>
      <c r="EFX71" s="499"/>
      <c r="EFY71" s="499"/>
      <c r="EFZ71" s="499"/>
      <c r="EGA71" s="499"/>
      <c r="EGB71" s="499"/>
      <c r="EGC71" s="499"/>
      <c r="EGD71" s="499"/>
      <c r="EGE71" s="499"/>
      <c r="EGF71" s="499"/>
      <c r="EGG71" s="499"/>
      <c r="EGH71" s="499"/>
      <c r="EGI71" s="499"/>
      <c r="EGJ71" s="499"/>
      <c r="EGK71" s="499"/>
      <c r="EGL71" s="499"/>
      <c r="EGM71" s="499"/>
      <c r="EGN71" s="499"/>
      <c r="EGO71" s="499"/>
      <c r="EGP71" s="499"/>
      <c r="EGQ71" s="499"/>
      <c r="EGR71" s="499"/>
      <c r="EGS71" s="499"/>
      <c r="EGT71" s="499"/>
      <c r="EGU71" s="499"/>
      <c r="EGV71" s="499"/>
      <c r="EGW71" s="499"/>
      <c r="EGX71" s="499"/>
      <c r="EGY71" s="499"/>
      <c r="EGZ71" s="499"/>
      <c r="EHA71" s="499"/>
      <c r="EHB71" s="499"/>
      <c r="EHC71" s="499"/>
      <c r="EHD71" s="499"/>
      <c r="EHE71" s="499"/>
      <c r="EHF71" s="499"/>
      <c r="EHG71" s="499"/>
      <c r="EHH71" s="499"/>
      <c r="EHI71" s="499"/>
      <c r="EHJ71" s="499"/>
      <c r="EHK71" s="499"/>
      <c r="EHL71" s="499"/>
      <c r="EHM71" s="499"/>
      <c r="EHN71" s="499"/>
      <c r="EHO71" s="499"/>
      <c r="EHP71" s="499"/>
      <c r="EHQ71" s="499"/>
      <c r="EHR71" s="499"/>
      <c r="EHS71" s="499"/>
      <c r="EHT71" s="499"/>
      <c r="EHU71" s="499"/>
      <c r="EHV71" s="499"/>
      <c r="EHW71" s="499"/>
      <c r="EHX71" s="499"/>
      <c r="EHY71" s="499"/>
      <c r="EHZ71" s="499"/>
      <c r="EIA71" s="499"/>
      <c r="EIB71" s="499"/>
      <c r="EIC71" s="499"/>
      <c r="EID71" s="499"/>
      <c r="EIE71" s="499"/>
      <c r="EIF71" s="499"/>
      <c r="EIG71" s="499"/>
      <c r="EIH71" s="499"/>
      <c r="EII71" s="499"/>
      <c r="EIJ71" s="499"/>
      <c r="EIK71" s="499"/>
      <c r="EIL71" s="499"/>
      <c r="EIM71" s="499"/>
      <c r="EIN71" s="499"/>
      <c r="EIO71" s="499"/>
      <c r="EIP71" s="499"/>
      <c r="EIQ71" s="499"/>
      <c r="EIR71" s="499"/>
      <c r="EIS71" s="499"/>
      <c r="EIT71" s="499"/>
      <c r="EIU71" s="499"/>
      <c r="EIV71" s="499"/>
      <c r="EIW71" s="499"/>
      <c r="EIX71" s="499"/>
      <c r="EIY71" s="499"/>
      <c r="EIZ71" s="499"/>
      <c r="EJA71" s="499"/>
      <c r="EJB71" s="499"/>
      <c r="EJC71" s="499"/>
      <c r="EJD71" s="499"/>
      <c r="EJE71" s="499"/>
      <c r="EJF71" s="499"/>
      <c r="EJG71" s="499"/>
      <c r="EJH71" s="499"/>
      <c r="EJI71" s="499"/>
      <c r="EJJ71" s="499"/>
      <c r="EJK71" s="499"/>
      <c r="EJL71" s="499"/>
      <c r="EJM71" s="499"/>
      <c r="EJN71" s="499"/>
      <c r="EJO71" s="499"/>
      <c r="EJP71" s="499"/>
      <c r="EJQ71" s="499"/>
      <c r="EJR71" s="499"/>
      <c r="EJS71" s="499"/>
      <c r="EJT71" s="499"/>
      <c r="EJU71" s="499"/>
      <c r="EJV71" s="499"/>
      <c r="EJW71" s="499"/>
      <c r="EJX71" s="499"/>
      <c r="EJY71" s="499"/>
      <c r="EJZ71" s="499"/>
      <c r="EKA71" s="499"/>
      <c r="EKB71" s="499"/>
      <c r="EKC71" s="499"/>
      <c r="EKD71" s="499"/>
      <c r="EKE71" s="499"/>
      <c r="EKF71" s="499"/>
      <c r="EKG71" s="499"/>
      <c r="EKH71" s="499"/>
      <c r="EKI71" s="499"/>
      <c r="EKJ71" s="499"/>
      <c r="EKK71" s="499"/>
      <c r="EKL71" s="499"/>
      <c r="EKM71" s="499"/>
      <c r="EKN71" s="499"/>
      <c r="EKO71" s="499"/>
      <c r="EKP71" s="499"/>
      <c r="EKQ71" s="499"/>
      <c r="EKR71" s="499"/>
      <c r="EKS71" s="499"/>
      <c r="EKT71" s="499"/>
      <c r="EKU71" s="499"/>
      <c r="EKV71" s="499"/>
      <c r="EKW71" s="499"/>
      <c r="EKX71" s="499"/>
      <c r="EKY71" s="499"/>
      <c r="EKZ71" s="499"/>
      <c r="ELA71" s="499"/>
      <c r="ELB71" s="499"/>
      <c r="ELC71" s="499"/>
      <c r="ELD71" s="499"/>
      <c r="ELE71" s="499"/>
      <c r="ELF71" s="499"/>
      <c r="ELG71" s="499"/>
      <c r="ELH71" s="499"/>
      <c r="ELI71" s="499"/>
      <c r="ELJ71" s="499"/>
      <c r="ELK71" s="499"/>
      <c r="ELL71" s="499"/>
      <c r="ELM71" s="499"/>
      <c r="ELN71" s="499"/>
      <c r="ELO71" s="499"/>
      <c r="ELP71" s="499"/>
      <c r="ELQ71" s="499"/>
      <c r="ELR71" s="499"/>
      <c r="ELS71" s="499"/>
      <c r="ELT71" s="499"/>
      <c r="ELU71" s="499"/>
      <c r="ELV71" s="499"/>
      <c r="ELW71" s="499"/>
      <c r="ELX71" s="499"/>
      <c r="ELY71" s="499"/>
      <c r="ELZ71" s="499"/>
      <c r="EMA71" s="499"/>
      <c r="EMB71" s="499"/>
      <c r="EMC71" s="499"/>
      <c r="EMD71" s="499"/>
      <c r="EME71" s="499"/>
      <c r="EMF71" s="499"/>
      <c r="EMG71" s="499"/>
      <c r="EMH71" s="499"/>
      <c r="EMI71" s="499"/>
      <c r="EMJ71" s="499"/>
      <c r="EMK71" s="499"/>
      <c r="EML71" s="499"/>
      <c r="EMM71" s="499"/>
      <c r="EMN71" s="499"/>
      <c r="EMO71" s="499"/>
      <c r="EMP71" s="499"/>
      <c r="EMQ71" s="499"/>
      <c r="EMR71" s="499"/>
      <c r="EMS71" s="499"/>
      <c r="EMT71" s="499"/>
      <c r="EMU71" s="499"/>
      <c r="EMV71" s="499"/>
      <c r="EMW71" s="499"/>
      <c r="EMX71" s="499"/>
      <c r="EMY71" s="499"/>
      <c r="EMZ71" s="499"/>
      <c r="ENA71" s="499"/>
      <c r="ENB71" s="499"/>
      <c r="ENC71" s="499"/>
      <c r="END71" s="499"/>
      <c r="ENE71" s="499"/>
      <c r="ENF71" s="499"/>
      <c r="ENG71" s="499"/>
      <c r="ENH71" s="499"/>
      <c r="ENI71" s="499"/>
      <c r="ENJ71" s="499"/>
      <c r="ENK71" s="499"/>
      <c r="ENL71" s="499"/>
      <c r="ENM71" s="499"/>
      <c r="ENN71" s="499"/>
      <c r="ENO71" s="499"/>
      <c r="ENP71" s="499"/>
      <c r="ENQ71" s="499"/>
      <c r="ENR71" s="499"/>
      <c r="ENS71" s="499"/>
      <c r="ENT71" s="499"/>
      <c r="ENU71" s="499"/>
      <c r="ENV71" s="499"/>
      <c r="ENW71" s="499"/>
      <c r="ENX71" s="499"/>
      <c r="ENY71" s="499"/>
      <c r="ENZ71" s="499"/>
      <c r="EOA71" s="499"/>
      <c r="EOB71" s="499"/>
      <c r="EOC71" s="499"/>
      <c r="EOD71" s="499"/>
      <c r="EOE71" s="499"/>
      <c r="EOF71" s="499"/>
      <c r="EOG71" s="499"/>
      <c r="EOH71" s="499"/>
      <c r="EOI71" s="499"/>
      <c r="EOJ71" s="499"/>
      <c r="EOK71" s="499"/>
      <c r="EOL71" s="499"/>
      <c r="EOM71" s="499"/>
      <c r="EON71" s="499"/>
      <c r="EOO71" s="499"/>
      <c r="EOP71" s="499"/>
      <c r="EOQ71" s="499"/>
      <c r="EOR71" s="499"/>
      <c r="EOS71" s="499"/>
      <c r="EOT71" s="499"/>
      <c r="EOU71" s="499"/>
      <c r="EOV71" s="499"/>
      <c r="EOW71" s="499"/>
      <c r="EOX71" s="499"/>
      <c r="EOY71" s="499"/>
      <c r="EOZ71" s="499"/>
      <c r="EPA71" s="499"/>
      <c r="EPB71" s="499"/>
      <c r="EPC71" s="499"/>
      <c r="EPD71" s="499"/>
      <c r="EPE71" s="499"/>
      <c r="EPF71" s="499"/>
      <c r="EPG71" s="499"/>
      <c r="EPH71" s="499"/>
      <c r="EPI71" s="499"/>
      <c r="EPJ71" s="499"/>
      <c r="EPK71" s="499"/>
      <c r="EPL71" s="499"/>
      <c r="EPM71" s="499"/>
      <c r="EPN71" s="499"/>
      <c r="EPO71" s="499"/>
      <c r="EPP71" s="499"/>
      <c r="EPQ71" s="499"/>
      <c r="EPR71" s="499"/>
      <c r="EPS71" s="499"/>
      <c r="EPT71" s="499"/>
      <c r="EPU71" s="499"/>
      <c r="EPV71" s="499"/>
      <c r="EPW71" s="499"/>
      <c r="EPX71" s="499"/>
      <c r="EPY71" s="499"/>
      <c r="EPZ71" s="499"/>
      <c r="EQA71" s="499"/>
      <c r="EQB71" s="499"/>
      <c r="EQC71" s="499"/>
      <c r="EQD71" s="499"/>
      <c r="EQE71" s="499"/>
      <c r="EQF71" s="499"/>
      <c r="EQG71" s="499"/>
      <c r="EQH71" s="499"/>
      <c r="EQI71" s="499"/>
      <c r="EQJ71" s="499"/>
      <c r="EQK71" s="499"/>
      <c r="EQL71" s="499"/>
      <c r="EQM71" s="499"/>
      <c r="EQN71" s="499"/>
      <c r="EQO71" s="499"/>
      <c r="EQP71" s="499"/>
      <c r="EQQ71" s="499"/>
      <c r="EQR71" s="499"/>
      <c r="EQS71" s="499"/>
      <c r="EQT71" s="499"/>
      <c r="EQU71" s="499"/>
      <c r="EQV71" s="499"/>
      <c r="EQW71" s="499"/>
      <c r="EQX71" s="499"/>
      <c r="EQY71" s="499"/>
      <c r="EQZ71" s="499"/>
      <c r="ERA71" s="499"/>
      <c r="ERB71" s="499"/>
      <c r="ERC71" s="499"/>
      <c r="ERD71" s="499"/>
      <c r="ERE71" s="499"/>
      <c r="ERF71" s="499"/>
      <c r="ERG71" s="499"/>
      <c r="ERH71" s="499"/>
      <c r="ERI71" s="499"/>
      <c r="ERJ71" s="499"/>
      <c r="ERK71" s="499"/>
      <c r="ERL71" s="499"/>
      <c r="ERM71" s="499"/>
      <c r="ERN71" s="499"/>
      <c r="ERO71" s="499"/>
      <c r="ERP71" s="499"/>
      <c r="ERQ71" s="499"/>
      <c r="ERR71" s="499"/>
      <c r="ERS71" s="499"/>
      <c r="ERT71" s="499"/>
      <c r="ERU71" s="499"/>
      <c r="ERV71" s="499"/>
      <c r="ERW71" s="499"/>
      <c r="ERX71" s="499"/>
      <c r="ERY71" s="499"/>
      <c r="ERZ71" s="499"/>
      <c r="ESA71" s="499"/>
      <c r="ESB71" s="499"/>
      <c r="ESC71" s="499"/>
      <c r="ESD71" s="499"/>
      <c r="ESE71" s="499"/>
      <c r="ESF71" s="499"/>
      <c r="ESG71" s="499"/>
      <c r="ESH71" s="499"/>
      <c r="ESI71" s="499"/>
      <c r="ESJ71" s="499"/>
      <c r="ESK71" s="499"/>
      <c r="ESL71" s="499"/>
      <c r="ESM71" s="499"/>
      <c r="ESN71" s="499"/>
      <c r="ESO71" s="499"/>
      <c r="ESP71" s="499"/>
      <c r="ESQ71" s="499"/>
      <c r="ESR71" s="499"/>
      <c r="ESS71" s="499"/>
      <c r="EST71" s="499"/>
      <c r="ESU71" s="499"/>
      <c r="ESV71" s="499"/>
      <c r="ESW71" s="499"/>
      <c r="ESX71" s="499"/>
      <c r="ESY71" s="499"/>
      <c r="ESZ71" s="499"/>
      <c r="ETA71" s="499"/>
      <c r="ETB71" s="499"/>
      <c r="ETC71" s="499"/>
      <c r="ETD71" s="499"/>
      <c r="ETE71" s="499"/>
      <c r="ETF71" s="499"/>
      <c r="ETG71" s="499"/>
      <c r="ETH71" s="499"/>
      <c r="ETI71" s="499"/>
      <c r="ETJ71" s="499"/>
      <c r="ETK71" s="499"/>
      <c r="ETL71" s="499"/>
      <c r="ETM71" s="499"/>
      <c r="ETN71" s="499"/>
      <c r="ETO71" s="499"/>
      <c r="ETP71" s="499"/>
      <c r="ETQ71" s="499"/>
      <c r="ETR71" s="499"/>
      <c r="ETS71" s="499"/>
      <c r="ETT71" s="499"/>
      <c r="ETU71" s="499"/>
      <c r="ETV71" s="499"/>
      <c r="ETW71" s="499"/>
      <c r="ETX71" s="499"/>
      <c r="ETY71" s="499"/>
      <c r="ETZ71" s="499"/>
      <c r="EUA71" s="499"/>
      <c r="EUB71" s="499"/>
      <c r="EUC71" s="499"/>
      <c r="EUD71" s="499"/>
      <c r="EUE71" s="499"/>
      <c r="EUF71" s="499"/>
      <c r="EUG71" s="499"/>
      <c r="EUH71" s="499"/>
      <c r="EUI71" s="499"/>
      <c r="EUJ71" s="499"/>
      <c r="EUK71" s="499"/>
      <c r="EUL71" s="499"/>
      <c r="EUM71" s="499"/>
      <c r="EUN71" s="499"/>
      <c r="EUO71" s="499"/>
      <c r="EUP71" s="499"/>
      <c r="EUQ71" s="499"/>
      <c r="EUR71" s="499"/>
      <c r="EUS71" s="499"/>
      <c r="EUT71" s="499"/>
      <c r="EUU71" s="499"/>
      <c r="EUV71" s="499"/>
      <c r="EUW71" s="499"/>
      <c r="EUX71" s="499"/>
      <c r="EUY71" s="499"/>
      <c r="EUZ71" s="499"/>
      <c r="EVA71" s="499"/>
      <c r="EVB71" s="499"/>
      <c r="EVC71" s="499"/>
      <c r="EVD71" s="499"/>
      <c r="EVE71" s="499"/>
      <c r="EVF71" s="499"/>
      <c r="EVG71" s="499"/>
      <c r="EVH71" s="499"/>
      <c r="EVI71" s="499"/>
      <c r="EVJ71" s="499"/>
      <c r="EVK71" s="499"/>
      <c r="EVL71" s="499"/>
      <c r="EVM71" s="499"/>
      <c r="EVN71" s="499"/>
      <c r="EVO71" s="499"/>
      <c r="EVP71" s="499"/>
      <c r="EVQ71" s="499"/>
      <c r="EVR71" s="499"/>
      <c r="EVS71" s="499"/>
      <c r="EVT71" s="499"/>
      <c r="EVU71" s="499"/>
      <c r="EVV71" s="499"/>
      <c r="EVW71" s="499"/>
      <c r="EVX71" s="499"/>
      <c r="EVY71" s="499"/>
      <c r="EVZ71" s="499"/>
      <c r="EWA71" s="499"/>
      <c r="EWB71" s="499"/>
      <c r="EWC71" s="499"/>
      <c r="EWD71" s="499"/>
      <c r="EWE71" s="499"/>
      <c r="EWF71" s="499"/>
      <c r="EWG71" s="499"/>
      <c r="EWH71" s="499"/>
      <c r="EWI71" s="499"/>
      <c r="EWJ71" s="499"/>
      <c r="EWK71" s="499"/>
      <c r="EWL71" s="499"/>
      <c r="EWM71" s="499"/>
      <c r="EWN71" s="499"/>
      <c r="EWO71" s="499"/>
      <c r="EWP71" s="499"/>
      <c r="EWQ71" s="499"/>
      <c r="EWR71" s="499"/>
      <c r="EWS71" s="499"/>
      <c r="EWT71" s="499"/>
      <c r="EWU71" s="499"/>
      <c r="EWV71" s="499"/>
      <c r="EWW71" s="499"/>
      <c r="EWX71" s="499"/>
      <c r="EWY71" s="499"/>
      <c r="EWZ71" s="499"/>
      <c r="EXA71" s="499"/>
      <c r="EXB71" s="499"/>
      <c r="EXC71" s="499"/>
      <c r="EXD71" s="499"/>
      <c r="EXE71" s="499"/>
      <c r="EXF71" s="499"/>
      <c r="EXG71" s="499"/>
      <c r="EXH71" s="499"/>
      <c r="EXI71" s="499"/>
      <c r="EXJ71" s="499"/>
      <c r="EXK71" s="499"/>
      <c r="EXL71" s="499"/>
      <c r="EXM71" s="499"/>
      <c r="EXN71" s="499"/>
      <c r="EXO71" s="499"/>
      <c r="EXP71" s="499"/>
      <c r="EXQ71" s="499"/>
      <c r="EXR71" s="499"/>
      <c r="EXS71" s="499"/>
      <c r="EXT71" s="499"/>
      <c r="EXU71" s="499"/>
      <c r="EXV71" s="499"/>
      <c r="EXW71" s="499"/>
      <c r="EXX71" s="499"/>
      <c r="EXY71" s="499"/>
      <c r="EXZ71" s="499"/>
      <c r="EYA71" s="499"/>
      <c r="EYB71" s="499"/>
      <c r="EYC71" s="499"/>
      <c r="EYD71" s="499"/>
      <c r="EYE71" s="499"/>
      <c r="EYF71" s="499"/>
      <c r="EYG71" s="499"/>
      <c r="EYH71" s="499"/>
      <c r="EYI71" s="499"/>
      <c r="EYJ71" s="499"/>
      <c r="EYK71" s="499"/>
      <c r="EYL71" s="499"/>
      <c r="EYM71" s="499"/>
      <c r="EYN71" s="499"/>
      <c r="EYO71" s="499"/>
      <c r="EYP71" s="499"/>
      <c r="EYQ71" s="499"/>
      <c r="EYR71" s="499"/>
      <c r="EYS71" s="499"/>
      <c r="EYT71" s="499"/>
      <c r="EYU71" s="499"/>
      <c r="EYV71" s="499"/>
      <c r="EYW71" s="499"/>
      <c r="EYX71" s="499"/>
      <c r="EYY71" s="499"/>
      <c r="EYZ71" s="499"/>
      <c r="EZA71" s="499"/>
      <c r="EZB71" s="499"/>
      <c r="EZC71" s="499"/>
      <c r="EZD71" s="499"/>
      <c r="EZE71" s="499"/>
      <c r="EZF71" s="499"/>
      <c r="EZG71" s="499"/>
      <c r="EZH71" s="499"/>
      <c r="EZI71" s="499"/>
      <c r="EZJ71" s="499"/>
      <c r="EZK71" s="499"/>
      <c r="EZL71" s="499"/>
      <c r="EZM71" s="499"/>
      <c r="EZN71" s="499"/>
      <c r="EZO71" s="499"/>
      <c r="EZP71" s="499"/>
      <c r="EZQ71" s="499"/>
      <c r="EZR71" s="499"/>
      <c r="EZS71" s="499"/>
      <c r="EZT71" s="499"/>
      <c r="EZU71" s="499"/>
      <c r="EZV71" s="499"/>
      <c r="EZW71" s="499"/>
      <c r="EZX71" s="499"/>
      <c r="EZY71" s="499"/>
      <c r="EZZ71" s="499"/>
      <c r="FAA71" s="499"/>
      <c r="FAB71" s="499"/>
      <c r="FAC71" s="499"/>
      <c r="FAD71" s="499"/>
      <c r="FAE71" s="499"/>
      <c r="FAF71" s="499"/>
      <c r="FAG71" s="499"/>
      <c r="FAH71" s="499"/>
      <c r="FAI71" s="499"/>
      <c r="FAJ71" s="499"/>
      <c r="FAK71" s="499"/>
      <c r="FAL71" s="499"/>
      <c r="FAM71" s="499"/>
      <c r="FAN71" s="499"/>
      <c r="FAO71" s="499"/>
      <c r="FAP71" s="499"/>
      <c r="FAQ71" s="499"/>
      <c r="FAR71" s="499"/>
      <c r="FAS71" s="499"/>
      <c r="FAT71" s="499"/>
      <c r="FAU71" s="499"/>
      <c r="FAV71" s="499"/>
      <c r="FAW71" s="499"/>
      <c r="FAX71" s="499"/>
      <c r="FAY71" s="499"/>
      <c r="FAZ71" s="499"/>
      <c r="FBA71" s="499"/>
      <c r="FBB71" s="499"/>
      <c r="FBC71" s="499"/>
      <c r="FBD71" s="499"/>
      <c r="FBE71" s="499"/>
      <c r="FBF71" s="499"/>
      <c r="FBG71" s="499"/>
      <c r="FBH71" s="499"/>
      <c r="FBI71" s="499"/>
      <c r="FBJ71" s="499"/>
      <c r="FBK71" s="499"/>
      <c r="FBL71" s="499"/>
      <c r="FBM71" s="499"/>
      <c r="FBN71" s="499"/>
      <c r="FBO71" s="499"/>
      <c r="FBP71" s="499"/>
      <c r="FBQ71" s="499"/>
      <c r="FBR71" s="499"/>
      <c r="FBS71" s="499"/>
      <c r="FBT71" s="499"/>
      <c r="FBU71" s="499"/>
      <c r="FBV71" s="499"/>
      <c r="FBW71" s="499"/>
      <c r="FBX71" s="499"/>
      <c r="FBY71" s="499"/>
      <c r="FBZ71" s="499"/>
      <c r="FCA71" s="499"/>
      <c r="FCB71" s="499"/>
      <c r="FCC71" s="499"/>
      <c r="FCD71" s="499"/>
      <c r="FCE71" s="499"/>
      <c r="FCF71" s="499"/>
      <c r="FCG71" s="499"/>
      <c r="FCH71" s="499"/>
      <c r="FCI71" s="499"/>
      <c r="FCJ71" s="499"/>
      <c r="FCK71" s="499"/>
      <c r="FCL71" s="499"/>
      <c r="FCM71" s="499"/>
      <c r="FCN71" s="499"/>
      <c r="FCO71" s="499"/>
      <c r="FCP71" s="499"/>
      <c r="FCQ71" s="499"/>
      <c r="FCR71" s="499"/>
      <c r="FCS71" s="499"/>
      <c r="FCT71" s="499"/>
      <c r="FCU71" s="499"/>
      <c r="FCV71" s="499"/>
      <c r="FCW71" s="499"/>
      <c r="FCX71" s="499"/>
      <c r="FCY71" s="499"/>
      <c r="FCZ71" s="499"/>
      <c r="FDA71" s="499"/>
      <c r="FDB71" s="499"/>
      <c r="FDC71" s="499"/>
      <c r="FDD71" s="499"/>
      <c r="FDE71" s="499"/>
      <c r="FDF71" s="499"/>
      <c r="FDG71" s="499"/>
      <c r="FDH71" s="499"/>
      <c r="FDI71" s="499"/>
      <c r="FDJ71" s="499"/>
      <c r="FDK71" s="499"/>
      <c r="FDL71" s="499"/>
      <c r="FDM71" s="499"/>
      <c r="FDN71" s="499"/>
      <c r="FDO71" s="499"/>
      <c r="FDP71" s="499"/>
      <c r="FDQ71" s="499"/>
      <c r="FDR71" s="499"/>
      <c r="FDS71" s="499"/>
      <c r="FDT71" s="499"/>
      <c r="FDU71" s="499"/>
      <c r="FDV71" s="499"/>
      <c r="FDW71" s="499"/>
      <c r="FDX71" s="499"/>
      <c r="FDY71" s="499"/>
      <c r="FDZ71" s="499"/>
      <c r="FEA71" s="499"/>
      <c r="FEB71" s="499"/>
      <c r="FEC71" s="499"/>
      <c r="FED71" s="499"/>
      <c r="FEE71" s="499"/>
      <c r="FEF71" s="499"/>
      <c r="FEG71" s="499"/>
      <c r="FEH71" s="499"/>
      <c r="FEI71" s="499"/>
      <c r="FEJ71" s="499"/>
      <c r="FEK71" s="499"/>
      <c r="FEL71" s="499"/>
      <c r="FEM71" s="499"/>
      <c r="FEN71" s="499"/>
      <c r="FEO71" s="499"/>
      <c r="FEP71" s="499"/>
      <c r="FEQ71" s="499"/>
      <c r="FER71" s="499"/>
      <c r="FES71" s="499"/>
      <c r="FET71" s="499"/>
      <c r="FEU71" s="499"/>
      <c r="FEV71" s="499"/>
      <c r="FEW71" s="499"/>
      <c r="FEX71" s="499"/>
      <c r="FEY71" s="499"/>
      <c r="FEZ71" s="499"/>
      <c r="FFA71" s="499"/>
      <c r="FFB71" s="499"/>
      <c r="FFC71" s="499"/>
      <c r="FFD71" s="499"/>
      <c r="FFE71" s="499"/>
      <c r="FFF71" s="499"/>
      <c r="FFG71" s="499"/>
      <c r="FFH71" s="499"/>
      <c r="FFI71" s="499"/>
      <c r="FFJ71" s="499"/>
      <c r="FFK71" s="499"/>
      <c r="FFL71" s="499"/>
      <c r="FFM71" s="499"/>
      <c r="FFN71" s="499"/>
      <c r="FFO71" s="499"/>
      <c r="FFP71" s="499"/>
      <c r="FFQ71" s="499"/>
      <c r="FFR71" s="499"/>
      <c r="FFS71" s="499"/>
      <c r="FFT71" s="499"/>
      <c r="FFU71" s="499"/>
      <c r="FFV71" s="499"/>
      <c r="FFW71" s="499"/>
      <c r="FFX71" s="499"/>
      <c r="FFY71" s="499"/>
      <c r="FFZ71" s="499"/>
      <c r="FGA71" s="499"/>
      <c r="FGB71" s="499"/>
      <c r="FGC71" s="499"/>
      <c r="FGD71" s="499"/>
      <c r="FGE71" s="499"/>
      <c r="FGF71" s="499"/>
      <c r="FGG71" s="499"/>
      <c r="FGH71" s="499"/>
      <c r="FGI71" s="499"/>
      <c r="FGJ71" s="499"/>
      <c r="FGK71" s="499"/>
      <c r="FGL71" s="499"/>
      <c r="FGM71" s="499"/>
      <c r="FGN71" s="499"/>
      <c r="FGO71" s="499"/>
      <c r="FGP71" s="499"/>
      <c r="FGQ71" s="499"/>
      <c r="FGR71" s="499"/>
      <c r="FGS71" s="499"/>
      <c r="FGT71" s="499"/>
      <c r="FGU71" s="499"/>
      <c r="FGV71" s="499"/>
      <c r="FGW71" s="499"/>
      <c r="FGX71" s="499"/>
      <c r="FGY71" s="499"/>
      <c r="FGZ71" s="499"/>
      <c r="FHA71" s="499"/>
      <c r="FHB71" s="499"/>
      <c r="FHC71" s="499"/>
      <c r="FHD71" s="499"/>
      <c r="FHE71" s="499"/>
      <c r="FHF71" s="499"/>
      <c r="FHG71" s="499"/>
      <c r="FHH71" s="499"/>
      <c r="FHI71" s="499"/>
      <c r="FHJ71" s="499"/>
      <c r="FHK71" s="499"/>
      <c r="FHL71" s="499"/>
      <c r="FHM71" s="499"/>
      <c r="FHN71" s="499"/>
      <c r="FHO71" s="499"/>
      <c r="FHP71" s="499"/>
      <c r="FHQ71" s="499"/>
      <c r="FHR71" s="499"/>
      <c r="FHS71" s="499"/>
      <c r="FHT71" s="499"/>
      <c r="FHU71" s="499"/>
      <c r="FHV71" s="499"/>
      <c r="FHW71" s="499"/>
      <c r="FHX71" s="499"/>
      <c r="FHY71" s="499"/>
      <c r="FHZ71" s="499"/>
      <c r="FIA71" s="499"/>
      <c r="FIB71" s="499"/>
      <c r="FIC71" s="499"/>
      <c r="FID71" s="499"/>
      <c r="FIE71" s="499"/>
      <c r="FIF71" s="499"/>
      <c r="FIG71" s="499"/>
      <c r="FIH71" s="499"/>
      <c r="FII71" s="499"/>
      <c r="FIJ71" s="499"/>
      <c r="FIK71" s="499"/>
      <c r="FIL71" s="499"/>
      <c r="FIM71" s="499"/>
      <c r="FIN71" s="499"/>
      <c r="FIO71" s="499"/>
      <c r="FIP71" s="499"/>
      <c r="FIQ71" s="499"/>
      <c r="FIR71" s="499"/>
      <c r="FIS71" s="499"/>
      <c r="FIT71" s="499"/>
      <c r="FIU71" s="499"/>
      <c r="FIV71" s="499"/>
      <c r="FIW71" s="499"/>
      <c r="FIX71" s="499"/>
      <c r="FIY71" s="499"/>
      <c r="FIZ71" s="499"/>
      <c r="FJA71" s="499"/>
      <c r="FJB71" s="499"/>
      <c r="FJC71" s="499"/>
      <c r="FJD71" s="499"/>
      <c r="FJE71" s="499"/>
      <c r="FJF71" s="499"/>
      <c r="FJG71" s="499"/>
      <c r="FJH71" s="499"/>
      <c r="FJI71" s="499"/>
      <c r="FJJ71" s="499"/>
      <c r="FJK71" s="499"/>
      <c r="FJL71" s="499"/>
      <c r="FJM71" s="499"/>
      <c r="FJN71" s="499"/>
      <c r="FJO71" s="499"/>
      <c r="FJP71" s="499"/>
      <c r="FJQ71" s="499"/>
      <c r="FJR71" s="499"/>
      <c r="FJS71" s="499"/>
      <c r="FJT71" s="499"/>
      <c r="FJU71" s="499"/>
      <c r="FJV71" s="499"/>
      <c r="FJW71" s="499"/>
      <c r="FJX71" s="499"/>
      <c r="FJY71" s="499"/>
      <c r="FJZ71" s="499"/>
      <c r="FKA71" s="499"/>
      <c r="FKB71" s="499"/>
      <c r="FKC71" s="499"/>
      <c r="FKD71" s="499"/>
      <c r="FKE71" s="499"/>
      <c r="FKF71" s="499"/>
      <c r="FKG71" s="499"/>
      <c r="FKH71" s="499"/>
      <c r="FKI71" s="499"/>
      <c r="FKJ71" s="499"/>
      <c r="FKK71" s="499"/>
      <c r="FKL71" s="499"/>
      <c r="FKM71" s="499"/>
      <c r="FKN71" s="499"/>
      <c r="FKO71" s="499"/>
      <c r="FKP71" s="499"/>
      <c r="FKQ71" s="499"/>
      <c r="FKR71" s="499"/>
      <c r="FKS71" s="499"/>
      <c r="FKT71" s="499"/>
      <c r="FKU71" s="499"/>
      <c r="FKV71" s="499"/>
      <c r="FKW71" s="499"/>
      <c r="FKX71" s="499"/>
      <c r="FKY71" s="499"/>
      <c r="FKZ71" s="499"/>
      <c r="FLA71" s="499"/>
      <c r="FLB71" s="499"/>
      <c r="FLC71" s="499"/>
      <c r="FLD71" s="499"/>
      <c r="FLE71" s="499"/>
      <c r="FLF71" s="499"/>
      <c r="FLG71" s="499"/>
      <c r="FLH71" s="499"/>
      <c r="FLI71" s="499"/>
      <c r="FLJ71" s="499"/>
      <c r="FLK71" s="499"/>
      <c r="FLL71" s="499"/>
      <c r="FLM71" s="499"/>
      <c r="FLN71" s="499"/>
      <c r="FLO71" s="499"/>
      <c r="FLP71" s="499"/>
      <c r="FLQ71" s="499"/>
      <c r="FLR71" s="499"/>
      <c r="FLS71" s="499"/>
      <c r="FLT71" s="499"/>
      <c r="FLU71" s="499"/>
      <c r="FLV71" s="499"/>
      <c r="FLW71" s="499"/>
      <c r="FLX71" s="499"/>
      <c r="FLY71" s="499"/>
      <c r="FLZ71" s="499"/>
      <c r="FMA71" s="499"/>
      <c r="FMB71" s="499"/>
      <c r="FMC71" s="499"/>
      <c r="FMD71" s="499"/>
      <c r="FME71" s="499"/>
      <c r="FMF71" s="499"/>
      <c r="FMG71" s="499"/>
      <c r="FMH71" s="499"/>
      <c r="FMI71" s="499"/>
      <c r="FMJ71" s="499"/>
      <c r="FMK71" s="499"/>
      <c r="FML71" s="499"/>
      <c r="FMM71" s="499"/>
      <c r="FMN71" s="499"/>
      <c r="FMO71" s="499"/>
      <c r="FMP71" s="499"/>
      <c r="FMQ71" s="499"/>
      <c r="FMR71" s="499"/>
      <c r="FMS71" s="499"/>
      <c r="FMT71" s="499"/>
      <c r="FMU71" s="499"/>
      <c r="FMV71" s="499"/>
      <c r="FMW71" s="499"/>
      <c r="FMX71" s="499"/>
      <c r="FMY71" s="499"/>
      <c r="FMZ71" s="499"/>
      <c r="FNA71" s="499"/>
      <c r="FNB71" s="499"/>
      <c r="FNC71" s="499"/>
      <c r="FND71" s="499"/>
      <c r="FNE71" s="499"/>
      <c r="FNF71" s="499"/>
      <c r="FNG71" s="499"/>
      <c r="FNH71" s="499"/>
      <c r="FNI71" s="499"/>
      <c r="FNJ71" s="499"/>
      <c r="FNK71" s="499"/>
      <c r="FNL71" s="499"/>
      <c r="FNM71" s="499"/>
      <c r="FNN71" s="499"/>
      <c r="FNO71" s="499"/>
      <c r="FNP71" s="499"/>
      <c r="FNQ71" s="499"/>
      <c r="FNR71" s="499"/>
      <c r="FNS71" s="499"/>
      <c r="FNT71" s="499"/>
      <c r="FNU71" s="499"/>
      <c r="FNV71" s="499"/>
      <c r="FNW71" s="499"/>
      <c r="FNX71" s="499"/>
      <c r="FNY71" s="499"/>
      <c r="FNZ71" s="499"/>
      <c r="FOA71" s="499"/>
      <c r="FOB71" s="499"/>
      <c r="FOC71" s="499"/>
      <c r="FOD71" s="499"/>
      <c r="FOE71" s="499"/>
      <c r="FOF71" s="499"/>
      <c r="FOG71" s="499"/>
      <c r="FOH71" s="499"/>
      <c r="FOI71" s="499"/>
      <c r="FOJ71" s="499"/>
      <c r="FOK71" s="499"/>
      <c r="FOL71" s="499"/>
      <c r="FOM71" s="499"/>
      <c r="FON71" s="499"/>
      <c r="FOO71" s="499"/>
      <c r="FOP71" s="499"/>
      <c r="FOQ71" s="499"/>
      <c r="FOR71" s="499"/>
      <c r="FOS71" s="499"/>
      <c r="FOT71" s="499"/>
      <c r="FOU71" s="499"/>
      <c r="FOV71" s="499"/>
      <c r="FOW71" s="499"/>
      <c r="FOX71" s="499"/>
      <c r="FOY71" s="499"/>
      <c r="FOZ71" s="499"/>
      <c r="FPA71" s="499"/>
      <c r="FPB71" s="499"/>
      <c r="FPC71" s="499"/>
      <c r="FPD71" s="499"/>
      <c r="FPE71" s="499"/>
      <c r="FPF71" s="499"/>
      <c r="FPG71" s="499"/>
      <c r="FPH71" s="499"/>
      <c r="FPI71" s="499"/>
      <c r="FPJ71" s="499"/>
      <c r="FPK71" s="499"/>
      <c r="FPL71" s="499"/>
      <c r="FPM71" s="499"/>
      <c r="FPN71" s="499"/>
      <c r="FPO71" s="499"/>
      <c r="FPP71" s="499"/>
      <c r="FPQ71" s="499"/>
      <c r="FPR71" s="499"/>
      <c r="FPS71" s="499"/>
      <c r="FPT71" s="499"/>
      <c r="FPU71" s="499"/>
      <c r="FPV71" s="499"/>
      <c r="FPW71" s="499"/>
      <c r="FPX71" s="499"/>
      <c r="FPY71" s="499"/>
      <c r="FPZ71" s="499"/>
      <c r="FQA71" s="499"/>
      <c r="FQB71" s="499"/>
      <c r="FQC71" s="499"/>
      <c r="FQD71" s="499"/>
      <c r="FQE71" s="499"/>
      <c r="FQF71" s="499"/>
      <c r="FQG71" s="499"/>
      <c r="FQH71" s="499"/>
      <c r="FQI71" s="499"/>
      <c r="FQJ71" s="499"/>
      <c r="FQK71" s="499"/>
      <c r="FQL71" s="499"/>
      <c r="FQM71" s="499"/>
      <c r="FQN71" s="499"/>
      <c r="FQO71" s="499"/>
      <c r="FQP71" s="499"/>
      <c r="FQQ71" s="499"/>
      <c r="FQR71" s="499"/>
      <c r="FQS71" s="499"/>
      <c r="FQT71" s="499"/>
      <c r="FQU71" s="499"/>
      <c r="FQV71" s="499"/>
      <c r="FQW71" s="499"/>
      <c r="FQX71" s="499"/>
      <c r="FQY71" s="499"/>
      <c r="FQZ71" s="499"/>
      <c r="FRA71" s="499"/>
      <c r="FRB71" s="499"/>
      <c r="FRC71" s="499"/>
      <c r="FRD71" s="499"/>
      <c r="FRE71" s="499"/>
      <c r="FRF71" s="499"/>
      <c r="FRG71" s="499"/>
      <c r="FRH71" s="499"/>
      <c r="FRI71" s="499"/>
      <c r="FRJ71" s="499"/>
      <c r="FRK71" s="499"/>
      <c r="FRL71" s="499"/>
      <c r="FRM71" s="499"/>
      <c r="FRN71" s="499"/>
      <c r="FRO71" s="499"/>
      <c r="FRP71" s="499"/>
      <c r="FRQ71" s="499"/>
      <c r="FRR71" s="499"/>
      <c r="FRS71" s="499"/>
      <c r="FRT71" s="499"/>
      <c r="FRU71" s="499"/>
      <c r="FRV71" s="499"/>
      <c r="FRW71" s="499"/>
      <c r="FRX71" s="499"/>
      <c r="FRY71" s="499"/>
      <c r="FRZ71" s="499"/>
      <c r="FSA71" s="499"/>
      <c r="FSB71" s="499"/>
      <c r="FSC71" s="499"/>
      <c r="FSD71" s="499"/>
      <c r="FSE71" s="499"/>
      <c r="FSF71" s="499"/>
      <c r="FSG71" s="499"/>
      <c r="FSH71" s="499"/>
      <c r="FSI71" s="499"/>
      <c r="FSJ71" s="499"/>
      <c r="FSK71" s="499"/>
      <c r="FSL71" s="499"/>
      <c r="FSM71" s="499"/>
      <c r="FSN71" s="499"/>
      <c r="FSO71" s="499"/>
      <c r="FSP71" s="499"/>
      <c r="FSQ71" s="499"/>
      <c r="FSR71" s="499"/>
      <c r="FSS71" s="499"/>
      <c r="FST71" s="499"/>
      <c r="FSU71" s="499"/>
      <c r="FSV71" s="499"/>
      <c r="FSW71" s="499"/>
      <c r="FSX71" s="499"/>
      <c r="FSY71" s="499"/>
      <c r="FSZ71" s="499"/>
      <c r="FTA71" s="499"/>
      <c r="FTB71" s="499"/>
      <c r="FTC71" s="499"/>
      <c r="FTD71" s="499"/>
      <c r="FTE71" s="499"/>
      <c r="FTF71" s="499"/>
      <c r="FTG71" s="499"/>
      <c r="FTH71" s="499"/>
      <c r="FTI71" s="499"/>
      <c r="FTJ71" s="499"/>
      <c r="FTK71" s="499"/>
      <c r="FTL71" s="499"/>
      <c r="FTM71" s="499"/>
      <c r="FTN71" s="499"/>
      <c r="FTO71" s="499"/>
      <c r="FTP71" s="499"/>
      <c r="FTQ71" s="499"/>
      <c r="FTR71" s="499"/>
      <c r="FTS71" s="499"/>
      <c r="FTT71" s="499"/>
      <c r="FTU71" s="499"/>
      <c r="FTV71" s="499"/>
      <c r="FTW71" s="499"/>
      <c r="FTX71" s="499"/>
      <c r="FTY71" s="499"/>
      <c r="FTZ71" s="499"/>
      <c r="FUA71" s="499"/>
      <c r="FUB71" s="499"/>
      <c r="FUC71" s="499"/>
      <c r="FUD71" s="499"/>
      <c r="FUE71" s="499"/>
      <c r="FUF71" s="499"/>
      <c r="FUG71" s="499"/>
      <c r="FUH71" s="499"/>
      <c r="FUI71" s="499"/>
      <c r="FUJ71" s="499"/>
      <c r="FUK71" s="499"/>
      <c r="FUL71" s="499"/>
      <c r="FUM71" s="499"/>
      <c r="FUN71" s="499"/>
      <c r="FUO71" s="499"/>
      <c r="FUP71" s="499"/>
      <c r="FUQ71" s="499"/>
      <c r="FUR71" s="499"/>
      <c r="FUS71" s="499"/>
      <c r="FUT71" s="499"/>
      <c r="FUU71" s="499"/>
      <c r="FUV71" s="499"/>
      <c r="FUW71" s="499"/>
      <c r="FUX71" s="499"/>
      <c r="FUY71" s="499"/>
      <c r="FUZ71" s="499"/>
      <c r="FVA71" s="499"/>
      <c r="FVB71" s="499"/>
      <c r="FVC71" s="499"/>
      <c r="FVD71" s="499"/>
      <c r="FVE71" s="499"/>
      <c r="FVF71" s="499"/>
      <c r="FVG71" s="499"/>
      <c r="FVH71" s="499"/>
      <c r="FVI71" s="499"/>
      <c r="FVJ71" s="499"/>
      <c r="FVK71" s="499"/>
      <c r="FVL71" s="499"/>
      <c r="FVM71" s="499"/>
      <c r="FVN71" s="499"/>
      <c r="FVO71" s="499"/>
      <c r="FVP71" s="499"/>
      <c r="FVQ71" s="499"/>
      <c r="FVR71" s="499"/>
      <c r="FVS71" s="499"/>
      <c r="FVT71" s="499"/>
      <c r="FVU71" s="499"/>
      <c r="FVV71" s="499"/>
      <c r="FVW71" s="499"/>
      <c r="FVX71" s="499"/>
      <c r="FVY71" s="499"/>
      <c r="FVZ71" s="499"/>
      <c r="FWA71" s="499"/>
      <c r="FWB71" s="499"/>
      <c r="FWC71" s="499"/>
      <c r="FWD71" s="499"/>
      <c r="FWE71" s="499"/>
      <c r="FWF71" s="499"/>
      <c r="FWG71" s="499"/>
      <c r="FWH71" s="499"/>
      <c r="FWI71" s="499"/>
      <c r="FWJ71" s="499"/>
      <c r="FWK71" s="499"/>
      <c r="FWL71" s="499"/>
      <c r="FWM71" s="499"/>
      <c r="FWN71" s="499"/>
      <c r="FWO71" s="499"/>
      <c r="FWP71" s="499"/>
      <c r="FWQ71" s="499"/>
      <c r="FWR71" s="499"/>
      <c r="FWS71" s="499"/>
      <c r="FWT71" s="499"/>
      <c r="FWU71" s="499"/>
      <c r="FWV71" s="499"/>
      <c r="FWW71" s="499"/>
      <c r="FWX71" s="499"/>
      <c r="FWY71" s="499"/>
      <c r="FWZ71" s="499"/>
      <c r="FXA71" s="499"/>
      <c r="FXB71" s="499"/>
      <c r="FXC71" s="499"/>
      <c r="FXD71" s="499"/>
      <c r="FXE71" s="499"/>
      <c r="FXF71" s="499"/>
      <c r="FXG71" s="499"/>
      <c r="FXH71" s="499"/>
      <c r="FXI71" s="499"/>
      <c r="FXJ71" s="499"/>
      <c r="FXK71" s="499"/>
      <c r="FXL71" s="499"/>
      <c r="FXM71" s="499"/>
      <c r="FXN71" s="499"/>
      <c r="FXO71" s="499"/>
      <c r="FXP71" s="499"/>
      <c r="FXQ71" s="499"/>
      <c r="FXR71" s="499"/>
      <c r="FXS71" s="499"/>
      <c r="FXT71" s="499"/>
      <c r="FXU71" s="499"/>
      <c r="FXV71" s="499"/>
      <c r="FXW71" s="499"/>
      <c r="FXX71" s="499"/>
      <c r="FXY71" s="499"/>
      <c r="FXZ71" s="499"/>
      <c r="FYA71" s="499"/>
      <c r="FYB71" s="499"/>
      <c r="FYC71" s="499"/>
      <c r="FYD71" s="499"/>
      <c r="FYE71" s="499"/>
      <c r="FYF71" s="499"/>
      <c r="FYG71" s="499"/>
      <c r="FYH71" s="499"/>
      <c r="FYI71" s="499"/>
      <c r="FYJ71" s="499"/>
      <c r="FYK71" s="499"/>
      <c r="FYL71" s="499"/>
      <c r="FYM71" s="499"/>
      <c r="FYN71" s="499"/>
      <c r="FYO71" s="499"/>
      <c r="FYP71" s="499"/>
      <c r="FYQ71" s="499"/>
      <c r="FYR71" s="499"/>
      <c r="FYS71" s="499"/>
      <c r="FYT71" s="499"/>
      <c r="FYU71" s="499"/>
      <c r="FYV71" s="499"/>
      <c r="FYW71" s="499"/>
      <c r="FYX71" s="499"/>
      <c r="FYY71" s="499"/>
      <c r="FYZ71" s="499"/>
      <c r="FZA71" s="499"/>
      <c r="FZB71" s="499"/>
      <c r="FZC71" s="499"/>
      <c r="FZD71" s="499"/>
      <c r="FZE71" s="499"/>
      <c r="FZF71" s="499"/>
      <c r="FZG71" s="499"/>
      <c r="FZH71" s="499"/>
      <c r="FZI71" s="499"/>
      <c r="FZJ71" s="499"/>
      <c r="FZK71" s="499"/>
      <c r="FZL71" s="499"/>
      <c r="FZM71" s="499"/>
      <c r="FZN71" s="499"/>
      <c r="FZO71" s="499"/>
      <c r="FZP71" s="499"/>
      <c r="FZQ71" s="499"/>
      <c r="FZR71" s="499"/>
      <c r="FZS71" s="499"/>
      <c r="FZT71" s="499"/>
      <c r="FZU71" s="499"/>
      <c r="FZV71" s="499"/>
      <c r="FZW71" s="499"/>
      <c r="FZX71" s="499"/>
      <c r="FZY71" s="499"/>
      <c r="FZZ71" s="499"/>
      <c r="GAA71" s="499"/>
      <c r="GAB71" s="499"/>
      <c r="GAC71" s="499"/>
      <c r="GAD71" s="499"/>
      <c r="GAE71" s="499"/>
      <c r="GAF71" s="499"/>
      <c r="GAG71" s="499"/>
      <c r="GAH71" s="499"/>
      <c r="GAI71" s="499"/>
      <c r="GAJ71" s="499"/>
      <c r="GAK71" s="499"/>
      <c r="GAL71" s="499"/>
      <c r="GAM71" s="499"/>
      <c r="GAN71" s="499"/>
      <c r="GAO71" s="499"/>
      <c r="GAP71" s="499"/>
      <c r="GAQ71" s="499"/>
      <c r="GAR71" s="499"/>
      <c r="GAS71" s="499"/>
      <c r="GAT71" s="499"/>
      <c r="GAU71" s="499"/>
      <c r="GAV71" s="499"/>
      <c r="GAW71" s="499"/>
      <c r="GAX71" s="499"/>
      <c r="GAY71" s="499"/>
      <c r="GAZ71" s="499"/>
      <c r="GBA71" s="499"/>
      <c r="GBB71" s="499"/>
      <c r="GBC71" s="499"/>
      <c r="GBD71" s="499"/>
      <c r="GBE71" s="499"/>
      <c r="GBF71" s="499"/>
      <c r="GBG71" s="499"/>
      <c r="GBH71" s="499"/>
      <c r="GBI71" s="499"/>
      <c r="GBJ71" s="499"/>
      <c r="GBK71" s="499"/>
      <c r="GBL71" s="499"/>
      <c r="GBM71" s="499"/>
      <c r="GBN71" s="499"/>
      <c r="GBO71" s="499"/>
      <c r="GBP71" s="499"/>
      <c r="GBQ71" s="499"/>
      <c r="GBR71" s="499"/>
      <c r="GBS71" s="499"/>
      <c r="GBT71" s="499"/>
      <c r="GBU71" s="499"/>
      <c r="GBV71" s="499"/>
      <c r="GBW71" s="499"/>
      <c r="GBX71" s="499"/>
      <c r="GBY71" s="499"/>
      <c r="GBZ71" s="499"/>
      <c r="GCA71" s="499"/>
      <c r="GCB71" s="499"/>
      <c r="GCC71" s="499"/>
      <c r="GCD71" s="499"/>
      <c r="GCE71" s="499"/>
      <c r="GCF71" s="499"/>
      <c r="GCG71" s="499"/>
      <c r="GCH71" s="499"/>
      <c r="GCI71" s="499"/>
      <c r="GCJ71" s="499"/>
      <c r="GCK71" s="499"/>
      <c r="GCL71" s="499"/>
      <c r="GCM71" s="499"/>
      <c r="GCN71" s="499"/>
      <c r="GCO71" s="499"/>
      <c r="GCP71" s="499"/>
      <c r="GCQ71" s="499"/>
      <c r="GCR71" s="499"/>
      <c r="GCS71" s="499"/>
      <c r="GCT71" s="499"/>
      <c r="GCU71" s="499"/>
      <c r="GCV71" s="499"/>
      <c r="GCW71" s="499"/>
      <c r="GCX71" s="499"/>
      <c r="GCY71" s="499"/>
      <c r="GCZ71" s="499"/>
      <c r="GDA71" s="499"/>
      <c r="GDB71" s="499"/>
      <c r="GDC71" s="499"/>
      <c r="GDD71" s="499"/>
      <c r="GDE71" s="499"/>
      <c r="GDF71" s="499"/>
      <c r="GDG71" s="499"/>
      <c r="GDH71" s="499"/>
      <c r="GDI71" s="499"/>
      <c r="GDJ71" s="499"/>
      <c r="GDK71" s="499"/>
      <c r="GDL71" s="499"/>
      <c r="GDM71" s="499"/>
      <c r="GDN71" s="499"/>
      <c r="GDO71" s="499"/>
      <c r="GDP71" s="499"/>
      <c r="GDQ71" s="499"/>
      <c r="GDR71" s="499"/>
      <c r="GDS71" s="499"/>
      <c r="GDT71" s="499"/>
      <c r="GDU71" s="499"/>
      <c r="GDV71" s="499"/>
      <c r="GDW71" s="499"/>
      <c r="GDX71" s="499"/>
      <c r="GDY71" s="499"/>
      <c r="GDZ71" s="499"/>
      <c r="GEA71" s="499"/>
      <c r="GEB71" s="499"/>
      <c r="GEC71" s="499"/>
      <c r="GED71" s="499"/>
      <c r="GEE71" s="499"/>
      <c r="GEF71" s="499"/>
      <c r="GEG71" s="499"/>
      <c r="GEH71" s="499"/>
      <c r="GEI71" s="499"/>
      <c r="GEJ71" s="499"/>
      <c r="GEK71" s="499"/>
      <c r="GEL71" s="499"/>
      <c r="GEM71" s="499"/>
      <c r="GEN71" s="499"/>
      <c r="GEO71" s="499"/>
      <c r="GEP71" s="499"/>
      <c r="GEQ71" s="499"/>
      <c r="GER71" s="499"/>
      <c r="GES71" s="499"/>
      <c r="GET71" s="499"/>
      <c r="GEU71" s="499"/>
      <c r="GEV71" s="499"/>
      <c r="GEW71" s="499"/>
      <c r="GEX71" s="499"/>
      <c r="GEY71" s="499"/>
      <c r="GEZ71" s="499"/>
      <c r="GFA71" s="499"/>
      <c r="GFB71" s="499"/>
      <c r="GFC71" s="499"/>
      <c r="GFD71" s="499"/>
      <c r="GFE71" s="499"/>
      <c r="GFF71" s="499"/>
      <c r="GFG71" s="499"/>
      <c r="GFH71" s="499"/>
      <c r="GFI71" s="499"/>
      <c r="GFJ71" s="499"/>
      <c r="GFK71" s="499"/>
      <c r="GFL71" s="499"/>
      <c r="GFM71" s="499"/>
      <c r="GFN71" s="499"/>
      <c r="GFO71" s="499"/>
      <c r="GFP71" s="499"/>
      <c r="GFQ71" s="499"/>
      <c r="GFR71" s="499"/>
      <c r="GFS71" s="499"/>
      <c r="GFT71" s="499"/>
      <c r="GFU71" s="499"/>
      <c r="GFV71" s="499"/>
      <c r="GFW71" s="499"/>
      <c r="GFX71" s="499"/>
      <c r="GFY71" s="499"/>
      <c r="GFZ71" s="499"/>
      <c r="GGA71" s="499"/>
      <c r="GGB71" s="499"/>
      <c r="GGC71" s="499"/>
      <c r="GGD71" s="499"/>
      <c r="GGE71" s="499"/>
      <c r="GGF71" s="499"/>
      <c r="GGG71" s="499"/>
      <c r="GGH71" s="499"/>
      <c r="GGI71" s="499"/>
      <c r="GGJ71" s="499"/>
      <c r="GGK71" s="499"/>
      <c r="GGL71" s="499"/>
      <c r="GGM71" s="499"/>
      <c r="GGN71" s="499"/>
      <c r="GGO71" s="499"/>
      <c r="GGP71" s="499"/>
      <c r="GGQ71" s="499"/>
      <c r="GGR71" s="499"/>
      <c r="GGS71" s="499"/>
      <c r="GGT71" s="499"/>
      <c r="GGU71" s="499"/>
      <c r="GGV71" s="499"/>
      <c r="GGW71" s="499"/>
      <c r="GGX71" s="499"/>
      <c r="GGY71" s="499"/>
      <c r="GGZ71" s="499"/>
      <c r="GHA71" s="499"/>
      <c r="GHB71" s="499"/>
      <c r="GHC71" s="499"/>
      <c r="GHD71" s="499"/>
      <c r="GHE71" s="499"/>
      <c r="GHF71" s="499"/>
      <c r="GHG71" s="499"/>
      <c r="GHH71" s="499"/>
      <c r="GHI71" s="499"/>
      <c r="GHJ71" s="499"/>
      <c r="GHK71" s="499"/>
      <c r="GHL71" s="499"/>
      <c r="GHM71" s="499"/>
      <c r="GHN71" s="499"/>
      <c r="GHO71" s="499"/>
      <c r="GHP71" s="499"/>
      <c r="GHQ71" s="499"/>
      <c r="GHR71" s="499"/>
      <c r="GHS71" s="499"/>
      <c r="GHT71" s="499"/>
      <c r="GHU71" s="499"/>
      <c r="GHV71" s="499"/>
      <c r="GHW71" s="499"/>
      <c r="GHX71" s="499"/>
      <c r="GHY71" s="499"/>
      <c r="GHZ71" s="499"/>
      <c r="GIA71" s="499"/>
      <c r="GIB71" s="499"/>
      <c r="GIC71" s="499"/>
      <c r="GID71" s="499"/>
      <c r="GIE71" s="499"/>
      <c r="GIF71" s="499"/>
      <c r="GIG71" s="499"/>
      <c r="GIH71" s="499"/>
      <c r="GII71" s="499"/>
      <c r="GIJ71" s="499"/>
      <c r="GIK71" s="499"/>
      <c r="GIL71" s="499"/>
      <c r="GIM71" s="499"/>
      <c r="GIN71" s="499"/>
      <c r="GIO71" s="499"/>
      <c r="GIP71" s="499"/>
      <c r="GIQ71" s="499"/>
      <c r="GIR71" s="499"/>
      <c r="GIS71" s="499"/>
      <c r="GIT71" s="499"/>
      <c r="GIU71" s="499"/>
      <c r="GIV71" s="499"/>
      <c r="GIW71" s="499"/>
      <c r="GIX71" s="499"/>
      <c r="GIY71" s="499"/>
      <c r="GIZ71" s="499"/>
      <c r="GJA71" s="499"/>
      <c r="GJB71" s="499"/>
      <c r="GJC71" s="499"/>
      <c r="GJD71" s="499"/>
      <c r="GJE71" s="499"/>
      <c r="GJF71" s="499"/>
      <c r="GJG71" s="499"/>
      <c r="GJH71" s="499"/>
      <c r="GJI71" s="499"/>
      <c r="GJJ71" s="499"/>
      <c r="GJK71" s="499"/>
      <c r="GJL71" s="499"/>
      <c r="GJM71" s="499"/>
      <c r="GJN71" s="499"/>
      <c r="GJO71" s="499"/>
      <c r="GJP71" s="499"/>
      <c r="GJQ71" s="499"/>
      <c r="GJR71" s="499"/>
      <c r="GJS71" s="499"/>
      <c r="GJT71" s="499"/>
      <c r="GJU71" s="499"/>
      <c r="GJV71" s="499"/>
      <c r="GJW71" s="499"/>
      <c r="GJX71" s="499"/>
      <c r="GJY71" s="499"/>
      <c r="GJZ71" s="499"/>
      <c r="GKA71" s="499"/>
      <c r="GKB71" s="499"/>
      <c r="GKC71" s="499"/>
      <c r="GKD71" s="499"/>
      <c r="GKE71" s="499"/>
      <c r="GKF71" s="499"/>
      <c r="GKG71" s="499"/>
      <c r="GKH71" s="499"/>
      <c r="GKI71" s="499"/>
      <c r="GKJ71" s="499"/>
      <c r="GKK71" s="499"/>
      <c r="GKL71" s="499"/>
      <c r="GKM71" s="499"/>
      <c r="GKN71" s="499"/>
      <c r="GKO71" s="499"/>
      <c r="GKP71" s="499"/>
      <c r="GKQ71" s="499"/>
      <c r="GKR71" s="499"/>
      <c r="GKS71" s="499"/>
      <c r="GKT71" s="499"/>
      <c r="GKU71" s="499"/>
      <c r="GKV71" s="499"/>
      <c r="GKW71" s="499"/>
      <c r="GKX71" s="499"/>
      <c r="GKY71" s="499"/>
      <c r="GKZ71" s="499"/>
      <c r="GLA71" s="499"/>
      <c r="GLB71" s="499"/>
      <c r="GLC71" s="499"/>
      <c r="GLD71" s="499"/>
      <c r="GLE71" s="499"/>
      <c r="GLF71" s="499"/>
      <c r="GLG71" s="499"/>
      <c r="GLH71" s="499"/>
      <c r="GLI71" s="499"/>
      <c r="GLJ71" s="499"/>
      <c r="GLK71" s="499"/>
      <c r="GLL71" s="499"/>
      <c r="GLM71" s="499"/>
      <c r="GLN71" s="499"/>
      <c r="GLO71" s="499"/>
      <c r="GLP71" s="499"/>
      <c r="GLQ71" s="499"/>
      <c r="GLR71" s="499"/>
      <c r="GLS71" s="499"/>
      <c r="GLT71" s="499"/>
      <c r="GLU71" s="499"/>
      <c r="GLV71" s="499"/>
      <c r="GLW71" s="499"/>
      <c r="GLX71" s="499"/>
      <c r="GLY71" s="499"/>
      <c r="GLZ71" s="499"/>
      <c r="GMA71" s="499"/>
      <c r="GMB71" s="499"/>
      <c r="GMC71" s="499"/>
      <c r="GMD71" s="499"/>
      <c r="GME71" s="499"/>
      <c r="GMF71" s="499"/>
      <c r="GMG71" s="499"/>
      <c r="GMH71" s="499"/>
      <c r="GMI71" s="499"/>
      <c r="GMJ71" s="499"/>
      <c r="GMK71" s="499"/>
      <c r="GML71" s="499"/>
      <c r="GMM71" s="499"/>
      <c r="GMN71" s="499"/>
      <c r="GMO71" s="499"/>
      <c r="GMP71" s="499"/>
      <c r="GMQ71" s="499"/>
      <c r="GMR71" s="499"/>
      <c r="GMS71" s="499"/>
      <c r="GMT71" s="499"/>
      <c r="GMU71" s="499"/>
      <c r="GMV71" s="499"/>
      <c r="GMW71" s="499"/>
      <c r="GMX71" s="499"/>
      <c r="GMY71" s="499"/>
      <c r="GMZ71" s="499"/>
      <c r="GNA71" s="499"/>
      <c r="GNB71" s="499"/>
      <c r="GNC71" s="499"/>
      <c r="GND71" s="499"/>
      <c r="GNE71" s="499"/>
      <c r="GNF71" s="499"/>
      <c r="GNG71" s="499"/>
      <c r="GNH71" s="499"/>
      <c r="GNI71" s="499"/>
      <c r="GNJ71" s="499"/>
      <c r="GNK71" s="499"/>
      <c r="GNL71" s="499"/>
      <c r="GNM71" s="499"/>
      <c r="GNN71" s="499"/>
      <c r="GNO71" s="499"/>
      <c r="GNP71" s="499"/>
      <c r="GNQ71" s="499"/>
      <c r="GNR71" s="499"/>
      <c r="GNS71" s="499"/>
      <c r="GNT71" s="499"/>
      <c r="GNU71" s="499"/>
      <c r="GNV71" s="499"/>
      <c r="GNW71" s="499"/>
      <c r="GNX71" s="499"/>
      <c r="GNY71" s="499"/>
      <c r="GNZ71" s="499"/>
      <c r="GOA71" s="499"/>
      <c r="GOB71" s="499"/>
      <c r="GOC71" s="499"/>
      <c r="GOD71" s="499"/>
      <c r="GOE71" s="499"/>
      <c r="GOF71" s="499"/>
      <c r="GOG71" s="499"/>
      <c r="GOH71" s="499"/>
      <c r="GOI71" s="499"/>
      <c r="GOJ71" s="499"/>
      <c r="GOK71" s="499"/>
      <c r="GOL71" s="499"/>
      <c r="GOM71" s="499"/>
      <c r="GON71" s="499"/>
      <c r="GOO71" s="499"/>
      <c r="GOP71" s="499"/>
      <c r="GOQ71" s="499"/>
      <c r="GOR71" s="499"/>
      <c r="GOS71" s="499"/>
      <c r="GOT71" s="499"/>
      <c r="GOU71" s="499"/>
      <c r="GOV71" s="499"/>
      <c r="GOW71" s="499"/>
      <c r="GOX71" s="499"/>
      <c r="GOY71" s="499"/>
      <c r="GOZ71" s="499"/>
      <c r="GPA71" s="499"/>
      <c r="GPB71" s="499"/>
      <c r="GPC71" s="499"/>
      <c r="GPD71" s="499"/>
      <c r="GPE71" s="499"/>
      <c r="GPF71" s="499"/>
      <c r="GPG71" s="499"/>
      <c r="GPH71" s="499"/>
      <c r="GPI71" s="499"/>
      <c r="GPJ71" s="499"/>
      <c r="GPK71" s="499"/>
      <c r="GPL71" s="499"/>
      <c r="GPM71" s="499"/>
      <c r="GPN71" s="499"/>
      <c r="GPO71" s="499"/>
      <c r="GPP71" s="499"/>
      <c r="GPQ71" s="499"/>
      <c r="GPR71" s="499"/>
      <c r="GPS71" s="499"/>
      <c r="GPT71" s="499"/>
      <c r="GPU71" s="499"/>
      <c r="GPV71" s="499"/>
      <c r="GPW71" s="499"/>
      <c r="GPX71" s="499"/>
      <c r="GPY71" s="499"/>
      <c r="GPZ71" s="499"/>
      <c r="GQA71" s="499"/>
      <c r="GQB71" s="499"/>
      <c r="GQC71" s="499"/>
      <c r="GQD71" s="499"/>
      <c r="GQE71" s="499"/>
      <c r="GQF71" s="499"/>
      <c r="GQG71" s="499"/>
      <c r="GQH71" s="499"/>
      <c r="GQI71" s="499"/>
      <c r="GQJ71" s="499"/>
      <c r="GQK71" s="499"/>
      <c r="GQL71" s="499"/>
      <c r="GQM71" s="499"/>
      <c r="GQN71" s="499"/>
      <c r="GQO71" s="499"/>
      <c r="GQP71" s="499"/>
      <c r="GQQ71" s="499"/>
      <c r="GQR71" s="499"/>
      <c r="GQS71" s="499"/>
      <c r="GQT71" s="499"/>
      <c r="GQU71" s="499"/>
      <c r="GQV71" s="499"/>
      <c r="GQW71" s="499"/>
      <c r="GQX71" s="499"/>
      <c r="GQY71" s="499"/>
      <c r="GQZ71" s="499"/>
      <c r="GRA71" s="499"/>
      <c r="GRB71" s="499"/>
      <c r="GRC71" s="499"/>
      <c r="GRD71" s="499"/>
      <c r="GRE71" s="499"/>
      <c r="GRF71" s="499"/>
      <c r="GRG71" s="499"/>
      <c r="GRH71" s="499"/>
      <c r="GRI71" s="499"/>
      <c r="GRJ71" s="499"/>
      <c r="GRK71" s="499"/>
      <c r="GRL71" s="499"/>
      <c r="GRM71" s="499"/>
      <c r="GRN71" s="499"/>
      <c r="GRO71" s="499"/>
      <c r="GRP71" s="499"/>
      <c r="GRQ71" s="499"/>
      <c r="GRR71" s="499"/>
      <c r="GRS71" s="499"/>
      <c r="GRT71" s="499"/>
      <c r="GRU71" s="499"/>
      <c r="GRV71" s="499"/>
      <c r="GRW71" s="499"/>
      <c r="GRX71" s="499"/>
      <c r="GRY71" s="499"/>
      <c r="GRZ71" s="499"/>
      <c r="GSA71" s="499"/>
      <c r="GSB71" s="499"/>
      <c r="GSC71" s="499"/>
      <c r="GSD71" s="499"/>
      <c r="GSE71" s="499"/>
      <c r="GSF71" s="499"/>
      <c r="GSG71" s="499"/>
      <c r="GSH71" s="499"/>
      <c r="GSI71" s="499"/>
      <c r="GSJ71" s="499"/>
      <c r="GSK71" s="499"/>
      <c r="GSL71" s="499"/>
      <c r="GSM71" s="499"/>
      <c r="GSN71" s="499"/>
      <c r="GSO71" s="499"/>
      <c r="GSP71" s="499"/>
      <c r="GSQ71" s="499"/>
      <c r="GSR71" s="499"/>
      <c r="GSS71" s="499"/>
      <c r="GST71" s="499"/>
      <c r="GSU71" s="499"/>
      <c r="GSV71" s="499"/>
      <c r="GSW71" s="499"/>
      <c r="GSX71" s="499"/>
      <c r="GSY71" s="499"/>
      <c r="GSZ71" s="499"/>
      <c r="GTA71" s="499"/>
      <c r="GTB71" s="499"/>
      <c r="GTC71" s="499"/>
      <c r="GTD71" s="499"/>
      <c r="GTE71" s="499"/>
      <c r="GTF71" s="499"/>
      <c r="GTG71" s="499"/>
      <c r="GTH71" s="499"/>
      <c r="GTI71" s="499"/>
      <c r="GTJ71" s="499"/>
      <c r="GTK71" s="499"/>
      <c r="GTL71" s="499"/>
      <c r="GTM71" s="499"/>
      <c r="GTN71" s="499"/>
      <c r="GTO71" s="499"/>
      <c r="GTP71" s="499"/>
      <c r="GTQ71" s="499"/>
      <c r="GTR71" s="499"/>
      <c r="GTS71" s="499"/>
      <c r="GTT71" s="499"/>
      <c r="GTU71" s="499"/>
      <c r="GTV71" s="499"/>
      <c r="GTW71" s="499"/>
      <c r="GTX71" s="499"/>
      <c r="GTY71" s="499"/>
      <c r="GTZ71" s="499"/>
      <c r="GUA71" s="499"/>
      <c r="GUB71" s="499"/>
      <c r="GUC71" s="499"/>
      <c r="GUD71" s="499"/>
      <c r="GUE71" s="499"/>
      <c r="GUF71" s="499"/>
      <c r="GUG71" s="499"/>
      <c r="GUH71" s="499"/>
      <c r="GUI71" s="499"/>
      <c r="GUJ71" s="499"/>
      <c r="GUK71" s="499"/>
      <c r="GUL71" s="499"/>
      <c r="GUM71" s="499"/>
      <c r="GUN71" s="499"/>
      <c r="GUO71" s="499"/>
      <c r="GUP71" s="499"/>
      <c r="GUQ71" s="499"/>
      <c r="GUR71" s="499"/>
      <c r="GUS71" s="499"/>
      <c r="GUT71" s="499"/>
      <c r="GUU71" s="499"/>
      <c r="GUV71" s="499"/>
      <c r="GUW71" s="499"/>
      <c r="GUX71" s="499"/>
      <c r="GUY71" s="499"/>
      <c r="GUZ71" s="499"/>
      <c r="GVA71" s="499"/>
      <c r="GVB71" s="499"/>
      <c r="GVC71" s="499"/>
      <c r="GVD71" s="499"/>
      <c r="GVE71" s="499"/>
      <c r="GVF71" s="499"/>
      <c r="GVG71" s="499"/>
      <c r="GVH71" s="499"/>
      <c r="GVI71" s="499"/>
      <c r="GVJ71" s="499"/>
      <c r="GVK71" s="499"/>
      <c r="GVL71" s="499"/>
      <c r="GVM71" s="499"/>
      <c r="GVN71" s="499"/>
      <c r="GVO71" s="499"/>
      <c r="GVP71" s="499"/>
      <c r="GVQ71" s="499"/>
      <c r="GVR71" s="499"/>
      <c r="GVS71" s="499"/>
      <c r="GVT71" s="499"/>
      <c r="GVU71" s="499"/>
      <c r="GVV71" s="499"/>
      <c r="GVW71" s="499"/>
      <c r="GVX71" s="499"/>
      <c r="GVY71" s="499"/>
      <c r="GVZ71" s="499"/>
      <c r="GWA71" s="499"/>
      <c r="GWB71" s="499"/>
      <c r="GWC71" s="499"/>
      <c r="GWD71" s="499"/>
      <c r="GWE71" s="499"/>
      <c r="GWF71" s="499"/>
      <c r="GWG71" s="499"/>
      <c r="GWH71" s="499"/>
      <c r="GWI71" s="499"/>
      <c r="GWJ71" s="499"/>
      <c r="GWK71" s="499"/>
      <c r="GWL71" s="499"/>
      <c r="GWM71" s="499"/>
      <c r="GWN71" s="499"/>
      <c r="GWO71" s="499"/>
      <c r="GWP71" s="499"/>
      <c r="GWQ71" s="499"/>
      <c r="GWR71" s="499"/>
      <c r="GWS71" s="499"/>
      <c r="GWT71" s="499"/>
      <c r="GWU71" s="499"/>
      <c r="GWV71" s="499"/>
      <c r="GWW71" s="499"/>
      <c r="GWX71" s="499"/>
      <c r="GWY71" s="499"/>
      <c r="GWZ71" s="499"/>
      <c r="GXA71" s="499"/>
      <c r="GXB71" s="499"/>
      <c r="GXC71" s="499"/>
      <c r="GXD71" s="499"/>
      <c r="GXE71" s="499"/>
      <c r="GXF71" s="499"/>
      <c r="GXG71" s="499"/>
      <c r="GXH71" s="499"/>
      <c r="GXI71" s="499"/>
      <c r="GXJ71" s="499"/>
      <c r="GXK71" s="499"/>
      <c r="GXL71" s="499"/>
      <c r="GXM71" s="499"/>
      <c r="GXN71" s="499"/>
      <c r="GXO71" s="499"/>
      <c r="GXP71" s="499"/>
      <c r="GXQ71" s="499"/>
      <c r="GXR71" s="499"/>
      <c r="GXS71" s="499"/>
      <c r="GXT71" s="499"/>
      <c r="GXU71" s="499"/>
      <c r="GXV71" s="499"/>
      <c r="GXW71" s="499"/>
      <c r="GXX71" s="499"/>
      <c r="GXY71" s="499"/>
      <c r="GXZ71" s="499"/>
      <c r="GYA71" s="499"/>
      <c r="GYB71" s="499"/>
      <c r="GYC71" s="499"/>
      <c r="GYD71" s="499"/>
      <c r="GYE71" s="499"/>
      <c r="GYF71" s="499"/>
      <c r="GYG71" s="499"/>
      <c r="GYH71" s="499"/>
      <c r="GYI71" s="499"/>
      <c r="GYJ71" s="499"/>
      <c r="GYK71" s="499"/>
      <c r="GYL71" s="499"/>
      <c r="GYM71" s="499"/>
      <c r="GYN71" s="499"/>
      <c r="GYO71" s="499"/>
      <c r="GYP71" s="499"/>
      <c r="GYQ71" s="499"/>
      <c r="GYR71" s="499"/>
      <c r="GYS71" s="499"/>
      <c r="GYT71" s="499"/>
      <c r="GYU71" s="499"/>
      <c r="GYV71" s="499"/>
      <c r="GYW71" s="499"/>
      <c r="GYX71" s="499"/>
      <c r="GYY71" s="499"/>
      <c r="GYZ71" s="499"/>
      <c r="GZA71" s="499"/>
      <c r="GZB71" s="499"/>
      <c r="GZC71" s="499"/>
      <c r="GZD71" s="499"/>
      <c r="GZE71" s="499"/>
      <c r="GZF71" s="499"/>
      <c r="GZG71" s="499"/>
      <c r="GZH71" s="499"/>
      <c r="GZI71" s="499"/>
      <c r="GZJ71" s="499"/>
      <c r="GZK71" s="499"/>
      <c r="GZL71" s="499"/>
      <c r="GZM71" s="499"/>
      <c r="GZN71" s="499"/>
      <c r="GZO71" s="499"/>
      <c r="GZP71" s="499"/>
      <c r="GZQ71" s="499"/>
      <c r="GZR71" s="499"/>
      <c r="GZS71" s="499"/>
      <c r="GZT71" s="499"/>
      <c r="GZU71" s="499"/>
      <c r="GZV71" s="499"/>
      <c r="GZW71" s="499"/>
      <c r="GZX71" s="499"/>
      <c r="GZY71" s="499"/>
      <c r="GZZ71" s="499"/>
      <c r="HAA71" s="499"/>
      <c r="HAB71" s="499"/>
      <c r="HAC71" s="499"/>
      <c r="HAD71" s="499"/>
      <c r="HAE71" s="499"/>
      <c r="HAF71" s="499"/>
      <c r="HAG71" s="499"/>
      <c r="HAH71" s="499"/>
      <c r="HAI71" s="499"/>
      <c r="HAJ71" s="499"/>
      <c r="HAK71" s="499"/>
      <c r="HAL71" s="499"/>
      <c r="HAM71" s="499"/>
      <c r="HAN71" s="499"/>
      <c r="HAO71" s="499"/>
      <c r="HAP71" s="499"/>
      <c r="HAQ71" s="499"/>
      <c r="HAR71" s="499"/>
      <c r="HAS71" s="499"/>
      <c r="HAT71" s="499"/>
      <c r="HAU71" s="499"/>
      <c r="HAV71" s="499"/>
      <c r="HAW71" s="499"/>
      <c r="HAX71" s="499"/>
      <c r="HAY71" s="499"/>
      <c r="HAZ71" s="499"/>
      <c r="HBA71" s="499"/>
      <c r="HBB71" s="499"/>
      <c r="HBC71" s="499"/>
      <c r="HBD71" s="499"/>
      <c r="HBE71" s="499"/>
      <c r="HBF71" s="499"/>
      <c r="HBG71" s="499"/>
      <c r="HBH71" s="499"/>
      <c r="HBI71" s="499"/>
      <c r="HBJ71" s="499"/>
      <c r="HBK71" s="499"/>
      <c r="HBL71" s="499"/>
      <c r="HBM71" s="499"/>
      <c r="HBN71" s="499"/>
      <c r="HBO71" s="499"/>
      <c r="HBP71" s="499"/>
      <c r="HBQ71" s="499"/>
      <c r="HBR71" s="499"/>
      <c r="HBS71" s="499"/>
      <c r="HBT71" s="499"/>
      <c r="HBU71" s="499"/>
      <c r="HBV71" s="499"/>
      <c r="HBW71" s="499"/>
      <c r="HBX71" s="499"/>
      <c r="HBY71" s="499"/>
      <c r="HBZ71" s="499"/>
      <c r="HCA71" s="499"/>
      <c r="HCB71" s="499"/>
      <c r="HCC71" s="499"/>
      <c r="HCD71" s="499"/>
      <c r="HCE71" s="499"/>
      <c r="HCF71" s="499"/>
      <c r="HCG71" s="499"/>
      <c r="HCH71" s="499"/>
      <c r="HCI71" s="499"/>
      <c r="HCJ71" s="499"/>
      <c r="HCK71" s="499"/>
      <c r="HCL71" s="499"/>
      <c r="HCM71" s="499"/>
      <c r="HCN71" s="499"/>
      <c r="HCO71" s="499"/>
      <c r="HCP71" s="499"/>
      <c r="HCQ71" s="499"/>
      <c r="HCR71" s="499"/>
      <c r="HCS71" s="499"/>
      <c r="HCT71" s="499"/>
      <c r="HCU71" s="499"/>
      <c r="HCV71" s="499"/>
      <c r="HCW71" s="499"/>
      <c r="HCX71" s="499"/>
      <c r="HCY71" s="499"/>
      <c r="HCZ71" s="499"/>
      <c r="HDA71" s="499"/>
      <c r="HDB71" s="499"/>
      <c r="HDC71" s="499"/>
      <c r="HDD71" s="499"/>
      <c r="HDE71" s="499"/>
      <c r="HDF71" s="499"/>
      <c r="HDG71" s="499"/>
      <c r="HDH71" s="499"/>
      <c r="HDI71" s="499"/>
      <c r="HDJ71" s="499"/>
      <c r="HDK71" s="499"/>
      <c r="HDL71" s="499"/>
      <c r="HDM71" s="499"/>
      <c r="HDN71" s="499"/>
      <c r="HDO71" s="499"/>
      <c r="HDP71" s="499"/>
      <c r="HDQ71" s="499"/>
      <c r="HDR71" s="499"/>
      <c r="HDS71" s="499"/>
      <c r="HDT71" s="499"/>
      <c r="HDU71" s="499"/>
      <c r="HDV71" s="499"/>
      <c r="HDW71" s="499"/>
      <c r="HDX71" s="499"/>
      <c r="HDY71" s="499"/>
      <c r="HDZ71" s="499"/>
      <c r="HEA71" s="499"/>
      <c r="HEB71" s="499"/>
      <c r="HEC71" s="499"/>
      <c r="HED71" s="499"/>
      <c r="HEE71" s="499"/>
      <c r="HEF71" s="499"/>
      <c r="HEG71" s="499"/>
      <c r="HEH71" s="499"/>
      <c r="HEI71" s="499"/>
      <c r="HEJ71" s="499"/>
      <c r="HEK71" s="499"/>
      <c r="HEL71" s="499"/>
      <c r="HEM71" s="499"/>
      <c r="HEN71" s="499"/>
      <c r="HEO71" s="499"/>
      <c r="HEP71" s="499"/>
      <c r="HEQ71" s="499"/>
      <c r="HER71" s="499"/>
      <c r="HES71" s="499"/>
      <c r="HET71" s="499"/>
      <c r="HEU71" s="499"/>
      <c r="HEV71" s="499"/>
      <c r="HEW71" s="499"/>
      <c r="HEX71" s="499"/>
      <c r="HEY71" s="499"/>
      <c r="HEZ71" s="499"/>
      <c r="HFA71" s="499"/>
      <c r="HFB71" s="499"/>
      <c r="HFC71" s="499"/>
      <c r="HFD71" s="499"/>
      <c r="HFE71" s="499"/>
      <c r="HFF71" s="499"/>
      <c r="HFG71" s="499"/>
      <c r="HFH71" s="499"/>
      <c r="HFI71" s="499"/>
      <c r="HFJ71" s="499"/>
      <c r="HFK71" s="499"/>
      <c r="HFL71" s="499"/>
      <c r="HFM71" s="499"/>
      <c r="HFN71" s="499"/>
      <c r="HFO71" s="499"/>
      <c r="HFP71" s="499"/>
      <c r="HFQ71" s="499"/>
      <c r="HFR71" s="499"/>
      <c r="HFS71" s="499"/>
      <c r="HFT71" s="499"/>
      <c r="HFU71" s="499"/>
      <c r="HFV71" s="499"/>
      <c r="HFW71" s="499"/>
      <c r="HFX71" s="499"/>
      <c r="HFY71" s="499"/>
      <c r="HFZ71" s="499"/>
      <c r="HGA71" s="499"/>
      <c r="HGB71" s="499"/>
      <c r="HGC71" s="499"/>
      <c r="HGD71" s="499"/>
      <c r="HGE71" s="499"/>
      <c r="HGF71" s="499"/>
      <c r="HGG71" s="499"/>
      <c r="HGH71" s="499"/>
      <c r="HGI71" s="499"/>
      <c r="HGJ71" s="499"/>
      <c r="HGK71" s="499"/>
      <c r="HGL71" s="499"/>
      <c r="HGM71" s="499"/>
      <c r="HGN71" s="499"/>
      <c r="HGO71" s="499"/>
      <c r="HGP71" s="499"/>
      <c r="HGQ71" s="499"/>
      <c r="HGR71" s="499"/>
      <c r="HGS71" s="499"/>
      <c r="HGT71" s="499"/>
      <c r="HGU71" s="499"/>
      <c r="HGV71" s="499"/>
      <c r="HGW71" s="499"/>
      <c r="HGX71" s="499"/>
      <c r="HGY71" s="499"/>
      <c r="HGZ71" s="499"/>
      <c r="HHA71" s="499"/>
      <c r="HHB71" s="499"/>
      <c r="HHC71" s="499"/>
      <c r="HHD71" s="499"/>
      <c r="HHE71" s="499"/>
      <c r="HHF71" s="499"/>
      <c r="HHG71" s="499"/>
      <c r="HHH71" s="499"/>
      <c r="HHI71" s="499"/>
      <c r="HHJ71" s="499"/>
      <c r="HHK71" s="499"/>
      <c r="HHL71" s="499"/>
      <c r="HHM71" s="499"/>
      <c r="HHN71" s="499"/>
      <c r="HHO71" s="499"/>
      <c r="HHP71" s="499"/>
      <c r="HHQ71" s="499"/>
      <c r="HHR71" s="499"/>
      <c r="HHS71" s="499"/>
      <c r="HHT71" s="499"/>
      <c r="HHU71" s="499"/>
      <c r="HHV71" s="499"/>
      <c r="HHW71" s="499"/>
      <c r="HHX71" s="499"/>
      <c r="HHY71" s="499"/>
      <c r="HHZ71" s="499"/>
      <c r="HIA71" s="499"/>
      <c r="HIB71" s="499"/>
      <c r="HIC71" s="499"/>
      <c r="HID71" s="499"/>
      <c r="HIE71" s="499"/>
      <c r="HIF71" s="499"/>
      <c r="HIG71" s="499"/>
      <c r="HIH71" s="499"/>
      <c r="HII71" s="499"/>
      <c r="HIJ71" s="499"/>
      <c r="HIK71" s="499"/>
      <c r="HIL71" s="499"/>
      <c r="HIM71" s="499"/>
      <c r="HIN71" s="499"/>
      <c r="HIO71" s="499"/>
      <c r="HIP71" s="499"/>
      <c r="HIQ71" s="499"/>
      <c r="HIR71" s="499"/>
      <c r="HIS71" s="499"/>
      <c r="HIT71" s="499"/>
      <c r="HIU71" s="499"/>
      <c r="HIV71" s="499"/>
      <c r="HIW71" s="499"/>
      <c r="HIX71" s="499"/>
      <c r="HIY71" s="499"/>
      <c r="HIZ71" s="499"/>
      <c r="HJA71" s="499"/>
      <c r="HJB71" s="499"/>
      <c r="HJC71" s="499"/>
      <c r="HJD71" s="499"/>
      <c r="HJE71" s="499"/>
      <c r="HJF71" s="499"/>
      <c r="HJG71" s="499"/>
      <c r="HJH71" s="499"/>
      <c r="HJI71" s="499"/>
      <c r="HJJ71" s="499"/>
      <c r="HJK71" s="499"/>
      <c r="HJL71" s="499"/>
      <c r="HJM71" s="499"/>
      <c r="HJN71" s="499"/>
      <c r="HJO71" s="499"/>
      <c r="HJP71" s="499"/>
      <c r="HJQ71" s="499"/>
      <c r="HJR71" s="499"/>
      <c r="HJS71" s="499"/>
      <c r="HJT71" s="499"/>
      <c r="HJU71" s="499"/>
      <c r="HJV71" s="499"/>
      <c r="HJW71" s="499"/>
      <c r="HJX71" s="499"/>
      <c r="HJY71" s="499"/>
      <c r="HJZ71" s="499"/>
      <c r="HKA71" s="499"/>
      <c r="HKB71" s="499"/>
      <c r="HKC71" s="499"/>
      <c r="HKD71" s="499"/>
      <c r="HKE71" s="499"/>
      <c r="HKF71" s="499"/>
      <c r="HKG71" s="499"/>
      <c r="HKH71" s="499"/>
      <c r="HKI71" s="499"/>
      <c r="HKJ71" s="499"/>
      <c r="HKK71" s="499"/>
      <c r="HKL71" s="499"/>
      <c r="HKM71" s="499"/>
      <c r="HKN71" s="499"/>
      <c r="HKO71" s="499"/>
      <c r="HKP71" s="499"/>
      <c r="HKQ71" s="499"/>
      <c r="HKR71" s="499"/>
      <c r="HKS71" s="499"/>
      <c r="HKT71" s="499"/>
      <c r="HKU71" s="499"/>
      <c r="HKV71" s="499"/>
      <c r="HKW71" s="499"/>
      <c r="HKX71" s="499"/>
      <c r="HKY71" s="499"/>
      <c r="HKZ71" s="499"/>
      <c r="HLA71" s="499"/>
      <c r="HLB71" s="499"/>
      <c r="HLC71" s="499"/>
      <c r="HLD71" s="499"/>
      <c r="HLE71" s="499"/>
      <c r="HLF71" s="499"/>
      <c r="HLG71" s="499"/>
      <c r="HLH71" s="499"/>
      <c r="HLI71" s="499"/>
      <c r="HLJ71" s="499"/>
      <c r="HLK71" s="499"/>
      <c r="HLL71" s="499"/>
      <c r="HLM71" s="499"/>
      <c r="HLN71" s="499"/>
      <c r="HLO71" s="499"/>
      <c r="HLP71" s="499"/>
      <c r="HLQ71" s="499"/>
      <c r="HLR71" s="499"/>
      <c r="HLS71" s="499"/>
      <c r="HLT71" s="499"/>
      <c r="HLU71" s="499"/>
      <c r="HLV71" s="499"/>
      <c r="HLW71" s="499"/>
      <c r="HLX71" s="499"/>
      <c r="HLY71" s="499"/>
      <c r="HLZ71" s="499"/>
      <c r="HMA71" s="499"/>
      <c r="HMB71" s="499"/>
      <c r="HMC71" s="499"/>
      <c r="HMD71" s="499"/>
      <c r="HME71" s="499"/>
      <c r="HMF71" s="499"/>
      <c r="HMG71" s="499"/>
      <c r="HMH71" s="499"/>
      <c r="HMI71" s="499"/>
      <c r="HMJ71" s="499"/>
      <c r="HMK71" s="499"/>
      <c r="HML71" s="499"/>
      <c r="HMM71" s="499"/>
      <c r="HMN71" s="499"/>
      <c r="HMO71" s="499"/>
      <c r="HMP71" s="499"/>
      <c r="HMQ71" s="499"/>
      <c r="HMR71" s="499"/>
      <c r="HMS71" s="499"/>
      <c r="HMT71" s="499"/>
      <c r="HMU71" s="499"/>
      <c r="HMV71" s="499"/>
      <c r="HMW71" s="499"/>
      <c r="HMX71" s="499"/>
      <c r="HMY71" s="499"/>
      <c r="HMZ71" s="499"/>
      <c r="HNA71" s="499"/>
      <c r="HNB71" s="499"/>
      <c r="HNC71" s="499"/>
      <c r="HND71" s="499"/>
      <c r="HNE71" s="499"/>
      <c r="HNF71" s="499"/>
      <c r="HNG71" s="499"/>
      <c r="HNH71" s="499"/>
      <c r="HNI71" s="499"/>
      <c r="HNJ71" s="499"/>
      <c r="HNK71" s="499"/>
      <c r="HNL71" s="499"/>
      <c r="HNM71" s="499"/>
      <c r="HNN71" s="499"/>
      <c r="HNO71" s="499"/>
      <c r="HNP71" s="499"/>
      <c r="HNQ71" s="499"/>
      <c r="HNR71" s="499"/>
      <c r="HNS71" s="499"/>
      <c r="HNT71" s="499"/>
      <c r="HNU71" s="499"/>
      <c r="HNV71" s="499"/>
      <c r="HNW71" s="499"/>
      <c r="HNX71" s="499"/>
      <c r="HNY71" s="499"/>
      <c r="HNZ71" s="499"/>
      <c r="HOA71" s="499"/>
      <c r="HOB71" s="499"/>
      <c r="HOC71" s="499"/>
      <c r="HOD71" s="499"/>
      <c r="HOE71" s="499"/>
      <c r="HOF71" s="499"/>
      <c r="HOG71" s="499"/>
      <c r="HOH71" s="499"/>
      <c r="HOI71" s="499"/>
      <c r="HOJ71" s="499"/>
      <c r="HOK71" s="499"/>
      <c r="HOL71" s="499"/>
      <c r="HOM71" s="499"/>
      <c r="HON71" s="499"/>
      <c r="HOO71" s="499"/>
      <c r="HOP71" s="499"/>
      <c r="HOQ71" s="499"/>
      <c r="HOR71" s="499"/>
      <c r="HOS71" s="499"/>
      <c r="HOT71" s="499"/>
      <c r="HOU71" s="499"/>
      <c r="HOV71" s="499"/>
      <c r="HOW71" s="499"/>
      <c r="HOX71" s="499"/>
      <c r="HOY71" s="499"/>
      <c r="HOZ71" s="499"/>
      <c r="HPA71" s="499"/>
      <c r="HPB71" s="499"/>
      <c r="HPC71" s="499"/>
      <c r="HPD71" s="499"/>
      <c r="HPE71" s="499"/>
      <c r="HPF71" s="499"/>
      <c r="HPG71" s="499"/>
      <c r="HPH71" s="499"/>
      <c r="HPI71" s="499"/>
      <c r="HPJ71" s="499"/>
      <c r="HPK71" s="499"/>
      <c r="HPL71" s="499"/>
      <c r="HPM71" s="499"/>
      <c r="HPN71" s="499"/>
      <c r="HPO71" s="499"/>
      <c r="HPP71" s="499"/>
      <c r="HPQ71" s="499"/>
      <c r="HPR71" s="499"/>
      <c r="HPS71" s="499"/>
      <c r="HPT71" s="499"/>
      <c r="HPU71" s="499"/>
      <c r="HPV71" s="499"/>
      <c r="HPW71" s="499"/>
      <c r="HPX71" s="499"/>
      <c r="HPY71" s="499"/>
      <c r="HPZ71" s="499"/>
      <c r="HQA71" s="499"/>
      <c r="HQB71" s="499"/>
      <c r="HQC71" s="499"/>
      <c r="HQD71" s="499"/>
      <c r="HQE71" s="499"/>
      <c r="HQF71" s="499"/>
      <c r="HQG71" s="499"/>
      <c r="HQH71" s="499"/>
      <c r="HQI71" s="499"/>
      <c r="HQJ71" s="499"/>
      <c r="HQK71" s="499"/>
      <c r="HQL71" s="499"/>
      <c r="HQM71" s="499"/>
      <c r="HQN71" s="499"/>
      <c r="HQO71" s="499"/>
      <c r="HQP71" s="499"/>
      <c r="HQQ71" s="499"/>
      <c r="HQR71" s="499"/>
      <c r="HQS71" s="499"/>
      <c r="HQT71" s="499"/>
      <c r="HQU71" s="499"/>
      <c r="HQV71" s="499"/>
      <c r="HQW71" s="499"/>
      <c r="HQX71" s="499"/>
      <c r="HQY71" s="499"/>
      <c r="HQZ71" s="499"/>
      <c r="HRA71" s="499"/>
      <c r="HRB71" s="499"/>
      <c r="HRC71" s="499"/>
      <c r="HRD71" s="499"/>
      <c r="HRE71" s="499"/>
      <c r="HRF71" s="499"/>
      <c r="HRG71" s="499"/>
      <c r="HRH71" s="499"/>
      <c r="HRI71" s="499"/>
      <c r="HRJ71" s="499"/>
      <c r="HRK71" s="499"/>
      <c r="HRL71" s="499"/>
      <c r="HRM71" s="499"/>
      <c r="HRN71" s="499"/>
      <c r="HRO71" s="499"/>
      <c r="HRP71" s="499"/>
      <c r="HRQ71" s="499"/>
      <c r="HRR71" s="499"/>
      <c r="HRS71" s="499"/>
      <c r="HRT71" s="499"/>
      <c r="HRU71" s="499"/>
      <c r="HRV71" s="499"/>
      <c r="HRW71" s="499"/>
      <c r="HRX71" s="499"/>
      <c r="HRY71" s="499"/>
      <c r="HRZ71" s="499"/>
      <c r="HSA71" s="499"/>
      <c r="HSB71" s="499"/>
      <c r="HSC71" s="499"/>
      <c r="HSD71" s="499"/>
      <c r="HSE71" s="499"/>
      <c r="HSF71" s="499"/>
      <c r="HSG71" s="499"/>
      <c r="HSH71" s="499"/>
      <c r="HSI71" s="499"/>
      <c r="HSJ71" s="499"/>
      <c r="HSK71" s="499"/>
      <c r="HSL71" s="499"/>
      <c r="HSM71" s="499"/>
      <c r="HSN71" s="499"/>
      <c r="HSO71" s="499"/>
      <c r="HSP71" s="499"/>
      <c r="HSQ71" s="499"/>
      <c r="HSR71" s="499"/>
      <c r="HSS71" s="499"/>
      <c r="HST71" s="499"/>
      <c r="HSU71" s="499"/>
      <c r="HSV71" s="499"/>
      <c r="HSW71" s="499"/>
      <c r="HSX71" s="499"/>
      <c r="HSY71" s="499"/>
      <c r="HSZ71" s="499"/>
      <c r="HTA71" s="499"/>
      <c r="HTB71" s="499"/>
      <c r="HTC71" s="499"/>
      <c r="HTD71" s="499"/>
      <c r="HTE71" s="499"/>
      <c r="HTF71" s="499"/>
      <c r="HTG71" s="499"/>
      <c r="HTH71" s="499"/>
      <c r="HTI71" s="499"/>
      <c r="HTJ71" s="499"/>
      <c r="HTK71" s="499"/>
      <c r="HTL71" s="499"/>
      <c r="HTM71" s="499"/>
      <c r="HTN71" s="499"/>
      <c r="HTO71" s="499"/>
      <c r="HTP71" s="499"/>
      <c r="HTQ71" s="499"/>
      <c r="HTR71" s="499"/>
      <c r="HTS71" s="499"/>
      <c r="HTT71" s="499"/>
      <c r="HTU71" s="499"/>
      <c r="HTV71" s="499"/>
      <c r="HTW71" s="499"/>
      <c r="HTX71" s="499"/>
      <c r="HTY71" s="499"/>
      <c r="HTZ71" s="499"/>
      <c r="HUA71" s="499"/>
      <c r="HUB71" s="499"/>
      <c r="HUC71" s="499"/>
      <c r="HUD71" s="499"/>
      <c r="HUE71" s="499"/>
      <c r="HUF71" s="499"/>
      <c r="HUG71" s="499"/>
      <c r="HUH71" s="499"/>
      <c r="HUI71" s="499"/>
      <c r="HUJ71" s="499"/>
      <c r="HUK71" s="499"/>
      <c r="HUL71" s="499"/>
      <c r="HUM71" s="499"/>
      <c r="HUN71" s="499"/>
      <c r="HUO71" s="499"/>
      <c r="HUP71" s="499"/>
      <c r="HUQ71" s="499"/>
      <c r="HUR71" s="499"/>
      <c r="HUS71" s="499"/>
      <c r="HUT71" s="499"/>
      <c r="HUU71" s="499"/>
      <c r="HUV71" s="499"/>
      <c r="HUW71" s="499"/>
      <c r="HUX71" s="499"/>
      <c r="HUY71" s="499"/>
      <c r="HUZ71" s="499"/>
      <c r="HVA71" s="499"/>
      <c r="HVB71" s="499"/>
      <c r="HVC71" s="499"/>
      <c r="HVD71" s="499"/>
      <c r="HVE71" s="499"/>
      <c r="HVF71" s="499"/>
      <c r="HVG71" s="499"/>
      <c r="HVH71" s="499"/>
      <c r="HVI71" s="499"/>
      <c r="HVJ71" s="499"/>
      <c r="HVK71" s="499"/>
      <c r="HVL71" s="499"/>
      <c r="HVM71" s="499"/>
      <c r="HVN71" s="499"/>
      <c r="HVO71" s="499"/>
      <c r="HVP71" s="499"/>
      <c r="HVQ71" s="499"/>
      <c r="HVR71" s="499"/>
      <c r="HVS71" s="499"/>
      <c r="HVT71" s="499"/>
      <c r="HVU71" s="499"/>
      <c r="HVV71" s="499"/>
      <c r="HVW71" s="499"/>
      <c r="HVX71" s="499"/>
      <c r="HVY71" s="499"/>
      <c r="HVZ71" s="499"/>
      <c r="HWA71" s="499"/>
      <c r="HWB71" s="499"/>
      <c r="HWC71" s="499"/>
      <c r="HWD71" s="499"/>
      <c r="HWE71" s="499"/>
      <c r="HWF71" s="499"/>
      <c r="HWG71" s="499"/>
      <c r="HWH71" s="499"/>
      <c r="HWI71" s="499"/>
      <c r="HWJ71" s="499"/>
      <c r="HWK71" s="499"/>
      <c r="HWL71" s="499"/>
      <c r="HWM71" s="499"/>
      <c r="HWN71" s="499"/>
      <c r="HWO71" s="499"/>
      <c r="HWP71" s="499"/>
      <c r="HWQ71" s="499"/>
      <c r="HWR71" s="499"/>
      <c r="HWS71" s="499"/>
      <c r="HWT71" s="499"/>
      <c r="HWU71" s="499"/>
      <c r="HWV71" s="499"/>
      <c r="HWW71" s="499"/>
      <c r="HWX71" s="499"/>
      <c r="HWY71" s="499"/>
      <c r="HWZ71" s="499"/>
      <c r="HXA71" s="499"/>
      <c r="HXB71" s="499"/>
      <c r="HXC71" s="499"/>
      <c r="HXD71" s="499"/>
      <c r="HXE71" s="499"/>
      <c r="HXF71" s="499"/>
      <c r="HXG71" s="499"/>
      <c r="HXH71" s="499"/>
      <c r="HXI71" s="499"/>
      <c r="HXJ71" s="499"/>
      <c r="HXK71" s="499"/>
      <c r="HXL71" s="499"/>
      <c r="HXM71" s="499"/>
      <c r="HXN71" s="499"/>
      <c r="HXO71" s="499"/>
      <c r="HXP71" s="499"/>
      <c r="HXQ71" s="499"/>
      <c r="HXR71" s="499"/>
      <c r="HXS71" s="499"/>
      <c r="HXT71" s="499"/>
      <c r="HXU71" s="499"/>
      <c r="HXV71" s="499"/>
      <c r="HXW71" s="499"/>
      <c r="HXX71" s="499"/>
      <c r="HXY71" s="499"/>
      <c r="HXZ71" s="499"/>
      <c r="HYA71" s="499"/>
      <c r="HYB71" s="499"/>
      <c r="HYC71" s="499"/>
      <c r="HYD71" s="499"/>
      <c r="HYE71" s="499"/>
      <c r="HYF71" s="499"/>
      <c r="HYG71" s="499"/>
      <c r="HYH71" s="499"/>
      <c r="HYI71" s="499"/>
      <c r="HYJ71" s="499"/>
      <c r="HYK71" s="499"/>
      <c r="HYL71" s="499"/>
      <c r="HYM71" s="499"/>
      <c r="HYN71" s="499"/>
      <c r="HYO71" s="499"/>
      <c r="HYP71" s="499"/>
      <c r="HYQ71" s="499"/>
      <c r="HYR71" s="499"/>
      <c r="HYS71" s="499"/>
      <c r="HYT71" s="499"/>
      <c r="HYU71" s="499"/>
      <c r="HYV71" s="499"/>
      <c r="HYW71" s="499"/>
      <c r="HYX71" s="499"/>
      <c r="HYY71" s="499"/>
      <c r="HYZ71" s="499"/>
      <c r="HZA71" s="499"/>
      <c r="HZB71" s="499"/>
      <c r="HZC71" s="499"/>
      <c r="HZD71" s="499"/>
      <c r="HZE71" s="499"/>
      <c r="HZF71" s="499"/>
      <c r="HZG71" s="499"/>
      <c r="HZH71" s="499"/>
      <c r="HZI71" s="499"/>
      <c r="HZJ71" s="499"/>
      <c r="HZK71" s="499"/>
      <c r="HZL71" s="499"/>
      <c r="HZM71" s="499"/>
      <c r="HZN71" s="499"/>
      <c r="HZO71" s="499"/>
      <c r="HZP71" s="499"/>
      <c r="HZQ71" s="499"/>
      <c r="HZR71" s="499"/>
      <c r="HZS71" s="499"/>
      <c r="HZT71" s="499"/>
      <c r="HZU71" s="499"/>
      <c r="HZV71" s="499"/>
      <c r="HZW71" s="499"/>
      <c r="HZX71" s="499"/>
      <c r="HZY71" s="499"/>
      <c r="HZZ71" s="499"/>
      <c r="IAA71" s="499"/>
      <c r="IAB71" s="499"/>
      <c r="IAC71" s="499"/>
      <c r="IAD71" s="499"/>
      <c r="IAE71" s="499"/>
      <c r="IAF71" s="499"/>
      <c r="IAG71" s="499"/>
      <c r="IAH71" s="499"/>
      <c r="IAI71" s="499"/>
      <c r="IAJ71" s="499"/>
      <c r="IAK71" s="499"/>
      <c r="IAL71" s="499"/>
      <c r="IAM71" s="499"/>
      <c r="IAN71" s="499"/>
      <c r="IAO71" s="499"/>
      <c r="IAP71" s="499"/>
      <c r="IAQ71" s="499"/>
      <c r="IAR71" s="499"/>
      <c r="IAS71" s="499"/>
      <c r="IAT71" s="499"/>
      <c r="IAU71" s="499"/>
      <c r="IAV71" s="499"/>
      <c r="IAW71" s="499"/>
      <c r="IAX71" s="499"/>
      <c r="IAY71" s="499"/>
      <c r="IAZ71" s="499"/>
      <c r="IBA71" s="499"/>
      <c r="IBB71" s="499"/>
      <c r="IBC71" s="499"/>
      <c r="IBD71" s="499"/>
      <c r="IBE71" s="499"/>
      <c r="IBF71" s="499"/>
      <c r="IBG71" s="499"/>
      <c r="IBH71" s="499"/>
      <c r="IBI71" s="499"/>
      <c r="IBJ71" s="499"/>
      <c r="IBK71" s="499"/>
      <c r="IBL71" s="499"/>
      <c r="IBM71" s="499"/>
      <c r="IBN71" s="499"/>
      <c r="IBO71" s="499"/>
      <c r="IBP71" s="499"/>
      <c r="IBQ71" s="499"/>
      <c r="IBR71" s="499"/>
      <c r="IBS71" s="499"/>
      <c r="IBT71" s="499"/>
      <c r="IBU71" s="499"/>
      <c r="IBV71" s="499"/>
      <c r="IBW71" s="499"/>
      <c r="IBX71" s="499"/>
      <c r="IBY71" s="499"/>
      <c r="IBZ71" s="499"/>
      <c r="ICA71" s="499"/>
      <c r="ICB71" s="499"/>
      <c r="ICC71" s="499"/>
      <c r="ICD71" s="499"/>
      <c r="ICE71" s="499"/>
      <c r="ICF71" s="499"/>
      <c r="ICG71" s="499"/>
      <c r="ICH71" s="499"/>
      <c r="ICI71" s="499"/>
      <c r="ICJ71" s="499"/>
      <c r="ICK71" s="499"/>
      <c r="ICL71" s="499"/>
      <c r="ICM71" s="499"/>
      <c r="ICN71" s="499"/>
      <c r="ICO71" s="499"/>
      <c r="ICP71" s="499"/>
      <c r="ICQ71" s="499"/>
      <c r="ICR71" s="499"/>
      <c r="ICS71" s="499"/>
      <c r="ICT71" s="499"/>
      <c r="ICU71" s="499"/>
      <c r="ICV71" s="499"/>
      <c r="ICW71" s="499"/>
      <c r="ICX71" s="499"/>
      <c r="ICY71" s="499"/>
      <c r="ICZ71" s="499"/>
      <c r="IDA71" s="499"/>
      <c r="IDB71" s="499"/>
      <c r="IDC71" s="499"/>
      <c r="IDD71" s="499"/>
      <c r="IDE71" s="499"/>
      <c r="IDF71" s="499"/>
      <c r="IDG71" s="499"/>
      <c r="IDH71" s="499"/>
      <c r="IDI71" s="499"/>
      <c r="IDJ71" s="499"/>
      <c r="IDK71" s="499"/>
      <c r="IDL71" s="499"/>
      <c r="IDM71" s="499"/>
      <c r="IDN71" s="499"/>
      <c r="IDO71" s="499"/>
      <c r="IDP71" s="499"/>
      <c r="IDQ71" s="499"/>
      <c r="IDR71" s="499"/>
      <c r="IDS71" s="499"/>
      <c r="IDT71" s="499"/>
      <c r="IDU71" s="499"/>
      <c r="IDV71" s="499"/>
      <c r="IDW71" s="499"/>
      <c r="IDX71" s="499"/>
      <c r="IDY71" s="499"/>
      <c r="IDZ71" s="499"/>
      <c r="IEA71" s="499"/>
      <c r="IEB71" s="499"/>
      <c r="IEC71" s="499"/>
      <c r="IED71" s="499"/>
      <c r="IEE71" s="499"/>
      <c r="IEF71" s="499"/>
      <c r="IEG71" s="499"/>
      <c r="IEH71" s="499"/>
      <c r="IEI71" s="499"/>
      <c r="IEJ71" s="499"/>
      <c r="IEK71" s="499"/>
      <c r="IEL71" s="499"/>
      <c r="IEM71" s="499"/>
      <c r="IEN71" s="499"/>
      <c r="IEO71" s="499"/>
      <c r="IEP71" s="499"/>
      <c r="IEQ71" s="499"/>
      <c r="IER71" s="499"/>
      <c r="IES71" s="499"/>
      <c r="IET71" s="499"/>
      <c r="IEU71" s="499"/>
      <c r="IEV71" s="499"/>
      <c r="IEW71" s="499"/>
      <c r="IEX71" s="499"/>
      <c r="IEY71" s="499"/>
      <c r="IEZ71" s="499"/>
      <c r="IFA71" s="499"/>
      <c r="IFB71" s="499"/>
      <c r="IFC71" s="499"/>
      <c r="IFD71" s="499"/>
      <c r="IFE71" s="499"/>
      <c r="IFF71" s="499"/>
      <c r="IFG71" s="499"/>
      <c r="IFH71" s="499"/>
      <c r="IFI71" s="499"/>
      <c r="IFJ71" s="499"/>
      <c r="IFK71" s="499"/>
      <c r="IFL71" s="499"/>
      <c r="IFM71" s="499"/>
      <c r="IFN71" s="499"/>
      <c r="IFO71" s="499"/>
      <c r="IFP71" s="499"/>
      <c r="IFQ71" s="499"/>
      <c r="IFR71" s="499"/>
      <c r="IFS71" s="499"/>
      <c r="IFT71" s="499"/>
      <c r="IFU71" s="499"/>
      <c r="IFV71" s="499"/>
      <c r="IFW71" s="499"/>
      <c r="IFX71" s="499"/>
      <c r="IFY71" s="499"/>
      <c r="IFZ71" s="499"/>
      <c r="IGA71" s="499"/>
      <c r="IGB71" s="499"/>
      <c r="IGC71" s="499"/>
      <c r="IGD71" s="499"/>
      <c r="IGE71" s="499"/>
      <c r="IGF71" s="499"/>
      <c r="IGG71" s="499"/>
      <c r="IGH71" s="499"/>
      <c r="IGI71" s="499"/>
      <c r="IGJ71" s="499"/>
      <c r="IGK71" s="499"/>
      <c r="IGL71" s="499"/>
      <c r="IGM71" s="499"/>
      <c r="IGN71" s="499"/>
      <c r="IGO71" s="499"/>
      <c r="IGP71" s="499"/>
      <c r="IGQ71" s="499"/>
      <c r="IGR71" s="499"/>
      <c r="IGS71" s="499"/>
      <c r="IGT71" s="499"/>
      <c r="IGU71" s="499"/>
      <c r="IGV71" s="499"/>
      <c r="IGW71" s="499"/>
      <c r="IGX71" s="499"/>
      <c r="IGY71" s="499"/>
      <c r="IGZ71" s="499"/>
      <c r="IHA71" s="499"/>
      <c r="IHB71" s="499"/>
      <c r="IHC71" s="499"/>
      <c r="IHD71" s="499"/>
      <c r="IHE71" s="499"/>
      <c r="IHF71" s="499"/>
      <c r="IHG71" s="499"/>
      <c r="IHH71" s="499"/>
      <c r="IHI71" s="499"/>
      <c r="IHJ71" s="499"/>
      <c r="IHK71" s="499"/>
      <c r="IHL71" s="499"/>
      <c r="IHM71" s="499"/>
      <c r="IHN71" s="499"/>
      <c r="IHO71" s="499"/>
      <c r="IHP71" s="499"/>
      <c r="IHQ71" s="499"/>
      <c r="IHR71" s="499"/>
      <c r="IHS71" s="499"/>
      <c r="IHT71" s="499"/>
      <c r="IHU71" s="499"/>
      <c r="IHV71" s="499"/>
      <c r="IHW71" s="499"/>
      <c r="IHX71" s="499"/>
      <c r="IHY71" s="499"/>
      <c r="IHZ71" s="499"/>
      <c r="IIA71" s="499"/>
      <c r="IIB71" s="499"/>
      <c r="IIC71" s="499"/>
      <c r="IID71" s="499"/>
      <c r="IIE71" s="499"/>
      <c r="IIF71" s="499"/>
      <c r="IIG71" s="499"/>
      <c r="IIH71" s="499"/>
      <c r="III71" s="499"/>
      <c r="IIJ71" s="499"/>
      <c r="IIK71" s="499"/>
      <c r="IIL71" s="499"/>
      <c r="IIM71" s="499"/>
      <c r="IIN71" s="499"/>
      <c r="IIO71" s="499"/>
      <c r="IIP71" s="499"/>
      <c r="IIQ71" s="499"/>
      <c r="IIR71" s="499"/>
      <c r="IIS71" s="499"/>
      <c r="IIT71" s="499"/>
      <c r="IIU71" s="499"/>
      <c r="IIV71" s="499"/>
      <c r="IIW71" s="499"/>
      <c r="IIX71" s="499"/>
      <c r="IIY71" s="499"/>
      <c r="IIZ71" s="499"/>
      <c r="IJA71" s="499"/>
      <c r="IJB71" s="499"/>
      <c r="IJC71" s="499"/>
      <c r="IJD71" s="499"/>
      <c r="IJE71" s="499"/>
      <c r="IJF71" s="499"/>
      <c r="IJG71" s="499"/>
      <c r="IJH71" s="499"/>
      <c r="IJI71" s="499"/>
      <c r="IJJ71" s="499"/>
      <c r="IJK71" s="499"/>
      <c r="IJL71" s="499"/>
      <c r="IJM71" s="499"/>
      <c r="IJN71" s="499"/>
      <c r="IJO71" s="499"/>
      <c r="IJP71" s="499"/>
      <c r="IJQ71" s="499"/>
      <c r="IJR71" s="499"/>
      <c r="IJS71" s="499"/>
      <c r="IJT71" s="499"/>
      <c r="IJU71" s="499"/>
      <c r="IJV71" s="499"/>
      <c r="IJW71" s="499"/>
      <c r="IJX71" s="499"/>
      <c r="IJY71" s="499"/>
      <c r="IJZ71" s="499"/>
      <c r="IKA71" s="499"/>
      <c r="IKB71" s="499"/>
      <c r="IKC71" s="499"/>
      <c r="IKD71" s="499"/>
      <c r="IKE71" s="499"/>
      <c r="IKF71" s="499"/>
      <c r="IKG71" s="499"/>
      <c r="IKH71" s="499"/>
      <c r="IKI71" s="499"/>
      <c r="IKJ71" s="499"/>
      <c r="IKK71" s="499"/>
      <c r="IKL71" s="499"/>
      <c r="IKM71" s="499"/>
      <c r="IKN71" s="499"/>
      <c r="IKO71" s="499"/>
      <c r="IKP71" s="499"/>
      <c r="IKQ71" s="499"/>
      <c r="IKR71" s="499"/>
      <c r="IKS71" s="499"/>
      <c r="IKT71" s="499"/>
      <c r="IKU71" s="499"/>
      <c r="IKV71" s="499"/>
      <c r="IKW71" s="499"/>
      <c r="IKX71" s="499"/>
      <c r="IKY71" s="499"/>
      <c r="IKZ71" s="499"/>
      <c r="ILA71" s="499"/>
      <c r="ILB71" s="499"/>
      <c r="ILC71" s="499"/>
      <c r="ILD71" s="499"/>
      <c r="ILE71" s="499"/>
      <c r="ILF71" s="499"/>
      <c r="ILG71" s="499"/>
      <c r="ILH71" s="499"/>
      <c r="ILI71" s="499"/>
      <c r="ILJ71" s="499"/>
      <c r="ILK71" s="499"/>
      <c r="ILL71" s="499"/>
      <c r="ILM71" s="499"/>
      <c r="ILN71" s="499"/>
      <c r="ILO71" s="499"/>
      <c r="ILP71" s="499"/>
      <c r="ILQ71" s="499"/>
      <c r="ILR71" s="499"/>
      <c r="ILS71" s="499"/>
      <c r="ILT71" s="499"/>
      <c r="ILU71" s="499"/>
      <c r="ILV71" s="499"/>
      <c r="ILW71" s="499"/>
      <c r="ILX71" s="499"/>
      <c r="ILY71" s="499"/>
      <c r="ILZ71" s="499"/>
      <c r="IMA71" s="499"/>
      <c r="IMB71" s="499"/>
      <c r="IMC71" s="499"/>
      <c r="IMD71" s="499"/>
      <c r="IME71" s="499"/>
      <c r="IMF71" s="499"/>
      <c r="IMG71" s="499"/>
      <c r="IMH71" s="499"/>
      <c r="IMI71" s="499"/>
      <c r="IMJ71" s="499"/>
      <c r="IMK71" s="499"/>
      <c r="IML71" s="499"/>
      <c r="IMM71" s="499"/>
      <c r="IMN71" s="499"/>
      <c r="IMO71" s="499"/>
      <c r="IMP71" s="499"/>
      <c r="IMQ71" s="499"/>
      <c r="IMR71" s="499"/>
      <c r="IMS71" s="499"/>
      <c r="IMT71" s="499"/>
      <c r="IMU71" s="499"/>
      <c r="IMV71" s="499"/>
      <c r="IMW71" s="499"/>
      <c r="IMX71" s="499"/>
      <c r="IMY71" s="499"/>
      <c r="IMZ71" s="499"/>
      <c r="INA71" s="499"/>
      <c r="INB71" s="499"/>
      <c r="INC71" s="499"/>
      <c r="IND71" s="499"/>
      <c r="INE71" s="499"/>
      <c r="INF71" s="499"/>
      <c r="ING71" s="499"/>
      <c r="INH71" s="499"/>
      <c r="INI71" s="499"/>
      <c r="INJ71" s="499"/>
      <c r="INK71" s="499"/>
      <c r="INL71" s="499"/>
      <c r="INM71" s="499"/>
      <c r="INN71" s="499"/>
      <c r="INO71" s="499"/>
      <c r="INP71" s="499"/>
      <c r="INQ71" s="499"/>
      <c r="INR71" s="499"/>
      <c r="INS71" s="499"/>
      <c r="INT71" s="499"/>
      <c r="INU71" s="499"/>
      <c r="INV71" s="499"/>
      <c r="INW71" s="499"/>
      <c r="INX71" s="499"/>
      <c r="INY71" s="499"/>
      <c r="INZ71" s="499"/>
      <c r="IOA71" s="499"/>
      <c r="IOB71" s="499"/>
      <c r="IOC71" s="499"/>
      <c r="IOD71" s="499"/>
      <c r="IOE71" s="499"/>
      <c r="IOF71" s="499"/>
      <c r="IOG71" s="499"/>
      <c r="IOH71" s="499"/>
      <c r="IOI71" s="499"/>
      <c r="IOJ71" s="499"/>
      <c r="IOK71" s="499"/>
      <c r="IOL71" s="499"/>
      <c r="IOM71" s="499"/>
      <c r="ION71" s="499"/>
      <c r="IOO71" s="499"/>
      <c r="IOP71" s="499"/>
      <c r="IOQ71" s="499"/>
      <c r="IOR71" s="499"/>
      <c r="IOS71" s="499"/>
      <c r="IOT71" s="499"/>
      <c r="IOU71" s="499"/>
      <c r="IOV71" s="499"/>
      <c r="IOW71" s="499"/>
      <c r="IOX71" s="499"/>
      <c r="IOY71" s="499"/>
      <c r="IOZ71" s="499"/>
      <c r="IPA71" s="499"/>
      <c r="IPB71" s="499"/>
      <c r="IPC71" s="499"/>
      <c r="IPD71" s="499"/>
      <c r="IPE71" s="499"/>
      <c r="IPF71" s="499"/>
      <c r="IPG71" s="499"/>
      <c r="IPH71" s="499"/>
      <c r="IPI71" s="499"/>
      <c r="IPJ71" s="499"/>
      <c r="IPK71" s="499"/>
      <c r="IPL71" s="499"/>
      <c r="IPM71" s="499"/>
      <c r="IPN71" s="499"/>
      <c r="IPO71" s="499"/>
      <c r="IPP71" s="499"/>
      <c r="IPQ71" s="499"/>
      <c r="IPR71" s="499"/>
      <c r="IPS71" s="499"/>
      <c r="IPT71" s="499"/>
      <c r="IPU71" s="499"/>
      <c r="IPV71" s="499"/>
      <c r="IPW71" s="499"/>
      <c r="IPX71" s="499"/>
      <c r="IPY71" s="499"/>
      <c r="IPZ71" s="499"/>
      <c r="IQA71" s="499"/>
      <c r="IQB71" s="499"/>
      <c r="IQC71" s="499"/>
      <c r="IQD71" s="499"/>
      <c r="IQE71" s="499"/>
      <c r="IQF71" s="499"/>
      <c r="IQG71" s="499"/>
      <c r="IQH71" s="499"/>
      <c r="IQI71" s="499"/>
      <c r="IQJ71" s="499"/>
      <c r="IQK71" s="499"/>
      <c r="IQL71" s="499"/>
      <c r="IQM71" s="499"/>
      <c r="IQN71" s="499"/>
      <c r="IQO71" s="499"/>
      <c r="IQP71" s="499"/>
      <c r="IQQ71" s="499"/>
      <c r="IQR71" s="499"/>
      <c r="IQS71" s="499"/>
      <c r="IQT71" s="499"/>
      <c r="IQU71" s="499"/>
      <c r="IQV71" s="499"/>
      <c r="IQW71" s="499"/>
      <c r="IQX71" s="499"/>
      <c r="IQY71" s="499"/>
      <c r="IQZ71" s="499"/>
      <c r="IRA71" s="499"/>
      <c r="IRB71" s="499"/>
      <c r="IRC71" s="499"/>
      <c r="IRD71" s="499"/>
      <c r="IRE71" s="499"/>
      <c r="IRF71" s="499"/>
      <c r="IRG71" s="499"/>
      <c r="IRH71" s="499"/>
      <c r="IRI71" s="499"/>
      <c r="IRJ71" s="499"/>
      <c r="IRK71" s="499"/>
      <c r="IRL71" s="499"/>
      <c r="IRM71" s="499"/>
      <c r="IRN71" s="499"/>
      <c r="IRO71" s="499"/>
      <c r="IRP71" s="499"/>
      <c r="IRQ71" s="499"/>
      <c r="IRR71" s="499"/>
      <c r="IRS71" s="499"/>
      <c r="IRT71" s="499"/>
      <c r="IRU71" s="499"/>
      <c r="IRV71" s="499"/>
      <c r="IRW71" s="499"/>
      <c r="IRX71" s="499"/>
      <c r="IRY71" s="499"/>
      <c r="IRZ71" s="499"/>
      <c r="ISA71" s="499"/>
      <c r="ISB71" s="499"/>
      <c r="ISC71" s="499"/>
      <c r="ISD71" s="499"/>
      <c r="ISE71" s="499"/>
      <c r="ISF71" s="499"/>
      <c r="ISG71" s="499"/>
      <c r="ISH71" s="499"/>
      <c r="ISI71" s="499"/>
      <c r="ISJ71" s="499"/>
      <c r="ISK71" s="499"/>
      <c r="ISL71" s="499"/>
      <c r="ISM71" s="499"/>
      <c r="ISN71" s="499"/>
      <c r="ISO71" s="499"/>
      <c r="ISP71" s="499"/>
      <c r="ISQ71" s="499"/>
      <c r="ISR71" s="499"/>
      <c r="ISS71" s="499"/>
      <c r="IST71" s="499"/>
      <c r="ISU71" s="499"/>
      <c r="ISV71" s="499"/>
      <c r="ISW71" s="499"/>
      <c r="ISX71" s="499"/>
      <c r="ISY71" s="499"/>
      <c r="ISZ71" s="499"/>
      <c r="ITA71" s="499"/>
      <c r="ITB71" s="499"/>
      <c r="ITC71" s="499"/>
      <c r="ITD71" s="499"/>
      <c r="ITE71" s="499"/>
      <c r="ITF71" s="499"/>
      <c r="ITG71" s="499"/>
      <c r="ITH71" s="499"/>
      <c r="ITI71" s="499"/>
      <c r="ITJ71" s="499"/>
      <c r="ITK71" s="499"/>
      <c r="ITL71" s="499"/>
      <c r="ITM71" s="499"/>
      <c r="ITN71" s="499"/>
      <c r="ITO71" s="499"/>
      <c r="ITP71" s="499"/>
      <c r="ITQ71" s="499"/>
      <c r="ITR71" s="499"/>
      <c r="ITS71" s="499"/>
      <c r="ITT71" s="499"/>
      <c r="ITU71" s="499"/>
      <c r="ITV71" s="499"/>
      <c r="ITW71" s="499"/>
      <c r="ITX71" s="499"/>
      <c r="ITY71" s="499"/>
      <c r="ITZ71" s="499"/>
      <c r="IUA71" s="499"/>
      <c r="IUB71" s="499"/>
      <c r="IUC71" s="499"/>
      <c r="IUD71" s="499"/>
      <c r="IUE71" s="499"/>
      <c r="IUF71" s="499"/>
      <c r="IUG71" s="499"/>
      <c r="IUH71" s="499"/>
      <c r="IUI71" s="499"/>
      <c r="IUJ71" s="499"/>
      <c r="IUK71" s="499"/>
      <c r="IUL71" s="499"/>
      <c r="IUM71" s="499"/>
      <c r="IUN71" s="499"/>
      <c r="IUO71" s="499"/>
      <c r="IUP71" s="499"/>
      <c r="IUQ71" s="499"/>
      <c r="IUR71" s="499"/>
      <c r="IUS71" s="499"/>
      <c r="IUT71" s="499"/>
      <c r="IUU71" s="499"/>
      <c r="IUV71" s="499"/>
      <c r="IUW71" s="499"/>
      <c r="IUX71" s="499"/>
      <c r="IUY71" s="499"/>
      <c r="IUZ71" s="499"/>
      <c r="IVA71" s="499"/>
      <c r="IVB71" s="499"/>
      <c r="IVC71" s="499"/>
      <c r="IVD71" s="499"/>
      <c r="IVE71" s="499"/>
      <c r="IVF71" s="499"/>
      <c r="IVG71" s="499"/>
      <c r="IVH71" s="499"/>
      <c r="IVI71" s="499"/>
      <c r="IVJ71" s="499"/>
      <c r="IVK71" s="499"/>
      <c r="IVL71" s="499"/>
      <c r="IVM71" s="499"/>
      <c r="IVN71" s="499"/>
      <c r="IVO71" s="499"/>
      <c r="IVP71" s="499"/>
      <c r="IVQ71" s="499"/>
      <c r="IVR71" s="499"/>
      <c r="IVS71" s="499"/>
      <c r="IVT71" s="499"/>
      <c r="IVU71" s="499"/>
      <c r="IVV71" s="499"/>
      <c r="IVW71" s="499"/>
      <c r="IVX71" s="499"/>
      <c r="IVY71" s="499"/>
      <c r="IVZ71" s="499"/>
      <c r="IWA71" s="499"/>
      <c r="IWB71" s="499"/>
      <c r="IWC71" s="499"/>
      <c r="IWD71" s="499"/>
      <c r="IWE71" s="499"/>
      <c r="IWF71" s="499"/>
      <c r="IWG71" s="499"/>
      <c r="IWH71" s="499"/>
      <c r="IWI71" s="499"/>
      <c r="IWJ71" s="499"/>
      <c r="IWK71" s="499"/>
      <c r="IWL71" s="499"/>
      <c r="IWM71" s="499"/>
      <c r="IWN71" s="499"/>
      <c r="IWO71" s="499"/>
      <c r="IWP71" s="499"/>
      <c r="IWQ71" s="499"/>
      <c r="IWR71" s="499"/>
      <c r="IWS71" s="499"/>
      <c r="IWT71" s="499"/>
      <c r="IWU71" s="499"/>
      <c r="IWV71" s="499"/>
      <c r="IWW71" s="499"/>
      <c r="IWX71" s="499"/>
      <c r="IWY71" s="499"/>
      <c r="IWZ71" s="499"/>
      <c r="IXA71" s="499"/>
      <c r="IXB71" s="499"/>
      <c r="IXC71" s="499"/>
      <c r="IXD71" s="499"/>
      <c r="IXE71" s="499"/>
      <c r="IXF71" s="499"/>
      <c r="IXG71" s="499"/>
      <c r="IXH71" s="499"/>
      <c r="IXI71" s="499"/>
      <c r="IXJ71" s="499"/>
      <c r="IXK71" s="499"/>
      <c r="IXL71" s="499"/>
      <c r="IXM71" s="499"/>
      <c r="IXN71" s="499"/>
      <c r="IXO71" s="499"/>
      <c r="IXP71" s="499"/>
      <c r="IXQ71" s="499"/>
      <c r="IXR71" s="499"/>
      <c r="IXS71" s="499"/>
      <c r="IXT71" s="499"/>
      <c r="IXU71" s="499"/>
      <c r="IXV71" s="499"/>
      <c r="IXW71" s="499"/>
      <c r="IXX71" s="499"/>
      <c r="IXY71" s="499"/>
      <c r="IXZ71" s="499"/>
      <c r="IYA71" s="499"/>
      <c r="IYB71" s="499"/>
      <c r="IYC71" s="499"/>
      <c r="IYD71" s="499"/>
      <c r="IYE71" s="499"/>
      <c r="IYF71" s="499"/>
      <c r="IYG71" s="499"/>
      <c r="IYH71" s="499"/>
      <c r="IYI71" s="499"/>
      <c r="IYJ71" s="499"/>
      <c r="IYK71" s="499"/>
      <c r="IYL71" s="499"/>
      <c r="IYM71" s="499"/>
      <c r="IYN71" s="499"/>
      <c r="IYO71" s="499"/>
      <c r="IYP71" s="499"/>
      <c r="IYQ71" s="499"/>
      <c r="IYR71" s="499"/>
      <c r="IYS71" s="499"/>
      <c r="IYT71" s="499"/>
      <c r="IYU71" s="499"/>
      <c r="IYV71" s="499"/>
      <c r="IYW71" s="499"/>
      <c r="IYX71" s="499"/>
      <c r="IYY71" s="499"/>
      <c r="IYZ71" s="499"/>
      <c r="IZA71" s="499"/>
      <c r="IZB71" s="499"/>
      <c r="IZC71" s="499"/>
      <c r="IZD71" s="499"/>
      <c r="IZE71" s="499"/>
      <c r="IZF71" s="499"/>
      <c r="IZG71" s="499"/>
      <c r="IZH71" s="499"/>
      <c r="IZI71" s="499"/>
      <c r="IZJ71" s="499"/>
      <c r="IZK71" s="499"/>
      <c r="IZL71" s="499"/>
      <c r="IZM71" s="499"/>
      <c r="IZN71" s="499"/>
      <c r="IZO71" s="499"/>
      <c r="IZP71" s="499"/>
      <c r="IZQ71" s="499"/>
      <c r="IZR71" s="499"/>
      <c r="IZS71" s="499"/>
      <c r="IZT71" s="499"/>
      <c r="IZU71" s="499"/>
      <c r="IZV71" s="499"/>
      <c r="IZW71" s="499"/>
      <c r="IZX71" s="499"/>
      <c r="IZY71" s="499"/>
      <c r="IZZ71" s="499"/>
      <c r="JAA71" s="499"/>
      <c r="JAB71" s="499"/>
      <c r="JAC71" s="499"/>
      <c r="JAD71" s="499"/>
      <c r="JAE71" s="499"/>
      <c r="JAF71" s="499"/>
      <c r="JAG71" s="499"/>
      <c r="JAH71" s="499"/>
      <c r="JAI71" s="499"/>
      <c r="JAJ71" s="499"/>
      <c r="JAK71" s="499"/>
      <c r="JAL71" s="499"/>
      <c r="JAM71" s="499"/>
      <c r="JAN71" s="499"/>
      <c r="JAO71" s="499"/>
      <c r="JAP71" s="499"/>
      <c r="JAQ71" s="499"/>
      <c r="JAR71" s="499"/>
      <c r="JAS71" s="499"/>
      <c r="JAT71" s="499"/>
      <c r="JAU71" s="499"/>
      <c r="JAV71" s="499"/>
      <c r="JAW71" s="499"/>
      <c r="JAX71" s="499"/>
      <c r="JAY71" s="499"/>
      <c r="JAZ71" s="499"/>
      <c r="JBA71" s="499"/>
      <c r="JBB71" s="499"/>
      <c r="JBC71" s="499"/>
      <c r="JBD71" s="499"/>
      <c r="JBE71" s="499"/>
      <c r="JBF71" s="499"/>
      <c r="JBG71" s="499"/>
      <c r="JBH71" s="499"/>
      <c r="JBI71" s="499"/>
      <c r="JBJ71" s="499"/>
      <c r="JBK71" s="499"/>
      <c r="JBL71" s="499"/>
      <c r="JBM71" s="499"/>
      <c r="JBN71" s="499"/>
      <c r="JBO71" s="499"/>
      <c r="JBP71" s="499"/>
      <c r="JBQ71" s="499"/>
      <c r="JBR71" s="499"/>
      <c r="JBS71" s="499"/>
      <c r="JBT71" s="499"/>
      <c r="JBU71" s="499"/>
      <c r="JBV71" s="499"/>
      <c r="JBW71" s="499"/>
      <c r="JBX71" s="499"/>
      <c r="JBY71" s="499"/>
      <c r="JBZ71" s="499"/>
      <c r="JCA71" s="499"/>
      <c r="JCB71" s="499"/>
      <c r="JCC71" s="499"/>
      <c r="JCD71" s="499"/>
      <c r="JCE71" s="499"/>
      <c r="JCF71" s="499"/>
      <c r="JCG71" s="499"/>
      <c r="JCH71" s="499"/>
      <c r="JCI71" s="499"/>
      <c r="JCJ71" s="499"/>
      <c r="JCK71" s="499"/>
      <c r="JCL71" s="499"/>
      <c r="JCM71" s="499"/>
      <c r="JCN71" s="499"/>
      <c r="JCO71" s="499"/>
      <c r="JCP71" s="499"/>
      <c r="JCQ71" s="499"/>
      <c r="JCR71" s="499"/>
      <c r="JCS71" s="499"/>
      <c r="JCT71" s="499"/>
      <c r="JCU71" s="499"/>
      <c r="JCV71" s="499"/>
      <c r="JCW71" s="499"/>
      <c r="JCX71" s="499"/>
      <c r="JCY71" s="499"/>
      <c r="JCZ71" s="499"/>
      <c r="JDA71" s="499"/>
      <c r="JDB71" s="499"/>
      <c r="JDC71" s="499"/>
      <c r="JDD71" s="499"/>
      <c r="JDE71" s="499"/>
      <c r="JDF71" s="499"/>
      <c r="JDG71" s="499"/>
      <c r="JDH71" s="499"/>
      <c r="JDI71" s="499"/>
      <c r="JDJ71" s="499"/>
      <c r="JDK71" s="499"/>
      <c r="JDL71" s="499"/>
      <c r="JDM71" s="499"/>
      <c r="JDN71" s="499"/>
      <c r="JDO71" s="499"/>
      <c r="JDP71" s="499"/>
      <c r="JDQ71" s="499"/>
      <c r="JDR71" s="499"/>
      <c r="JDS71" s="499"/>
      <c r="JDT71" s="499"/>
      <c r="JDU71" s="499"/>
      <c r="JDV71" s="499"/>
      <c r="JDW71" s="499"/>
      <c r="JDX71" s="499"/>
      <c r="JDY71" s="499"/>
      <c r="JDZ71" s="499"/>
      <c r="JEA71" s="499"/>
      <c r="JEB71" s="499"/>
      <c r="JEC71" s="499"/>
      <c r="JED71" s="499"/>
      <c r="JEE71" s="499"/>
      <c r="JEF71" s="499"/>
      <c r="JEG71" s="499"/>
      <c r="JEH71" s="499"/>
      <c r="JEI71" s="499"/>
      <c r="JEJ71" s="499"/>
      <c r="JEK71" s="499"/>
      <c r="JEL71" s="499"/>
      <c r="JEM71" s="499"/>
      <c r="JEN71" s="499"/>
      <c r="JEO71" s="499"/>
      <c r="JEP71" s="499"/>
      <c r="JEQ71" s="499"/>
      <c r="JER71" s="499"/>
      <c r="JES71" s="499"/>
      <c r="JET71" s="499"/>
      <c r="JEU71" s="499"/>
      <c r="JEV71" s="499"/>
      <c r="JEW71" s="499"/>
      <c r="JEX71" s="499"/>
      <c r="JEY71" s="499"/>
      <c r="JEZ71" s="499"/>
      <c r="JFA71" s="499"/>
      <c r="JFB71" s="499"/>
      <c r="JFC71" s="499"/>
      <c r="JFD71" s="499"/>
      <c r="JFE71" s="499"/>
      <c r="JFF71" s="499"/>
      <c r="JFG71" s="499"/>
      <c r="JFH71" s="499"/>
      <c r="JFI71" s="499"/>
      <c r="JFJ71" s="499"/>
      <c r="JFK71" s="499"/>
      <c r="JFL71" s="499"/>
      <c r="JFM71" s="499"/>
      <c r="JFN71" s="499"/>
      <c r="JFO71" s="499"/>
      <c r="JFP71" s="499"/>
      <c r="JFQ71" s="499"/>
      <c r="JFR71" s="499"/>
      <c r="JFS71" s="499"/>
      <c r="JFT71" s="499"/>
      <c r="JFU71" s="499"/>
      <c r="JFV71" s="499"/>
      <c r="JFW71" s="499"/>
      <c r="JFX71" s="499"/>
      <c r="JFY71" s="499"/>
      <c r="JFZ71" s="499"/>
      <c r="JGA71" s="499"/>
      <c r="JGB71" s="499"/>
      <c r="JGC71" s="499"/>
      <c r="JGD71" s="499"/>
      <c r="JGE71" s="499"/>
      <c r="JGF71" s="499"/>
      <c r="JGG71" s="499"/>
      <c r="JGH71" s="499"/>
      <c r="JGI71" s="499"/>
      <c r="JGJ71" s="499"/>
      <c r="JGK71" s="499"/>
      <c r="JGL71" s="499"/>
      <c r="JGM71" s="499"/>
      <c r="JGN71" s="499"/>
      <c r="JGO71" s="499"/>
      <c r="JGP71" s="499"/>
      <c r="JGQ71" s="499"/>
      <c r="JGR71" s="499"/>
      <c r="JGS71" s="499"/>
      <c r="JGT71" s="499"/>
      <c r="JGU71" s="499"/>
      <c r="JGV71" s="499"/>
      <c r="JGW71" s="499"/>
      <c r="JGX71" s="499"/>
      <c r="JGY71" s="499"/>
      <c r="JGZ71" s="499"/>
      <c r="JHA71" s="499"/>
      <c r="JHB71" s="499"/>
      <c r="JHC71" s="499"/>
      <c r="JHD71" s="499"/>
      <c r="JHE71" s="499"/>
      <c r="JHF71" s="499"/>
      <c r="JHG71" s="499"/>
      <c r="JHH71" s="499"/>
      <c r="JHI71" s="499"/>
      <c r="JHJ71" s="499"/>
      <c r="JHK71" s="499"/>
      <c r="JHL71" s="499"/>
      <c r="JHM71" s="499"/>
      <c r="JHN71" s="499"/>
      <c r="JHO71" s="499"/>
      <c r="JHP71" s="499"/>
      <c r="JHQ71" s="499"/>
      <c r="JHR71" s="499"/>
      <c r="JHS71" s="499"/>
      <c r="JHT71" s="499"/>
      <c r="JHU71" s="499"/>
      <c r="JHV71" s="499"/>
      <c r="JHW71" s="499"/>
      <c r="JHX71" s="499"/>
      <c r="JHY71" s="499"/>
      <c r="JHZ71" s="499"/>
      <c r="JIA71" s="499"/>
      <c r="JIB71" s="499"/>
      <c r="JIC71" s="499"/>
      <c r="JID71" s="499"/>
      <c r="JIE71" s="499"/>
      <c r="JIF71" s="499"/>
      <c r="JIG71" s="499"/>
      <c r="JIH71" s="499"/>
      <c r="JII71" s="499"/>
      <c r="JIJ71" s="499"/>
      <c r="JIK71" s="499"/>
      <c r="JIL71" s="499"/>
      <c r="JIM71" s="499"/>
      <c r="JIN71" s="499"/>
      <c r="JIO71" s="499"/>
      <c r="JIP71" s="499"/>
      <c r="JIQ71" s="499"/>
      <c r="JIR71" s="499"/>
      <c r="JIS71" s="499"/>
      <c r="JIT71" s="499"/>
      <c r="JIU71" s="499"/>
      <c r="JIV71" s="499"/>
      <c r="JIW71" s="499"/>
      <c r="JIX71" s="499"/>
      <c r="JIY71" s="499"/>
      <c r="JIZ71" s="499"/>
      <c r="JJA71" s="499"/>
      <c r="JJB71" s="499"/>
      <c r="JJC71" s="499"/>
      <c r="JJD71" s="499"/>
      <c r="JJE71" s="499"/>
      <c r="JJF71" s="499"/>
      <c r="JJG71" s="499"/>
      <c r="JJH71" s="499"/>
      <c r="JJI71" s="499"/>
      <c r="JJJ71" s="499"/>
      <c r="JJK71" s="499"/>
      <c r="JJL71" s="499"/>
      <c r="JJM71" s="499"/>
      <c r="JJN71" s="499"/>
      <c r="JJO71" s="499"/>
      <c r="JJP71" s="499"/>
      <c r="JJQ71" s="499"/>
      <c r="JJR71" s="499"/>
      <c r="JJS71" s="499"/>
      <c r="JJT71" s="499"/>
      <c r="JJU71" s="499"/>
      <c r="JJV71" s="499"/>
      <c r="JJW71" s="499"/>
      <c r="JJX71" s="499"/>
      <c r="JJY71" s="499"/>
      <c r="JJZ71" s="499"/>
      <c r="JKA71" s="499"/>
      <c r="JKB71" s="499"/>
      <c r="JKC71" s="499"/>
      <c r="JKD71" s="499"/>
      <c r="JKE71" s="499"/>
      <c r="JKF71" s="499"/>
      <c r="JKG71" s="499"/>
      <c r="JKH71" s="499"/>
      <c r="JKI71" s="499"/>
      <c r="JKJ71" s="499"/>
      <c r="JKK71" s="499"/>
      <c r="JKL71" s="499"/>
      <c r="JKM71" s="499"/>
      <c r="JKN71" s="499"/>
      <c r="JKO71" s="499"/>
      <c r="JKP71" s="499"/>
      <c r="JKQ71" s="499"/>
      <c r="JKR71" s="499"/>
      <c r="JKS71" s="499"/>
      <c r="JKT71" s="499"/>
      <c r="JKU71" s="499"/>
      <c r="JKV71" s="499"/>
      <c r="JKW71" s="499"/>
      <c r="JKX71" s="499"/>
      <c r="JKY71" s="499"/>
      <c r="JKZ71" s="499"/>
      <c r="JLA71" s="499"/>
      <c r="JLB71" s="499"/>
      <c r="JLC71" s="499"/>
      <c r="JLD71" s="499"/>
      <c r="JLE71" s="499"/>
      <c r="JLF71" s="499"/>
      <c r="JLG71" s="499"/>
      <c r="JLH71" s="499"/>
      <c r="JLI71" s="499"/>
      <c r="JLJ71" s="499"/>
      <c r="JLK71" s="499"/>
      <c r="JLL71" s="499"/>
      <c r="JLM71" s="499"/>
      <c r="JLN71" s="499"/>
      <c r="JLO71" s="499"/>
      <c r="JLP71" s="499"/>
      <c r="JLQ71" s="499"/>
      <c r="JLR71" s="499"/>
      <c r="JLS71" s="499"/>
      <c r="JLT71" s="499"/>
      <c r="JLU71" s="499"/>
      <c r="JLV71" s="499"/>
      <c r="JLW71" s="499"/>
      <c r="JLX71" s="499"/>
      <c r="JLY71" s="499"/>
      <c r="JLZ71" s="499"/>
      <c r="JMA71" s="499"/>
      <c r="JMB71" s="499"/>
      <c r="JMC71" s="499"/>
      <c r="JMD71" s="499"/>
      <c r="JME71" s="499"/>
      <c r="JMF71" s="499"/>
      <c r="JMG71" s="499"/>
      <c r="JMH71" s="499"/>
      <c r="JMI71" s="499"/>
      <c r="JMJ71" s="499"/>
      <c r="JMK71" s="499"/>
      <c r="JML71" s="499"/>
      <c r="JMM71" s="499"/>
      <c r="JMN71" s="499"/>
      <c r="JMO71" s="499"/>
      <c r="JMP71" s="499"/>
      <c r="JMQ71" s="499"/>
      <c r="JMR71" s="499"/>
      <c r="JMS71" s="499"/>
      <c r="JMT71" s="499"/>
      <c r="JMU71" s="499"/>
      <c r="JMV71" s="499"/>
      <c r="JMW71" s="499"/>
      <c r="JMX71" s="499"/>
      <c r="JMY71" s="499"/>
      <c r="JMZ71" s="499"/>
      <c r="JNA71" s="499"/>
      <c r="JNB71" s="499"/>
      <c r="JNC71" s="499"/>
      <c r="JND71" s="499"/>
      <c r="JNE71" s="499"/>
      <c r="JNF71" s="499"/>
      <c r="JNG71" s="499"/>
      <c r="JNH71" s="499"/>
      <c r="JNI71" s="499"/>
      <c r="JNJ71" s="499"/>
      <c r="JNK71" s="499"/>
      <c r="JNL71" s="499"/>
      <c r="JNM71" s="499"/>
      <c r="JNN71" s="499"/>
      <c r="JNO71" s="499"/>
      <c r="JNP71" s="499"/>
      <c r="JNQ71" s="499"/>
      <c r="JNR71" s="499"/>
      <c r="JNS71" s="499"/>
      <c r="JNT71" s="499"/>
      <c r="JNU71" s="499"/>
      <c r="JNV71" s="499"/>
      <c r="JNW71" s="499"/>
      <c r="JNX71" s="499"/>
      <c r="JNY71" s="499"/>
      <c r="JNZ71" s="499"/>
      <c r="JOA71" s="499"/>
      <c r="JOB71" s="499"/>
      <c r="JOC71" s="499"/>
      <c r="JOD71" s="499"/>
      <c r="JOE71" s="499"/>
      <c r="JOF71" s="499"/>
      <c r="JOG71" s="499"/>
      <c r="JOH71" s="499"/>
      <c r="JOI71" s="499"/>
      <c r="JOJ71" s="499"/>
      <c r="JOK71" s="499"/>
      <c r="JOL71" s="499"/>
      <c r="JOM71" s="499"/>
      <c r="JON71" s="499"/>
      <c r="JOO71" s="499"/>
      <c r="JOP71" s="499"/>
      <c r="JOQ71" s="499"/>
      <c r="JOR71" s="499"/>
      <c r="JOS71" s="499"/>
      <c r="JOT71" s="499"/>
      <c r="JOU71" s="499"/>
      <c r="JOV71" s="499"/>
      <c r="JOW71" s="499"/>
      <c r="JOX71" s="499"/>
      <c r="JOY71" s="499"/>
      <c r="JOZ71" s="499"/>
      <c r="JPA71" s="499"/>
      <c r="JPB71" s="499"/>
      <c r="JPC71" s="499"/>
      <c r="JPD71" s="499"/>
      <c r="JPE71" s="499"/>
      <c r="JPF71" s="499"/>
      <c r="JPG71" s="499"/>
      <c r="JPH71" s="499"/>
      <c r="JPI71" s="499"/>
      <c r="JPJ71" s="499"/>
      <c r="JPK71" s="499"/>
      <c r="JPL71" s="499"/>
      <c r="JPM71" s="499"/>
      <c r="JPN71" s="499"/>
      <c r="JPO71" s="499"/>
      <c r="JPP71" s="499"/>
      <c r="JPQ71" s="499"/>
      <c r="JPR71" s="499"/>
      <c r="JPS71" s="499"/>
      <c r="JPT71" s="499"/>
      <c r="JPU71" s="499"/>
      <c r="JPV71" s="499"/>
      <c r="JPW71" s="499"/>
      <c r="JPX71" s="499"/>
      <c r="JPY71" s="499"/>
      <c r="JPZ71" s="499"/>
      <c r="JQA71" s="499"/>
      <c r="JQB71" s="499"/>
      <c r="JQC71" s="499"/>
      <c r="JQD71" s="499"/>
      <c r="JQE71" s="499"/>
      <c r="JQF71" s="499"/>
      <c r="JQG71" s="499"/>
      <c r="JQH71" s="499"/>
      <c r="JQI71" s="499"/>
      <c r="JQJ71" s="499"/>
      <c r="JQK71" s="499"/>
      <c r="JQL71" s="499"/>
      <c r="JQM71" s="499"/>
      <c r="JQN71" s="499"/>
      <c r="JQO71" s="499"/>
      <c r="JQP71" s="499"/>
      <c r="JQQ71" s="499"/>
      <c r="JQR71" s="499"/>
      <c r="JQS71" s="499"/>
      <c r="JQT71" s="499"/>
      <c r="JQU71" s="499"/>
      <c r="JQV71" s="499"/>
      <c r="JQW71" s="499"/>
      <c r="JQX71" s="499"/>
      <c r="JQY71" s="499"/>
      <c r="JQZ71" s="499"/>
      <c r="JRA71" s="499"/>
      <c r="JRB71" s="499"/>
      <c r="JRC71" s="499"/>
      <c r="JRD71" s="499"/>
      <c r="JRE71" s="499"/>
      <c r="JRF71" s="499"/>
      <c r="JRG71" s="499"/>
      <c r="JRH71" s="499"/>
      <c r="JRI71" s="499"/>
      <c r="JRJ71" s="499"/>
      <c r="JRK71" s="499"/>
      <c r="JRL71" s="499"/>
      <c r="JRM71" s="499"/>
      <c r="JRN71" s="499"/>
      <c r="JRO71" s="499"/>
      <c r="JRP71" s="499"/>
      <c r="JRQ71" s="499"/>
      <c r="JRR71" s="499"/>
      <c r="JRS71" s="499"/>
      <c r="JRT71" s="499"/>
      <c r="JRU71" s="499"/>
      <c r="JRV71" s="499"/>
      <c r="JRW71" s="499"/>
      <c r="JRX71" s="499"/>
      <c r="JRY71" s="499"/>
      <c r="JRZ71" s="499"/>
      <c r="JSA71" s="499"/>
      <c r="JSB71" s="499"/>
      <c r="JSC71" s="499"/>
      <c r="JSD71" s="499"/>
      <c r="JSE71" s="499"/>
      <c r="JSF71" s="499"/>
      <c r="JSG71" s="499"/>
      <c r="JSH71" s="499"/>
      <c r="JSI71" s="499"/>
      <c r="JSJ71" s="499"/>
      <c r="JSK71" s="499"/>
      <c r="JSL71" s="499"/>
      <c r="JSM71" s="499"/>
      <c r="JSN71" s="499"/>
      <c r="JSO71" s="499"/>
      <c r="JSP71" s="499"/>
      <c r="JSQ71" s="499"/>
      <c r="JSR71" s="499"/>
      <c r="JSS71" s="499"/>
      <c r="JST71" s="499"/>
      <c r="JSU71" s="499"/>
      <c r="JSV71" s="499"/>
      <c r="JSW71" s="499"/>
      <c r="JSX71" s="499"/>
      <c r="JSY71" s="499"/>
      <c r="JSZ71" s="499"/>
      <c r="JTA71" s="499"/>
      <c r="JTB71" s="499"/>
      <c r="JTC71" s="499"/>
      <c r="JTD71" s="499"/>
      <c r="JTE71" s="499"/>
      <c r="JTF71" s="499"/>
      <c r="JTG71" s="499"/>
      <c r="JTH71" s="499"/>
      <c r="JTI71" s="499"/>
      <c r="JTJ71" s="499"/>
      <c r="JTK71" s="499"/>
      <c r="JTL71" s="499"/>
      <c r="JTM71" s="499"/>
      <c r="JTN71" s="499"/>
      <c r="JTO71" s="499"/>
      <c r="JTP71" s="499"/>
      <c r="JTQ71" s="499"/>
      <c r="JTR71" s="499"/>
      <c r="JTS71" s="499"/>
      <c r="JTT71" s="499"/>
      <c r="JTU71" s="499"/>
      <c r="JTV71" s="499"/>
      <c r="JTW71" s="499"/>
      <c r="JTX71" s="499"/>
      <c r="JTY71" s="499"/>
      <c r="JTZ71" s="499"/>
      <c r="JUA71" s="499"/>
      <c r="JUB71" s="499"/>
      <c r="JUC71" s="499"/>
      <c r="JUD71" s="499"/>
      <c r="JUE71" s="499"/>
      <c r="JUF71" s="499"/>
      <c r="JUG71" s="499"/>
      <c r="JUH71" s="499"/>
      <c r="JUI71" s="499"/>
      <c r="JUJ71" s="499"/>
      <c r="JUK71" s="499"/>
      <c r="JUL71" s="499"/>
      <c r="JUM71" s="499"/>
      <c r="JUN71" s="499"/>
      <c r="JUO71" s="499"/>
      <c r="JUP71" s="499"/>
      <c r="JUQ71" s="499"/>
      <c r="JUR71" s="499"/>
      <c r="JUS71" s="499"/>
      <c r="JUT71" s="499"/>
      <c r="JUU71" s="499"/>
      <c r="JUV71" s="499"/>
      <c r="JUW71" s="499"/>
      <c r="JUX71" s="499"/>
      <c r="JUY71" s="499"/>
      <c r="JUZ71" s="499"/>
      <c r="JVA71" s="499"/>
      <c r="JVB71" s="499"/>
      <c r="JVC71" s="499"/>
      <c r="JVD71" s="499"/>
      <c r="JVE71" s="499"/>
      <c r="JVF71" s="499"/>
      <c r="JVG71" s="499"/>
      <c r="JVH71" s="499"/>
      <c r="JVI71" s="499"/>
      <c r="JVJ71" s="499"/>
      <c r="JVK71" s="499"/>
      <c r="JVL71" s="499"/>
      <c r="JVM71" s="499"/>
      <c r="JVN71" s="499"/>
      <c r="JVO71" s="499"/>
      <c r="JVP71" s="499"/>
      <c r="JVQ71" s="499"/>
      <c r="JVR71" s="499"/>
      <c r="JVS71" s="499"/>
      <c r="JVT71" s="499"/>
      <c r="JVU71" s="499"/>
      <c r="JVV71" s="499"/>
      <c r="JVW71" s="499"/>
      <c r="JVX71" s="499"/>
      <c r="JVY71" s="499"/>
      <c r="JVZ71" s="499"/>
      <c r="JWA71" s="499"/>
      <c r="JWB71" s="499"/>
      <c r="JWC71" s="499"/>
      <c r="JWD71" s="499"/>
      <c r="JWE71" s="499"/>
      <c r="JWF71" s="499"/>
      <c r="JWG71" s="499"/>
      <c r="JWH71" s="499"/>
      <c r="JWI71" s="499"/>
      <c r="JWJ71" s="499"/>
      <c r="JWK71" s="499"/>
      <c r="JWL71" s="499"/>
      <c r="JWM71" s="499"/>
      <c r="JWN71" s="499"/>
      <c r="JWO71" s="499"/>
      <c r="JWP71" s="499"/>
      <c r="JWQ71" s="499"/>
      <c r="JWR71" s="499"/>
      <c r="JWS71" s="499"/>
      <c r="JWT71" s="499"/>
      <c r="JWU71" s="499"/>
      <c r="JWV71" s="499"/>
      <c r="JWW71" s="499"/>
      <c r="JWX71" s="499"/>
      <c r="JWY71" s="499"/>
      <c r="JWZ71" s="499"/>
      <c r="JXA71" s="499"/>
      <c r="JXB71" s="499"/>
      <c r="JXC71" s="499"/>
      <c r="JXD71" s="499"/>
      <c r="JXE71" s="499"/>
      <c r="JXF71" s="499"/>
      <c r="JXG71" s="499"/>
      <c r="JXH71" s="499"/>
      <c r="JXI71" s="499"/>
      <c r="JXJ71" s="499"/>
      <c r="JXK71" s="499"/>
      <c r="JXL71" s="499"/>
      <c r="JXM71" s="499"/>
      <c r="JXN71" s="499"/>
      <c r="JXO71" s="499"/>
      <c r="JXP71" s="499"/>
      <c r="JXQ71" s="499"/>
      <c r="JXR71" s="499"/>
      <c r="JXS71" s="499"/>
      <c r="JXT71" s="499"/>
      <c r="JXU71" s="499"/>
      <c r="JXV71" s="499"/>
      <c r="JXW71" s="499"/>
      <c r="JXX71" s="499"/>
      <c r="JXY71" s="499"/>
      <c r="JXZ71" s="499"/>
      <c r="JYA71" s="499"/>
      <c r="JYB71" s="499"/>
      <c r="JYC71" s="499"/>
      <c r="JYD71" s="499"/>
      <c r="JYE71" s="499"/>
      <c r="JYF71" s="499"/>
      <c r="JYG71" s="499"/>
      <c r="JYH71" s="499"/>
      <c r="JYI71" s="499"/>
      <c r="JYJ71" s="499"/>
      <c r="JYK71" s="499"/>
      <c r="JYL71" s="499"/>
      <c r="JYM71" s="499"/>
      <c r="JYN71" s="499"/>
      <c r="JYO71" s="499"/>
      <c r="JYP71" s="499"/>
      <c r="JYQ71" s="499"/>
      <c r="JYR71" s="499"/>
      <c r="JYS71" s="499"/>
      <c r="JYT71" s="499"/>
      <c r="JYU71" s="499"/>
      <c r="JYV71" s="499"/>
      <c r="JYW71" s="499"/>
      <c r="JYX71" s="499"/>
      <c r="JYY71" s="499"/>
      <c r="JYZ71" s="499"/>
      <c r="JZA71" s="499"/>
      <c r="JZB71" s="499"/>
      <c r="JZC71" s="499"/>
      <c r="JZD71" s="499"/>
      <c r="JZE71" s="499"/>
      <c r="JZF71" s="499"/>
      <c r="JZG71" s="499"/>
      <c r="JZH71" s="499"/>
      <c r="JZI71" s="499"/>
      <c r="JZJ71" s="499"/>
      <c r="JZK71" s="499"/>
      <c r="JZL71" s="499"/>
      <c r="JZM71" s="499"/>
      <c r="JZN71" s="499"/>
      <c r="JZO71" s="499"/>
      <c r="JZP71" s="499"/>
      <c r="JZQ71" s="499"/>
      <c r="JZR71" s="499"/>
      <c r="JZS71" s="499"/>
      <c r="JZT71" s="499"/>
      <c r="JZU71" s="499"/>
      <c r="JZV71" s="499"/>
      <c r="JZW71" s="499"/>
      <c r="JZX71" s="499"/>
      <c r="JZY71" s="499"/>
      <c r="JZZ71" s="499"/>
      <c r="KAA71" s="499"/>
      <c r="KAB71" s="499"/>
      <c r="KAC71" s="499"/>
      <c r="KAD71" s="499"/>
      <c r="KAE71" s="499"/>
      <c r="KAF71" s="499"/>
      <c r="KAG71" s="499"/>
      <c r="KAH71" s="499"/>
      <c r="KAI71" s="499"/>
      <c r="KAJ71" s="499"/>
      <c r="KAK71" s="499"/>
      <c r="KAL71" s="499"/>
      <c r="KAM71" s="499"/>
      <c r="KAN71" s="499"/>
      <c r="KAO71" s="499"/>
      <c r="KAP71" s="499"/>
      <c r="KAQ71" s="499"/>
      <c r="KAR71" s="499"/>
      <c r="KAS71" s="499"/>
      <c r="KAT71" s="499"/>
      <c r="KAU71" s="499"/>
      <c r="KAV71" s="499"/>
      <c r="KAW71" s="499"/>
      <c r="KAX71" s="499"/>
      <c r="KAY71" s="499"/>
      <c r="KAZ71" s="499"/>
      <c r="KBA71" s="499"/>
      <c r="KBB71" s="499"/>
      <c r="KBC71" s="499"/>
      <c r="KBD71" s="499"/>
      <c r="KBE71" s="499"/>
      <c r="KBF71" s="499"/>
      <c r="KBG71" s="499"/>
      <c r="KBH71" s="499"/>
      <c r="KBI71" s="499"/>
      <c r="KBJ71" s="499"/>
      <c r="KBK71" s="499"/>
      <c r="KBL71" s="499"/>
      <c r="KBM71" s="499"/>
      <c r="KBN71" s="499"/>
      <c r="KBO71" s="499"/>
      <c r="KBP71" s="499"/>
      <c r="KBQ71" s="499"/>
      <c r="KBR71" s="499"/>
      <c r="KBS71" s="499"/>
      <c r="KBT71" s="499"/>
      <c r="KBU71" s="499"/>
      <c r="KBV71" s="499"/>
      <c r="KBW71" s="499"/>
      <c r="KBX71" s="499"/>
      <c r="KBY71" s="499"/>
      <c r="KBZ71" s="499"/>
      <c r="KCA71" s="499"/>
      <c r="KCB71" s="499"/>
      <c r="KCC71" s="499"/>
      <c r="KCD71" s="499"/>
      <c r="KCE71" s="499"/>
      <c r="KCF71" s="499"/>
      <c r="KCG71" s="499"/>
      <c r="KCH71" s="499"/>
      <c r="KCI71" s="499"/>
      <c r="KCJ71" s="499"/>
      <c r="KCK71" s="499"/>
      <c r="KCL71" s="499"/>
      <c r="KCM71" s="499"/>
      <c r="KCN71" s="499"/>
      <c r="KCO71" s="499"/>
      <c r="KCP71" s="499"/>
      <c r="KCQ71" s="499"/>
      <c r="KCR71" s="499"/>
      <c r="KCS71" s="499"/>
      <c r="KCT71" s="499"/>
      <c r="KCU71" s="499"/>
      <c r="KCV71" s="499"/>
      <c r="KCW71" s="499"/>
      <c r="KCX71" s="499"/>
      <c r="KCY71" s="499"/>
      <c r="KCZ71" s="499"/>
      <c r="KDA71" s="499"/>
      <c r="KDB71" s="499"/>
      <c r="KDC71" s="499"/>
      <c r="KDD71" s="499"/>
      <c r="KDE71" s="499"/>
      <c r="KDF71" s="499"/>
      <c r="KDG71" s="499"/>
      <c r="KDH71" s="499"/>
      <c r="KDI71" s="499"/>
      <c r="KDJ71" s="499"/>
      <c r="KDK71" s="499"/>
      <c r="KDL71" s="499"/>
      <c r="KDM71" s="499"/>
      <c r="KDN71" s="499"/>
      <c r="KDO71" s="499"/>
      <c r="KDP71" s="499"/>
      <c r="KDQ71" s="499"/>
      <c r="KDR71" s="499"/>
      <c r="KDS71" s="499"/>
      <c r="KDT71" s="499"/>
      <c r="KDU71" s="499"/>
      <c r="KDV71" s="499"/>
      <c r="KDW71" s="499"/>
      <c r="KDX71" s="499"/>
      <c r="KDY71" s="499"/>
      <c r="KDZ71" s="499"/>
      <c r="KEA71" s="499"/>
      <c r="KEB71" s="499"/>
      <c r="KEC71" s="499"/>
      <c r="KED71" s="499"/>
      <c r="KEE71" s="499"/>
      <c r="KEF71" s="499"/>
      <c r="KEG71" s="499"/>
      <c r="KEH71" s="499"/>
      <c r="KEI71" s="499"/>
      <c r="KEJ71" s="499"/>
      <c r="KEK71" s="499"/>
      <c r="KEL71" s="499"/>
      <c r="KEM71" s="499"/>
      <c r="KEN71" s="499"/>
      <c r="KEO71" s="499"/>
      <c r="KEP71" s="499"/>
      <c r="KEQ71" s="499"/>
      <c r="KER71" s="499"/>
      <c r="KES71" s="499"/>
      <c r="KET71" s="499"/>
      <c r="KEU71" s="499"/>
      <c r="KEV71" s="499"/>
      <c r="KEW71" s="499"/>
      <c r="KEX71" s="499"/>
      <c r="KEY71" s="499"/>
      <c r="KEZ71" s="499"/>
      <c r="KFA71" s="499"/>
      <c r="KFB71" s="499"/>
      <c r="KFC71" s="499"/>
      <c r="KFD71" s="499"/>
      <c r="KFE71" s="499"/>
      <c r="KFF71" s="499"/>
      <c r="KFG71" s="499"/>
      <c r="KFH71" s="499"/>
      <c r="KFI71" s="499"/>
      <c r="KFJ71" s="499"/>
      <c r="KFK71" s="499"/>
      <c r="KFL71" s="499"/>
      <c r="KFM71" s="499"/>
      <c r="KFN71" s="499"/>
      <c r="KFO71" s="499"/>
      <c r="KFP71" s="499"/>
      <c r="KFQ71" s="499"/>
      <c r="KFR71" s="499"/>
      <c r="KFS71" s="499"/>
      <c r="KFT71" s="499"/>
      <c r="KFU71" s="499"/>
      <c r="KFV71" s="499"/>
      <c r="KFW71" s="499"/>
      <c r="KFX71" s="499"/>
      <c r="KFY71" s="499"/>
      <c r="KFZ71" s="499"/>
      <c r="KGA71" s="499"/>
      <c r="KGB71" s="499"/>
      <c r="KGC71" s="499"/>
      <c r="KGD71" s="499"/>
      <c r="KGE71" s="499"/>
      <c r="KGF71" s="499"/>
      <c r="KGG71" s="499"/>
      <c r="KGH71" s="499"/>
      <c r="KGI71" s="499"/>
      <c r="KGJ71" s="499"/>
      <c r="KGK71" s="499"/>
      <c r="KGL71" s="499"/>
      <c r="KGM71" s="499"/>
      <c r="KGN71" s="499"/>
      <c r="KGO71" s="499"/>
      <c r="KGP71" s="499"/>
      <c r="KGQ71" s="499"/>
      <c r="KGR71" s="499"/>
      <c r="KGS71" s="499"/>
      <c r="KGT71" s="499"/>
      <c r="KGU71" s="499"/>
      <c r="KGV71" s="499"/>
      <c r="KGW71" s="499"/>
      <c r="KGX71" s="499"/>
      <c r="KGY71" s="499"/>
      <c r="KGZ71" s="499"/>
      <c r="KHA71" s="499"/>
      <c r="KHB71" s="499"/>
      <c r="KHC71" s="499"/>
      <c r="KHD71" s="499"/>
      <c r="KHE71" s="499"/>
      <c r="KHF71" s="499"/>
      <c r="KHG71" s="499"/>
      <c r="KHH71" s="499"/>
      <c r="KHI71" s="499"/>
      <c r="KHJ71" s="499"/>
      <c r="KHK71" s="499"/>
      <c r="KHL71" s="499"/>
      <c r="KHM71" s="499"/>
      <c r="KHN71" s="499"/>
      <c r="KHO71" s="499"/>
      <c r="KHP71" s="499"/>
      <c r="KHQ71" s="499"/>
      <c r="KHR71" s="499"/>
      <c r="KHS71" s="499"/>
      <c r="KHT71" s="499"/>
      <c r="KHU71" s="499"/>
      <c r="KHV71" s="499"/>
      <c r="KHW71" s="499"/>
      <c r="KHX71" s="499"/>
      <c r="KHY71" s="499"/>
      <c r="KHZ71" s="499"/>
      <c r="KIA71" s="499"/>
      <c r="KIB71" s="499"/>
      <c r="KIC71" s="499"/>
      <c r="KID71" s="499"/>
      <c r="KIE71" s="499"/>
      <c r="KIF71" s="499"/>
      <c r="KIG71" s="499"/>
      <c r="KIH71" s="499"/>
      <c r="KII71" s="499"/>
      <c r="KIJ71" s="499"/>
      <c r="KIK71" s="499"/>
      <c r="KIL71" s="499"/>
      <c r="KIM71" s="499"/>
      <c r="KIN71" s="499"/>
      <c r="KIO71" s="499"/>
      <c r="KIP71" s="499"/>
      <c r="KIQ71" s="499"/>
      <c r="KIR71" s="499"/>
      <c r="KIS71" s="499"/>
      <c r="KIT71" s="499"/>
      <c r="KIU71" s="499"/>
      <c r="KIV71" s="499"/>
      <c r="KIW71" s="499"/>
      <c r="KIX71" s="499"/>
      <c r="KIY71" s="499"/>
      <c r="KIZ71" s="499"/>
      <c r="KJA71" s="499"/>
      <c r="KJB71" s="499"/>
      <c r="KJC71" s="499"/>
      <c r="KJD71" s="499"/>
      <c r="KJE71" s="499"/>
      <c r="KJF71" s="499"/>
      <c r="KJG71" s="499"/>
      <c r="KJH71" s="499"/>
      <c r="KJI71" s="499"/>
      <c r="KJJ71" s="499"/>
      <c r="KJK71" s="499"/>
      <c r="KJL71" s="499"/>
      <c r="KJM71" s="499"/>
      <c r="KJN71" s="499"/>
      <c r="KJO71" s="499"/>
      <c r="KJP71" s="499"/>
      <c r="KJQ71" s="499"/>
      <c r="KJR71" s="499"/>
      <c r="KJS71" s="499"/>
      <c r="KJT71" s="499"/>
      <c r="KJU71" s="499"/>
      <c r="KJV71" s="499"/>
      <c r="KJW71" s="499"/>
      <c r="KJX71" s="499"/>
      <c r="KJY71" s="499"/>
      <c r="KJZ71" s="499"/>
      <c r="KKA71" s="499"/>
      <c r="KKB71" s="499"/>
      <c r="KKC71" s="499"/>
      <c r="KKD71" s="499"/>
      <c r="KKE71" s="499"/>
      <c r="KKF71" s="499"/>
      <c r="KKG71" s="499"/>
      <c r="KKH71" s="499"/>
      <c r="KKI71" s="499"/>
      <c r="KKJ71" s="499"/>
      <c r="KKK71" s="499"/>
      <c r="KKL71" s="499"/>
      <c r="KKM71" s="499"/>
      <c r="KKN71" s="499"/>
      <c r="KKO71" s="499"/>
      <c r="KKP71" s="499"/>
      <c r="KKQ71" s="499"/>
      <c r="KKR71" s="499"/>
      <c r="KKS71" s="499"/>
      <c r="KKT71" s="499"/>
      <c r="KKU71" s="499"/>
      <c r="KKV71" s="499"/>
      <c r="KKW71" s="499"/>
      <c r="KKX71" s="499"/>
      <c r="KKY71" s="499"/>
      <c r="KKZ71" s="499"/>
      <c r="KLA71" s="499"/>
      <c r="KLB71" s="499"/>
      <c r="KLC71" s="499"/>
      <c r="KLD71" s="499"/>
      <c r="KLE71" s="499"/>
      <c r="KLF71" s="499"/>
      <c r="KLG71" s="499"/>
      <c r="KLH71" s="499"/>
      <c r="KLI71" s="499"/>
      <c r="KLJ71" s="499"/>
      <c r="KLK71" s="499"/>
      <c r="KLL71" s="499"/>
      <c r="KLM71" s="499"/>
      <c r="KLN71" s="499"/>
      <c r="KLO71" s="499"/>
      <c r="KLP71" s="499"/>
      <c r="KLQ71" s="499"/>
      <c r="KLR71" s="499"/>
      <c r="KLS71" s="499"/>
      <c r="KLT71" s="499"/>
      <c r="KLU71" s="499"/>
      <c r="KLV71" s="499"/>
      <c r="KLW71" s="499"/>
      <c r="KLX71" s="499"/>
      <c r="KLY71" s="499"/>
      <c r="KLZ71" s="499"/>
      <c r="KMA71" s="499"/>
      <c r="KMB71" s="499"/>
      <c r="KMC71" s="499"/>
      <c r="KMD71" s="499"/>
      <c r="KME71" s="499"/>
      <c r="KMF71" s="499"/>
      <c r="KMG71" s="499"/>
      <c r="KMH71" s="499"/>
      <c r="KMI71" s="499"/>
      <c r="KMJ71" s="499"/>
      <c r="KMK71" s="499"/>
      <c r="KML71" s="499"/>
      <c r="KMM71" s="499"/>
      <c r="KMN71" s="499"/>
      <c r="KMO71" s="499"/>
      <c r="KMP71" s="499"/>
      <c r="KMQ71" s="499"/>
      <c r="KMR71" s="499"/>
      <c r="KMS71" s="499"/>
      <c r="KMT71" s="499"/>
      <c r="KMU71" s="499"/>
      <c r="KMV71" s="499"/>
      <c r="KMW71" s="499"/>
      <c r="KMX71" s="499"/>
      <c r="KMY71" s="499"/>
      <c r="KMZ71" s="499"/>
      <c r="KNA71" s="499"/>
      <c r="KNB71" s="499"/>
      <c r="KNC71" s="499"/>
      <c r="KND71" s="499"/>
      <c r="KNE71" s="499"/>
      <c r="KNF71" s="499"/>
      <c r="KNG71" s="499"/>
      <c r="KNH71" s="499"/>
      <c r="KNI71" s="499"/>
      <c r="KNJ71" s="499"/>
      <c r="KNK71" s="499"/>
      <c r="KNL71" s="499"/>
      <c r="KNM71" s="499"/>
      <c r="KNN71" s="499"/>
      <c r="KNO71" s="499"/>
      <c r="KNP71" s="499"/>
      <c r="KNQ71" s="499"/>
      <c r="KNR71" s="499"/>
      <c r="KNS71" s="499"/>
      <c r="KNT71" s="499"/>
      <c r="KNU71" s="499"/>
      <c r="KNV71" s="499"/>
      <c r="KNW71" s="499"/>
      <c r="KNX71" s="499"/>
      <c r="KNY71" s="499"/>
      <c r="KNZ71" s="499"/>
      <c r="KOA71" s="499"/>
      <c r="KOB71" s="499"/>
      <c r="KOC71" s="499"/>
      <c r="KOD71" s="499"/>
      <c r="KOE71" s="499"/>
      <c r="KOF71" s="499"/>
      <c r="KOG71" s="499"/>
      <c r="KOH71" s="499"/>
      <c r="KOI71" s="499"/>
      <c r="KOJ71" s="499"/>
      <c r="KOK71" s="499"/>
      <c r="KOL71" s="499"/>
      <c r="KOM71" s="499"/>
      <c r="KON71" s="499"/>
      <c r="KOO71" s="499"/>
      <c r="KOP71" s="499"/>
      <c r="KOQ71" s="499"/>
      <c r="KOR71" s="499"/>
      <c r="KOS71" s="499"/>
      <c r="KOT71" s="499"/>
      <c r="KOU71" s="499"/>
      <c r="KOV71" s="499"/>
      <c r="KOW71" s="499"/>
      <c r="KOX71" s="499"/>
      <c r="KOY71" s="499"/>
      <c r="KOZ71" s="499"/>
      <c r="KPA71" s="499"/>
      <c r="KPB71" s="499"/>
      <c r="KPC71" s="499"/>
      <c r="KPD71" s="499"/>
      <c r="KPE71" s="499"/>
      <c r="KPF71" s="499"/>
      <c r="KPG71" s="499"/>
      <c r="KPH71" s="499"/>
      <c r="KPI71" s="499"/>
      <c r="KPJ71" s="499"/>
      <c r="KPK71" s="499"/>
      <c r="KPL71" s="499"/>
      <c r="KPM71" s="499"/>
      <c r="KPN71" s="499"/>
      <c r="KPO71" s="499"/>
      <c r="KPP71" s="499"/>
      <c r="KPQ71" s="499"/>
      <c r="KPR71" s="499"/>
      <c r="KPS71" s="499"/>
      <c r="KPT71" s="499"/>
      <c r="KPU71" s="499"/>
      <c r="KPV71" s="499"/>
      <c r="KPW71" s="499"/>
      <c r="KPX71" s="499"/>
      <c r="KPY71" s="499"/>
      <c r="KPZ71" s="499"/>
      <c r="KQA71" s="499"/>
      <c r="KQB71" s="499"/>
      <c r="KQC71" s="499"/>
      <c r="KQD71" s="499"/>
      <c r="KQE71" s="499"/>
      <c r="KQF71" s="499"/>
      <c r="KQG71" s="499"/>
      <c r="KQH71" s="499"/>
      <c r="KQI71" s="499"/>
      <c r="KQJ71" s="499"/>
      <c r="KQK71" s="499"/>
      <c r="KQL71" s="499"/>
      <c r="KQM71" s="499"/>
      <c r="KQN71" s="499"/>
      <c r="KQO71" s="499"/>
      <c r="KQP71" s="499"/>
      <c r="KQQ71" s="499"/>
      <c r="KQR71" s="499"/>
      <c r="KQS71" s="499"/>
      <c r="KQT71" s="499"/>
      <c r="KQU71" s="499"/>
      <c r="KQV71" s="499"/>
      <c r="KQW71" s="499"/>
      <c r="KQX71" s="499"/>
      <c r="KQY71" s="499"/>
      <c r="KQZ71" s="499"/>
      <c r="KRA71" s="499"/>
      <c r="KRB71" s="499"/>
      <c r="KRC71" s="499"/>
      <c r="KRD71" s="499"/>
      <c r="KRE71" s="499"/>
      <c r="KRF71" s="499"/>
      <c r="KRG71" s="499"/>
      <c r="KRH71" s="499"/>
      <c r="KRI71" s="499"/>
      <c r="KRJ71" s="499"/>
      <c r="KRK71" s="499"/>
      <c r="KRL71" s="499"/>
      <c r="KRM71" s="499"/>
      <c r="KRN71" s="499"/>
      <c r="KRO71" s="499"/>
      <c r="KRP71" s="499"/>
      <c r="KRQ71" s="499"/>
      <c r="KRR71" s="499"/>
      <c r="KRS71" s="499"/>
      <c r="KRT71" s="499"/>
      <c r="KRU71" s="499"/>
      <c r="KRV71" s="499"/>
      <c r="KRW71" s="499"/>
      <c r="KRX71" s="499"/>
      <c r="KRY71" s="499"/>
      <c r="KRZ71" s="499"/>
      <c r="KSA71" s="499"/>
      <c r="KSB71" s="499"/>
      <c r="KSC71" s="499"/>
      <c r="KSD71" s="499"/>
      <c r="KSE71" s="499"/>
      <c r="KSF71" s="499"/>
      <c r="KSG71" s="499"/>
      <c r="KSH71" s="499"/>
      <c r="KSI71" s="499"/>
      <c r="KSJ71" s="499"/>
      <c r="KSK71" s="499"/>
      <c r="KSL71" s="499"/>
      <c r="KSM71" s="499"/>
      <c r="KSN71" s="499"/>
      <c r="KSO71" s="499"/>
      <c r="KSP71" s="499"/>
      <c r="KSQ71" s="499"/>
      <c r="KSR71" s="499"/>
      <c r="KSS71" s="499"/>
      <c r="KST71" s="499"/>
      <c r="KSU71" s="499"/>
      <c r="KSV71" s="499"/>
      <c r="KSW71" s="499"/>
      <c r="KSX71" s="499"/>
      <c r="KSY71" s="499"/>
      <c r="KSZ71" s="499"/>
      <c r="KTA71" s="499"/>
      <c r="KTB71" s="499"/>
      <c r="KTC71" s="499"/>
      <c r="KTD71" s="499"/>
      <c r="KTE71" s="499"/>
      <c r="KTF71" s="499"/>
      <c r="KTG71" s="499"/>
      <c r="KTH71" s="499"/>
      <c r="KTI71" s="499"/>
      <c r="KTJ71" s="499"/>
      <c r="KTK71" s="499"/>
      <c r="KTL71" s="499"/>
      <c r="KTM71" s="499"/>
      <c r="KTN71" s="499"/>
      <c r="KTO71" s="499"/>
      <c r="KTP71" s="499"/>
      <c r="KTQ71" s="499"/>
      <c r="KTR71" s="499"/>
      <c r="KTS71" s="499"/>
      <c r="KTT71" s="499"/>
      <c r="KTU71" s="499"/>
      <c r="KTV71" s="499"/>
      <c r="KTW71" s="499"/>
      <c r="KTX71" s="499"/>
      <c r="KTY71" s="499"/>
      <c r="KTZ71" s="499"/>
      <c r="KUA71" s="499"/>
      <c r="KUB71" s="499"/>
      <c r="KUC71" s="499"/>
      <c r="KUD71" s="499"/>
      <c r="KUE71" s="499"/>
      <c r="KUF71" s="499"/>
      <c r="KUG71" s="499"/>
      <c r="KUH71" s="499"/>
      <c r="KUI71" s="499"/>
      <c r="KUJ71" s="499"/>
      <c r="KUK71" s="499"/>
      <c r="KUL71" s="499"/>
      <c r="KUM71" s="499"/>
      <c r="KUN71" s="499"/>
      <c r="KUO71" s="499"/>
      <c r="KUP71" s="499"/>
      <c r="KUQ71" s="499"/>
      <c r="KUR71" s="499"/>
      <c r="KUS71" s="499"/>
      <c r="KUT71" s="499"/>
      <c r="KUU71" s="499"/>
      <c r="KUV71" s="499"/>
      <c r="KUW71" s="499"/>
      <c r="KUX71" s="499"/>
      <c r="KUY71" s="499"/>
      <c r="KUZ71" s="499"/>
      <c r="KVA71" s="499"/>
      <c r="KVB71" s="499"/>
      <c r="KVC71" s="499"/>
      <c r="KVD71" s="499"/>
      <c r="KVE71" s="499"/>
      <c r="KVF71" s="499"/>
      <c r="KVG71" s="499"/>
      <c r="KVH71" s="499"/>
      <c r="KVI71" s="499"/>
      <c r="KVJ71" s="499"/>
      <c r="KVK71" s="499"/>
      <c r="KVL71" s="499"/>
      <c r="KVM71" s="499"/>
      <c r="KVN71" s="499"/>
      <c r="KVO71" s="499"/>
      <c r="KVP71" s="499"/>
      <c r="KVQ71" s="499"/>
      <c r="KVR71" s="499"/>
      <c r="KVS71" s="499"/>
      <c r="KVT71" s="499"/>
      <c r="KVU71" s="499"/>
      <c r="KVV71" s="499"/>
      <c r="KVW71" s="499"/>
      <c r="KVX71" s="499"/>
      <c r="KVY71" s="499"/>
      <c r="KVZ71" s="499"/>
      <c r="KWA71" s="499"/>
      <c r="KWB71" s="499"/>
      <c r="KWC71" s="499"/>
      <c r="KWD71" s="499"/>
      <c r="KWE71" s="499"/>
      <c r="KWF71" s="499"/>
      <c r="KWG71" s="499"/>
      <c r="KWH71" s="499"/>
      <c r="KWI71" s="499"/>
      <c r="KWJ71" s="499"/>
      <c r="KWK71" s="499"/>
      <c r="KWL71" s="499"/>
      <c r="KWM71" s="499"/>
      <c r="KWN71" s="499"/>
      <c r="KWO71" s="499"/>
      <c r="KWP71" s="499"/>
      <c r="KWQ71" s="499"/>
      <c r="KWR71" s="499"/>
      <c r="KWS71" s="499"/>
      <c r="KWT71" s="499"/>
      <c r="KWU71" s="499"/>
      <c r="KWV71" s="499"/>
      <c r="KWW71" s="499"/>
      <c r="KWX71" s="499"/>
      <c r="KWY71" s="499"/>
      <c r="KWZ71" s="499"/>
      <c r="KXA71" s="499"/>
      <c r="KXB71" s="499"/>
      <c r="KXC71" s="499"/>
      <c r="KXD71" s="499"/>
      <c r="KXE71" s="499"/>
      <c r="KXF71" s="499"/>
      <c r="KXG71" s="499"/>
      <c r="KXH71" s="499"/>
      <c r="KXI71" s="499"/>
      <c r="KXJ71" s="499"/>
      <c r="KXK71" s="499"/>
      <c r="KXL71" s="499"/>
      <c r="KXM71" s="499"/>
      <c r="KXN71" s="499"/>
      <c r="KXO71" s="499"/>
      <c r="KXP71" s="499"/>
      <c r="KXQ71" s="499"/>
      <c r="KXR71" s="499"/>
      <c r="KXS71" s="499"/>
      <c r="KXT71" s="499"/>
      <c r="KXU71" s="499"/>
      <c r="KXV71" s="499"/>
      <c r="KXW71" s="499"/>
      <c r="KXX71" s="499"/>
      <c r="KXY71" s="499"/>
      <c r="KXZ71" s="499"/>
      <c r="KYA71" s="499"/>
      <c r="KYB71" s="499"/>
      <c r="KYC71" s="499"/>
      <c r="KYD71" s="499"/>
      <c r="KYE71" s="499"/>
      <c r="KYF71" s="499"/>
      <c r="KYG71" s="499"/>
      <c r="KYH71" s="499"/>
      <c r="KYI71" s="499"/>
      <c r="KYJ71" s="499"/>
      <c r="KYK71" s="499"/>
      <c r="KYL71" s="499"/>
      <c r="KYM71" s="499"/>
      <c r="KYN71" s="499"/>
      <c r="KYO71" s="499"/>
      <c r="KYP71" s="499"/>
      <c r="KYQ71" s="499"/>
      <c r="KYR71" s="499"/>
      <c r="KYS71" s="499"/>
      <c r="KYT71" s="499"/>
      <c r="KYU71" s="499"/>
      <c r="KYV71" s="499"/>
      <c r="KYW71" s="499"/>
      <c r="KYX71" s="499"/>
      <c r="KYY71" s="499"/>
      <c r="KYZ71" s="499"/>
      <c r="KZA71" s="499"/>
      <c r="KZB71" s="499"/>
      <c r="KZC71" s="499"/>
      <c r="KZD71" s="499"/>
      <c r="KZE71" s="499"/>
      <c r="KZF71" s="499"/>
      <c r="KZG71" s="499"/>
      <c r="KZH71" s="499"/>
      <c r="KZI71" s="499"/>
      <c r="KZJ71" s="499"/>
      <c r="KZK71" s="499"/>
      <c r="KZL71" s="499"/>
      <c r="KZM71" s="499"/>
      <c r="KZN71" s="499"/>
      <c r="KZO71" s="499"/>
      <c r="KZP71" s="499"/>
      <c r="KZQ71" s="499"/>
      <c r="KZR71" s="499"/>
      <c r="KZS71" s="499"/>
      <c r="KZT71" s="499"/>
      <c r="KZU71" s="499"/>
      <c r="KZV71" s="499"/>
      <c r="KZW71" s="499"/>
      <c r="KZX71" s="499"/>
      <c r="KZY71" s="499"/>
      <c r="KZZ71" s="499"/>
      <c r="LAA71" s="499"/>
      <c r="LAB71" s="499"/>
      <c r="LAC71" s="499"/>
      <c r="LAD71" s="499"/>
      <c r="LAE71" s="499"/>
      <c r="LAF71" s="499"/>
      <c r="LAG71" s="499"/>
      <c r="LAH71" s="499"/>
      <c r="LAI71" s="499"/>
      <c r="LAJ71" s="499"/>
      <c r="LAK71" s="499"/>
      <c r="LAL71" s="499"/>
      <c r="LAM71" s="499"/>
      <c r="LAN71" s="499"/>
      <c r="LAO71" s="499"/>
      <c r="LAP71" s="499"/>
      <c r="LAQ71" s="499"/>
      <c r="LAR71" s="499"/>
      <c r="LAS71" s="499"/>
      <c r="LAT71" s="499"/>
      <c r="LAU71" s="499"/>
      <c r="LAV71" s="499"/>
      <c r="LAW71" s="499"/>
      <c r="LAX71" s="499"/>
      <c r="LAY71" s="499"/>
      <c r="LAZ71" s="499"/>
      <c r="LBA71" s="499"/>
      <c r="LBB71" s="499"/>
      <c r="LBC71" s="499"/>
      <c r="LBD71" s="499"/>
      <c r="LBE71" s="499"/>
      <c r="LBF71" s="499"/>
      <c r="LBG71" s="499"/>
      <c r="LBH71" s="499"/>
      <c r="LBI71" s="499"/>
      <c r="LBJ71" s="499"/>
      <c r="LBK71" s="499"/>
      <c r="LBL71" s="499"/>
      <c r="LBM71" s="499"/>
      <c r="LBN71" s="499"/>
      <c r="LBO71" s="499"/>
      <c r="LBP71" s="499"/>
      <c r="LBQ71" s="499"/>
      <c r="LBR71" s="499"/>
      <c r="LBS71" s="499"/>
      <c r="LBT71" s="499"/>
      <c r="LBU71" s="499"/>
      <c r="LBV71" s="499"/>
      <c r="LBW71" s="499"/>
      <c r="LBX71" s="499"/>
      <c r="LBY71" s="499"/>
      <c r="LBZ71" s="499"/>
      <c r="LCA71" s="499"/>
      <c r="LCB71" s="499"/>
      <c r="LCC71" s="499"/>
      <c r="LCD71" s="499"/>
      <c r="LCE71" s="499"/>
      <c r="LCF71" s="499"/>
      <c r="LCG71" s="499"/>
      <c r="LCH71" s="499"/>
      <c r="LCI71" s="499"/>
      <c r="LCJ71" s="499"/>
      <c r="LCK71" s="499"/>
      <c r="LCL71" s="499"/>
      <c r="LCM71" s="499"/>
      <c r="LCN71" s="499"/>
      <c r="LCO71" s="499"/>
      <c r="LCP71" s="499"/>
      <c r="LCQ71" s="499"/>
      <c r="LCR71" s="499"/>
      <c r="LCS71" s="499"/>
      <c r="LCT71" s="499"/>
      <c r="LCU71" s="499"/>
      <c r="LCV71" s="499"/>
      <c r="LCW71" s="499"/>
      <c r="LCX71" s="499"/>
      <c r="LCY71" s="499"/>
      <c r="LCZ71" s="499"/>
      <c r="LDA71" s="499"/>
      <c r="LDB71" s="499"/>
      <c r="LDC71" s="499"/>
      <c r="LDD71" s="499"/>
      <c r="LDE71" s="499"/>
      <c r="LDF71" s="499"/>
      <c r="LDG71" s="499"/>
      <c r="LDH71" s="499"/>
      <c r="LDI71" s="499"/>
      <c r="LDJ71" s="499"/>
      <c r="LDK71" s="499"/>
      <c r="LDL71" s="499"/>
      <c r="LDM71" s="499"/>
      <c r="LDN71" s="499"/>
      <c r="LDO71" s="499"/>
      <c r="LDP71" s="499"/>
      <c r="LDQ71" s="499"/>
      <c r="LDR71" s="499"/>
      <c r="LDS71" s="499"/>
      <c r="LDT71" s="499"/>
      <c r="LDU71" s="499"/>
      <c r="LDV71" s="499"/>
      <c r="LDW71" s="499"/>
      <c r="LDX71" s="499"/>
      <c r="LDY71" s="499"/>
      <c r="LDZ71" s="499"/>
      <c r="LEA71" s="499"/>
      <c r="LEB71" s="499"/>
      <c r="LEC71" s="499"/>
      <c r="LED71" s="499"/>
      <c r="LEE71" s="499"/>
      <c r="LEF71" s="499"/>
      <c r="LEG71" s="499"/>
      <c r="LEH71" s="499"/>
      <c r="LEI71" s="499"/>
      <c r="LEJ71" s="499"/>
      <c r="LEK71" s="499"/>
      <c r="LEL71" s="499"/>
      <c r="LEM71" s="499"/>
      <c r="LEN71" s="499"/>
      <c r="LEO71" s="499"/>
      <c r="LEP71" s="499"/>
      <c r="LEQ71" s="499"/>
      <c r="LER71" s="499"/>
      <c r="LES71" s="499"/>
      <c r="LET71" s="499"/>
      <c r="LEU71" s="499"/>
      <c r="LEV71" s="499"/>
      <c r="LEW71" s="499"/>
      <c r="LEX71" s="499"/>
      <c r="LEY71" s="499"/>
      <c r="LEZ71" s="499"/>
      <c r="LFA71" s="499"/>
      <c r="LFB71" s="499"/>
      <c r="LFC71" s="499"/>
      <c r="LFD71" s="499"/>
      <c r="LFE71" s="499"/>
      <c r="LFF71" s="499"/>
      <c r="LFG71" s="499"/>
      <c r="LFH71" s="499"/>
      <c r="LFI71" s="499"/>
      <c r="LFJ71" s="499"/>
      <c r="LFK71" s="499"/>
      <c r="LFL71" s="499"/>
      <c r="LFM71" s="499"/>
      <c r="LFN71" s="499"/>
      <c r="LFO71" s="499"/>
      <c r="LFP71" s="499"/>
      <c r="LFQ71" s="499"/>
      <c r="LFR71" s="499"/>
      <c r="LFS71" s="499"/>
      <c r="LFT71" s="499"/>
      <c r="LFU71" s="499"/>
      <c r="LFV71" s="499"/>
      <c r="LFW71" s="499"/>
      <c r="LFX71" s="499"/>
      <c r="LFY71" s="499"/>
      <c r="LFZ71" s="499"/>
      <c r="LGA71" s="499"/>
      <c r="LGB71" s="499"/>
      <c r="LGC71" s="499"/>
      <c r="LGD71" s="499"/>
      <c r="LGE71" s="499"/>
      <c r="LGF71" s="499"/>
      <c r="LGG71" s="499"/>
      <c r="LGH71" s="499"/>
      <c r="LGI71" s="499"/>
      <c r="LGJ71" s="499"/>
      <c r="LGK71" s="499"/>
      <c r="LGL71" s="499"/>
      <c r="LGM71" s="499"/>
      <c r="LGN71" s="499"/>
      <c r="LGO71" s="499"/>
      <c r="LGP71" s="499"/>
      <c r="LGQ71" s="499"/>
      <c r="LGR71" s="499"/>
      <c r="LGS71" s="499"/>
      <c r="LGT71" s="499"/>
      <c r="LGU71" s="499"/>
      <c r="LGV71" s="499"/>
      <c r="LGW71" s="499"/>
      <c r="LGX71" s="499"/>
      <c r="LGY71" s="499"/>
      <c r="LGZ71" s="499"/>
      <c r="LHA71" s="499"/>
      <c r="LHB71" s="499"/>
      <c r="LHC71" s="499"/>
      <c r="LHD71" s="499"/>
      <c r="LHE71" s="499"/>
      <c r="LHF71" s="499"/>
      <c r="LHG71" s="499"/>
      <c r="LHH71" s="499"/>
      <c r="LHI71" s="499"/>
      <c r="LHJ71" s="499"/>
      <c r="LHK71" s="499"/>
      <c r="LHL71" s="499"/>
      <c r="LHM71" s="499"/>
      <c r="LHN71" s="499"/>
      <c r="LHO71" s="499"/>
      <c r="LHP71" s="499"/>
      <c r="LHQ71" s="499"/>
      <c r="LHR71" s="499"/>
      <c r="LHS71" s="499"/>
      <c r="LHT71" s="499"/>
      <c r="LHU71" s="499"/>
      <c r="LHV71" s="499"/>
      <c r="LHW71" s="499"/>
      <c r="LHX71" s="499"/>
      <c r="LHY71" s="499"/>
      <c r="LHZ71" s="499"/>
      <c r="LIA71" s="499"/>
      <c r="LIB71" s="499"/>
      <c r="LIC71" s="499"/>
      <c r="LID71" s="499"/>
      <c r="LIE71" s="499"/>
      <c r="LIF71" s="499"/>
      <c r="LIG71" s="499"/>
      <c r="LIH71" s="499"/>
      <c r="LII71" s="499"/>
      <c r="LIJ71" s="499"/>
      <c r="LIK71" s="499"/>
      <c r="LIL71" s="499"/>
      <c r="LIM71" s="499"/>
      <c r="LIN71" s="499"/>
      <c r="LIO71" s="499"/>
      <c r="LIP71" s="499"/>
      <c r="LIQ71" s="499"/>
      <c r="LIR71" s="499"/>
      <c r="LIS71" s="499"/>
      <c r="LIT71" s="499"/>
      <c r="LIU71" s="499"/>
      <c r="LIV71" s="499"/>
      <c r="LIW71" s="499"/>
      <c r="LIX71" s="499"/>
      <c r="LIY71" s="499"/>
      <c r="LIZ71" s="499"/>
      <c r="LJA71" s="499"/>
      <c r="LJB71" s="499"/>
      <c r="LJC71" s="499"/>
      <c r="LJD71" s="499"/>
      <c r="LJE71" s="499"/>
      <c r="LJF71" s="499"/>
      <c r="LJG71" s="499"/>
      <c r="LJH71" s="499"/>
      <c r="LJI71" s="499"/>
      <c r="LJJ71" s="499"/>
      <c r="LJK71" s="499"/>
      <c r="LJL71" s="499"/>
      <c r="LJM71" s="499"/>
      <c r="LJN71" s="499"/>
      <c r="LJO71" s="499"/>
      <c r="LJP71" s="499"/>
      <c r="LJQ71" s="499"/>
      <c r="LJR71" s="499"/>
      <c r="LJS71" s="499"/>
      <c r="LJT71" s="499"/>
      <c r="LJU71" s="499"/>
      <c r="LJV71" s="499"/>
      <c r="LJW71" s="499"/>
      <c r="LJX71" s="499"/>
      <c r="LJY71" s="499"/>
      <c r="LJZ71" s="499"/>
      <c r="LKA71" s="499"/>
      <c r="LKB71" s="499"/>
      <c r="LKC71" s="499"/>
      <c r="LKD71" s="499"/>
      <c r="LKE71" s="499"/>
      <c r="LKF71" s="499"/>
      <c r="LKG71" s="499"/>
      <c r="LKH71" s="499"/>
      <c r="LKI71" s="499"/>
      <c r="LKJ71" s="499"/>
      <c r="LKK71" s="499"/>
      <c r="LKL71" s="499"/>
      <c r="LKM71" s="499"/>
      <c r="LKN71" s="499"/>
      <c r="LKO71" s="499"/>
      <c r="LKP71" s="499"/>
      <c r="LKQ71" s="499"/>
      <c r="LKR71" s="499"/>
      <c r="LKS71" s="499"/>
      <c r="LKT71" s="499"/>
      <c r="LKU71" s="499"/>
      <c r="LKV71" s="499"/>
      <c r="LKW71" s="499"/>
      <c r="LKX71" s="499"/>
      <c r="LKY71" s="499"/>
      <c r="LKZ71" s="499"/>
      <c r="LLA71" s="499"/>
      <c r="LLB71" s="499"/>
      <c r="LLC71" s="499"/>
      <c r="LLD71" s="499"/>
      <c r="LLE71" s="499"/>
      <c r="LLF71" s="499"/>
      <c r="LLG71" s="499"/>
      <c r="LLH71" s="499"/>
      <c r="LLI71" s="499"/>
      <c r="LLJ71" s="499"/>
      <c r="LLK71" s="499"/>
      <c r="LLL71" s="499"/>
      <c r="LLM71" s="499"/>
      <c r="LLN71" s="499"/>
      <c r="LLO71" s="499"/>
      <c r="LLP71" s="499"/>
      <c r="LLQ71" s="499"/>
      <c r="LLR71" s="499"/>
      <c r="LLS71" s="499"/>
      <c r="LLT71" s="499"/>
      <c r="LLU71" s="499"/>
      <c r="LLV71" s="499"/>
      <c r="LLW71" s="499"/>
      <c r="LLX71" s="499"/>
      <c r="LLY71" s="499"/>
      <c r="LLZ71" s="499"/>
      <c r="LMA71" s="499"/>
      <c r="LMB71" s="499"/>
      <c r="LMC71" s="499"/>
      <c r="LMD71" s="499"/>
      <c r="LME71" s="499"/>
      <c r="LMF71" s="499"/>
      <c r="LMG71" s="499"/>
      <c r="LMH71" s="499"/>
      <c r="LMI71" s="499"/>
      <c r="LMJ71" s="499"/>
      <c r="LMK71" s="499"/>
      <c r="LML71" s="499"/>
      <c r="LMM71" s="499"/>
      <c r="LMN71" s="499"/>
      <c r="LMO71" s="499"/>
      <c r="LMP71" s="499"/>
      <c r="LMQ71" s="499"/>
      <c r="LMR71" s="499"/>
      <c r="LMS71" s="499"/>
      <c r="LMT71" s="499"/>
      <c r="LMU71" s="499"/>
      <c r="LMV71" s="499"/>
      <c r="LMW71" s="499"/>
      <c r="LMX71" s="499"/>
      <c r="LMY71" s="499"/>
      <c r="LMZ71" s="499"/>
      <c r="LNA71" s="499"/>
      <c r="LNB71" s="499"/>
      <c r="LNC71" s="499"/>
      <c r="LND71" s="499"/>
      <c r="LNE71" s="499"/>
      <c r="LNF71" s="499"/>
      <c r="LNG71" s="499"/>
      <c r="LNH71" s="499"/>
      <c r="LNI71" s="499"/>
      <c r="LNJ71" s="499"/>
      <c r="LNK71" s="499"/>
      <c r="LNL71" s="499"/>
      <c r="LNM71" s="499"/>
      <c r="LNN71" s="499"/>
      <c r="LNO71" s="499"/>
      <c r="LNP71" s="499"/>
      <c r="LNQ71" s="499"/>
      <c r="LNR71" s="499"/>
      <c r="LNS71" s="499"/>
      <c r="LNT71" s="499"/>
      <c r="LNU71" s="499"/>
      <c r="LNV71" s="499"/>
      <c r="LNW71" s="499"/>
      <c r="LNX71" s="499"/>
      <c r="LNY71" s="499"/>
      <c r="LNZ71" s="499"/>
      <c r="LOA71" s="499"/>
      <c r="LOB71" s="499"/>
      <c r="LOC71" s="499"/>
      <c r="LOD71" s="499"/>
      <c r="LOE71" s="499"/>
      <c r="LOF71" s="499"/>
      <c r="LOG71" s="499"/>
      <c r="LOH71" s="499"/>
      <c r="LOI71" s="499"/>
      <c r="LOJ71" s="499"/>
      <c r="LOK71" s="499"/>
      <c r="LOL71" s="499"/>
      <c r="LOM71" s="499"/>
      <c r="LON71" s="499"/>
      <c r="LOO71" s="499"/>
      <c r="LOP71" s="499"/>
      <c r="LOQ71" s="499"/>
      <c r="LOR71" s="499"/>
      <c r="LOS71" s="499"/>
      <c r="LOT71" s="499"/>
      <c r="LOU71" s="499"/>
      <c r="LOV71" s="499"/>
      <c r="LOW71" s="499"/>
      <c r="LOX71" s="499"/>
      <c r="LOY71" s="499"/>
      <c r="LOZ71" s="499"/>
      <c r="LPA71" s="499"/>
      <c r="LPB71" s="499"/>
      <c r="LPC71" s="499"/>
      <c r="LPD71" s="499"/>
      <c r="LPE71" s="499"/>
      <c r="LPF71" s="499"/>
      <c r="LPG71" s="499"/>
      <c r="LPH71" s="499"/>
      <c r="LPI71" s="499"/>
      <c r="LPJ71" s="499"/>
      <c r="LPK71" s="499"/>
      <c r="LPL71" s="499"/>
      <c r="LPM71" s="499"/>
      <c r="LPN71" s="499"/>
      <c r="LPO71" s="499"/>
      <c r="LPP71" s="499"/>
      <c r="LPQ71" s="499"/>
      <c r="LPR71" s="499"/>
      <c r="LPS71" s="499"/>
      <c r="LPT71" s="499"/>
      <c r="LPU71" s="499"/>
      <c r="LPV71" s="499"/>
      <c r="LPW71" s="499"/>
      <c r="LPX71" s="499"/>
      <c r="LPY71" s="499"/>
      <c r="LPZ71" s="499"/>
      <c r="LQA71" s="499"/>
      <c r="LQB71" s="499"/>
      <c r="LQC71" s="499"/>
      <c r="LQD71" s="499"/>
      <c r="LQE71" s="499"/>
      <c r="LQF71" s="499"/>
      <c r="LQG71" s="499"/>
      <c r="LQH71" s="499"/>
      <c r="LQI71" s="499"/>
      <c r="LQJ71" s="499"/>
      <c r="LQK71" s="499"/>
      <c r="LQL71" s="499"/>
      <c r="LQM71" s="499"/>
      <c r="LQN71" s="499"/>
      <c r="LQO71" s="499"/>
      <c r="LQP71" s="499"/>
      <c r="LQQ71" s="499"/>
      <c r="LQR71" s="499"/>
      <c r="LQS71" s="499"/>
      <c r="LQT71" s="499"/>
      <c r="LQU71" s="499"/>
      <c r="LQV71" s="499"/>
      <c r="LQW71" s="499"/>
      <c r="LQX71" s="499"/>
      <c r="LQY71" s="499"/>
      <c r="LQZ71" s="499"/>
      <c r="LRA71" s="499"/>
      <c r="LRB71" s="499"/>
      <c r="LRC71" s="499"/>
      <c r="LRD71" s="499"/>
      <c r="LRE71" s="499"/>
      <c r="LRF71" s="499"/>
      <c r="LRG71" s="499"/>
      <c r="LRH71" s="499"/>
      <c r="LRI71" s="499"/>
      <c r="LRJ71" s="499"/>
      <c r="LRK71" s="499"/>
      <c r="LRL71" s="499"/>
      <c r="LRM71" s="499"/>
      <c r="LRN71" s="499"/>
      <c r="LRO71" s="499"/>
      <c r="LRP71" s="499"/>
      <c r="LRQ71" s="499"/>
      <c r="LRR71" s="499"/>
      <c r="LRS71" s="499"/>
      <c r="LRT71" s="499"/>
      <c r="LRU71" s="499"/>
      <c r="LRV71" s="499"/>
      <c r="LRW71" s="499"/>
      <c r="LRX71" s="499"/>
      <c r="LRY71" s="499"/>
      <c r="LRZ71" s="499"/>
      <c r="LSA71" s="499"/>
      <c r="LSB71" s="499"/>
      <c r="LSC71" s="499"/>
      <c r="LSD71" s="499"/>
      <c r="LSE71" s="499"/>
      <c r="LSF71" s="499"/>
      <c r="LSG71" s="499"/>
      <c r="LSH71" s="499"/>
      <c r="LSI71" s="499"/>
      <c r="LSJ71" s="499"/>
      <c r="LSK71" s="499"/>
      <c r="LSL71" s="499"/>
      <c r="LSM71" s="499"/>
      <c r="LSN71" s="499"/>
      <c r="LSO71" s="499"/>
      <c r="LSP71" s="499"/>
      <c r="LSQ71" s="499"/>
      <c r="LSR71" s="499"/>
      <c r="LSS71" s="499"/>
      <c r="LST71" s="499"/>
      <c r="LSU71" s="499"/>
      <c r="LSV71" s="499"/>
      <c r="LSW71" s="499"/>
      <c r="LSX71" s="499"/>
      <c r="LSY71" s="499"/>
      <c r="LSZ71" s="499"/>
      <c r="LTA71" s="499"/>
      <c r="LTB71" s="499"/>
      <c r="LTC71" s="499"/>
      <c r="LTD71" s="499"/>
      <c r="LTE71" s="499"/>
      <c r="LTF71" s="499"/>
      <c r="LTG71" s="499"/>
      <c r="LTH71" s="499"/>
      <c r="LTI71" s="499"/>
      <c r="LTJ71" s="499"/>
      <c r="LTK71" s="499"/>
      <c r="LTL71" s="499"/>
      <c r="LTM71" s="499"/>
      <c r="LTN71" s="499"/>
      <c r="LTO71" s="499"/>
      <c r="LTP71" s="499"/>
      <c r="LTQ71" s="499"/>
      <c r="LTR71" s="499"/>
      <c r="LTS71" s="499"/>
      <c r="LTT71" s="499"/>
      <c r="LTU71" s="499"/>
      <c r="LTV71" s="499"/>
      <c r="LTW71" s="499"/>
      <c r="LTX71" s="499"/>
      <c r="LTY71" s="499"/>
      <c r="LTZ71" s="499"/>
      <c r="LUA71" s="499"/>
      <c r="LUB71" s="499"/>
      <c r="LUC71" s="499"/>
      <c r="LUD71" s="499"/>
      <c r="LUE71" s="499"/>
      <c r="LUF71" s="499"/>
      <c r="LUG71" s="499"/>
      <c r="LUH71" s="499"/>
      <c r="LUI71" s="499"/>
      <c r="LUJ71" s="499"/>
      <c r="LUK71" s="499"/>
      <c r="LUL71" s="499"/>
      <c r="LUM71" s="499"/>
      <c r="LUN71" s="499"/>
      <c r="LUO71" s="499"/>
      <c r="LUP71" s="499"/>
      <c r="LUQ71" s="499"/>
      <c r="LUR71" s="499"/>
      <c r="LUS71" s="499"/>
      <c r="LUT71" s="499"/>
      <c r="LUU71" s="499"/>
      <c r="LUV71" s="499"/>
      <c r="LUW71" s="499"/>
      <c r="LUX71" s="499"/>
      <c r="LUY71" s="499"/>
      <c r="LUZ71" s="499"/>
      <c r="LVA71" s="499"/>
      <c r="LVB71" s="499"/>
      <c r="LVC71" s="499"/>
      <c r="LVD71" s="499"/>
      <c r="LVE71" s="499"/>
      <c r="LVF71" s="499"/>
      <c r="LVG71" s="499"/>
      <c r="LVH71" s="499"/>
      <c r="LVI71" s="499"/>
      <c r="LVJ71" s="499"/>
      <c r="LVK71" s="499"/>
      <c r="LVL71" s="499"/>
      <c r="LVM71" s="499"/>
      <c r="LVN71" s="499"/>
      <c r="LVO71" s="499"/>
      <c r="LVP71" s="499"/>
      <c r="LVQ71" s="499"/>
      <c r="LVR71" s="499"/>
      <c r="LVS71" s="499"/>
      <c r="LVT71" s="499"/>
      <c r="LVU71" s="499"/>
      <c r="LVV71" s="499"/>
      <c r="LVW71" s="499"/>
      <c r="LVX71" s="499"/>
      <c r="LVY71" s="499"/>
      <c r="LVZ71" s="499"/>
      <c r="LWA71" s="499"/>
      <c r="LWB71" s="499"/>
      <c r="LWC71" s="499"/>
      <c r="LWD71" s="499"/>
      <c r="LWE71" s="499"/>
      <c r="LWF71" s="499"/>
      <c r="LWG71" s="499"/>
      <c r="LWH71" s="499"/>
      <c r="LWI71" s="499"/>
      <c r="LWJ71" s="499"/>
      <c r="LWK71" s="499"/>
      <c r="LWL71" s="499"/>
      <c r="LWM71" s="499"/>
      <c r="LWN71" s="499"/>
      <c r="LWO71" s="499"/>
      <c r="LWP71" s="499"/>
      <c r="LWQ71" s="499"/>
      <c r="LWR71" s="499"/>
      <c r="LWS71" s="499"/>
      <c r="LWT71" s="499"/>
      <c r="LWU71" s="499"/>
      <c r="LWV71" s="499"/>
      <c r="LWW71" s="499"/>
      <c r="LWX71" s="499"/>
      <c r="LWY71" s="499"/>
      <c r="LWZ71" s="499"/>
      <c r="LXA71" s="499"/>
      <c r="LXB71" s="499"/>
      <c r="LXC71" s="499"/>
      <c r="LXD71" s="499"/>
      <c r="LXE71" s="499"/>
      <c r="LXF71" s="499"/>
      <c r="LXG71" s="499"/>
      <c r="LXH71" s="499"/>
      <c r="LXI71" s="499"/>
      <c r="LXJ71" s="499"/>
      <c r="LXK71" s="499"/>
      <c r="LXL71" s="499"/>
      <c r="LXM71" s="499"/>
      <c r="LXN71" s="499"/>
      <c r="LXO71" s="499"/>
      <c r="LXP71" s="499"/>
      <c r="LXQ71" s="499"/>
      <c r="LXR71" s="499"/>
      <c r="LXS71" s="499"/>
      <c r="LXT71" s="499"/>
      <c r="LXU71" s="499"/>
      <c r="LXV71" s="499"/>
      <c r="LXW71" s="499"/>
      <c r="LXX71" s="499"/>
      <c r="LXY71" s="499"/>
      <c r="LXZ71" s="499"/>
      <c r="LYA71" s="499"/>
      <c r="LYB71" s="499"/>
      <c r="LYC71" s="499"/>
      <c r="LYD71" s="499"/>
      <c r="LYE71" s="499"/>
      <c r="LYF71" s="499"/>
      <c r="LYG71" s="499"/>
      <c r="LYH71" s="499"/>
      <c r="LYI71" s="499"/>
      <c r="LYJ71" s="499"/>
      <c r="LYK71" s="499"/>
      <c r="LYL71" s="499"/>
      <c r="LYM71" s="499"/>
      <c r="LYN71" s="499"/>
      <c r="LYO71" s="499"/>
      <c r="LYP71" s="499"/>
      <c r="LYQ71" s="499"/>
      <c r="LYR71" s="499"/>
      <c r="LYS71" s="499"/>
      <c r="LYT71" s="499"/>
      <c r="LYU71" s="499"/>
      <c r="LYV71" s="499"/>
      <c r="LYW71" s="499"/>
      <c r="LYX71" s="499"/>
      <c r="LYY71" s="499"/>
      <c r="LYZ71" s="499"/>
      <c r="LZA71" s="499"/>
      <c r="LZB71" s="499"/>
      <c r="LZC71" s="499"/>
      <c r="LZD71" s="499"/>
      <c r="LZE71" s="499"/>
      <c r="LZF71" s="499"/>
      <c r="LZG71" s="499"/>
      <c r="LZH71" s="499"/>
      <c r="LZI71" s="499"/>
      <c r="LZJ71" s="499"/>
      <c r="LZK71" s="499"/>
      <c r="LZL71" s="499"/>
      <c r="LZM71" s="499"/>
      <c r="LZN71" s="499"/>
      <c r="LZO71" s="499"/>
      <c r="LZP71" s="499"/>
      <c r="LZQ71" s="499"/>
      <c r="LZR71" s="499"/>
      <c r="LZS71" s="499"/>
      <c r="LZT71" s="499"/>
      <c r="LZU71" s="499"/>
      <c r="LZV71" s="499"/>
      <c r="LZW71" s="499"/>
      <c r="LZX71" s="499"/>
      <c r="LZY71" s="499"/>
      <c r="LZZ71" s="499"/>
      <c r="MAA71" s="499"/>
      <c r="MAB71" s="499"/>
      <c r="MAC71" s="499"/>
      <c r="MAD71" s="499"/>
      <c r="MAE71" s="499"/>
      <c r="MAF71" s="499"/>
      <c r="MAG71" s="499"/>
      <c r="MAH71" s="499"/>
      <c r="MAI71" s="499"/>
      <c r="MAJ71" s="499"/>
      <c r="MAK71" s="499"/>
      <c r="MAL71" s="499"/>
      <c r="MAM71" s="499"/>
      <c r="MAN71" s="499"/>
      <c r="MAO71" s="499"/>
      <c r="MAP71" s="499"/>
      <c r="MAQ71" s="499"/>
      <c r="MAR71" s="499"/>
      <c r="MAS71" s="499"/>
      <c r="MAT71" s="499"/>
      <c r="MAU71" s="499"/>
      <c r="MAV71" s="499"/>
      <c r="MAW71" s="499"/>
      <c r="MAX71" s="499"/>
      <c r="MAY71" s="499"/>
      <c r="MAZ71" s="499"/>
      <c r="MBA71" s="499"/>
      <c r="MBB71" s="499"/>
      <c r="MBC71" s="499"/>
      <c r="MBD71" s="499"/>
      <c r="MBE71" s="499"/>
      <c r="MBF71" s="499"/>
      <c r="MBG71" s="499"/>
      <c r="MBH71" s="499"/>
      <c r="MBI71" s="499"/>
      <c r="MBJ71" s="499"/>
      <c r="MBK71" s="499"/>
      <c r="MBL71" s="499"/>
      <c r="MBM71" s="499"/>
      <c r="MBN71" s="499"/>
      <c r="MBO71" s="499"/>
      <c r="MBP71" s="499"/>
      <c r="MBQ71" s="499"/>
      <c r="MBR71" s="499"/>
      <c r="MBS71" s="499"/>
      <c r="MBT71" s="499"/>
      <c r="MBU71" s="499"/>
      <c r="MBV71" s="499"/>
      <c r="MBW71" s="499"/>
      <c r="MBX71" s="499"/>
      <c r="MBY71" s="499"/>
      <c r="MBZ71" s="499"/>
      <c r="MCA71" s="499"/>
      <c r="MCB71" s="499"/>
      <c r="MCC71" s="499"/>
      <c r="MCD71" s="499"/>
      <c r="MCE71" s="499"/>
      <c r="MCF71" s="499"/>
      <c r="MCG71" s="499"/>
      <c r="MCH71" s="499"/>
      <c r="MCI71" s="499"/>
      <c r="MCJ71" s="499"/>
      <c r="MCK71" s="499"/>
      <c r="MCL71" s="499"/>
      <c r="MCM71" s="499"/>
      <c r="MCN71" s="499"/>
      <c r="MCO71" s="499"/>
      <c r="MCP71" s="499"/>
      <c r="MCQ71" s="499"/>
      <c r="MCR71" s="499"/>
      <c r="MCS71" s="499"/>
      <c r="MCT71" s="499"/>
      <c r="MCU71" s="499"/>
      <c r="MCV71" s="499"/>
      <c r="MCW71" s="499"/>
      <c r="MCX71" s="499"/>
      <c r="MCY71" s="499"/>
      <c r="MCZ71" s="499"/>
      <c r="MDA71" s="499"/>
      <c r="MDB71" s="499"/>
      <c r="MDC71" s="499"/>
      <c r="MDD71" s="499"/>
      <c r="MDE71" s="499"/>
      <c r="MDF71" s="499"/>
      <c r="MDG71" s="499"/>
      <c r="MDH71" s="499"/>
      <c r="MDI71" s="499"/>
      <c r="MDJ71" s="499"/>
      <c r="MDK71" s="499"/>
      <c r="MDL71" s="499"/>
      <c r="MDM71" s="499"/>
      <c r="MDN71" s="499"/>
      <c r="MDO71" s="499"/>
      <c r="MDP71" s="499"/>
      <c r="MDQ71" s="499"/>
      <c r="MDR71" s="499"/>
      <c r="MDS71" s="499"/>
      <c r="MDT71" s="499"/>
      <c r="MDU71" s="499"/>
      <c r="MDV71" s="499"/>
      <c r="MDW71" s="499"/>
      <c r="MDX71" s="499"/>
      <c r="MDY71" s="499"/>
      <c r="MDZ71" s="499"/>
      <c r="MEA71" s="499"/>
      <c r="MEB71" s="499"/>
      <c r="MEC71" s="499"/>
      <c r="MED71" s="499"/>
      <c r="MEE71" s="499"/>
      <c r="MEF71" s="499"/>
      <c r="MEG71" s="499"/>
      <c r="MEH71" s="499"/>
      <c r="MEI71" s="499"/>
      <c r="MEJ71" s="499"/>
      <c r="MEK71" s="499"/>
      <c r="MEL71" s="499"/>
      <c r="MEM71" s="499"/>
      <c r="MEN71" s="499"/>
      <c r="MEO71" s="499"/>
      <c r="MEP71" s="499"/>
      <c r="MEQ71" s="499"/>
      <c r="MER71" s="499"/>
      <c r="MES71" s="499"/>
      <c r="MET71" s="499"/>
      <c r="MEU71" s="499"/>
      <c r="MEV71" s="499"/>
      <c r="MEW71" s="499"/>
      <c r="MEX71" s="499"/>
      <c r="MEY71" s="499"/>
      <c r="MEZ71" s="499"/>
      <c r="MFA71" s="499"/>
      <c r="MFB71" s="499"/>
      <c r="MFC71" s="499"/>
      <c r="MFD71" s="499"/>
      <c r="MFE71" s="499"/>
      <c r="MFF71" s="499"/>
      <c r="MFG71" s="499"/>
      <c r="MFH71" s="499"/>
      <c r="MFI71" s="499"/>
      <c r="MFJ71" s="499"/>
      <c r="MFK71" s="499"/>
      <c r="MFL71" s="499"/>
      <c r="MFM71" s="499"/>
      <c r="MFN71" s="499"/>
      <c r="MFO71" s="499"/>
      <c r="MFP71" s="499"/>
      <c r="MFQ71" s="499"/>
      <c r="MFR71" s="499"/>
      <c r="MFS71" s="499"/>
      <c r="MFT71" s="499"/>
      <c r="MFU71" s="499"/>
      <c r="MFV71" s="499"/>
      <c r="MFW71" s="499"/>
      <c r="MFX71" s="499"/>
      <c r="MFY71" s="499"/>
      <c r="MFZ71" s="499"/>
      <c r="MGA71" s="499"/>
      <c r="MGB71" s="499"/>
      <c r="MGC71" s="499"/>
      <c r="MGD71" s="499"/>
      <c r="MGE71" s="499"/>
      <c r="MGF71" s="499"/>
      <c r="MGG71" s="499"/>
      <c r="MGH71" s="499"/>
      <c r="MGI71" s="499"/>
      <c r="MGJ71" s="499"/>
      <c r="MGK71" s="499"/>
      <c r="MGL71" s="499"/>
      <c r="MGM71" s="499"/>
      <c r="MGN71" s="499"/>
      <c r="MGO71" s="499"/>
      <c r="MGP71" s="499"/>
      <c r="MGQ71" s="499"/>
      <c r="MGR71" s="499"/>
      <c r="MGS71" s="499"/>
      <c r="MGT71" s="499"/>
      <c r="MGU71" s="499"/>
      <c r="MGV71" s="499"/>
      <c r="MGW71" s="499"/>
      <c r="MGX71" s="499"/>
      <c r="MGY71" s="499"/>
      <c r="MGZ71" s="499"/>
      <c r="MHA71" s="499"/>
      <c r="MHB71" s="499"/>
      <c r="MHC71" s="499"/>
      <c r="MHD71" s="499"/>
      <c r="MHE71" s="499"/>
      <c r="MHF71" s="499"/>
      <c r="MHG71" s="499"/>
      <c r="MHH71" s="499"/>
      <c r="MHI71" s="499"/>
      <c r="MHJ71" s="499"/>
      <c r="MHK71" s="499"/>
      <c r="MHL71" s="499"/>
      <c r="MHM71" s="499"/>
      <c r="MHN71" s="499"/>
      <c r="MHO71" s="499"/>
      <c r="MHP71" s="499"/>
      <c r="MHQ71" s="499"/>
      <c r="MHR71" s="499"/>
      <c r="MHS71" s="499"/>
      <c r="MHT71" s="499"/>
      <c r="MHU71" s="499"/>
      <c r="MHV71" s="499"/>
      <c r="MHW71" s="499"/>
      <c r="MHX71" s="499"/>
      <c r="MHY71" s="499"/>
      <c r="MHZ71" s="499"/>
      <c r="MIA71" s="499"/>
      <c r="MIB71" s="499"/>
      <c r="MIC71" s="499"/>
      <c r="MID71" s="499"/>
      <c r="MIE71" s="499"/>
      <c r="MIF71" s="499"/>
      <c r="MIG71" s="499"/>
      <c r="MIH71" s="499"/>
      <c r="MII71" s="499"/>
      <c r="MIJ71" s="499"/>
      <c r="MIK71" s="499"/>
      <c r="MIL71" s="499"/>
      <c r="MIM71" s="499"/>
      <c r="MIN71" s="499"/>
      <c r="MIO71" s="499"/>
      <c r="MIP71" s="499"/>
      <c r="MIQ71" s="499"/>
      <c r="MIR71" s="499"/>
      <c r="MIS71" s="499"/>
      <c r="MIT71" s="499"/>
      <c r="MIU71" s="499"/>
      <c r="MIV71" s="499"/>
      <c r="MIW71" s="499"/>
      <c r="MIX71" s="499"/>
      <c r="MIY71" s="499"/>
      <c r="MIZ71" s="499"/>
      <c r="MJA71" s="499"/>
      <c r="MJB71" s="499"/>
      <c r="MJC71" s="499"/>
      <c r="MJD71" s="499"/>
      <c r="MJE71" s="499"/>
      <c r="MJF71" s="499"/>
      <c r="MJG71" s="499"/>
      <c r="MJH71" s="499"/>
      <c r="MJI71" s="499"/>
      <c r="MJJ71" s="499"/>
      <c r="MJK71" s="499"/>
      <c r="MJL71" s="499"/>
      <c r="MJM71" s="499"/>
      <c r="MJN71" s="499"/>
      <c r="MJO71" s="499"/>
      <c r="MJP71" s="499"/>
      <c r="MJQ71" s="499"/>
      <c r="MJR71" s="499"/>
      <c r="MJS71" s="499"/>
      <c r="MJT71" s="499"/>
      <c r="MJU71" s="499"/>
      <c r="MJV71" s="499"/>
      <c r="MJW71" s="499"/>
      <c r="MJX71" s="499"/>
      <c r="MJY71" s="499"/>
      <c r="MJZ71" s="499"/>
      <c r="MKA71" s="499"/>
      <c r="MKB71" s="499"/>
      <c r="MKC71" s="499"/>
      <c r="MKD71" s="499"/>
      <c r="MKE71" s="499"/>
      <c r="MKF71" s="499"/>
      <c r="MKG71" s="499"/>
      <c r="MKH71" s="499"/>
      <c r="MKI71" s="499"/>
      <c r="MKJ71" s="499"/>
      <c r="MKK71" s="499"/>
      <c r="MKL71" s="499"/>
      <c r="MKM71" s="499"/>
      <c r="MKN71" s="499"/>
      <c r="MKO71" s="499"/>
      <c r="MKP71" s="499"/>
      <c r="MKQ71" s="499"/>
      <c r="MKR71" s="499"/>
      <c r="MKS71" s="499"/>
      <c r="MKT71" s="499"/>
      <c r="MKU71" s="499"/>
      <c r="MKV71" s="499"/>
      <c r="MKW71" s="499"/>
      <c r="MKX71" s="499"/>
      <c r="MKY71" s="499"/>
      <c r="MKZ71" s="499"/>
      <c r="MLA71" s="499"/>
      <c r="MLB71" s="499"/>
      <c r="MLC71" s="499"/>
      <c r="MLD71" s="499"/>
      <c r="MLE71" s="499"/>
      <c r="MLF71" s="499"/>
      <c r="MLG71" s="499"/>
      <c r="MLH71" s="499"/>
      <c r="MLI71" s="499"/>
      <c r="MLJ71" s="499"/>
      <c r="MLK71" s="499"/>
      <c r="MLL71" s="499"/>
      <c r="MLM71" s="499"/>
      <c r="MLN71" s="499"/>
      <c r="MLO71" s="499"/>
      <c r="MLP71" s="499"/>
      <c r="MLQ71" s="499"/>
      <c r="MLR71" s="499"/>
      <c r="MLS71" s="499"/>
      <c r="MLT71" s="499"/>
      <c r="MLU71" s="499"/>
      <c r="MLV71" s="499"/>
      <c r="MLW71" s="499"/>
      <c r="MLX71" s="499"/>
      <c r="MLY71" s="499"/>
      <c r="MLZ71" s="499"/>
      <c r="MMA71" s="499"/>
      <c r="MMB71" s="499"/>
      <c r="MMC71" s="499"/>
      <c r="MMD71" s="499"/>
      <c r="MME71" s="499"/>
      <c r="MMF71" s="499"/>
      <c r="MMG71" s="499"/>
      <c r="MMH71" s="499"/>
      <c r="MMI71" s="499"/>
      <c r="MMJ71" s="499"/>
      <c r="MMK71" s="499"/>
      <c r="MML71" s="499"/>
      <c r="MMM71" s="499"/>
      <c r="MMN71" s="499"/>
      <c r="MMO71" s="499"/>
      <c r="MMP71" s="499"/>
      <c r="MMQ71" s="499"/>
      <c r="MMR71" s="499"/>
      <c r="MMS71" s="499"/>
      <c r="MMT71" s="499"/>
      <c r="MMU71" s="499"/>
      <c r="MMV71" s="499"/>
      <c r="MMW71" s="499"/>
      <c r="MMX71" s="499"/>
      <c r="MMY71" s="499"/>
      <c r="MMZ71" s="499"/>
      <c r="MNA71" s="499"/>
      <c r="MNB71" s="499"/>
      <c r="MNC71" s="499"/>
      <c r="MND71" s="499"/>
      <c r="MNE71" s="499"/>
      <c r="MNF71" s="499"/>
      <c r="MNG71" s="499"/>
      <c r="MNH71" s="499"/>
      <c r="MNI71" s="499"/>
      <c r="MNJ71" s="499"/>
      <c r="MNK71" s="499"/>
      <c r="MNL71" s="499"/>
      <c r="MNM71" s="499"/>
      <c r="MNN71" s="499"/>
      <c r="MNO71" s="499"/>
      <c r="MNP71" s="499"/>
      <c r="MNQ71" s="499"/>
      <c r="MNR71" s="499"/>
      <c r="MNS71" s="499"/>
      <c r="MNT71" s="499"/>
      <c r="MNU71" s="499"/>
      <c r="MNV71" s="499"/>
      <c r="MNW71" s="499"/>
      <c r="MNX71" s="499"/>
      <c r="MNY71" s="499"/>
      <c r="MNZ71" s="499"/>
      <c r="MOA71" s="499"/>
      <c r="MOB71" s="499"/>
      <c r="MOC71" s="499"/>
      <c r="MOD71" s="499"/>
      <c r="MOE71" s="499"/>
      <c r="MOF71" s="499"/>
      <c r="MOG71" s="499"/>
      <c r="MOH71" s="499"/>
      <c r="MOI71" s="499"/>
      <c r="MOJ71" s="499"/>
      <c r="MOK71" s="499"/>
      <c r="MOL71" s="499"/>
      <c r="MOM71" s="499"/>
      <c r="MON71" s="499"/>
      <c r="MOO71" s="499"/>
      <c r="MOP71" s="499"/>
      <c r="MOQ71" s="499"/>
      <c r="MOR71" s="499"/>
      <c r="MOS71" s="499"/>
      <c r="MOT71" s="499"/>
      <c r="MOU71" s="499"/>
      <c r="MOV71" s="499"/>
      <c r="MOW71" s="499"/>
      <c r="MOX71" s="499"/>
      <c r="MOY71" s="499"/>
      <c r="MOZ71" s="499"/>
      <c r="MPA71" s="499"/>
      <c r="MPB71" s="499"/>
      <c r="MPC71" s="499"/>
      <c r="MPD71" s="499"/>
      <c r="MPE71" s="499"/>
      <c r="MPF71" s="499"/>
      <c r="MPG71" s="499"/>
      <c r="MPH71" s="499"/>
      <c r="MPI71" s="499"/>
      <c r="MPJ71" s="499"/>
      <c r="MPK71" s="499"/>
      <c r="MPL71" s="499"/>
      <c r="MPM71" s="499"/>
      <c r="MPN71" s="499"/>
      <c r="MPO71" s="499"/>
      <c r="MPP71" s="499"/>
      <c r="MPQ71" s="499"/>
      <c r="MPR71" s="499"/>
      <c r="MPS71" s="499"/>
      <c r="MPT71" s="499"/>
      <c r="MPU71" s="499"/>
      <c r="MPV71" s="499"/>
      <c r="MPW71" s="499"/>
      <c r="MPX71" s="499"/>
      <c r="MPY71" s="499"/>
      <c r="MPZ71" s="499"/>
      <c r="MQA71" s="499"/>
      <c r="MQB71" s="499"/>
      <c r="MQC71" s="499"/>
      <c r="MQD71" s="499"/>
      <c r="MQE71" s="499"/>
      <c r="MQF71" s="499"/>
      <c r="MQG71" s="499"/>
      <c r="MQH71" s="499"/>
      <c r="MQI71" s="499"/>
      <c r="MQJ71" s="499"/>
      <c r="MQK71" s="499"/>
      <c r="MQL71" s="499"/>
      <c r="MQM71" s="499"/>
      <c r="MQN71" s="499"/>
      <c r="MQO71" s="499"/>
      <c r="MQP71" s="499"/>
      <c r="MQQ71" s="499"/>
      <c r="MQR71" s="499"/>
      <c r="MQS71" s="499"/>
      <c r="MQT71" s="499"/>
      <c r="MQU71" s="499"/>
      <c r="MQV71" s="499"/>
      <c r="MQW71" s="499"/>
      <c r="MQX71" s="499"/>
      <c r="MQY71" s="499"/>
      <c r="MQZ71" s="499"/>
      <c r="MRA71" s="499"/>
      <c r="MRB71" s="499"/>
      <c r="MRC71" s="499"/>
      <c r="MRD71" s="499"/>
      <c r="MRE71" s="499"/>
      <c r="MRF71" s="499"/>
      <c r="MRG71" s="499"/>
      <c r="MRH71" s="499"/>
      <c r="MRI71" s="499"/>
      <c r="MRJ71" s="499"/>
      <c r="MRK71" s="499"/>
      <c r="MRL71" s="499"/>
      <c r="MRM71" s="499"/>
      <c r="MRN71" s="499"/>
      <c r="MRO71" s="499"/>
      <c r="MRP71" s="499"/>
      <c r="MRQ71" s="499"/>
      <c r="MRR71" s="499"/>
      <c r="MRS71" s="499"/>
      <c r="MRT71" s="499"/>
      <c r="MRU71" s="499"/>
      <c r="MRV71" s="499"/>
      <c r="MRW71" s="499"/>
      <c r="MRX71" s="499"/>
      <c r="MRY71" s="499"/>
      <c r="MRZ71" s="499"/>
      <c r="MSA71" s="499"/>
      <c r="MSB71" s="499"/>
      <c r="MSC71" s="499"/>
      <c r="MSD71" s="499"/>
      <c r="MSE71" s="499"/>
      <c r="MSF71" s="499"/>
      <c r="MSG71" s="499"/>
      <c r="MSH71" s="499"/>
      <c r="MSI71" s="499"/>
      <c r="MSJ71" s="499"/>
      <c r="MSK71" s="499"/>
      <c r="MSL71" s="499"/>
      <c r="MSM71" s="499"/>
      <c r="MSN71" s="499"/>
      <c r="MSO71" s="499"/>
      <c r="MSP71" s="499"/>
      <c r="MSQ71" s="499"/>
      <c r="MSR71" s="499"/>
      <c r="MSS71" s="499"/>
      <c r="MST71" s="499"/>
      <c r="MSU71" s="499"/>
      <c r="MSV71" s="499"/>
      <c r="MSW71" s="499"/>
      <c r="MSX71" s="499"/>
      <c r="MSY71" s="499"/>
      <c r="MSZ71" s="499"/>
      <c r="MTA71" s="499"/>
      <c r="MTB71" s="499"/>
      <c r="MTC71" s="499"/>
      <c r="MTD71" s="499"/>
      <c r="MTE71" s="499"/>
      <c r="MTF71" s="499"/>
      <c r="MTG71" s="499"/>
      <c r="MTH71" s="499"/>
      <c r="MTI71" s="499"/>
      <c r="MTJ71" s="499"/>
      <c r="MTK71" s="499"/>
      <c r="MTL71" s="499"/>
      <c r="MTM71" s="499"/>
      <c r="MTN71" s="499"/>
      <c r="MTO71" s="499"/>
      <c r="MTP71" s="499"/>
      <c r="MTQ71" s="499"/>
      <c r="MTR71" s="499"/>
      <c r="MTS71" s="499"/>
      <c r="MTT71" s="499"/>
      <c r="MTU71" s="499"/>
      <c r="MTV71" s="499"/>
      <c r="MTW71" s="499"/>
      <c r="MTX71" s="499"/>
      <c r="MTY71" s="499"/>
      <c r="MTZ71" s="499"/>
      <c r="MUA71" s="499"/>
      <c r="MUB71" s="499"/>
      <c r="MUC71" s="499"/>
      <c r="MUD71" s="499"/>
      <c r="MUE71" s="499"/>
      <c r="MUF71" s="499"/>
      <c r="MUG71" s="499"/>
      <c r="MUH71" s="499"/>
      <c r="MUI71" s="499"/>
      <c r="MUJ71" s="499"/>
      <c r="MUK71" s="499"/>
      <c r="MUL71" s="499"/>
      <c r="MUM71" s="499"/>
      <c r="MUN71" s="499"/>
      <c r="MUO71" s="499"/>
      <c r="MUP71" s="499"/>
      <c r="MUQ71" s="499"/>
      <c r="MUR71" s="499"/>
      <c r="MUS71" s="499"/>
      <c r="MUT71" s="499"/>
      <c r="MUU71" s="499"/>
      <c r="MUV71" s="499"/>
      <c r="MUW71" s="499"/>
      <c r="MUX71" s="499"/>
      <c r="MUY71" s="499"/>
      <c r="MUZ71" s="499"/>
      <c r="MVA71" s="499"/>
      <c r="MVB71" s="499"/>
      <c r="MVC71" s="499"/>
      <c r="MVD71" s="499"/>
      <c r="MVE71" s="499"/>
      <c r="MVF71" s="499"/>
      <c r="MVG71" s="499"/>
      <c r="MVH71" s="499"/>
      <c r="MVI71" s="499"/>
      <c r="MVJ71" s="499"/>
      <c r="MVK71" s="499"/>
      <c r="MVL71" s="499"/>
      <c r="MVM71" s="499"/>
      <c r="MVN71" s="499"/>
      <c r="MVO71" s="499"/>
      <c r="MVP71" s="499"/>
      <c r="MVQ71" s="499"/>
      <c r="MVR71" s="499"/>
      <c r="MVS71" s="499"/>
      <c r="MVT71" s="499"/>
      <c r="MVU71" s="499"/>
      <c r="MVV71" s="499"/>
      <c r="MVW71" s="499"/>
      <c r="MVX71" s="499"/>
      <c r="MVY71" s="499"/>
      <c r="MVZ71" s="499"/>
      <c r="MWA71" s="499"/>
      <c r="MWB71" s="499"/>
      <c r="MWC71" s="499"/>
      <c r="MWD71" s="499"/>
      <c r="MWE71" s="499"/>
      <c r="MWF71" s="499"/>
      <c r="MWG71" s="499"/>
      <c r="MWH71" s="499"/>
      <c r="MWI71" s="499"/>
      <c r="MWJ71" s="499"/>
      <c r="MWK71" s="499"/>
      <c r="MWL71" s="499"/>
      <c r="MWM71" s="499"/>
      <c r="MWN71" s="499"/>
      <c r="MWO71" s="499"/>
      <c r="MWP71" s="499"/>
      <c r="MWQ71" s="499"/>
      <c r="MWR71" s="499"/>
      <c r="MWS71" s="499"/>
      <c r="MWT71" s="499"/>
      <c r="MWU71" s="499"/>
      <c r="MWV71" s="499"/>
      <c r="MWW71" s="499"/>
      <c r="MWX71" s="499"/>
      <c r="MWY71" s="499"/>
      <c r="MWZ71" s="499"/>
      <c r="MXA71" s="499"/>
      <c r="MXB71" s="499"/>
      <c r="MXC71" s="499"/>
      <c r="MXD71" s="499"/>
      <c r="MXE71" s="499"/>
      <c r="MXF71" s="499"/>
      <c r="MXG71" s="499"/>
      <c r="MXH71" s="499"/>
      <c r="MXI71" s="499"/>
      <c r="MXJ71" s="499"/>
      <c r="MXK71" s="499"/>
      <c r="MXL71" s="499"/>
      <c r="MXM71" s="499"/>
      <c r="MXN71" s="499"/>
      <c r="MXO71" s="499"/>
      <c r="MXP71" s="499"/>
      <c r="MXQ71" s="499"/>
      <c r="MXR71" s="499"/>
      <c r="MXS71" s="499"/>
      <c r="MXT71" s="499"/>
      <c r="MXU71" s="499"/>
      <c r="MXV71" s="499"/>
      <c r="MXW71" s="499"/>
      <c r="MXX71" s="499"/>
      <c r="MXY71" s="499"/>
      <c r="MXZ71" s="499"/>
      <c r="MYA71" s="499"/>
      <c r="MYB71" s="499"/>
      <c r="MYC71" s="499"/>
      <c r="MYD71" s="499"/>
      <c r="MYE71" s="499"/>
      <c r="MYF71" s="499"/>
      <c r="MYG71" s="499"/>
      <c r="MYH71" s="499"/>
      <c r="MYI71" s="499"/>
      <c r="MYJ71" s="499"/>
      <c r="MYK71" s="499"/>
      <c r="MYL71" s="499"/>
      <c r="MYM71" s="499"/>
      <c r="MYN71" s="499"/>
      <c r="MYO71" s="499"/>
      <c r="MYP71" s="499"/>
      <c r="MYQ71" s="499"/>
      <c r="MYR71" s="499"/>
      <c r="MYS71" s="499"/>
      <c r="MYT71" s="499"/>
      <c r="MYU71" s="499"/>
      <c r="MYV71" s="499"/>
      <c r="MYW71" s="499"/>
      <c r="MYX71" s="499"/>
      <c r="MYY71" s="499"/>
      <c r="MYZ71" s="499"/>
      <c r="MZA71" s="499"/>
      <c r="MZB71" s="499"/>
      <c r="MZC71" s="499"/>
      <c r="MZD71" s="499"/>
      <c r="MZE71" s="499"/>
      <c r="MZF71" s="499"/>
      <c r="MZG71" s="499"/>
      <c r="MZH71" s="499"/>
      <c r="MZI71" s="499"/>
      <c r="MZJ71" s="499"/>
      <c r="MZK71" s="499"/>
      <c r="MZL71" s="499"/>
      <c r="MZM71" s="499"/>
      <c r="MZN71" s="499"/>
      <c r="MZO71" s="499"/>
      <c r="MZP71" s="499"/>
      <c r="MZQ71" s="499"/>
      <c r="MZR71" s="499"/>
      <c r="MZS71" s="499"/>
      <c r="MZT71" s="499"/>
      <c r="MZU71" s="499"/>
      <c r="MZV71" s="499"/>
      <c r="MZW71" s="499"/>
      <c r="MZX71" s="499"/>
      <c r="MZY71" s="499"/>
      <c r="MZZ71" s="499"/>
      <c r="NAA71" s="499"/>
      <c r="NAB71" s="499"/>
      <c r="NAC71" s="499"/>
      <c r="NAD71" s="499"/>
      <c r="NAE71" s="499"/>
      <c r="NAF71" s="499"/>
      <c r="NAG71" s="499"/>
      <c r="NAH71" s="499"/>
      <c r="NAI71" s="499"/>
      <c r="NAJ71" s="499"/>
      <c r="NAK71" s="499"/>
      <c r="NAL71" s="499"/>
      <c r="NAM71" s="499"/>
      <c r="NAN71" s="499"/>
      <c r="NAO71" s="499"/>
      <c r="NAP71" s="499"/>
      <c r="NAQ71" s="499"/>
      <c r="NAR71" s="499"/>
      <c r="NAS71" s="499"/>
      <c r="NAT71" s="499"/>
      <c r="NAU71" s="499"/>
      <c r="NAV71" s="499"/>
      <c r="NAW71" s="499"/>
      <c r="NAX71" s="499"/>
      <c r="NAY71" s="499"/>
      <c r="NAZ71" s="499"/>
      <c r="NBA71" s="499"/>
      <c r="NBB71" s="499"/>
      <c r="NBC71" s="499"/>
      <c r="NBD71" s="499"/>
      <c r="NBE71" s="499"/>
      <c r="NBF71" s="499"/>
      <c r="NBG71" s="499"/>
      <c r="NBH71" s="499"/>
      <c r="NBI71" s="499"/>
      <c r="NBJ71" s="499"/>
      <c r="NBK71" s="499"/>
      <c r="NBL71" s="499"/>
      <c r="NBM71" s="499"/>
      <c r="NBN71" s="499"/>
      <c r="NBO71" s="499"/>
      <c r="NBP71" s="499"/>
      <c r="NBQ71" s="499"/>
      <c r="NBR71" s="499"/>
      <c r="NBS71" s="499"/>
      <c r="NBT71" s="499"/>
      <c r="NBU71" s="499"/>
      <c r="NBV71" s="499"/>
      <c r="NBW71" s="499"/>
      <c r="NBX71" s="499"/>
      <c r="NBY71" s="499"/>
      <c r="NBZ71" s="499"/>
      <c r="NCA71" s="499"/>
      <c r="NCB71" s="499"/>
      <c r="NCC71" s="499"/>
      <c r="NCD71" s="499"/>
      <c r="NCE71" s="499"/>
      <c r="NCF71" s="499"/>
      <c r="NCG71" s="499"/>
      <c r="NCH71" s="499"/>
      <c r="NCI71" s="499"/>
      <c r="NCJ71" s="499"/>
      <c r="NCK71" s="499"/>
      <c r="NCL71" s="499"/>
      <c r="NCM71" s="499"/>
      <c r="NCN71" s="499"/>
      <c r="NCO71" s="499"/>
      <c r="NCP71" s="499"/>
      <c r="NCQ71" s="499"/>
      <c r="NCR71" s="499"/>
      <c r="NCS71" s="499"/>
      <c r="NCT71" s="499"/>
      <c r="NCU71" s="499"/>
      <c r="NCV71" s="499"/>
      <c r="NCW71" s="499"/>
      <c r="NCX71" s="499"/>
      <c r="NCY71" s="499"/>
      <c r="NCZ71" s="499"/>
      <c r="NDA71" s="499"/>
      <c r="NDB71" s="499"/>
      <c r="NDC71" s="499"/>
      <c r="NDD71" s="499"/>
      <c r="NDE71" s="499"/>
      <c r="NDF71" s="499"/>
      <c r="NDG71" s="499"/>
      <c r="NDH71" s="499"/>
      <c r="NDI71" s="499"/>
      <c r="NDJ71" s="499"/>
      <c r="NDK71" s="499"/>
      <c r="NDL71" s="499"/>
      <c r="NDM71" s="499"/>
      <c r="NDN71" s="499"/>
      <c r="NDO71" s="499"/>
      <c r="NDP71" s="499"/>
      <c r="NDQ71" s="499"/>
      <c r="NDR71" s="499"/>
      <c r="NDS71" s="499"/>
      <c r="NDT71" s="499"/>
      <c r="NDU71" s="499"/>
      <c r="NDV71" s="499"/>
      <c r="NDW71" s="499"/>
      <c r="NDX71" s="499"/>
      <c r="NDY71" s="499"/>
      <c r="NDZ71" s="499"/>
      <c r="NEA71" s="499"/>
      <c r="NEB71" s="499"/>
      <c r="NEC71" s="499"/>
      <c r="NED71" s="499"/>
      <c r="NEE71" s="499"/>
      <c r="NEF71" s="499"/>
      <c r="NEG71" s="499"/>
      <c r="NEH71" s="499"/>
      <c r="NEI71" s="499"/>
      <c r="NEJ71" s="499"/>
      <c r="NEK71" s="499"/>
      <c r="NEL71" s="499"/>
      <c r="NEM71" s="499"/>
      <c r="NEN71" s="499"/>
      <c r="NEO71" s="499"/>
      <c r="NEP71" s="499"/>
      <c r="NEQ71" s="499"/>
      <c r="NER71" s="499"/>
      <c r="NES71" s="499"/>
      <c r="NET71" s="499"/>
      <c r="NEU71" s="499"/>
      <c r="NEV71" s="499"/>
      <c r="NEW71" s="499"/>
      <c r="NEX71" s="499"/>
      <c r="NEY71" s="499"/>
      <c r="NEZ71" s="499"/>
      <c r="NFA71" s="499"/>
      <c r="NFB71" s="499"/>
      <c r="NFC71" s="499"/>
      <c r="NFD71" s="499"/>
      <c r="NFE71" s="499"/>
      <c r="NFF71" s="499"/>
      <c r="NFG71" s="499"/>
      <c r="NFH71" s="499"/>
      <c r="NFI71" s="499"/>
      <c r="NFJ71" s="499"/>
      <c r="NFK71" s="499"/>
      <c r="NFL71" s="499"/>
      <c r="NFM71" s="499"/>
      <c r="NFN71" s="499"/>
      <c r="NFO71" s="499"/>
      <c r="NFP71" s="499"/>
      <c r="NFQ71" s="499"/>
      <c r="NFR71" s="499"/>
      <c r="NFS71" s="499"/>
      <c r="NFT71" s="499"/>
      <c r="NFU71" s="499"/>
      <c r="NFV71" s="499"/>
      <c r="NFW71" s="499"/>
      <c r="NFX71" s="499"/>
      <c r="NFY71" s="499"/>
      <c r="NFZ71" s="499"/>
      <c r="NGA71" s="499"/>
      <c r="NGB71" s="499"/>
      <c r="NGC71" s="499"/>
      <c r="NGD71" s="499"/>
      <c r="NGE71" s="499"/>
      <c r="NGF71" s="499"/>
      <c r="NGG71" s="499"/>
      <c r="NGH71" s="499"/>
      <c r="NGI71" s="499"/>
      <c r="NGJ71" s="499"/>
      <c r="NGK71" s="499"/>
      <c r="NGL71" s="499"/>
      <c r="NGM71" s="499"/>
      <c r="NGN71" s="499"/>
      <c r="NGO71" s="499"/>
      <c r="NGP71" s="499"/>
      <c r="NGQ71" s="499"/>
      <c r="NGR71" s="499"/>
      <c r="NGS71" s="499"/>
      <c r="NGT71" s="499"/>
      <c r="NGU71" s="499"/>
      <c r="NGV71" s="499"/>
      <c r="NGW71" s="499"/>
      <c r="NGX71" s="499"/>
      <c r="NGY71" s="499"/>
      <c r="NGZ71" s="499"/>
      <c r="NHA71" s="499"/>
      <c r="NHB71" s="499"/>
      <c r="NHC71" s="499"/>
      <c r="NHD71" s="499"/>
      <c r="NHE71" s="499"/>
      <c r="NHF71" s="499"/>
      <c r="NHG71" s="499"/>
      <c r="NHH71" s="499"/>
      <c r="NHI71" s="499"/>
      <c r="NHJ71" s="499"/>
      <c r="NHK71" s="499"/>
      <c r="NHL71" s="499"/>
      <c r="NHM71" s="499"/>
      <c r="NHN71" s="499"/>
      <c r="NHO71" s="499"/>
      <c r="NHP71" s="499"/>
      <c r="NHQ71" s="499"/>
      <c r="NHR71" s="499"/>
      <c r="NHS71" s="499"/>
      <c r="NHT71" s="499"/>
      <c r="NHU71" s="499"/>
      <c r="NHV71" s="499"/>
      <c r="NHW71" s="499"/>
      <c r="NHX71" s="499"/>
      <c r="NHY71" s="499"/>
      <c r="NHZ71" s="499"/>
      <c r="NIA71" s="499"/>
      <c r="NIB71" s="499"/>
      <c r="NIC71" s="499"/>
      <c r="NID71" s="499"/>
      <c r="NIE71" s="499"/>
      <c r="NIF71" s="499"/>
      <c r="NIG71" s="499"/>
      <c r="NIH71" s="499"/>
      <c r="NII71" s="499"/>
      <c r="NIJ71" s="499"/>
      <c r="NIK71" s="499"/>
      <c r="NIL71" s="499"/>
      <c r="NIM71" s="499"/>
      <c r="NIN71" s="499"/>
      <c r="NIO71" s="499"/>
      <c r="NIP71" s="499"/>
      <c r="NIQ71" s="499"/>
      <c r="NIR71" s="499"/>
      <c r="NIS71" s="499"/>
      <c r="NIT71" s="499"/>
      <c r="NIU71" s="499"/>
      <c r="NIV71" s="499"/>
      <c r="NIW71" s="499"/>
      <c r="NIX71" s="499"/>
      <c r="NIY71" s="499"/>
      <c r="NIZ71" s="499"/>
      <c r="NJA71" s="499"/>
      <c r="NJB71" s="499"/>
      <c r="NJC71" s="499"/>
      <c r="NJD71" s="499"/>
      <c r="NJE71" s="499"/>
      <c r="NJF71" s="499"/>
      <c r="NJG71" s="499"/>
      <c r="NJH71" s="499"/>
      <c r="NJI71" s="499"/>
      <c r="NJJ71" s="499"/>
      <c r="NJK71" s="499"/>
      <c r="NJL71" s="499"/>
      <c r="NJM71" s="499"/>
      <c r="NJN71" s="499"/>
      <c r="NJO71" s="499"/>
      <c r="NJP71" s="499"/>
      <c r="NJQ71" s="499"/>
      <c r="NJR71" s="499"/>
      <c r="NJS71" s="499"/>
      <c r="NJT71" s="499"/>
      <c r="NJU71" s="499"/>
      <c r="NJV71" s="499"/>
      <c r="NJW71" s="499"/>
      <c r="NJX71" s="499"/>
      <c r="NJY71" s="499"/>
      <c r="NJZ71" s="499"/>
      <c r="NKA71" s="499"/>
      <c r="NKB71" s="499"/>
      <c r="NKC71" s="499"/>
      <c r="NKD71" s="499"/>
      <c r="NKE71" s="499"/>
      <c r="NKF71" s="499"/>
      <c r="NKG71" s="499"/>
      <c r="NKH71" s="499"/>
      <c r="NKI71" s="499"/>
      <c r="NKJ71" s="499"/>
      <c r="NKK71" s="499"/>
      <c r="NKL71" s="499"/>
      <c r="NKM71" s="499"/>
      <c r="NKN71" s="499"/>
      <c r="NKO71" s="499"/>
      <c r="NKP71" s="499"/>
      <c r="NKQ71" s="499"/>
      <c r="NKR71" s="499"/>
      <c r="NKS71" s="499"/>
      <c r="NKT71" s="499"/>
      <c r="NKU71" s="499"/>
      <c r="NKV71" s="499"/>
      <c r="NKW71" s="499"/>
      <c r="NKX71" s="499"/>
      <c r="NKY71" s="499"/>
      <c r="NKZ71" s="499"/>
      <c r="NLA71" s="499"/>
      <c r="NLB71" s="499"/>
      <c r="NLC71" s="499"/>
      <c r="NLD71" s="499"/>
      <c r="NLE71" s="499"/>
      <c r="NLF71" s="499"/>
      <c r="NLG71" s="499"/>
      <c r="NLH71" s="499"/>
      <c r="NLI71" s="499"/>
      <c r="NLJ71" s="499"/>
      <c r="NLK71" s="499"/>
      <c r="NLL71" s="499"/>
      <c r="NLM71" s="499"/>
      <c r="NLN71" s="499"/>
      <c r="NLO71" s="499"/>
      <c r="NLP71" s="499"/>
      <c r="NLQ71" s="499"/>
      <c r="NLR71" s="499"/>
      <c r="NLS71" s="499"/>
      <c r="NLT71" s="499"/>
      <c r="NLU71" s="499"/>
      <c r="NLV71" s="499"/>
      <c r="NLW71" s="499"/>
      <c r="NLX71" s="499"/>
      <c r="NLY71" s="499"/>
      <c r="NLZ71" s="499"/>
      <c r="NMA71" s="499"/>
      <c r="NMB71" s="499"/>
      <c r="NMC71" s="499"/>
      <c r="NMD71" s="499"/>
      <c r="NME71" s="499"/>
      <c r="NMF71" s="499"/>
      <c r="NMG71" s="499"/>
      <c r="NMH71" s="499"/>
      <c r="NMI71" s="499"/>
      <c r="NMJ71" s="499"/>
      <c r="NMK71" s="499"/>
      <c r="NML71" s="499"/>
      <c r="NMM71" s="499"/>
      <c r="NMN71" s="499"/>
      <c r="NMO71" s="499"/>
      <c r="NMP71" s="499"/>
      <c r="NMQ71" s="499"/>
      <c r="NMR71" s="499"/>
      <c r="NMS71" s="499"/>
      <c r="NMT71" s="499"/>
      <c r="NMU71" s="499"/>
      <c r="NMV71" s="499"/>
      <c r="NMW71" s="499"/>
      <c r="NMX71" s="499"/>
      <c r="NMY71" s="499"/>
      <c r="NMZ71" s="499"/>
      <c r="NNA71" s="499"/>
      <c r="NNB71" s="499"/>
      <c r="NNC71" s="499"/>
      <c r="NND71" s="499"/>
      <c r="NNE71" s="499"/>
      <c r="NNF71" s="499"/>
      <c r="NNG71" s="499"/>
      <c r="NNH71" s="499"/>
      <c r="NNI71" s="499"/>
      <c r="NNJ71" s="499"/>
      <c r="NNK71" s="499"/>
      <c r="NNL71" s="499"/>
      <c r="NNM71" s="499"/>
      <c r="NNN71" s="499"/>
      <c r="NNO71" s="499"/>
      <c r="NNP71" s="499"/>
      <c r="NNQ71" s="499"/>
      <c r="NNR71" s="499"/>
      <c r="NNS71" s="499"/>
      <c r="NNT71" s="499"/>
      <c r="NNU71" s="499"/>
      <c r="NNV71" s="499"/>
      <c r="NNW71" s="499"/>
      <c r="NNX71" s="499"/>
      <c r="NNY71" s="499"/>
      <c r="NNZ71" s="499"/>
      <c r="NOA71" s="499"/>
      <c r="NOB71" s="499"/>
      <c r="NOC71" s="499"/>
      <c r="NOD71" s="499"/>
      <c r="NOE71" s="499"/>
      <c r="NOF71" s="499"/>
      <c r="NOG71" s="499"/>
      <c r="NOH71" s="499"/>
      <c r="NOI71" s="499"/>
      <c r="NOJ71" s="499"/>
      <c r="NOK71" s="499"/>
      <c r="NOL71" s="499"/>
      <c r="NOM71" s="499"/>
      <c r="NON71" s="499"/>
      <c r="NOO71" s="499"/>
      <c r="NOP71" s="499"/>
      <c r="NOQ71" s="499"/>
      <c r="NOR71" s="499"/>
      <c r="NOS71" s="499"/>
      <c r="NOT71" s="499"/>
      <c r="NOU71" s="499"/>
      <c r="NOV71" s="499"/>
      <c r="NOW71" s="499"/>
      <c r="NOX71" s="499"/>
      <c r="NOY71" s="499"/>
      <c r="NOZ71" s="499"/>
      <c r="NPA71" s="499"/>
      <c r="NPB71" s="499"/>
      <c r="NPC71" s="499"/>
      <c r="NPD71" s="499"/>
      <c r="NPE71" s="499"/>
      <c r="NPF71" s="499"/>
      <c r="NPG71" s="499"/>
      <c r="NPH71" s="499"/>
      <c r="NPI71" s="499"/>
      <c r="NPJ71" s="499"/>
      <c r="NPK71" s="499"/>
      <c r="NPL71" s="499"/>
      <c r="NPM71" s="499"/>
      <c r="NPN71" s="499"/>
      <c r="NPO71" s="499"/>
      <c r="NPP71" s="499"/>
      <c r="NPQ71" s="499"/>
      <c r="NPR71" s="499"/>
      <c r="NPS71" s="499"/>
      <c r="NPT71" s="499"/>
      <c r="NPU71" s="499"/>
      <c r="NPV71" s="499"/>
      <c r="NPW71" s="499"/>
      <c r="NPX71" s="499"/>
      <c r="NPY71" s="499"/>
      <c r="NPZ71" s="499"/>
      <c r="NQA71" s="499"/>
      <c r="NQB71" s="499"/>
      <c r="NQC71" s="499"/>
      <c r="NQD71" s="499"/>
      <c r="NQE71" s="499"/>
      <c r="NQF71" s="499"/>
      <c r="NQG71" s="499"/>
      <c r="NQH71" s="499"/>
      <c r="NQI71" s="499"/>
      <c r="NQJ71" s="499"/>
      <c r="NQK71" s="499"/>
      <c r="NQL71" s="499"/>
      <c r="NQM71" s="499"/>
      <c r="NQN71" s="499"/>
      <c r="NQO71" s="499"/>
      <c r="NQP71" s="499"/>
      <c r="NQQ71" s="499"/>
      <c r="NQR71" s="499"/>
      <c r="NQS71" s="499"/>
      <c r="NQT71" s="499"/>
      <c r="NQU71" s="499"/>
      <c r="NQV71" s="499"/>
      <c r="NQW71" s="499"/>
      <c r="NQX71" s="499"/>
      <c r="NQY71" s="499"/>
      <c r="NQZ71" s="499"/>
      <c r="NRA71" s="499"/>
      <c r="NRB71" s="499"/>
      <c r="NRC71" s="499"/>
      <c r="NRD71" s="499"/>
      <c r="NRE71" s="499"/>
      <c r="NRF71" s="499"/>
      <c r="NRG71" s="499"/>
      <c r="NRH71" s="499"/>
      <c r="NRI71" s="499"/>
      <c r="NRJ71" s="499"/>
      <c r="NRK71" s="499"/>
      <c r="NRL71" s="499"/>
      <c r="NRM71" s="499"/>
      <c r="NRN71" s="499"/>
      <c r="NRO71" s="499"/>
      <c r="NRP71" s="499"/>
      <c r="NRQ71" s="499"/>
      <c r="NRR71" s="499"/>
      <c r="NRS71" s="499"/>
      <c r="NRT71" s="499"/>
      <c r="NRU71" s="499"/>
      <c r="NRV71" s="499"/>
      <c r="NRW71" s="499"/>
      <c r="NRX71" s="499"/>
      <c r="NRY71" s="499"/>
      <c r="NRZ71" s="499"/>
      <c r="NSA71" s="499"/>
      <c r="NSB71" s="499"/>
      <c r="NSC71" s="499"/>
      <c r="NSD71" s="499"/>
      <c r="NSE71" s="499"/>
      <c r="NSF71" s="499"/>
      <c r="NSG71" s="499"/>
      <c r="NSH71" s="499"/>
      <c r="NSI71" s="499"/>
      <c r="NSJ71" s="499"/>
      <c r="NSK71" s="499"/>
      <c r="NSL71" s="499"/>
      <c r="NSM71" s="499"/>
      <c r="NSN71" s="499"/>
      <c r="NSO71" s="499"/>
      <c r="NSP71" s="499"/>
      <c r="NSQ71" s="499"/>
      <c r="NSR71" s="499"/>
      <c r="NSS71" s="499"/>
      <c r="NST71" s="499"/>
      <c r="NSU71" s="499"/>
      <c r="NSV71" s="499"/>
      <c r="NSW71" s="499"/>
      <c r="NSX71" s="499"/>
      <c r="NSY71" s="499"/>
      <c r="NSZ71" s="499"/>
      <c r="NTA71" s="499"/>
      <c r="NTB71" s="499"/>
      <c r="NTC71" s="499"/>
      <c r="NTD71" s="499"/>
      <c r="NTE71" s="499"/>
      <c r="NTF71" s="499"/>
      <c r="NTG71" s="499"/>
      <c r="NTH71" s="499"/>
      <c r="NTI71" s="499"/>
      <c r="NTJ71" s="499"/>
      <c r="NTK71" s="499"/>
      <c r="NTL71" s="499"/>
      <c r="NTM71" s="499"/>
      <c r="NTN71" s="499"/>
      <c r="NTO71" s="499"/>
      <c r="NTP71" s="499"/>
      <c r="NTQ71" s="499"/>
      <c r="NTR71" s="499"/>
      <c r="NTS71" s="499"/>
      <c r="NTT71" s="499"/>
      <c r="NTU71" s="499"/>
      <c r="NTV71" s="499"/>
      <c r="NTW71" s="499"/>
      <c r="NTX71" s="499"/>
      <c r="NTY71" s="499"/>
      <c r="NTZ71" s="499"/>
      <c r="NUA71" s="499"/>
      <c r="NUB71" s="499"/>
      <c r="NUC71" s="499"/>
      <c r="NUD71" s="499"/>
      <c r="NUE71" s="499"/>
      <c r="NUF71" s="499"/>
      <c r="NUG71" s="499"/>
      <c r="NUH71" s="499"/>
      <c r="NUI71" s="499"/>
      <c r="NUJ71" s="499"/>
      <c r="NUK71" s="499"/>
      <c r="NUL71" s="499"/>
      <c r="NUM71" s="499"/>
      <c r="NUN71" s="499"/>
      <c r="NUO71" s="499"/>
      <c r="NUP71" s="499"/>
      <c r="NUQ71" s="499"/>
      <c r="NUR71" s="499"/>
      <c r="NUS71" s="499"/>
      <c r="NUT71" s="499"/>
      <c r="NUU71" s="499"/>
      <c r="NUV71" s="499"/>
      <c r="NUW71" s="499"/>
      <c r="NUX71" s="499"/>
      <c r="NUY71" s="499"/>
      <c r="NUZ71" s="499"/>
      <c r="NVA71" s="499"/>
      <c r="NVB71" s="499"/>
      <c r="NVC71" s="499"/>
      <c r="NVD71" s="499"/>
      <c r="NVE71" s="499"/>
      <c r="NVF71" s="499"/>
      <c r="NVG71" s="499"/>
      <c r="NVH71" s="499"/>
      <c r="NVI71" s="499"/>
      <c r="NVJ71" s="499"/>
      <c r="NVK71" s="499"/>
      <c r="NVL71" s="499"/>
      <c r="NVM71" s="499"/>
      <c r="NVN71" s="499"/>
      <c r="NVO71" s="499"/>
      <c r="NVP71" s="499"/>
      <c r="NVQ71" s="499"/>
      <c r="NVR71" s="499"/>
      <c r="NVS71" s="499"/>
      <c r="NVT71" s="499"/>
      <c r="NVU71" s="499"/>
      <c r="NVV71" s="499"/>
      <c r="NVW71" s="499"/>
      <c r="NVX71" s="499"/>
      <c r="NVY71" s="499"/>
      <c r="NVZ71" s="499"/>
      <c r="NWA71" s="499"/>
      <c r="NWB71" s="499"/>
      <c r="NWC71" s="499"/>
      <c r="NWD71" s="499"/>
      <c r="NWE71" s="499"/>
      <c r="NWF71" s="499"/>
      <c r="NWG71" s="499"/>
      <c r="NWH71" s="499"/>
      <c r="NWI71" s="499"/>
      <c r="NWJ71" s="499"/>
      <c r="NWK71" s="499"/>
      <c r="NWL71" s="499"/>
      <c r="NWM71" s="499"/>
      <c r="NWN71" s="499"/>
      <c r="NWO71" s="499"/>
      <c r="NWP71" s="499"/>
      <c r="NWQ71" s="499"/>
      <c r="NWR71" s="499"/>
      <c r="NWS71" s="499"/>
      <c r="NWT71" s="499"/>
      <c r="NWU71" s="499"/>
      <c r="NWV71" s="499"/>
      <c r="NWW71" s="499"/>
      <c r="NWX71" s="499"/>
      <c r="NWY71" s="499"/>
      <c r="NWZ71" s="499"/>
      <c r="NXA71" s="499"/>
      <c r="NXB71" s="499"/>
      <c r="NXC71" s="499"/>
      <c r="NXD71" s="499"/>
      <c r="NXE71" s="499"/>
      <c r="NXF71" s="499"/>
      <c r="NXG71" s="499"/>
      <c r="NXH71" s="499"/>
      <c r="NXI71" s="499"/>
      <c r="NXJ71" s="499"/>
      <c r="NXK71" s="499"/>
      <c r="NXL71" s="499"/>
      <c r="NXM71" s="499"/>
      <c r="NXN71" s="499"/>
      <c r="NXO71" s="499"/>
      <c r="NXP71" s="499"/>
      <c r="NXQ71" s="499"/>
      <c r="NXR71" s="499"/>
      <c r="NXS71" s="499"/>
      <c r="NXT71" s="499"/>
      <c r="NXU71" s="499"/>
      <c r="NXV71" s="499"/>
      <c r="NXW71" s="499"/>
      <c r="NXX71" s="499"/>
      <c r="NXY71" s="499"/>
      <c r="NXZ71" s="499"/>
      <c r="NYA71" s="499"/>
      <c r="NYB71" s="499"/>
      <c r="NYC71" s="499"/>
      <c r="NYD71" s="499"/>
      <c r="NYE71" s="499"/>
      <c r="NYF71" s="499"/>
      <c r="NYG71" s="499"/>
      <c r="NYH71" s="499"/>
      <c r="NYI71" s="499"/>
      <c r="NYJ71" s="499"/>
      <c r="NYK71" s="499"/>
      <c r="NYL71" s="499"/>
      <c r="NYM71" s="499"/>
      <c r="NYN71" s="499"/>
      <c r="NYO71" s="499"/>
      <c r="NYP71" s="499"/>
      <c r="NYQ71" s="499"/>
      <c r="NYR71" s="499"/>
      <c r="NYS71" s="499"/>
      <c r="NYT71" s="499"/>
      <c r="NYU71" s="499"/>
      <c r="NYV71" s="499"/>
      <c r="NYW71" s="499"/>
      <c r="NYX71" s="499"/>
      <c r="NYY71" s="499"/>
      <c r="NYZ71" s="499"/>
      <c r="NZA71" s="499"/>
      <c r="NZB71" s="499"/>
      <c r="NZC71" s="499"/>
      <c r="NZD71" s="499"/>
      <c r="NZE71" s="499"/>
      <c r="NZF71" s="499"/>
      <c r="NZG71" s="499"/>
      <c r="NZH71" s="499"/>
      <c r="NZI71" s="499"/>
      <c r="NZJ71" s="499"/>
      <c r="NZK71" s="499"/>
      <c r="NZL71" s="499"/>
      <c r="NZM71" s="499"/>
      <c r="NZN71" s="499"/>
      <c r="NZO71" s="499"/>
      <c r="NZP71" s="499"/>
      <c r="NZQ71" s="499"/>
      <c r="NZR71" s="499"/>
      <c r="NZS71" s="499"/>
      <c r="NZT71" s="499"/>
      <c r="NZU71" s="499"/>
      <c r="NZV71" s="499"/>
      <c r="NZW71" s="499"/>
      <c r="NZX71" s="499"/>
      <c r="NZY71" s="499"/>
      <c r="NZZ71" s="499"/>
      <c r="OAA71" s="499"/>
      <c r="OAB71" s="499"/>
      <c r="OAC71" s="499"/>
      <c r="OAD71" s="499"/>
      <c r="OAE71" s="499"/>
      <c r="OAF71" s="499"/>
      <c r="OAG71" s="499"/>
      <c r="OAH71" s="499"/>
      <c r="OAI71" s="499"/>
      <c r="OAJ71" s="499"/>
      <c r="OAK71" s="499"/>
      <c r="OAL71" s="499"/>
      <c r="OAM71" s="499"/>
      <c r="OAN71" s="499"/>
      <c r="OAO71" s="499"/>
      <c r="OAP71" s="499"/>
      <c r="OAQ71" s="499"/>
      <c r="OAR71" s="499"/>
      <c r="OAS71" s="499"/>
      <c r="OAT71" s="499"/>
      <c r="OAU71" s="499"/>
      <c r="OAV71" s="499"/>
      <c r="OAW71" s="499"/>
      <c r="OAX71" s="499"/>
      <c r="OAY71" s="499"/>
      <c r="OAZ71" s="499"/>
      <c r="OBA71" s="499"/>
      <c r="OBB71" s="499"/>
      <c r="OBC71" s="499"/>
      <c r="OBD71" s="499"/>
      <c r="OBE71" s="499"/>
      <c r="OBF71" s="499"/>
      <c r="OBG71" s="499"/>
      <c r="OBH71" s="499"/>
      <c r="OBI71" s="499"/>
      <c r="OBJ71" s="499"/>
      <c r="OBK71" s="499"/>
      <c r="OBL71" s="499"/>
      <c r="OBM71" s="499"/>
      <c r="OBN71" s="499"/>
      <c r="OBO71" s="499"/>
      <c r="OBP71" s="499"/>
      <c r="OBQ71" s="499"/>
      <c r="OBR71" s="499"/>
      <c r="OBS71" s="499"/>
      <c r="OBT71" s="499"/>
      <c r="OBU71" s="499"/>
      <c r="OBV71" s="499"/>
      <c r="OBW71" s="499"/>
      <c r="OBX71" s="499"/>
      <c r="OBY71" s="499"/>
      <c r="OBZ71" s="499"/>
      <c r="OCA71" s="499"/>
      <c r="OCB71" s="499"/>
      <c r="OCC71" s="499"/>
      <c r="OCD71" s="499"/>
      <c r="OCE71" s="499"/>
      <c r="OCF71" s="499"/>
      <c r="OCG71" s="499"/>
      <c r="OCH71" s="499"/>
      <c r="OCI71" s="499"/>
      <c r="OCJ71" s="499"/>
      <c r="OCK71" s="499"/>
      <c r="OCL71" s="499"/>
      <c r="OCM71" s="499"/>
      <c r="OCN71" s="499"/>
      <c r="OCO71" s="499"/>
      <c r="OCP71" s="499"/>
      <c r="OCQ71" s="499"/>
      <c r="OCR71" s="499"/>
      <c r="OCS71" s="499"/>
      <c r="OCT71" s="499"/>
      <c r="OCU71" s="499"/>
      <c r="OCV71" s="499"/>
      <c r="OCW71" s="499"/>
      <c r="OCX71" s="499"/>
      <c r="OCY71" s="499"/>
      <c r="OCZ71" s="499"/>
      <c r="ODA71" s="499"/>
      <c r="ODB71" s="499"/>
      <c r="ODC71" s="499"/>
      <c r="ODD71" s="499"/>
      <c r="ODE71" s="499"/>
      <c r="ODF71" s="499"/>
      <c r="ODG71" s="499"/>
      <c r="ODH71" s="499"/>
      <c r="ODI71" s="499"/>
      <c r="ODJ71" s="499"/>
      <c r="ODK71" s="499"/>
      <c r="ODL71" s="499"/>
      <c r="ODM71" s="499"/>
      <c r="ODN71" s="499"/>
      <c r="ODO71" s="499"/>
      <c r="ODP71" s="499"/>
      <c r="ODQ71" s="499"/>
      <c r="ODR71" s="499"/>
      <c r="ODS71" s="499"/>
      <c r="ODT71" s="499"/>
      <c r="ODU71" s="499"/>
      <c r="ODV71" s="499"/>
      <c r="ODW71" s="499"/>
      <c r="ODX71" s="499"/>
      <c r="ODY71" s="499"/>
      <c r="ODZ71" s="499"/>
      <c r="OEA71" s="499"/>
      <c r="OEB71" s="499"/>
      <c r="OEC71" s="499"/>
      <c r="OED71" s="499"/>
      <c r="OEE71" s="499"/>
      <c r="OEF71" s="499"/>
      <c r="OEG71" s="499"/>
      <c r="OEH71" s="499"/>
      <c r="OEI71" s="499"/>
      <c r="OEJ71" s="499"/>
      <c r="OEK71" s="499"/>
      <c r="OEL71" s="499"/>
      <c r="OEM71" s="499"/>
      <c r="OEN71" s="499"/>
      <c r="OEO71" s="499"/>
      <c r="OEP71" s="499"/>
      <c r="OEQ71" s="499"/>
      <c r="OER71" s="499"/>
      <c r="OES71" s="499"/>
      <c r="OET71" s="499"/>
      <c r="OEU71" s="499"/>
      <c r="OEV71" s="499"/>
      <c r="OEW71" s="499"/>
      <c r="OEX71" s="499"/>
      <c r="OEY71" s="499"/>
      <c r="OEZ71" s="499"/>
      <c r="OFA71" s="499"/>
      <c r="OFB71" s="499"/>
      <c r="OFC71" s="499"/>
      <c r="OFD71" s="499"/>
      <c r="OFE71" s="499"/>
      <c r="OFF71" s="499"/>
      <c r="OFG71" s="499"/>
      <c r="OFH71" s="499"/>
      <c r="OFI71" s="499"/>
      <c r="OFJ71" s="499"/>
      <c r="OFK71" s="499"/>
      <c r="OFL71" s="499"/>
      <c r="OFM71" s="499"/>
      <c r="OFN71" s="499"/>
      <c r="OFO71" s="499"/>
      <c r="OFP71" s="499"/>
      <c r="OFQ71" s="499"/>
      <c r="OFR71" s="499"/>
      <c r="OFS71" s="499"/>
      <c r="OFT71" s="499"/>
      <c r="OFU71" s="499"/>
      <c r="OFV71" s="499"/>
      <c r="OFW71" s="499"/>
      <c r="OFX71" s="499"/>
      <c r="OFY71" s="499"/>
      <c r="OFZ71" s="499"/>
      <c r="OGA71" s="499"/>
      <c r="OGB71" s="499"/>
      <c r="OGC71" s="499"/>
      <c r="OGD71" s="499"/>
      <c r="OGE71" s="499"/>
      <c r="OGF71" s="499"/>
      <c r="OGG71" s="499"/>
      <c r="OGH71" s="499"/>
      <c r="OGI71" s="499"/>
      <c r="OGJ71" s="499"/>
      <c r="OGK71" s="499"/>
      <c r="OGL71" s="499"/>
      <c r="OGM71" s="499"/>
      <c r="OGN71" s="499"/>
      <c r="OGO71" s="499"/>
      <c r="OGP71" s="499"/>
      <c r="OGQ71" s="499"/>
      <c r="OGR71" s="499"/>
      <c r="OGS71" s="499"/>
      <c r="OGT71" s="499"/>
      <c r="OGU71" s="499"/>
      <c r="OGV71" s="499"/>
      <c r="OGW71" s="499"/>
      <c r="OGX71" s="499"/>
      <c r="OGY71" s="499"/>
      <c r="OGZ71" s="499"/>
      <c r="OHA71" s="499"/>
      <c r="OHB71" s="499"/>
      <c r="OHC71" s="499"/>
      <c r="OHD71" s="499"/>
      <c r="OHE71" s="499"/>
      <c r="OHF71" s="499"/>
      <c r="OHG71" s="499"/>
      <c r="OHH71" s="499"/>
      <c r="OHI71" s="499"/>
      <c r="OHJ71" s="499"/>
      <c r="OHK71" s="499"/>
      <c r="OHL71" s="499"/>
      <c r="OHM71" s="499"/>
      <c r="OHN71" s="499"/>
      <c r="OHO71" s="499"/>
      <c r="OHP71" s="499"/>
      <c r="OHQ71" s="499"/>
      <c r="OHR71" s="499"/>
      <c r="OHS71" s="499"/>
      <c r="OHT71" s="499"/>
      <c r="OHU71" s="499"/>
      <c r="OHV71" s="499"/>
      <c r="OHW71" s="499"/>
      <c r="OHX71" s="499"/>
      <c r="OHY71" s="499"/>
      <c r="OHZ71" s="499"/>
      <c r="OIA71" s="499"/>
      <c r="OIB71" s="499"/>
      <c r="OIC71" s="499"/>
      <c r="OID71" s="499"/>
      <c r="OIE71" s="499"/>
      <c r="OIF71" s="499"/>
      <c r="OIG71" s="499"/>
      <c r="OIH71" s="499"/>
      <c r="OII71" s="499"/>
      <c r="OIJ71" s="499"/>
      <c r="OIK71" s="499"/>
      <c r="OIL71" s="499"/>
      <c r="OIM71" s="499"/>
      <c r="OIN71" s="499"/>
      <c r="OIO71" s="499"/>
      <c r="OIP71" s="499"/>
      <c r="OIQ71" s="499"/>
      <c r="OIR71" s="499"/>
      <c r="OIS71" s="499"/>
      <c r="OIT71" s="499"/>
      <c r="OIU71" s="499"/>
      <c r="OIV71" s="499"/>
      <c r="OIW71" s="499"/>
      <c r="OIX71" s="499"/>
      <c r="OIY71" s="499"/>
      <c r="OIZ71" s="499"/>
      <c r="OJA71" s="499"/>
      <c r="OJB71" s="499"/>
      <c r="OJC71" s="499"/>
      <c r="OJD71" s="499"/>
      <c r="OJE71" s="499"/>
      <c r="OJF71" s="499"/>
      <c r="OJG71" s="499"/>
      <c r="OJH71" s="499"/>
      <c r="OJI71" s="499"/>
      <c r="OJJ71" s="499"/>
      <c r="OJK71" s="499"/>
      <c r="OJL71" s="499"/>
      <c r="OJM71" s="499"/>
      <c r="OJN71" s="499"/>
      <c r="OJO71" s="499"/>
      <c r="OJP71" s="499"/>
      <c r="OJQ71" s="499"/>
      <c r="OJR71" s="499"/>
      <c r="OJS71" s="499"/>
      <c r="OJT71" s="499"/>
      <c r="OJU71" s="499"/>
      <c r="OJV71" s="499"/>
      <c r="OJW71" s="499"/>
      <c r="OJX71" s="499"/>
      <c r="OJY71" s="499"/>
      <c r="OJZ71" s="499"/>
      <c r="OKA71" s="499"/>
      <c r="OKB71" s="499"/>
      <c r="OKC71" s="499"/>
      <c r="OKD71" s="499"/>
      <c r="OKE71" s="499"/>
      <c r="OKF71" s="499"/>
      <c r="OKG71" s="499"/>
      <c r="OKH71" s="499"/>
      <c r="OKI71" s="499"/>
      <c r="OKJ71" s="499"/>
      <c r="OKK71" s="499"/>
      <c r="OKL71" s="499"/>
      <c r="OKM71" s="499"/>
      <c r="OKN71" s="499"/>
      <c r="OKO71" s="499"/>
      <c r="OKP71" s="499"/>
      <c r="OKQ71" s="499"/>
      <c r="OKR71" s="499"/>
      <c r="OKS71" s="499"/>
      <c r="OKT71" s="499"/>
      <c r="OKU71" s="499"/>
      <c r="OKV71" s="499"/>
      <c r="OKW71" s="499"/>
      <c r="OKX71" s="499"/>
      <c r="OKY71" s="499"/>
      <c r="OKZ71" s="499"/>
      <c r="OLA71" s="499"/>
      <c r="OLB71" s="499"/>
      <c r="OLC71" s="499"/>
      <c r="OLD71" s="499"/>
      <c r="OLE71" s="499"/>
      <c r="OLF71" s="499"/>
      <c r="OLG71" s="499"/>
      <c r="OLH71" s="499"/>
      <c r="OLI71" s="499"/>
      <c r="OLJ71" s="499"/>
      <c r="OLK71" s="499"/>
      <c r="OLL71" s="499"/>
      <c r="OLM71" s="499"/>
      <c r="OLN71" s="499"/>
      <c r="OLO71" s="499"/>
      <c r="OLP71" s="499"/>
      <c r="OLQ71" s="499"/>
      <c r="OLR71" s="499"/>
      <c r="OLS71" s="499"/>
      <c r="OLT71" s="499"/>
      <c r="OLU71" s="499"/>
      <c r="OLV71" s="499"/>
      <c r="OLW71" s="499"/>
      <c r="OLX71" s="499"/>
      <c r="OLY71" s="499"/>
      <c r="OLZ71" s="499"/>
      <c r="OMA71" s="499"/>
      <c r="OMB71" s="499"/>
      <c r="OMC71" s="499"/>
      <c r="OMD71" s="499"/>
      <c r="OME71" s="499"/>
      <c r="OMF71" s="499"/>
      <c r="OMG71" s="499"/>
      <c r="OMH71" s="499"/>
      <c r="OMI71" s="499"/>
      <c r="OMJ71" s="499"/>
      <c r="OMK71" s="499"/>
      <c r="OML71" s="499"/>
      <c r="OMM71" s="499"/>
      <c r="OMN71" s="499"/>
      <c r="OMO71" s="499"/>
      <c r="OMP71" s="499"/>
      <c r="OMQ71" s="499"/>
      <c r="OMR71" s="499"/>
      <c r="OMS71" s="499"/>
      <c r="OMT71" s="499"/>
      <c r="OMU71" s="499"/>
      <c r="OMV71" s="499"/>
      <c r="OMW71" s="499"/>
      <c r="OMX71" s="499"/>
      <c r="OMY71" s="499"/>
      <c r="OMZ71" s="499"/>
      <c r="ONA71" s="499"/>
      <c r="ONB71" s="499"/>
      <c r="ONC71" s="499"/>
      <c r="OND71" s="499"/>
      <c r="ONE71" s="499"/>
      <c r="ONF71" s="499"/>
      <c r="ONG71" s="499"/>
      <c r="ONH71" s="499"/>
      <c r="ONI71" s="499"/>
      <c r="ONJ71" s="499"/>
      <c r="ONK71" s="499"/>
      <c r="ONL71" s="499"/>
      <c r="ONM71" s="499"/>
      <c r="ONN71" s="499"/>
      <c r="ONO71" s="499"/>
      <c r="ONP71" s="499"/>
      <c r="ONQ71" s="499"/>
      <c r="ONR71" s="499"/>
      <c r="ONS71" s="499"/>
      <c r="ONT71" s="499"/>
      <c r="ONU71" s="499"/>
      <c r="ONV71" s="499"/>
      <c r="ONW71" s="499"/>
      <c r="ONX71" s="499"/>
      <c r="ONY71" s="499"/>
      <c r="ONZ71" s="499"/>
      <c r="OOA71" s="499"/>
      <c r="OOB71" s="499"/>
      <c r="OOC71" s="499"/>
      <c r="OOD71" s="499"/>
      <c r="OOE71" s="499"/>
      <c r="OOF71" s="499"/>
      <c r="OOG71" s="499"/>
      <c r="OOH71" s="499"/>
      <c r="OOI71" s="499"/>
      <c r="OOJ71" s="499"/>
      <c r="OOK71" s="499"/>
      <c r="OOL71" s="499"/>
      <c r="OOM71" s="499"/>
      <c r="OON71" s="499"/>
      <c r="OOO71" s="499"/>
      <c r="OOP71" s="499"/>
      <c r="OOQ71" s="499"/>
      <c r="OOR71" s="499"/>
      <c r="OOS71" s="499"/>
      <c r="OOT71" s="499"/>
      <c r="OOU71" s="499"/>
      <c r="OOV71" s="499"/>
      <c r="OOW71" s="499"/>
      <c r="OOX71" s="499"/>
      <c r="OOY71" s="499"/>
      <c r="OOZ71" s="499"/>
      <c r="OPA71" s="499"/>
      <c r="OPB71" s="499"/>
      <c r="OPC71" s="499"/>
      <c r="OPD71" s="499"/>
      <c r="OPE71" s="499"/>
      <c r="OPF71" s="499"/>
      <c r="OPG71" s="499"/>
      <c r="OPH71" s="499"/>
      <c r="OPI71" s="499"/>
      <c r="OPJ71" s="499"/>
      <c r="OPK71" s="499"/>
      <c r="OPL71" s="499"/>
      <c r="OPM71" s="499"/>
      <c r="OPN71" s="499"/>
      <c r="OPO71" s="499"/>
      <c r="OPP71" s="499"/>
      <c r="OPQ71" s="499"/>
      <c r="OPR71" s="499"/>
      <c r="OPS71" s="499"/>
      <c r="OPT71" s="499"/>
      <c r="OPU71" s="499"/>
      <c r="OPV71" s="499"/>
      <c r="OPW71" s="499"/>
      <c r="OPX71" s="499"/>
      <c r="OPY71" s="499"/>
      <c r="OPZ71" s="499"/>
      <c r="OQA71" s="499"/>
      <c r="OQB71" s="499"/>
      <c r="OQC71" s="499"/>
      <c r="OQD71" s="499"/>
      <c r="OQE71" s="499"/>
      <c r="OQF71" s="499"/>
      <c r="OQG71" s="499"/>
      <c r="OQH71" s="499"/>
      <c r="OQI71" s="499"/>
      <c r="OQJ71" s="499"/>
      <c r="OQK71" s="499"/>
      <c r="OQL71" s="499"/>
      <c r="OQM71" s="499"/>
      <c r="OQN71" s="499"/>
      <c r="OQO71" s="499"/>
      <c r="OQP71" s="499"/>
      <c r="OQQ71" s="499"/>
      <c r="OQR71" s="499"/>
      <c r="OQS71" s="499"/>
      <c r="OQT71" s="499"/>
      <c r="OQU71" s="499"/>
      <c r="OQV71" s="499"/>
      <c r="OQW71" s="499"/>
      <c r="OQX71" s="499"/>
      <c r="OQY71" s="499"/>
      <c r="OQZ71" s="499"/>
      <c r="ORA71" s="499"/>
      <c r="ORB71" s="499"/>
      <c r="ORC71" s="499"/>
      <c r="ORD71" s="499"/>
      <c r="ORE71" s="499"/>
      <c r="ORF71" s="499"/>
      <c r="ORG71" s="499"/>
      <c r="ORH71" s="499"/>
      <c r="ORI71" s="499"/>
      <c r="ORJ71" s="499"/>
      <c r="ORK71" s="499"/>
      <c r="ORL71" s="499"/>
      <c r="ORM71" s="499"/>
      <c r="ORN71" s="499"/>
      <c r="ORO71" s="499"/>
      <c r="ORP71" s="499"/>
      <c r="ORQ71" s="499"/>
      <c r="ORR71" s="499"/>
      <c r="ORS71" s="499"/>
      <c r="ORT71" s="499"/>
      <c r="ORU71" s="499"/>
      <c r="ORV71" s="499"/>
      <c r="ORW71" s="499"/>
      <c r="ORX71" s="499"/>
      <c r="ORY71" s="499"/>
      <c r="ORZ71" s="499"/>
      <c r="OSA71" s="499"/>
      <c r="OSB71" s="499"/>
      <c r="OSC71" s="499"/>
      <c r="OSD71" s="499"/>
      <c r="OSE71" s="499"/>
      <c r="OSF71" s="499"/>
      <c r="OSG71" s="499"/>
      <c r="OSH71" s="499"/>
      <c r="OSI71" s="499"/>
      <c r="OSJ71" s="499"/>
      <c r="OSK71" s="499"/>
      <c r="OSL71" s="499"/>
      <c r="OSM71" s="499"/>
      <c r="OSN71" s="499"/>
      <c r="OSO71" s="499"/>
      <c r="OSP71" s="499"/>
      <c r="OSQ71" s="499"/>
      <c r="OSR71" s="499"/>
      <c r="OSS71" s="499"/>
      <c r="OST71" s="499"/>
      <c r="OSU71" s="499"/>
      <c r="OSV71" s="499"/>
      <c r="OSW71" s="499"/>
      <c r="OSX71" s="499"/>
      <c r="OSY71" s="499"/>
      <c r="OSZ71" s="499"/>
      <c r="OTA71" s="499"/>
      <c r="OTB71" s="499"/>
      <c r="OTC71" s="499"/>
      <c r="OTD71" s="499"/>
      <c r="OTE71" s="499"/>
      <c r="OTF71" s="499"/>
      <c r="OTG71" s="499"/>
      <c r="OTH71" s="499"/>
      <c r="OTI71" s="499"/>
      <c r="OTJ71" s="499"/>
      <c r="OTK71" s="499"/>
      <c r="OTL71" s="499"/>
      <c r="OTM71" s="499"/>
      <c r="OTN71" s="499"/>
      <c r="OTO71" s="499"/>
      <c r="OTP71" s="499"/>
      <c r="OTQ71" s="499"/>
      <c r="OTR71" s="499"/>
      <c r="OTS71" s="499"/>
      <c r="OTT71" s="499"/>
      <c r="OTU71" s="499"/>
      <c r="OTV71" s="499"/>
      <c r="OTW71" s="499"/>
      <c r="OTX71" s="499"/>
      <c r="OTY71" s="499"/>
      <c r="OTZ71" s="499"/>
      <c r="OUA71" s="499"/>
      <c r="OUB71" s="499"/>
      <c r="OUC71" s="499"/>
      <c r="OUD71" s="499"/>
      <c r="OUE71" s="499"/>
      <c r="OUF71" s="499"/>
      <c r="OUG71" s="499"/>
      <c r="OUH71" s="499"/>
      <c r="OUI71" s="499"/>
      <c r="OUJ71" s="499"/>
      <c r="OUK71" s="499"/>
      <c r="OUL71" s="499"/>
      <c r="OUM71" s="499"/>
      <c r="OUN71" s="499"/>
      <c r="OUO71" s="499"/>
      <c r="OUP71" s="499"/>
      <c r="OUQ71" s="499"/>
      <c r="OUR71" s="499"/>
      <c r="OUS71" s="499"/>
      <c r="OUT71" s="499"/>
      <c r="OUU71" s="499"/>
      <c r="OUV71" s="499"/>
      <c r="OUW71" s="499"/>
      <c r="OUX71" s="499"/>
      <c r="OUY71" s="499"/>
      <c r="OUZ71" s="499"/>
      <c r="OVA71" s="499"/>
      <c r="OVB71" s="499"/>
      <c r="OVC71" s="499"/>
      <c r="OVD71" s="499"/>
      <c r="OVE71" s="499"/>
      <c r="OVF71" s="499"/>
      <c r="OVG71" s="499"/>
      <c r="OVH71" s="499"/>
      <c r="OVI71" s="499"/>
      <c r="OVJ71" s="499"/>
      <c r="OVK71" s="499"/>
      <c r="OVL71" s="499"/>
      <c r="OVM71" s="499"/>
      <c r="OVN71" s="499"/>
      <c r="OVO71" s="499"/>
      <c r="OVP71" s="499"/>
      <c r="OVQ71" s="499"/>
      <c r="OVR71" s="499"/>
      <c r="OVS71" s="499"/>
      <c r="OVT71" s="499"/>
      <c r="OVU71" s="499"/>
      <c r="OVV71" s="499"/>
      <c r="OVW71" s="499"/>
      <c r="OVX71" s="499"/>
      <c r="OVY71" s="499"/>
      <c r="OVZ71" s="499"/>
      <c r="OWA71" s="499"/>
      <c r="OWB71" s="499"/>
      <c r="OWC71" s="499"/>
      <c r="OWD71" s="499"/>
      <c r="OWE71" s="499"/>
      <c r="OWF71" s="499"/>
      <c r="OWG71" s="499"/>
      <c r="OWH71" s="499"/>
      <c r="OWI71" s="499"/>
      <c r="OWJ71" s="499"/>
      <c r="OWK71" s="499"/>
      <c r="OWL71" s="499"/>
      <c r="OWM71" s="499"/>
      <c r="OWN71" s="499"/>
      <c r="OWO71" s="499"/>
      <c r="OWP71" s="499"/>
      <c r="OWQ71" s="499"/>
      <c r="OWR71" s="499"/>
      <c r="OWS71" s="499"/>
      <c r="OWT71" s="499"/>
      <c r="OWU71" s="499"/>
      <c r="OWV71" s="499"/>
      <c r="OWW71" s="499"/>
      <c r="OWX71" s="499"/>
      <c r="OWY71" s="499"/>
      <c r="OWZ71" s="499"/>
      <c r="OXA71" s="499"/>
      <c r="OXB71" s="499"/>
      <c r="OXC71" s="499"/>
      <c r="OXD71" s="499"/>
      <c r="OXE71" s="499"/>
      <c r="OXF71" s="499"/>
      <c r="OXG71" s="499"/>
      <c r="OXH71" s="499"/>
      <c r="OXI71" s="499"/>
      <c r="OXJ71" s="499"/>
      <c r="OXK71" s="499"/>
      <c r="OXL71" s="499"/>
      <c r="OXM71" s="499"/>
      <c r="OXN71" s="499"/>
      <c r="OXO71" s="499"/>
      <c r="OXP71" s="499"/>
      <c r="OXQ71" s="499"/>
      <c r="OXR71" s="499"/>
      <c r="OXS71" s="499"/>
      <c r="OXT71" s="499"/>
      <c r="OXU71" s="499"/>
      <c r="OXV71" s="499"/>
      <c r="OXW71" s="499"/>
      <c r="OXX71" s="499"/>
      <c r="OXY71" s="499"/>
      <c r="OXZ71" s="499"/>
      <c r="OYA71" s="499"/>
      <c r="OYB71" s="499"/>
      <c r="OYC71" s="499"/>
      <c r="OYD71" s="499"/>
      <c r="OYE71" s="499"/>
      <c r="OYF71" s="499"/>
      <c r="OYG71" s="499"/>
      <c r="OYH71" s="499"/>
      <c r="OYI71" s="499"/>
      <c r="OYJ71" s="499"/>
      <c r="OYK71" s="499"/>
      <c r="OYL71" s="499"/>
      <c r="OYM71" s="499"/>
      <c r="OYN71" s="499"/>
      <c r="OYO71" s="499"/>
      <c r="OYP71" s="499"/>
      <c r="OYQ71" s="499"/>
      <c r="OYR71" s="499"/>
      <c r="OYS71" s="499"/>
      <c r="OYT71" s="499"/>
      <c r="OYU71" s="499"/>
      <c r="OYV71" s="499"/>
      <c r="OYW71" s="499"/>
      <c r="OYX71" s="499"/>
      <c r="OYY71" s="499"/>
      <c r="OYZ71" s="499"/>
      <c r="OZA71" s="499"/>
      <c r="OZB71" s="499"/>
      <c r="OZC71" s="499"/>
      <c r="OZD71" s="499"/>
      <c r="OZE71" s="499"/>
      <c r="OZF71" s="499"/>
      <c r="OZG71" s="499"/>
      <c r="OZH71" s="499"/>
      <c r="OZI71" s="499"/>
      <c r="OZJ71" s="499"/>
      <c r="OZK71" s="499"/>
      <c r="OZL71" s="499"/>
      <c r="OZM71" s="499"/>
      <c r="OZN71" s="499"/>
      <c r="OZO71" s="499"/>
      <c r="OZP71" s="499"/>
      <c r="OZQ71" s="499"/>
      <c r="OZR71" s="499"/>
      <c r="OZS71" s="499"/>
      <c r="OZT71" s="499"/>
      <c r="OZU71" s="499"/>
      <c r="OZV71" s="499"/>
      <c r="OZW71" s="499"/>
      <c r="OZX71" s="499"/>
      <c r="OZY71" s="499"/>
      <c r="OZZ71" s="499"/>
      <c r="PAA71" s="499"/>
      <c r="PAB71" s="499"/>
      <c r="PAC71" s="499"/>
      <c r="PAD71" s="499"/>
      <c r="PAE71" s="499"/>
      <c r="PAF71" s="499"/>
      <c r="PAG71" s="499"/>
      <c r="PAH71" s="499"/>
      <c r="PAI71" s="499"/>
      <c r="PAJ71" s="499"/>
      <c r="PAK71" s="499"/>
      <c r="PAL71" s="499"/>
      <c r="PAM71" s="499"/>
      <c r="PAN71" s="499"/>
      <c r="PAO71" s="499"/>
      <c r="PAP71" s="499"/>
      <c r="PAQ71" s="499"/>
      <c r="PAR71" s="499"/>
      <c r="PAS71" s="499"/>
      <c r="PAT71" s="499"/>
      <c r="PAU71" s="499"/>
      <c r="PAV71" s="499"/>
      <c r="PAW71" s="499"/>
      <c r="PAX71" s="499"/>
      <c r="PAY71" s="499"/>
      <c r="PAZ71" s="499"/>
      <c r="PBA71" s="499"/>
      <c r="PBB71" s="499"/>
      <c r="PBC71" s="499"/>
      <c r="PBD71" s="499"/>
      <c r="PBE71" s="499"/>
      <c r="PBF71" s="499"/>
      <c r="PBG71" s="499"/>
      <c r="PBH71" s="499"/>
      <c r="PBI71" s="499"/>
      <c r="PBJ71" s="499"/>
      <c r="PBK71" s="499"/>
      <c r="PBL71" s="499"/>
      <c r="PBM71" s="499"/>
      <c r="PBN71" s="499"/>
      <c r="PBO71" s="499"/>
      <c r="PBP71" s="499"/>
      <c r="PBQ71" s="499"/>
      <c r="PBR71" s="499"/>
      <c r="PBS71" s="499"/>
      <c r="PBT71" s="499"/>
      <c r="PBU71" s="499"/>
      <c r="PBV71" s="499"/>
      <c r="PBW71" s="499"/>
      <c r="PBX71" s="499"/>
      <c r="PBY71" s="499"/>
      <c r="PBZ71" s="499"/>
      <c r="PCA71" s="499"/>
      <c r="PCB71" s="499"/>
      <c r="PCC71" s="499"/>
      <c r="PCD71" s="499"/>
      <c r="PCE71" s="499"/>
      <c r="PCF71" s="499"/>
      <c r="PCG71" s="499"/>
      <c r="PCH71" s="499"/>
      <c r="PCI71" s="499"/>
      <c r="PCJ71" s="499"/>
      <c r="PCK71" s="499"/>
      <c r="PCL71" s="499"/>
      <c r="PCM71" s="499"/>
      <c r="PCN71" s="499"/>
      <c r="PCO71" s="499"/>
      <c r="PCP71" s="499"/>
      <c r="PCQ71" s="499"/>
      <c r="PCR71" s="499"/>
      <c r="PCS71" s="499"/>
      <c r="PCT71" s="499"/>
      <c r="PCU71" s="499"/>
      <c r="PCV71" s="499"/>
      <c r="PCW71" s="499"/>
      <c r="PCX71" s="499"/>
      <c r="PCY71" s="499"/>
      <c r="PCZ71" s="499"/>
      <c r="PDA71" s="499"/>
      <c r="PDB71" s="499"/>
      <c r="PDC71" s="499"/>
      <c r="PDD71" s="499"/>
      <c r="PDE71" s="499"/>
      <c r="PDF71" s="499"/>
      <c r="PDG71" s="499"/>
      <c r="PDH71" s="499"/>
      <c r="PDI71" s="499"/>
      <c r="PDJ71" s="499"/>
      <c r="PDK71" s="499"/>
      <c r="PDL71" s="499"/>
      <c r="PDM71" s="499"/>
      <c r="PDN71" s="499"/>
      <c r="PDO71" s="499"/>
      <c r="PDP71" s="499"/>
      <c r="PDQ71" s="499"/>
      <c r="PDR71" s="499"/>
      <c r="PDS71" s="499"/>
      <c r="PDT71" s="499"/>
      <c r="PDU71" s="499"/>
      <c r="PDV71" s="499"/>
      <c r="PDW71" s="499"/>
      <c r="PDX71" s="499"/>
      <c r="PDY71" s="499"/>
      <c r="PDZ71" s="499"/>
      <c r="PEA71" s="499"/>
      <c r="PEB71" s="499"/>
      <c r="PEC71" s="499"/>
      <c r="PED71" s="499"/>
      <c r="PEE71" s="499"/>
      <c r="PEF71" s="499"/>
      <c r="PEG71" s="499"/>
      <c r="PEH71" s="499"/>
      <c r="PEI71" s="499"/>
      <c r="PEJ71" s="499"/>
      <c r="PEK71" s="499"/>
      <c r="PEL71" s="499"/>
      <c r="PEM71" s="499"/>
      <c r="PEN71" s="499"/>
      <c r="PEO71" s="499"/>
      <c r="PEP71" s="499"/>
      <c r="PEQ71" s="499"/>
      <c r="PER71" s="499"/>
      <c r="PES71" s="499"/>
      <c r="PET71" s="499"/>
      <c r="PEU71" s="499"/>
      <c r="PEV71" s="499"/>
      <c r="PEW71" s="499"/>
      <c r="PEX71" s="499"/>
      <c r="PEY71" s="499"/>
      <c r="PEZ71" s="499"/>
      <c r="PFA71" s="499"/>
      <c r="PFB71" s="499"/>
      <c r="PFC71" s="499"/>
      <c r="PFD71" s="499"/>
      <c r="PFE71" s="499"/>
      <c r="PFF71" s="499"/>
      <c r="PFG71" s="499"/>
      <c r="PFH71" s="499"/>
      <c r="PFI71" s="499"/>
      <c r="PFJ71" s="499"/>
      <c r="PFK71" s="499"/>
      <c r="PFL71" s="499"/>
      <c r="PFM71" s="499"/>
      <c r="PFN71" s="499"/>
      <c r="PFO71" s="499"/>
      <c r="PFP71" s="499"/>
      <c r="PFQ71" s="499"/>
      <c r="PFR71" s="499"/>
      <c r="PFS71" s="499"/>
      <c r="PFT71" s="499"/>
      <c r="PFU71" s="499"/>
      <c r="PFV71" s="499"/>
      <c r="PFW71" s="499"/>
      <c r="PFX71" s="499"/>
      <c r="PFY71" s="499"/>
      <c r="PFZ71" s="499"/>
      <c r="PGA71" s="499"/>
      <c r="PGB71" s="499"/>
      <c r="PGC71" s="499"/>
      <c r="PGD71" s="499"/>
      <c r="PGE71" s="499"/>
      <c r="PGF71" s="499"/>
      <c r="PGG71" s="499"/>
      <c r="PGH71" s="499"/>
      <c r="PGI71" s="499"/>
      <c r="PGJ71" s="499"/>
      <c r="PGK71" s="499"/>
      <c r="PGL71" s="499"/>
      <c r="PGM71" s="499"/>
      <c r="PGN71" s="499"/>
      <c r="PGO71" s="499"/>
      <c r="PGP71" s="499"/>
      <c r="PGQ71" s="499"/>
      <c r="PGR71" s="499"/>
      <c r="PGS71" s="499"/>
      <c r="PGT71" s="499"/>
      <c r="PGU71" s="499"/>
      <c r="PGV71" s="499"/>
      <c r="PGW71" s="499"/>
      <c r="PGX71" s="499"/>
      <c r="PGY71" s="499"/>
      <c r="PGZ71" s="499"/>
      <c r="PHA71" s="499"/>
      <c r="PHB71" s="499"/>
      <c r="PHC71" s="499"/>
      <c r="PHD71" s="499"/>
      <c r="PHE71" s="499"/>
      <c r="PHF71" s="499"/>
      <c r="PHG71" s="499"/>
      <c r="PHH71" s="499"/>
      <c r="PHI71" s="499"/>
      <c r="PHJ71" s="499"/>
      <c r="PHK71" s="499"/>
      <c r="PHL71" s="499"/>
      <c r="PHM71" s="499"/>
      <c r="PHN71" s="499"/>
      <c r="PHO71" s="499"/>
      <c r="PHP71" s="499"/>
      <c r="PHQ71" s="499"/>
      <c r="PHR71" s="499"/>
      <c r="PHS71" s="499"/>
      <c r="PHT71" s="499"/>
      <c r="PHU71" s="499"/>
      <c r="PHV71" s="499"/>
      <c r="PHW71" s="499"/>
      <c r="PHX71" s="499"/>
      <c r="PHY71" s="499"/>
      <c r="PHZ71" s="499"/>
      <c r="PIA71" s="499"/>
      <c r="PIB71" s="499"/>
      <c r="PIC71" s="499"/>
      <c r="PID71" s="499"/>
      <c r="PIE71" s="499"/>
      <c r="PIF71" s="499"/>
      <c r="PIG71" s="499"/>
      <c r="PIH71" s="499"/>
      <c r="PII71" s="499"/>
      <c r="PIJ71" s="499"/>
      <c r="PIK71" s="499"/>
      <c r="PIL71" s="499"/>
      <c r="PIM71" s="499"/>
      <c r="PIN71" s="499"/>
      <c r="PIO71" s="499"/>
      <c r="PIP71" s="499"/>
      <c r="PIQ71" s="499"/>
      <c r="PIR71" s="499"/>
      <c r="PIS71" s="499"/>
      <c r="PIT71" s="499"/>
      <c r="PIU71" s="499"/>
      <c r="PIV71" s="499"/>
      <c r="PIW71" s="499"/>
      <c r="PIX71" s="499"/>
      <c r="PIY71" s="499"/>
      <c r="PIZ71" s="499"/>
      <c r="PJA71" s="499"/>
      <c r="PJB71" s="499"/>
      <c r="PJC71" s="499"/>
      <c r="PJD71" s="499"/>
      <c r="PJE71" s="499"/>
      <c r="PJF71" s="499"/>
      <c r="PJG71" s="499"/>
      <c r="PJH71" s="499"/>
      <c r="PJI71" s="499"/>
      <c r="PJJ71" s="499"/>
      <c r="PJK71" s="499"/>
      <c r="PJL71" s="499"/>
      <c r="PJM71" s="499"/>
      <c r="PJN71" s="499"/>
      <c r="PJO71" s="499"/>
      <c r="PJP71" s="499"/>
      <c r="PJQ71" s="499"/>
      <c r="PJR71" s="499"/>
      <c r="PJS71" s="499"/>
      <c r="PJT71" s="499"/>
      <c r="PJU71" s="499"/>
      <c r="PJV71" s="499"/>
      <c r="PJW71" s="499"/>
      <c r="PJX71" s="499"/>
      <c r="PJY71" s="499"/>
      <c r="PJZ71" s="499"/>
      <c r="PKA71" s="499"/>
      <c r="PKB71" s="499"/>
      <c r="PKC71" s="499"/>
      <c r="PKD71" s="499"/>
      <c r="PKE71" s="499"/>
      <c r="PKF71" s="499"/>
      <c r="PKG71" s="499"/>
      <c r="PKH71" s="499"/>
      <c r="PKI71" s="499"/>
      <c r="PKJ71" s="499"/>
      <c r="PKK71" s="499"/>
      <c r="PKL71" s="499"/>
      <c r="PKM71" s="499"/>
      <c r="PKN71" s="499"/>
      <c r="PKO71" s="499"/>
      <c r="PKP71" s="499"/>
      <c r="PKQ71" s="499"/>
      <c r="PKR71" s="499"/>
      <c r="PKS71" s="499"/>
      <c r="PKT71" s="499"/>
      <c r="PKU71" s="499"/>
      <c r="PKV71" s="499"/>
      <c r="PKW71" s="499"/>
      <c r="PKX71" s="499"/>
      <c r="PKY71" s="499"/>
      <c r="PKZ71" s="499"/>
      <c r="PLA71" s="499"/>
      <c r="PLB71" s="499"/>
      <c r="PLC71" s="499"/>
      <c r="PLD71" s="499"/>
      <c r="PLE71" s="499"/>
      <c r="PLF71" s="499"/>
      <c r="PLG71" s="499"/>
      <c r="PLH71" s="499"/>
      <c r="PLI71" s="499"/>
      <c r="PLJ71" s="499"/>
      <c r="PLK71" s="499"/>
      <c r="PLL71" s="499"/>
      <c r="PLM71" s="499"/>
      <c r="PLN71" s="499"/>
      <c r="PLO71" s="499"/>
      <c r="PLP71" s="499"/>
      <c r="PLQ71" s="499"/>
      <c r="PLR71" s="499"/>
      <c r="PLS71" s="499"/>
      <c r="PLT71" s="499"/>
      <c r="PLU71" s="499"/>
      <c r="PLV71" s="499"/>
      <c r="PLW71" s="499"/>
      <c r="PLX71" s="499"/>
      <c r="PLY71" s="499"/>
      <c r="PLZ71" s="499"/>
      <c r="PMA71" s="499"/>
      <c r="PMB71" s="499"/>
      <c r="PMC71" s="499"/>
      <c r="PMD71" s="499"/>
      <c r="PME71" s="499"/>
      <c r="PMF71" s="499"/>
      <c r="PMG71" s="499"/>
      <c r="PMH71" s="499"/>
      <c r="PMI71" s="499"/>
      <c r="PMJ71" s="499"/>
      <c r="PMK71" s="499"/>
      <c r="PML71" s="499"/>
      <c r="PMM71" s="499"/>
      <c r="PMN71" s="499"/>
      <c r="PMO71" s="499"/>
      <c r="PMP71" s="499"/>
      <c r="PMQ71" s="499"/>
      <c r="PMR71" s="499"/>
      <c r="PMS71" s="499"/>
      <c r="PMT71" s="499"/>
      <c r="PMU71" s="499"/>
      <c r="PMV71" s="499"/>
      <c r="PMW71" s="499"/>
      <c r="PMX71" s="499"/>
      <c r="PMY71" s="499"/>
      <c r="PMZ71" s="499"/>
      <c r="PNA71" s="499"/>
      <c r="PNB71" s="499"/>
      <c r="PNC71" s="499"/>
      <c r="PND71" s="499"/>
      <c r="PNE71" s="499"/>
      <c r="PNF71" s="499"/>
      <c r="PNG71" s="499"/>
      <c r="PNH71" s="499"/>
      <c r="PNI71" s="499"/>
      <c r="PNJ71" s="499"/>
      <c r="PNK71" s="499"/>
      <c r="PNL71" s="499"/>
      <c r="PNM71" s="499"/>
      <c r="PNN71" s="499"/>
      <c r="PNO71" s="499"/>
      <c r="PNP71" s="499"/>
      <c r="PNQ71" s="499"/>
      <c r="PNR71" s="499"/>
      <c r="PNS71" s="499"/>
      <c r="PNT71" s="499"/>
      <c r="PNU71" s="499"/>
      <c r="PNV71" s="499"/>
      <c r="PNW71" s="499"/>
      <c r="PNX71" s="499"/>
      <c r="PNY71" s="499"/>
      <c r="PNZ71" s="499"/>
      <c r="POA71" s="499"/>
      <c r="POB71" s="499"/>
      <c r="POC71" s="499"/>
      <c r="POD71" s="499"/>
      <c r="POE71" s="499"/>
      <c r="POF71" s="499"/>
      <c r="POG71" s="499"/>
      <c r="POH71" s="499"/>
      <c r="POI71" s="499"/>
      <c r="POJ71" s="499"/>
      <c r="POK71" s="499"/>
      <c r="POL71" s="499"/>
      <c r="POM71" s="499"/>
      <c r="PON71" s="499"/>
      <c r="POO71" s="499"/>
      <c r="POP71" s="499"/>
      <c r="POQ71" s="499"/>
      <c r="POR71" s="499"/>
      <c r="POS71" s="499"/>
      <c r="POT71" s="499"/>
      <c r="POU71" s="499"/>
      <c r="POV71" s="499"/>
      <c r="POW71" s="499"/>
      <c r="POX71" s="499"/>
      <c r="POY71" s="499"/>
      <c r="POZ71" s="499"/>
      <c r="PPA71" s="499"/>
      <c r="PPB71" s="499"/>
      <c r="PPC71" s="499"/>
      <c r="PPD71" s="499"/>
      <c r="PPE71" s="499"/>
      <c r="PPF71" s="499"/>
      <c r="PPG71" s="499"/>
      <c r="PPH71" s="499"/>
      <c r="PPI71" s="499"/>
      <c r="PPJ71" s="499"/>
      <c r="PPK71" s="499"/>
      <c r="PPL71" s="499"/>
      <c r="PPM71" s="499"/>
      <c r="PPN71" s="499"/>
      <c r="PPO71" s="499"/>
      <c r="PPP71" s="499"/>
      <c r="PPQ71" s="499"/>
      <c r="PPR71" s="499"/>
      <c r="PPS71" s="499"/>
      <c r="PPT71" s="499"/>
      <c r="PPU71" s="499"/>
      <c r="PPV71" s="499"/>
      <c r="PPW71" s="499"/>
      <c r="PPX71" s="499"/>
      <c r="PPY71" s="499"/>
      <c r="PPZ71" s="499"/>
      <c r="PQA71" s="499"/>
      <c r="PQB71" s="499"/>
      <c r="PQC71" s="499"/>
      <c r="PQD71" s="499"/>
      <c r="PQE71" s="499"/>
      <c r="PQF71" s="499"/>
      <c r="PQG71" s="499"/>
      <c r="PQH71" s="499"/>
      <c r="PQI71" s="499"/>
      <c r="PQJ71" s="499"/>
      <c r="PQK71" s="499"/>
      <c r="PQL71" s="499"/>
      <c r="PQM71" s="499"/>
      <c r="PQN71" s="499"/>
      <c r="PQO71" s="499"/>
      <c r="PQP71" s="499"/>
      <c r="PQQ71" s="499"/>
      <c r="PQR71" s="499"/>
      <c r="PQS71" s="499"/>
      <c r="PQT71" s="499"/>
      <c r="PQU71" s="499"/>
      <c r="PQV71" s="499"/>
      <c r="PQW71" s="499"/>
      <c r="PQX71" s="499"/>
      <c r="PQY71" s="499"/>
      <c r="PQZ71" s="499"/>
      <c r="PRA71" s="499"/>
      <c r="PRB71" s="499"/>
      <c r="PRC71" s="499"/>
      <c r="PRD71" s="499"/>
      <c r="PRE71" s="499"/>
      <c r="PRF71" s="499"/>
      <c r="PRG71" s="499"/>
      <c r="PRH71" s="499"/>
      <c r="PRI71" s="499"/>
      <c r="PRJ71" s="499"/>
      <c r="PRK71" s="499"/>
      <c r="PRL71" s="499"/>
      <c r="PRM71" s="499"/>
      <c r="PRN71" s="499"/>
      <c r="PRO71" s="499"/>
      <c r="PRP71" s="499"/>
      <c r="PRQ71" s="499"/>
      <c r="PRR71" s="499"/>
      <c r="PRS71" s="499"/>
      <c r="PRT71" s="499"/>
      <c r="PRU71" s="499"/>
      <c r="PRV71" s="499"/>
      <c r="PRW71" s="499"/>
      <c r="PRX71" s="499"/>
      <c r="PRY71" s="499"/>
      <c r="PRZ71" s="499"/>
      <c r="PSA71" s="499"/>
      <c r="PSB71" s="499"/>
      <c r="PSC71" s="499"/>
      <c r="PSD71" s="499"/>
      <c r="PSE71" s="499"/>
      <c r="PSF71" s="499"/>
      <c r="PSG71" s="499"/>
      <c r="PSH71" s="499"/>
      <c r="PSI71" s="499"/>
      <c r="PSJ71" s="499"/>
      <c r="PSK71" s="499"/>
      <c r="PSL71" s="499"/>
      <c r="PSM71" s="499"/>
      <c r="PSN71" s="499"/>
      <c r="PSO71" s="499"/>
      <c r="PSP71" s="499"/>
      <c r="PSQ71" s="499"/>
      <c r="PSR71" s="499"/>
      <c r="PSS71" s="499"/>
      <c r="PST71" s="499"/>
      <c r="PSU71" s="499"/>
      <c r="PSV71" s="499"/>
      <c r="PSW71" s="499"/>
      <c r="PSX71" s="499"/>
      <c r="PSY71" s="499"/>
      <c r="PSZ71" s="499"/>
      <c r="PTA71" s="499"/>
      <c r="PTB71" s="499"/>
      <c r="PTC71" s="499"/>
      <c r="PTD71" s="499"/>
      <c r="PTE71" s="499"/>
      <c r="PTF71" s="499"/>
      <c r="PTG71" s="499"/>
      <c r="PTH71" s="499"/>
      <c r="PTI71" s="499"/>
      <c r="PTJ71" s="499"/>
      <c r="PTK71" s="499"/>
      <c r="PTL71" s="499"/>
      <c r="PTM71" s="499"/>
      <c r="PTN71" s="499"/>
      <c r="PTO71" s="499"/>
      <c r="PTP71" s="499"/>
      <c r="PTQ71" s="499"/>
      <c r="PTR71" s="499"/>
      <c r="PTS71" s="499"/>
      <c r="PTT71" s="499"/>
      <c r="PTU71" s="499"/>
      <c r="PTV71" s="499"/>
      <c r="PTW71" s="499"/>
      <c r="PTX71" s="499"/>
      <c r="PTY71" s="499"/>
      <c r="PTZ71" s="499"/>
      <c r="PUA71" s="499"/>
      <c r="PUB71" s="499"/>
      <c r="PUC71" s="499"/>
      <c r="PUD71" s="499"/>
      <c r="PUE71" s="499"/>
      <c r="PUF71" s="499"/>
      <c r="PUG71" s="499"/>
      <c r="PUH71" s="499"/>
      <c r="PUI71" s="499"/>
      <c r="PUJ71" s="499"/>
      <c r="PUK71" s="499"/>
      <c r="PUL71" s="499"/>
      <c r="PUM71" s="499"/>
      <c r="PUN71" s="499"/>
      <c r="PUO71" s="499"/>
      <c r="PUP71" s="499"/>
      <c r="PUQ71" s="499"/>
      <c r="PUR71" s="499"/>
      <c r="PUS71" s="499"/>
      <c r="PUT71" s="499"/>
      <c r="PUU71" s="499"/>
      <c r="PUV71" s="499"/>
      <c r="PUW71" s="499"/>
      <c r="PUX71" s="499"/>
      <c r="PUY71" s="499"/>
      <c r="PUZ71" s="499"/>
      <c r="PVA71" s="499"/>
      <c r="PVB71" s="499"/>
      <c r="PVC71" s="499"/>
      <c r="PVD71" s="499"/>
      <c r="PVE71" s="499"/>
      <c r="PVF71" s="499"/>
      <c r="PVG71" s="499"/>
      <c r="PVH71" s="499"/>
      <c r="PVI71" s="499"/>
      <c r="PVJ71" s="499"/>
      <c r="PVK71" s="499"/>
      <c r="PVL71" s="499"/>
      <c r="PVM71" s="499"/>
      <c r="PVN71" s="499"/>
      <c r="PVO71" s="499"/>
      <c r="PVP71" s="499"/>
      <c r="PVQ71" s="499"/>
      <c r="PVR71" s="499"/>
      <c r="PVS71" s="499"/>
      <c r="PVT71" s="499"/>
      <c r="PVU71" s="499"/>
      <c r="PVV71" s="499"/>
      <c r="PVW71" s="499"/>
      <c r="PVX71" s="499"/>
      <c r="PVY71" s="499"/>
      <c r="PVZ71" s="499"/>
      <c r="PWA71" s="499"/>
      <c r="PWB71" s="499"/>
      <c r="PWC71" s="499"/>
      <c r="PWD71" s="499"/>
      <c r="PWE71" s="499"/>
      <c r="PWF71" s="499"/>
      <c r="PWG71" s="499"/>
      <c r="PWH71" s="499"/>
      <c r="PWI71" s="499"/>
      <c r="PWJ71" s="499"/>
      <c r="PWK71" s="499"/>
      <c r="PWL71" s="499"/>
      <c r="PWM71" s="499"/>
      <c r="PWN71" s="499"/>
      <c r="PWO71" s="499"/>
      <c r="PWP71" s="499"/>
      <c r="PWQ71" s="499"/>
      <c r="PWR71" s="499"/>
      <c r="PWS71" s="499"/>
      <c r="PWT71" s="499"/>
      <c r="PWU71" s="499"/>
      <c r="PWV71" s="499"/>
      <c r="PWW71" s="499"/>
      <c r="PWX71" s="499"/>
      <c r="PWY71" s="499"/>
      <c r="PWZ71" s="499"/>
      <c r="PXA71" s="499"/>
      <c r="PXB71" s="499"/>
      <c r="PXC71" s="499"/>
      <c r="PXD71" s="499"/>
      <c r="PXE71" s="499"/>
      <c r="PXF71" s="499"/>
      <c r="PXG71" s="499"/>
      <c r="PXH71" s="499"/>
      <c r="PXI71" s="499"/>
      <c r="PXJ71" s="499"/>
      <c r="PXK71" s="499"/>
      <c r="PXL71" s="499"/>
      <c r="PXM71" s="499"/>
      <c r="PXN71" s="499"/>
      <c r="PXO71" s="499"/>
      <c r="PXP71" s="499"/>
      <c r="PXQ71" s="499"/>
      <c r="PXR71" s="499"/>
      <c r="PXS71" s="499"/>
      <c r="PXT71" s="499"/>
      <c r="PXU71" s="499"/>
      <c r="PXV71" s="499"/>
      <c r="PXW71" s="499"/>
      <c r="PXX71" s="499"/>
      <c r="PXY71" s="499"/>
      <c r="PXZ71" s="499"/>
      <c r="PYA71" s="499"/>
      <c r="PYB71" s="499"/>
      <c r="PYC71" s="499"/>
      <c r="PYD71" s="499"/>
      <c r="PYE71" s="499"/>
      <c r="PYF71" s="499"/>
      <c r="PYG71" s="499"/>
      <c r="PYH71" s="499"/>
      <c r="PYI71" s="499"/>
      <c r="PYJ71" s="499"/>
      <c r="PYK71" s="499"/>
      <c r="PYL71" s="499"/>
      <c r="PYM71" s="499"/>
      <c r="PYN71" s="499"/>
      <c r="PYO71" s="499"/>
      <c r="PYP71" s="499"/>
      <c r="PYQ71" s="499"/>
      <c r="PYR71" s="499"/>
      <c r="PYS71" s="499"/>
      <c r="PYT71" s="499"/>
      <c r="PYU71" s="499"/>
      <c r="PYV71" s="499"/>
      <c r="PYW71" s="499"/>
      <c r="PYX71" s="499"/>
      <c r="PYY71" s="499"/>
      <c r="PYZ71" s="499"/>
      <c r="PZA71" s="499"/>
      <c r="PZB71" s="499"/>
      <c r="PZC71" s="499"/>
      <c r="PZD71" s="499"/>
      <c r="PZE71" s="499"/>
      <c r="PZF71" s="499"/>
      <c r="PZG71" s="499"/>
      <c r="PZH71" s="499"/>
      <c r="PZI71" s="499"/>
      <c r="PZJ71" s="499"/>
      <c r="PZK71" s="499"/>
      <c r="PZL71" s="499"/>
      <c r="PZM71" s="499"/>
      <c r="PZN71" s="499"/>
      <c r="PZO71" s="499"/>
      <c r="PZP71" s="499"/>
      <c r="PZQ71" s="499"/>
      <c r="PZR71" s="499"/>
      <c r="PZS71" s="499"/>
      <c r="PZT71" s="499"/>
      <c r="PZU71" s="499"/>
      <c r="PZV71" s="499"/>
      <c r="PZW71" s="499"/>
      <c r="PZX71" s="499"/>
      <c r="PZY71" s="499"/>
      <c r="PZZ71" s="499"/>
      <c r="QAA71" s="499"/>
      <c r="QAB71" s="499"/>
      <c r="QAC71" s="499"/>
      <c r="QAD71" s="499"/>
      <c r="QAE71" s="499"/>
      <c r="QAF71" s="499"/>
      <c r="QAG71" s="499"/>
      <c r="QAH71" s="499"/>
      <c r="QAI71" s="499"/>
      <c r="QAJ71" s="499"/>
      <c r="QAK71" s="499"/>
      <c r="QAL71" s="499"/>
      <c r="QAM71" s="499"/>
      <c r="QAN71" s="499"/>
      <c r="QAO71" s="499"/>
      <c r="QAP71" s="499"/>
      <c r="QAQ71" s="499"/>
      <c r="QAR71" s="499"/>
      <c r="QAS71" s="499"/>
      <c r="QAT71" s="499"/>
      <c r="QAU71" s="499"/>
      <c r="QAV71" s="499"/>
      <c r="QAW71" s="499"/>
      <c r="QAX71" s="499"/>
      <c r="QAY71" s="499"/>
      <c r="QAZ71" s="499"/>
      <c r="QBA71" s="499"/>
      <c r="QBB71" s="499"/>
      <c r="QBC71" s="499"/>
      <c r="QBD71" s="499"/>
      <c r="QBE71" s="499"/>
      <c r="QBF71" s="499"/>
      <c r="QBG71" s="499"/>
      <c r="QBH71" s="499"/>
      <c r="QBI71" s="499"/>
      <c r="QBJ71" s="499"/>
      <c r="QBK71" s="499"/>
      <c r="QBL71" s="499"/>
      <c r="QBM71" s="499"/>
      <c r="QBN71" s="499"/>
      <c r="QBO71" s="499"/>
      <c r="QBP71" s="499"/>
      <c r="QBQ71" s="499"/>
      <c r="QBR71" s="499"/>
      <c r="QBS71" s="499"/>
      <c r="QBT71" s="499"/>
      <c r="QBU71" s="499"/>
      <c r="QBV71" s="499"/>
      <c r="QBW71" s="499"/>
      <c r="QBX71" s="499"/>
      <c r="QBY71" s="499"/>
      <c r="QBZ71" s="499"/>
      <c r="QCA71" s="499"/>
      <c r="QCB71" s="499"/>
      <c r="QCC71" s="499"/>
      <c r="QCD71" s="499"/>
      <c r="QCE71" s="499"/>
      <c r="QCF71" s="499"/>
      <c r="QCG71" s="499"/>
      <c r="QCH71" s="499"/>
      <c r="QCI71" s="499"/>
      <c r="QCJ71" s="499"/>
      <c r="QCK71" s="499"/>
      <c r="QCL71" s="499"/>
      <c r="QCM71" s="499"/>
      <c r="QCN71" s="499"/>
      <c r="QCO71" s="499"/>
      <c r="QCP71" s="499"/>
      <c r="QCQ71" s="499"/>
      <c r="QCR71" s="499"/>
      <c r="QCS71" s="499"/>
      <c r="QCT71" s="499"/>
      <c r="QCU71" s="499"/>
      <c r="QCV71" s="499"/>
      <c r="QCW71" s="499"/>
      <c r="QCX71" s="499"/>
      <c r="QCY71" s="499"/>
      <c r="QCZ71" s="499"/>
      <c r="QDA71" s="499"/>
      <c r="QDB71" s="499"/>
      <c r="QDC71" s="499"/>
      <c r="QDD71" s="499"/>
      <c r="QDE71" s="499"/>
      <c r="QDF71" s="499"/>
      <c r="QDG71" s="499"/>
      <c r="QDH71" s="499"/>
      <c r="QDI71" s="499"/>
      <c r="QDJ71" s="499"/>
      <c r="QDK71" s="499"/>
      <c r="QDL71" s="499"/>
      <c r="QDM71" s="499"/>
      <c r="QDN71" s="499"/>
      <c r="QDO71" s="499"/>
      <c r="QDP71" s="499"/>
      <c r="QDQ71" s="499"/>
      <c r="QDR71" s="499"/>
      <c r="QDS71" s="499"/>
      <c r="QDT71" s="499"/>
      <c r="QDU71" s="499"/>
      <c r="QDV71" s="499"/>
      <c r="QDW71" s="499"/>
      <c r="QDX71" s="499"/>
      <c r="QDY71" s="499"/>
      <c r="QDZ71" s="499"/>
      <c r="QEA71" s="499"/>
      <c r="QEB71" s="499"/>
      <c r="QEC71" s="499"/>
      <c r="QED71" s="499"/>
      <c r="QEE71" s="499"/>
      <c r="QEF71" s="499"/>
      <c r="QEG71" s="499"/>
      <c r="QEH71" s="499"/>
      <c r="QEI71" s="499"/>
      <c r="QEJ71" s="499"/>
      <c r="QEK71" s="499"/>
      <c r="QEL71" s="499"/>
      <c r="QEM71" s="499"/>
      <c r="QEN71" s="499"/>
      <c r="QEO71" s="499"/>
      <c r="QEP71" s="499"/>
      <c r="QEQ71" s="499"/>
      <c r="QER71" s="499"/>
      <c r="QES71" s="499"/>
      <c r="QET71" s="499"/>
      <c r="QEU71" s="499"/>
      <c r="QEV71" s="499"/>
      <c r="QEW71" s="499"/>
      <c r="QEX71" s="499"/>
      <c r="QEY71" s="499"/>
      <c r="QEZ71" s="499"/>
      <c r="QFA71" s="499"/>
      <c r="QFB71" s="499"/>
      <c r="QFC71" s="499"/>
      <c r="QFD71" s="499"/>
      <c r="QFE71" s="499"/>
      <c r="QFF71" s="499"/>
      <c r="QFG71" s="499"/>
      <c r="QFH71" s="499"/>
      <c r="QFI71" s="499"/>
      <c r="QFJ71" s="499"/>
      <c r="QFK71" s="499"/>
      <c r="QFL71" s="499"/>
      <c r="QFM71" s="499"/>
      <c r="QFN71" s="499"/>
      <c r="QFO71" s="499"/>
      <c r="QFP71" s="499"/>
      <c r="QFQ71" s="499"/>
      <c r="QFR71" s="499"/>
      <c r="QFS71" s="499"/>
      <c r="QFT71" s="499"/>
      <c r="QFU71" s="499"/>
      <c r="QFV71" s="499"/>
      <c r="QFW71" s="499"/>
      <c r="QFX71" s="499"/>
      <c r="QFY71" s="499"/>
      <c r="QFZ71" s="499"/>
      <c r="QGA71" s="499"/>
      <c r="QGB71" s="499"/>
      <c r="QGC71" s="499"/>
      <c r="QGD71" s="499"/>
      <c r="QGE71" s="499"/>
      <c r="QGF71" s="499"/>
      <c r="QGG71" s="499"/>
      <c r="QGH71" s="499"/>
      <c r="QGI71" s="499"/>
      <c r="QGJ71" s="499"/>
      <c r="QGK71" s="499"/>
      <c r="QGL71" s="499"/>
      <c r="QGM71" s="499"/>
      <c r="QGN71" s="499"/>
      <c r="QGO71" s="499"/>
      <c r="QGP71" s="499"/>
      <c r="QGQ71" s="499"/>
      <c r="QGR71" s="499"/>
      <c r="QGS71" s="499"/>
      <c r="QGT71" s="499"/>
      <c r="QGU71" s="499"/>
      <c r="QGV71" s="499"/>
      <c r="QGW71" s="499"/>
      <c r="QGX71" s="499"/>
      <c r="QGY71" s="499"/>
      <c r="QGZ71" s="499"/>
      <c r="QHA71" s="499"/>
      <c r="QHB71" s="499"/>
      <c r="QHC71" s="499"/>
      <c r="QHD71" s="499"/>
      <c r="QHE71" s="499"/>
      <c r="QHF71" s="499"/>
      <c r="QHG71" s="499"/>
      <c r="QHH71" s="499"/>
      <c r="QHI71" s="499"/>
      <c r="QHJ71" s="499"/>
      <c r="QHK71" s="499"/>
      <c r="QHL71" s="499"/>
      <c r="QHM71" s="499"/>
      <c r="QHN71" s="499"/>
      <c r="QHO71" s="499"/>
      <c r="QHP71" s="499"/>
      <c r="QHQ71" s="499"/>
      <c r="QHR71" s="499"/>
      <c r="QHS71" s="499"/>
      <c r="QHT71" s="499"/>
      <c r="QHU71" s="499"/>
      <c r="QHV71" s="499"/>
      <c r="QHW71" s="499"/>
      <c r="QHX71" s="499"/>
      <c r="QHY71" s="499"/>
      <c r="QHZ71" s="499"/>
      <c r="QIA71" s="499"/>
      <c r="QIB71" s="499"/>
      <c r="QIC71" s="499"/>
      <c r="QID71" s="499"/>
      <c r="QIE71" s="499"/>
      <c r="QIF71" s="499"/>
      <c r="QIG71" s="499"/>
      <c r="QIH71" s="499"/>
      <c r="QII71" s="499"/>
      <c r="QIJ71" s="499"/>
      <c r="QIK71" s="499"/>
      <c r="QIL71" s="499"/>
      <c r="QIM71" s="499"/>
      <c r="QIN71" s="499"/>
      <c r="QIO71" s="499"/>
      <c r="QIP71" s="499"/>
      <c r="QIQ71" s="499"/>
      <c r="QIR71" s="499"/>
      <c r="QIS71" s="499"/>
      <c r="QIT71" s="499"/>
      <c r="QIU71" s="499"/>
      <c r="QIV71" s="499"/>
      <c r="QIW71" s="499"/>
      <c r="QIX71" s="499"/>
      <c r="QIY71" s="499"/>
      <c r="QIZ71" s="499"/>
      <c r="QJA71" s="499"/>
      <c r="QJB71" s="499"/>
      <c r="QJC71" s="499"/>
      <c r="QJD71" s="499"/>
      <c r="QJE71" s="499"/>
      <c r="QJF71" s="499"/>
      <c r="QJG71" s="499"/>
      <c r="QJH71" s="499"/>
      <c r="QJI71" s="499"/>
      <c r="QJJ71" s="499"/>
      <c r="QJK71" s="499"/>
      <c r="QJL71" s="499"/>
      <c r="QJM71" s="499"/>
      <c r="QJN71" s="499"/>
      <c r="QJO71" s="499"/>
      <c r="QJP71" s="499"/>
      <c r="QJQ71" s="499"/>
      <c r="QJR71" s="499"/>
      <c r="QJS71" s="499"/>
      <c r="QJT71" s="499"/>
      <c r="QJU71" s="499"/>
      <c r="QJV71" s="499"/>
      <c r="QJW71" s="499"/>
      <c r="QJX71" s="499"/>
      <c r="QJY71" s="499"/>
      <c r="QJZ71" s="499"/>
      <c r="QKA71" s="499"/>
      <c r="QKB71" s="499"/>
      <c r="QKC71" s="499"/>
      <c r="QKD71" s="499"/>
      <c r="QKE71" s="499"/>
      <c r="QKF71" s="499"/>
      <c r="QKG71" s="499"/>
      <c r="QKH71" s="499"/>
      <c r="QKI71" s="499"/>
      <c r="QKJ71" s="499"/>
      <c r="QKK71" s="499"/>
      <c r="QKL71" s="499"/>
      <c r="QKM71" s="499"/>
      <c r="QKN71" s="499"/>
      <c r="QKO71" s="499"/>
      <c r="QKP71" s="499"/>
      <c r="QKQ71" s="499"/>
      <c r="QKR71" s="499"/>
      <c r="QKS71" s="499"/>
      <c r="QKT71" s="499"/>
      <c r="QKU71" s="499"/>
      <c r="QKV71" s="499"/>
      <c r="QKW71" s="499"/>
      <c r="QKX71" s="499"/>
      <c r="QKY71" s="499"/>
      <c r="QKZ71" s="499"/>
      <c r="QLA71" s="499"/>
      <c r="QLB71" s="499"/>
      <c r="QLC71" s="499"/>
      <c r="QLD71" s="499"/>
      <c r="QLE71" s="499"/>
      <c r="QLF71" s="499"/>
      <c r="QLG71" s="499"/>
      <c r="QLH71" s="499"/>
      <c r="QLI71" s="499"/>
      <c r="QLJ71" s="499"/>
      <c r="QLK71" s="499"/>
      <c r="QLL71" s="499"/>
      <c r="QLM71" s="499"/>
      <c r="QLN71" s="499"/>
      <c r="QLO71" s="499"/>
      <c r="QLP71" s="499"/>
      <c r="QLQ71" s="499"/>
      <c r="QLR71" s="499"/>
      <c r="QLS71" s="499"/>
      <c r="QLT71" s="499"/>
      <c r="QLU71" s="499"/>
      <c r="QLV71" s="499"/>
      <c r="QLW71" s="499"/>
      <c r="QLX71" s="499"/>
      <c r="QLY71" s="499"/>
      <c r="QLZ71" s="499"/>
      <c r="QMA71" s="499"/>
      <c r="QMB71" s="499"/>
      <c r="QMC71" s="499"/>
      <c r="QMD71" s="499"/>
      <c r="QME71" s="499"/>
      <c r="QMF71" s="499"/>
      <c r="QMG71" s="499"/>
      <c r="QMH71" s="499"/>
      <c r="QMI71" s="499"/>
      <c r="QMJ71" s="499"/>
      <c r="QMK71" s="499"/>
      <c r="QML71" s="499"/>
      <c r="QMM71" s="499"/>
      <c r="QMN71" s="499"/>
      <c r="QMO71" s="499"/>
      <c r="QMP71" s="499"/>
      <c r="QMQ71" s="499"/>
      <c r="QMR71" s="499"/>
      <c r="QMS71" s="499"/>
      <c r="QMT71" s="499"/>
      <c r="QMU71" s="499"/>
      <c r="QMV71" s="499"/>
      <c r="QMW71" s="499"/>
      <c r="QMX71" s="499"/>
      <c r="QMY71" s="499"/>
      <c r="QMZ71" s="499"/>
      <c r="QNA71" s="499"/>
      <c r="QNB71" s="499"/>
      <c r="QNC71" s="499"/>
      <c r="QND71" s="499"/>
      <c r="QNE71" s="499"/>
      <c r="QNF71" s="499"/>
      <c r="QNG71" s="499"/>
      <c r="QNH71" s="499"/>
      <c r="QNI71" s="499"/>
      <c r="QNJ71" s="499"/>
      <c r="QNK71" s="499"/>
      <c r="QNL71" s="499"/>
      <c r="QNM71" s="499"/>
      <c r="QNN71" s="499"/>
      <c r="QNO71" s="499"/>
      <c r="QNP71" s="499"/>
      <c r="QNQ71" s="499"/>
      <c r="QNR71" s="499"/>
      <c r="QNS71" s="499"/>
      <c r="QNT71" s="499"/>
      <c r="QNU71" s="499"/>
      <c r="QNV71" s="499"/>
      <c r="QNW71" s="499"/>
      <c r="QNX71" s="499"/>
      <c r="QNY71" s="499"/>
      <c r="QNZ71" s="499"/>
      <c r="QOA71" s="499"/>
      <c r="QOB71" s="499"/>
      <c r="QOC71" s="499"/>
      <c r="QOD71" s="499"/>
      <c r="QOE71" s="499"/>
      <c r="QOF71" s="499"/>
      <c r="QOG71" s="499"/>
      <c r="QOH71" s="499"/>
      <c r="QOI71" s="499"/>
      <c r="QOJ71" s="499"/>
      <c r="QOK71" s="499"/>
      <c r="QOL71" s="499"/>
      <c r="QOM71" s="499"/>
      <c r="QON71" s="499"/>
      <c r="QOO71" s="499"/>
      <c r="QOP71" s="499"/>
      <c r="QOQ71" s="499"/>
      <c r="QOR71" s="499"/>
      <c r="QOS71" s="499"/>
      <c r="QOT71" s="499"/>
      <c r="QOU71" s="499"/>
      <c r="QOV71" s="499"/>
      <c r="QOW71" s="499"/>
      <c r="QOX71" s="499"/>
      <c r="QOY71" s="499"/>
      <c r="QOZ71" s="499"/>
      <c r="QPA71" s="499"/>
      <c r="QPB71" s="499"/>
      <c r="QPC71" s="499"/>
      <c r="QPD71" s="499"/>
      <c r="QPE71" s="499"/>
      <c r="QPF71" s="499"/>
      <c r="QPG71" s="499"/>
      <c r="QPH71" s="499"/>
      <c r="QPI71" s="499"/>
      <c r="QPJ71" s="499"/>
      <c r="QPK71" s="499"/>
      <c r="QPL71" s="499"/>
      <c r="QPM71" s="499"/>
      <c r="QPN71" s="499"/>
      <c r="QPO71" s="499"/>
      <c r="QPP71" s="499"/>
      <c r="QPQ71" s="499"/>
      <c r="QPR71" s="499"/>
      <c r="QPS71" s="499"/>
      <c r="QPT71" s="499"/>
      <c r="QPU71" s="499"/>
      <c r="QPV71" s="499"/>
      <c r="QPW71" s="499"/>
      <c r="QPX71" s="499"/>
      <c r="QPY71" s="499"/>
      <c r="QPZ71" s="499"/>
      <c r="QQA71" s="499"/>
      <c r="QQB71" s="499"/>
      <c r="QQC71" s="499"/>
      <c r="QQD71" s="499"/>
      <c r="QQE71" s="499"/>
      <c r="QQF71" s="499"/>
      <c r="QQG71" s="499"/>
      <c r="QQH71" s="499"/>
      <c r="QQI71" s="499"/>
      <c r="QQJ71" s="499"/>
      <c r="QQK71" s="499"/>
      <c r="QQL71" s="499"/>
      <c r="QQM71" s="499"/>
      <c r="QQN71" s="499"/>
      <c r="QQO71" s="499"/>
      <c r="QQP71" s="499"/>
      <c r="QQQ71" s="499"/>
      <c r="QQR71" s="499"/>
      <c r="QQS71" s="499"/>
      <c r="QQT71" s="499"/>
      <c r="QQU71" s="499"/>
      <c r="QQV71" s="499"/>
      <c r="QQW71" s="499"/>
      <c r="QQX71" s="499"/>
      <c r="QQY71" s="499"/>
      <c r="QQZ71" s="499"/>
      <c r="QRA71" s="499"/>
      <c r="QRB71" s="499"/>
      <c r="QRC71" s="499"/>
      <c r="QRD71" s="499"/>
      <c r="QRE71" s="499"/>
      <c r="QRF71" s="499"/>
      <c r="QRG71" s="499"/>
      <c r="QRH71" s="499"/>
      <c r="QRI71" s="499"/>
      <c r="QRJ71" s="499"/>
      <c r="QRK71" s="499"/>
      <c r="QRL71" s="499"/>
      <c r="QRM71" s="499"/>
      <c r="QRN71" s="499"/>
      <c r="QRO71" s="499"/>
      <c r="QRP71" s="499"/>
      <c r="QRQ71" s="499"/>
      <c r="QRR71" s="499"/>
      <c r="QRS71" s="499"/>
      <c r="QRT71" s="499"/>
      <c r="QRU71" s="499"/>
      <c r="QRV71" s="499"/>
      <c r="QRW71" s="499"/>
      <c r="QRX71" s="499"/>
      <c r="QRY71" s="499"/>
      <c r="QRZ71" s="499"/>
      <c r="QSA71" s="499"/>
      <c r="QSB71" s="499"/>
      <c r="QSC71" s="499"/>
      <c r="QSD71" s="499"/>
      <c r="QSE71" s="499"/>
      <c r="QSF71" s="499"/>
      <c r="QSG71" s="499"/>
      <c r="QSH71" s="499"/>
      <c r="QSI71" s="499"/>
      <c r="QSJ71" s="499"/>
      <c r="QSK71" s="499"/>
      <c r="QSL71" s="499"/>
      <c r="QSM71" s="499"/>
      <c r="QSN71" s="499"/>
      <c r="QSO71" s="499"/>
      <c r="QSP71" s="499"/>
      <c r="QSQ71" s="499"/>
      <c r="QSR71" s="499"/>
      <c r="QSS71" s="499"/>
      <c r="QST71" s="499"/>
      <c r="QSU71" s="499"/>
      <c r="QSV71" s="499"/>
      <c r="QSW71" s="499"/>
      <c r="QSX71" s="499"/>
      <c r="QSY71" s="499"/>
      <c r="QSZ71" s="499"/>
      <c r="QTA71" s="499"/>
      <c r="QTB71" s="499"/>
      <c r="QTC71" s="499"/>
      <c r="QTD71" s="499"/>
      <c r="QTE71" s="499"/>
      <c r="QTF71" s="499"/>
      <c r="QTG71" s="499"/>
      <c r="QTH71" s="499"/>
      <c r="QTI71" s="499"/>
      <c r="QTJ71" s="499"/>
      <c r="QTK71" s="499"/>
      <c r="QTL71" s="499"/>
      <c r="QTM71" s="499"/>
      <c r="QTN71" s="499"/>
      <c r="QTO71" s="499"/>
      <c r="QTP71" s="499"/>
      <c r="QTQ71" s="499"/>
      <c r="QTR71" s="499"/>
      <c r="QTS71" s="499"/>
      <c r="QTT71" s="499"/>
      <c r="QTU71" s="499"/>
      <c r="QTV71" s="499"/>
      <c r="QTW71" s="499"/>
      <c r="QTX71" s="499"/>
      <c r="QTY71" s="499"/>
      <c r="QTZ71" s="499"/>
      <c r="QUA71" s="499"/>
      <c r="QUB71" s="499"/>
      <c r="QUC71" s="499"/>
      <c r="QUD71" s="499"/>
      <c r="QUE71" s="499"/>
      <c r="QUF71" s="499"/>
      <c r="QUG71" s="499"/>
      <c r="QUH71" s="499"/>
      <c r="QUI71" s="499"/>
      <c r="QUJ71" s="499"/>
      <c r="QUK71" s="499"/>
      <c r="QUL71" s="499"/>
      <c r="QUM71" s="499"/>
      <c r="QUN71" s="499"/>
      <c r="QUO71" s="499"/>
      <c r="QUP71" s="499"/>
      <c r="QUQ71" s="499"/>
      <c r="QUR71" s="499"/>
      <c r="QUS71" s="499"/>
      <c r="QUT71" s="499"/>
      <c r="QUU71" s="499"/>
      <c r="QUV71" s="499"/>
      <c r="QUW71" s="499"/>
      <c r="QUX71" s="499"/>
      <c r="QUY71" s="499"/>
      <c r="QUZ71" s="499"/>
      <c r="QVA71" s="499"/>
      <c r="QVB71" s="499"/>
      <c r="QVC71" s="499"/>
      <c r="QVD71" s="499"/>
      <c r="QVE71" s="499"/>
      <c r="QVF71" s="499"/>
      <c r="QVG71" s="499"/>
      <c r="QVH71" s="499"/>
      <c r="QVI71" s="499"/>
      <c r="QVJ71" s="499"/>
      <c r="QVK71" s="499"/>
      <c r="QVL71" s="499"/>
      <c r="QVM71" s="499"/>
      <c r="QVN71" s="499"/>
      <c r="QVO71" s="499"/>
      <c r="QVP71" s="499"/>
      <c r="QVQ71" s="499"/>
      <c r="QVR71" s="499"/>
      <c r="QVS71" s="499"/>
      <c r="QVT71" s="499"/>
      <c r="QVU71" s="499"/>
      <c r="QVV71" s="499"/>
      <c r="QVW71" s="499"/>
      <c r="QVX71" s="499"/>
      <c r="QVY71" s="499"/>
      <c r="QVZ71" s="499"/>
      <c r="QWA71" s="499"/>
      <c r="QWB71" s="499"/>
      <c r="QWC71" s="499"/>
      <c r="QWD71" s="499"/>
      <c r="QWE71" s="499"/>
      <c r="QWF71" s="499"/>
      <c r="QWG71" s="499"/>
      <c r="QWH71" s="499"/>
      <c r="QWI71" s="499"/>
      <c r="QWJ71" s="499"/>
      <c r="QWK71" s="499"/>
      <c r="QWL71" s="499"/>
      <c r="QWM71" s="499"/>
      <c r="QWN71" s="499"/>
      <c r="QWO71" s="499"/>
      <c r="QWP71" s="499"/>
      <c r="QWQ71" s="499"/>
      <c r="QWR71" s="499"/>
      <c r="QWS71" s="499"/>
      <c r="QWT71" s="499"/>
      <c r="QWU71" s="499"/>
      <c r="QWV71" s="499"/>
      <c r="QWW71" s="499"/>
      <c r="QWX71" s="499"/>
      <c r="QWY71" s="499"/>
      <c r="QWZ71" s="499"/>
      <c r="QXA71" s="499"/>
      <c r="QXB71" s="499"/>
      <c r="QXC71" s="499"/>
      <c r="QXD71" s="499"/>
      <c r="QXE71" s="499"/>
      <c r="QXF71" s="499"/>
      <c r="QXG71" s="499"/>
      <c r="QXH71" s="499"/>
      <c r="QXI71" s="499"/>
      <c r="QXJ71" s="499"/>
      <c r="QXK71" s="499"/>
      <c r="QXL71" s="499"/>
      <c r="QXM71" s="499"/>
      <c r="QXN71" s="499"/>
      <c r="QXO71" s="499"/>
      <c r="QXP71" s="499"/>
      <c r="QXQ71" s="499"/>
      <c r="QXR71" s="499"/>
      <c r="QXS71" s="499"/>
      <c r="QXT71" s="499"/>
      <c r="QXU71" s="499"/>
      <c r="QXV71" s="499"/>
      <c r="QXW71" s="499"/>
      <c r="QXX71" s="499"/>
      <c r="QXY71" s="499"/>
      <c r="QXZ71" s="499"/>
      <c r="QYA71" s="499"/>
      <c r="QYB71" s="499"/>
      <c r="QYC71" s="499"/>
      <c r="QYD71" s="499"/>
      <c r="QYE71" s="499"/>
      <c r="QYF71" s="499"/>
      <c r="QYG71" s="499"/>
      <c r="QYH71" s="499"/>
      <c r="QYI71" s="499"/>
      <c r="QYJ71" s="499"/>
      <c r="QYK71" s="499"/>
      <c r="QYL71" s="499"/>
      <c r="QYM71" s="499"/>
      <c r="QYN71" s="499"/>
      <c r="QYO71" s="499"/>
      <c r="QYP71" s="499"/>
      <c r="QYQ71" s="499"/>
      <c r="QYR71" s="499"/>
      <c r="QYS71" s="499"/>
      <c r="QYT71" s="499"/>
      <c r="QYU71" s="499"/>
      <c r="QYV71" s="499"/>
      <c r="QYW71" s="499"/>
      <c r="QYX71" s="499"/>
      <c r="QYY71" s="499"/>
      <c r="QYZ71" s="499"/>
      <c r="QZA71" s="499"/>
      <c r="QZB71" s="499"/>
      <c r="QZC71" s="499"/>
      <c r="QZD71" s="499"/>
      <c r="QZE71" s="499"/>
      <c r="QZF71" s="499"/>
      <c r="QZG71" s="499"/>
      <c r="QZH71" s="499"/>
      <c r="QZI71" s="499"/>
      <c r="QZJ71" s="499"/>
      <c r="QZK71" s="499"/>
      <c r="QZL71" s="499"/>
      <c r="QZM71" s="499"/>
      <c r="QZN71" s="499"/>
      <c r="QZO71" s="499"/>
      <c r="QZP71" s="499"/>
      <c r="QZQ71" s="499"/>
      <c r="QZR71" s="499"/>
      <c r="QZS71" s="499"/>
      <c r="QZT71" s="499"/>
      <c r="QZU71" s="499"/>
      <c r="QZV71" s="499"/>
      <c r="QZW71" s="499"/>
      <c r="QZX71" s="499"/>
      <c r="QZY71" s="499"/>
      <c r="QZZ71" s="499"/>
      <c r="RAA71" s="499"/>
      <c r="RAB71" s="499"/>
      <c r="RAC71" s="499"/>
      <c r="RAD71" s="499"/>
      <c r="RAE71" s="499"/>
      <c r="RAF71" s="499"/>
      <c r="RAG71" s="499"/>
      <c r="RAH71" s="499"/>
      <c r="RAI71" s="499"/>
      <c r="RAJ71" s="499"/>
      <c r="RAK71" s="499"/>
      <c r="RAL71" s="499"/>
      <c r="RAM71" s="499"/>
      <c r="RAN71" s="499"/>
      <c r="RAO71" s="499"/>
      <c r="RAP71" s="499"/>
      <c r="RAQ71" s="499"/>
      <c r="RAR71" s="499"/>
      <c r="RAS71" s="499"/>
      <c r="RAT71" s="499"/>
      <c r="RAU71" s="499"/>
      <c r="RAV71" s="499"/>
      <c r="RAW71" s="499"/>
      <c r="RAX71" s="499"/>
      <c r="RAY71" s="499"/>
      <c r="RAZ71" s="499"/>
      <c r="RBA71" s="499"/>
      <c r="RBB71" s="499"/>
      <c r="RBC71" s="499"/>
      <c r="RBD71" s="499"/>
      <c r="RBE71" s="499"/>
      <c r="RBF71" s="499"/>
      <c r="RBG71" s="499"/>
      <c r="RBH71" s="499"/>
      <c r="RBI71" s="499"/>
      <c r="RBJ71" s="499"/>
      <c r="RBK71" s="499"/>
      <c r="RBL71" s="499"/>
      <c r="RBM71" s="499"/>
      <c r="RBN71" s="499"/>
      <c r="RBO71" s="499"/>
      <c r="RBP71" s="499"/>
      <c r="RBQ71" s="499"/>
      <c r="RBR71" s="499"/>
      <c r="RBS71" s="499"/>
      <c r="RBT71" s="499"/>
      <c r="RBU71" s="499"/>
      <c r="RBV71" s="499"/>
      <c r="RBW71" s="499"/>
      <c r="RBX71" s="499"/>
      <c r="RBY71" s="499"/>
      <c r="RBZ71" s="499"/>
      <c r="RCA71" s="499"/>
      <c r="RCB71" s="499"/>
      <c r="RCC71" s="499"/>
      <c r="RCD71" s="499"/>
      <c r="RCE71" s="499"/>
      <c r="RCF71" s="499"/>
      <c r="RCG71" s="499"/>
      <c r="RCH71" s="499"/>
      <c r="RCI71" s="499"/>
      <c r="RCJ71" s="499"/>
      <c r="RCK71" s="499"/>
      <c r="RCL71" s="499"/>
      <c r="RCM71" s="499"/>
      <c r="RCN71" s="499"/>
      <c r="RCO71" s="499"/>
      <c r="RCP71" s="499"/>
      <c r="RCQ71" s="499"/>
      <c r="RCR71" s="499"/>
      <c r="RCS71" s="499"/>
      <c r="RCT71" s="499"/>
      <c r="RCU71" s="499"/>
      <c r="RCV71" s="499"/>
      <c r="RCW71" s="499"/>
      <c r="RCX71" s="499"/>
      <c r="RCY71" s="499"/>
      <c r="RCZ71" s="499"/>
      <c r="RDA71" s="499"/>
      <c r="RDB71" s="499"/>
      <c r="RDC71" s="499"/>
      <c r="RDD71" s="499"/>
      <c r="RDE71" s="499"/>
      <c r="RDF71" s="499"/>
      <c r="RDG71" s="499"/>
      <c r="RDH71" s="499"/>
      <c r="RDI71" s="499"/>
      <c r="RDJ71" s="499"/>
      <c r="RDK71" s="499"/>
      <c r="RDL71" s="499"/>
      <c r="RDM71" s="499"/>
      <c r="RDN71" s="499"/>
      <c r="RDO71" s="499"/>
      <c r="RDP71" s="499"/>
      <c r="RDQ71" s="499"/>
      <c r="RDR71" s="499"/>
      <c r="RDS71" s="499"/>
      <c r="RDT71" s="499"/>
      <c r="RDU71" s="499"/>
      <c r="RDV71" s="499"/>
      <c r="RDW71" s="499"/>
      <c r="RDX71" s="499"/>
      <c r="RDY71" s="499"/>
      <c r="RDZ71" s="499"/>
      <c r="REA71" s="499"/>
      <c r="REB71" s="499"/>
      <c r="REC71" s="499"/>
      <c r="RED71" s="499"/>
      <c r="REE71" s="499"/>
      <c r="REF71" s="499"/>
      <c r="REG71" s="499"/>
      <c r="REH71" s="499"/>
      <c r="REI71" s="499"/>
      <c r="REJ71" s="499"/>
      <c r="REK71" s="499"/>
      <c r="REL71" s="499"/>
      <c r="REM71" s="499"/>
      <c r="REN71" s="499"/>
      <c r="REO71" s="499"/>
      <c r="REP71" s="499"/>
      <c r="REQ71" s="499"/>
      <c r="RER71" s="499"/>
      <c r="RES71" s="499"/>
      <c r="RET71" s="499"/>
      <c r="REU71" s="499"/>
      <c r="REV71" s="499"/>
      <c r="REW71" s="499"/>
      <c r="REX71" s="499"/>
      <c r="REY71" s="499"/>
      <c r="REZ71" s="499"/>
      <c r="RFA71" s="499"/>
      <c r="RFB71" s="499"/>
      <c r="RFC71" s="499"/>
      <c r="RFD71" s="499"/>
      <c r="RFE71" s="499"/>
      <c r="RFF71" s="499"/>
      <c r="RFG71" s="499"/>
      <c r="RFH71" s="499"/>
      <c r="RFI71" s="499"/>
      <c r="RFJ71" s="499"/>
      <c r="RFK71" s="499"/>
      <c r="RFL71" s="499"/>
      <c r="RFM71" s="499"/>
      <c r="RFN71" s="499"/>
      <c r="RFO71" s="499"/>
      <c r="RFP71" s="499"/>
      <c r="RFQ71" s="499"/>
      <c r="RFR71" s="499"/>
      <c r="RFS71" s="499"/>
      <c r="RFT71" s="499"/>
      <c r="RFU71" s="499"/>
      <c r="RFV71" s="499"/>
      <c r="RFW71" s="499"/>
      <c r="RFX71" s="499"/>
      <c r="RFY71" s="499"/>
      <c r="RFZ71" s="499"/>
      <c r="RGA71" s="499"/>
      <c r="RGB71" s="499"/>
      <c r="RGC71" s="499"/>
      <c r="RGD71" s="499"/>
      <c r="RGE71" s="499"/>
      <c r="RGF71" s="499"/>
      <c r="RGG71" s="499"/>
      <c r="RGH71" s="499"/>
      <c r="RGI71" s="499"/>
      <c r="RGJ71" s="499"/>
      <c r="RGK71" s="499"/>
      <c r="RGL71" s="499"/>
      <c r="RGM71" s="499"/>
      <c r="RGN71" s="499"/>
      <c r="RGO71" s="499"/>
      <c r="RGP71" s="499"/>
      <c r="RGQ71" s="499"/>
      <c r="RGR71" s="499"/>
      <c r="RGS71" s="499"/>
      <c r="RGT71" s="499"/>
      <c r="RGU71" s="499"/>
      <c r="RGV71" s="499"/>
      <c r="RGW71" s="499"/>
      <c r="RGX71" s="499"/>
      <c r="RGY71" s="499"/>
      <c r="RGZ71" s="499"/>
      <c r="RHA71" s="499"/>
      <c r="RHB71" s="499"/>
      <c r="RHC71" s="499"/>
      <c r="RHD71" s="499"/>
      <c r="RHE71" s="499"/>
      <c r="RHF71" s="499"/>
      <c r="RHG71" s="499"/>
      <c r="RHH71" s="499"/>
      <c r="RHI71" s="499"/>
      <c r="RHJ71" s="499"/>
      <c r="RHK71" s="499"/>
      <c r="RHL71" s="499"/>
      <c r="RHM71" s="499"/>
      <c r="RHN71" s="499"/>
      <c r="RHO71" s="499"/>
      <c r="RHP71" s="499"/>
      <c r="RHQ71" s="499"/>
      <c r="RHR71" s="499"/>
      <c r="RHS71" s="499"/>
      <c r="RHT71" s="499"/>
      <c r="RHU71" s="499"/>
      <c r="RHV71" s="499"/>
      <c r="RHW71" s="499"/>
      <c r="RHX71" s="499"/>
      <c r="RHY71" s="499"/>
      <c r="RHZ71" s="499"/>
      <c r="RIA71" s="499"/>
      <c r="RIB71" s="499"/>
      <c r="RIC71" s="499"/>
      <c r="RID71" s="499"/>
      <c r="RIE71" s="499"/>
      <c r="RIF71" s="499"/>
      <c r="RIG71" s="499"/>
      <c r="RIH71" s="499"/>
      <c r="RII71" s="499"/>
      <c r="RIJ71" s="499"/>
      <c r="RIK71" s="499"/>
      <c r="RIL71" s="499"/>
      <c r="RIM71" s="499"/>
      <c r="RIN71" s="499"/>
      <c r="RIO71" s="499"/>
      <c r="RIP71" s="499"/>
      <c r="RIQ71" s="499"/>
      <c r="RIR71" s="499"/>
      <c r="RIS71" s="499"/>
      <c r="RIT71" s="499"/>
      <c r="RIU71" s="499"/>
      <c r="RIV71" s="499"/>
      <c r="RIW71" s="499"/>
      <c r="RIX71" s="499"/>
      <c r="RIY71" s="499"/>
      <c r="RIZ71" s="499"/>
      <c r="RJA71" s="499"/>
      <c r="RJB71" s="499"/>
      <c r="RJC71" s="499"/>
      <c r="RJD71" s="499"/>
      <c r="RJE71" s="499"/>
      <c r="RJF71" s="499"/>
      <c r="RJG71" s="499"/>
      <c r="RJH71" s="499"/>
      <c r="RJI71" s="499"/>
      <c r="RJJ71" s="499"/>
      <c r="RJK71" s="499"/>
      <c r="RJL71" s="499"/>
      <c r="RJM71" s="499"/>
      <c r="RJN71" s="499"/>
      <c r="RJO71" s="499"/>
      <c r="RJP71" s="499"/>
      <c r="RJQ71" s="499"/>
      <c r="RJR71" s="499"/>
      <c r="RJS71" s="499"/>
      <c r="RJT71" s="499"/>
      <c r="RJU71" s="499"/>
      <c r="RJV71" s="499"/>
      <c r="RJW71" s="499"/>
      <c r="RJX71" s="499"/>
      <c r="RJY71" s="499"/>
      <c r="RJZ71" s="499"/>
      <c r="RKA71" s="499"/>
      <c r="RKB71" s="499"/>
      <c r="RKC71" s="499"/>
      <c r="RKD71" s="499"/>
      <c r="RKE71" s="499"/>
      <c r="RKF71" s="499"/>
      <c r="RKG71" s="499"/>
      <c r="RKH71" s="499"/>
      <c r="RKI71" s="499"/>
      <c r="RKJ71" s="499"/>
      <c r="RKK71" s="499"/>
      <c r="RKL71" s="499"/>
      <c r="RKM71" s="499"/>
      <c r="RKN71" s="499"/>
      <c r="RKO71" s="499"/>
      <c r="RKP71" s="499"/>
      <c r="RKQ71" s="499"/>
      <c r="RKR71" s="499"/>
      <c r="RKS71" s="499"/>
      <c r="RKT71" s="499"/>
      <c r="RKU71" s="499"/>
      <c r="RKV71" s="499"/>
      <c r="RKW71" s="499"/>
      <c r="RKX71" s="499"/>
      <c r="RKY71" s="499"/>
      <c r="RKZ71" s="499"/>
      <c r="RLA71" s="499"/>
      <c r="RLB71" s="499"/>
      <c r="RLC71" s="499"/>
      <c r="RLD71" s="499"/>
      <c r="RLE71" s="499"/>
      <c r="RLF71" s="499"/>
      <c r="RLG71" s="499"/>
      <c r="RLH71" s="499"/>
      <c r="RLI71" s="499"/>
      <c r="RLJ71" s="499"/>
      <c r="RLK71" s="499"/>
      <c r="RLL71" s="499"/>
      <c r="RLM71" s="499"/>
      <c r="RLN71" s="499"/>
      <c r="RLO71" s="499"/>
      <c r="RLP71" s="499"/>
      <c r="RLQ71" s="499"/>
      <c r="RLR71" s="499"/>
      <c r="RLS71" s="499"/>
      <c r="RLT71" s="499"/>
      <c r="RLU71" s="499"/>
      <c r="RLV71" s="499"/>
      <c r="RLW71" s="499"/>
      <c r="RLX71" s="499"/>
      <c r="RLY71" s="499"/>
      <c r="RLZ71" s="499"/>
      <c r="RMA71" s="499"/>
      <c r="RMB71" s="499"/>
      <c r="RMC71" s="499"/>
      <c r="RMD71" s="499"/>
      <c r="RME71" s="499"/>
      <c r="RMF71" s="499"/>
      <c r="RMG71" s="499"/>
      <c r="RMH71" s="499"/>
      <c r="RMI71" s="499"/>
      <c r="RMJ71" s="499"/>
      <c r="RMK71" s="499"/>
      <c r="RML71" s="499"/>
      <c r="RMM71" s="499"/>
      <c r="RMN71" s="499"/>
      <c r="RMO71" s="499"/>
      <c r="RMP71" s="499"/>
      <c r="RMQ71" s="499"/>
      <c r="RMR71" s="499"/>
      <c r="RMS71" s="499"/>
      <c r="RMT71" s="499"/>
      <c r="RMU71" s="499"/>
      <c r="RMV71" s="499"/>
      <c r="RMW71" s="499"/>
      <c r="RMX71" s="499"/>
      <c r="RMY71" s="499"/>
      <c r="RMZ71" s="499"/>
      <c r="RNA71" s="499"/>
      <c r="RNB71" s="499"/>
      <c r="RNC71" s="499"/>
      <c r="RND71" s="499"/>
      <c r="RNE71" s="499"/>
      <c r="RNF71" s="499"/>
      <c r="RNG71" s="499"/>
      <c r="RNH71" s="499"/>
      <c r="RNI71" s="499"/>
      <c r="RNJ71" s="499"/>
      <c r="RNK71" s="499"/>
      <c r="RNL71" s="499"/>
      <c r="RNM71" s="499"/>
      <c r="RNN71" s="499"/>
      <c r="RNO71" s="499"/>
      <c r="RNP71" s="499"/>
      <c r="RNQ71" s="499"/>
      <c r="RNR71" s="499"/>
      <c r="RNS71" s="499"/>
      <c r="RNT71" s="499"/>
      <c r="RNU71" s="499"/>
      <c r="RNV71" s="499"/>
      <c r="RNW71" s="499"/>
      <c r="RNX71" s="499"/>
      <c r="RNY71" s="499"/>
      <c r="RNZ71" s="499"/>
      <c r="ROA71" s="499"/>
      <c r="ROB71" s="499"/>
      <c r="ROC71" s="499"/>
      <c r="ROD71" s="499"/>
      <c r="ROE71" s="499"/>
      <c r="ROF71" s="499"/>
      <c r="ROG71" s="499"/>
      <c r="ROH71" s="499"/>
      <c r="ROI71" s="499"/>
      <c r="ROJ71" s="499"/>
      <c r="ROK71" s="499"/>
      <c r="ROL71" s="499"/>
      <c r="ROM71" s="499"/>
      <c r="RON71" s="499"/>
      <c r="ROO71" s="499"/>
      <c r="ROP71" s="499"/>
      <c r="ROQ71" s="499"/>
      <c r="ROR71" s="499"/>
      <c r="ROS71" s="499"/>
      <c r="ROT71" s="499"/>
      <c r="ROU71" s="499"/>
      <c r="ROV71" s="499"/>
      <c r="ROW71" s="499"/>
      <c r="ROX71" s="499"/>
      <c r="ROY71" s="499"/>
      <c r="ROZ71" s="499"/>
      <c r="RPA71" s="499"/>
      <c r="RPB71" s="499"/>
      <c r="RPC71" s="499"/>
      <c r="RPD71" s="499"/>
      <c r="RPE71" s="499"/>
      <c r="RPF71" s="499"/>
      <c r="RPG71" s="499"/>
      <c r="RPH71" s="499"/>
      <c r="RPI71" s="499"/>
      <c r="RPJ71" s="499"/>
      <c r="RPK71" s="499"/>
      <c r="RPL71" s="499"/>
      <c r="RPM71" s="499"/>
      <c r="RPN71" s="499"/>
      <c r="RPO71" s="499"/>
      <c r="RPP71" s="499"/>
      <c r="RPQ71" s="499"/>
      <c r="RPR71" s="499"/>
      <c r="RPS71" s="499"/>
      <c r="RPT71" s="499"/>
      <c r="RPU71" s="499"/>
      <c r="RPV71" s="499"/>
      <c r="RPW71" s="499"/>
      <c r="RPX71" s="499"/>
      <c r="RPY71" s="499"/>
      <c r="RPZ71" s="499"/>
      <c r="RQA71" s="499"/>
      <c r="RQB71" s="499"/>
      <c r="RQC71" s="499"/>
      <c r="RQD71" s="499"/>
      <c r="RQE71" s="499"/>
      <c r="RQF71" s="499"/>
      <c r="RQG71" s="499"/>
      <c r="RQH71" s="499"/>
      <c r="RQI71" s="499"/>
      <c r="RQJ71" s="499"/>
      <c r="RQK71" s="499"/>
      <c r="RQL71" s="499"/>
      <c r="RQM71" s="499"/>
      <c r="RQN71" s="499"/>
      <c r="RQO71" s="499"/>
      <c r="RQP71" s="499"/>
      <c r="RQQ71" s="499"/>
      <c r="RQR71" s="499"/>
      <c r="RQS71" s="499"/>
      <c r="RQT71" s="499"/>
      <c r="RQU71" s="499"/>
      <c r="RQV71" s="499"/>
      <c r="RQW71" s="499"/>
      <c r="RQX71" s="499"/>
      <c r="RQY71" s="499"/>
      <c r="RQZ71" s="499"/>
      <c r="RRA71" s="499"/>
      <c r="RRB71" s="499"/>
      <c r="RRC71" s="499"/>
      <c r="RRD71" s="499"/>
      <c r="RRE71" s="499"/>
      <c r="RRF71" s="499"/>
      <c r="RRG71" s="499"/>
      <c r="RRH71" s="499"/>
      <c r="RRI71" s="499"/>
      <c r="RRJ71" s="499"/>
      <c r="RRK71" s="499"/>
      <c r="RRL71" s="499"/>
      <c r="RRM71" s="499"/>
      <c r="RRN71" s="499"/>
      <c r="RRO71" s="499"/>
      <c r="RRP71" s="499"/>
      <c r="RRQ71" s="499"/>
      <c r="RRR71" s="499"/>
      <c r="RRS71" s="499"/>
      <c r="RRT71" s="499"/>
      <c r="RRU71" s="499"/>
      <c r="RRV71" s="499"/>
      <c r="RRW71" s="499"/>
      <c r="RRX71" s="499"/>
      <c r="RRY71" s="499"/>
      <c r="RRZ71" s="499"/>
      <c r="RSA71" s="499"/>
      <c r="RSB71" s="499"/>
      <c r="RSC71" s="499"/>
      <c r="RSD71" s="499"/>
      <c r="RSE71" s="499"/>
      <c r="RSF71" s="499"/>
      <c r="RSG71" s="499"/>
      <c r="RSH71" s="499"/>
      <c r="RSI71" s="499"/>
      <c r="RSJ71" s="499"/>
      <c r="RSK71" s="499"/>
      <c r="RSL71" s="499"/>
      <c r="RSM71" s="499"/>
      <c r="RSN71" s="499"/>
      <c r="RSO71" s="499"/>
      <c r="RSP71" s="499"/>
      <c r="RSQ71" s="499"/>
      <c r="RSR71" s="499"/>
      <c r="RSS71" s="499"/>
      <c r="RST71" s="499"/>
      <c r="RSU71" s="499"/>
      <c r="RSV71" s="499"/>
      <c r="RSW71" s="499"/>
      <c r="RSX71" s="499"/>
      <c r="RSY71" s="499"/>
      <c r="RSZ71" s="499"/>
      <c r="RTA71" s="499"/>
      <c r="RTB71" s="499"/>
      <c r="RTC71" s="499"/>
      <c r="RTD71" s="499"/>
      <c r="RTE71" s="499"/>
      <c r="RTF71" s="499"/>
      <c r="RTG71" s="499"/>
      <c r="RTH71" s="499"/>
      <c r="RTI71" s="499"/>
      <c r="RTJ71" s="499"/>
      <c r="RTK71" s="499"/>
      <c r="RTL71" s="499"/>
      <c r="RTM71" s="499"/>
      <c r="RTN71" s="499"/>
      <c r="RTO71" s="499"/>
      <c r="RTP71" s="499"/>
      <c r="RTQ71" s="499"/>
      <c r="RTR71" s="499"/>
      <c r="RTS71" s="499"/>
      <c r="RTT71" s="499"/>
      <c r="RTU71" s="499"/>
      <c r="RTV71" s="499"/>
      <c r="RTW71" s="499"/>
      <c r="RTX71" s="499"/>
      <c r="RTY71" s="499"/>
      <c r="RTZ71" s="499"/>
      <c r="RUA71" s="499"/>
      <c r="RUB71" s="499"/>
      <c r="RUC71" s="499"/>
      <c r="RUD71" s="499"/>
      <c r="RUE71" s="499"/>
      <c r="RUF71" s="499"/>
      <c r="RUG71" s="499"/>
      <c r="RUH71" s="499"/>
      <c r="RUI71" s="499"/>
      <c r="RUJ71" s="499"/>
      <c r="RUK71" s="499"/>
      <c r="RUL71" s="499"/>
      <c r="RUM71" s="499"/>
      <c r="RUN71" s="499"/>
      <c r="RUO71" s="499"/>
      <c r="RUP71" s="499"/>
      <c r="RUQ71" s="499"/>
      <c r="RUR71" s="499"/>
      <c r="RUS71" s="499"/>
      <c r="RUT71" s="499"/>
      <c r="RUU71" s="499"/>
      <c r="RUV71" s="499"/>
      <c r="RUW71" s="499"/>
      <c r="RUX71" s="499"/>
      <c r="RUY71" s="499"/>
      <c r="RUZ71" s="499"/>
      <c r="RVA71" s="499"/>
      <c r="RVB71" s="499"/>
      <c r="RVC71" s="499"/>
      <c r="RVD71" s="499"/>
      <c r="RVE71" s="499"/>
      <c r="RVF71" s="499"/>
      <c r="RVG71" s="499"/>
      <c r="RVH71" s="499"/>
      <c r="RVI71" s="499"/>
      <c r="RVJ71" s="499"/>
      <c r="RVK71" s="499"/>
      <c r="RVL71" s="499"/>
      <c r="RVM71" s="499"/>
      <c r="RVN71" s="499"/>
      <c r="RVO71" s="499"/>
      <c r="RVP71" s="499"/>
      <c r="RVQ71" s="499"/>
      <c r="RVR71" s="499"/>
      <c r="RVS71" s="499"/>
      <c r="RVT71" s="499"/>
      <c r="RVU71" s="499"/>
      <c r="RVV71" s="499"/>
      <c r="RVW71" s="499"/>
      <c r="RVX71" s="499"/>
      <c r="RVY71" s="499"/>
      <c r="RVZ71" s="499"/>
      <c r="RWA71" s="499"/>
      <c r="RWB71" s="499"/>
      <c r="RWC71" s="499"/>
      <c r="RWD71" s="499"/>
      <c r="RWE71" s="499"/>
      <c r="RWF71" s="499"/>
      <c r="RWG71" s="499"/>
      <c r="RWH71" s="499"/>
      <c r="RWI71" s="499"/>
      <c r="RWJ71" s="499"/>
      <c r="RWK71" s="499"/>
      <c r="RWL71" s="499"/>
      <c r="RWM71" s="499"/>
      <c r="RWN71" s="499"/>
      <c r="RWO71" s="499"/>
      <c r="RWP71" s="499"/>
      <c r="RWQ71" s="499"/>
      <c r="RWR71" s="499"/>
      <c r="RWS71" s="499"/>
      <c r="RWT71" s="499"/>
      <c r="RWU71" s="499"/>
      <c r="RWV71" s="499"/>
      <c r="RWW71" s="499"/>
      <c r="RWX71" s="499"/>
      <c r="RWY71" s="499"/>
      <c r="RWZ71" s="499"/>
      <c r="RXA71" s="499"/>
      <c r="RXB71" s="499"/>
      <c r="RXC71" s="499"/>
      <c r="RXD71" s="499"/>
      <c r="RXE71" s="499"/>
      <c r="RXF71" s="499"/>
      <c r="RXG71" s="499"/>
      <c r="RXH71" s="499"/>
      <c r="RXI71" s="499"/>
      <c r="RXJ71" s="499"/>
      <c r="RXK71" s="499"/>
      <c r="RXL71" s="499"/>
      <c r="RXM71" s="499"/>
      <c r="RXN71" s="499"/>
      <c r="RXO71" s="499"/>
      <c r="RXP71" s="499"/>
      <c r="RXQ71" s="499"/>
      <c r="RXR71" s="499"/>
      <c r="RXS71" s="499"/>
      <c r="RXT71" s="499"/>
      <c r="RXU71" s="499"/>
      <c r="RXV71" s="499"/>
      <c r="RXW71" s="499"/>
      <c r="RXX71" s="499"/>
      <c r="RXY71" s="499"/>
      <c r="RXZ71" s="499"/>
      <c r="RYA71" s="499"/>
      <c r="RYB71" s="499"/>
      <c r="RYC71" s="499"/>
      <c r="RYD71" s="499"/>
      <c r="RYE71" s="499"/>
      <c r="RYF71" s="499"/>
      <c r="RYG71" s="499"/>
      <c r="RYH71" s="499"/>
      <c r="RYI71" s="499"/>
      <c r="RYJ71" s="499"/>
      <c r="RYK71" s="499"/>
      <c r="RYL71" s="499"/>
      <c r="RYM71" s="499"/>
      <c r="RYN71" s="499"/>
      <c r="RYO71" s="499"/>
      <c r="RYP71" s="499"/>
      <c r="RYQ71" s="499"/>
      <c r="RYR71" s="499"/>
      <c r="RYS71" s="499"/>
      <c r="RYT71" s="499"/>
      <c r="RYU71" s="499"/>
      <c r="RYV71" s="499"/>
      <c r="RYW71" s="499"/>
      <c r="RYX71" s="499"/>
      <c r="RYY71" s="499"/>
      <c r="RYZ71" s="499"/>
      <c r="RZA71" s="499"/>
      <c r="RZB71" s="499"/>
      <c r="RZC71" s="499"/>
      <c r="RZD71" s="499"/>
      <c r="RZE71" s="499"/>
      <c r="RZF71" s="499"/>
      <c r="RZG71" s="499"/>
      <c r="RZH71" s="499"/>
      <c r="RZI71" s="499"/>
      <c r="RZJ71" s="499"/>
      <c r="RZK71" s="499"/>
      <c r="RZL71" s="499"/>
      <c r="RZM71" s="499"/>
      <c r="RZN71" s="499"/>
      <c r="RZO71" s="499"/>
      <c r="RZP71" s="499"/>
      <c r="RZQ71" s="499"/>
      <c r="RZR71" s="499"/>
      <c r="RZS71" s="499"/>
      <c r="RZT71" s="499"/>
      <c r="RZU71" s="499"/>
      <c r="RZV71" s="499"/>
      <c r="RZW71" s="499"/>
      <c r="RZX71" s="499"/>
      <c r="RZY71" s="499"/>
      <c r="RZZ71" s="499"/>
      <c r="SAA71" s="499"/>
      <c r="SAB71" s="499"/>
      <c r="SAC71" s="499"/>
      <c r="SAD71" s="499"/>
      <c r="SAE71" s="499"/>
      <c r="SAF71" s="499"/>
      <c r="SAG71" s="499"/>
      <c r="SAH71" s="499"/>
      <c r="SAI71" s="499"/>
      <c r="SAJ71" s="499"/>
      <c r="SAK71" s="499"/>
      <c r="SAL71" s="499"/>
      <c r="SAM71" s="499"/>
      <c r="SAN71" s="499"/>
      <c r="SAO71" s="499"/>
      <c r="SAP71" s="499"/>
      <c r="SAQ71" s="499"/>
      <c r="SAR71" s="499"/>
      <c r="SAS71" s="499"/>
      <c r="SAT71" s="499"/>
      <c r="SAU71" s="499"/>
      <c r="SAV71" s="499"/>
      <c r="SAW71" s="499"/>
      <c r="SAX71" s="499"/>
      <c r="SAY71" s="499"/>
      <c r="SAZ71" s="499"/>
      <c r="SBA71" s="499"/>
      <c r="SBB71" s="499"/>
      <c r="SBC71" s="499"/>
      <c r="SBD71" s="499"/>
      <c r="SBE71" s="499"/>
      <c r="SBF71" s="499"/>
      <c r="SBG71" s="499"/>
      <c r="SBH71" s="499"/>
      <c r="SBI71" s="499"/>
      <c r="SBJ71" s="499"/>
      <c r="SBK71" s="499"/>
      <c r="SBL71" s="499"/>
      <c r="SBM71" s="499"/>
      <c r="SBN71" s="499"/>
      <c r="SBO71" s="499"/>
      <c r="SBP71" s="499"/>
      <c r="SBQ71" s="499"/>
      <c r="SBR71" s="499"/>
      <c r="SBS71" s="499"/>
      <c r="SBT71" s="499"/>
      <c r="SBU71" s="499"/>
      <c r="SBV71" s="499"/>
      <c r="SBW71" s="499"/>
      <c r="SBX71" s="499"/>
      <c r="SBY71" s="499"/>
      <c r="SBZ71" s="499"/>
      <c r="SCA71" s="499"/>
      <c r="SCB71" s="499"/>
      <c r="SCC71" s="499"/>
      <c r="SCD71" s="499"/>
      <c r="SCE71" s="499"/>
      <c r="SCF71" s="499"/>
      <c r="SCG71" s="499"/>
      <c r="SCH71" s="499"/>
      <c r="SCI71" s="499"/>
      <c r="SCJ71" s="499"/>
      <c r="SCK71" s="499"/>
      <c r="SCL71" s="499"/>
      <c r="SCM71" s="499"/>
      <c r="SCN71" s="499"/>
      <c r="SCO71" s="499"/>
      <c r="SCP71" s="499"/>
      <c r="SCQ71" s="499"/>
      <c r="SCR71" s="499"/>
      <c r="SCS71" s="499"/>
      <c r="SCT71" s="499"/>
      <c r="SCU71" s="499"/>
      <c r="SCV71" s="499"/>
      <c r="SCW71" s="499"/>
      <c r="SCX71" s="499"/>
      <c r="SCY71" s="499"/>
      <c r="SCZ71" s="499"/>
      <c r="SDA71" s="499"/>
      <c r="SDB71" s="499"/>
      <c r="SDC71" s="499"/>
      <c r="SDD71" s="499"/>
      <c r="SDE71" s="499"/>
      <c r="SDF71" s="499"/>
      <c r="SDG71" s="499"/>
      <c r="SDH71" s="499"/>
      <c r="SDI71" s="499"/>
      <c r="SDJ71" s="499"/>
      <c r="SDK71" s="499"/>
      <c r="SDL71" s="499"/>
      <c r="SDM71" s="499"/>
      <c r="SDN71" s="499"/>
      <c r="SDO71" s="499"/>
      <c r="SDP71" s="499"/>
      <c r="SDQ71" s="499"/>
      <c r="SDR71" s="499"/>
      <c r="SDS71" s="499"/>
      <c r="SDT71" s="499"/>
      <c r="SDU71" s="499"/>
      <c r="SDV71" s="499"/>
      <c r="SDW71" s="499"/>
      <c r="SDX71" s="499"/>
      <c r="SDY71" s="499"/>
      <c r="SDZ71" s="499"/>
      <c r="SEA71" s="499"/>
      <c r="SEB71" s="499"/>
      <c r="SEC71" s="499"/>
      <c r="SED71" s="499"/>
      <c r="SEE71" s="499"/>
      <c r="SEF71" s="499"/>
      <c r="SEG71" s="499"/>
      <c r="SEH71" s="499"/>
      <c r="SEI71" s="499"/>
      <c r="SEJ71" s="499"/>
      <c r="SEK71" s="499"/>
      <c r="SEL71" s="499"/>
      <c r="SEM71" s="499"/>
      <c r="SEN71" s="499"/>
      <c r="SEO71" s="499"/>
      <c r="SEP71" s="499"/>
      <c r="SEQ71" s="499"/>
      <c r="SER71" s="499"/>
      <c r="SES71" s="499"/>
      <c r="SET71" s="499"/>
      <c r="SEU71" s="499"/>
      <c r="SEV71" s="499"/>
      <c r="SEW71" s="499"/>
      <c r="SEX71" s="499"/>
      <c r="SEY71" s="499"/>
      <c r="SEZ71" s="499"/>
      <c r="SFA71" s="499"/>
      <c r="SFB71" s="499"/>
      <c r="SFC71" s="499"/>
      <c r="SFD71" s="499"/>
      <c r="SFE71" s="499"/>
      <c r="SFF71" s="499"/>
      <c r="SFG71" s="499"/>
      <c r="SFH71" s="499"/>
      <c r="SFI71" s="499"/>
      <c r="SFJ71" s="499"/>
      <c r="SFK71" s="499"/>
      <c r="SFL71" s="499"/>
      <c r="SFM71" s="499"/>
      <c r="SFN71" s="499"/>
      <c r="SFO71" s="499"/>
      <c r="SFP71" s="499"/>
      <c r="SFQ71" s="499"/>
      <c r="SFR71" s="499"/>
      <c r="SFS71" s="499"/>
      <c r="SFT71" s="499"/>
      <c r="SFU71" s="499"/>
      <c r="SFV71" s="499"/>
      <c r="SFW71" s="499"/>
      <c r="SFX71" s="499"/>
      <c r="SFY71" s="499"/>
      <c r="SFZ71" s="499"/>
      <c r="SGA71" s="499"/>
      <c r="SGB71" s="499"/>
      <c r="SGC71" s="499"/>
      <c r="SGD71" s="499"/>
      <c r="SGE71" s="499"/>
      <c r="SGF71" s="499"/>
      <c r="SGG71" s="499"/>
      <c r="SGH71" s="499"/>
      <c r="SGI71" s="499"/>
      <c r="SGJ71" s="499"/>
      <c r="SGK71" s="499"/>
      <c r="SGL71" s="499"/>
      <c r="SGM71" s="499"/>
      <c r="SGN71" s="499"/>
      <c r="SGO71" s="499"/>
      <c r="SGP71" s="499"/>
      <c r="SGQ71" s="499"/>
      <c r="SGR71" s="499"/>
      <c r="SGS71" s="499"/>
      <c r="SGT71" s="499"/>
      <c r="SGU71" s="499"/>
      <c r="SGV71" s="499"/>
      <c r="SGW71" s="499"/>
      <c r="SGX71" s="499"/>
      <c r="SGY71" s="499"/>
      <c r="SGZ71" s="499"/>
      <c r="SHA71" s="499"/>
      <c r="SHB71" s="499"/>
      <c r="SHC71" s="499"/>
      <c r="SHD71" s="499"/>
      <c r="SHE71" s="499"/>
      <c r="SHF71" s="499"/>
      <c r="SHG71" s="499"/>
      <c r="SHH71" s="499"/>
      <c r="SHI71" s="499"/>
      <c r="SHJ71" s="499"/>
      <c r="SHK71" s="499"/>
      <c r="SHL71" s="499"/>
      <c r="SHM71" s="499"/>
      <c r="SHN71" s="499"/>
      <c r="SHO71" s="499"/>
      <c r="SHP71" s="499"/>
      <c r="SHQ71" s="499"/>
      <c r="SHR71" s="499"/>
      <c r="SHS71" s="499"/>
      <c r="SHT71" s="499"/>
      <c r="SHU71" s="499"/>
      <c r="SHV71" s="499"/>
      <c r="SHW71" s="499"/>
      <c r="SHX71" s="499"/>
      <c r="SHY71" s="499"/>
      <c r="SHZ71" s="499"/>
      <c r="SIA71" s="499"/>
      <c r="SIB71" s="499"/>
      <c r="SIC71" s="499"/>
      <c r="SID71" s="499"/>
      <c r="SIE71" s="499"/>
      <c r="SIF71" s="499"/>
      <c r="SIG71" s="499"/>
      <c r="SIH71" s="499"/>
      <c r="SII71" s="499"/>
      <c r="SIJ71" s="499"/>
      <c r="SIK71" s="499"/>
      <c r="SIL71" s="499"/>
      <c r="SIM71" s="499"/>
      <c r="SIN71" s="499"/>
      <c r="SIO71" s="499"/>
      <c r="SIP71" s="499"/>
      <c r="SIQ71" s="499"/>
      <c r="SIR71" s="499"/>
      <c r="SIS71" s="499"/>
      <c r="SIT71" s="499"/>
      <c r="SIU71" s="499"/>
      <c r="SIV71" s="499"/>
      <c r="SIW71" s="499"/>
      <c r="SIX71" s="499"/>
      <c r="SIY71" s="499"/>
      <c r="SIZ71" s="499"/>
      <c r="SJA71" s="499"/>
      <c r="SJB71" s="499"/>
      <c r="SJC71" s="499"/>
      <c r="SJD71" s="499"/>
      <c r="SJE71" s="499"/>
      <c r="SJF71" s="499"/>
      <c r="SJG71" s="499"/>
      <c r="SJH71" s="499"/>
      <c r="SJI71" s="499"/>
      <c r="SJJ71" s="499"/>
      <c r="SJK71" s="499"/>
      <c r="SJL71" s="499"/>
      <c r="SJM71" s="499"/>
      <c r="SJN71" s="499"/>
      <c r="SJO71" s="499"/>
      <c r="SJP71" s="499"/>
      <c r="SJQ71" s="499"/>
      <c r="SJR71" s="499"/>
      <c r="SJS71" s="499"/>
      <c r="SJT71" s="499"/>
      <c r="SJU71" s="499"/>
      <c r="SJV71" s="499"/>
      <c r="SJW71" s="499"/>
      <c r="SJX71" s="499"/>
      <c r="SJY71" s="499"/>
      <c r="SJZ71" s="499"/>
      <c r="SKA71" s="499"/>
      <c r="SKB71" s="499"/>
      <c r="SKC71" s="499"/>
      <c r="SKD71" s="499"/>
      <c r="SKE71" s="499"/>
      <c r="SKF71" s="499"/>
      <c r="SKG71" s="499"/>
      <c r="SKH71" s="499"/>
      <c r="SKI71" s="499"/>
      <c r="SKJ71" s="499"/>
      <c r="SKK71" s="499"/>
      <c r="SKL71" s="499"/>
      <c r="SKM71" s="499"/>
      <c r="SKN71" s="499"/>
      <c r="SKO71" s="499"/>
      <c r="SKP71" s="499"/>
      <c r="SKQ71" s="499"/>
      <c r="SKR71" s="499"/>
      <c r="SKS71" s="499"/>
      <c r="SKT71" s="499"/>
      <c r="SKU71" s="499"/>
      <c r="SKV71" s="499"/>
      <c r="SKW71" s="499"/>
      <c r="SKX71" s="499"/>
      <c r="SKY71" s="499"/>
      <c r="SKZ71" s="499"/>
      <c r="SLA71" s="499"/>
      <c r="SLB71" s="499"/>
      <c r="SLC71" s="499"/>
      <c r="SLD71" s="499"/>
      <c r="SLE71" s="499"/>
      <c r="SLF71" s="499"/>
      <c r="SLG71" s="499"/>
      <c r="SLH71" s="499"/>
      <c r="SLI71" s="499"/>
      <c r="SLJ71" s="499"/>
      <c r="SLK71" s="499"/>
      <c r="SLL71" s="499"/>
      <c r="SLM71" s="499"/>
      <c r="SLN71" s="499"/>
      <c r="SLO71" s="499"/>
      <c r="SLP71" s="499"/>
      <c r="SLQ71" s="499"/>
      <c r="SLR71" s="499"/>
      <c r="SLS71" s="499"/>
      <c r="SLT71" s="499"/>
      <c r="SLU71" s="499"/>
      <c r="SLV71" s="499"/>
      <c r="SLW71" s="499"/>
      <c r="SLX71" s="499"/>
      <c r="SLY71" s="499"/>
      <c r="SLZ71" s="499"/>
      <c r="SMA71" s="499"/>
      <c r="SMB71" s="499"/>
      <c r="SMC71" s="499"/>
      <c r="SMD71" s="499"/>
      <c r="SME71" s="499"/>
      <c r="SMF71" s="499"/>
      <c r="SMG71" s="499"/>
      <c r="SMH71" s="499"/>
      <c r="SMI71" s="499"/>
      <c r="SMJ71" s="499"/>
      <c r="SMK71" s="499"/>
      <c r="SML71" s="499"/>
      <c r="SMM71" s="499"/>
      <c r="SMN71" s="499"/>
      <c r="SMO71" s="499"/>
      <c r="SMP71" s="499"/>
      <c r="SMQ71" s="499"/>
      <c r="SMR71" s="499"/>
      <c r="SMS71" s="499"/>
      <c r="SMT71" s="499"/>
      <c r="SMU71" s="499"/>
      <c r="SMV71" s="499"/>
      <c r="SMW71" s="499"/>
      <c r="SMX71" s="499"/>
      <c r="SMY71" s="499"/>
      <c r="SMZ71" s="499"/>
      <c r="SNA71" s="499"/>
      <c r="SNB71" s="499"/>
      <c r="SNC71" s="499"/>
      <c r="SND71" s="499"/>
      <c r="SNE71" s="499"/>
      <c r="SNF71" s="499"/>
      <c r="SNG71" s="499"/>
      <c r="SNH71" s="499"/>
      <c r="SNI71" s="499"/>
      <c r="SNJ71" s="499"/>
      <c r="SNK71" s="499"/>
      <c r="SNL71" s="499"/>
      <c r="SNM71" s="499"/>
      <c r="SNN71" s="499"/>
      <c r="SNO71" s="499"/>
      <c r="SNP71" s="499"/>
      <c r="SNQ71" s="499"/>
      <c r="SNR71" s="499"/>
      <c r="SNS71" s="499"/>
      <c r="SNT71" s="499"/>
      <c r="SNU71" s="499"/>
      <c r="SNV71" s="499"/>
      <c r="SNW71" s="499"/>
      <c r="SNX71" s="499"/>
      <c r="SNY71" s="499"/>
      <c r="SNZ71" s="499"/>
      <c r="SOA71" s="499"/>
      <c r="SOB71" s="499"/>
      <c r="SOC71" s="499"/>
      <c r="SOD71" s="499"/>
      <c r="SOE71" s="499"/>
      <c r="SOF71" s="499"/>
      <c r="SOG71" s="499"/>
      <c r="SOH71" s="499"/>
      <c r="SOI71" s="499"/>
      <c r="SOJ71" s="499"/>
      <c r="SOK71" s="499"/>
      <c r="SOL71" s="499"/>
      <c r="SOM71" s="499"/>
      <c r="SON71" s="499"/>
      <c r="SOO71" s="499"/>
      <c r="SOP71" s="499"/>
      <c r="SOQ71" s="499"/>
      <c r="SOR71" s="499"/>
      <c r="SOS71" s="499"/>
      <c r="SOT71" s="499"/>
      <c r="SOU71" s="499"/>
      <c r="SOV71" s="499"/>
      <c r="SOW71" s="499"/>
      <c r="SOX71" s="499"/>
      <c r="SOY71" s="499"/>
      <c r="SOZ71" s="499"/>
      <c r="SPA71" s="499"/>
      <c r="SPB71" s="499"/>
      <c r="SPC71" s="499"/>
      <c r="SPD71" s="499"/>
      <c r="SPE71" s="499"/>
      <c r="SPF71" s="499"/>
      <c r="SPG71" s="499"/>
      <c r="SPH71" s="499"/>
      <c r="SPI71" s="499"/>
      <c r="SPJ71" s="499"/>
      <c r="SPK71" s="499"/>
      <c r="SPL71" s="499"/>
      <c r="SPM71" s="499"/>
      <c r="SPN71" s="499"/>
      <c r="SPO71" s="499"/>
      <c r="SPP71" s="499"/>
      <c r="SPQ71" s="499"/>
      <c r="SPR71" s="499"/>
      <c r="SPS71" s="499"/>
      <c r="SPT71" s="499"/>
      <c r="SPU71" s="499"/>
      <c r="SPV71" s="499"/>
      <c r="SPW71" s="499"/>
      <c r="SPX71" s="499"/>
      <c r="SPY71" s="499"/>
      <c r="SPZ71" s="499"/>
      <c r="SQA71" s="499"/>
      <c r="SQB71" s="499"/>
      <c r="SQC71" s="499"/>
      <c r="SQD71" s="499"/>
      <c r="SQE71" s="499"/>
      <c r="SQF71" s="499"/>
      <c r="SQG71" s="499"/>
      <c r="SQH71" s="499"/>
      <c r="SQI71" s="499"/>
      <c r="SQJ71" s="499"/>
      <c r="SQK71" s="499"/>
      <c r="SQL71" s="499"/>
      <c r="SQM71" s="499"/>
      <c r="SQN71" s="499"/>
      <c r="SQO71" s="499"/>
      <c r="SQP71" s="499"/>
      <c r="SQQ71" s="499"/>
      <c r="SQR71" s="499"/>
      <c r="SQS71" s="499"/>
      <c r="SQT71" s="499"/>
      <c r="SQU71" s="499"/>
      <c r="SQV71" s="499"/>
      <c r="SQW71" s="499"/>
      <c r="SQX71" s="499"/>
      <c r="SQY71" s="499"/>
      <c r="SQZ71" s="499"/>
      <c r="SRA71" s="499"/>
      <c r="SRB71" s="499"/>
      <c r="SRC71" s="499"/>
      <c r="SRD71" s="499"/>
      <c r="SRE71" s="499"/>
      <c r="SRF71" s="499"/>
      <c r="SRG71" s="499"/>
      <c r="SRH71" s="499"/>
      <c r="SRI71" s="499"/>
      <c r="SRJ71" s="499"/>
      <c r="SRK71" s="499"/>
      <c r="SRL71" s="499"/>
      <c r="SRM71" s="499"/>
      <c r="SRN71" s="499"/>
      <c r="SRO71" s="499"/>
      <c r="SRP71" s="499"/>
      <c r="SRQ71" s="499"/>
      <c r="SRR71" s="499"/>
      <c r="SRS71" s="499"/>
      <c r="SRT71" s="499"/>
      <c r="SRU71" s="499"/>
      <c r="SRV71" s="499"/>
      <c r="SRW71" s="499"/>
      <c r="SRX71" s="499"/>
      <c r="SRY71" s="499"/>
      <c r="SRZ71" s="499"/>
      <c r="SSA71" s="499"/>
      <c r="SSB71" s="499"/>
      <c r="SSC71" s="499"/>
      <c r="SSD71" s="499"/>
      <c r="SSE71" s="499"/>
      <c r="SSF71" s="499"/>
      <c r="SSG71" s="499"/>
      <c r="SSH71" s="499"/>
      <c r="SSI71" s="499"/>
      <c r="SSJ71" s="499"/>
      <c r="SSK71" s="499"/>
      <c r="SSL71" s="499"/>
      <c r="SSM71" s="499"/>
      <c r="SSN71" s="499"/>
      <c r="SSO71" s="499"/>
      <c r="SSP71" s="499"/>
      <c r="SSQ71" s="499"/>
      <c r="SSR71" s="499"/>
      <c r="SSS71" s="499"/>
      <c r="SST71" s="499"/>
      <c r="SSU71" s="499"/>
      <c r="SSV71" s="499"/>
      <c r="SSW71" s="499"/>
      <c r="SSX71" s="499"/>
      <c r="SSY71" s="499"/>
      <c r="SSZ71" s="499"/>
      <c r="STA71" s="499"/>
      <c r="STB71" s="499"/>
      <c r="STC71" s="499"/>
      <c r="STD71" s="499"/>
      <c r="STE71" s="499"/>
      <c r="STF71" s="499"/>
      <c r="STG71" s="499"/>
      <c r="STH71" s="499"/>
      <c r="STI71" s="499"/>
      <c r="STJ71" s="499"/>
      <c r="STK71" s="499"/>
      <c r="STL71" s="499"/>
      <c r="STM71" s="499"/>
      <c r="STN71" s="499"/>
      <c r="STO71" s="499"/>
      <c r="STP71" s="499"/>
      <c r="STQ71" s="499"/>
      <c r="STR71" s="499"/>
      <c r="STS71" s="499"/>
      <c r="STT71" s="499"/>
      <c r="STU71" s="499"/>
      <c r="STV71" s="499"/>
      <c r="STW71" s="499"/>
      <c r="STX71" s="499"/>
      <c r="STY71" s="499"/>
      <c r="STZ71" s="499"/>
      <c r="SUA71" s="499"/>
      <c r="SUB71" s="499"/>
      <c r="SUC71" s="499"/>
      <c r="SUD71" s="499"/>
      <c r="SUE71" s="499"/>
      <c r="SUF71" s="499"/>
      <c r="SUG71" s="499"/>
      <c r="SUH71" s="499"/>
      <c r="SUI71" s="499"/>
      <c r="SUJ71" s="499"/>
      <c r="SUK71" s="499"/>
      <c r="SUL71" s="499"/>
      <c r="SUM71" s="499"/>
      <c r="SUN71" s="499"/>
      <c r="SUO71" s="499"/>
      <c r="SUP71" s="499"/>
      <c r="SUQ71" s="499"/>
      <c r="SUR71" s="499"/>
      <c r="SUS71" s="499"/>
      <c r="SUT71" s="499"/>
      <c r="SUU71" s="499"/>
      <c r="SUV71" s="499"/>
      <c r="SUW71" s="499"/>
      <c r="SUX71" s="499"/>
      <c r="SUY71" s="499"/>
      <c r="SUZ71" s="499"/>
      <c r="SVA71" s="499"/>
      <c r="SVB71" s="499"/>
      <c r="SVC71" s="499"/>
      <c r="SVD71" s="499"/>
      <c r="SVE71" s="499"/>
      <c r="SVF71" s="499"/>
      <c r="SVG71" s="499"/>
      <c r="SVH71" s="499"/>
      <c r="SVI71" s="499"/>
      <c r="SVJ71" s="499"/>
      <c r="SVK71" s="499"/>
      <c r="SVL71" s="499"/>
      <c r="SVM71" s="499"/>
      <c r="SVN71" s="499"/>
      <c r="SVO71" s="499"/>
      <c r="SVP71" s="499"/>
      <c r="SVQ71" s="499"/>
      <c r="SVR71" s="499"/>
      <c r="SVS71" s="499"/>
      <c r="SVT71" s="499"/>
      <c r="SVU71" s="499"/>
      <c r="SVV71" s="499"/>
      <c r="SVW71" s="499"/>
      <c r="SVX71" s="499"/>
      <c r="SVY71" s="499"/>
      <c r="SVZ71" s="499"/>
      <c r="SWA71" s="499"/>
      <c r="SWB71" s="499"/>
      <c r="SWC71" s="499"/>
      <c r="SWD71" s="499"/>
      <c r="SWE71" s="499"/>
      <c r="SWF71" s="499"/>
      <c r="SWG71" s="499"/>
      <c r="SWH71" s="499"/>
      <c r="SWI71" s="499"/>
      <c r="SWJ71" s="499"/>
      <c r="SWK71" s="499"/>
      <c r="SWL71" s="499"/>
      <c r="SWM71" s="499"/>
      <c r="SWN71" s="499"/>
      <c r="SWO71" s="499"/>
      <c r="SWP71" s="499"/>
      <c r="SWQ71" s="499"/>
      <c r="SWR71" s="499"/>
      <c r="SWS71" s="499"/>
      <c r="SWT71" s="499"/>
      <c r="SWU71" s="499"/>
      <c r="SWV71" s="499"/>
      <c r="SWW71" s="499"/>
      <c r="SWX71" s="499"/>
      <c r="SWY71" s="499"/>
      <c r="SWZ71" s="499"/>
      <c r="SXA71" s="499"/>
      <c r="SXB71" s="499"/>
      <c r="SXC71" s="499"/>
      <c r="SXD71" s="499"/>
      <c r="SXE71" s="499"/>
      <c r="SXF71" s="499"/>
      <c r="SXG71" s="499"/>
      <c r="SXH71" s="499"/>
      <c r="SXI71" s="499"/>
      <c r="SXJ71" s="499"/>
      <c r="SXK71" s="499"/>
      <c r="SXL71" s="499"/>
      <c r="SXM71" s="499"/>
      <c r="SXN71" s="499"/>
      <c r="SXO71" s="499"/>
      <c r="SXP71" s="499"/>
      <c r="SXQ71" s="499"/>
      <c r="SXR71" s="499"/>
      <c r="SXS71" s="499"/>
      <c r="SXT71" s="499"/>
      <c r="SXU71" s="499"/>
      <c r="SXV71" s="499"/>
      <c r="SXW71" s="499"/>
      <c r="SXX71" s="499"/>
      <c r="SXY71" s="499"/>
      <c r="SXZ71" s="499"/>
      <c r="SYA71" s="499"/>
      <c r="SYB71" s="499"/>
      <c r="SYC71" s="499"/>
      <c r="SYD71" s="499"/>
      <c r="SYE71" s="499"/>
      <c r="SYF71" s="499"/>
      <c r="SYG71" s="499"/>
      <c r="SYH71" s="499"/>
      <c r="SYI71" s="499"/>
      <c r="SYJ71" s="499"/>
      <c r="SYK71" s="499"/>
      <c r="SYL71" s="499"/>
      <c r="SYM71" s="499"/>
      <c r="SYN71" s="499"/>
      <c r="SYO71" s="499"/>
      <c r="SYP71" s="499"/>
      <c r="SYQ71" s="499"/>
      <c r="SYR71" s="499"/>
      <c r="SYS71" s="499"/>
      <c r="SYT71" s="499"/>
      <c r="SYU71" s="499"/>
      <c r="SYV71" s="499"/>
      <c r="SYW71" s="499"/>
      <c r="SYX71" s="499"/>
      <c r="SYY71" s="499"/>
      <c r="SYZ71" s="499"/>
      <c r="SZA71" s="499"/>
      <c r="SZB71" s="499"/>
      <c r="SZC71" s="499"/>
      <c r="SZD71" s="499"/>
      <c r="SZE71" s="499"/>
      <c r="SZF71" s="499"/>
      <c r="SZG71" s="499"/>
      <c r="SZH71" s="499"/>
      <c r="SZI71" s="499"/>
      <c r="SZJ71" s="499"/>
      <c r="SZK71" s="499"/>
      <c r="SZL71" s="499"/>
      <c r="SZM71" s="499"/>
      <c r="SZN71" s="499"/>
      <c r="SZO71" s="499"/>
      <c r="SZP71" s="499"/>
      <c r="SZQ71" s="499"/>
      <c r="SZR71" s="499"/>
      <c r="SZS71" s="499"/>
      <c r="SZT71" s="499"/>
      <c r="SZU71" s="499"/>
      <c r="SZV71" s="499"/>
      <c r="SZW71" s="499"/>
      <c r="SZX71" s="499"/>
      <c r="SZY71" s="499"/>
      <c r="SZZ71" s="499"/>
      <c r="TAA71" s="499"/>
      <c r="TAB71" s="499"/>
      <c r="TAC71" s="499"/>
      <c r="TAD71" s="499"/>
      <c r="TAE71" s="499"/>
      <c r="TAF71" s="499"/>
      <c r="TAG71" s="499"/>
      <c r="TAH71" s="499"/>
      <c r="TAI71" s="499"/>
      <c r="TAJ71" s="499"/>
      <c r="TAK71" s="499"/>
      <c r="TAL71" s="499"/>
      <c r="TAM71" s="499"/>
      <c r="TAN71" s="499"/>
      <c r="TAO71" s="499"/>
      <c r="TAP71" s="499"/>
      <c r="TAQ71" s="499"/>
      <c r="TAR71" s="499"/>
      <c r="TAS71" s="499"/>
      <c r="TAT71" s="499"/>
      <c r="TAU71" s="499"/>
      <c r="TAV71" s="499"/>
      <c r="TAW71" s="499"/>
      <c r="TAX71" s="499"/>
      <c r="TAY71" s="499"/>
      <c r="TAZ71" s="499"/>
      <c r="TBA71" s="499"/>
      <c r="TBB71" s="499"/>
      <c r="TBC71" s="499"/>
      <c r="TBD71" s="499"/>
      <c r="TBE71" s="499"/>
      <c r="TBF71" s="499"/>
      <c r="TBG71" s="499"/>
      <c r="TBH71" s="499"/>
      <c r="TBI71" s="499"/>
      <c r="TBJ71" s="499"/>
      <c r="TBK71" s="499"/>
      <c r="TBL71" s="499"/>
      <c r="TBM71" s="499"/>
      <c r="TBN71" s="499"/>
      <c r="TBO71" s="499"/>
      <c r="TBP71" s="499"/>
      <c r="TBQ71" s="499"/>
      <c r="TBR71" s="499"/>
      <c r="TBS71" s="499"/>
      <c r="TBT71" s="499"/>
      <c r="TBU71" s="499"/>
      <c r="TBV71" s="499"/>
      <c r="TBW71" s="499"/>
      <c r="TBX71" s="499"/>
      <c r="TBY71" s="499"/>
      <c r="TBZ71" s="499"/>
      <c r="TCA71" s="499"/>
      <c r="TCB71" s="499"/>
      <c r="TCC71" s="499"/>
      <c r="TCD71" s="499"/>
      <c r="TCE71" s="499"/>
      <c r="TCF71" s="499"/>
      <c r="TCG71" s="499"/>
      <c r="TCH71" s="499"/>
      <c r="TCI71" s="499"/>
      <c r="TCJ71" s="499"/>
      <c r="TCK71" s="499"/>
      <c r="TCL71" s="499"/>
      <c r="TCM71" s="499"/>
      <c r="TCN71" s="499"/>
      <c r="TCO71" s="499"/>
      <c r="TCP71" s="499"/>
      <c r="TCQ71" s="499"/>
      <c r="TCR71" s="499"/>
      <c r="TCS71" s="499"/>
      <c r="TCT71" s="499"/>
      <c r="TCU71" s="499"/>
      <c r="TCV71" s="499"/>
      <c r="TCW71" s="499"/>
      <c r="TCX71" s="499"/>
      <c r="TCY71" s="499"/>
      <c r="TCZ71" s="499"/>
      <c r="TDA71" s="499"/>
      <c r="TDB71" s="499"/>
      <c r="TDC71" s="499"/>
      <c r="TDD71" s="499"/>
      <c r="TDE71" s="499"/>
      <c r="TDF71" s="499"/>
      <c r="TDG71" s="499"/>
      <c r="TDH71" s="499"/>
      <c r="TDI71" s="499"/>
      <c r="TDJ71" s="499"/>
      <c r="TDK71" s="499"/>
      <c r="TDL71" s="499"/>
      <c r="TDM71" s="499"/>
      <c r="TDN71" s="499"/>
      <c r="TDO71" s="499"/>
      <c r="TDP71" s="499"/>
      <c r="TDQ71" s="499"/>
      <c r="TDR71" s="499"/>
      <c r="TDS71" s="499"/>
      <c r="TDT71" s="499"/>
      <c r="TDU71" s="499"/>
      <c r="TDV71" s="499"/>
      <c r="TDW71" s="499"/>
      <c r="TDX71" s="499"/>
      <c r="TDY71" s="499"/>
      <c r="TDZ71" s="499"/>
      <c r="TEA71" s="499"/>
      <c r="TEB71" s="499"/>
      <c r="TEC71" s="499"/>
      <c r="TED71" s="499"/>
      <c r="TEE71" s="499"/>
      <c r="TEF71" s="499"/>
      <c r="TEG71" s="499"/>
      <c r="TEH71" s="499"/>
      <c r="TEI71" s="499"/>
      <c r="TEJ71" s="499"/>
      <c r="TEK71" s="499"/>
      <c r="TEL71" s="499"/>
      <c r="TEM71" s="499"/>
      <c r="TEN71" s="499"/>
      <c r="TEO71" s="499"/>
      <c r="TEP71" s="499"/>
      <c r="TEQ71" s="499"/>
      <c r="TER71" s="499"/>
      <c r="TES71" s="499"/>
      <c r="TET71" s="499"/>
      <c r="TEU71" s="499"/>
      <c r="TEV71" s="499"/>
      <c r="TEW71" s="499"/>
      <c r="TEX71" s="499"/>
      <c r="TEY71" s="499"/>
      <c r="TEZ71" s="499"/>
      <c r="TFA71" s="499"/>
      <c r="TFB71" s="499"/>
      <c r="TFC71" s="499"/>
      <c r="TFD71" s="499"/>
      <c r="TFE71" s="499"/>
      <c r="TFF71" s="499"/>
      <c r="TFG71" s="499"/>
      <c r="TFH71" s="499"/>
      <c r="TFI71" s="499"/>
      <c r="TFJ71" s="499"/>
      <c r="TFK71" s="499"/>
      <c r="TFL71" s="499"/>
      <c r="TFM71" s="499"/>
      <c r="TFN71" s="499"/>
      <c r="TFO71" s="499"/>
      <c r="TFP71" s="499"/>
      <c r="TFQ71" s="499"/>
      <c r="TFR71" s="499"/>
      <c r="TFS71" s="499"/>
      <c r="TFT71" s="499"/>
      <c r="TFU71" s="499"/>
      <c r="TFV71" s="499"/>
      <c r="TFW71" s="499"/>
      <c r="TFX71" s="499"/>
      <c r="TFY71" s="499"/>
      <c r="TFZ71" s="499"/>
      <c r="TGA71" s="499"/>
      <c r="TGB71" s="499"/>
      <c r="TGC71" s="499"/>
      <c r="TGD71" s="499"/>
      <c r="TGE71" s="499"/>
      <c r="TGF71" s="499"/>
      <c r="TGG71" s="499"/>
      <c r="TGH71" s="499"/>
      <c r="TGI71" s="499"/>
      <c r="TGJ71" s="499"/>
      <c r="TGK71" s="499"/>
      <c r="TGL71" s="499"/>
      <c r="TGM71" s="499"/>
      <c r="TGN71" s="499"/>
      <c r="TGO71" s="499"/>
      <c r="TGP71" s="499"/>
      <c r="TGQ71" s="499"/>
      <c r="TGR71" s="499"/>
      <c r="TGS71" s="499"/>
      <c r="TGT71" s="499"/>
      <c r="TGU71" s="499"/>
      <c r="TGV71" s="499"/>
      <c r="TGW71" s="499"/>
      <c r="TGX71" s="499"/>
      <c r="TGY71" s="499"/>
      <c r="TGZ71" s="499"/>
      <c r="THA71" s="499"/>
      <c r="THB71" s="499"/>
      <c r="THC71" s="499"/>
      <c r="THD71" s="499"/>
      <c r="THE71" s="499"/>
      <c r="THF71" s="499"/>
      <c r="THG71" s="499"/>
      <c r="THH71" s="499"/>
      <c r="THI71" s="499"/>
      <c r="THJ71" s="499"/>
      <c r="THK71" s="499"/>
      <c r="THL71" s="499"/>
      <c r="THM71" s="499"/>
      <c r="THN71" s="499"/>
      <c r="THO71" s="499"/>
      <c r="THP71" s="499"/>
      <c r="THQ71" s="499"/>
      <c r="THR71" s="499"/>
      <c r="THS71" s="499"/>
      <c r="THT71" s="499"/>
      <c r="THU71" s="499"/>
      <c r="THV71" s="499"/>
      <c r="THW71" s="499"/>
      <c r="THX71" s="499"/>
      <c r="THY71" s="499"/>
      <c r="THZ71" s="499"/>
      <c r="TIA71" s="499"/>
      <c r="TIB71" s="499"/>
      <c r="TIC71" s="499"/>
      <c r="TID71" s="499"/>
      <c r="TIE71" s="499"/>
      <c r="TIF71" s="499"/>
      <c r="TIG71" s="499"/>
      <c r="TIH71" s="499"/>
      <c r="TII71" s="499"/>
      <c r="TIJ71" s="499"/>
      <c r="TIK71" s="499"/>
      <c r="TIL71" s="499"/>
      <c r="TIM71" s="499"/>
      <c r="TIN71" s="499"/>
      <c r="TIO71" s="499"/>
      <c r="TIP71" s="499"/>
      <c r="TIQ71" s="499"/>
      <c r="TIR71" s="499"/>
      <c r="TIS71" s="499"/>
      <c r="TIT71" s="499"/>
      <c r="TIU71" s="499"/>
      <c r="TIV71" s="499"/>
      <c r="TIW71" s="499"/>
      <c r="TIX71" s="499"/>
      <c r="TIY71" s="499"/>
      <c r="TIZ71" s="499"/>
      <c r="TJA71" s="499"/>
      <c r="TJB71" s="499"/>
      <c r="TJC71" s="499"/>
      <c r="TJD71" s="499"/>
      <c r="TJE71" s="499"/>
      <c r="TJF71" s="499"/>
      <c r="TJG71" s="499"/>
      <c r="TJH71" s="499"/>
      <c r="TJI71" s="499"/>
      <c r="TJJ71" s="499"/>
      <c r="TJK71" s="499"/>
      <c r="TJL71" s="499"/>
      <c r="TJM71" s="499"/>
      <c r="TJN71" s="499"/>
      <c r="TJO71" s="499"/>
      <c r="TJP71" s="499"/>
      <c r="TJQ71" s="499"/>
      <c r="TJR71" s="499"/>
      <c r="TJS71" s="499"/>
      <c r="TJT71" s="499"/>
      <c r="TJU71" s="499"/>
      <c r="TJV71" s="499"/>
      <c r="TJW71" s="499"/>
      <c r="TJX71" s="499"/>
      <c r="TJY71" s="499"/>
      <c r="TJZ71" s="499"/>
      <c r="TKA71" s="499"/>
      <c r="TKB71" s="499"/>
      <c r="TKC71" s="499"/>
      <c r="TKD71" s="499"/>
      <c r="TKE71" s="499"/>
      <c r="TKF71" s="499"/>
      <c r="TKG71" s="499"/>
      <c r="TKH71" s="499"/>
      <c r="TKI71" s="499"/>
      <c r="TKJ71" s="499"/>
      <c r="TKK71" s="499"/>
      <c r="TKL71" s="499"/>
      <c r="TKM71" s="499"/>
      <c r="TKN71" s="499"/>
      <c r="TKO71" s="499"/>
      <c r="TKP71" s="499"/>
      <c r="TKQ71" s="499"/>
      <c r="TKR71" s="499"/>
      <c r="TKS71" s="499"/>
      <c r="TKT71" s="499"/>
      <c r="TKU71" s="499"/>
      <c r="TKV71" s="499"/>
      <c r="TKW71" s="499"/>
      <c r="TKX71" s="499"/>
      <c r="TKY71" s="499"/>
      <c r="TKZ71" s="499"/>
      <c r="TLA71" s="499"/>
      <c r="TLB71" s="499"/>
      <c r="TLC71" s="499"/>
      <c r="TLD71" s="499"/>
      <c r="TLE71" s="499"/>
      <c r="TLF71" s="499"/>
      <c r="TLG71" s="499"/>
      <c r="TLH71" s="499"/>
      <c r="TLI71" s="499"/>
      <c r="TLJ71" s="499"/>
      <c r="TLK71" s="499"/>
      <c r="TLL71" s="499"/>
      <c r="TLM71" s="499"/>
      <c r="TLN71" s="499"/>
      <c r="TLO71" s="499"/>
      <c r="TLP71" s="499"/>
      <c r="TLQ71" s="499"/>
      <c r="TLR71" s="499"/>
      <c r="TLS71" s="499"/>
      <c r="TLT71" s="499"/>
      <c r="TLU71" s="499"/>
      <c r="TLV71" s="499"/>
      <c r="TLW71" s="499"/>
      <c r="TLX71" s="499"/>
      <c r="TLY71" s="499"/>
      <c r="TLZ71" s="499"/>
      <c r="TMA71" s="499"/>
      <c r="TMB71" s="499"/>
      <c r="TMC71" s="499"/>
      <c r="TMD71" s="499"/>
      <c r="TME71" s="499"/>
      <c r="TMF71" s="499"/>
      <c r="TMG71" s="499"/>
      <c r="TMH71" s="499"/>
      <c r="TMI71" s="499"/>
      <c r="TMJ71" s="499"/>
      <c r="TMK71" s="499"/>
      <c r="TML71" s="499"/>
      <c r="TMM71" s="499"/>
      <c r="TMN71" s="499"/>
      <c r="TMO71" s="499"/>
      <c r="TMP71" s="499"/>
      <c r="TMQ71" s="499"/>
      <c r="TMR71" s="499"/>
      <c r="TMS71" s="499"/>
      <c r="TMT71" s="499"/>
      <c r="TMU71" s="499"/>
      <c r="TMV71" s="499"/>
      <c r="TMW71" s="499"/>
      <c r="TMX71" s="499"/>
      <c r="TMY71" s="499"/>
      <c r="TMZ71" s="499"/>
      <c r="TNA71" s="499"/>
      <c r="TNB71" s="499"/>
      <c r="TNC71" s="499"/>
      <c r="TND71" s="499"/>
      <c r="TNE71" s="499"/>
      <c r="TNF71" s="499"/>
      <c r="TNG71" s="499"/>
      <c r="TNH71" s="499"/>
      <c r="TNI71" s="499"/>
      <c r="TNJ71" s="499"/>
      <c r="TNK71" s="499"/>
      <c r="TNL71" s="499"/>
      <c r="TNM71" s="499"/>
      <c r="TNN71" s="499"/>
      <c r="TNO71" s="499"/>
      <c r="TNP71" s="499"/>
      <c r="TNQ71" s="499"/>
      <c r="TNR71" s="499"/>
      <c r="TNS71" s="499"/>
      <c r="TNT71" s="499"/>
      <c r="TNU71" s="499"/>
      <c r="TNV71" s="499"/>
      <c r="TNW71" s="499"/>
      <c r="TNX71" s="499"/>
      <c r="TNY71" s="499"/>
      <c r="TNZ71" s="499"/>
      <c r="TOA71" s="499"/>
      <c r="TOB71" s="499"/>
      <c r="TOC71" s="499"/>
      <c r="TOD71" s="499"/>
      <c r="TOE71" s="499"/>
      <c r="TOF71" s="499"/>
      <c r="TOG71" s="499"/>
      <c r="TOH71" s="499"/>
      <c r="TOI71" s="499"/>
      <c r="TOJ71" s="499"/>
      <c r="TOK71" s="499"/>
      <c r="TOL71" s="499"/>
      <c r="TOM71" s="499"/>
      <c r="TON71" s="499"/>
      <c r="TOO71" s="499"/>
      <c r="TOP71" s="499"/>
      <c r="TOQ71" s="499"/>
      <c r="TOR71" s="499"/>
      <c r="TOS71" s="499"/>
      <c r="TOT71" s="499"/>
      <c r="TOU71" s="499"/>
      <c r="TOV71" s="499"/>
      <c r="TOW71" s="499"/>
      <c r="TOX71" s="499"/>
      <c r="TOY71" s="499"/>
      <c r="TOZ71" s="499"/>
      <c r="TPA71" s="499"/>
      <c r="TPB71" s="499"/>
      <c r="TPC71" s="499"/>
      <c r="TPD71" s="499"/>
      <c r="TPE71" s="499"/>
      <c r="TPF71" s="499"/>
      <c r="TPG71" s="499"/>
      <c r="TPH71" s="499"/>
      <c r="TPI71" s="499"/>
      <c r="TPJ71" s="499"/>
      <c r="TPK71" s="499"/>
      <c r="TPL71" s="499"/>
      <c r="TPM71" s="499"/>
      <c r="TPN71" s="499"/>
      <c r="TPO71" s="499"/>
      <c r="TPP71" s="499"/>
      <c r="TPQ71" s="499"/>
      <c r="TPR71" s="499"/>
      <c r="TPS71" s="499"/>
      <c r="TPT71" s="499"/>
      <c r="TPU71" s="499"/>
      <c r="TPV71" s="499"/>
      <c r="TPW71" s="499"/>
      <c r="TPX71" s="499"/>
      <c r="TPY71" s="499"/>
      <c r="TPZ71" s="499"/>
      <c r="TQA71" s="499"/>
      <c r="TQB71" s="499"/>
      <c r="TQC71" s="499"/>
      <c r="TQD71" s="499"/>
      <c r="TQE71" s="499"/>
      <c r="TQF71" s="499"/>
      <c r="TQG71" s="499"/>
      <c r="TQH71" s="499"/>
      <c r="TQI71" s="499"/>
      <c r="TQJ71" s="499"/>
      <c r="TQK71" s="499"/>
      <c r="TQL71" s="499"/>
      <c r="TQM71" s="499"/>
      <c r="TQN71" s="499"/>
      <c r="TQO71" s="499"/>
      <c r="TQP71" s="499"/>
      <c r="TQQ71" s="499"/>
      <c r="TQR71" s="499"/>
      <c r="TQS71" s="499"/>
      <c r="TQT71" s="499"/>
      <c r="TQU71" s="499"/>
      <c r="TQV71" s="499"/>
      <c r="TQW71" s="499"/>
      <c r="TQX71" s="499"/>
      <c r="TQY71" s="499"/>
      <c r="TQZ71" s="499"/>
      <c r="TRA71" s="499"/>
      <c r="TRB71" s="499"/>
      <c r="TRC71" s="499"/>
      <c r="TRD71" s="499"/>
      <c r="TRE71" s="499"/>
      <c r="TRF71" s="499"/>
      <c r="TRG71" s="499"/>
      <c r="TRH71" s="499"/>
      <c r="TRI71" s="499"/>
      <c r="TRJ71" s="499"/>
      <c r="TRK71" s="499"/>
      <c r="TRL71" s="499"/>
      <c r="TRM71" s="499"/>
      <c r="TRN71" s="499"/>
      <c r="TRO71" s="499"/>
      <c r="TRP71" s="499"/>
      <c r="TRQ71" s="499"/>
      <c r="TRR71" s="499"/>
      <c r="TRS71" s="499"/>
      <c r="TRT71" s="499"/>
      <c r="TRU71" s="499"/>
      <c r="TRV71" s="499"/>
      <c r="TRW71" s="499"/>
      <c r="TRX71" s="499"/>
      <c r="TRY71" s="499"/>
      <c r="TRZ71" s="499"/>
      <c r="TSA71" s="499"/>
      <c r="TSB71" s="499"/>
      <c r="TSC71" s="499"/>
      <c r="TSD71" s="499"/>
      <c r="TSE71" s="499"/>
      <c r="TSF71" s="499"/>
      <c r="TSG71" s="499"/>
      <c r="TSH71" s="499"/>
      <c r="TSI71" s="499"/>
      <c r="TSJ71" s="499"/>
      <c r="TSK71" s="499"/>
      <c r="TSL71" s="499"/>
      <c r="TSM71" s="499"/>
      <c r="TSN71" s="499"/>
      <c r="TSO71" s="499"/>
      <c r="TSP71" s="499"/>
      <c r="TSQ71" s="499"/>
      <c r="TSR71" s="499"/>
      <c r="TSS71" s="499"/>
      <c r="TST71" s="499"/>
      <c r="TSU71" s="499"/>
      <c r="TSV71" s="499"/>
      <c r="TSW71" s="499"/>
      <c r="TSX71" s="499"/>
      <c r="TSY71" s="499"/>
      <c r="TSZ71" s="499"/>
      <c r="TTA71" s="499"/>
      <c r="TTB71" s="499"/>
      <c r="TTC71" s="499"/>
      <c r="TTD71" s="499"/>
      <c r="TTE71" s="499"/>
      <c r="TTF71" s="499"/>
      <c r="TTG71" s="499"/>
      <c r="TTH71" s="499"/>
      <c r="TTI71" s="499"/>
      <c r="TTJ71" s="499"/>
      <c r="TTK71" s="499"/>
      <c r="TTL71" s="499"/>
      <c r="TTM71" s="499"/>
      <c r="TTN71" s="499"/>
      <c r="TTO71" s="499"/>
      <c r="TTP71" s="499"/>
      <c r="TTQ71" s="499"/>
      <c r="TTR71" s="499"/>
      <c r="TTS71" s="499"/>
      <c r="TTT71" s="499"/>
      <c r="TTU71" s="499"/>
      <c r="TTV71" s="499"/>
      <c r="TTW71" s="499"/>
      <c r="TTX71" s="499"/>
      <c r="TTY71" s="499"/>
      <c r="TTZ71" s="499"/>
      <c r="TUA71" s="499"/>
      <c r="TUB71" s="499"/>
      <c r="TUC71" s="499"/>
      <c r="TUD71" s="499"/>
      <c r="TUE71" s="499"/>
      <c r="TUF71" s="499"/>
      <c r="TUG71" s="499"/>
      <c r="TUH71" s="499"/>
      <c r="TUI71" s="499"/>
      <c r="TUJ71" s="499"/>
      <c r="TUK71" s="499"/>
      <c r="TUL71" s="499"/>
      <c r="TUM71" s="499"/>
      <c r="TUN71" s="499"/>
      <c r="TUO71" s="499"/>
      <c r="TUP71" s="499"/>
      <c r="TUQ71" s="499"/>
      <c r="TUR71" s="499"/>
      <c r="TUS71" s="499"/>
      <c r="TUT71" s="499"/>
      <c r="TUU71" s="499"/>
      <c r="TUV71" s="499"/>
      <c r="TUW71" s="499"/>
      <c r="TUX71" s="499"/>
      <c r="TUY71" s="499"/>
      <c r="TUZ71" s="499"/>
      <c r="TVA71" s="499"/>
      <c r="TVB71" s="499"/>
      <c r="TVC71" s="499"/>
      <c r="TVD71" s="499"/>
      <c r="TVE71" s="499"/>
      <c r="TVF71" s="499"/>
      <c r="TVG71" s="499"/>
      <c r="TVH71" s="499"/>
      <c r="TVI71" s="499"/>
      <c r="TVJ71" s="499"/>
      <c r="TVK71" s="499"/>
      <c r="TVL71" s="499"/>
      <c r="TVM71" s="499"/>
      <c r="TVN71" s="499"/>
      <c r="TVO71" s="499"/>
      <c r="TVP71" s="499"/>
      <c r="TVQ71" s="499"/>
      <c r="TVR71" s="499"/>
      <c r="TVS71" s="499"/>
      <c r="TVT71" s="499"/>
      <c r="TVU71" s="499"/>
      <c r="TVV71" s="499"/>
      <c r="TVW71" s="499"/>
      <c r="TVX71" s="499"/>
      <c r="TVY71" s="499"/>
      <c r="TVZ71" s="499"/>
      <c r="TWA71" s="499"/>
      <c r="TWB71" s="499"/>
      <c r="TWC71" s="499"/>
      <c r="TWD71" s="499"/>
      <c r="TWE71" s="499"/>
      <c r="TWF71" s="499"/>
      <c r="TWG71" s="499"/>
      <c r="TWH71" s="499"/>
      <c r="TWI71" s="499"/>
      <c r="TWJ71" s="499"/>
      <c r="TWK71" s="499"/>
      <c r="TWL71" s="499"/>
      <c r="TWM71" s="499"/>
      <c r="TWN71" s="499"/>
      <c r="TWO71" s="499"/>
      <c r="TWP71" s="499"/>
      <c r="TWQ71" s="499"/>
      <c r="TWR71" s="499"/>
      <c r="TWS71" s="499"/>
      <c r="TWT71" s="499"/>
      <c r="TWU71" s="499"/>
      <c r="TWV71" s="499"/>
      <c r="TWW71" s="499"/>
      <c r="TWX71" s="499"/>
      <c r="TWY71" s="499"/>
      <c r="TWZ71" s="499"/>
      <c r="TXA71" s="499"/>
      <c r="TXB71" s="499"/>
      <c r="TXC71" s="499"/>
      <c r="TXD71" s="499"/>
      <c r="TXE71" s="499"/>
      <c r="TXF71" s="499"/>
      <c r="TXG71" s="499"/>
      <c r="TXH71" s="499"/>
      <c r="TXI71" s="499"/>
      <c r="TXJ71" s="499"/>
      <c r="TXK71" s="499"/>
      <c r="TXL71" s="499"/>
      <c r="TXM71" s="499"/>
      <c r="TXN71" s="499"/>
      <c r="TXO71" s="499"/>
      <c r="TXP71" s="499"/>
      <c r="TXQ71" s="499"/>
      <c r="TXR71" s="499"/>
      <c r="TXS71" s="499"/>
      <c r="TXT71" s="499"/>
      <c r="TXU71" s="499"/>
      <c r="TXV71" s="499"/>
      <c r="TXW71" s="499"/>
      <c r="TXX71" s="499"/>
      <c r="TXY71" s="499"/>
      <c r="TXZ71" s="499"/>
      <c r="TYA71" s="499"/>
      <c r="TYB71" s="499"/>
      <c r="TYC71" s="499"/>
      <c r="TYD71" s="499"/>
      <c r="TYE71" s="499"/>
      <c r="TYF71" s="499"/>
      <c r="TYG71" s="499"/>
      <c r="TYH71" s="499"/>
      <c r="TYI71" s="499"/>
      <c r="TYJ71" s="499"/>
      <c r="TYK71" s="499"/>
      <c r="TYL71" s="499"/>
      <c r="TYM71" s="499"/>
      <c r="TYN71" s="499"/>
      <c r="TYO71" s="499"/>
      <c r="TYP71" s="499"/>
      <c r="TYQ71" s="499"/>
      <c r="TYR71" s="499"/>
      <c r="TYS71" s="499"/>
      <c r="TYT71" s="499"/>
      <c r="TYU71" s="499"/>
      <c r="TYV71" s="499"/>
      <c r="TYW71" s="499"/>
      <c r="TYX71" s="499"/>
      <c r="TYY71" s="499"/>
      <c r="TYZ71" s="499"/>
      <c r="TZA71" s="499"/>
      <c r="TZB71" s="499"/>
      <c r="TZC71" s="499"/>
      <c r="TZD71" s="499"/>
      <c r="TZE71" s="499"/>
      <c r="TZF71" s="499"/>
      <c r="TZG71" s="499"/>
      <c r="TZH71" s="499"/>
      <c r="TZI71" s="499"/>
      <c r="TZJ71" s="499"/>
      <c r="TZK71" s="499"/>
      <c r="TZL71" s="499"/>
      <c r="TZM71" s="499"/>
      <c r="TZN71" s="499"/>
      <c r="TZO71" s="499"/>
      <c r="TZP71" s="499"/>
      <c r="TZQ71" s="499"/>
      <c r="TZR71" s="499"/>
      <c r="TZS71" s="499"/>
      <c r="TZT71" s="499"/>
      <c r="TZU71" s="499"/>
      <c r="TZV71" s="499"/>
      <c r="TZW71" s="499"/>
      <c r="TZX71" s="499"/>
      <c r="TZY71" s="499"/>
      <c r="TZZ71" s="499"/>
      <c r="UAA71" s="499"/>
      <c r="UAB71" s="499"/>
      <c r="UAC71" s="499"/>
      <c r="UAD71" s="499"/>
      <c r="UAE71" s="499"/>
      <c r="UAF71" s="499"/>
      <c r="UAG71" s="499"/>
      <c r="UAH71" s="499"/>
      <c r="UAI71" s="499"/>
      <c r="UAJ71" s="499"/>
      <c r="UAK71" s="499"/>
      <c r="UAL71" s="499"/>
      <c r="UAM71" s="499"/>
      <c r="UAN71" s="499"/>
      <c r="UAO71" s="499"/>
      <c r="UAP71" s="499"/>
      <c r="UAQ71" s="499"/>
      <c r="UAR71" s="499"/>
      <c r="UAS71" s="499"/>
      <c r="UAT71" s="499"/>
      <c r="UAU71" s="499"/>
      <c r="UAV71" s="499"/>
      <c r="UAW71" s="499"/>
      <c r="UAX71" s="499"/>
      <c r="UAY71" s="499"/>
      <c r="UAZ71" s="499"/>
      <c r="UBA71" s="499"/>
      <c r="UBB71" s="499"/>
      <c r="UBC71" s="499"/>
      <c r="UBD71" s="499"/>
      <c r="UBE71" s="499"/>
      <c r="UBF71" s="499"/>
      <c r="UBG71" s="499"/>
      <c r="UBH71" s="499"/>
      <c r="UBI71" s="499"/>
      <c r="UBJ71" s="499"/>
      <c r="UBK71" s="499"/>
      <c r="UBL71" s="499"/>
      <c r="UBM71" s="499"/>
      <c r="UBN71" s="499"/>
      <c r="UBO71" s="499"/>
      <c r="UBP71" s="499"/>
      <c r="UBQ71" s="499"/>
      <c r="UBR71" s="499"/>
      <c r="UBS71" s="499"/>
      <c r="UBT71" s="499"/>
      <c r="UBU71" s="499"/>
      <c r="UBV71" s="499"/>
      <c r="UBW71" s="499"/>
      <c r="UBX71" s="499"/>
      <c r="UBY71" s="499"/>
      <c r="UBZ71" s="499"/>
      <c r="UCA71" s="499"/>
      <c r="UCB71" s="499"/>
      <c r="UCC71" s="499"/>
      <c r="UCD71" s="499"/>
      <c r="UCE71" s="499"/>
      <c r="UCF71" s="499"/>
      <c r="UCG71" s="499"/>
      <c r="UCH71" s="499"/>
      <c r="UCI71" s="499"/>
      <c r="UCJ71" s="499"/>
      <c r="UCK71" s="499"/>
      <c r="UCL71" s="499"/>
      <c r="UCM71" s="499"/>
      <c r="UCN71" s="499"/>
      <c r="UCO71" s="499"/>
      <c r="UCP71" s="499"/>
      <c r="UCQ71" s="499"/>
      <c r="UCR71" s="499"/>
      <c r="UCS71" s="499"/>
      <c r="UCT71" s="499"/>
      <c r="UCU71" s="499"/>
      <c r="UCV71" s="499"/>
      <c r="UCW71" s="499"/>
      <c r="UCX71" s="499"/>
      <c r="UCY71" s="499"/>
      <c r="UCZ71" s="499"/>
      <c r="UDA71" s="499"/>
      <c r="UDB71" s="499"/>
      <c r="UDC71" s="499"/>
      <c r="UDD71" s="499"/>
      <c r="UDE71" s="499"/>
      <c r="UDF71" s="499"/>
      <c r="UDG71" s="499"/>
      <c r="UDH71" s="499"/>
      <c r="UDI71" s="499"/>
      <c r="UDJ71" s="499"/>
      <c r="UDK71" s="499"/>
      <c r="UDL71" s="499"/>
      <c r="UDM71" s="499"/>
      <c r="UDN71" s="499"/>
      <c r="UDO71" s="499"/>
      <c r="UDP71" s="499"/>
      <c r="UDQ71" s="499"/>
      <c r="UDR71" s="499"/>
      <c r="UDS71" s="499"/>
      <c r="UDT71" s="499"/>
      <c r="UDU71" s="499"/>
      <c r="UDV71" s="499"/>
      <c r="UDW71" s="499"/>
      <c r="UDX71" s="499"/>
      <c r="UDY71" s="499"/>
      <c r="UDZ71" s="499"/>
      <c r="UEA71" s="499"/>
      <c r="UEB71" s="499"/>
      <c r="UEC71" s="499"/>
      <c r="UED71" s="499"/>
      <c r="UEE71" s="499"/>
      <c r="UEF71" s="499"/>
      <c r="UEG71" s="499"/>
      <c r="UEH71" s="499"/>
      <c r="UEI71" s="499"/>
      <c r="UEJ71" s="499"/>
      <c r="UEK71" s="499"/>
      <c r="UEL71" s="499"/>
      <c r="UEM71" s="499"/>
      <c r="UEN71" s="499"/>
      <c r="UEO71" s="499"/>
      <c r="UEP71" s="499"/>
      <c r="UEQ71" s="499"/>
      <c r="UER71" s="499"/>
      <c r="UES71" s="499"/>
      <c r="UET71" s="499"/>
      <c r="UEU71" s="499"/>
      <c r="UEV71" s="499"/>
      <c r="UEW71" s="499"/>
      <c r="UEX71" s="499"/>
      <c r="UEY71" s="499"/>
      <c r="UEZ71" s="499"/>
      <c r="UFA71" s="499"/>
      <c r="UFB71" s="499"/>
      <c r="UFC71" s="499"/>
      <c r="UFD71" s="499"/>
      <c r="UFE71" s="499"/>
      <c r="UFF71" s="499"/>
      <c r="UFG71" s="499"/>
      <c r="UFH71" s="499"/>
      <c r="UFI71" s="499"/>
      <c r="UFJ71" s="499"/>
      <c r="UFK71" s="499"/>
      <c r="UFL71" s="499"/>
      <c r="UFM71" s="499"/>
      <c r="UFN71" s="499"/>
      <c r="UFO71" s="499"/>
      <c r="UFP71" s="499"/>
      <c r="UFQ71" s="499"/>
      <c r="UFR71" s="499"/>
      <c r="UFS71" s="499"/>
      <c r="UFT71" s="499"/>
      <c r="UFU71" s="499"/>
      <c r="UFV71" s="499"/>
      <c r="UFW71" s="499"/>
      <c r="UFX71" s="499"/>
      <c r="UFY71" s="499"/>
      <c r="UFZ71" s="499"/>
      <c r="UGA71" s="499"/>
      <c r="UGB71" s="499"/>
      <c r="UGC71" s="499"/>
      <c r="UGD71" s="499"/>
      <c r="UGE71" s="499"/>
      <c r="UGF71" s="499"/>
      <c r="UGG71" s="499"/>
      <c r="UGH71" s="499"/>
      <c r="UGI71" s="499"/>
      <c r="UGJ71" s="499"/>
      <c r="UGK71" s="499"/>
      <c r="UGL71" s="499"/>
      <c r="UGM71" s="499"/>
      <c r="UGN71" s="499"/>
      <c r="UGO71" s="499"/>
      <c r="UGP71" s="499"/>
      <c r="UGQ71" s="499"/>
      <c r="UGR71" s="499"/>
      <c r="UGS71" s="499"/>
      <c r="UGT71" s="499"/>
      <c r="UGU71" s="499"/>
      <c r="UGV71" s="499"/>
      <c r="UGW71" s="499"/>
      <c r="UGX71" s="499"/>
      <c r="UGY71" s="499"/>
      <c r="UGZ71" s="499"/>
      <c r="UHA71" s="499"/>
      <c r="UHB71" s="499"/>
      <c r="UHC71" s="499"/>
      <c r="UHD71" s="499"/>
      <c r="UHE71" s="499"/>
      <c r="UHF71" s="499"/>
      <c r="UHG71" s="499"/>
      <c r="UHH71" s="499"/>
      <c r="UHI71" s="499"/>
      <c r="UHJ71" s="499"/>
      <c r="UHK71" s="499"/>
      <c r="UHL71" s="499"/>
      <c r="UHM71" s="499"/>
      <c r="UHN71" s="499"/>
      <c r="UHO71" s="499"/>
      <c r="UHP71" s="499"/>
      <c r="UHQ71" s="499"/>
      <c r="UHR71" s="499"/>
      <c r="UHS71" s="499"/>
      <c r="UHT71" s="499"/>
      <c r="UHU71" s="499"/>
      <c r="UHV71" s="499"/>
      <c r="UHW71" s="499"/>
      <c r="UHX71" s="499"/>
      <c r="UHY71" s="499"/>
      <c r="UHZ71" s="499"/>
      <c r="UIA71" s="499"/>
      <c r="UIB71" s="499"/>
      <c r="UIC71" s="499"/>
      <c r="UID71" s="499"/>
      <c r="UIE71" s="499"/>
      <c r="UIF71" s="499"/>
      <c r="UIG71" s="499"/>
      <c r="UIH71" s="499"/>
      <c r="UII71" s="499"/>
      <c r="UIJ71" s="499"/>
      <c r="UIK71" s="499"/>
      <c r="UIL71" s="499"/>
      <c r="UIM71" s="499"/>
      <c r="UIN71" s="499"/>
      <c r="UIO71" s="499"/>
      <c r="UIP71" s="499"/>
      <c r="UIQ71" s="499"/>
      <c r="UIR71" s="499"/>
      <c r="UIS71" s="499"/>
      <c r="UIT71" s="499"/>
      <c r="UIU71" s="499"/>
      <c r="UIV71" s="499"/>
      <c r="UIW71" s="499"/>
      <c r="UIX71" s="499"/>
      <c r="UIY71" s="499"/>
      <c r="UIZ71" s="499"/>
      <c r="UJA71" s="499"/>
      <c r="UJB71" s="499"/>
      <c r="UJC71" s="499"/>
      <c r="UJD71" s="499"/>
      <c r="UJE71" s="499"/>
      <c r="UJF71" s="499"/>
      <c r="UJG71" s="499"/>
      <c r="UJH71" s="499"/>
      <c r="UJI71" s="499"/>
      <c r="UJJ71" s="499"/>
      <c r="UJK71" s="499"/>
      <c r="UJL71" s="499"/>
      <c r="UJM71" s="499"/>
      <c r="UJN71" s="499"/>
      <c r="UJO71" s="499"/>
      <c r="UJP71" s="499"/>
      <c r="UJQ71" s="499"/>
      <c r="UJR71" s="499"/>
      <c r="UJS71" s="499"/>
      <c r="UJT71" s="499"/>
      <c r="UJU71" s="499"/>
      <c r="UJV71" s="499"/>
      <c r="UJW71" s="499"/>
      <c r="UJX71" s="499"/>
      <c r="UJY71" s="499"/>
      <c r="UJZ71" s="499"/>
      <c r="UKA71" s="499"/>
      <c r="UKB71" s="499"/>
      <c r="UKC71" s="499"/>
      <c r="UKD71" s="499"/>
      <c r="UKE71" s="499"/>
      <c r="UKF71" s="499"/>
      <c r="UKG71" s="499"/>
      <c r="UKH71" s="499"/>
      <c r="UKI71" s="499"/>
      <c r="UKJ71" s="499"/>
      <c r="UKK71" s="499"/>
      <c r="UKL71" s="499"/>
      <c r="UKM71" s="499"/>
      <c r="UKN71" s="499"/>
      <c r="UKO71" s="499"/>
      <c r="UKP71" s="499"/>
      <c r="UKQ71" s="499"/>
      <c r="UKR71" s="499"/>
      <c r="UKS71" s="499"/>
      <c r="UKT71" s="499"/>
      <c r="UKU71" s="499"/>
      <c r="UKV71" s="499"/>
      <c r="UKW71" s="499"/>
      <c r="UKX71" s="499"/>
      <c r="UKY71" s="499"/>
      <c r="UKZ71" s="499"/>
      <c r="ULA71" s="499"/>
      <c r="ULB71" s="499"/>
      <c r="ULC71" s="499"/>
      <c r="ULD71" s="499"/>
      <c r="ULE71" s="499"/>
      <c r="ULF71" s="499"/>
      <c r="ULG71" s="499"/>
      <c r="ULH71" s="499"/>
      <c r="ULI71" s="499"/>
      <c r="ULJ71" s="499"/>
      <c r="ULK71" s="499"/>
      <c r="ULL71" s="499"/>
      <c r="ULM71" s="499"/>
      <c r="ULN71" s="499"/>
      <c r="ULO71" s="499"/>
      <c r="ULP71" s="499"/>
      <c r="ULQ71" s="499"/>
      <c r="ULR71" s="499"/>
      <c r="ULS71" s="499"/>
      <c r="ULT71" s="499"/>
      <c r="ULU71" s="499"/>
      <c r="ULV71" s="499"/>
      <c r="ULW71" s="499"/>
      <c r="ULX71" s="499"/>
      <c r="ULY71" s="499"/>
      <c r="ULZ71" s="499"/>
      <c r="UMA71" s="499"/>
      <c r="UMB71" s="499"/>
      <c r="UMC71" s="499"/>
      <c r="UMD71" s="499"/>
      <c r="UME71" s="499"/>
      <c r="UMF71" s="499"/>
      <c r="UMG71" s="499"/>
      <c r="UMH71" s="499"/>
      <c r="UMI71" s="499"/>
      <c r="UMJ71" s="499"/>
      <c r="UMK71" s="499"/>
      <c r="UML71" s="499"/>
      <c r="UMM71" s="499"/>
      <c r="UMN71" s="499"/>
      <c r="UMO71" s="499"/>
      <c r="UMP71" s="499"/>
      <c r="UMQ71" s="499"/>
      <c r="UMR71" s="499"/>
      <c r="UMS71" s="499"/>
      <c r="UMT71" s="499"/>
      <c r="UMU71" s="499"/>
      <c r="UMV71" s="499"/>
      <c r="UMW71" s="499"/>
      <c r="UMX71" s="499"/>
      <c r="UMY71" s="499"/>
      <c r="UMZ71" s="499"/>
      <c r="UNA71" s="499"/>
      <c r="UNB71" s="499"/>
      <c r="UNC71" s="499"/>
      <c r="UND71" s="499"/>
      <c r="UNE71" s="499"/>
      <c r="UNF71" s="499"/>
      <c r="UNG71" s="499"/>
      <c r="UNH71" s="499"/>
      <c r="UNI71" s="499"/>
      <c r="UNJ71" s="499"/>
      <c r="UNK71" s="499"/>
      <c r="UNL71" s="499"/>
      <c r="UNM71" s="499"/>
      <c r="UNN71" s="499"/>
      <c r="UNO71" s="499"/>
      <c r="UNP71" s="499"/>
      <c r="UNQ71" s="499"/>
      <c r="UNR71" s="499"/>
      <c r="UNS71" s="499"/>
      <c r="UNT71" s="499"/>
      <c r="UNU71" s="499"/>
      <c r="UNV71" s="499"/>
      <c r="UNW71" s="499"/>
      <c r="UNX71" s="499"/>
      <c r="UNY71" s="499"/>
      <c r="UNZ71" s="499"/>
      <c r="UOA71" s="499"/>
      <c r="UOB71" s="499"/>
      <c r="UOC71" s="499"/>
      <c r="UOD71" s="499"/>
      <c r="UOE71" s="499"/>
      <c r="UOF71" s="499"/>
      <c r="UOG71" s="499"/>
      <c r="UOH71" s="499"/>
      <c r="UOI71" s="499"/>
      <c r="UOJ71" s="499"/>
      <c r="UOK71" s="499"/>
      <c r="UOL71" s="499"/>
      <c r="UOM71" s="499"/>
      <c r="UON71" s="499"/>
      <c r="UOO71" s="499"/>
      <c r="UOP71" s="499"/>
      <c r="UOQ71" s="499"/>
      <c r="UOR71" s="499"/>
      <c r="UOS71" s="499"/>
      <c r="UOT71" s="499"/>
      <c r="UOU71" s="499"/>
      <c r="UOV71" s="499"/>
      <c r="UOW71" s="499"/>
      <c r="UOX71" s="499"/>
      <c r="UOY71" s="499"/>
      <c r="UOZ71" s="499"/>
      <c r="UPA71" s="499"/>
      <c r="UPB71" s="499"/>
      <c r="UPC71" s="499"/>
      <c r="UPD71" s="499"/>
      <c r="UPE71" s="499"/>
      <c r="UPF71" s="499"/>
      <c r="UPG71" s="499"/>
      <c r="UPH71" s="499"/>
      <c r="UPI71" s="499"/>
      <c r="UPJ71" s="499"/>
      <c r="UPK71" s="499"/>
      <c r="UPL71" s="499"/>
      <c r="UPM71" s="499"/>
      <c r="UPN71" s="499"/>
      <c r="UPO71" s="499"/>
      <c r="UPP71" s="499"/>
      <c r="UPQ71" s="499"/>
      <c r="UPR71" s="499"/>
      <c r="UPS71" s="499"/>
      <c r="UPT71" s="499"/>
      <c r="UPU71" s="499"/>
      <c r="UPV71" s="499"/>
      <c r="UPW71" s="499"/>
      <c r="UPX71" s="499"/>
      <c r="UPY71" s="499"/>
      <c r="UPZ71" s="499"/>
      <c r="UQA71" s="499"/>
      <c r="UQB71" s="499"/>
      <c r="UQC71" s="499"/>
      <c r="UQD71" s="499"/>
      <c r="UQE71" s="499"/>
      <c r="UQF71" s="499"/>
      <c r="UQG71" s="499"/>
      <c r="UQH71" s="499"/>
      <c r="UQI71" s="499"/>
      <c r="UQJ71" s="499"/>
      <c r="UQK71" s="499"/>
      <c r="UQL71" s="499"/>
      <c r="UQM71" s="499"/>
      <c r="UQN71" s="499"/>
      <c r="UQO71" s="499"/>
      <c r="UQP71" s="499"/>
      <c r="UQQ71" s="499"/>
      <c r="UQR71" s="499"/>
      <c r="UQS71" s="499"/>
      <c r="UQT71" s="499"/>
      <c r="UQU71" s="499"/>
      <c r="UQV71" s="499"/>
      <c r="UQW71" s="499"/>
      <c r="UQX71" s="499"/>
      <c r="UQY71" s="499"/>
      <c r="UQZ71" s="499"/>
      <c r="URA71" s="499"/>
      <c r="URB71" s="499"/>
      <c r="URC71" s="499"/>
      <c r="URD71" s="499"/>
      <c r="URE71" s="499"/>
      <c r="URF71" s="499"/>
      <c r="URG71" s="499"/>
      <c r="URH71" s="499"/>
      <c r="URI71" s="499"/>
      <c r="URJ71" s="499"/>
      <c r="URK71" s="499"/>
      <c r="URL71" s="499"/>
      <c r="URM71" s="499"/>
      <c r="URN71" s="499"/>
      <c r="URO71" s="499"/>
      <c r="URP71" s="499"/>
      <c r="URQ71" s="499"/>
      <c r="URR71" s="499"/>
      <c r="URS71" s="499"/>
      <c r="URT71" s="499"/>
      <c r="URU71" s="499"/>
      <c r="URV71" s="499"/>
      <c r="URW71" s="499"/>
      <c r="URX71" s="499"/>
      <c r="URY71" s="499"/>
      <c r="URZ71" s="499"/>
      <c r="USA71" s="499"/>
      <c r="USB71" s="499"/>
      <c r="USC71" s="499"/>
      <c r="USD71" s="499"/>
      <c r="USE71" s="499"/>
      <c r="USF71" s="499"/>
      <c r="USG71" s="499"/>
      <c r="USH71" s="499"/>
      <c r="USI71" s="499"/>
      <c r="USJ71" s="499"/>
      <c r="USK71" s="499"/>
      <c r="USL71" s="499"/>
      <c r="USM71" s="499"/>
      <c r="USN71" s="499"/>
      <c r="USO71" s="499"/>
      <c r="USP71" s="499"/>
      <c r="USQ71" s="499"/>
      <c r="USR71" s="499"/>
      <c r="USS71" s="499"/>
      <c r="UST71" s="499"/>
      <c r="USU71" s="499"/>
      <c r="USV71" s="499"/>
      <c r="USW71" s="499"/>
      <c r="USX71" s="499"/>
      <c r="USY71" s="499"/>
      <c r="USZ71" s="499"/>
      <c r="UTA71" s="499"/>
      <c r="UTB71" s="499"/>
      <c r="UTC71" s="499"/>
      <c r="UTD71" s="499"/>
      <c r="UTE71" s="499"/>
      <c r="UTF71" s="499"/>
      <c r="UTG71" s="499"/>
      <c r="UTH71" s="499"/>
      <c r="UTI71" s="499"/>
      <c r="UTJ71" s="499"/>
      <c r="UTK71" s="499"/>
      <c r="UTL71" s="499"/>
      <c r="UTM71" s="499"/>
      <c r="UTN71" s="499"/>
      <c r="UTO71" s="499"/>
      <c r="UTP71" s="499"/>
      <c r="UTQ71" s="499"/>
      <c r="UTR71" s="499"/>
      <c r="UTS71" s="499"/>
      <c r="UTT71" s="499"/>
      <c r="UTU71" s="499"/>
      <c r="UTV71" s="499"/>
      <c r="UTW71" s="499"/>
      <c r="UTX71" s="499"/>
      <c r="UTY71" s="499"/>
      <c r="UTZ71" s="499"/>
      <c r="UUA71" s="499"/>
      <c r="UUB71" s="499"/>
      <c r="UUC71" s="499"/>
      <c r="UUD71" s="499"/>
      <c r="UUE71" s="499"/>
      <c r="UUF71" s="499"/>
      <c r="UUG71" s="499"/>
      <c r="UUH71" s="499"/>
      <c r="UUI71" s="499"/>
      <c r="UUJ71" s="499"/>
      <c r="UUK71" s="499"/>
      <c r="UUL71" s="499"/>
      <c r="UUM71" s="499"/>
      <c r="UUN71" s="499"/>
      <c r="UUO71" s="499"/>
      <c r="UUP71" s="499"/>
      <c r="UUQ71" s="499"/>
      <c r="UUR71" s="499"/>
      <c r="UUS71" s="499"/>
      <c r="UUT71" s="499"/>
      <c r="UUU71" s="499"/>
      <c r="UUV71" s="499"/>
      <c r="UUW71" s="499"/>
      <c r="UUX71" s="499"/>
      <c r="UUY71" s="499"/>
      <c r="UUZ71" s="499"/>
      <c r="UVA71" s="499"/>
      <c r="UVB71" s="499"/>
      <c r="UVC71" s="499"/>
      <c r="UVD71" s="499"/>
      <c r="UVE71" s="499"/>
      <c r="UVF71" s="499"/>
      <c r="UVG71" s="499"/>
      <c r="UVH71" s="499"/>
      <c r="UVI71" s="499"/>
      <c r="UVJ71" s="499"/>
      <c r="UVK71" s="499"/>
      <c r="UVL71" s="499"/>
      <c r="UVM71" s="499"/>
      <c r="UVN71" s="499"/>
      <c r="UVO71" s="499"/>
      <c r="UVP71" s="499"/>
      <c r="UVQ71" s="499"/>
      <c r="UVR71" s="499"/>
      <c r="UVS71" s="499"/>
      <c r="UVT71" s="499"/>
      <c r="UVU71" s="499"/>
      <c r="UVV71" s="499"/>
      <c r="UVW71" s="499"/>
      <c r="UVX71" s="499"/>
      <c r="UVY71" s="499"/>
      <c r="UVZ71" s="499"/>
      <c r="UWA71" s="499"/>
      <c r="UWB71" s="499"/>
      <c r="UWC71" s="499"/>
      <c r="UWD71" s="499"/>
      <c r="UWE71" s="499"/>
      <c r="UWF71" s="499"/>
      <c r="UWG71" s="499"/>
      <c r="UWH71" s="499"/>
      <c r="UWI71" s="499"/>
      <c r="UWJ71" s="499"/>
      <c r="UWK71" s="499"/>
      <c r="UWL71" s="499"/>
      <c r="UWM71" s="499"/>
      <c r="UWN71" s="499"/>
      <c r="UWO71" s="499"/>
      <c r="UWP71" s="499"/>
      <c r="UWQ71" s="499"/>
      <c r="UWR71" s="499"/>
      <c r="UWS71" s="499"/>
      <c r="UWT71" s="499"/>
      <c r="UWU71" s="499"/>
      <c r="UWV71" s="499"/>
      <c r="UWW71" s="499"/>
      <c r="UWX71" s="499"/>
      <c r="UWY71" s="499"/>
      <c r="UWZ71" s="499"/>
      <c r="UXA71" s="499"/>
      <c r="UXB71" s="499"/>
      <c r="UXC71" s="499"/>
      <c r="UXD71" s="499"/>
      <c r="UXE71" s="499"/>
      <c r="UXF71" s="499"/>
      <c r="UXG71" s="499"/>
      <c r="UXH71" s="499"/>
      <c r="UXI71" s="499"/>
      <c r="UXJ71" s="499"/>
      <c r="UXK71" s="499"/>
      <c r="UXL71" s="499"/>
      <c r="UXM71" s="499"/>
      <c r="UXN71" s="499"/>
      <c r="UXO71" s="499"/>
      <c r="UXP71" s="499"/>
      <c r="UXQ71" s="499"/>
      <c r="UXR71" s="499"/>
      <c r="UXS71" s="499"/>
      <c r="UXT71" s="499"/>
      <c r="UXU71" s="499"/>
      <c r="UXV71" s="499"/>
      <c r="UXW71" s="499"/>
      <c r="UXX71" s="499"/>
      <c r="UXY71" s="499"/>
      <c r="UXZ71" s="499"/>
      <c r="UYA71" s="499"/>
      <c r="UYB71" s="499"/>
      <c r="UYC71" s="499"/>
      <c r="UYD71" s="499"/>
      <c r="UYE71" s="499"/>
      <c r="UYF71" s="499"/>
      <c r="UYG71" s="499"/>
      <c r="UYH71" s="499"/>
      <c r="UYI71" s="499"/>
      <c r="UYJ71" s="499"/>
      <c r="UYK71" s="499"/>
      <c r="UYL71" s="499"/>
      <c r="UYM71" s="499"/>
      <c r="UYN71" s="499"/>
      <c r="UYO71" s="499"/>
      <c r="UYP71" s="499"/>
      <c r="UYQ71" s="499"/>
      <c r="UYR71" s="499"/>
      <c r="UYS71" s="499"/>
      <c r="UYT71" s="499"/>
      <c r="UYU71" s="499"/>
      <c r="UYV71" s="499"/>
      <c r="UYW71" s="499"/>
      <c r="UYX71" s="499"/>
      <c r="UYY71" s="499"/>
      <c r="UYZ71" s="499"/>
      <c r="UZA71" s="499"/>
      <c r="UZB71" s="499"/>
      <c r="UZC71" s="499"/>
      <c r="UZD71" s="499"/>
      <c r="UZE71" s="499"/>
      <c r="UZF71" s="499"/>
      <c r="UZG71" s="499"/>
      <c r="UZH71" s="499"/>
      <c r="UZI71" s="499"/>
      <c r="UZJ71" s="499"/>
      <c r="UZK71" s="499"/>
      <c r="UZL71" s="499"/>
      <c r="UZM71" s="499"/>
      <c r="UZN71" s="499"/>
      <c r="UZO71" s="499"/>
      <c r="UZP71" s="499"/>
      <c r="UZQ71" s="499"/>
      <c r="UZR71" s="499"/>
      <c r="UZS71" s="499"/>
      <c r="UZT71" s="499"/>
      <c r="UZU71" s="499"/>
      <c r="UZV71" s="499"/>
      <c r="UZW71" s="499"/>
      <c r="UZX71" s="499"/>
      <c r="UZY71" s="499"/>
      <c r="UZZ71" s="499"/>
      <c r="VAA71" s="499"/>
      <c r="VAB71" s="499"/>
      <c r="VAC71" s="499"/>
      <c r="VAD71" s="499"/>
      <c r="VAE71" s="499"/>
      <c r="VAF71" s="499"/>
      <c r="VAG71" s="499"/>
      <c r="VAH71" s="499"/>
      <c r="VAI71" s="499"/>
      <c r="VAJ71" s="499"/>
      <c r="VAK71" s="499"/>
      <c r="VAL71" s="499"/>
      <c r="VAM71" s="499"/>
      <c r="VAN71" s="499"/>
      <c r="VAO71" s="499"/>
      <c r="VAP71" s="499"/>
      <c r="VAQ71" s="499"/>
      <c r="VAR71" s="499"/>
      <c r="VAS71" s="499"/>
      <c r="VAT71" s="499"/>
      <c r="VAU71" s="499"/>
      <c r="VAV71" s="499"/>
      <c r="VAW71" s="499"/>
      <c r="VAX71" s="499"/>
      <c r="VAY71" s="499"/>
      <c r="VAZ71" s="499"/>
      <c r="VBA71" s="499"/>
      <c r="VBB71" s="499"/>
      <c r="VBC71" s="499"/>
      <c r="VBD71" s="499"/>
      <c r="VBE71" s="499"/>
      <c r="VBF71" s="499"/>
      <c r="VBG71" s="499"/>
      <c r="VBH71" s="499"/>
      <c r="VBI71" s="499"/>
      <c r="VBJ71" s="499"/>
      <c r="VBK71" s="499"/>
      <c r="VBL71" s="499"/>
      <c r="VBM71" s="499"/>
      <c r="VBN71" s="499"/>
      <c r="VBO71" s="499"/>
      <c r="VBP71" s="499"/>
      <c r="VBQ71" s="499"/>
      <c r="VBR71" s="499"/>
      <c r="VBS71" s="499"/>
      <c r="VBT71" s="499"/>
      <c r="VBU71" s="499"/>
      <c r="VBV71" s="499"/>
      <c r="VBW71" s="499"/>
      <c r="VBX71" s="499"/>
      <c r="VBY71" s="499"/>
      <c r="VBZ71" s="499"/>
      <c r="VCA71" s="499"/>
      <c r="VCB71" s="499"/>
      <c r="VCC71" s="499"/>
      <c r="VCD71" s="499"/>
      <c r="VCE71" s="499"/>
      <c r="VCF71" s="499"/>
      <c r="VCG71" s="499"/>
      <c r="VCH71" s="499"/>
      <c r="VCI71" s="499"/>
      <c r="VCJ71" s="499"/>
      <c r="VCK71" s="499"/>
      <c r="VCL71" s="499"/>
      <c r="VCM71" s="499"/>
      <c r="VCN71" s="499"/>
      <c r="VCO71" s="499"/>
      <c r="VCP71" s="499"/>
      <c r="VCQ71" s="499"/>
      <c r="VCR71" s="499"/>
      <c r="VCS71" s="499"/>
      <c r="VCT71" s="499"/>
      <c r="VCU71" s="499"/>
      <c r="VCV71" s="499"/>
      <c r="VCW71" s="499"/>
      <c r="VCX71" s="499"/>
      <c r="VCY71" s="499"/>
      <c r="VCZ71" s="499"/>
      <c r="VDA71" s="499"/>
      <c r="VDB71" s="499"/>
      <c r="VDC71" s="499"/>
      <c r="VDD71" s="499"/>
      <c r="VDE71" s="499"/>
      <c r="VDF71" s="499"/>
      <c r="VDG71" s="499"/>
      <c r="VDH71" s="499"/>
      <c r="VDI71" s="499"/>
      <c r="VDJ71" s="499"/>
      <c r="VDK71" s="499"/>
      <c r="VDL71" s="499"/>
      <c r="VDM71" s="499"/>
      <c r="VDN71" s="499"/>
      <c r="VDO71" s="499"/>
      <c r="VDP71" s="499"/>
      <c r="VDQ71" s="499"/>
      <c r="VDR71" s="499"/>
      <c r="VDS71" s="499"/>
      <c r="VDT71" s="499"/>
      <c r="VDU71" s="499"/>
      <c r="VDV71" s="499"/>
      <c r="VDW71" s="499"/>
      <c r="VDX71" s="499"/>
      <c r="VDY71" s="499"/>
      <c r="VDZ71" s="499"/>
      <c r="VEA71" s="499"/>
      <c r="VEB71" s="499"/>
      <c r="VEC71" s="499"/>
      <c r="VED71" s="499"/>
      <c r="VEE71" s="499"/>
      <c r="VEF71" s="499"/>
      <c r="VEG71" s="499"/>
      <c r="VEH71" s="499"/>
      <c r="VEI71" s="499"/>
      <c r="VEJ71" s="499"/>
      <c r="VEK71" s="499"/>
      <c r="VEL71" s="499"/>
      <c r="VEM71" s="499"/>
      <c r="VEN71" s="499"/>
      <c r="VEO71" s="499"/>
      <c r="VEP71" s="499"/>
      <c r="VEQ71" s="499"/>
      <c r="VER71" s="499"/>
      <c r="VES71" s="499"/>
      <c r="VET71" s="499"/>
      <c r="VEU71" s="499"/>
      <c r="VEV71" s="499"/>
      <c r="VEW71" s="499"/>
      <c r="VEX71" s="499"/>
      <c r="VEY71" s="499"/>
      <c r="VEZ71" s="499"/>
      <c r="VFA71" s="499"/>
      <c r="VFB71" s="499"/>
      <c r="VFC71" s="499"/>
      <c r="VFD71" s="499"/>
      <c r="VFE71" s="499"/>
      <c r="VFF71" s="499"/>
      <c r="VFG71" s="499"/>
      <c r="VFH71" s="499"/>
      <c r="VFI71" s="499"/>
      <c r="VFJ71" s="499"/>
      <c r="VFK71" s="499"/>
      <c r="VFL71" s="499"/>
      <c r="VFM71" s="499"/>
      <c r="VFN71" s="499"/>
      <c r="VFO71" s="499"/>
      <c r="VFP71" s="499"/>
      <c r="VFQ71" s="499"/>
      <c r="VFR71" s="499"/>
      <c r="VFS71" s="499"/>
      <c r="VFT71" s="499"/>
      <c r="VFU71" s="499"/>
      <c r="VFV71" s="499"/>
      <c r="VFW71" s="499"/>
      <c r="VFX71" s="499"/>
      <c r="VFY71" s="499"/>
      <c r="VFZ71" s="499"/>
      <c r="VGA71" s="499"/>
      <c r="VGB71" s="499"/>
      <c r="VGC71" s="499"/>
      <c r="VGD71" s="499"/>
      <c r="VGE71" s="499"/>
      <c r="VGF71" s="499"/>
      <c r="VGG71" s="499"/>
      <c r="VGH71" s="499"/>
      <c r="VGI71" s="499"/>
      <c r="VGJ71" s="499"/>
      <c r="VGK71" s="499"/>
      <c r="VGL71" s="499"/>
      <c r="VGM71" s="499"/>
      <c r="VGN71" s="499"/>
      <c r="VGO71" s="499"/>
      <c r="VGP71" s="499"/>
      <c r="VGQ71" s="499"/>
      <c r="VGR71" s="499"/>
      <c r="VGS71" s="499"/>
      <c r="VGT71" s="499"/>
      <c r="VGU71" s="499"/>
      <c r="VGV71" s="499"/>
      <c r="VGW71" s="499"/>
      <c r="VGX71" s="499"/>
      <c r="VGY71" s="499"/>
      <c r="VGZ71" s="499"/>
      <c r="VHA71" s="499"/>
      <c r="VHB71" s="499"/>
      <c r="VHC71" s="499"/>
      <c r="VHD71" s="499"/>
      <c r="VHE71" s="499"/>
      <c r="VHF71" s="499"/>
      <c r="VHG71" s="499"/>
      <c r="VHH71" s="499"/>
      <c r="VHI71" s="499"/>
      <c r="VHJ71" s="499"/>
      <c r="VHK71" s="499"/>
      <c r="VHL71" s="499"/>
      <c r="VHM71" s="499"/>
      <c r="VHN71" s="499"/>
      <c r="VHO71" s="499"/>
      <c r="VHP71" s="499"/>
      <c r="VHQ71" s="499"/>
      <c r="VHR71" s="499"/>
      <c r="VHS71" s="499"/>
      <c r="VHT71" s="499"/>
      <c r="VHU71" s="499"/>
      <c r="VHV71" s="499"/>
      <c r="VHW71" s="499"/>
      <c r="VHX71" s="499"/>
      <c r="VHY71" s="499"/>
      <c r="VHZ71" s="499"/>
      <c r="VIA71" s="499"/>
      <c r="VIB71" s="499"/>
      <c r="VIC71" s="499"/>
      <c r="VID71" s="499"/>
      <c r="VIE71" s="499"/>
      <c r="VIF71" s="499"/>
      <c r="VIG71" s="499"/>
      <c r="VIH71" s="499"/>
      <c r="VII71" s="499"/>
      <c r="VIJ71" s="499"/>
      <c r="VIK71" s="499"/>
      <c r="VIL71" s="499"/>
      <c r="VIM71" s="499"/>
      <c r="VIN71" s="499"/>
      <c r="VIO71" s="499"/>
      <c r="VIP71" s="499"/>
      <c r="VIQ71" s="499"/>
      <c r="VIR71" s="499"/>
      <c r="VIS71" s="499"/>
      <c r="VIT71" s="499"/>
      <c r="VIU71" s="499"/>
      <c r="VIV71" s="499"/>
      <c r="VIW71" s="499"/>
      <c r="VIX71" s="499"/>
      <c r="VIY71" s="499"/>
      <c r="VIZ71" s="499"/>
      <c r="VJA71" s="499"/>
      <c r="VJB71" s="499"/>
      <c r="VJC71" s="499"/>
      <c r="VJD71" s="499"/>
      <c r="VJE71" s="499"/>
      <c r="VJF71" s="499"/>
      <c r="VJG71" s="499"/>
      <c r="VJH71" s="499"/>
      <c r="VJI71" s="499"/>
      <c r="VJJ71" s="499"/>
      <c r="VJK71" s="499"/>
      <c r="VJL71" s="499"/>
      <c r="VJM71" s="499"/>
      <c r="VJN71" s="499"/>
      <c r="VJO71" s="499"/>
      <c r="VJP71" s="499"/>
      <c r="VJQ71" s="499"/>
      <c r="VJR71" s="499"/>
      <c r="VJS71" s="499"/>
      <c r="VJT71" s="499"/>
      <c r="VJU71" s="499"/>
      <c r="VJV71" s="499"/>
      <c r="VJW71" s="499"/>
      <c r="VJX71" s="499"/>
      <c r="VJY71" s="499"/>
      <c r="VJZ71" s="499"/>
      <c r="VKA71" s="499"/>
      <c r="VKB71" s="499"/>
      <c r="VKC71" s="499"/>
      <c r="VKD71" s="499"/>
      <c r="VKE71" s="499"/>
      <c r="VKF71" s="499"/>
      <c r="VKG71" s="499"/>
      <c r="VKH71" s="499"/>
      <c r="VKI71" s="499"/>
      <c r="VKJ71" s="499"/>
      <c r="VKK71" s="499"/>
      <c r="VKL71" s="499"/>
      <c r="VKM71" s="499"/>
      <c r="VKN71" s="499"/>
      <c r="VKO71" s="499"/>
      <c r="VKP71" s="499"/>
      <c r="VKQ71" s="499"/>
      <c r="VKR71" s="499"/>
      <c r="VKS71" s="499"/>
      <c r="VKT71" s="499"/>
      <c r="VKU71" s="499"/>
      <c r="VKV71" s="499"/>
      <c r="VKW71" s="499"/>
      <c r="VKX71" s="499"/>
      <c r="VKY71" s="499"/>
      <c r="VKZ71" s="499"/>
      <c r="VLA71" s="499"/>
      <c r="VLB71" s="499"/>
      <c r="VLC71" s="499"/>
      <c r="VLD71" s="499"/>
      <c r="VLE71" s="499"/>
      <c r="VLF71" s="499"/>
      <c r="VLG71" s="499"/>
      <c r="VLH71" s="499"/>
      <c r="VLI71" s="499"/>
      <c r="VLJ71" s="499"/>
      <c r="VLK71" s="499"/>
      <c r="VLL71" s="499"/>
      <c r="VLM71" s="499"/>
      <c r="VLN71" s="499"/>
      <c r="VLO71" s="499"/>
      <c r="VLP71" s="499"/>
      <c r="VLQ71" s="499"/>
      <c r="VLR71" s="499"/>
      <c r="VLS71" s="499"/>
      <c r="VLT71" s="499"/>
      <c r="VLU71" s="499"/>
      <c r="VLV71" s="499"/>
      <c r="VLW71" s="499"/>
      <c r="VLX71" s="499"/>
      <c r="VLY71" s="499"/>
      <c r="VLZ71" s="499"/>
      <c r="VMA71" s="499"/>
      <c r="VMB71" s="499"/>
      <c r="VMC71" s="499"/>
      <c r="VMD71" s="499"/>
      <c r="VME71" s="499"/>
      <c r="VMF71" s="499"/>
      <c r="VMG71" s="499"/>
      <c r="VMH71" s="499"/>
      <c r="VMI71" s="499"/>
      <c r="VMJ71" s="499"/>
      <c r="VMK71" s="499"/>
      <c r="VML71" s="499"/>
      <c r="VMM71" s="499"/>
      <c r="VMN71" s="499"/>
      <c r="VMO71" s="499"/>
      <c r="VMP71" s="499"/>
      <c r="VMQ71" s="499"/>
      <c r="VMR71" s="499"/>
      <c r="VMS71" s="499"/>
      <c r="VMT71" s="499"/>
      <c r="VMU71" s="499"/>
      <c r="VMV71" s="499"/>
      <c r="VMW71" s="499"/>
      <c r="VMX71" s="499"/>
      <c r="VMY71" s="499"/>
      <c r="VMZ71" s="499"/>
      <c r="VNA71" s="499"/>
      <c r="VNB71" s="499"/>
      <c r="VNC71" s="499"/>
      <c r="VND71" s="499"/>
      <c r="VNE71" s="499"/>
      <c r="VNF71" s="499"/>
      <c r="VNG71" s="499"/>
      <c r="VNH71" s="499"/>
      <c r="VNI71" s="499"/>
      <c r="VNJ71" s="499"/>
      <c r="VNK71" s="499"/>
      <c r="VNL71" s="499"/>
      <c r="VNM71" s="499"/>
      <c r="VNN71" s="499"/>
      <c r="VNO71" s="499"/>
      <c r="VNP71" s="499"/>
      <c r="VNQ71" s="499"/>
      <c r="VNR71" s="499"/>
      <c r="VNS71" s="499"/>
      <c r="VNT71" s="499"/>
      <c r="VNU71" s="499"/>
      <c r="VNV71" s="499"/>
      <c r="VNW71" s="499"/>
      <c r="VNX71" s="499"/>
      <c r="VNY71" s="499"/>
      <c r="VNZ71" s="499"/>
      <c r="VOA71" s="499"/>
      <c r="VOB71" s="499"/>
      <c r="VOC71" s="499"/>
      <c r="VOD71" s="499"/>
      <c r="VOE71" s="499"/>
      <c r="VOF71" s="499"/>
      <c r="VOG71" s="499"/>
      <c r="VOH71" s="499"/>
      <c r="VOI71" s="499"/>
      <c r="VOJ71" s="499"/>
      <c r="VOK71" s="499"/>
      <c r="VOL71" s="499"/>
      <c r="VOM71" s="499"/>
      <c r="VON71" s="499"/>
      <c r="VOO71" s="499"/>
      <c r="VOP71" s="499"/>
      <c r="VOQ71" s="499"/>
      <c r="VOR71" s="499"/>
      <c r="VOS71" s="499"/>
      <c r="VOT71" s="499"/>
      <c r="VOU71" s="499"/>
      <c r="VOV71" s="499"/>
      <c r="VOW71" s="499"/>
      <c r="VOX71" s="499"/>
      <c r="VOY71" s="499"/>
      <c r="VOZ71" s="499"/>
      <c r="VPA71" s="499"/>
      <c r="VPB71" s="499"/>
      <c r="VPC71" s="499"/>
      <c r="VPD71" s="499"/>
      <c r="VPE71" s="499"/>
      <c r="VPF71" s="499"/>
      <c r="VPG71" s="499"/>
      <c r="VPH71" s="499"/>
      <c r="VPI71" s="499"/>
      <c r="VPJ71" s="499"/>
      <c r="VPK71" s="499"/>
      <c r="VPL71" s="499"/>
      <c r="VPM71" s="499"/>
      <c r="VPN71" s="499"/>
      <c r="VPO71" s="499"/>
      <c r="VPP71" s="499"/>
      <c r="VPQ71" s="499"/>
      <c r="VPR71" s="499"/>
      <c r="VPS71" s="499"/>
      <c r="VPT71" s="499"/>
      <c r="VPU71" s="499"/>
      <c r="VPV71" s="499"/>
      <c r="VPW71" s="499"/>
      <c r="VPX71" s="499"/>
      <c r="VPY71" s="499"/>
      <c r="VPZ71" s="499"/>
      <c r="VQA71" s="499"/>
      <c r="VQB71" s="499"/>
      <c r="VQC71" s="499"/>
      <c r="VQD71" s="499"/>
      <c r="VQE71" s="499"/>
      <c r="VQF71" s="499"/>
      <c r="VQG71" s="499"/>
      <c r="VQH71" s="499"/>
      <c r="VQI71" s="499"/>
      <c r="VQJ71" s="499"/>
      <c r="VQK71" s="499"/>
      <c r="VQL71" s="499"/>
      <c r="VQM71" s="499"/>
      <c r="VQN71" s="499"/>
      <c r="VQO71" s="499"/>
      <c r="VQP71" s="499"/>
      <c r="VQQ71" s="499"/>
      <c r="VQR71" s="499"/>
      <c r="VQS71" s="499"/>
      <c r="VQT71" s="499"/>
      <c r="VQU71" s="499"/>
      <c r="VQV71" s="499"/>
      <c r="VQW71" s="499"/>
      <c r="VQX71" s="499"/>
      <c r="VQY71" s="499"/>
      <c r="VQZ71" s="499"/>
      <c r="VRA71" s="499"/>
      <c r="VRB71" s="499"/>
      <c r="VRC71" s="499"/>
      <c r="VRD71" s="499"/>
      <c r="VRE71" s="499"/>
      <c r="VRF71" s="499"/>
      <c r="VRG71" s="499"/>
      <c r="VRH71" s="499"/>
      <c r="VRI71" s="499"/>
      <c r="VRJ71" s="499"/>
      <c r="VRK71" s="499"/>
      <c r="VRL71" s="499"/>
      <c r="VRM71" s="499"/>
      <c r="VRN71" s="499"/>
      <c r="VRO71" s="499"/>
      <c r="VRP71" s="499"/>
      <c r="VRQ71" s="499"/>
      <c r="VRR71" s="499"/>
      <c r="VRS71" s="499"/>
      <c r="VRT71" s="499"/>
      <c r="VRU71" s="499"/>
      <c r="VRV71" s="499"/>
      <c r="VRW71" s="499"/>
      <c r="VRX71" s="499"/>
      <c r="VRY71" s="499"/>
      <c r="VRZ71" s="499"/>
      <c r="VSA71" s="499"/>
      <c r="VSB71" s="499"/>
      <c r="VSC71" s="499"/>
      <c r="VSD71" s="499"/>
      <c r="VSE71" s="499"/>
      <c r="VSF71" s="499"/>
      <c r="VSG71" s="499"/>
      <c r="VSH71" s="499"/>
      <c r="VSI71" s="499"/>
      <c r="VSJ71" s="499"/>
      <c r="VSK71" s="499"/>
      <c r="VSL71" s="499"/>
      <c r="VSM71" s="499"/>
      <c r="VSN71" s="499"/>
      <c r="VSO71" s="499"/>
      <c r="VSP71" s="499"/>
      <c r="VSQ71" s="499"/>
      <c r="VSR71" s="499"/>
      <c r="VSS71" s="499"/>
      <c r="VST71" s="499"/>
      <c r="VSU71" s="499"/>
      <c r="VSV71" s="499"/>
      <c r="VSW71" s="499"/>
      <c r="VSX71" s="499"/>
      <c r="VSY71" s="499"/>
      <c r="VSZ71" s="499"/>
      <c r="VTA71" s="499"/>
      <c r="VTB71" s="499"/>
      <c r="VTC71" s="499"/>
      <c r="VTD71" s="499"/>
      <c r="VTE71" s="499"/>
      <c r="VTF71" s="499"/>
      <c r="VTG71" s="499"/>
      <c r="VTH71" s="499"/>
      <c r="VTI71" s="499"/>
      <c r="VTJ71" s="499"/>
      <c r="VTK71" s="499"/>
      <c r="VTL71" s="499"/>
      <c r="VTM71" s="499"/>
      <c r="VTN71" s="499"/>
      <c r="VTO71" s="499"/>
      <c r="VTP71" s="499"/>
      <c r="VTQ71" s="499"/>
      <c r="VTR71" s="499"/>
      <c r="VTS71" s="499"/>
      <c r="VTT71" s="499"/>
      <c r="VTU71" s="499"/>
      <c r="VTV71" s="499"/>
      <c r="VTW71" s="499"/>
      <c r="VTX71" s="499"/>
      <c r="VTY71" s="499"/>
      <c r="VTZ71" s="499"/>
      <c r="VUA71" s="499"/>
      <c r="VUB71" s="499"/>
      <c r="VUC71" s="499"/>
      <c r="VUD71" s="499"/>
      <c r="VUE71" s="499"/>
      <c r="VUF71" s="499"/>
      <c r="VUG71" s="499"/>
      <c r="VUH71" s="499"/>
      <c r="VUI71" s="499"/>
      <c r="VUJ71" s="499"/>
      <c r="VUK71" s="499"/>
      <c r="VUL71" s="499"/>
      <c r="VUM71" s="499"/>
      <c r="VUN71" s="499"/>
      <c r="VUO71" s="499"/>
      <c r="VUP71" s="499"/>
      <c r="VUQ71" s="499"/>
      <c r="VUR71" s="499"/>
      <c r="VUS71" s="499"/>
      <c r="VUT71" s="499"/>
      <c r="VUU71" s="499"/>
      <c r="VUV71" s="499"/>
      <c r="VUW71" s="499"/>
      <c r="VUX71" s="499"/>
      <c r="VUY71" s="499"/>
      <c r="VUZ71" s="499"/>
      <c r="VVA71" s="499"/>
      <c r="VVB71" s="499"/>
      <c r="VVC71" s="499"/>
      <c r="VVD71" s="499"/>
      <c r="VVE71" s="499"/>
      <c r="VVF71" s="499"/>
      <c r="VVG71" s="499"/>
      <c r="VVH71" s="499"/>
      <c r="VVI71" s="499"/>
      <c r="VVJ71" s="499"/>
      <c r="VVK71" s="499"/>
      <c r="VVL71" s="499"/>
      <c r="VVM71" s="499"/>
      <c r="VVN71" s="499"/>
      <c r="VVO71" s="499"/>
      <c r="VVP71" s="499"/>
      <c r="VVQ71" s="499"/>
      <c r="VVR71" s="499"/>
      <c r="VVS71" s="499"/>
      <c r="VVT71" s="499"/>
      <c r="VVU71" s="499"/>
      <c r="VVV71" s="499"/>
      <c r="VVW71" s="499"/>
      <c r="VVX71" s="499"/>
      <c r="VVY71" s="499"/>
      <c r="VVZ71" s="499"/>
      <c r="VWA71" s="499"/>
      <c r="VWB71" s="499"/>
      <c r="VWC71" s="499"/>
      <c r="VWD71" s="499"/>
      <c r="VWE71" s="499"/>
      <c r="VWF71" s="499"/>
      <c r="VWG71" s="499"/>
      <c r="VWH71" s="499"/>
      <c r="VWI71" s="499"/>
      <c r="VWJ71" s="499"/>
      <c r="VWK71" s="499"/>
      <c r="VWL71" s="499"/>
      <c r="VWM71" s="499"/>
      <c r="VWN71" s="499"/>
      <c r="VWO71" s="499"/>
      <c r="VWP71" s="499"/>
      <c r="VWQ71" s="499"/>
      <c r="VWR71" s="499"/>
      <c r="VWS71" s="499"/>
      <c r="VWT71" s="499"/>
      <c r="VWU71" s="499"/>
      <c r="VWV71" s="499"/>
      <c r="VWW71" s="499"/>
      <c r="VWX71" s="499"/>
      <c r="VWY71" s="499"/>
      <c r="VWZ71" s="499"/>
      <c r="VXA71" s="499"/>
      <c r="VXB71" s="499"/>
      <c r="VXC71" s="499"/>
      <c r="VXD71" s="499"/>
      <c r="VXE71" s="499"/>
      <c r="VXF71" s="499"/>
      <c r="VXG71" s="499"/>
      <c r="VXH71" s="499"/>
      <c r="VXI71" s="499"/>
      <c r="VXJ71" s="499"/>
      <c r="VXK71" s="499"/>
      <c r="VXL71" s="499"/>
      <c r="VXM71" s="499"/>
      <c r="VXN71" s="499"/>
      <c r="VXO71" s="499"/>
      <c r="VXP71" s="499"/>
      <c r="VXQ71" s="499"/>
      <c r="VXR71" s="499"/>
      <c r="VXS71" s="499"/>
      <c r="VXT71" s="499"/>
      <c r="VXU71" s="499"/>
      <c r="VXV71" s="499"/>
      <c r="VXW71" s="499"/>
      <c r="VXX71" s="499"/>
      <c r="VXY71" s="499"/>
      <c r="VXZ71" s="499"/>
      <c r="VYA71" s="499"/>
      <c r="VYB71" s="499"/>
      <c r="VYC71" s="499"/>
      <c r="VYD71" s="499"/>
      <c r="VYE71" s="499"/>
      <c r="VYF71" s="499"/>
      <c r="VYG71" s="499"/>
      <c r="VYH71" s="499"/>
      <c r="VYI71" s="499"/>
      <c r="VYJ71" s="499"/>
      <c r="VYK71" s="499"/>
      <c r="VYL71" s="499"/>
      <c r="VYM71" s="499"/>
      <c r="VYN71" s="499"/>
      <c r="VYO71" s="499"/>
      <c r="VYP71" s="499"/>
      <c r="VYQ71" s="499"/>
      <c r="VYR71" s="499"/>
      <c r="VYS71" s="499"/>
      <c r="VYT71" s="499"/>
      <c r="VYU71" s="499"/>
      <c r="VYV71" s="499"/>
      <c r="VYW71" s="499"/>
      <c r="VYX71" s="499"/>
      <c r="VYY71" s="499"/>
      <c r="VYZ71" s="499"/>
      <c r="VZA71" s="499"/>
      <c r="VZB71" s="499"/>
      <c r="VZC71" s="499"/>
      <c r="VZD71" s="499"/>
      <c r="VZE71" s="499"/>
      <c r="VZF71" s="499"/>
      <c r="VZG71" s="499"/>
      <c r="VZH71" s="499"/>
      <c r="VZI71" s="499"/>
      <c r="VZJ71" s="499"/>
      <c r="VZK71" s="499"/>
      <c r="VZL71" s="499"/>
      <c r="VZM71" s="499"/>
      <c r="VZN71" s="499"/>
      <c r="VZO71" s="499"/>
      <c r="VZP71" s="499"/>
      <c r="VZQ71" s="499"/>
      <c r="VZR71" s="499"/>
      <c r="VZS71" s="499"/>
      <c r="VZT71" s="499"/>
      <c r="VZU71" s="499"/>
      <c r="VZV71" s="499"/>
      <c r="VZW71" s="499"/>
      <c r="VZX71" s="499"/>
      <c r="VZY71" s="499"/>
      <c r="VZZ71" s="499"/>
      <c r="WAA71" s="499"/>
      <c r="WAB71" s="499"/>
      <c r="WAC71" s="499"/>
      <c r="WAD71" s="499"/>
      <c r="WAE71" s="499"/>
      <c r="WAF71" s="499"/>
      <c r="WAG71" s="499"/>
      <c r="WAH71" s="499"/>
      <c r="WAI71" s="499"/>
      <c r="WAJ71" s="499"/>
      <c r="WAK71" s="499"/>
      <c r="WAL71" s="499"/>
      <c r="WAM71" s="499"/>
      <c r="WAN71" s="499"/>
      <c r="WAO71" s="499"/>
      <c r="WAP71" s="499"/>
      <c r="WAQ71" s="499"/>
      <c r="WAR71" s="499"/>
      <c r="WAS71" s="499"/>
      <c r="WAT71" s="499"/>
      <c r="WAU71" s="499"/>
      <c r="WAV71" s="499"/>
      <c r="WAW71" s="499"/>
      <c r="WAX71" s="499"/>
      <c r="WAY71" s="499"/>
      <c r="WAZ71" s="499"/>
      <c r="WBA71" s="499"/>
      <c r="WBB71" s="499"/>
      <c r="WBC71" s="499"/>
      <c r="WBD71" s="499"/>
      <c r="WBE71" s="499"/>
      <c r="WBF71" s="499"/>
      <c r="WBG71" s="499"/>
      <c r="WBH71" s="499"/>
      <c r="WBI71" s="499"/>
      <c r="WBJ71" s="499"/>
      <c r="WBK71" s="499"/>
      <c r="WBL71" s="499"/>
      <c r="WBM71" s="499"/>
      <c r="WBN71" s="499"/>
      <c r="WBO71" s="499"/>
      <c r="WBP71" s="499"/>
      <c r="WBQ71" s="499"/>
      <c r="WBR71" s="499"/>
      <c r="WBS71" s="499"/>
      <c r="WBT71" s="499"/>
      <c r="WBU71" s="499"/>
      <c r="WBV71" s="499"/>
      <c r="WBW71" s="499"/>
      <c r="WBX71" s="499"/>
      <c r="WBY71" s="499"/>
      <c r="WBZ71" s="499"/>
      <c r="WCA71" s="499"/>
      <c r="WCB71" s="499"/>
      <c r="WCC71" s="499"/>
      <c r="WCD71" s="499"/>
      <c r="WCE71" s="499"/>
      <c r="WCF71" s="499"/>
      <c r="WCG71" s="499"/>
      <c r="WCH71" s="499"/>
      <c r="WCI71" s="499"/>
      <c r="WCJ71" s="499"/>
      <c r="WCK71" s="499"/>
      <c r="WCL71" s="499"/>
      <c r="WCM71" s="499"/>
      <c r="WCN71" s="499"/>
      <c r="WCO71" s="499"/>
      <c r="WCP71" s="499"/>
      <c r="WCQ71" s="499"/>
      <c r="WCR71" s="499"/>
      <c r="WCS71" s="499"/>
      <c r="WCT71" s="499"/>
      <c r="WCU71" s="499"/>
      <c r="WCV71" s="499"/>
      <c r="WCW71" s="499"/>
      <c r="WCX71" s="499"/>
      <c r="WCY71" s="499"/>
      <c r="WCZ71" s="499"/>
      <c r="WDA71" s="499"/>
      <c r="WDB71" s="499"/>
      <c r="WDC71" s="499"/>
      <c r="WDD71" s="499"/>
      <c r="WDE71" s="499"/>
      <c r="WDF71" s="499"/>
      <c r="WDG71" s="499"/>
      <c r="WDH71" s="499"/>
      <c r="WDI71" s="499"/>
      <c r="WDJ71" s="499"/>
      <c r="WDK71" s="499"/>
      <c r="WDL71" s="499"/>
      <c r="WDM71" s="499"/>
      <c r="WDN71" s="499"/>
      <c r="WDO71" s="499"/>
      <c r="WDP71" s="499"/>
      <c r="WDQ71" s="499"/>
      <c r="WDR71" s="499"/>
      <c r="WDS71" s="499"/>
      <c r="WDT71" s="499"/>
      <c r="WDU71" s="499"/>
      <c r="WDV71" s="499"/>
      <c r="WDW71" s="499"/>
      <c r="WDX71" s="499"/>
      <c r="WDY71" s="499"/>
      <c r="WDZ71" s="499"/>
      <c r="WEA71" s="499"/>
      <c r="WEB71" s="499"/>
      <c r="WEC71" s="499"/>
      <c r="WED71" s="499"/>
      <c r="WEE71" s="499"/>
      <c r="WEF71" s="499"/>
      <c r="WEG71" s="499"/>
      <c r="WEH71" s="499"/>
      <c r="WEI71" s="499"/>
      <c r="WEJ71" s="499"/>
      <c r="WEK71" s="499"/>
      <c r="WEL71" s="499"/>
      <c r="WEM71" s="499"/>
      <c r="WEN71" s="499"/>
      <c r="WEO71" s="499"/>
      <c r="WEP71" s="499"/>
      <c r="WEQ71" s="499"/>
      <c r="WER71" s="499"/>
      <c r="WES71" s="499"/>
      <c r="WET71" s="499"/>
      <c r="WEU71" s="499"/>
      <c r="WEV71" s="499"/>
      <c r="WEW71" s="499"/>
      <c r="WEX71" s="499"/>
      <c r="WEY71" s="499"/>
      <c r="WEZ71" s="499"/>
      <c r="WFA71" s="499"/>
      <c r="WFB71" s="499"/>
      <c r="WFC71" s="499"/>
      <c r="WFD71" s="499"/>
      <c r="WFE71" s="499"/>
      <c r="WFF71" s="499"/>
      <c r="WFG71" s="499"/>
      <c r="WFH71" s="499"/>
      <c r="WFI71" s="499"/>
      <c r="WFJ71" s="499"/>
      <c r="WFK71" s="499"/>
      <c r="WFL71" s="499"/>
      <c r="WFM71" s="499"/>
      <c r="WFN71" s="499"/>
      <c r="WFO71" s="499"/>
      <c r="WFP71" s="499"/>
      <c r="WFQ71" s="499"/>
      <c r="WFR71" s="499"/>
      <c r="WFS71" s="499"/>
      <c r="WFT71" s="499"/>
      <c r="WFU71" s="499"/>
      <c r="WFV71" s="499"/>
      <c r="WFW71" s="499"/>
      <c r="WFX71" s="499"/>
      <c r="WFY71" s="499"/>
      <c r="WFZ71" s="499"/>
      <c r="WGA71" s="499"/>
      <c r="WGB71" s="499"/>
      <c r="WGC71" s="499"/>
      <c r="WGD71" s="499"/>
      <c r="WGE71" s="499"/>
      <c r="WGF71" s="499"/>
      <c r="WGG71" s="499"/>
      <c r="WGH71" s="499"/>
      <c r="WGI71" s="499"/>
      <c r="WGJ71" s="499"/>
      <c r="WGK71" s="499"/>
      <c r="WGL71" s="499"/>
      <c r="WGM71" s="499"/>
      <c r="WGN71" s="499"/>
      <c r="WGO71" s="499"/>
      <c r="WGP71" s="499"/>
      <c r="WGQ71" s="499"/>
      <c r="WGR71" s="499"/>
      <c r="WGS71" s="499"/>
      <c r="WGT71" s="499"/>
      <c r="WGU71" s="499"/>
      <c r="WGV71" s="499"/>
      <c r="WGW71" s="499"/>
      <c r="WGX71" s="499"/>
      <c r="WGY71" s="499"/>
      <c r="WGZ71" s="499"/>
      <c r="WHA71" s="499"/>
      <c r="WHB71" s="499"/>
      <c r="WHC71" s="499"/>
      <c r="WHD71" s="499"/>
      <c r="WHE71" s="499"/>
      <c r="WHF71" s="499"/>
      <c r="WHG71" s="499"/>
      <c r="WHH71" s="499"/>
      <c r="WHI71" s="499"/>
      <c r="WHJ71" s="499"/>
      <c r="WHK71" s="499"/>
      <c r="WHL71" s="499"/>
      <c r="WHM71" s="499"/>
      <c r="WHN71" s="499"/>
      <c r="WHO71" s="499"/>
      <c r="WHP71" s="499"/>
      <c r="WHQ71" s="499"/>
      <c r="WHR71" s="499"/>
      <c r="WHS71" s="499"/>
      <c r="WHT71" s="499"/>
      <c r="WHU71" s="499"/>
      <c r="WHV71" s="499"/>
      <c r="WHW71" s="499"/>
      <c r="WHX71" s="499"/>
      <c r="WHY71" s="499"/>
      <c r="WHZ71" s="499"/>
      <c r="WIA71" s="499"/>
      <c r="WIB71" s="499"/>
      <c r="WIC71" s="499"/>
      <c r="WID71" s="499"/>
      <c r="WIE71" s="499"/>
      <c r="WIF71" s="499"/>
      <c r="WIG71" s="499"/>
      <c r="WIH71" s="499"/>
      <c r="WII71" s="499"/>
      <c r="WIJ71" s="499"/>
      <c r="WIK71" s="499"/>
      <c r="WIL71" s="499"/>
      <c r="WIM71" s="499"/>
      <c r="WIN71" s="499"/>
      <c r="WIO71" s="499"/>
      <c r="WIP71" s="499"/>
      <c r="WIQ71" s="499"/>
      <c r="WIR71" s="499"/>
      <c r="WIS71" s="499"/>
      <c r="WIT71" s="499"/>
      <c r="WIU71" s="499"/>
      <c r="WIV71" s="499"/>
      <c r="WIW71" s="499"/>
      <c r="WIX71" s="499"/>
      <c r="WIY71" s="499"/>
      <c r="WIZ71" s="499"/>
      <c r="WJA71" s="499"/>
      <c r="WJB71" s="499"/>
      <c r="WJC71" s="499"/>
      <c r="WJD71" s="499"/>
      <c r="WJE71" s="499"/>
      <c r="WJF71" s="499"/>
      <c r="WJG71" s="499"/>
      <c r="WJH71" s="499"/>
      <c r="WJI71" s="499"/>
      <c r="WJJ71" s="499"/>
      <c r="WJK71" s="499"/>
      <c r="WJL71" s="499"/>
      <c r="WJM71" s="499"/>
      <c r="WJN71" s="499"/>
      <c r="WJO71" s="499"/>
      <c r="WJP71" s="499"/>
      <c r="WJQ71" s="499"/>
      <c r="WJR71" s="499"/>
      <c r="WJS71" s="499"/>
      <c r="WJT71" s="499"/>
      <c r="WJU71" s="499"/>
      <c r="WJV71" s="499"/>
      <c r="WJW71" s="499"/>
      <c r="WJX71" s="499"/>
      <c r="WJY71" s="499"/>
      <c r="WJZ71" s="499"/>
      <c r="WKA71" s="499"/>
      <c r="WKB71" s="499"/>
      <c r="WKC71" s="499"/>
      <c r="WKD71" s="499"/>
      <c r="WKE71" s="499"/>
      <c r="WKF71" s="499"/>
      <c r="WKG71" s="499"/>
      <c r="WKH71" s="499"/>
      <c r="WKI71" s="499"/>
      <c r="WKJ71" s="499"/>
      <c r="WKK71" s="499"/>
      <c r="WKL71" s="499"/>
      <c r="WKM71" s="499"/>
      <c r="WKN71" s="499"/>
      <c r="WKO71" s="499"/>
      <c r="WKP71" s="499"/>
      <c r="WKQ71" s="499"/>
      <c r="WKR71" s="499"/>
      <c r="WKS71" s="499"/>
      <c r="WKT71" s="499"/>
      <c r="WKU71" s="499"/>
      <c r="WKV71" s="499"/>
      <c r="WKW71" s="499"/>
      <c r="WKX71" s="499"/>
      <c r="WKY71" s="499"/>
      <c r="WKZ71" s="499"/>
      <c r="WLA71" s="499"/>
      <c r="WLB71" s="499"/>
      <c r="WLC71" s="499"/>
      <c r="WLD71" s="499"/>
      <c r="WLE71" s="499"/>
      <c r="WLF71" s="499"/>
      <c r="WLG71" s="499"/>
      <c r="WLH71" s="499"/>
      <c r="WLI71" s="499"/>
      <c r="WLJ71" s="499"/>
      <c r="WLK71" s="499"/>
      <c r="WLL71" s="499"/>
      <c r="WLM71" s="499"/>
      <c r="WLN71" s="499"/>
      <c r="WLO71" s="499"/>
      <c r="WLP71" s="499"/>
      <c r="WLQ71" s="499"/>
      <c r="WLR71" s="499"/>
      <c r="WLS71" s="499"/>
      <c r="WLT71" s="499"/>
      <c r="WLU71" s="499"/>
      <c r="WLV71" s="499"/>
      <c r="WLW71" s="499"/>
      <c r="WLX71" s="499"/>
      <c r="WLY71" s="499"/>
      <c r="WLZ71" s="499"/>
      <c r="WMA71" s="499"/>
      <c r="WMB71" s="499"/>
      <c r="WMC71" s="499"/>
      <c r="WMD71" s="499"/>
      <c r="WME71" s="499"/>
      <c r="WMF71" s="499"/>
      <c r="WMG71" s="499"/>
      <c r="WMH71" s="499"/>
      <c r="WMI71" s="499"/>
      <c r="WMJ71" s="499"/>
      <c r="WMK71" s="499"/>
      <c r="WML71" s="499"/>
      <c r="WMM71" s="499"/>
      <c r="WMN71" s="499"/>
      <c r="WMO71" s="499"/>
      <c r="WMP71" s="499"/>
      <c r="WMQ71" s="499"/>
      <c r="WMR71" s="499"/>
      <c r="WMS71" s="499"/>
      <c r="WMT71" s="499"/>
      <c r="WMU71" s="499"/>
      <c r="WMV71" s="499"/>
      <c r="WMW71" s="499"/>
      <c r="WMX71" s="499"/>
      <c r="WMY71" s="499"/>
      <c r="WMZ71" s="499"/>
      <c r="WNA71" s="499"/>
      <c r="WNB71" s="499"/>
      <c r="WNC71" s="499"/>
      <c r="WND71" s="499"/>
      <c r="WNE71" s="499"/>
      <c r="WNF71" s="499"/>
      <c r="WNG71" s="499"/>
      <c r="WNH71" s="499"/>
      <c r="WNI71" s="499"/>
      <c r="WNJ71" s="499"/>
      <c r="WNK71" s="499"/>
      <c r="WNL71" s="499"/>
      <c r="WNM71" s="499"/>
      <c r="WNN71" s="499"/>
      <c r="WNO71" s="499"/>
      <c r="WNP71" s="499"/>
      <c r="WNQ71" s="499"/>
      <c r="WNR71" s="499"/>
      <c r="WNS71" s="499"/>
      <c r="WNT71" s="499"/>
      <c r="WNU71" s="499"/>
      <c r="WNV71" s="499"/>
      <c r="WNW71" s="499"/>
      <c r="WNX71" s="499"/>
      <c r="WNY71" s="499"/>
      <c r="WNZ71" s="499"/>
      <c r="WOA71" s="499"/>
      <c r="WOB71" s="499"/>
      <c r="WOC71" s="499"/>
      <c r="WOD71" s="499"/>
      <c r="WOE71" s="499"/>
      <c r="WOF71" s="499"/>
      <c r="WOG71" s="499"/>
      <c r="WOH71" s="499"/>
      <c r="WOI71" s="499"/>
      <c r="WOJ71" s="499"/>
      <c r="WOK71" s="499"/>
      <c r="WOL71" s="499"/>
      <c r="WOM71" s="499"/>
      <c r="WON71" s="499"/>
      <c r="WOO71" s="499"/>
      <c r="WOP71" s="499"/>
      <c r="WOQ71" s="499"/>
      <c r="WOR71" s="499"/>
      <c r="WOS71" s="499"/>
      <c r="WOT71" s="499"/>
      <c r="WOU71" s="499"/>
      <c r="WOV71" s="499"/>
      <c r="WOW71" s="499"/>
      <c r="WOX71" s="499"/>
      <c r="WOY71" s="499"/>
      <c r="WOZ71" s="499"/>
      <c r="WPA71" s="499"/>
      <c r="WPB71" s="499"/>
      <c r="WPC71" s="499"/>
      <c r="WPD71" s="499"/>
      <c r="WPE71" s="499"/>
      <c r="WPF71" s="499"/>
      <c r="WPG71" s="499"/>
      <c r="WPH71" s="499"/>
      <c r="WPI71" s="499"/>
      <c r="WPJ71" s="499"/>
      <c r="WPK71" s="499"/>
      <c r="WPL71" s="499"/>
      <c r="WPM71" s="499"/>
      <c r="WPN71" s="499"/>
      <c r="WPO71" s="499"/>
      <c r="WPP71" s="499"/>
      <c r="WPQ71" s="499"/>
      <c r="WPR71" s="499"/>
      <c r="WPS71" s="499"/>
      <c r="WPT71" s="499"/>
      <c r="WPU71" s="499"/>
      <c r="WPV71" s="499"/>
      <c r="WPW71" s="499"/>
      <c r="WPX71" s="499"/>
      <c r="WPY71" s="499"/>
      <c r="WPZ71" s="499"/>
      <c r="WQA71" s="499"/>
      <c r="WQB71" s="499"/>
      <c r="WQC71" s="499"/>
      <c r="WQD71" s="499"/>
      <c r="WQE71" s="499"/>
      <c r="WQF71" s="499"/>
      <c r="WQG71" s="499"/>
      <c r="WQH71" s="499"/>
      <c r="WQI71" s="499"/>
      <c r="WQJ71" s="499"/>
      <c r="WQK71" s="499"/>
      <c r="WQL71" s="499"/>
      <c r="WQM71" s="499"/>
      <c r="WQN71" s="499"/>
      <c r="WQO71" s="499"/>
      <c r="WQP71" s="499"/>
      <c r="WQQ71" s="499"/>
      <c r="WQR71" s="499"/>
      <c r="WQS71" s="499"/>
      <c r="WQT71" s="499"/>
      <c r="WQU71" s="499"/>
      <c r="WQV71" s="499"/>
      <c r="WQW71" s="499"/>
      <c r="WQX71" s="499"/>
      <c r="WQY71" s="499"/>
      <c r="WQZ71" s="499"/>
      <c r="WRA71" s="499"/>
      <c r="WRB71" s="499"/>
      <c r="WRC71" s="499"/>
      <c r="WRD71" s="499"/>
      <c r="WRE71" s="499"/>
      <c r="WRF71" s="499"/>
      <c r="WRG71" s="499"/>
      <c r="WRH71" s="499"/>
      <c r="WRI71" s="499"/>
      <c r="WRJ71" s="499"/>
      <c r="WRK71" s="499"/>
      <c r="WRL71" s="499"/>
      <c r="WRM71" s="499"/>
      <c r="WRN71" s="499"/>
      <c r="WRO71" s="499"/>
      <c r="WRP71" s="499"/>
      <c r="WRQ71" s="499"/>
      <c r="WRR71" s="499"/>
      <c r="WRS71" s="499"/>
      <c r="WRT71" s="499"/>
      <c r="WRU71" s="499"/>
      <c r="WRV71" s="499"/>
      <c r="WRW71" s="499"/>
      <c r="WRX71" s="499"/>
      <c r="WRY71" s="499"/>
      <c r="WRZ71" s="499"/>
      <c r="WSA71" s="499"/>
      <c r="WSB71" s="499"/>
      <c r="WSC71" s="499"/>
      <c r="WSD71" s="499"/>
      <c r="WSE71" s="499"/>
      <c r="WSF71" s="499"/>
      <c r="WSG71" s="499"/>
      <c r="WSH71" s="499"/>
      <c r="WSI71" s="499"/>
      <c r="WSJ71" s="499"/>
      <c r="WSK71" s="499"/>
      <c r="WSL71" s="499"/>
      <c r="WSM71" s="499"/>
      <c r="WSN71" s="499"/>
      <c r="WSO71" s="499"/>
      <c r="WSP71" s="499"/>
      <c r="WSQ71" s="499"/>
      <c r="WSR71" s="499"/>
      <c r="WSS71" s="499"/>
      <c r="WST71" s="499"/>
      <c r="WSU71" s="499"/>
      <c r="WSV71" s="499"/>
      <c r="WSW71" s="499"/>
      <c r="WSX71" s="499"/>
      <c r="WSY71" s="499"/>
      <c r="WSZ71" s="499"/>
      <c r="WTA71" s="499"/>
      <c r="WTB71" s="499"/>
      <c r="WTC71" s="499"/>
      <c r="WTD71" s="499"/>
      <c r="WTE71" s="499"/>
      <c r="WTF71" s="499"/>
      <c r="WTG71" s="499"/>
      <c r="WTH71" s="499"/>
      <c r="WTI71" s="499"/>
      <c r="WTJ71" s="499"/>
      <c r="WTK71" s="499"/>
      <c r="WTL71" s="499"/>
      <c r="WTM71" s="499"/>
      <c r="WTN71" s="499"/>
      <c r="WTO71" s="499"/>
      <c r="WTP71" s="499"/>
      <c r="WTQ71" s="499"/>
      <c r="WTR71" s="499"/>
      <c r="WTS71" s="499"/>
      <c r="WTT71" s="499"/>
      <c r="WTU71" s="499"/>
      <c r="WTV71" s="499"/>
      <c r="WTW71" s="499"/>
      <c r="WTX71" s="499"/>
      <c r="WTY71" s="499"/>
      <c r="WTZ71" s="499"/>
      <c r="WUA71" s="499"/>
      <c r="WUB71" s="499"/>
      <c r="WUC71" s="499"/>
      <c r="WUD71" s="499"/>
      <c r="WUE71" s="499"/>
      <c r="WUF71" s="499"/>
      <c r="WUG71" s="499"/>
      <c r="WUH71" s="499"/>
      <c r="WUI71" s="499"/>
      <c r="WUJ71" s="499"/>
      <c r="WUK71" s="499"/>
      <c r="WUL71" s="499"/>
      <c r="WUM71" s="499"/>
      <c r="WUN71" s="499"/>
      <c r="WUO71" s="499"/>
      <c r="WUP71" s="499"/>
      <c r="WUQ71" s="499"/>
      <c r="WUR71" s="499"/>
      <c r="WUS71" s="499"/>
      <c r="WUT71" s="499"/>
      <c r="WUU71" s="499"/>
      <c r="WUV71" s="499"/>
      <c r="WUW71" s="499"/>
      <c r="WUX71" s="499"/>
      <c r="WUY71" s="499"/>
      <c r="WUZ71" s="499"/>
      <c r="WVA71" s="499"/>
      <c r="WVB71" s="499"/>
      <c r="WVC71" s="499"/>
      <c r="WVD71" s="499"/>
      <c r="WVE71" s="499"/>
      <c r="WVF71" s="499"/>
      <c r="WVG71" s="499"/>
      <c r="WVH71" s="499"/>
      <c r="WVI71" s="499"/>
      <c r="WVJ71" s="499"/>
      <c r="WVK71" s="499"/>
      <c r="WVL71" s="499"/>
      <c r="WVM71" s="499"/>
      <c r="WVN71" s="499"/>
      <c r="WVO71" s="499"/>
      <c r="WVP71" s="499"/>
      <c r="WVQ71" s="499"/>
      <c r="WVR71" s="499"/>
      <c r="WVS71" s="499"/>
      <c r="WVT71" s="499"/>
      <c r="WVU71" s="499"/>
      <c r="WVV71" s="499"/>
      <c r="WVW71" s="499"/>
      <c r="WVX71" s="499"/>
      <c r="WVY71" s="499"/>
      <c r="WVZ71" s="499"/>
      <c r="WWA71" s="499"/>
      <c r="WWB71" s="499"/>
      <c r="WWC71" s="499"/>
      <c r="WWD71" s="499"/>
      <c r="WWE71" s="499"/>
      <c r="WWF71" s="499"/>
      <c r="WWG71" s="499"/>
      <c r="WWH71" s="499"/>
      <c r="WWI71" s="499"/>
      <c r="WWJ71" s="499"/>
      <c r="WWK71" s="499"/>
      <c r="WWL71" s="499"/>
      <c r="WWM71" s="499"/>
      <c r="WWN71" s="499"/>
      <c r="WWO71" s="499"/>
      <c r="WWP71" s="499"/>
      <c r="WWQ71" s="499"/>
      <c r="WWR71" s="499"/>
      <c r="WWS71" s="499"/>
      <c r="WWT71" s="499"/>
      <c r="WWU71" s="499"/>
      <c r="WWV71" s="499"/>
      <c r="WWW71" s="499"/>
      <c r="WWX71" s="499"/>
      <c r="WWY71" s="499"/>
      <c r="WWZ71" s="499"/>
      <c r="WXA71" s="499"/>
      <c r="WXB71" s="499"/>
      <c r="WXC71" s="499"/>
      <c r="WXD71" s="499"/>
      <c r="WXE71" s="499"/>
      <c r="WXF71" s="499"/>
      <c r="WXG71" s="499"/>
      <c r="WXH71" s="499"/>
      <c r="WXI71" s="499"/>
      <c r="WXJ71" s="499"/>
      <c r="WXK71" s="499"/>
      <c r="WXL71" s="499"/>
      <c r="WXM71" s="499"/>
      <c r="WXN71" s="499"/>
      <c r="WXO71" s="499"/>
      <c r="WXP71" s="499"/>
      <c r="WXQ71" s="499"/>
      <c r="WXR71" s="499"/>
      <c r="WXS71" s="499"/>
      <c r="WXT71" s="499"/>
      <c r="WXU71" s="499"/>
      <c r="WXV71" s="499"/>
      <c r="WXW71" s="499"/>
      <c r="WXX71" s="499"/>
      <c r="WXY71" s="499"/>
      <c r="WXZ71" s="499"/>
      <c r="WYA71" s="499"/>
      <c r="WYB71" s="499"/>
      <c r="WYC71" s="499"/>
      <c r="WYD71" s="499"/>
      <c r="WYE71" s="499"/>
      <c r="WYF71" s="499"/>
      <c r="WYG71" s="499"/>
      <c r="WYH71" s="499"/>
      <c r="WYI71" s="499"/>
      <c r="WYJ71" s="499"/>
      <c r="WYK71" s="499"/>
      <c r="WYL71" s="499"/>
      <c r="WYM71" s="499"/>
      <c r="WYN71" s="499"/>
      <c r="WYO71" s="499"/>
      <c r="WYP71" s="499"/>
      <c r="WYQ71" s="499"/>
      <c r="WYR71" s="499"/>
      <c r="WYS71" s="499"/>
      <c r="WYT71" s="499"/>
      <c r="WYU71" s="499"/>
      <c r="WYV71" s="499"/>
      <c r="WYW71" s="499"/>
      <c r="WYX71" s="499"/>
      <c r="WYY71" s="499"/>
      <c r="WYZ71" s="499"/>
      <c r="WZA71" s="499"/>
      <c r="WZB71" s="499"/>
      <c r="WZC71" s="499"/>
      <c r="WZD71" s="499"/>
      <c r="WZE71" s="499"/>
      <c r="WZF71" s="499"/>
      <c r="WZG71" s="499"/>
      <c r="WZH71" s="499"/>
      <c r="WZI71" s="499"/>
      <c r="WZJ71" s="499"/>
      <c r="WZK71" s="499"/>
      <c r="WZL71" s="499"/>
      <c r="WZM71" s="499"/>
      <c r="WZN71" s="499"/>
      <c r="WZO71" s="499"/>
      <c r="WZP71" s="499"/>
      <c r="WZQ71" s="499"/>
      <c r="WZR71" s="499"/>
      <c r="WZS71" s="499"/>
      <c r="WZT71" s="499"/>
      <c r="WZU71" s="499"/>
      <c r="WZV71" s="499"/>
      <c r="WZW71" s="499"/>
      <c r="WZX71" s="499"/>
      <c r="WZY71" s="499"/>
      <c r="WZZ71" s="499"/>
      <c r="XAA71" s="499"/>
      <c r="XAB71" s="499"/>
      <c r="XAC71" s="499"/>
      <c r="XAD71" s="499"/>
      <c r="XAE71" s="499"/>
      <c r="XAF71" s="499"/>
      <c r="XAG71" s="499"/>
      <c r="XAH71" s="499"/>
      <c r="XAI71" s="499"/>
      <c r="XAJ71" s="499"/>
      <c r="XAK71" s="499"/>
      <c r="XAL71" s="499"/>
      <c r="XAM71" s="499"/>
      <c r="XAN71" s="499"/>
      <c r="XAO71" s="499"/>
      <c r="XAP71" s="499"/>
      <c r="XAQ71" s="499"/>
      <c r="XAR71" s="499"/>
      <c r="XAS71" s="499"/>
      <c r="XAT71" s="499"/>
      <c r="XAU71" s="499"/>
      <c r="XAV71" s="499"/>
      <c r="XAW71" s="499"/>
      <c r="XAX71" s="499"/>
      <c r="XAY71" s="499"/>
      <c r="XAZ71" s="499"/>
      <c r="XBA71" s="499"/>
      <c r="XBB71" s="499"/>
      <c r="XBC71" s="499"/>
      <c r="XBD71" s="499"/>
      <c r="XBE71" s="499"/>
      <c r="XBF71" s="499"/>
      <c r="XBG71" s="499"/>
      <c r="XBH71" s="499"/>
      <c r="XBI71" s="499"/>
      <c r="XBJ71" s="499"/>
      <c r="XBK71" s="499"/>
      <c r="XBL71" s="499"/>
      <c r="XBM71" s="499"/>
      <c r="XBN71" s="499"/>
      <c r="XBO71" s="499"/>
      <c r="XBP71" s="499"/>
      <c r="XBQ71" s="499"/>
      <c r="XBR71" s="499"/>
      <c r="XBS71" s="499"/>
      <c r="XBT71" s="499"/>
      <c r="XBU71" s="499"/>
      <c r="XBV71" s="499"/>
      <c r="XBW71" s="499"/>
      <c r="XBX71" s="499"/>
      <c r="XBY71" s="499"/>
      <c r="XBZ71" s="499"/>
      <c r="XCA71" s="499"/>
      <c r="XCB71" s="499"/>
      <c r="XCC71" s="499"/>
      <c r="XCD71" s="499"/>
      <c r="XCE71" s="499"/>
      <c r="XCF71" s="499"/>
      <c r="XCG71" s="499"/>
      <c r="XCH71" s="499"/>
      <c r="XCI71" s="499"/>
      <c r="XCJ71" s="499"/>
      <c r="XCK71" s="499"/>
      <c r="XCL71" s="499"/>
      <c r="XCM71" s="499"/>
      <c r="XCN71" s="499"/>
      <c r="XCO71" s="499"/>
      <c r="XCP71" s="499"/>
      <c r="XCQ71" s="499"/>
      <c r="XCR71" s="499"/>
      <c r="XCS71" s="499"/>
      <c r="XCT71" s="499"/>
      <c r="XCU71" s="499"/>
      <c r="XCV71" s="499"/>
      <c r="XCW71" s="499"/>
      <c r="XCX71" s="499"/>
      <c r="XCY71" s="499"/>
      <c r="XCZ71" s="499"/>
      <c r="XDA71" s="499"/>
      <c r="XDB71" s="499"/>
      <c r="XDC71" s="499"/>
      <c r="XDD71" s="499"/>
      <c r="XDE71" s="499"/>
      <c r="XDF71" s="499"/>
      <c r="XDG71" s="499"/>
      <c r="XDH71" s="499"/>
      <c r="XDI71" s="499"/>
      <c r="XDJ71" s="499"/>
      <c r="XDK71" s="499"/>
      <c r="XDL71" s="499"/>
      <c r="XDM71" s="499"/>
      <c r="XDN71" s="499"/>
      <c r="XDO71" s="499"/>
      <c r="XDP71" s="499"/>
      <c r="XDQ71" s="499"/>
      <c r="XDR71" s="499"/>
      <c r="XDS71" s="499"/>
      <c r="XDT71" s="499"/>
      <c r="XDU71" s="499"/>
      <c r="XDV71" s="499"/>
      <c r="XDW71" s="499"/>
      <c r="XDX71" s="499"/>
      <c r="XDY71" s="499"/>
      <c r="XDZ71" s="499"/>
      <c r="XEA71" s="499"/>
      <c r="XEB71" s="499"/>
      <c r="XEC71" s="499"/>
      <c r="XED71" s="499"/>
      <c r="XEE71" s="499"/>
      <c r="XEF71" s="499"/>
      <c r="XEG71" s="499"/>
      <c r="XEH71" s="499"/>
      <c r="XEI71" s="499"/>
      <c r="XEJ71" s="499"/>
      <c r="XEK71" s="499"/>
      <c r="XEL71" s="499"/>
      <c r="XEM71" s="499"/>
      <c r="XEN71" s="499"/>
      <c r="XEO71" s="499"/>
      <c r="XEP71" s="499"/>
    </row>
    <row r="72" spans="1:16370" s="144" customFormat="1">
      <c r="A72" s="46"/>
      <c r="B72" s="181"/>
      <c r="C72" s="267"/>
      <c r="D72" s="77"/>
      <c r="E72" s="48"/>
      <c r="F72" s="452"/>
      <c r="G72" s="48"/>
      <c r="H72" s="106"/>
      <c r="I72" s="103"/>
      <c r="J72" s="103"/>
      <c r="K72" s="103"/>
      <c r="L72" s="84"/>
      <c r="M72" s="60"/>
      <c r="N72" s="172"/>
      <c r="O72" s="172"/>
      <c r="P72" s="514"/>
      <c r="Q72" s="276">
        <f>1</f>
        <v>1</v>
      </c>
      <c r="R72" s="138"/>
      <c r="T72" s="146"/>
      <c r="U72" s="145"/>
      <c r="X72" s="275"/>
      <c r="Y72" s="275" t="str">
        <f t="shared" si="14"/>
        <v/>
      </c>
      <c r="Z72" s="138" t="str">
        <f t="shared" si="15"/>
        <v/>
      </c>
    </row>
    <row r="73" spans="1:16370" s="144" customFormat="1" ht="204" customHeight="1">
      <c r="A73" s="46">
        <v>21</v>
      </c>
      <c r="B73" s="183" t="s">
        <v>322</v>
      </c>
      <c r="C73" s="143" t="s">
        <v>322</v>
      </c>
      <c r="D73" s="163" t="s">
        <v>323</v>
      </c>
      <c r="E73" s="149">
        <f>LEN(D73)</f>
        <v>290</v>
      </c>
      <c r="F73" s="163" t="s">
        <v>324</v>
      </c>
      <c r="G73" s="149">
        <f>LEN(F75)</f>
        <v>1080</v>
      </c>
      <c r="H73" s="158" t="s">
        <v>37</v>
      </c>
      <c r="I73" s="149" t="s">
        <v>24</v>
      </c>
      <c r="J73" s="149" t="s">
        <v>24</v>
      </c>
      <c r="K73" s="149" t="s">
        <v>38</v>
      </c>
      <c r="L73" s="173" t="s">
        <v>325</v>
      </c>
      <c r="M73" s="219" t="s">
        <v>24</v>
      </c>
      <c r="N73" s="173" t="s">
        <v>326</v>
      </c>
      <c r="O73" s="60"/>
      <c r="P73" s="10"/>
      <c r="Q73" s="271">
        <f>1</f>
        <v>1</v>
      </c>
      <c r="R73" s="138"/>
      <c r="T73" s="437" t="s">
        <v>33</v>
      </c>
      <c r="U73" s="145"/>
      <c r="X73" s="274">
        <v>22.126214981079102</v>
      </c>
      <c r="Y73" s="274">
        <f t="shared" si="14"/>
        <v>22.126214981079102</v>
      </c>
      <c r="Z73" s="138">
        <f t="shared" si="15"/>
        <v>22.126214981079102</v>
      </c>
    </row>
    <row r="74" spans="1:16370" s="144" customFormat="1">
      <c r="A74" s="46"/>
      <c r="B74" s="181"/>
      <c r="C74" s="97"/>
      <c r="D74" s="179"/>
      <c r="E74" s="48"/>
      <c r="F74" s="48"/>
      <c r="G74" s="48"/>
      <c r="H74" s="98"/>
      <c r="I74" s="48"/>
      <c r="J74" s="48"/>
      <c r="K74" s="48"/>
      <c r="L74" s="88"/>
      <c r="M74" s="60"/>
      <c r="N74" s="88"/>
      <c r="O74" s="88"/>
      <c r="P74" s="10"/>
      <c r="Q74" s="276">
        <f>1</f>
        <v>1</v>
      </c>
      <c r="R74" s="138"/>
      <c r="T74" s="146"/>
      <c r="U74" s="145"/>
      <c r="X74" s="275"/>
      <c r="Y74" s="275" t="str">
        <f t="shared" si="14"/>
        <v/>
      </c>
      <c r="Z74" s="138" t="str">
        <f t="shared" si="15"/>
        <v/>
      </c>
    </row>
    <row r="75" spans="1:16370" s="144" customFormat="1" ht="409.25" customHeight="1">
      <c r="A75" s="46">
        <f>A73+1</f>
        <v>22</v>
      </c>
      <c r="B75" s="183" t="s">
        <v>327</v>
      </c>
      <c r="C75" s="143" t="s">
        <v>327</v>
      </c>
      <c r="D75" s="163" t="s">
        <v>328</v>
      </c>
      <c r="E75" s="149">
        <f>LEN(D75)</f>
        <v>1218</v>
      </c>
      <c r="F75" s="163" t="s">
        <v>329</v>
      </c>
      <c r="G75" s="149" t="e">
        <f>LEN(#REF!)</f>
        <v>#REF!</v>
      </c>
      <c r="H75" s="158" t="s">
        <v>37</v>
      </c>
      <c r="I75" s="149" t="s">
        <v>24</v>
      </c>
      <c r="J75" s="149" t="s">
        <v>24</v>
      </c>
      <c r="K75" s="149" t="s">
        <v>330</v>
      </c>
      <c r="L75" s="140" t="s">
        <v>331</v>
      </c>
      <c r="M75" s="219" t="s">
        <v>24</v>
      </c>
      <c r="N75" s="147" t="s">
        <v>332</v>
      </c>
      <c r="O75" s="52" t="s">
        <v>333</v>
      </c>
      <c r="P75" s="10"/>
      <c r="Q75" s="271">
        <f>1</f>
        <v>1</v>
      </c>
      <c r="R75" s="138"/>
      <c r="T75" s="437" t="s">
        <v>33</v>
      </c>
      <c r="U75" s="145"/>
      <c r="X75" s="274">
        <v>18.710653305053711</v>
      </c>
      <c r="Y75" s="274">
        <f t="shared" si="14"/>
        <v>18.710653305053711</v>
      </c>
      <c r="Z75" s="138">
        <f t="shared" si="15"/>
        <v>18.710653305053711</v>
      </c>
    </row>
    <row r="76" spans="1:16370" s="232" customFormat="1" ht="182" customHeight="1">
      <c r="A76" s="46"/>
      <c r="B76" s="234" t="s">
        <v>334</v>
      </c>
      <c r="C76" s="245" t="s">
        <v>334</v>
      </c>
      <c r="D76" s="148" t="s">
        <v>288</v>
      </c>
      <c r="E76" s="141">
        <f>LEN(D76)</f>
        <v>143</v>
      </c>
      <c r="F76" s="419" t="s">
        <v>289</v>
      </c>
      <c r="G76" s="141" t="e">
        <f>LEN(#REF!)</f>
        <v>#REF!</v>
      </c>
      <c r="H76" s="143" t="s">
        <v>37</v>
      </c>
      <c r="I76" s="141" t="s">
        <v>24</v>
      </c>
      <c r="J76" s="141" t="s">
        <v>24</v>
      </c>
      <c r="K76" s="141" t="s">
        <v>38</v>
      </c>
      <c r="L76" s="140" t="s">
        <v>335</v>
      </c>
      <c r="M76" s="219" t="s">
        <v>24</v>
      </c>
      <c r="N76" s="147" t="s">
        <v>336</v>
      </c>
      <c r="O76" s="52" t="s">
        <v>337</v>
      </c>
      <c r="P76" s="51"/>
      <c r="Q76" s="392">
        <f>1</f>
        <v>1</v>
      </c>
      <c r="R76" s="139"/>
      <c r="T76" s="441" t="s">
        <v>33</v>
      </c>
      <c r="U76" s="226"/>
      <c r="X76" s="278">
        <v>8</v>
      </c>
      <c r="Y76" s="278">
        <f t="shared" si="14"/>
        <v>8</v>
      </c>
      <c r="Z76" s="139">
        <f t="shared" si="15"/>
        <v>8</v>
      </c>
    </row>
    <row r="77" spans="1:16370" s="232" customFormat="1" ht="182" customHeight="1">
      <c r="A77" s="46"/>
      <c r="B77" s="234" t="s">
        <v>338</v>
      </c>
      <c r="C77" s="245" t="s">
        <v>338</v>
      </c>
      <c r="D77" s="148" t="s">
        <v>294</v>
      </c>
      <c r="E77" s="141">
        <f>LEN(D77)</f>
        <v>170</v>
      </c>
      <c r="F77" s="419" t="s">
        <v>295</v>
      </c>
      <c r="G77" s="141">
        <f>LEN(F81)</f>
        <v>230</v>
      </c>
      <c r="H77" s="143" t="s">
        <v>37</v>
      </c>
      <c r="I77" s="141" t="s">
        <v>24</v>
      </c>
      <c r="J77" s="141" t="s">
        <v>24</v>
      </c>
      <c r="K77" s="141" t="s">
        <v>38</v>
      </c>
      <c r="L77" s="140" t="s">
        <v>335</v>
      </c>
      <c r="M77" s="219" t="s">
        <v>24</v>
      </c>
      <c r="N77" s="147" t="s">
        <v>339</v>
      </c>
      <c r="O77" s="52" t="s">
        <v>337</v>
      </c>
      <c r="P77" s="51"/>
      <c r="Q77" s="392">
        <f>1</f>
        <v>1</v>
      </c>
      <c r="R77" s="139"/>
      <c r="T77" s="441" t="s">
        <v>33</v>
      </c>
      <c r="U77" s="226"/>
      <c r="X77" s="278">
        <v>8</v>
      </c>
      <c r="Y77" s="278">
        <f t="shared" si="14"/>
        <v>8</v>
      </c>
      <c r="Z77" s="139">
        <f t="shared" si="15"/>
        <v>8</v>
      </c>
    </row>
    <row r="78" spans="1:16370" s="144" customFormat="1" ht="182" customHeight="1">
      <c r="A78" s="46"/>
      <c r="B78" s="234" t="s">
        <v>340</v>
      </c>
      <c r="C78" s="245" t="s">
        <v>340</v>
      </c>
      <c r="D78" s="148" t="s">
        <v>298</v>
      </c>
      <c r="E78" s="141">
        <f>LEN(D78)</f>
        <v>176</v>
      </c>
      <c r="F78" s="419" t="s">
        <v>299</v>
      </c>
      <c r="G78" s="141">
        <f>LEN(F82)</f>
        <v>170</v>
      </c>
      <c r="H78" s="143" t="s">
        <v>37</v>
      </c>
      <c r="I78" s="141" t="s">
        <v>24</v>
      </c>
      <c r="J78" s="141" t="s">
        <v>24</v>
      </c>
      <c r="K78" s="141" t="s">
        <v>38</v>
      </c>
      <c r="L78" s="140" t="s">
        <v>335</v>
      </c>
      <c r="M78" s="219" t="s">
        <v>24</v>
      </c>
      <c r="N78" s="147" t="s">
        <v>341</v>
      </c>
      <c r="O78" s="52" t="s">
        <v>337</v>
      </c>
      <c r="P78" s="51"/>
      <c r="Q78" s="271">
        <f>1</f>
        <v>1</v>
      </c>
      <c r="R78" s="138"/>
      <c r="T78" s="437" t="s">
        <v>33</v>
      </c>
      <c r="U78" s="145"/>
      <c r="X78" s="274">
        <v>8</v>
      </c>
      <c r="Y78" s="274">
        <f t="shared" si="14"/>
        <v>8</v>
      </c>
      <c r="Z78" s="138">
        <f t="shared" si="15"/>
        <v>8</v>
      </c>
    </row>
    <row r="79" spans="1:16370" s="144" customFormat="1">
      <c r="A79" s="96"/>
      <c r="B79" s="262"/>
      <c r="C79" s="267"/>
      <c r="D79" s="268"/>
      <c r="E79" s="103"/>
      <c r="G79" s="103"/>
      <c r="H79" s="97"/>
      <c r="I79" s="103"/>
      <c r="J79" s="103"/>
      <c r="K79" s="103"/>
      <c r="L79" s="84"/>
      <c r="M79" s="60"/>
      <c r="N79" s="172"/>
      <c r="O79" s="656"/>
      <c r="P79" s="51"/>
      <c r="Q79" s="276">
        <f>1</f>
        <v>1</v>
      </c>
      <c r="R79" s="138"/>
      <c r="T79" s="146"/>
      <c r="U79" s="145"/>
      <c r="X79" s="275"/>
      <c r="Y79" s="275" t="str">
        <f t="shared" si="14"/>
        <v/>
      </c>
      <c r="Z79" s="138" t="str">
        <f t="shared" si="15"/>
        <v/>
      </c>
    </row>
    <row r="80" spans="1:16370" s="144" customFormat="1" ht="136" hidden="1" customHeight="1">
      <c r="A80" s="14">
        <v>23</v>
      </c>
      <c r="B80" s="235" t="s">
        <v>342</v>
      </c>
      <c r="C80" s="17" t="s">
        <v>342</v>
      </c>
      <c r="D80" s="22" t="s">
        <v>343</v>
      </c>
      <c r="E80" s="20">
        <f>LEN(D80)</f>
        <v>243</v>
      </c>
      <c r="F80" s="479" t="s">
        <v>344</v>
      </c>
      <c r="G80" s="20">
        <f>LEN(F84)</f>
        <v>0</v>
      </c>
      <c r="H80" s="20" t="s">
        <v>128</v>
      </c>
      <c r="I80" s="20" t="s">
        <v>24</v>
      </c>
      <c r="J80" s="20" t="s">
        <v>24</v>
      </c>
      <c r="K80" s="20" t="s">
        <v>27</v>
      </c>
      <c r="L80" s="31" t="s">
        <v>345</v>
      </c>
      <c r="M80" s="78" t="s">
        <v>24</v>
      </c>
      <c r="N80" s="32" t="s">
        <v>346</v>
      </c>
      <c r="O80" s="32"/>
      <c r="P80" s="669" t="s">
        <v>306</v>
      </c>
      <c r="Q80" s="276">
        <f>1</f>
        <v>1</v>
      </c>
      <c r="R80" s="138"/>
      <c r="T80" s="146" t="s">
        <v>23</v>
      </c>
      <c r="U80" s="145"/>
      <c r="X80" s="275">
        <v>23.200380325317379</v>
      </c>
      <c r="Y80" s="275">
        <f t="shared" si="14"/>
        <v>23.200380325317379</v>
      </c>
      <c r="Z80" s="138" t="str">
        <f t="shared" si="15"/>
        <v/>
      </c>
    </row>
    <row r="81" spans="1:16370" s="144" customFormat="1" ht="119" hidden="1" customHeight="1">
      <c r="A81" s="14">
        <v>23</v>
      </c>
      <c r="B81" s="235" t="s">
        <v>347</v>
      </c>
      <c r="C81" s="244" t="s">
        <v>347</v>
      </c>
      <c r="D81" s="22" t="s">
        <v>308</v>
      </c>
      <c r="E81" s="20">
        <f>LEN(D81)</f>
        <v>256</v>
      </c>
      <c r="F81" s="479" t="s">
        <v>309</v>
      </c>
      <c r="G81" s="20">
        <f>LEN(F85)</f>
        <v>260</v>
      </c>
      <c r="H81" s="33" t="s">
        <v>37</v>
      </c>
      <c r="I81" s="16" t="s">
        <v>24</v>
      </c>
      <c r="J81" s="16" t="s">
        <v>24</v>
      </c>
      <c r="K81" s="16" t="s">
        <v>38</v>
      </c>
      <c r="L81" s="34" t="s">
        <v>348</v>
      </c>
      <c r="M81" s="78" t="s">
        <v>24</v>
      </c>
      <c r="N81" s="34" t="s">
        <v>349</v>
      </c>
      <c r="O81" s="34"/>
      <c r="P81" s="668"/>
      <c r="Q81" s="276">
        <f>1</f>
        <v>1</v>
      </c>
      <c r="R81" s="138"/>
      <c r="T81" s="146" t="s">
        <v>23</v>
      </c>
      <c r="U81" s="145"/>
      <c r="X81" s="275">
        <v>1.9277389049530029</v>
      </c>
      <c r="Y81" s="275">
        <f t="shared" si="14"/>
        <v>1.9277389049530029</v>
      </c>
      <c r="Z81" s="138" t="str">
        <f t="shared" si="15"/>
        <v/>
      </c>
    </row>
    <row r="82" spans="1:16370" s="144" customFormat="1" ht="170" customHeight="1">
      <c r="A82" s="58">
        <v>24</v>
      </c>
      <c r="B82" s="376" t="s">
        <v>350</v>
      </c>
      <c r="C82" s="377" t="s">
        <v>350</v>
      </c>
      <c r="D82" s="57" t="s">
        <v>313</v>
      </c>
      <c r="E82" s="16">
        <f>LEN(D82)</f>
        <v>181</v>
      </c>
      <c r="F82" s="479" t="s">
        <v>314</v>
      </c>
      <c r="G82" s="16">
        <f>LEN(F86)</f>
        <v>0</v>
      </c>
      <c r="H82" s="17" t="s">
        <v>37</v>
      </c>
      <c r="I82" s="16" t="s">
        <v>24</v>
      </c>
      <c r="J82" s="16" t="s">
        <v>24</v>
      </c>
      <c r="K82" s="16" t="s">
        <v>38</v>
      </c>
      <c r="L82" s="34" t="s">
        <v>351</v>
      </c>
      <c r="M82" s="78" t="s">
        <v>24</v>
      </c>
      <c r="N82" s="362" t="s">
        <v>352</v>
      </c>
      <c r="O82" s="363"/>
      <c r="P82" s="51"/>
      <c r="Q82" s="276">
        <f>1</f>
        <v>1</v>
      </c>
      <c r="R82" s="138"/>
      <c r="T82" s="146" t="s">
        <v>23</v>
      </c>
      <c r="U82" s="145"/>
      <c r="X82" s="275">
        <v>4.7874016761779794</v>
      </c>
      <c r="Y82" s="275">
        <f t="shared" si="14"/>
        <v>4.7874016761779794</v>
      </c>
      <c r="Z82" s="138" t="str">
        <f t="shared" si="15"/>
        <v/>
      </c>
    </row>
    <row r="83" spans="1:16370" s="144" customFormat="1" ht="153" hidden="1" customHeight="1">
      <c r="A83" s="26">
        <v>25</v>
      </c>
      <c r="B83" s="235" t="s">
        <v>353</v>
      </c>
      <c r="C83" s="244" t="s">
        <v>353</v>
      </c>
      <c r="D83" s="37" t="s">
        <v>319</v>
      </c>
      <c r="E83" s="24">
        <f>LEN(D83)</f>
        <v>215</v>
      </c>
      <c r="F83" s="479" t="s">
        <v>320</v>
      </c>
      <c r="G83" s="24">
        <f>LEN(F87)</f>
        <v>1080</v>
      </c>
      <c r="H83" s="36" t="s">
        <v>37</v>
      </c>
      <c r="I83" s="20" t="s">
        <v>24</v>
      </c>
      <c r="J83" s="20" t="s">
        <v>24</v>
      </c>
      <c r="K83" s="20" t="s">
        <v>38</v>
      </c>
      <c r="L83" s="378" t="s">
        <v>354</v>
      </c>
      <c r="M83" s="78" t="s">
        <v>24</v>
      </c>
      <c r="N83" s="375" t="s">
        <v>355</v>
      </c>
      <c r="O83" s="364"/>
      <c r="P83" s="10"/>
      <c r="Q83" s="276">
        <f>1</f>
        <v>1</v>
      </c>
      <c r="R83" s="138"/>
      <c r="S83" s="499"/>
      <c r="T83" s="146" t="s">
        <v>23</v>
      </c>
      <c r="U83" s="145"/>
      <c r="V83" s="499"/>
      <c r="W83" s="499"/>
      <c r="X83" s="275">
        <v>20.918367385864261</v>
      </c>
      <c r="Y83" s="275">
        <f t="shared" si="14"/>
        <v>20.918367385864261</v>
      </c>
      <c r="Z83" s="138" t="str">
        <f t="shared" si="15"/>
        <v/>
      </c>
      <c r="AA83" s="499"/>
      <c r="AB83" s="499"/>
      <c r="AC83" s="499"/>
      <c r="AD83" s="499"/>
      <c r="AE83" s="499"/>
      <c r="AF83" s="499"/>
      <c r="AG83" s="499"/>
      <c r="AH83" s="499"/>
      <c r="AI83" s="499"/>
      <c r="AJ83" s="499"/>
      <c r="AK83" s="499"/>
      <c r="AL83" s="499"/>
      <c r="AM83" s="499"/>
      <c r="AN83" s="499"/>
      <c r="AO83" s="499"/>
      <c r="AP83" s="499"/>
      <c r="AQ83" s="499"/>
      <c r="AR83" s="499"/>
      <c r="AS83" s="499"/>
      <c r="AT83" s="499"/>
      <c r="AU83" s="499"/>
      <c r="AV83" s="499"/>
      <c r="AW83" s="499"/>
      <c r="AX83" s="499"/>
      <c r="AY83" s="499"/>
      <c r="AZ83" s="499"/>
      <c r="BA83" s="499"/>
      <c r="BB83" s="499"/>
      <c r="BC83" s="499"/>
      <c r="BD83" s="499"/>
      <c r="BE83" s="499"/>
      <c r="BF83" s="499"/>
      <c r="BG83" s="499"/>
      <c r="BH83" s="499"/>
      <c r="BI83" s="499"/>
      <c r="BJ83" s="499"/>
      <c r="BK83" s="499"/>
      <c r="BL83" s="499"/>
      <c r="BM83" s="499"/>
      <c r="BN83" s="499"/>
      <c r="BO83" s="499"/>
      <c r="BP83" s="499"/>
      <c r="BQ83" s="499"/>
      <c r="BR83" s="499"/>
      <c r="BS83" s="499"/>
      <c r="BT83" s="499"/>
      <c r="BU83" s="499"/>
      <c r="BV83" s="499"/>
      <c r="BW83" s="499"/>
      <c r="BX83" s="499"/>
      <c r="BY83" s="499"/>
      <c r="BZ83" s="499"/>
      <c r="CA83" s="499"/>
      <c r="CB83" s="499"/>
      <c r="CC83" s="499"/>
      <c r="CD83" s="499"/>
      <c r="CE83" s="499"/>
      <c r="CF83" s="499"/>
      <c r="CG83" s="499"/>
      <c r="CH83" s="499"/>
      <c r="CI83" s="499"/>
      <c r="CJ83" s="499"/>
      <c r="CK83" s="499"/>
      <c r="CL83" s="499"/>
      <c r="CM83" s="499"/>
      <c r="CN83" s="499"/>
      <c r="CO83" s="499"/>
      <c r="CP83" s="499"/>
      <c r="CQ83" s="499"/>
      <c r="CR83" s="499"/>
      <c r="CS83" s="499"/>
      <c r="CT83" s="499"/>
      <c r="CU83" s="499"/>
      <c r="CV83" s="499"/>
      <c r="CW83" s="499"/>
      <c r="CX83" s="499"/>
      <c r="CY83" s="499"/>
      <c r="CZ83" s="499"/>
      <c r="DA83" s="499"/>
      <c r="DB83" s="499"/>
      <c r="DC83" s="499"/>
      <c r="DD83" s="499"/>
      <c r="DE83" s="499"/>
      <c r="DF83" s="499"/>
      <c r="DG83" s="499"/>
      <c r="DH83" s="499"/>
      <c r="DI83" s="499"/>
      <c r="DJ83" s="499"/>
      <c r="DK83" s="499"/>
      <c r="DL83" s="499"/>
      <c r="DM83" s="499"/>
      <c r="DN83" s="499"/>
      <c r="DO83" s="499"/>
      <c r="DP83" s="499"/>
      <c r="DQ83" s="499"/>
      <c r="DR83" s="499"/>
      <c r="DS83" s="499"/>
      <c r="DT83" s="499"/>
      <c r="DU83" s="499"/>
      <c r="DV83" s="499"/>
      <c r="DW83" s="499"/>
      <c r="DX83" s="499"/>
      <c r="DY83" s="499"/>
      <c r="DZ83" s="499"/>
      <c r="EA83" s="499"/>
      <c r="EB83" s="499"/>
      <c r="EC83" s="499"/>
      <c r="ED83" s="499"/>
      <c r="EE83" s="499"/>
      <c r="EF83" s="499"/>
      <c r="EG83" s="499"/>
      <c r="EH83" s="499"/>
      <c r="EI83" s="499"/>
      <c r="EJ83" s="499"/>
      <c r="EK83" s="499"/>
      <c r="EL83" s="499"/>
      <c r="EM83" s="499"/>
      <c r="EN83" s="499"/>
      <c r="EO83" s="499"/>
      <c r="EP83" s="499"/>
      <c r="EQ83" s="499"/>
      <c r="ER83" s="499"/>
      <c r="ES83" s="499"/>
      <c r="ET83" s="499"/>
      <c r="EU83" s="499"/>
      <c r="EV83" s="499"/>
      <c r="EW83" s="499"/>
      <c r="EX83" s="499"/>
      <c r="EY83" s="499"/>
      <c r="EZ83" s="499"/>
      <c r="FA83" s="499"/>
      <c r="FB83" s="499"/>
      <c r="FC83" s="499"/>
      <c r="FD83" s="499"/>
      <c r="FE83" s="499"/>
      <c r="FF83" s="499"/>
      <c r="FG83" s="499"/>
      <c r="FH83" s="499"/>
      <c r="FI83" s="499"/>
      <c r="FJ83" s="499"/>
      <c r="FK83" s="499"/>
      <c r="FL83" s="499"/>
      <c r="FM83" s="499"/>
      <c r="FN83" s="499"/>
      <c r="FO83" s="499"/>
      <c r="FP83" s="499"/>
      <c r="FQ83" s="499"/>
      <c r="FR83" s="499"/>
      <c r="FS83" s="499"/>
      <c r="FT83" s="499"/>
      <c r="FU83" s="499"/>
      <c r="FV83" s="499"/>
      <c r="FW83" s="499"/>
      <c r="FX83" s="499"/>
      <c r="FY83" s="499"/>
      <c r="FZ83" s="499"/>
      <c r="GA83" s="499"/>
      <c r="GB83" s="499"/>
      <c r="GC83" s="499"/>
      <c r="GD83" s="499"/>
      <c r="GE83" s="499"/>
      <c r="GF83" s="499"/>
      <c r="GG83" s="499"/>
      <c r="GH83" s="499"/>
      <c r="GI83" s="499"/>
      <c r="GJ83" s="499"/>
      <c r="GK83" s="499"/>
      <c r="GL83" s="499"/>
      <c r="GM83" s="499"/>
      <c r="GN83" s="499"/>
      <c r="GO83" s="499"/>
      <c r="GP83" s="499"/>
      <c r="GQ83" s="499"/>
      <c r="GR83" s="499"/>
      <c r="GS83" s="499"/>
      <c r="GT83" s="499"/>
      <c r="GU83" s="499"/>
      <c r="GV83" s="499"/>
      <c r="GW83" s="499"/>
      <c r="GX83" s="499"/>
      <c r="GY83" s="499"/>
      <c r="GZ83" s="499"/>
      <c r="HA83" s="499"/>
      <c r="HB83" s="499"/>
      <c r="HC83" s="499"/>
      <c r="HD83" s="499"/>
      <c r="HE83" s="499"/>
      <c r="HF83" s="499"/>
      <c r="HG83" s="499"/>
      <c r="HH83" s="499"/>
      <c r="HI83" s="499"/>
      <c r="HJ83" s="499"/>
      <c r="HK83" s="499"/>
      <c r="HL83" s="499"/>
      <c r="HM83" s="499"/>
      <c r="HN83" s="499"/>
      <c r="HO83" s="499"/>
      <c r="HP83" s="499"/>
      <c r="HQ83" s="499"/>
      <c r="HR83" s="499"/>
      <c r="HS83" s="499"/>
      <c r="HT83" s="499"/>
      <c r="HU83" s="499"/>
      <c r="HV83" s="499"/>
      <c r="HW83" s="499"/>
      <c r="HX83" s="499"/>
      <c r="HY83" s="499"/>
      <c r="HZ83" s="499"/>
      <c r="IA83" s="499"/>
      <c r="IB83" s="499"/>
      <c r="IC83" s="499"/>
      <c r="ID83" s="499"/>
      <c r="IE83" s="499"/>
      <c r="IF83" s="499"/>
      <c r="IG83" s="499"/>
      <c r="IH83" s="499"/>
      <c r="II83" s="499"/>
      <c r="IJ83" s="499"/>
      <c r="IK83" s="499"/>
      <c r="IL83" s="499"/>
      <c r="IM83" s="499"/>
      <c r="IN83" s="499"/>
      <c r="IO83" s="499"/>
      <c r="IP83" s="499"/>
      <c r="IQ83" s="499"/>
      <c r="IR83" s="499"/>
      <c r="IS83" s="499"/>
      <c r="IT83" s="499"/>
      <c r="IU83" s="499"/>
      <c r="IV83" s="499"/>
      <c r="IW83" s="499"/>
      <c r="IX83" s="499"/>
      <c r="IY83" s="499"/>
      <c r="IZ83" s="499"/>
      <c r="JA83" s="499"/>
      <c r="JB83" s="499"/>
      <c r="JC83" s="499"/>
      <c r="JD83" s="499"/>
      <c r="JE83" s="499"/>
      <c r="JF83" s="499"/>
      <c r="JG83" s="499"/>
      <c r="JH83" s="499"/>
      <c r="JI83" s="499"/>
      <c r="JJ83" s="499"/>
      <c r="JK83" s="499"/>
      <c r="JL83" s="499"/>
      <c r="JM83" s="499"/>
      <c r="JN83" s="499"/>
      <c r="JO83" s="499"/>
      <c r="JP83" s="499"/>
      <c r="JQ83" s="499"/>
      <c r="JR83" s="499"/>
      <c r="JS83" s="499"/>
      <c r="JT83" s="499"/>
      <c r="JU83" s="499"/>
      <c r="JV83" s="499"/>
      <c r="JW83" s="499"/>
      <c r="JX83" s="499"/>
      <c r="JY83" s="499"/>
      <c r="JZ83" s="499"/>
      <c r="KA83" s="499"/>
      <c r="KB83" s="499"/>
      <c r="KC83" s="499"/>
      <c r="KD83" s="499"/>
      <c r="KE83" s="499"/>
      <c r="KF83" s="499"/>
      <c r="KG83" s="499"/>
      <c r="KH83" s="499"/>
      <c r="KI83" s="499"/>
      <c r="KJ83" s="499"/>
      <c r="KK83" s="499"/>
      <c r="KL83" s="499"/>
      <c r="KM83" s="499"/>
      <c r="KN83" s="499"/>
      <c r="KO83" s="499"/>
      <c r="KP83" s="499"/>
      <c r="KQ83" s="499"/>
      <c r="KR83" s="499"/>
      <c r="KS83" s="499"/>
      <c r="KT83" s="499"/>
      <c r="KU83" s="499"/>
      <c r="KV83" s="499"/>
      <c r="KW83" s="499"/>
      <c r="KX83" s="499"/>
      <c r="KY83" s="499"/>
      <c r="KZ83" s="499"/>
      <c r="LA83" s="499"/>
      <c r="LB83" s="499"/>
      <c r="LC83" s="499"/>
      <c r="LD83" s="499"/>
      <c r="LE83" s="499"/>
      <c r="LF83" s="499"/>
      <c r="LG83" s="499"/>
      <c r="LH83" s="499"/>
      <c r="LI83" s="499"/>
      <c r="LJ83" s="499"/>
      <c r="LK83" s="499"/>
      <c r="LL83" s="499"/>
      <c r="LM83" s="499"/>
      <c r="LN83" s="499"/>
      <c r="LO83" s="499"/>
      <c r="LP83" s="499"/>
      <c r="LQ83" s="499"/>
      <c r="LR83" s="499"/>
      <c r="LS83" s="499"/>
      <c r="LT83" s="499"/>
      <c r="LU83" s="499"/>
      <c r="LV83" s="499"/>
      <c r="LW83" s="499"/>
      <c r="LX83" s="499"/>
      <c r="LY83" s="499"/>
      <c r="LZ83" s="499"/>
      <c r="MA83" s="499"/>
      <c r="MB83" s="499"/>
      <c r="MC83" s="499"/>
      <c r="MD83" s="499"/>
      <c r="ME83" s="499"/>
      <c r="MF83" s="499"/>
      <c r="MG83" s="499"/>
      <c r="MH83" s="499"/>
      <c r="MI83" s="499"/>
      <c r="MJ83" s="499"/>
      <c r="MK83" s="499"/>
      <c r="ML83" s="499"/>
      <c r="MM83" s="499"/>
      <c r="MN83" s="499"/>
      <c r="MO83" s="499"/>
      <c r="MP83" s="499"/>
      <c r="MQ83" s="499"/>
      <c r="MR83" s="499"/>
      <c r="MS83" s="499"/>
      <c r="MT83" s="499"/>
      <c r="MU83" s="499"/>
      <c r="MV83" s="499"/>
      <c r="MW83" s="499"/>
      <c r="MX83" s="499"/>
      <c r="MY83" s="499"/>
      <c r="MZ83" s="499"/>
      <c r="NA83" s="499"/>
      <c r="NB83" s="499"/>
      <c r="NC83" s="499"/>
      <c r="ND83" s="499"/>
      <c r="NE83" s="499"/>
      <c r="NF83" s="499"/>
      <c r="NG83" s="499"/>
      <c r="NH83" s="499"/>
      <c r="NI83" s="499"/>
      <c r="NJ83" s="499"/>
      <c r="NK83" s="499"/>
      <c r="NL83" s="499"/>
      <c r="NM83" s="499"/>
      <c r="NN83" s="499"/>
      <c r="NO83" s="499"/>
      <c r="NP83" s="499"/>
      <c r="NQ83" s="499"/>
      <c r="NR83" s="499"/>
      <c r="NS83" s="499"/>
      <c r="NT83" s="499"/>
      <c r="NU83" s="499"/>
      <c r="NV83" s="499"/>
      <c r="NW83" s="499"/>
      <c r="NX83" s="499"/>
      <c r="NY83" s="499"/>
      <c r="NZ83" s="499"/>
      <c r="OA83" s="499"/>
      <c r="OB83" s="499"/>
      <c r="OC83" s="499"/>
      <c r="OD83" s="499"/>
      <c r="OE83" s="499"/>
      <c r="OF83" s="499"/>
      <c r="OG83" s="499"/>
      <c r="OH83" s="499"/>
      <c r="OI83" s="499"/>
      <c r="OJ83" s="499"/>
      <c r="OK83" s="499"/>
      <c r="OL83" s="499"/>
      <c r="OM83" s="499"/>
      <c r="ON83" s="499"/>
      <c r="OO83" s="499"/>
      <c r="OP83" s="499"/>
      <c r="OQ83" s="499"/>
      <c r="OR83" s="499"/>
      <c r="OS83" s="499"/>
      <c r="OT83" s="499"/>
      <c r="OU83" s="499"/>
      <c r="OV83" s="499"/>
      <c r="OW83" s="499"/>
      <c r="OX83" s="499"/>
      <c r="OY83" s="499"/>
      <c r="OZ83" s="499"/>
      <c r="PA83" s="499"/>
      <c r="PB83" s="499"/>
      <c r="PC83" s="499"/>
      <c r="PD83" s="499"/>
      <c r="PE83" s="499"/>
      <c r="PF83" s="499"/>
      <c r="PG83" s="499"/>
      <c r="PH83" s="499"/>
      <c r="PI83" s="499"/>
      <c r="PJ83" s="499"/>
      <c r="PK83" s="499"/>
      <c r="PL83" s="499"/>
      <c r="PM83" s="499"/>
      <c r="PN83" s="499"/>
      <c r="PO83" s="499"/>
      <c r="PP83" s="499"/>
      <c r="PQ83" s="499"/>
      <c r="PR83" s="499"/>
      <c r="PS83" s="499"/>
      <c r="PT83" s="499"/>
      <c r="PU83" s="499"/>
      <c r="PV83" s="499"/>
      <c r="PW83" s="499"/>
      <c r="PX83" s="499"/>
      <c r="PY83" s="499"/>
      <c r="PZ83" s="499"/>
      <c r="QA83" s="499"/>
      <c r="QB83" s="499"/>
      <c r="QC83" s="499"/>
      <c r="QD83" s="499"/>
      <c r="QE83" s="499"/>
      <c r="QF83" s="499"/>
      <c r="QG83" s="499"/>
      <c r="QH83" s="499"/>
      <c r="QI83" s="499"/>
      <c r="QJ83" s="499"/>
      <c r="QK83" s="499"/>
      <c r="QL83" s="499"/>
      <c r="QM83" s="499"/>
      <c r="QN83" s="499"/>
      <c r="QO83" s="499"/>
      <c r="QP83" s="499"/>
      <c r="QQ83" s="499"/>
      <c r="QR83" s="499"/>
      <c r="QS83" s="499"/>
      <c r="QT83" s="499"/>
      <c r="QU83" s="499"/>
      <c r="QV83" s="499"/>
      <c r="QW83" s="499"/>
      <c r="QX83" s="499"/>
      <c r="QY83" s="499"/>
      <c r="QZ83" s="499"/>
      <c r="RA83" s="499"/>
      <c r="RB83" s="499"/>
      <c r="RC83" s="499"/>
      <c r="RD83" s="499"/>
      <c r="RE83" s="499"/>
      <c r="RF83" s="499"/>
      <c r="RG83" s="499"/>
      <c r="RH83" s="499"/>
      <c r="RI83" s="499"/>
      <c r="RJ83" s="499"/>
      <c r="RK83" s="499"/>
      <c r="RL83" s="499"/>
      <c r="RM83" s="499"/>
      <c r="RN83" s="499"/>
      <c r="RO83" s="499"/>
      <c r="RP83" s="499"/>
      <c r="RQ83" s="499"/>
      <c r="RR83" s="499"/>
      <c r="RS83" s="499"/>
      <c r="RT83" s="499"/>
      <c r="RU83" s="499"/>
      <c r="RV83" s="499"/>
      <c r="RW83" s="499"/>
      <c r="RX83" s="499"/>
      <c r="RY83" s="499"/>
      <c r="RZ83" s="499"/>
      <c r="SA83" s="499"/>
      <c r="SB83" s="499"/>
      <c r="SC83" s="499"/>
      <c r="SD83" s="499"/>
      <c r="SE83" s="499"/>
      <c r="SF83" s="499"/>
      <c r="SG83" s="499"/>
      <c r="SH83" s="499"/>
      <c r="SI83" s="499"/>
      <c r="SJ83" s="499"/>
      <c r="SK83" s="499"/>
      <c r="SL83" s="499"/>
      <c r="SM83" s="499"/>
      <c r="SN83" s="499"/>
      <c r="SO83" s="499"/>
      <c r="SP83" s="499"/>
      <c r="SQ83" s="499"/>
      <c r="SR83" s="499"/>
      <c r="SS83" s="499"/>
      <c r="ST83" s="499"/>
      <c r="SU83" s="499"/>
      <c r="SV83" s="499"/>
      <c r="SW83" s="499"/>
      <c r="SX83" s="499"/>
      <c r="SY83" s="499"/>
      <c r="SZ83" s="499"/>
      <c r="TA83" s="499"/>
      <c r="TB83" s="499"/>
      <c r="TC83" s="499"/>
      <c r="TD83" s="499"/>
      <c r="TE83" s="499"/>
      <c r="TF83" s="499"/>
      <c r="TG83" s="499"/>
      <c r="TH83" s="499"/>
      <c r="TI83" s="499"/>
      <c r="TJ83" s="499"/>
      <c r="TK83" s="499"/>
      <c r="TL83" s="499"/>
      <c r="TM83" s="499"/>
      <c r="TN83" s="499"/>
      <c r="TO83" s="499"/>
      <c r="TP83" s="499"/>
      <c r="TQ83" s="499"/>
      <c r="TR83" s="499"/>
      <c r="TS83" s="499"/>
      <c r="TT83" s="499"/>
      <c r="TU83" s="499"/>
      <c r="TV83" s="499"/>
      <c r="TW83" s="499"/>
      <c r="TX83" s="499"/>
      <c r="TY83" s="499"/>
      <c r="TZ83" s="499"/>
      <c r="UA83" s="499"/>
      <c r="UB83" s="499"/>
      <c r="UC83" s="499"/>
      <c r="UD83" s="499"/>
      <c r="UE83" s="499"/>
      <c r="UF83" s="499"/>
      <c r="UG83" s="499"/>
      <c r="UH83" s="499"/>
      <c r="UI83" s="499"/>
      <c r="UJ83" s="499"/>
      <c r="UK83" s="499"/>
      <c r="UL83" s="499"/>
      <c r="UM83" s="499"/>
      <c r="UN83" s="499"/>
      <c r="UO83" s="499"/>
      <c r="UP83" s="499"/>
      <c r="UQ83" s="499"/>
      <c r="UR83" s="499"/>
      <c r="US83" s="499"/>
      <c r="UT83" s="499"/>
      <c r="UU83" s="499"/>
      <c r="UV83" s="499"/>
      <c r="UW83" s="499"/>
      <c r="UX83" s="499"/>
      <c r="UY83" s="499"/>
      <c r="UZ83" s="499"/>
      <c r="VA83" s="499"/>
      <c r="VB83" s="499"/>
      <c r="VC83" s="499"/>
      <c r="VD83" s="499"/>
      <c r="VE83" s="499"/>
      <c r="VF83" s="499"/>
      <c r="VG83" s="499"/>
      <c r="VH83" s="499"/>
      <c r="VI83" s="499"/>
      <c r="VJ83" s="499"/>
      <c r="VK83" s="499"/>
      <c r="VL83" s="499"/>
      <c r="VM83" s="499"/>
      <c r="VN83" s="499"/>
      <c r="VO83" s="499"/>
      <c r="VP83" s="499"/>
      <c r="VQ83" s="499"/>
      <c r="VR83" s="499"/>
      <c r="VS83" s="499"/>
      <c r="VT83" s="499"/>
      <c r="VU83" s="499"/>
      <c r="VV83" s="499"/>
      <c r="VW83" s="499"/>
      <c r="VX83" s="499"/>
      <c r="VY83" s="499"/>
      <c r="VZ83" s="499"/>
      <c r="WA83" s="499"/>
      <c r="WB83" s="499"/>
      <c r="WC83" s="499"/>
      <c r="WD83" s="499"/>
      <c r="WE83" s="499"/>
      <c r="WF83" s="499"/>
      <c r="WG83" s="499"/>
      <c r="WH83" s="499"/>
      <c r="WI83" s="499"/>
      <c r="WJ83" s="499"/>
      <c r="WK83" s="499"/>
      <c r="WL83" s="499"/>
      <c r="WM83" s="499"/>
      <c r="WN83" s="499"/>
      <c r="WO83" s="499"/>
      <c r="WP83" s="499"/>
      <c r="WQ83" s="499"/>
      <c r="WR83" s="499"/>
      <c r="WS83" s="499"/>
      <c r="WT83" s="499"/>
      <c r="WU83" s="499"/>
      <c r="WV83" s="499"/>
      <c r="WW83" s="499"/>
      <c r="WX83" s="499"/>
      <c r="WY83" s="499"/>
      <c r="WZ83" s="499"/>
      <c r="XA83" s="499"/>
      <c r="XB83" s="499"/>
      <c r="XC83" s="499"/>
      <c r="XD83" s="499"/>
      <c r="XE83" s="499"/>
      <c r="XF83" s="499"/>
      <c r="XG83" s="499"/>
      <c r="XH83" s="499"/>
      <c r="XI83" s="499"/>
      <c r="XJ83" s="499"/>
      <c r="XK83" s="499"/>
      <c r="XL83" s="499"/>
      <c r="XM83" s="499"/>
      <c r="XN83" s="499"/>
      <c r="XO83" s="499"/>
      <c r="XP83" s="499"/>
      <c r="XQ83" s="499"/>
      <c r="XR83" s="499"/>
      <c r="XS83" s="499"/>
      <c r="XT83" s="499"/>
      <c r="XU83" s="499"/>
      <c r="XV83" s="499"/>
      <c r="XW83" s="499"/>
      <c r="XX83" s="499"/>
      <c r="XY83" s="499"/>
      <c r="XZ83" s="499"/>
      <c r="YA83" s="499"/>
      <c r="YB83" s="499"/>
      <c r="YC83" s="499"/>
      <c r="YD83" s="499"/>
      <c r="YE83" s="499"/>
      <c r="YF83" s="499"/>
      <c r="YG83" s="499"/>
      <c r="YH83" s="499"/>
      <c r="YI83" s="499"/>
      <c r="YJ83" s="499"/>
      <c r="YK83" s="499"/>
      <c r="YL83" s="499"/>
      <c r="YM83" s="499"/>
      <c r="YN83" s="499"/>
      <c r="YO83" s="499"/>
      <c r="YP83" s="499"/>
      <c r="YQ83" s="499"/>
      <c r="YR83" s="499"/>
      <c r="YS83" s="499"/>
      <c r="YT83" s="499"/>
      <c r="YU83" s="499"/>
      <c r="YV83" s="499"/>
      <c r="YW83" s="499"/>
      <c r="YX83" s="499"/>
      <c r="YY83" s="499"/>
      <c r="YZ83" s="499"/>
      <c r="ZA83" s="499"/>
      <c r="ZB83" s="499"/>
      <c r="ZC83" s="499"/>
      <c r="ZD83" s="499"/>
      <c r="ZE83" s="499"/>
      <c r="ZF83" s="499"/>
      <c r="ZG83" s="499"/>
      <c r="ZH83" s="499"/>
      <c r="ZI83" s="499"/>
      <c r="ZJ83" s="499"/>
      <c r="ZK83" s="499"/>
      <c r="ZL83" s="499"/>
      <c r="ZM83" s="499"/>
      <c r="ZN83" s="499"/>
      <c r="ZO83" s="499"/>
      <c r="ZP83" s="499"/>
      <c r="ZQ83" s="499"/>
      <c r="ZR83" s="499"/>
      <c r="ZS83" s="499"/>
      <c r="ZT83" s="499"/>
      <c r="ZU83" s="499"/>
      <c r="ZV83" s="499"/>
      <c r="ZW83" s="499"/>
      <c r="ZX83" s="499"/>
      <c r="ZY83" s="499"/>
      <c r="ZZ83" s="499"/>
      <c r="AAA83" s="499"/>
      <c r="AAB83" s="499"/>
      <c r="AAC83" s="499"/>
      <c r="AAD83" s="499"/>
      <c r="AAE83" s="499"/>
      <c r="AAF83" s="499"/>
      <c r="AAG83" s="499"/>
      <c r="AAH83" s="499"/>
      <c r="AAI83" s="499"/>
      <c r="AAJ83" s="499"/>
      <c r="AAK83" s="499"/>
      <c r="AAL83" s="499"/>
      <c r="AAM83" s="499"/>
      <c r="AAN83" s="499"/>
      <c r="AAO83" s="499"/>
      <c r="AAP83" s="499"/>
      <c r="AAQ83" s="499"/>
      <c r="AAR83" s="499"/>
      <c r="AAS83" s="499"/>
      <c r="AAT83" s="499"/>
      <c r="AAU83" s="499"/>
      <c r="AAV83" s="499"/>
      <c r="AAW83" s="499"/>
      <c r="AAX83" s="499"/>
      <c r="AAY83" s="499"/>
      <c r="AAZ83" s="499"/>
      <c r="ABA83" s="499"/>
      <c r="ABB83" s="499"/>
      <c r="ABC83" s="499"/>
      <c r="ABD83" s="499"/>
      <c r="ABE83" s="499"/>
      <c r="ABF83" s="499"/>
      <c r="ABG83" s="499"/>
      <c r="ABH83" s="499"/>
      <c r="ABI83" s="499"/>
      <c r="ABJ83" s="499"/>
      <c r="ABK83" s="499"/>
      <c r="ABL83" s="499"/>
      <c r="ABM83" s="499"/>
      <c r="ABN83" s="499"/>
      <c r="ABO83" s="499"/>
      <c r="ABP83" s="499"/>
      <c r="ABQ83" s="499"/>
      <c r="ABR83" s="499"/>
      <c r="ABS83" s="499"/>
      <c r="ABT83" s="499"/>
      <c r="ABU83" s="499"/>
      <c r="ABV83" s="499"/>
      <c r="ABW83" s="499"/>
      <c r="ABX83" s="499"/>
      <c r="ABY83" s="499"/>
      <c r="ABZ83" s="499"/>
      <c r="ACA83" s="499"/>
      <c r="ACB83" s="499"/>
      <c r="ACC83" s="499"/>
      <c r="ACD83" s="499"/>
      <c r="ACE83" s="499"/>
      <c r="ACF83" s="499"/>
      <c r="ACG83" s="499"/>
      <c r="ACH83" s="499"/>
      <c r="ACI83" s="499"/>
      <c r="ACJ83" s="499"/>
      <c r="ACK83" s="499"/>
      <c r="ACL83" s="499"/>
      <c r="ACM83" s="499"/>
      <c r="ACN83" s="499"/>
      <c r="ACO83" s="499"/>
      <c r="ACP83" s="499"/>
      <c r="ACQ83" s="499"/>
      <c r="ACR83" s="499"/>
      <c r="ACS83" s="499"/>
      <c r="ACT83" s="499"/>
      <c r="ACU83" s="499"/>
      <c r="ACV83" s="499"/>
      <c r="ACW83" s="499"/>
      <c r="ACX83" s="499"/>
      <c r="ACY83" s="499"/>
      <c r="ACZ83" s="499"/>
      <c r="ADA83" s="499"/>
      <c r="ADB83" s="499"/>
      <c r="ADC83" s="499"/>
      <c r="ADD83" s="499"/>
      <c r="ADE83" s="499"/>
      <c r="ADF83" s="499"/>
      <c r="ADG83" s="499"/>
      <c r="ADH83" s="499"/>
      <c r="ADI83" s="499"/>
      <c r="ADJ83" s="499"/>
      <c r="ADK83" s="499"/>
      <c r="ADL83" s="499"/>
      <c r="ADM83" s="499"/>
      <c r="ADN83" s="499"/>
      <c r="ADO83" s="499"/>
      <c r="ADP83" s="499"/>
      <c r="ADQ83" s="499"/>
      <c r="ADR83" s="499"/>
      <c r="ADS83" s="499"/>
      <c r="ADT83" s="499"/>
      <c r="ADU83" s="499"/>
      <c r="ADV83" s="499"/>
      <c r="ADW83" s="499"/>
      <c r="ADX83" s="499"/>
      <c r="ADY83" s="499"/>
      <c r="ADZ83" s="499"/>
      <c r="AEA83" s="499"/>
      <c r="AEB83" s="499"/>
      <c r="AEC83" s="499"/>
      <c r="AED83" s="499"/>
      <c r="AEE83" s="499"/>
      <c r="AEF83" s="499"/>
      <c r="AEG83" s="499"/>
      <c r="AEH83" s="499"/>
      <c r="AEI83" s="499"/>
      <c r="AEJ83" s="499"/>
      <c r="AEK83" s="499"/>
      <c r="AEL83" s="499"/>
      <c r="AEM83" s="499"/>
      <c r="AEN83" s="499"/>
      <c r="AEO83" s="499"/>
      <c r="AEP83" s="499"/>
      <c r="AEQ83" s="499"/>
      <c r="AER83" s="499"/>
      <c r="AES83" s="499"/>
      <c r="AET83" s="499"/>
      <c r="AEU83" s="499"/>
      <c r="AEV83" s="499"/>
      <c r="AEW83" s="499"/>
      <c r="AEX83" s="499"/>
      <c r="AEY83" s="499"/>
      <c r="AEZ83" s="499"/>
      <c r="AFA83" s="499"/>
      <c r="AFB83" s="499"/>
      <c r="AFC83" s="499"/>
      <c r="AFD83" s="499"/>
      <c r="AFE83" s="499"/>
      <c r="AFF83" s="499"/>
      <c r="AFG83" s="499"/>
      <c r="AFH83" s="499"/>
      <c r="AFI83" s="499"/>
      <c r="AFJ83" s="499"/>
      <c r="AFK83" s="499"/>
      <c r="AFL83" s="499"/>
      <c r="AFM83" s="499"/>
      <c r="AFN83" s="499"/>
      <c r="AFO83" s="499"/>
      <c r="AFP83" s="499"/>
      <c r="AFQ83" s="499"/>
      <c r="AFR83" s="499"/>
      <c r="AFS83" s="499"/>
      <c r="AFT83" s="499"/>
      <c r="AFU83" s="499"/>
      <c r="AFV83" s="499"/>
      <c r="AFW83" s="499"/>
      <c r="AFX83" s="499"/>
      <c r="AFY83" s="499"/>
      <c r="AFZ83" s="499"/>
      <c r="AGA83" s="499"/>
      <c r="AGB83" s="499"/>
      <c r="AGC83" s="499"/>
      <c r="AGD83" s="499"/>
      <c r="AGE83" s="499"/>
      <c r="AGF83" s="499"/>
      <c r="AGG83" s="499"/>
      <c r="AGH83" s="499"/>
      <c r="AGI83" s="499"/>
      <c r="AGJ83" s="499"/>
      <c r="AGK83" s="499"/>
      <c r="AGL83" s="499"/>
      <c r="AGM83" s="499"/>
      <c r="AGN83" s="499"/>
      <c r="AGO83" s="499"/>
      <c r="AGP83" s="499"/>
      <c r="AGQ83" s="499"/>
      <c r="AGR83" s="499"/>
      <c r="AGS83" s="499"/>
      <c r="AGT83" s="499"/>
      <c r="AGU83" s="499"/>
      <c r="AGV83" s="499"/>
      <c r="AGW83" s="499"/>
      <c r="AGX83" s="499"/>
      <c r="AGY83" s="499"/>
      <c r="AGZ83" s="499"/>
      <c r="AHA83" s="499"/>
      <c r="AHB83" s="499"/>
      <c r="AHC83" s="499"/>
      <c r="AHD83" s="499"/>
      <c r="AHE83" s="499"/>
      <c r="AHF83" s="499"/>
      <c r="AHG83" s="499"/>
      <c r="AHH83" s="499"/>
      <c r="AHI83" s="499"/>
      <c r="AHJ83" s="499"/>
      <c r="AHK83" s="499"/>
      <c r="AHL83" s="499"/>
      <c r="AHM83" s="499"/>
      <c r="AHN83" s="499"/>
      <c r="AHO83" s="499"/>
      <c r="AHP83" s="499"/>
      <c r="AHQ83" s="499"/>
      <c r="AHR83" s="499"/>
      <c r="AHS83" s="499"/>
      <c r="AHT83" s="499"/>
      <c r="AHU83" s="499"/>
      <c r="AHV83" s="499"/>
      <c r="AHW83" s="499"/>
      <c r="AHX83" s="499"/>
      <c r="AHY83" s="499"/>
      <c r="AHZ83" s="499"/>
      <c r="AIA83" s="499"/>
      <c r="AIB83" s="499"/>
      <c r="AIC83" s="499"/>
      <c r="AID83" s="499"/>
      <c r="AIE83" s="499"/>
      <c r="AIF83" s="499"/>
      <c r="AIG83" s="499"/>
      <c r="AIH83" s="499"/>
      <c r="AII83" s="499"/>
      <c r="AIJ83" s="499"/>
      <c r="AIK83" s="499"/>
      <c r="AIL83" s="499"/>
      <c r="AIM83" s="499"/>
      <c r="AIN83" s="499"/>
      <c r="AIO83" s="499"/>
      <c r="AIP83" s="499"/>
      <c r="AIQ83" s="499"/>
      <c r="AIR83" s="499"/>
      <c r="AIS83" s="499"/>
      <c r="AIT83" s="499"/>
      <c r="AIU83" s="499"/>
      <c r="AIV83" s="499"/>
      <c r="AIW83" s="499"/>
      <c r="AIX83" s="499"/>
      <c r="AIY83" s="499"/>
      <c r="AIZ83" s="499"/>
      <c r="AJA83" s="499"/>
      <c r="AJB83" s="499"/>
      <c r="AJC83" s="499"/>
      <c r="AJD83" s="499"/>
      <c r="AJE83" s="499"/>
      <c r="AJF83" s="499"/>
      <c r="AJG83" s="499"/>
      <c r="AJH83" s="499"/>
      <c r="AJI83" s="499"/>
      <c r="AJJ83" s="499"/>
      <c r="AJK83" s="499"/>
      <c r="AJL83" s="499"/>
      <c r="AJM83" s="499"/>
      <c r="AJN83" s="499"/>
      <c r="AJO83" s="499"/>
      <c r="AJP83" s="499"/>
      <c r="AJQ83" s="499"/>
      <c r="AJR83" s="499"/>
      <c r="AJS83" s="499"/>
      <c r="AJT83" s="499"/>
      <c r="AJU83" s="499"/>
      <c r="AJV83" s="499"/>
      <c r="AJW83" s="499"/>
      <c r="AJX83" s="499"/>
      <c r="AJY83" s="499"/>
      <c r="AJZ83" s="499"/>
      <c r="AKA83" s="499"/>
      <c r="AKB83" s="499"/>
      <c r="AKC83" s="499"/>
      <c r="AKD83" s="499"/>
      <c r="AKE83" s="499"/>
      <c r="AKF83" s="499"/>
      <c r="AKG83" s="499"/>
      <c r="AKH83" s="499"/>
      <c r="AKI83" s="499"/>
      <c r="AKJ83" s="499"/>
      <c r="AKK83" s="499"/>
      <c r="AKL83" s="499"/>
      <c r="AKM83" s="499"/>
      <c r="AKN83" s="499"/>
      <c r="AKO83" s="499"/>
      <c r="AKP83" s="499"/>
      <c r="AKQ83" s="499"/>
      <c r="AKR83" s="499"/>
      <c r="AKS83" s="499"/>
      <c r="AKT83" s="499"/>
      <c r="AKU83" s="499"/>
      <c r="AKV83" s="499"/>
      <c r="AKW83" s="499"/>
      <c r="AKX83" s="499"/>
      <c r="AKY83" s="499"/>
      <c r="AKZ83" s="499"/>
      <c r="ALA83" s="499"/>
      <c r="ALB83" s="499"/>
      <c r="ALC83" s="499"/>
      <c r="ALD83" s="499"/>
      <c r="ALE83" s="499"/>
      <c r="ALF83" s="499"/>
      <c r="ALG83" s="499"/>
      <c r="ALH83" s="499"/>
      <c r="ALI83" s="499"/>
      <c r="ALJ83" s="499"/>
      <c r="ALK83" s="499"/>
      <c r="ALL83" s="499"/>
      <c r="ALM83" s="499"/>
      <c r="ALN83" s="499"/>
      <c r="ALO83" s="499"/>
      <c r="ALP83" s="499"/>
      <c r="ALQ83" s="499"/>
      <c r="ALR83" s="499"/>
      <c r="ALS83" s="499"/>
      <c r="ALT83" s="499"/>
      <c r="ALU83" s="499"/>
      <c r="ALV83" s="499"/>
      <c r="ALW83" s="499"/>
      <c r="ALX83" s="499"/>
      <c r="ALY83" s="499"/>
      <c r="ALZ83" s="499"/>
      <c r="AMA83" s="499"/>
      <c r="AMB83" s="499"/>
      <c r="AMC83" s="499"/>
      <c r="AMD83" s="499"/>
      <c r="AME83" s="499"/>
      <c r="AMF83" s="499"/>
      <c r="AMG83" s="499"/>
      <c r="AMH83" s="499"/>
      <c r="AMI83" s="499"/>
      <c r="AMJ83" s="499"/>
      <c r="AMK83" s="499"/>
      <c r="AML83" s="499"/>
      <c r="AMM83" s="499"/>
      <c r="AMN83" s="499"/>
      <c r="AMO83" s="499"/>
      <c r="AMP83" s="499"/>
      <c r="AMQ83" s="499"/>
      <c r="AMR83" s="499"/>
      <c r="AMS83" s="499"/>
      <c r="AMT83" s="499"/>
      <c r="AMU83" s="499"/>
      <c r="AMV83" s="499"/>
      <c r="AMW83" s="499"/>
      <c r="AMX83" s="499"/>
      <c r="AMY83" s="499"/>
      <c r="AMZ83" s="499"/>
      <c r="ANA83" s="499"/>
      <c r="ANB83" s="499"/>
      <c r="ANC83" s="499"/>
      <c r="AND83" s="499"/>
      <c r="ANE83" s="499"/>
      <c r="ANF83" s="499"/>
      <c r="ANG83" s="499"/>
      <c r="ANH83" s="499"/>
      <c r="ANI83" s="499"/>
      <c r="ANJ83" s="499"/>
      <c r="ANK83" s="499"/>
      <c r="ANL83" s="499"/>
      <c r="ANM83" s="499"/>
      <c r="ANN83" s="499"/>
      <c r="ANO83" s="499"/>
      <c r="ANP83" s="499"/>
      <c r="ANQ83" s="499"/>
      <c r="ANR83" s="499"/>
      <c r="ANS83" s="499"/>
      <c r="ANT83" s="499"/>
      <c r="ANU83" s="499"/>
      <c r="ANV83" s="499"/>
      <c r="ANW83" s="499"/>
      <c r="ANX83" s="499"/>
      <c r="ANY83" s="499"/>
      <c r="ANZ83" s="499"/>
      <c r="AOA83" s="499"/>
      <c r="AOB83" s="499"/>
      <c r="AOC83" s="499"/>
      <c r="AOD83" s="499"/>
      <c r="AOE83" s="499"/>
      <c r="AOF83" s="499"/>
      <c r="AOG83" s="499"/>
      <c r="AOH83" s="499"/>
      <c r="AOI83" s="499"/>
      <c r="AOJ83" s="499"/>
      <c r="AOK83" s="499"/>
      <c r="AOL83" s="499"/>
      <c r="AOM83" s="499"/>
      <c r="AON83" s="499"/>
      <c r="AOO83" s="499"/>
      <c r="AOP83" s="499"/>
      <c r="AOQ83" s="499"/>
      <c r="AOR83" s="499"/>
      <c r="AOS83" s="499"/>
      <c r="AOT83" s="499"/>
      <c r="AOU83" s="499"/>
      <c r="AOV83" s="499"/>
      <c r="AOW83" s="499"/>
      <c r="AOX83" s="499"/>
      <c r="AOY83" s="499"/>
      <c r="AOZ83" s="499"/>
      <c r="APA83" s="499"/>
      <c r="APB83" s="499"/>
      <c r="APC83" s="499"/>
      <c r="APD83" s="499"/>
      <c r="APE83" s="499"/>
      <c r="APF83" s="499"/>
      <c r="APG83" s="499"/>
      <c r="APH83" s="499"/>
      <c r="API83" s="499"/>
      <c r="APJ83" s="499"/>
      <c r="APK83" s="499"/>
      <c r="APL83" s="499"/>
      <c r="APM83" s="499"/>
      <c r="APN83" s="499"/>
      <c r="APO83" s="499"/>
      <c r="APP83" s="499"/>
      <c r="APQ83" s="499"/>
      <c r="APR83" s="499"/>
      <c r="APS83" s="499"/>
      <c r="APT83" s="499"/>
      <c r="APU83" s="499"/>
      <c r="APV83" s="499"/>
      <c r="APW83" s="499"/>
      <c r="APX83" s="499"/>
      <c r="APY83" s="499"/>
      <c r="APZ83" s="499"/>
      <c r="AQA83" s="499"/>
      <c r="AQB83" s="499"/>
      <c r="AQC83" s="499"/>
      <c r="AQD83" s="499"/>
      <c r="AQE83" s="499"/>
      <c r="AQF83" s="499"/>
      <c r="AQG83" s="499"/>
      <c r="AQH83" s="499"/>
      <c r="AQI83" s="499"/>
      <c r="AQJ83" s="499"/>
      <c r="AQK83" s="499"/>
      <c r="AQL83" s="499"/>
      <c r="AQM83" s="499"/>
      <c r="AQN83" s="499"/>
      <c r="AQO83" s="499"/>
      <c r="AQP83" s="499"/>
      <c r="AQQ83" s="499"/>
      <c r="AQR83" s="499"/>
      <c r="AQS83" s="499"/>
      <c r="AQT83" s="499"/>
      <c r="AQU83" s="499"/>
      <c r="AQV83" s="499"/>
      <c r="AQW83" s="499"/>
      <c r="AQX83" s="499"/>
      <c r="AQY83" s="499"/>
      <c r="AQZ83" s="499"/>
      <c r="ARA83" s="499"/>
      <c r="ARB83" s="499"/>
      <c r="ARC83" s="499"/>
      <c r="ARD83" s="499"/>
      <c r="ARE83" s="499"/>
      <c r="ARF83" s="499"/>
      <c r="ARG83" s="499"/>
      <c r="ARH83" s="499"/>
      <c r="ARI83" s="499"/>
      <c r="ARJ83" s="499"/>
      <c r="ARK83" s="499"/>
      <c r="ARL83" s="499"/>
      <c r="ARM83" s="499"/>
      <c r="ARN83" s="499"/>
      <c r="ARO83" s="499"/>
      <c r="ARP83" s="499"/>
      <c r="ARQ83" s="499"/>
      <c r="ARR83" s="499"/>
      <c r="ARS83" s="499"/>
      <c r="ART83" s="499"/>
      <c r="ARU83" s="499"/>
      <c r="ARV83" s="499"/>
      <c r="ARW83" s="499"/>
      <c r="ARX83" s="499"/>
      <c r="ARY83" s="499"/>
      <c r="ARZ83" s="499"/>
      <c r="ASA83" s="499"/>
      <c r="ASB83" s="499"/>
      <c r="ASC83" s="499"/>
      <c r="ASD83" s="499"/>
      <c r="ASE83" s="499"/>
      <c r="ASF83" s="499"/>
      <c r="ASG83" s="499"/>
      <c r="ASH83" s="499"/>
      <c r="ASI83" s="499"/>
      <c r="ASJ83" s="499"/>
      <c r="ASK83" s="499"/>
      <c r="ASL83" s="499"/>
      <c r="ASM83" s="499"/>
      <c r="ASN83" s="499"/>
      <c r="ASO83" s="499"/>
      <c r="ASP83" s="499"/>
      <c r="ASQ83" s="499"/>
      <c r="ASR83" s="499"/>
      <c r="ASS83" s="499"/>
      <c r="AST83" s="499"/>
      <c r="ASU83" s="499"/>
      <c r="ASV83" s="499"/>
      <c r="ASW83" s="499"/>
      <c r="ASX83" s="499"/>
      <c r="ASY83" s="499"/>
      <c r="ASZ83" s="499"/>
      <c r="ATA83" s="499"/>
      <c r="ATB83" s="499"/>
      <c r="ATC83" s="499"/>
      <c r="ATD83" s="499"/>
      <c r="ATE83" s="499"/>
      <c r="ATF83" s="499"/>
      <c r="ATG83" s="499"/>
      <c r="ATH83" s="499"/>
      <c r="ATI83" s="499"/>
      <c r="ATJ83" s="499"/>
      <c r="ATK83" s="499"/>
      <c r="ATL83" s="499"/>
      <c r="ATM83" s="499"/>
      <c r="ATN83" s="499"/>
      <c r="ATO83" s="499"/>
      <c r="ATP83" s="499"/>
      <c r="ATQ83" s="499"/>
      <c r="ATR83" s="499"/>
      <c r="ATS83" s="499"/>
      <c r="ATT83" s="499"/>
      <c r="ATU83" s="499"/>
      <c r="ATV83" s="499"/>
      <c r="ATW83" s="499"/>
      <c r="ATX83" s="499"/>
      <c r="ATY83" s="499"/>
      <c r="ATZ83" s="499"/>
      <c r="AUA83" s="499"/>
      <c r="AUB83" s="499"/>
      <c r="AUC83" s="499"/>
      <c r="AUD83" s="499"/>
      <c r="AUE83" s="499"/>
      <c r="AUF83" s="499"/>
      <c r="AUG83" s="499"/>
      <c r="AUH83" s="499"/>
      <c r="AUI83" s="499"/>
      <c r="AUJ83" s="499"/>
      <c r="AUK83" s="499"/>
      <c r="AUL83" s="499"/>
      <c r="AUM83" s="499"/>
      <c r="AUN83" s="499"/>
      <c r="AUO83" s="499"/>
      <c r="AUP83" s="499"/>
      <c r="AUQ83" s="499"/>
      <c r="AUR83" s="499"/>
      <c r="AUS83" s="499"/>
      <c r="AUT83" s="499"/>
      <c r="AUU83" s="499"/>
      <c r="AUV83" s="499"/>
      <c r="AUW83" s="499"/>
      <c r="AUX83" s="499"/>
      <c r="AUY83" s="499"/>
      <c r="AUZ83" s="499"/>
      <c r="AVA83" s="499"/>
      <c r="AVB83" s="499"/>
      <c r="AVC83" s="499"/>
      <c r="AVD83" s="499"/>
      <c r="AVE83" s="499"/>
      <c r="AVF83" s="499"/>
      <c r="AVG83" s="499"/>
      <c r="AVH83" s="499"/>
      <c r="AVI83" s="499"/>
      <c r="AVJ83" s="499"/>
      <c r="AVK83" s="499"/>
      <c r="AVL83" s="499"/>
      <c r="AVM83" s="499"/>
      <c r="AVN83" s="499"/>
      <c r="AVO83" s="499"/>
      <c r="AVP83" s="499"/>
      <c r="AVQ83" s="499"/>
      <c r="AVR83" s="499"/>
      <c r="AVS83" s="499"/>
      <c r="AVT83" s="499"/>
      <c r="AVU83" s="499"/>
      <c r="AVV83" s="499"/>
      <c r="AVW83" s="499"/>
      <c r="AVX83" s="499"/>
      <c r="AVY83" s="499"/>
      <c r="AVZ83" s="499"/>
      <c r="AWA83" s="499"/>
      <c r="AWB83" s="499"/>
      <c r="AWC83" s="499"/>
      <c r="AWD83" s="499"/>
      <c r="AWE83" s="499"/>
      <c r="AWF83" s="499"/>
      <c r="AWG83" s="499"/>
      <c r="AWH83" s="499"/>
      <c r="AWI83" s="499"/>
      <c r="AWJ83" s="499"/>
      <c r="AWK83" s="499"/>
      <c r="AWL83" s="499"/>
      <c r="AWM83" s="499"/>
      <c r="AWN83" s="499"/>
      <c r="AWO83" s="499"/>
      <c r="AWP83" s="499"/>
      <c r="AWQ83" s="499"/>
      <c r="AWR83" s="499"/>
      <c r="AWS83" s="499"/>
      <c r="AWT83" s="499"/>
      <c r="AWU83" s="499"/>
      <c r="AWV83" s="499"/>
      <c r="AWW83" s="499"/>
      <c r="AWX83" s="499"/>
      <c r="AWY83" s="499"/>
      <c r="AWZ83" s="499"/>
      <c r="AXA83" s="499"/>
      <c r="AXB83" s="499"/>
      <c r="AXC83" s="499"/>
      <c r="AXD83" s="499"/>
      <c r="AXE83" s="499"/>
      <c r="AXF83" s="499"/>
      <c r="AXG83" s="499"/>
      <c r="AXH83" s="499"/>
      <c r="AXI83" s="499"/>
      <c r="AXJ83" s="499"/>
      <c r="AXK83" s="499"/>
      <c r="AXL83" s="499"/>
      <c r="AXM83" s="499"/>
      <c r="AXN83" s="499"/>
      <c r="AXO83" s="499"/>
      <c r="AXP83" s="499"/>
      <c r="AXQ83" s="499"/>
      <c r="AXR83" s="499"/>
      <c r="AXS83" s="499"/>
      <c r="AXT83" s="499"/>
      <c r="AXU83" s="499"/>
      <c r="AXV83" s="499"/>
      <c r="AXW83" s="499"/>
      <c r="AXX83" s="499"/>
      <c r="AXY83" s="499"/>
      <c r="AXZ83" s="499"/>
      <c r="AYA83" s="499"/>
      <c r="AYB83" s="499"/>
      <c r="AYC83" s="499"/>
      <c r="AYD83" s="499"/>
      <c r="AYE83" s="499"/>
      <c r="AYF83" s="499"/>
      <c r="AYG83" s="499"/>
      <c r="AYH83" s="499"/>
      <c r="AYI83" s="499"/>
      <c r="AYJ83" s="499"/>
      <c r="AYK83" s="499"/>
      <c r="AYL83" s="499"/>
      <c r="AYM83" s="499"/>
      <c r="AYN83" s="499"/>
      <c r="AYO83" s="499"/>
      <c r="AYP83" s="499"/>
      <c r="AYQ83" s="499"/>
      <c r="AYR83" s="499"/>
      <c r="AYS83" s="499"/>
      <c r="AYT83" s="499"/>
      <c r="AYU83" s="499"/>
      <c r="AYV83" s="499"/>
      <c r="AYW83" s="499"/>
      <c r="AYX83" s="499"/>
      <c r="AYY83" s="499"/>
      <c r="AYZ83" s="499"/>
      <c r="AZA83" s="499"/>
      <c r="AZB83" s="499"/>
      <c r="AZC83" s="499"/>
      <c r="AZD83" s="499"/>
      <c r="AZE83" s="499"/>
      <c r="AZF83" s="499"/>
      <c r="AZG83" s="499"/>
      <c r="AZH83" s="499"/>
      <c r="AZI83" s="499"/>
      <c r="AZJ83" s="499"/>
      <c r="AZK83" s="499"/>
      <c r="AZL83" s="499"/>
      <c r="AZM83" s="499"/>
      <c r="AZN83" s="499"/>
      <c r="AZO83" s="499"/>
      <c r="AZP83" s="499"/>
      <c r="AZQ83" s="499"/>
      <c r="AZR83" s="499"/>
      <c r="AZS83" s="499"/>
      <c r="AZT83" s="499"/>
      <c r="AZU83" s="499"/>
      <c r="AZV83" s="499"/>
      <c r="AZW83" s="499"/>
      <c r="AZX83" s="499"/>
      <c r="AZY83" s="499"/>
      <c r="AZZ83" s="499"/>
      <c r="BAA83" s="499"/>
      <c r="BAB83" s="499"/>
      <c r="BAC83" s="499"/>
      <c r="BAD83" s="499"/>
      <c r="BAE83" s="499"/>
      <c r="BAF83" s="499"/>
      <c r="BAG83" s="499"/>
      <c r="BAH83" s="499"/>
      <c r="BAI83" s="499"/>
      <c r="BAJ83" s="499"/>
      <c r="BAK83" s="499"/>
      <c r="BAL83" s="499"/>
      <c r="BAM83" s="499"/>
      <c r="BAN83" s="499"/>
      <c r="BAO83" s="499"/>
      <c r="BAP83" s="499"/>
      <c r="BAQ83" s="499"/>
      <c r="BAR83" s="499"/>
      <c r="BAS83" s="499"/>
      <c r="BAT83" s="499"/>
      <c r="BAU83" s="499"/>
      <c r="BAV83" s="499"/>
      <c r="BAW83" s="499"/>
      <c r="BAX83" s="499"/>
      <c r="BAY83" s="499"/>
      <c r="BAZ83" s="499"/>
      <c r="BBA83" s="499"/>
      <c r="BBB83" s="499"/>
      <c r="BBC83" s="499"/>
      <c r="BBD83" s="499"/>
      <c r="BBE83" s="499"/>
      <c r="BBF83" s="499"/>
      <c r="BBG83" s="499"/>
      <c r="BBH83" s="499"/>
      <c r="BBI83" s="499"/>
      <c r="BBJ83" s="499"/>
      <c r="BBK83" s="499"/>
      <c r="BBL83" s="499"/>
      <c r="BBM83" s="499"/>
      <c r="BBN83" s="499"/>
      <c r="BBO83" s="499"/>
      <c r="BBP83" s="499"/>
      <c r="BBQ83" s="499"/>
      <c r="BBR83" s="499"/>
      <c r="BBS83" s="499"/>
      <c r="BBT83" s="499"/>
      <c r="BBU83" s="499"/>
      <c r="BBV83" s="499"/>
      <c r="BBW83" s="499"/>
      <c r="BBX83" s="499"/>
      <c r="BBY83" s="499"/>
      <c r="BBZ83" s="499"/>
      <c r="BCA83" s="499"/>
      <c r="BCB83" s="499"/>
      <c r="BCC83" s="499"/>
      <c r="BCD83" s="499"/>
      <c r="BCE83" s="499"/>
      <c r="BCF83" s="499"/>
      <c r="BCG83" s="499"/>
      <c r="BCH83" s="499"/>
      <c r="BCI83" s="499"/>
      <c r="BCJ83" s="499"/>
      <c r="BCK83" s="499"/>
      <c r="BCL83" s="499"/>
      <c r="BCM83" s="499"/>
      <c r="BCN83" s="499"/>
      <c r="BCO83" s="499"/>
      <c r="BCP83" s="499"/>
      <c r="BCQ83" s="499"/>
      <c r="BCR83" s="499"/>
      <c r="BCS83" s="499"/>
      <c r="BCT83" s="499"/>
      <c r="BCU83" s="499"/>
      <c r="BCV83" s="499"/>
      <c r="BCW83" s="499"/>
      <c r="BCX83" s="499"/>
      <c r="BCY83" s="499"/>
      <c r="BCZ83" s="499"/>
      <c r="BDA83" s="499"/>
      <c r="BDB83" s="499"/>
      <c r="BDC83" s="499"/>
      <c r="BDD83" s="499"/>
      <c r="BDE83" s="499"/>
      <c r="BDF83" s="499"/>
      <c r="BDG83" s="499"/>
      <c r="BDH83" s="499"/>
      <c r="BDI83" s="499"/>
      <c r="BDJ83" s="499"/>
      <c r="BDK83" s="499"/>
      <c r="BDL83" s="499"/>
      <c r="BDM83" s="499"/>
      <c r="BDN83" s="499"/>
      <c r="BDO83" s="499"/>
      <c r="BDP83" s="499"/>
      <c r="BDQ83" s="499"/>
      <c r="BDR83" s="499"/>
      <c r="BDS83" s="499"/>
      <c r="BDT83" s="499"/>
      <c r="BDU83" s="499"/>
      <c r="BDV83" s="499"/>
      <c r="BDW83" s="499"/>
      <c r="BDX83" s="499"/>
      <c r="BDY83" s="499"/>
      <c r="BDZ83" s="499"/>
      <c r="BEA83" s="499"/>
      <c r="BEB83" s="499"/>
      <c r="BEC83" s="499"/>
      <c r="BED83" s="499"/>
      <c r="BEE83" s="499"/>
      <c r="BEF83" s="499"/>
      <c r="BEG83" s="499"/>
      <c r="BEH83" s="499"/>
      <c r="BEI83" s="499"/>
      <c r="BEJ83" s="499"/>
      <c r="BEK83" s="499"/>
      <c r="BEL83" s="499"/>
      <c r="BEM83" s="499"/>
      <c r="BEN83" s="499"/>
      <c r="BEO83" s="499"/>
      <c r="BEP83" s="499"/>
      <c r="BEQ83" s="499"/>
      <c r="BER83" s="499"/>
      <c r="BES83" s="499"/>
      <c r="BET83" s="499"/>
      <c r="BEU83" s="499"/>
      <c r="BEV83" s="499"/>
      <c r="BEW83" s="499"/>
      <c r="BEX83" s="499"/>
      <c r="BEY83" s="499"/>
      <c r="BEZ83" s="499"/>
      <c r="BFA83" s="499"/>
      <c r="BFB83" s="499"/>
      <c r="BFC83" s="499"/>
      <c r="BFD83" s="499"/>
      <c r="BFE83" s="499"/>
      <c r="BFF83" s="499"/>
      <c r="BFG83" s="499"/>
      <c r="BFH83" s="499"/>
      <c r="BFI83" s="499"/>
      <c r="BFJ83" s="499"/>
      <c r="BFK83" s="499"/>
      <c r="BFL83" s="499"/>
      <c r="BFM83" s="499"/>
      <c r="BFN83" s="499"/>
      <c r="BFO83" s="499"/>
      <c r="BFP83" s="499"/>
      <c r="BFQ83" s="499"/>
      <c r="BFR83" s="499"/>
      <c r="BFS83" s="499"/>
      <c r="BFT83" s="499"/>
      <c r="BFU83" s="499"/>
      <c r="BFV83" s="499"/>
      <c r="BFW83" s="499"/>
      <c r="BFX83" s="499"/>
      <c r="BFY83" s="499"/>
      <c r="BFZ83" s="499"/>
      <c r="BGA83" s="499"/>
      <c r="BGB83" s="499"/>
      <c r="BGC83" s="499"/>
      <c r="BGD83" s="499"/>
      <c r="BGE83" s="499"/>
      <c r="BGF83" s="499"/>
      <c r="BGG83" s="499"/>
      <c r="BGH83" s="499"/>
      <c r="BGI83" s="499"/>
      <c r="BGJ83" s="499"/>
      <c r="BGK83" s="499"/>
      <c r="BGL83" s="499"/>
      <c r="BGM83" s="499"/>
      <c r="BGN83" s="499"/>
      <c r="BGO83" s="499"/>
      <c r="BGP83" s="499"/>
      <c r="BGQ83" s="499"/>
      <c r="BGR83" s="499"/>
      <c r="BGS83" s="499"/>
      <c r="BGT83" s="499"/>
      <c r="BGU83" s="499"/>
      <c r="BGV83" s="499"/>
      <c r="BGW83" s="499"/>
      <c r="BGX83" s="499"/>
      <c r="BGY83" s="499"/>
      <c r="BGZ83" s="499"/>
      <c r="BHA83" s="499"/>
      <c r="BHB83" s="499"/>
      <c r="BHC83" s="499"/>
      <c r="BHD83" s="499"/>
      <c r="BHE83" s="499"/>
      <c r="BHF83" s="499"/>
      <c r="BHG83" s="499"/>
      <c r="BHH83" s="499"/>
      <c r="BHI83" s="499"/>
      <c r="BHJ83" s="499"/>
      <c r="BHK83" s="499"/>
      <c r="BHL83" s="499"/>
      <c r="BHM83" s="499"/>
      <c r="BHN83" s="499"/>
      <c r="BHO83" s="499"/>
      <c r="BHP83" s="499"/>
      <c r="BHQ83" s="499"/>
      <c r="BHR83" s="499"/>
      <c r="BHS83" s="499"/>
      <c r="BHT83" s="499"/>
      <c r="BHU83" s="499"/>
      <c r="BHV83" s="499"/>
      <c r="BHW83" s="499"/>
      <c r="BHX83" s="499"/>
      <c r="BHY83" s="499"/>
      <c r="BHZ83" s="499"/>
      <c r="BIA83" s="499"/>
      <c r="BIB83" s="499"/>
      <c r="BIC83" s="499"/>
      <c r="BID83" s="499"/>
      <c r="BIE83" s="499"/>
      <c r="BIF83" s="499"/>
      <c r="BIG83" s="499"/>
      <c r="BIH83" s="499"/>
      <c r="BII83" s="499"/>
      <c r="BIJ83" s="499"/>
      <c r="BIK83" s="499"/>
      <c r="BIL83" s="499"/>
      <c r="BIM83" s="499"/>
      <c r="BIN83" s="499"/>
      <c r="BIO83" s="499"/>
      <c r="BIP83" s="499"/>
      <c r="BIQ83" s="499"/>
      <c r="BIR83" s="499"/>
      <c r="BIS83" s="499"/>
      <c r="BIT83" s="499"/>
      <c r="BIU83" s="499"/>
      <c r="BIV83" s="499"/>
      <c r="BIW83" s="499"/>
      <c r="BIX83" s="499"/>
      <c r="BIY83" s="499"/>
      <c r="BIZ83" s="499"/>
      <c r="BJA83" s="499"/>
      <c r="BJB83" s="499"/>
      <c r="BJC83" s="499"/>
      <c r="BJD83" s="499"/>
      <c r="BJE83" s="499"/>
      <c r="BJF83" s="499"/>
      <c r="BJG83" s="499"/>
      <c r="BJH83" s="499"/>
      <c r="BJI83" s="499"/>
      <c r="BJJ83" s="499"/>
      <c r="BJK83" s="499"/>
      <c r="BJL83" s="499"/>
      <c r="BJM83" s="499"/>
      <c r="BJN83" s="499"/>
      <c r="BJO83" s="499"/>
      <c r="BJP83" s="499"/>
      <c r="BJQ83" s="499"/>
      <c r="BJR83" s="499"/>
      <c r="BJS83" s="499"/>
      <c r="BJT83" s="499"/>
      <c r="BJU83" s="499"/>
      <c r="BJV83" s="499"/>
      <c r="BJW83" s="499"/>
      <c r="BJX83" s="499"/>
      <c r="BJY83" s="499"/>
      <c r="BJZ83" s="499"/>
      <c r="BKA83" s="499"/>
      <c r="BKB83" s="499"/>
      <c r="BKC83" s="499"/>
      <c r="BKD83" s="499"/>
      <c r="BKE83" s="499"/>
      <c r="BKF83" s="499"/>
      <c r="BKG83" s="499"/>
      <c r="BKH83" s="499"/>
      <c r="BKI83" s="499"/>
      <c r="BKJ83" s="499"/>
      <c r="BKK83" s="499"/>
      <c r="BKL83" s="499"/>
      <c r="BKM83" s="499"/>
      <c r="BKN83" s="499"/>
      <c r="BKO83" s="499"/>
      <c r="BKP83" s="499"/>
      <c r="BKQ83" s="499"/>
      <c r="BKR83" s="499"/>
      <c r="BKS83" s="499"/>
      <c r="BKT83" s="499"/>
      <c r="BKU83" s="499"/>
      <c r="BKV83" s="499"/>
      <c r="BKW83" s="499"/>
      <c r="BKX83" s="499"/>
      <c r="BKY83" s="499"/>
      <c r="BKZ83" s="499"/>
      <c r="BLA83" s="499"/>
      <c r="BLB83" s="499"/>
      <c r="BLC83" s="499"/>
      <c r="BLD83" s="499"/>
      <c r="BLE83" s="499"/>
      <c r="BLF83" s="499"/>
      <c r="BLG83" s="499"/>
      <c r="BLH83" s="499"/>
      <c r="BLI83" s="499"/>
      <c r="BLJ83" s="499"/>
      <c r="BLK83" s="499"/>
      <c r="BLL83" s="499"/>
      <c r="BLM83" s="499"/>
      <c r="BLN83" s="499"/>
      <c r="BLO83" s="499"/>
      <c r="BLP83" s="499"/>
      <c r="BLQ83" s="499"/>
      <c r="BLR83" s="499"/>
      <c r="BLS83" s="499"/>
      <c r="BLT83" s="499"/>
      <c r="BLU83" s="499"/>
      <c r="BLV83" s="499"/>
      <c r="BLW83" s="499"/>
      <c r="BLX83" s="499"/>
      <c r="BLY83" s="499"/>
      <c r="BLZ83" s="499"/>
      <c r="BMA83" s="499"/>
      <c r="BMB83" s="499"/>
      <c r="BMC83" s="499"/>
      <c r="BMD83" s="499"/>
      <c r="BME83" s="499"/>
      <c r="BMF83" s="499"/>
      <c r="BMG83" s="499"/>
      <c r="BMH83" s="499"/>
      <c r="BMI83" s="499"/>
      <c r="BMJ83" s="499"/>
      <c r="BMK83" s="499"/>
      <c r="BML83" s="499"/>
      <c r="BMM83" s="499"/>
      <c r="BMN83" s="499"/>
      <c r="BMO83" s="499"/>
      <c r="BMP83" s="499"/>
      <c r="BMQ83" s="499"/>
      <c r="BMR83" s="499"/>
      <c r="BMS83" s="499"/>
      <c r="BMT83" s="499"/>
      <c r="BMU83" s="499"/>
      <c r="BMV83" s="499"/>
      <c r="BMW83" s="499"/>
      <c r="BMX83" s="499"/>
      <c r="BMY83" s="499"/>
      <c r="BMZ83" s="499"/>
      <c r="BNA83" s="499"/>
      <c r="BNB83" s="499"/>
      <c r="BNC83" s="499"/>
      <c r="BND83" s="499"/>
      <c r="BNE83" s="499"/>
      <c r="BNF83" s="499"/>
      <c r="BNG83" s="499"/>
      <c r="BNH83" s="499"/>
      <c r="BNI83" s="499"/>
      <c r="BNJ83" s="499"/>
      <c r="BNK83" s="499"/>
      <c r="BNL83" s="499"/>
      <c r="BNM83" s="499"/>
      <c r="BNN83" s="499"/>
      <c r="BNO83" s="499"/>
      <c r="BNP83" s="499"/>
      <c r="BNQ83" s="499"/>
      <c r="BNR83" s="499"/>
      <c r="BNS83" s="499"/>
      <c r="BNT83" s="499"/>
      <c r="BNU83" s="499"/>
      <c r="BNV83" s="499"/>
      <c r="BNW83" s="499"/>
      <c r="BNX83" s="499"/>
      <c r="BNY83" s="499"/>
      <c r="BNZ83" s="499"/>
      <c r="BOA83" s="499"/>
      <c r="BOB83" s="499"/>
      <c r="BOC83" s="499"/>
      <c r="BOD83" s="499"/>
      <c r="BOE83" s="499"/>
      <c r="BOF83" s="499"/>
      <c r="BOG83" s="499"/>
      <c r="BOH83" s="499"/>
      <c r="BOI83" s="499"/>
      <c r="BOJ83" s="499"/>
      <c r="BOK83" s="499"/>
      <c r="BOL83" s="499"/>
      <c r="BOM83" s="499"/>
      <c r="BON83" s="499"/>
      <c r="BOO83" s="499"/>
      <c r="BOP83" s="499"/>
      <c r="BOQ83" s="499"/>
      <c r="BOR83" s="499"/>
      <c r="BOS83" s="499"/>
      <c r="BOT83" s="499"/>
      <c r="BOU83" s="499"/>
      <c r="BOV83" s="499"/>
      <c r="BOW83" s="499"/>
      <c r="BOX83" s="499"/>
      <c r="BOY83" s="499"/>
      <c r="BOZ83" s="499"/>
      <c r="BPA83" s="499"/>
      <c r="BPB83" s="499"/>
      <c r="BPC83" s="499"/>
      <c r="BPD83" s="499"/>
      <c r="BPE83" s="499"/>
      <c r="BPF83" s="499"/>
      <c r="BPG83" s="499"/>
      <c r="BPH83" s="499"/>
      <c r="BPI83" s="499"/>
      <c r="BPJ83" s="499"/>
      <c r="BPK83" s="499"/>
      <c r="BPL83" s="499"/>
      <c r="BPM83" s="499"/>
      <c r="BPN83" s="499"/>
      <c r="BPO83" s="499"/>
      <c r="BPP83" s="499"/>
      <c r="BPQ83" s="499"/>
      <c r="BPR83" s="499"/>
      <c r="BPS83" s="499"/>
      <c r="BPT83" s="499"/>
      <c r="BPU83" s="499"/>
      <c r="BPV83" s="499"/>
      <c r="BPW83" s="499"/>
      <c r="BPX83" s="499"/>
      <c r="BPY83" s="499"/>
      <c r="BPZ83" s="499"/>
      <c r="BQA83" s="499"/>
      <c r="BQB83" s="499"/>
      <c r="BQC83" s="499"/>
      <c r="BQD83" s="499"/>
      <c r="BQE83" s="499"/>
      <c r="BQF83" s="499"/>
      <c r="BQG83" s="499"/>
      <c r="BQH83" s="499"/>
      <c r="BQI83" s="499"/>
      <c r="BQJ83" s="499"/>
      <c r="BQK83" s="499"/>
      <c r="BQL83" s="499"/>
      <c r="BQM83" s="499"/>
      <c r="BQN83" s="499"/>
      <c r="BQO83" s="499"/>
      <c r="BQP83" s="499"/>
      <c r="BQQ83" s="499"/>
      <c r="BQR83" s="499"/>
      <c r="BQS83" s="499"/>
      <c r="BQT83" s="499"/>
      <c r="BQU83" s="499"/>
      <c r="BQV83" s="499"/>
      <c r="BQW83" s="499"/>
      <c r="BQX83" s="499"/>
      <c r="BQY83" s="499"/>
      <c r="BQZ83" s="499"/>
      <c r="BRA83" s="499"/>
      <c r="BRB83" s="499"/>
      <c r="BRC83" s="499"/>
      <c r="BRD83" s="499"/>
      <c r="BRE83" s="499"/>
      <c r="BRF83" s="499"/>
      <c r="BRG83" s="499"/>
      <c r="BRH83" s="499"/>
      <c r="BRI83" s="499"/>
      <c r="BRJ83" s="499"/>
      <c r="BRK83" s="499"/>
      <c r="BRL83" s="499"/>
      <c r="BRM83" s="499"/>
      <c r="BRN83" s="499"/>
      <c r="BRO83" s="499"/>
      <c r="BRP83" s="499"/>
      <c r="BRQ83" s="499"/>
      <c r="BRR83" s="499"/>
      <c r="BRS83" s="499"/>
      <c r="BRT83" s="499"/>
      <c r="BRU83" s="499"/>
      <c r="BRV83" s="499"/>
      <c r="BRW83" s="499"/>
      <c r="BRX83" s="499"/>
      <c r="BRY83" s="499"/>
      <c r="BRZ83" s="499"/>
      <c r="BSA83" s="499"/>
      <c r="BSB83" s="499"/>
      <c r="BSC83" s="499"/>
      <c r="BSD83" s="499"/>
      <c r="BSE83" s="499"/>
      <c r="BSF83" s="499"/>
      <c r="BSG83" s="499"/>
      <c r="BSH83" s="499"/>
      <c r="BSI83" s="499"/>
      <c r="BSJ83" s="499"/>
      <c r="BSK83" s="499"/>
      <c r="BSL83" s="499"/>
      <c r="BSM83" s="499"/>
      <c r="BSN83" s="499"/>
      <c r="BSO83" s="499"/>
      <c r="BSP83" s="499"/>
      <c r="BSQ83" s="499"/>
      <c r="BSR83" s="499"/>
      <c r="BSS83" s="499"/>
      <c r="BST83" s="499"/>
      <c r="BSU83" s="499"/>
      <c r="BSV83" s="499"/>
      <c r="BSW83" s="499"/>
      <c r="BSX83" s="499"/>
      <c r="BSY83" s="499"/>
      <c r="BSZ83" s="499"/>
      <c r="BTA83" s="499"/>
      <c r="BTB83" s="499"/>
      <c r="BTC83" s="499"/>
      <c r="BTD83" s="499"/>
      <c r="BTE83" s="499"/>
      <c r="BTF83" s="499"/>
      <c r="BTG83" s="499"/>
      <c r="BTH83" s="499"/>
      <c r="BTI83" s="499"/>
      <c r="BTJ83" s="499"/>
      <c r="BTK83" s="499"/>
      <c r="BTL83" s="499"/>
      <c r="BTM83" s="499"/>
      <c r="BTN83" s="499"/>
      <c r="BTO83" s="499"/>
      <c r="BTP83" s="499"/>
      <c r="BTQ83" s="499"/>
      <c r="BTR83" s="499"/>
      <c r="BTS83" s="499"/>
      <c r="BTT83" s="499"/>
      <c r="BTU83" s="499"/>
      <c r="BTV83" s="499"/>
      <c r="BTW83" s="499"/>
      <c r="BTX83" s="499"/>
      <c r="BTY83" s="499"/>
      <c r="BTZ83" s="499"/>
      <c r="BUA83" s="499"/>
      <c r="BUB83" s="499"/>
      <c r="BUC83" s="499"/>
      <c r="BUD83" s="499"/>
      <c r="BUE83" s="499"/>
      <c r="BUF83" s="499"/>
      <c r="BUG83" s="499"/>
      <c r="BUH83" s="499"/>
      <c r="BUI83" s="499"/>
      <c r="BUJ83" s="499"/>
      <c r="BUK83" s="499"/>
      <c r="BUL83" s="499"/>
      <c r="BUM83" s="499"/>
      <c r="BUN83" s="499"/>
      <c r="BUO83" s="499"/>
      <c r="BUP83" s="499"/>
      <c r="BUQ83" s="499"/>
      <c r="BUR83" s="499"/>
      <c r="BUS83" s="499"/>
      <c r="BUT83" s="499"/>
      <c r="BUU83" s="499"/>
      <c r="BUV83" s="499"/>
      <c r="BUW83" s="499"/>
      <c r="BUX83" s="499"/>
      <c r="BUY83" s="499"/>
      <c r="BUZ83" s="499"/>
      <c r="BVA83" s="499"/>
      <c r="BVB83" s="499"/>
      <c r="BVC83" s="499"/>
      <c r="BVD83" s="499"/>
      <c r="BVE83" s="499"/>
      <c r="BVF83" s="499"/>
      <c r="BVG83" s="499"/>
      <c r="BVH83" s="499"/>
      <c r="BVI83" s="499"/>
      <c r="BVJ83" s="499"/>
      <c r="BVK83" s="499"/>
      <c r="BVL83" s="499"/>
      <c r="BVM83" s="499"/>
      <c r="BVN83" s="499"/>
      <c r="BVO83" s="499"/>
      <c r="BVP83" s="499"/>
      <c r="BVQ83" s="499"/>
      <c r="BVR83" s="499"/>
      <c r="BVS83" s="499"/>
      <c r="BVT83" s="499"/>
      <c r="BVU83" s="499"/>
      <c r="BVV83" s="499"/>
      <c r="BVW83" s="499"/>
      <c r="BVX83" s="499"/>
      <c r="BVY83" s="499"/>
      <c r="BVZ83" s="499"/>
      <c r="BWA83" s="499"/>
      <c r="BWB83" s="499"/>
      <c r="BWC83" s="499"/>
      <c r="BWD83" s="499"/>
      <c r="BWE83" s="499"/>
      <c r="BWF83" s="499"/>
      <c r="BWG83" s="499"/>
      <c r="BWH83" s="499"/>
      <c r="BWI83" s="499"/>
      <c r="BWJ83" s="499"/>
      <c r="BWK83" s="499"/>
      <c r="BWL83" s="499"/>
      <c r="BWM83" s="499"/>
      <c r="BWN83" s="499"/>
      <c r="BWO83" s="499"/>
      <c r="BWP83" s="499"/>
      <c r="BWQ83" s="499"/>
      <c r="BWR83" s="499"/>
      <c r="BWS83" s="499"/>
      <c r="BWT83" s="499"/>
      <c r="BWU83" s="499"/>
      <c r="BWV83" s="499"/>
      <c r="BWW83" s="499"/>
      <c r="BWX83" s="499"/>
      <c r="BWY83" s="499"/>
      <c r="BWZ83" s="499"/>
      <c r="BXA83" s="499"/>
      <c r="BXB83" s="499"/>
      <c r="BXC83" s="499"/>
      <c r="BXD83" s="499"/>
      <c r="BXE83" s="499"/>
      <c r="BXF83" s="499"/>
      <c r="BXG83" s="499"/>
      <c r="BXH83" s="499"/>
      <c r="BXI83" s="499"/>
      <c r="BXJ83" s="499"/>
      <c r="BXK83" s="499"/>
      <c r="BXL83" s="499"/>
      <c r="BXM83" s="499"/>
      <c r="BXN83" s="499"/>
      <c r="BXO83" s="499"/>
      <c r="BXP83" s="499"/>
      <c r="BXQ83" s="499"/>
      <c r="BXR83" s="499"/>
      <c r="BXS83" s="499"/>
      <c r="BXT83" s="499"/>
      <c r="BXU83" s="499"/>
      <c r="BXV83" s="499"/>
      <c r="BXW83" s="499"/>
      <c r="BXX83" s="499"/>
      <c r="BXY83" s="499"/>
      <c r="BXZ83" s="499"/>
      <c r="BYA83" s="499"/>
      <c r="BYB83" s="499"/>
      <c r="BYC83" s="499"/>
      <c r="BYD83" s="499"/>
      <c r="BYE83" s="499"/>
      <c r="BYF83" s="499"/>
      <c r="BYG83" s="499"/>
      <c r="BYH83" s="499"/>
      <c r="BYI83" s="499"/>
      <c r="BYJ83" s="499"/>
      <c r="BYK83" s="499"/>
      <c r="BYL83" s="499"/>
      <c r="BYM83" s="499"/>
      <c r="BYN83" s="499"/>
      <c r="BYO83" s="499"/>
      <c r="BYP83" s="499"/>
      <c r="BYQ83" s="499"/>
      <c r="BYR83" s="499"/>
      <c r="BYS83" s="499"/>
      <c r="BYT83" s="499"/>
      <c r="BYU83" s="499"/>
      <c r="BYV83" s="499"/>
      <c r="BYW83" s="499"/>
      <c r="BYX83" s="499"/>
      <c r="BYY83" s="499"/>
      <c r="BYZ83" s="499"/>
      <c r="BZA83" s="499"/>
      <c r="BZB83" s="499"/>
      <c r="BZC83" s="499"/>
      <c r="BZD83" s="499"/>
      <c r="BZE83" s="499"/>
      <c r="BZF83" s="499"/>
      <c r="BZG83" s="499"/>
      <c r="BZH83" s="499"/>
      <c r="BZI83" s="499"/>
      <c r="BZJ83" s="499"/>
      <c r="BZK83" s="499"/>
      <c r="BZL83" s="499"/>
      <c r="BZM83" s="499"/>
      <c r="BZN83" s="499"/>
      <c r="BZO83" s="499"/>
      <c r="BZP83" s="499"/>
      <c r="BZQ83" s="499"/>
      <c r="BZR83" s="499"/>
      <c r="BZS83" s="499"/>
      <c r="BZT83" s="499"/>
      <c r="BZU83" s="499"/>
      <c r="BZV83" s="499"/>
      <c r="BZW83" s="499"/>
      <c r="BZX83" s="499"/>
      <c r="BZY83" s="499"/>
      <c r="BZZ83" s="499"/>
      <c r="CAA83" s="499"/>
      <c r="CAB83" s="499"/>
      <c r="CAC83" s="499"/>
      <c r="CAD83" s="499"/>
      <c r="CAE83" s="499"/>
      <c r="CAF83" s="499"/>
      <c r="CAG83" s="499"/>
      <c r="CAH83" s="499"/>
      <c r="CAI83" s="499"/>
      <c r="CAJ83" s="499"/>
      <c r="CAK83" s="499"/>
      <c r="CAL83" s="499"/>
      <c r="CAM83" s="499"/>
      <c r="CAN83" s="499"/>
      <c r="CAO83" s="499"/>
      <c r="CAP83" s="499"/>
      <c r="CAQ83" s="499"/>
      <c r="CAR83" s="499"/>
      <c r="CAS83" s="499"/>
      <c r="CAT83" s="499"/>
      <c r="CAU83" s="499"/>
      <c r="CAV83" s="499"/>
      <c r="CAW83" s="499"/>
      <c r="CAX83" s="499"/>
      <c r="CAY83" s="499"/>
      <c r="CAZ83" s="499"/>
      <c r="CBA83" s="499"/>
      <c r="CBB83" s="499"/>
      <c r="CBC83" s="499"/>
      <c r="CBD83" s="499"/>
      <c r="CBE83" s="499"/>
      <c r="CBF83" s="499"/>
      <c r="CBG83" s="499"/>
      <c r="CBH83" s="499"/>
      <c r="CBI83" s="499"/>
      <c r="CBJ83" s="499"/>
      <c r="CBK83" s="499"/>
      <c r="CBL83" s="499"/>
      <c r="CBM83" s="499"/>
      <c r="CBN83" s="499"/>
      <c r="CBO83" s="499"/>
      <c r="CBP83" s="499"/>
      <c r="CBQ83" s="499"/>
      <c r="CBR83" s="499"/>
      <c r="CBS83" s="499"/>
      <c r="CBT83" s="499"/>
      <c r="CBU83" s="499"/>
      <c r="CBV83" s="499"/>
      <c r="CBW83" s="499"/>
      <c r="CBX83" s="499"/>
      <c r="CBY83" s="499"/>
      <c r="CBZ83" s="499"/>
      <c r="CCA83" s="499"/>
      <c r="CCB83" s="499"/>
      <c r="CCC83" s="499"/>
      <c r="CCD83" s="499"/>
      <c r="CCE83" s="499"/>
      <c r="CCF83" s="499"/>
      <c r="CCG83" s="499"/>
      <c r="CCH83" s="499"/>
      <c r="CCI83" s="499"/>
      <c r="CCJ83" s="499"/>
      <c r="CCK83" s="499"/>
      <c r="CCL83" s="499"/>
      <c r="CCM83" s="499"/>
      <c r="CCN83" s="499"/>
      <c r="CCO83" s="499"/>
      <c r="CCP83" s="499"/>
      <c r="CCQ83" s="499"/>
      <c r="CCR83" s="499"/>
      <c r="CCS83" s="499"/>
      <c r="CCT83" s="499"/>
      <c r="CCU83" s="499"/>
      <c r="CCV83" s="499"/>
      <c r="CCW83" s="499"/>
      <c r="CCX83" s="499"/>
      <c r="CCY83" s="499"/>
      <c r="CCZ83" s="499"/>
      <c r="CDA83" s="499"/>
      <c r="CDB83" s="499"/>
      <c r="CDC83" s="499"/>
      <c r="CDD83" s="499"/>
      <c r="CDE83" s="499"/>
      <c r="CDF83" s="499"/>
      <c r="CDG83" s="499"/>
      <c r="CDH83" s="499"/>
      <c r="CDI83" s="499"/>
      <c r="CDJ83" s="499"/>
      <c r="CDK83" s="499"/>
      <c r="CDL83" s="499"/>
      <c r="CDM83" s="499"/>
      <c r="CDN83" s="499"/>
      <c r="CDO83" s="499"/>
      <c r="CDP83" s="499"/>
      <c r="CDQ83" s="499"/>
      <c r="CDR83" s="499"/>
      <c r="CDS83" s="499"/>
      <c r="CDT83" s="499"/>
      <c r="CDU83" s="499"/>
      <c r="CDV83" s="499"/>
      <c r="CDW83" s="499"/>
      <c r="CDX83" s="499"/>
      <c r="CDY83" s="499"/>
      <c r="CDZ83" s="499"/>
      <c r="CEA83" s="499"/>
      <c r="CEB83" s="499"/>
      <c r="CEC83" s="499"/>
      <c r="CED83" s="499"/>
      <c r="CEE83" s="499"/>
      <c r="CEF83" s="499"/>
      <c r="CEG83" s="499"/>
      <c r="CEH83" s="499"/>
      <c r="CEI83" s="499"/>
      <c r="CEJ83" s="499"/>
      <c r="CEK83" s="499"/>
      <c r="CEL83" s="499"/>
      <c r="CEM83" s="499"/>
      <c r="CEN83" s="499"/>
      <c r="CEO83" s="499"/>
      <c r="CEP83" s="499"/>
      <c r="CEQ83" s="499"/>
      <c r="CER83" s="499"/>
      <c r="CES83" s="499"/>
      <c r="CET83" s="499"/>
      <c r="CEU83" s="499"/>
      <c r="CEV83" s="499"/>
      <c r="CEW83" s="499"/>
      <c r="CEX83" s="499"/>
      <c r="CEY83" s="499"/>
      <c r="CEZ83" s="499"/>
      <c r="CFA83" s="499"/>
      <c r="CFB83" s="499"/>
      <c r="CFC83" s="499"/>
      <c r="CFD83" s="499"/>
      <c r="CFE83" s="499"/>
      <c r="CFF83" s="499"/>
      <c r="CFG83" s="499"/>
      <c r="CFH83" s="499"/>
      <c r="CFI83" s="499"/>
      <c r="CFJ83" s="499"/>
      <c r="CFK83" s="499"/>
      <c r="CFL83" s="499"/>
      <c r="CFM83" s="499"/>
      <c r="CFN83" s="499"/>
      <c r="CFO83" s="499"/>
      <c r="CFP83" s="499"/>
      <c r="CFQ83" s="499"/>
      <c r="CFR83" s="499"/>
      <c r="CFS83" s="499"/>
      <c r="CFT83" s="499"/>
      <c r="CFU83" s="499"/>
      <c r="CFV83" s="499"/>
      <c r="CFW83" s="499"/>
      <c r="CFX83" s="499"/>
      <c r="CFY83" s="499"/>
      <c r="CFZ83" s="499"/>
      <c r="CGA83" s="499"/>
      <c r="CGB83" s="499"/>
      <c r="CGC83" s="499"/>
      <c r="CGD83" s="499"/>
      <c r="CGE83" s="499"/>
      <c r="CGF83" s="499"/>
      <c r="CGG83" s="499"/>
      <c r="CGH83" s="499"/>
      <c r="CGI83" s="499"/>
      <c r="CGJ83" s="499"/>
      <c r="CGK83" s="499"/>
      <c r="CGL83" s="499"/>
      <c r="CGM83" s="499"/>
      <c r="CGN83" s="499"/>
      <c r="CGO83" s="499"/>
      <c r="CGP83" s="499"/>
      <c r="CGQ83" s="499"/>
      <c r="CGR83" s="499"/>
      <c r="CGS83" s="499"/>
      <c r="CGT83" s="499"/>
      <c r="CGU83" s="499"/>
      <c r="CGV83" s="499"/>
      <c r="CGW83" s="499"/>
      <c r="CGX83" s="499"/>
      <c r="CGY83" s="499"/>
      <c r="CGZ83" s="499"/>
      <c r="CHA83" s="499"/>
      <c r="CHB83" s="499"/>
      <c r="CHC83" s="499"/>
      <c r="CHD83" s="499"/>
      <c r="CHE83" s="499"/>
      <c r="CHF83" s="499"/>
      <c r="CHG83" s="499"/>
      <c r="CHH83" s="499"/>
      <c r="CHI83" s="499"/>
      <c r="CHJ83" s="499"/>
      <c r="CHK83" s="499"/>
      <c r="CHL83" s="499"/>
      <c r="CHM83" s="499"/>
      <c r="CHN83" s="499"/>
      <c r="CHO83" s="499"/>
      <c r="CHP83" s="499"/>
      <c r="CHQ83" s="499"/>
      <c r="CHR83" s="499"/>
      <c r="CHS83" s="499"/>
      <c r="CHT83" s="499"/>
      <c r="CHU83" s="499"/>
      <c r="CHV83" s="499"/>
      <c r="CHW83" s="499"/>
      <c r="CHX83" s="499"/>
      <c r="CHY83" s="499"/>
      <c r="CHZ83" s="499"/>
      <c r="CIA83" s="499"/>
      <c r="CIB83" s="499"/>
      <c r="CIC83" s="499"/>
      <c r="CID83" s="499"/>
      <c r="CIE83" s="499"/>
      <c r="CIF83" s="499"/>
      <c r="CIG83" s="499"/>
      <c r="CIH83" s="499"/>
      <c r="CII83" s="499"/>
      <c r="CIJ83" s="499"/>
      <c r="CIK83" s="499"/>
      <c r="CIL83" s="499"/>
      <c r="CIM83" s="499"/>
      <c r="CIN83" s="499"/>
      <c r="CIO83" s="499"/>
      <c r="CIP83" s="499"/>
      <c r="CIQ83" s="499"/>
      <c r="CIR83" s="499"/>
      <c r="CIS83" s="499"/>
      <c r="CIT83" s="499"/>
      <c r="CIU83" s="499"/>
      <c r="CIV83" s="499"/>
      <c r="CIW83" s="499"/>
      <c r="CIX83" s="499"/>
      <c r="CIY83" s="499"/>
      <c r="CIZ83" s="499"/>
      <c r="CJA83" s="499"/>
      <c r="CJB83" s="499"/>
      <c r="CJC83" s="499"/>
      <c r="CJD83" s="499"/>
      <c r="CJE83" s="499"/>
      <c r="CJF83" s="499"/>
      <c r="CJG83" s="499"/>
      <c r="CJH83" s="499"/>
      <c r="CJI83" s="499"/>
      <c r="CJJ83" s="499"/>
      <c r="CJK83" s="499"/>
      <c r="CJL83" s="499"/>
      <c r="CJM83" s="499"/>
      <c r="CJN83" s="499"/>
      <c r="CJO83" s="499"/>
      <c r="CJP83" s="499"/>
      <c r="CJQ83" s="499"/>
      <c r="CJR83" s="499"/>
      <c r="CJS83" s="499"/>
      <c r="CJT83" s="499"/>
      <c r="CJU83" s="499"/>
      <c r="CJV83" s="499"/>
      <c r="CJW83" s="499"/>
      <c r="CJX83" s="499"/>
      <c r="CJY83" s="499"/>
      <c r="CJZ83" s="499"/>
      <c r="CKA83" s="499"/>
      <c r="CKB83" s="499"/>
      <c r="CKC83" s="499"/>
      <c r="CKD83" s="499"/>
      <c r="CKE83" s="499"/>
      <c r="CKF83" s="499"/>
      <c r="CKG83" s="499"/>
      <c r="CKH83" s="499"/>
      <c r="CKI83" s="499"/>
      <c r="CKJ83" s="499"/>
      <c r="CKK83" s="499"/>
      <c r="CKL83" s="499"/>
      <c r="CKM83" s="499"/>
      <c r="CKN83" s="499"/>
      <c r="CKO83" s="499"/>
      <c r="CKP83" s="499"/>
      <c r="CKQ83" s="499"/>
      <c r="CKR83" s="499"/>
      <c r="CKS83" s="499"/>
      <c r="CKT83" s="499"/>
      <c r="CKU83" s="499"/>
      <c r="CKV83" s="499"/>
      <c r="CKW83" s="499"/>
      <c r="CKX83" s="499"/>
      <c r="CKY83" s="499"/>
      <c r="CKZ83" s="499"/>
      <c r="CLA83" s="499"/>
      <c r="CLB83" s="499"/>
      <c r="CLC83" s="499"/>
      <c r="CLD83" s="499"/>
      <c r="CLE83" s="499"/>
      <c r="CLF83" s="499"/>
      <c r="CLG83" s="499"/>
      <c r="CLH83" s="499"/>
      <c r="CLI83" s="499"/>
      <c r="CLJ83" s="499"/>
      <c r="CLK83" s="499"/>
      <c r="CLL83" s="499"/>
      <c r="CLM83" s="499"/>
      <c r="CLN83" s="499"/>
      <c r="CLO83" s="499"/>
      <c r="CLP83" s="499"/>
      <c r="CLQ83" s="499"/>
      <c r="CLR83" s="499"/>
      <c r="CLS83" s="499"/>
      <c r="CLT83" s="499"/>
      <c r="CLU83" s="499"/>
      <c r="CLV83" s="499"/>
      <c r="CLW83" s="499"/>
      <c r="CLX83" s="499"/>
      <c r="CLY83" s="499"/>
      <c r="CLZ83" s="499"/>
      <c r="CMA83" s="499"/>
      <c r="CMB83" s="499"/>
      <c r="CMC83" s="499"/>
      <c r="CMD83" s="499"/>
      <c r="CME83" s="499"/>
      <c r="CMF83" s="499"/>
      <c r="CMG83" s="499"/>
      <c r="CMH83" s="499"/>
      <c r="CMI83" s="499"/>
      <c r="CMJ83" s="499"/>
      <c r="CMK83" s="499"/>
      <c r="CML83" s="499"/>
      <c r="CMM83" s="499"/>
      <c r="CMN83" s="499"/>
      <c r="CMO83" s="499"/>
      <c r="CMP83" s="499"/>
      <c r="CMQ83" s="499"/>
      <c r="CMR83" s="499"/>
      <c r="CMS83" s="499"/>
      <c r="CMT83" s="499"/>
      <c r="CMU83" s="499"/>
      <c r="CMV83" s="499"/>
      <c r="CMW83" s="499"/>
      <c r="CMX83" s="499"/>
      <c r="CMY83" s="499"/>
      <c r="CMZ83" s="499"/>
      <c r="CNA83" s="499"/>
      <c r="CNB83" s="499"/>
      <c r="CNC83" s="499"/>
      <c r="CND83" s="499"/>
      <c r="CNE83" s="499"/>
      <c r="CNF83" s="499"/>
      <c r="CNG83" s="499"/>
      <c r="CNH83" s="499"/>
      <c r="CNI83" s="499"/>
      <c r="CNJ83" s="499"/>
      <c r="CNK83" s="499"/>
      <c r="CNL83" s="499"/>
      <c r="CNM83" s="499"/>
      <c r="CNN83" s="499"/>
      <c r="CNO83" s="499"/>
      <c r="CNP83" s="499"/>
      <c r="CNQ83" s="499"/>
      <c r="CNR83" s="499"/>
      <c r="CNS83" s="499"/>
      <c r="CNT83" s="499"/>
      <c r="CNU83" s="499"/>
      <c r="CNV83" s="499"/>
      <c r="CNW83" s="499"/>
      <c r="CNX83" s="499"/>
      <c r="CNY83" s="499"/>
      <c r="CNZ83" s="499"/>
      <c r="COA83" s="499"/>
      <c r="COB83" s="499"/>
      <c r="COC83" s="499"/>
      <c r="COD83" s="499"/>
      <c r="COE83" s="499"/>
      <c r="COF83" s="499"/>
      <c r="COG83" s="499"/>
      <c r="COH83" s="499"/>
      <c r="COI83" s="499"/>
      <c r="COJ83" s="499"/>
      <c r="COK83" s="499"/>
      <c r="COL83" s="499"/>
      <c r="COM83" s="499"/>
      <c r="CON83" s="499"/>
      <c r="COO83" s="499"/>
      <c r="COP83" s="499"/>
      <c r="COQ83" s="499"/>
      <c r="COR83" s="499"/>
      <c r="COS83" s="499"/>
      <c r="COT83" s="499"/>
      <c r="COU83" s="499"/>
      <c r="COV83" s="499"/>
      <c r="COW83" s="499"/>
      <c r="COX83" s="499"/>
      <c r="COY83" s="499"/>
      <c r="COZ83" s="499"/>
      <c r="CPA83" s="499"/>
      <c r="CPB83" s="499"/>
      <c r="CPC83" s="499"/>
      <c r="CPD83" s="499"/>
      <c r="CPE83" s="499"/>
      <c r="CPF83" s="499"/>
      <c r="CPG83" s="499"/>
      <c r="CPH83" s="499"/>
      <c r="CPI83" s="499"/>
      <c r="CPJ83" s="499"/>
      <c r="CPK83" s="499"/>
      <c r="CPL83" s="499"/>
      <c r="CPM83" s="499"/>
      <c r="CPN83" s="499"/>
      <c r="CPO83" s="499"/>
      <c r="CPP83" s="499"/>
      <c r="CPQ83" s="499"/>
      <c r="CPR83" s="499"/>
      <c r="CPS83" s="499"/>
      <c r="CPT83" s="499"/>
      <c r="CPU83" s="499"/>
      <c r="CPV83" s="499"/>
      <c r="CPW83" s="499"/>
      <c r="CPX83" s="499"/>
      <c r="CPY83" s="499"/>
      <c r="CPZ83" s="499"/>
      <c r="CQA83" s="499"/>
      <c r="CQB83" s="499"/>
      <c r="CQC83" s="499"/>
      <c r="CQD83" s="499"/>
      <c r="CQE83" s="499"/>
      <c r="CQF83" s="499"/>
      <c r="CQG83" s="499"/>
      <c r="CQH83" s="499"/>
      <c r="CQI83" s="499"/>
      <c r="CQJ83" s="499"/>
      <c r="CQK83" s="499"/>
      <c r="CQL83" s="499"/>
      <c r="CQM83" s="499"/>
      <c r="CQN83" s="499"/>
      <c r="CQO83" s="499"/>
      <c r="CQP83" s="499"/>
      <c r="CQQ83" s="499"/>
      <c r="CQR83" s="499"/>
      <c r="CQS83" s="499"/>
      <c r="CQT83" s="499"/>
      <c r="CQU83" s="499"/>
      <c r="CQV83" s="499"/>
      <c r="CQW83" s="499"/>
      <c r="CQX83" s="499"/>
      <c r="CQY83" s="499"/>
      <c r="CQZ83" s="499"/>
      <c r="CRA83" s="499"/>
      <c r="CRB83" s="499"/>
      <c r="CRC83" s="499"/>
      <c r="CRD83" s="499"/>
      <c r="CRE83" s="499"/>
      <c r="CRF83" s="499"/>
      <c r="CRG83" s="499"/>
      <c r="CRH83" s="499"/>
      <c r="CRI83" s="499"/>
      <c r="CRJ83" s="499"/>
      <c r="CRK83" s="499"/>
      <c r="CRL83" s="499"/>
      <c r="CRM83" s="499"/>
      <c r="CRN83" s="499"/>
      <c r="CRO83" s="499"/>
      <c r="CRP83" s="499"/>
      <c r="CRQ83" s="499"/>
      <c r="CRR83" s="499"/>
      <c r="CRS83" s="499"/>
      <c r="CRT83" s="499"/>
      <c r="CRU83" s="499"/>
      <c r="CRV83" s="499"/>
      <c r="CRW83" s="499"/>
      <c r="CRX83" s="499"/>
      <c r="CRY83" s="499"/>
      <c r="CRZ83" s="499"/>
      <c r="CSA83" s="499"/>
      <c r="CSB83" s="499"/>
      <c r="CSC83" s="499"/>
      <c r="CSD83" s="499"/>
      <c r="CSE83" s="499"/>
      <c r="CSF83" s="499"/>
      <c r="CSG83" s="499"/>
      <c r="CSH83" s="499"/>
      <c r="CSI83" s="499"/>
      <c r="CSJ83" s="499"/>
      <c r="CSK83" s="499"/>
      <c r="CSL83" s="499"/>
      <c r="CSM83" s="499"/>
      <c r="CSN83" s="499"/>
      <c r="CSO83" s="499"/>
      <c r="CSP83" s="499"/>
      <c r="CSQ83" s="499"/>
      <c r="CSR83" s="499"/>
      <c r="CSS83" s="499"/>
      <c r="CST83" s="499"/>
      <c r="CSU83" s="499"/>
      <c r="CSV83" s="499"/>
      <c r="CSW83" s="499"/>
      <c r="CSX83" s="499"/>
      <c r="CSY83" s="499"/>
      <c r="CSZ83" s="499"/>
      <c r="CTA83" s="499"/>
      <c r="CTB83" s="499"/>
      <c r="CTC83" s="499"/>
      <c r="CTD83" s="499"/>
      <c r="CTE83" s="499"/>
      <c r="CTF83" s="499"/>
      <c r="CTG83" s="499"/>
      <c r="CTH83" s="499"/>
      <c r="CTI83" s="499"/>
      <c r="CTJ83" s="499"/>
      <c r="CTK83" s="499"/>
      <c r="CTL83" s="499"/>
      <c r="CTM83" s="499"/>
      <c r="CTN83" s="499"/>
      <c r="CTO83" s="499"/>
      <c r="CTP83" s="499"/>
      <c r="CTQ83" s="499"/>
      <c r="CTR83" s="499"/>
      <c r="CTS83" s="499"/>
      <c r="CTT83" s="499"/>
      <c r="CTU83" s="499"/>
      <c r="CTV83" s="499"/>
      <c r="CTW83" s="499"/>
      <c r="CTX83" s="499"/>
      <c r="CTY83" s="499"/>
      <c r="CTZ83" s="499"/>
      <c r="CUA83" s="499"/>
      <c r="CUB83" s="499"/>
      <c r="CUC83" s="499"/>
      <c r="CUD83" s="499"/>
      <c r="CUE83" s="499"/>
      <c r="CUF83" s="499"/>
      <c r="CUG83" s="499"/>
      <c r="CUH83" s="499"/>
      <c r="CUI83" s="499"/>
      <c r="CUJ83" s="499"/>
      <c r="CUK83" s="499"/>
      <c r="CUL83" s="499"/>
      <c r="CUM83" s="499"/>
      <c r="CUN83" s="499"/>
      <c r="CUO83" s="499"/>
      <c r="CUP83" s="499"/>
      <c r="CUQ83" s="499"/>
      <c r="CUR83" s="499"/>
      <c r="CUS83" s="499"/>
      <c r="CUT83" s="499"/>
      <c r="CUU83" s="499"/>
      <c r="CUV83" s="499"/>
      <c r="CUW83" s="499"/>
      <c r="CUX83" s="499"/>
      <c r="CUY83" s="499"/>
      <c r="CUZ83" s="499"/>
      <c r="CVA83" s="499"/>
      <c r="CVB83" s="499"/>
      <c r="CVC83" s="499"/>
      <c r="CVD83" s="499"/>
      <c r="CVE83" s="499"/>
      <c r="CVF83" s="499"/>
      <c r="CVG83" s="499"/>
      <c r="CVH83" s="499"/>
      <c r="CVI83" s="499"/>
      <c r="CVJ83" s="499"/>
      <c r="CVK83" s="499"/>
      <c r="CVL83" s="499"/>
      <c r="CVM83" s="499"/>
      <c r="CVN83" s="499"/>
      <c r="CVO83" s="499"/>
      <c r="CVP83" s="499"/>
      <c r="CVQ83" s="499"/>
      <c r="CVR83" s="499"/>
      <c r="CVS83" s="499"/>
      <c r="CVT83" s="499"/>
      <c r="CVU83" s="499"/>
      <c r="CVV83" s="499"/>
      <c r="CVW83" s="499"/>
      <c r="CVX83" s="499"/>
      <c r="CVY83" s="499"/>
      <c r="CVZ83" s="499"/>
      <c r="CWA83" s="499"/>
      <c r="CWB83" s="499"/>
      <c r="CWC83" s="499"/>
      <c r="CWD83" s="499"/>
      <c r="CWE83" s="499"/>
      <c r="CWF83" s="499"/>
      <c r="CWG83" s="499"/>
      <c r="CWH83" s="499"/>
      <c r="CWI83" s="499"/>
      <c r="CWJ83" s="499"/>
      <c r="CWK83" s="499"/>
      <c r="CWL83" s="499"/>
      <c r="CWM83" s="499"/>
      <c r="CWN83" s="499"/>
      <c r="CWO83" s="499"/>
      <c r="CWP83" s="499"/>
      <c r="CWQ83" s="499"/>
      <c r="CWR83" s="499"/>
      <c r="CWS83" s="499"/>
      <c r="CWT83" s="499"/>
      <c r="CWU83" s="499"/>
      <c r="CWV83" s="499"/>
      <c r="CWW83" s="499"/>
      <c r="CWX83" s="499"/>
      <c r="CWY83" s="499"/>
      <c r="CWZ83" s="499"/>
      <c r="CXA83" s="499"/>
      <c r="CXB83" s="499"/>
      <c r="CXC83" s="499"/>
      <c r="CXD83" s="499"/>
      <c r="CXE83" s="499"/>
      <c r="CXF83" s="499"/>
      <c r="CXG83" s="499"/>
      <c r="CXH83" s="499"/>
      <c r="CXI83" s="499"/>
      <c r="CXJ83" s="499"/>
      <c r="CXK83" s="499"/>
      <c r="CXL83" s="499"/>
      <c r="CXM83" s="499"/>
      <c r="CXN83" s="499"/>
      <c r="CXO83" s="499"/>
      <c r="CXP83" s="499"/>
      <c r="CXQ83" s="499"/>
      <c r="CXR83" s="499"/>
      <c r="CXS83" s="499"/>
      <c r="CXT83" s="499"/>
      <c r="CXU83" s="499"/>
      <c r="CXV83" s="499"/>
      <c r="CXW83" s="499"/>
      <c r="CXX83" s="499"/>
      <c r="CXY83" s="499"/>
      <c r="CXZ83" s="499"/>
      <c r="CYA83" s="499"/>
      <c r="CYB83" s="499"/>
      <c r="CYC83" s="499"/>
      <c r="CYD83" s="499"/>
      <c r="CYE83" s="499"/>
      <c r="CYF83" s="499"/>
      <c r="CYG83" s="499"/>
      <c r="CYH83" s="499"/>
      <c r="CYI83" s="499"/>
      <c r="CYJ83" s="499"/>
      <c r="CYK83" s="499"/>
      <c r="CYL83" s="499"/>
      <c r="CYM83" s="499"/>
      <c r="CYN83" s="499"/>
      <c r="CYO83" s="499"/>
      <c r="CYP83" s="499"/>
      <c r="CYQ83" s="499"/>
      <c r="CYR83" s="499"/>
      <c r="CYS83" s="499"/>
      <c r="CYT83" s="499"/>
      <c r="CYU83" s="499"/>
      <c r="CYV83" s="499"/>
      <c r="CYW83" s="499"/>
      <c r="CYX83" s="499"/>
      <c r="CYY83" s="499"/>
      <c r="CYZ83" s="499"/>
      <c r="CZA83" s="499"/>
      <c r="CZB83" s="499"/>
      <c r="CZC83" s="499"/>
      <c r="CZD83" s="499"/>
      <c r="CZE83" s="499"/>
      <c r="CZF83" s="499"/>
      <c r="CZG83" s="499"/>
      <c r="CZH83" s="499"/>
      <c r="CZI83" s="499"/>
      <c r="CZJ83" s="499"/>
      <c r="CZK83" s="499"/>
      <c r="CZL83" s="499"/>
      <c r="CZM83" s="499"/>
      <c r="CZN83" s="499"/>
      <c r="CZO83" s="499"/>
      <c r="CZP83" s="499"/>
      <c r="CZQ83" s="499"/>
      <c r="CZR83" s="499"/>
      <c r="CZS83" s="499"/>
      <c r="CZT83" s="499"/>
      <c r="CZU83" s="499"/>
      <c r="CZV83" s="499"/>
      <c r="CZW83" s="499"/>
      <c r="CZX83" s="499"/>
      <c r="CZY83" s="499"/>
      <c r="CZZ83" s="499"/>
      <c r="DAA83" s="499"/>
      <c r="DAB83" s="499"/>
      <c r="DAC83" s="499"/>
      <c r="DAD83" s="499"/>
      <c r="DAE83" s="499"/>
      <c r="DAF83" s="499"/>
      <c r="DAG83" s="499"/>
      <c r="DAH83" s="499"/>
      <c r="DAI83" s="499"/>
      <c r="DAJ83" s="499"/>
      <c r="DAK83" s="499"/>
      <c r="DAL83" s="499"/>
      <c r="DAM83" s="499"/>
      <c r="DAN83" s="499"/>
      <c r="DAO83" s="499"/>
      <c r="DAP83" s="499"/>
      <c r="DAQ83" s="499"/>
      <c r="DAR83" s="499"/>
      <c r="DAS83" s="499"/>
      <c r="DAT83" s="499"/>
      <c r="DAU83" s="499"/>
      <c r="DAV83" s="499"/>
      <c r="DAW83" s="499"/>
      <c r="DAX83" s="499"/>
      <c r="DAY83" s="499"/>
      <c r="DAZ83" s="499"/>
      <c r="DBA83" s="499"/>
      <c r="DBB83" s="499"/>
      <c r="DBC83" s="499"/>
      <c r="DBD83" s="499"/>
      <c r="DBE83" s="499"/>
      <c r="DBF83" s="499"/>
      <c r="DBG83" s="499"/>
      <c r="DBH83" s="499"/>
      <c r="DBI83" s="499"/>
      <c r="DBJ83" s="499"/>
      <c r="DBK83" s="499"/>
      <c r="DBL83" s="499"/>
      <c r="DBM83" s="499"/>
      <c r="DBN83" s="499"/>
      <c r="DBO83" s="499"/>
      <c r="DBP83" s="499"/>
      <c r="DBQ83" s="499"/>
      <c r="DBR83" s="499"/>
      <c r="DBS83" s="499"/>
      <c r="DBT83" s="499"/>
      <c r="DBU83" s="499"/>
      <c r="DBV83" s="499"/>
      <c r="DBW83" s="499"/>
      <c r="DBX83" s="499"/>
      <c r="DBY83" s="499"/>
      <c r="DBZ83" s="499"/>
      <c r="DCA83" s="499"/>
      <c r="DCB83" s="499"/>
      <c r="DCC83" s="499"/>
      <c r="DCD83" s="499"/>
      <c r="DCE83" s="499"/>
      <c r="DCF83" s="499"/>
      <c r="DCG83" s="499"/>
      <c r="DCH83" s="499"/>
      <c r="DCI83" s="499"/>
      <c r="DCJ83" s="499"/>
      <c r="DCK83" s="499"/>
      <c r="DCL83" s="499"/>
      <c r="DCM83" s="499"/>
      <c r="DCN83" s="499"/>
      <c r="DCO83" s="499"/>
      <c r="DCP83" s="499"/>
      <c r="DCQ83" s="499"/>
      <c r="DCR83" s="499"/>
      <c r="DCS83" s="499"/>
      <c r="DCT83" s="499"/>
      <c r="DCU83" s="499"/>
      <c r="DCV83" s="499"/>
      <c r="DCW83" s="499"/>
      <c r="DCX83" s="499"/>
      <c r="DCY83" s="499"/>
      <c r="DCZ83" s="499"/>
      <c r="DDA83" s="499"/>
      <c r="DDB83" s="499"/>
      <c r="DDC83" s="499"/>
      <c r="DDD83" s="499"/>
      <c r="DDE83" s="499"/>
      <c r="DDF83" s="499"/>
      <c r="DDG83" s="499"/>
      <c r="DDH83" s="499"/>
      <c r="DDI83" s="499"/>
      <c r="DDJ83" s="499"/>
      <c r="DDK83" s="499"/>
      <c r="DDL83" s="499"/>
      <c r="DDM83" s="499"/>
      <c r="DDN83" s="499"/>
      <c r="DDO83" s="499"/>
      <c r="DDP83" s="499"/>
      <c r="DDQ83" s="499"/>
      <c r="DDR83" s="499"/>
      <c r="DDS83" s="499"/>
      <c r="DDT83" s="499"/>
      <c r="DDU83" s="499"/>
      <c r="DDV83" s="499"/>
      <c r="DDW83" s="499"/>
      <c r="DDX83" s="499"/>
      <c r="DDY83" s="499"/>
      <c r="DDZ83" s="499"/>
      <c r="DEA83" s="499"/>
      <c r="DEB83" s="499"/>
      <c r="DEC83" s="499"/>
      <c r="DED83" s="499"/>
      <c r="DEE83" s="499"/>
      <c r="DEF83" s="499"/>
      <c r="DEG83" s="499"/>
      <c r="DEH83" s="499"/>
      <c r="DEI83" s="499"/>
      <c r="DEJ83" s="499"/>
      <c r="DEK83" s="499"/>
      <c r="DEL83" s="499"/>
      <c r="DEM83" s="499"/>
      <c r="DEN83" s="499"/>
      <c r="DEO83" s="499"/>
      <c r="DEP83" s="499"/>
      <c r="DEQ83" s="499"/>
      <c r="DER83" s="499"/>
      <c r="DES83" s="499"/>
      <c r="DET83" s="499"/>
      <c r="DEU83" s="499"/>
      <c r="DEV83" s="499"/>
      <c r="DEW83" s="499"/>
      <c r="DEX83" s="499"/>
      <c r="DEY83" s="499"/>
      <c r="DEZ83" s="499"/>
      <c r="DFA83" s="499"/>
      <c r="DFB83" s="499"/>
      <c r="DFC83" s="499"/>
      <c r="DFD83" s="499"/>
      <c r="DFE83" s="499"/>
      <c r="DFF83" s="499"/>
      <c r="DFG83" s="499"/>
      <c r="DFH83" s="499"/>
      <c r="DFI83" s="499"/>
      <c r="DFJ83" s="499"/>
      <c r="DFK83" s="499"/>
      <c r="DFL83" s="499"/>
      <c r="DFM83" s="499"/>
      <c r="DFN83" s="499"/>
      <c r="DFO83" s="499"/>
      <c r="DFP83" s="499"/>
      <c r="DFQ83" s="499"/>
      <c r="DFR83" s="499"/>
      <c r="DFS83" s="499"/>
      <c r="DFT83" s="499"/>
      <c r="DFU83" s="499"/>
      <c r="DFV83" s="499"/>
      <c r="DFW83" s="499"/>
      <c r="DFX83" s="499"/>
      <c r="DFY83" s="499"/>
      <c r="DFZ83" s="499"/>
      <c r="DGA83" s="499"/>
      <c r="DGB83" s="499"/>
      <c r="DGC83" s="499"/>
      <c r="DGD83" s="499"/>
      <c r="DGE83" s="499"/>
      <c r="DGF83" s="499"/>
      <c r="DGG83" s="499"/>
      <c r="DGH83" s="499"/>
      <c r="DGI83" s="499"/>
      <c r="DGJ83" s="499"/>
      <c r="DGK83" s="499"/>
      <c r="DGL83" s="499"/>
      <c r="DGM83" s="499"/>
      <c r="DGN83" s="499"/>
      <c r="DGO83" s="499"/>
      <c r="DGP83" s="499"/>
      <c r="DGQ83" s="499"/>
      <c r="DGR83" s="499"/>
      <c r="DGS83" s="499"/>
      <c r="DGT83" s="499"/>
      <c r="DGU83" s="499"/>
      <c r="DGV83" s="499"/>
      <c r="DGW83" s="499"/>
      <c r="DGX83" s="499"/>
      <c r="DGY83" s="499"/>
      <c r="DGZ83" s="499"/>
      <c r="DHA83" s="499"/>
      <c r="DHB83" s="499"/>
      <c r="DHC83" s="499"/>
      <c r="DHD83" s="499"/>
      <c r="DHE83" s="499"/>
      <c r="DHF83" s="499"/>
      <c r="DHG83" s="499"/>
      <c r="DHH83" s="499"/>
      <c r="DHI83" s="499"/>
      <c r="DHJ83" s="499"/>
      <c r="DHK83" s="499"/>
      <c r="DHL83" s="499"/>
      <c r="DHM83" s="499"/>
      <c r="DHN83" s="499"/>
      <c r="DHO83" s="499"/>
      <c r="DHP83" s="499"/>
      <c r="DHQ83" s="499"/>
      <c r="DHR83" s="499"/>
      <c r="DHS83" s="499"/>
      <c r="DHT83" s="499"/>
      <c r="DHU83" s="499"/>
      <c r="DHV83" s="499"/>
      <c r="DHW83" s="499"/>
      <c r="DHX83" s="499"/>
      <c r="DHY83" s="499"/>
      <c r="DHZ83" s="499"/>
      <c r="DIA83" s="499"/>
      <c r="DIB83" s="499"/>
      <c r="DIC83" s="499"/>
      <c r="DID83" s="499"/>
      <c r="DIE83" s="499"/>
      <c r="DIF83" s="499"/>
      <c r="DIG83" s="499"/>
      <c r="DIH83" s="499"/>
      <c r="DII83" s="499"/>
      <c r="DIJ83" s="499"/>
      <c r="DIK83" s="499"/>
      <c r="DIL83" s="499"/>
      <c r="DIM83" s="499"/>
      <c r="DIN83" s="499"/>
      <c r="DIO83" s="499"/>
      <c r="DIP83" s="499"/>
      <c r="DIQ83" s="499"/>
      <c r="DIR83" s="499"/>
      <c r="DIS83" s="499"/>
      <c r="DIT83" s="499"/>
      <c r="DIU83" s="499"/>
      <c r="DIV83" s="499"/>
      <c r="DIW83" s="499"/>
      <c r="DIX83" s="499"/>
      <c r="DIY83" s="499"/>
      <c r="DIZ83" s="499"/>
      <c r="DJA83" s="499"/>
      <c r="DJB83" s="499"/>
      <c r="DJC83" s="499"/>
      <c r="DJD83" s="499"/>
      <c r="DJE83" s="499"/>
      <c r="DJF83" s="499"/>
      <c r="DJG83" s="499"/>
      <c r="DJH83" s="499"/>
      <c r="DJI83" s="499"/>
      <c r="DJJ83" s="499"/>
      <c r="DJK83" s="499"/>
      <c r="DJL83" s="499"/>
      <c r="DJM83" s="499"/>
      <c r="DJN83" s="499"/>
      <c r="DJO83" s="499"/>
      <c r="DJP83" s="499"/>
      <c r="DJQ83" s="499"/>
      <c r="DJR83" s="499"/>
      <c r="DJS83" s="499"/>
      <c r="DJT83" s="499"/>
      <c r="DJU83" s="499"/>
      <c r="DJV83" s="499"/>
      <c r="DJW83" s="499"/>
      <c r="DJX83" s="499"/>
      <c r="DJY83" s="499"/>
      <c r="DJZ83" s="499"/>
      <c r="DKA83" s="499"/>
      <c r="DKB83" s="499"/>
      <c r="DKC83" s="499"/>
      <c r="DKD83" s="499"/>
      <c r="DKE83" s="499"/>
      <c r="DKF83" s="499"/>
      <c r="DKG83" s="499"/>
      <c r="DKH83" s="499"/>
      <c r="DKI83" s="499"/>
      <c r="DKJ83" s="499"/>
      <c r="DKK83" s="499"/>
      <c r="DKL83" s="499"/>
      <c r="DKM83" s="499"/>
      <c r="DKN83" s="499"/>
      <c r="DKO83" s="499"/>
      <c r="DKP83" s="499"/>
      <c r="DKQ83" s="499"/>
      <c r="DKR83" s="499"/>
      <c r="DKS83" s="499"/>
      <c r="DKT83" s="499"/>
      <c r="DKU83" s="499"/>
      <c r="DKV83" s="499"/>
      <c r="DKW83" s="499"/>
      <c r="DKX83" s="499"/>
      <c r="DKY83" s="499"/>
      <c r="DKZ83" s="499"/>
      <c r="DLA83" s="499"/>
      <c r="DLB83" s="499"/>
      <c r="DLC83" s="499"/>
      <c r="DLD83" s="499"/>
      <c r="DLE83" s="499"/>
      <c r="DLF83" s="499"/>
      <c r="DLG83" s="499"/>
      <c r="DLH83" s="499"/>
      <c r="DLI83" s="499"/>
      <c r="DLJ83" s="499"/>
      <c r="DLK83" s="499"/>
      <c r="DLL83" s="499"/>
      <c r="DLM83" s="499"/>
      <c r="DLN83" s="499"/>
      <c r="DLO83" s="499"/>
      <c r="DLP83" s="499"/>
      <c r="DLQ83" s="499"/>
      <c r="DLR83" s="499"/>
      <c r="DLS83" s="499"/>
      <c r="DLT83" s="499"/>
      <c r="DLU83" s="499"/>
      <c r="DLV83" s="499"/>
      <c r="DLW83" s="499"/>
      <c r="DLX83" s="499"/>
      <c r="DLY83" s="499"/>
      <c r="DLZ83" s="499"/>
      <c r="DMA83" s="499"/>
      <c r="DMB83" s="499"/>
      <c r="DMC83" s="499"/>
      <c r="DMD83" s="499"/>
      <c r="DME83" s="499"/>
      <c r="DMF83" s="499"/>
      <c r="DMG83" s="499"/>
      <c r="DMH83" s="499"/>
      <c r="DMI83" s="499"/>
      <c r="DMJ83" s="499"/>
      <c r="DMK83" s="499"/>
      <c r="DML83" s="499"/>
      <c r="DMM83" s="499"/>
      <c r="DMN83" s="499"/>
      <c r="DMO83" s="499"/>
      <c r="DMP83" s="499"/>
      <c r="DMQ83" s="499"/>
      <c r="DMR83" s="499"/>
      <c r="DMS83" s="499"/>
      <c r="DMT83" s="499"/>
      <c r="DMU83" s="499"/>
      <c r="DMV83" s="499"/>
      <c r="DMW83" s="499"/>
      <c r="DMX83" s="499"/>
      <c r="DMY83" s="499"/>
      <c r="DMZ83" s="499"/>
      <c r="DNA83" s="499"/>
      <c r="DNB83" s="499"/>
      <c r="DNC83" s="499"/>
      <c r="DND83" s="499"/>
      <c r="DNE83" s="499"/>
      <c r="DNF83" s="499"/>
      <c r="DNG83" s="499"/>
      <c r="DNH83" s="499"/>
      <c r="DNI83" s="499"/>
      <c r="DNJ83" s="499"/>
      <c r="DNK83" s="499"/>
      <c r="DNL83" s="499"/>
      <c r="DNM83" s="499"/>
      <c r="DNN83" s="499"/>
      <c r="DNO83" s="499"/>
      <c r="DNP83" s="499"/>
      <c r="DNQ83" s="499"/>
      <c r="DNR83" s="499"/>
      <c r="DNS83" s="499"/>
      <c r="DNT83" s="499"/>
      <c r="DNU83" s="499"/>
      <c r="DNV83" s="499"/>
      <c r="DNW83" s="499"/>
      <c r="DNX83" s="499"/>
      <c r="DNY83" s="499"/>
      <c r="DNZ83" s="499"/>
      <c r="DOA83" s="499"/>
      <c r="DOB83" s="499"/>
      <c r="DOC83" s="499"/>
      <c r="DOD83" s="499"/>
      <c r="DOE83" s="499"/>
      <c r="DOF83" s="499"/>
      <c r="DOG83" s="499"/>
      <c r="DOH83" s="499"/>
      <c r="DOI83" s="499"/>
      <c r="DOJ83" s="499"/>
      <c r="DOK83" s="499"/>
      <c r="DOL83" s="499"/>
      <c r="DOM83" s="499"/>
      <c r="DON83" s="499"/>
      <c r="DOO83" s="499"/>
      <c r="DOP83" s="499"/>
      <c r="DOQ83" s="499"/>
      <c r="DOR83" s="499"/>
      <c r="DOS83" s="499"/>
      <c r="DOT83" s="499"/>
      <c r="DOU83" s="499"/>
      <c r="DOV83" s="499"/>
      <c r="DOW83" s="499"/>
      <c r="DOX83" s="499"/>
      <c r="DOY83" s="499"/>
      <c r="DOZ83" s="499"/>
      <c r="DPA83" s="499"/>
      <c r="DPB83" s="499"/>
      <c r="DPC83" s="499"/>
      <c r="DPD83" s="499"/>
      <c r="DPE83" s="499"/>
      <c r="DPF83" s="499"/>
      <c r="DPG83" s="499"/>
      <c r="DPH83" s="499"/>
      <c r="DPI83" s="499"/>
      <c r="DPJ83" s="499"/>
      <c r="DPK83" s="499"/>
      <c r="DPL83" s="499"/>
      <c r="DPM83" s="499"/>
      <c r="DPN83" s="499"/>
      <c r="DPO83" s="499"/>
      <c r="DPP83" s="499"/>
      <c r="DPQ83" s="499"/>
      <c r="DPR83" s="499"/>
      <c r="DPS83" s="499"/>
      <c r="DPT83" s="499"/>
      <c r="DPU83" s="499"/>
      <c r="DPV83" s="499"/>
      <c r="DPW83" s="499"/>
      <c r="DPX83" s="499"/>
      <c r="DPY83" s="499"/>
      <c r="DPZ83" s="499"/>
      <c r="DQA83" s="499"/>
      <c r="DQB83" s="499"/>
      <c r="DQC83" s="499"/>
      <c r="DQD83" s="499"/>
      <c r="DQE83" s="499"/>
      <c r="DQF83" s="499"/>
      <c r="DQG83" s="499"/>
      <c r="DQH83" s="499"/>
      <c r="DQI83" s="499"/>
      <c r="DQJ83" s="499"/>
      <c r="DQK83" s="499"/>
      <c r="DQL83" s="499"/>
      <c r="DQM83" s="499"/>
      <c r="DQN83" s="499"/>
      <c r="DQO83" s="499"/>
      <c r="DQP83" s="499"/>
      <c r="DQQ83" s="499"/>
      <c r="DQR83" s="499"/>
      <c r="DQS83" s="499"/>
      <c r="DQT83" s="499"/>
      <c r="DQU83" s="499"/>
      <c r="DQV83" s="499"/>
      <c r="DQW83" s="499"/>
      <c r="DQX83" s="499"/>
      <c r="DQY83" s="499"/>
      <c r="DQZ83" s="499"/>
      <c r="DRA83" s="499"/>
      <c r="DRB83" s="499"/>
      <c r="DRC83" s="499"/>
      <c r="DRD83" s="499"/>
      <c r="DRE83" s="499"/>
      <c r="DRF83" s="499"/>
      <c r="DRG83" s="499"/>
      <c r="DRH83" s="499"/>
      <c r="DRI83" s="499"/>
      <c r="DRJ83" s="499"/>
      <c r="DRK83" s="499"/>
      <c r="DRL83" s="499"/>
      <c r="DRM83" s="499"/>
      <c r="DRN83" s="499"/>
      <c r="DRO83" s="499"/>
      <c r="DRP83" s="499"/>
      <c r="DRQ83" s="499"/>
      <c r="DRR83" s="499"/>
      <c r="DRS83" s="499"/>
      <c r="DRT83" s="499"/>
      <c r="DRU83" s="499"/>
      <c r="DRV83" s="499"/>
      <c r="DRW83" s="499"/>
      <c r="DRX83" s="499"/>
      <c r="DRY83" s="499"/>
      <c r="DRZ83" s="499"/>
      <c r="DSA83" s="499"/>
      <c r="DSB83" s="499"/>
      <c r="DSC83" s="499"/>
      <c r="DSD83" s="499"/>
      <c r="DSE83" s="499"/>
      <c r="DSF83" s="499"/>
      <c r="DSG83" s="499"/>
      <c r="DSH83" s="499"/>
      <c r="DSI83" s="499"/>
      <c r="DSJ83" s="499"/>
      <c r="DSK83" s="499"/>
      <c r="DSL83" s="499"/>
      <c r="DSM83" s="499"/>
      <c r="DSN83" s="499"/>
      <c r="DSO83" s="499"/>
      <c r="DSP83" s="499"/>
      <c r="DSQ83" s="499"/>
      <c r="DSR83" s="499"/>
      <c r="DSS83" s="499"/>
      <c r="DST83" s="499"/>
      <c r="DSU83" s="499"/>
      <c r="DSV83" s="499"/>
      <c r="DSW83" s="499"/>
      <c r="DSX83" s="499"/>
      <c r="DSY83" s="499"/>
      <c r="DSZ83" s="499"/>
      <c r="DTA83" s="499"/>
      <c r="DTB83" s="499"/>
      <c r="DTC83" s="499"/>
      <c r="DTD83" s="499"/>
      <c r="DTE83" s="499"/>
      <c r="DTF83" s="499"/>
      <c r="DTG83" s="499"/>
      <c r="DTH83" s="499"/>
      <c r="DTI83" s="499"/>
      <c r="DTJ83" s="499"/>
      <c r="DTK83" s="499"/>
      <c r="DTL83" s="499"/>
      <c r="DTM83" s="499"/>
      <c r="DTN83" s="499"/>
      <c r="DTO83" s="499"/>
      <c r="DTP83" s="499"/>
      <c r="DTQ83" s="499"/>
      <c r="DTR83" s="499"/>
      <c r="DTS83" s="499"/>
      <c r="DTT83" s="499"/>
      <c r="DTU83" s="499"/>
      <c r="DTV83" s="499"/>
      <c r="DTW83" s="499"/>
      <c r="DTX83" s="499"/>
      <c r="DTY83" s="499"/>
      <c r="DTZ83" s="499"/>
      <c r="DUA83" s="499"/>
      <c r="DUB83" s="499"/>
      <c r="DUC83" s="499"/>
      <c r="DUD83" s="499"/>
      <c r="DUE83" s="499"/>
      <c r="DUF83" s="499"/>
      <c r="DUG83" s="499"/>
      <c r="DUH83" s="499"/>
      <c r="DUI83" s="499"/>
      <c r="DUJ83" s="499"/>
      <c r="DUK83" s="499"/>
      <c r="DUL83" s="499"/>
      <c r="DUM83" s="499"/>
      <c r="DUN83" s="499"/>
      <c r="DUO83" s="499"/>
      <c r="DUP83" s="499"/>
      <c r="DUQ83" s="499"/>
      <c r="DUR83" s="499"/>
      <c r="DUS83" s="499"/>
      <c r="DUT83" s="499"/>
      <c r="DUU83" s="499"/>
      <c r="DUV83" s="499"/>
      <c r="DUW83" s="499"/>
      <c r="DUX83" s="499"/>
      <c r="DUY83" s="499"/>
      <c r="DUZ83" s="499"/>
      <c r="DVA83" s="499"/>
      <c r="DVB83" s="499"/>
      <c r="DVC83" s="499"/>
      <c r="DVD83" s="499"/>
      <c r="DVE83" s="499"/>
      <c r="DVF83" s="499"/>
      <c r="DVG83" s="499"/>
      <c r="DVH83" s="499"/>
      <c r="DVI83" s="499"/>
      <c r="DVJ83" s="499"/>
      <c r="DVK83" s="499"/>
      <c r="DVL83" s="499"/>
      <c r="DVM83" s="499"/>
      <c r="DVN83" s="499"/>
      <c r="DVO83" s="499"/>
      <c r="DVP83" s="499"/>
      <c r="DVQ83" s="499"/>
      <c r="DVR83" s="499"/>
      <c r="DVS83" s="499"/>
      <c r="DVT83" s="499"/>
      <c r="DVU83" s="499"/>
      <c r="DVV83" s="499"/>
      <c r="DVW83" s="499"/>
      <c r="DVX83" s="499"/>
      <c r="DVY83" s="499"/>
      <c r="DVZ83" s="499"/>
      <c r="DWA83" s="499"/>
      <c r="DWB83" s="499"/>
      <c r="DWC83" s="499"/>
      <c r="DWD83" s="499"/>
      <c r="DWE83" s="499"/>
      <c r="DWF83" s="499"/>
      <c r="DWG83" s="499"/>
      <c r="DWH83" s="499"/>
      <c r="DWI83" s="499"/>
      <c r="DWJ83" s="499"/>
      <c r="DWK83" s="499"/>
      <c r="DWL83" s="499"/>
      <c r="DWM83" s="499"/>
      <c r="DWN83" s="499"/>
      <c r="DWO83" s="499"/>
      <c r="DWP83" s="499"/>
      <c r="DWQ83" s="499"/>
      <c r="DWR83" s="499"/>
      <c r="DWS83" s="499"/>
      <c r="DWT83" s="499"/>
      <c r="DWU83" s="499"/>
      <c r="DWV83" s="499"/>
      <c r="DWW83" s="499"/>
      <c r="DWX83" s="499"/>
      <c r="DWY83" s="499"/>
      <c r="DWZ83" s="499"/>
      <c r="DXA83" s="499"/>
      <c r="DXB83" s="499"/>
      <c r="DXC83" s="499"/>
      <c r="DXD83" s="499"/>
      <c r="DXE83" s="499"/>
      <c r="DXF83" s="499"/>
      <c r="DXG83" s="499"/>
      <c r="DXH83" s="499"/>
      <c r="DXI83" s="499"/>
      <c r="DXJ83" s="499"/>
      <c r="DXK83" s="499"/>
      <c r="DXL83" s="499"/>
      <c r="DXM83" s="499"/>
      <c r="DXN83" s="499"/>
      <c r="DXO83" s="499"/>
      <c r="DXP83" s="499"/>
      <c r="DXQ83" s="499"/>
      <c r="DXR83" s="499"/>
      <c r="DXS83" s="499"/>
      <c r="DXT83" s="499"/>
      <c r="DXU83" s="499"/>
      <c r="DXV83" s="499"/>
      <c r="DXW83" s="499"/>
      <c r="DXX83" s="499"/>
      <c r="DXY83" s="499"/>
      <c r="DXZ83" s="499"/>
      <c r="DYA83" s="499"/>
      <c r="DYB83" s="499"/>
      <c r="DYC83" s="499"/>
      <c r="DYD83" s="499"/>
      <c r="DYE83" s="499"/>
      <c r="DYF83" s="499"/>
      <c r="DYG83" s="499"/>
      <c r="DYH83" s="499"/>
      <c r="DYI83" s="499"/>
      <c r="DYJ83" s="499"/>
      <c r="DYK83" s="499"/>
      <c r="DYL83" s="499"/>
      <c r="DYM83" s="499"/>
      <c r="DYN83" s="499"/>
      <c r="DYO83" s="499"/>
      <c r="DYP83" s="499"/>
      <c r="DYQ83" s="499"/>
      <c r="DYR83" s="499"/>
      <c r="DYS83" s="499"/>
      <c r="DYT83" s="499"/>
      <c r="DYU83" s="499"/>
      <c r="DYV83" s="499"/>
      <c r="DYW83" s="499"/>
      <c r="DYX83" s="499"/>
      <c r="DYY83" s="499"/>
      <c r="DYZ83" s="499"/>
      <c r="DZA83" s="499"/>
      <c r="DZB83" s="499"/>
      <c r="DZC83" s="499"/>
      <c r="DZD83" s="499"/>
      <c r="DZE83" s="499"/>
      <c r="DZF83" s="499"/>
      <c r="DZG83" s="499"/>
      <c r="DZH83" s="499"/>
      <c r="DZI83" s="499"/>
      <c r="DZJ83" s="499"/>
      <c r="DZK83" s="499"/>
      <c r="DZL83" s="499"/>
      <c r="DZM83" s="499"/>
      <c r="DZN83" s="499"/>
      <c r="DZO83" s="499"/>
      <c r="DZP83" s="499"/>
      <c r="DZQ83" s="499"/>
      <c r="DZR83" s="499"/>
      <c r="DZS83" s="499"/>
      <c r="DZT83" s="499"/>
      <c r="DZU83" s="499"/>
      <c r="DZV83" s="499"/>
      <c r="DZW83" s="499"/>
      <c r="DZX83" s="499"/>
      <c r="DZY83" s="499"/>
      <c r="DZZ83" s="499"/>
      <c r="EAA83" s="499"/>
      <c r="EAB83" s="499"/>
      <c r="EAC83" s="499"/>
      <c r="EAD83" s="499"/>
      <c r="EAE83" s="499"/>
      <c r="EAF83" s="499"/>
      <c r="EAG83" s="499"/>
      <c r="EAH83" s="499"/>
      <c r="EAI83" s="499"/>
      <c r="EAJ83" s="499"/>
      <c r="EAK83" s="499"/>
      <c r="EAL83" s="499"/>
      <c r="EAM83" s="499"/>
      <c r="EAN83" s="499"/>
      <c r="EAO83" s="499"/>
      <c r="EAP83" s="499"/>
      <c r="EAQ83" s="499"/>
      <c r="EAR83" s="499"/>
      <c r="EAS83" s="499"/>
      <c r="EAT83" s="499"/>
      <c r="EAU83" s="499"/>
      <c r="EAV83" s="499"/>
      <c r="EAW83" s="499"/>
      <c r="EAX83" s="499"/>
      <c r="EAY83" s="499"/>
      <c r="EAZ83" s="499"/>
      <c r="EBA83" s="499"/>
      <c r="EBB83" s="499"/>
      <c r="EBC83" s="499"/>
      <c r="EBD83" s="499"/>
      <c r="EBE83" s="499"/>
      <c r="EBF83" s="499"/>
      <c r="EBG83" s="499"/>
      <c r="EBH83" s="499"/>
      <c r="EBI83" s="499"/>
      <c r="EBJ83" s="499"/>
      <c r="EBK83" s="499"/>
      <c r="EBL83" s="499"/>
      <c r="EBM83" s="499"/>
      <c r="EBN83" s="499"/>
      <c r="EBO83" s="499"/>
      <c r="EBP83" s="499"/>
      <c r="EBQ83" s="499"/>
      <c r="EBR83" s="499"/>
      <c r="EBS83" s="499"/>
      <c r="EBT83" s="499"/>
      <c r="EBU83" s="499"/>
      <c r="EBV83" s="499"/>
      <c r="EBW83" s="499"/>
      <c r="EBX83" s="499"/>
      <c r="EBY83" s="499"/>
      <c r="EBZ83" s="499"/>
      <c r="ECA83" s="499"/>
      <c r="ECB83" s="499"/>
      <c r="ECC83" s="499"/>
      <c r="ECD83" s="499"/>
      <c r="ECE83" s="499"/>
      <c r="ECF83" s="499"/>
      <c r="ECG83" s="499"/>
      <c r="ECH83" s="499"/>
      <c r="ECI83" s="499"/>
      <c r="ECJ83" s="499"/>
      <c r="ECK83" s="499"/>
      <c r="ECL83" s="499"/>
      <c r="ECM83" s="499"/>
      <c r="ECN83" s="499"/>
      <c r="ECO83" s="499"/>
      <c r="ECP83" s="499"/>
      <c r="ECQ83" s="499"/>
      <c r="ECR83" s="499"/>
      <c r="ECS83" s="499"/>
      <c r="ECT83" s="499"/>
      <c r="ECU83" s="499"/>
      <c r="ECV83" s="499"/>
      <c r="ECW83" s="499"/>
      <c r="ECX83" s="499"/>
      <c r="ECY83" s="499"/>
      <c r="ECZ83" s="499"/>
      <c r="EDA83" s="499"/>
      <c r="EDB83" s="499"/>
      <c r="EDC83" s="499"/>
      <c r="EDD83" s="499"/>
      <c r="EDE83" s="499"/>
      <c r="EDF83" s="499"/>
      <c r="EDG83" s="499"/>
      <c r="EDH83" s="499"/>
      <c r="EDI83" s="499"/>
      <c r="EDJ83" s="499"/>
      <c r="EDK83" s="499"/>
      <c r="EDL83" s="499"/>
      <c r="EDM83" s="499"/>
      <c r="EDN83" s="499"/>
      <c r="EDO83" s="499"/>
      <c r="EDP83" s="499"/>
      <c r="EDQ83" s="499"/>
      <c r="EDR83" s="499"/>
      <c r="EDS83" s="499"/>
      <c r="EDT83" s="499"/>
      <c r="EDU83" s="499"/>
      <c r="EDV83" s="499"/>
      <c r="EDW83" s="499"/>
      <c r="EDX83" s="499"/>
      <c r="EDY83" s="499"/>
      <c r="EDZ83" s="499"/>
      <c r="EEA83" s="499"/>
      <c r="EEB83" s="499"/>
      <c r="EEC83" s="499"/>
      <c r="EED83" s="499"/>
      <c r="EEE83" s="499"/>
      <c r="EEF83" s="499"/>
      <c r="EEG83" s="499"/>
      <c r="EEH83" s="499"/>
      <c r="EEI83" s="499"/>
      <c r="EEJ83" s="499"/>
      <c r="EEK83" s="499"/>
      <c r="EEL83" s="499"/>
      <c r="EEM83" s="499"/>
      <c r="EEN83" s="499"/>
      <c r="EEO83" s="499"/>
      <c r="EEP83" s="499"/>
      <c r="EEQ83" s="499"/>
      <c r="EER83" s="499"/>
      <c r="EES83" s="499"/>
      <c r="EET83" s="499"/>
      <c r="EEU83" s="499"/>
      <c r="EEV83" s="499"/>
      <c r="EEW83" s="499"/>
      <c r="EEX83" s="499"/>
      <c r="EEY83" s="499"/>
      <c r="EEZ83" s="499"/>
      <c r="EFA83" s="499"/>
      <c r="EFB83" s="499"/>
      <c r="EFC83" s="499"/>
      <c r="EFD83" s="499"/>
      <c r="EFE83" s="499"/>
      <c r="EFF83" s="499"/>
      <c r="EFG83" s="499"/>
      <c r="EFH83" s="499"/>
      <c r="EFI83" s="499"/>
      <c r="EFJ83" s="499"/>
      <c r="EFK83" s="499"/>
      <c r="EFL83" s="499"/>
      <c r="EFM83" s="499"/>
      <c r="EFN83" s="499"/>
      <c r="EFO83" s="499"/>
      <c r="EFP83" s="499"/>
      <c r="EFQ83" s="499"/>
      <c r="EFR83" s="499"/>
      <c r="EFS83" s="499"/>
      <c r="EFT83" s="499"/>
      <c r="EFU83" s="499"/>
      <c r="EFV83" s="499"/>
      <c r="EFW83" s="499"/>
      <c r="EFX83" s="499"/>
      <c r="EFY83" s="499"/>
      <c r="EFZ83" s="499"/>
      <c r="EGA83" s="499"/>
      <c r="EGB83" s="499"/>
      <c r="EGC83" s="499"/>
      <c r="EGD83" s="499"/>
      <c r="EGE83" s="499"/>
      <c r="EGF83" s="499"/>
      <c r="EGG83" s="499"/>
      <c r="EGH83" s="499"/>
      <c r="EGI83" s="499"/>
      <c r="EGJ83" s="499"/>
      <c r="EGK83" s="499"/>
      <c r="EGL83" s="499"/>
      <c r="EGM83" s="499"/>
      <c r="EGN83" s="499"/>
      <c r="EGO83" s="499"/>
      <c r="EGP83" s="499"/>
      <c r="EGQ83" s="499"/>
      <c r="EGR83" s="499"/>
      <c r="EGS83" s="499"/>
      <c r="EGT83" s="499"/>
      <c r="EGU83" s="499"/>
      <c r="EGV83" s="499"/>
      <c r="EGW83" s="499"/>
      <c r="EGX83" s="499"/>
      <c r="EGY83" s="499"/>
      <c r="EGZ83" s="499"/>
      <c r="EHA83" s="499"/>
      <c r="EHB83" s="499"/>
      <c r="EHC83" s="499"/>
      <c r="EHD83" s="499"/>
      <c r="EHE83" s="499"/>
      <c r="EHF83" s="499"/>
      <c r="EHG83" s="499"/>
      <c r="EHH83" s="499"/>
      <c r="EHI83" s="499"/>
      <c r="EHJ83" s="499"/>
      <c r="EHK83" s="499"/>
      <c r="EHL83" s="499"/>
      <c r="EHM83" s="499"/>
      <c r="EHN83" s="499"/>
      <c r="EHO83" s="499"/>
      <c r="EHP83" s="499"/>
      <c r="EHQ83" s="499"/>
      <c r="EHR83" s="499"/>
      <c r="EHS83" s="499"/>
      <c r="EHT83" s="499"/>
      <c r="EHU83" s="499"/>
      <c r="EHV83" s="499"/>
      <c r="EHW83" s="499"/>
      <c r="EHX83" s="499"/>
      <c r="EHY83" s="499"/>
      <c r="EHZ83" s="499"/>
      <c r="EIA83" s="499"/>
      <c r="EIB83" s="499"/>
      <c r="EIC83" s="499"/>
      <c r="EID83" s="499"/>
      <c r="EIE83" s="499"/>
      <c r="EIF83" s="499"/>
      <c r="EIG83" s="499"/>
      <c r="EIH83" s="499"/>
      <c r="EII83" s="499"/>
      <c r="EIJ83" s="499"/>
      <c r="EIK83" s="499"/>
      <c r="EIL83" s="499"/>
      <c r="EIM83" s="499"/>
      <c r="EIN83" s="499"/>
      <c r="EIO83" s="499"/>
      <c r="EIP83" s="499"/>
      <c r="EIQ83" s="499"/>
      <c r="EIR83" s="499"/>
      <c r="EIS83" s="499"/>
      <c r="EIT83" s="499"/>
      <c r="EIU83" s="499"/>
      <c r="EIV83" s="499"/>
      <c r="EIW83" s="499"/>
      <c r="EIX83" s="499"/>
      <c r="EIY83" s="499"/>
      <c r="EIZ83" s="499"/>
      <c r="EJA83" s="499"/>
      <c r="EJB83" s="499"/>
      <c r="EJC83" s="499"/>
      <c r="EJD83" s="499"/>
      <c r="EJE83" s="499"/>
      <c r="EJF83" s="499"/>
      <c r="EJG83" s="499"/>
      <c r="EJH83" s="499"/>
      <c r="EJI83" s="499"/>
      <c r="EJJ83" s="499"/>
      <c r="EJK83" s="499"/>
      <c r="EJL83" s="499"/>
      <c r="EJM83" s="499"/>
      <c r="EJN83" s="499"/>
      <c r="EJO83" s="499"/>
      <c r="EJP83" s="499"/>
      <c r="EJQ83" s="499"/>
      <c r="EJR83" s="499"/>
      <c r="EJS83" s="499"/>
      <c r="EJT83" s="499"/>
      <c r="EJU83" s="499"/>
      <c r="EJV83" s="499"/>
      <c r="EJW83" s="499"/>
      <c r="EJX83" s="499"/>
      <c r="EJY83" s="499"/>
      <c r="EJZ83" s="499"/>
      <c r="EKA83" s="499"/>
      <c r="EKB83" s="499"/>
      <c r="EKC83" s="499"/>
      <c r="EKD83" s="499"/>
      <c r="EKE83" s="499"/>
      <c r="EKF83" s="499"/>
      <c r="EKG83" s="499"/>
      <c r="EKH83" s="499"/>
      <c r="EKI83" s="499"/>
      <c r="EKJ83" s="499"/>
      <c r="EKK83" s="499"/>
      <c r="EKL83" s="499"/>
      <c r="EKM83" s="499"/>
      <c r="EKN83" s="499"/>
      <c r="EKO83" s="499"/>
      <c r="EKP83" s="499"/>
      <c r="EKQ83" s="499"/>
      <c r="EKR83" s="499"/>
      <c r="EKS83" s="499"/>
      <c r="EKT83" s="499"/>
      <c r="EKU83" s="499"/>
      <c r="EKV83" s="499"/>
      <c r="EKW83" s="499"/>
      <c r="EKX83" s="499"/>
      <c r="EKY83" s="499"/>
      <c r="EKZ83" s="499"/>
      <c r="ELA83" s="499"/>
      <c r="ELB83" s="499"/>
      <c r="ELC83" s="499"/>
      <c r="ELD83" s="499"/>
      <c r="ELE83" s="499"/>
      <c r="ELF83" s="499"/>
      <c r="ELG83" s="499"/>
      <c r="ELH83" s="499"/>
      <c r="ELI83" s="499"/>
      <c r="ELJ83" s="499"/>
      <c r="ELK83" s="499"/>
      <c r="ELL83" s="499"/>
      <c r="ELM83" s="499"/>
      <c r="ELN83" s="499"/>
      <c r="ELO83" s="499"/>
      <c r="ELP83" s="499"/>
      <c r="ELQ83" s="499"/>
      <c r="ELR83" s="499"/>
      <c r="ELS83" s="499"/>
      <c r="ELT83" s="499"/>
      <c r="ELU83" s="499"/>
      <c r="ELV83" s="499"/>
      <c r="ELW83" s="499"/>
      <c r="ELX83" s="499"/>
      <c r="ELY83" s="499"/>
      <c r="ELZ83" s="499"/>
      <c r="EMA83" s="499"/>
      <c r="EMB83" s="499"/>
      <c r="EMC83" s="499"/>
      <c r="EMD83" s="499"/>
      <c r="EME83" s="499"/>
      <c r="EMF83" s="499"/>
      <c r="EMG83" s="499"/>
      <c r="EMH83" s="499"/>
      <c r="EMI83" s="499"/>
      <c r="EMJ83" s="499"/>
      <c r="EMK83" s="499"/>
      <c r="EML83" s="499"/>
      <c r="EMM83" s="499"/>
      <c r="EMN83" s="499"/>
      <c r="EMO83" s="499"/>
      <c r="EMP83" s="499"/>
      <c r="EMQ83" s="499"/>
      <c r="EMR83" s="499"/>
      <c r="EMS83" s="499"/>
      <c r="EMT83" s="499"/>
      <c r="EMU83" s="499"/>
      <c r="EMV83" s="499"/>
      <c r="EMW83" s="499"/>
      <c r="EMX83" s="499"/>
      <c r="EMY83" s="499"/>
      <c r="EMZ83" s="499"/>
      <c r="ENA83" s="499"/>
      <c r="ENB83" s="499"/>
      <c r="ENC83" s="499"/>
      <c r="END83" s="499"/>
      <c r="ENE83" s="499"/>
      <c r="ENF83" s="499"/>
      <c r="ENG83" s="499"/>
      <c r="ENH83" s="499"/>
      <c r="ENI83" s="499"/>
      <c r="ENJ83" s="499"/>
      <c r="ENK83" s="499"/>
      <c r="ENL83" s="499"/>
      <c r="ENM83" s="499"/>
      <c r="ENN83" s="499"/>
      <c r="ENO83" s="499"/>
      <c r="ENP83" s="499"/>
      <c r="ENQ83" s="499"/>
      <c r="ENR83" s="499"/>
      <c r="ENS83" s="499"/>
      <c r="ENT83" s="499"/>
      <c r="ENU83" s="499"/>
      <c r="ENV83" s="499"/>
      <c r="ENW83" s="499"/>
      <c r="ENX83" s="499"/>
      <c r="ENY83" s="499"/>
      <c r="ENZ83" s="499"/>
      <c r="EOA83" s="499"/>
      <c r="EOB83" s="499"/>
      <c r="EOC83" s="499"/>
      <c r="EOD83" s="499"/>
      <c r="EOE83" s="499"/>
      <c r="EOF83" s="499"/>
      <c r="EOG83" s="499"/>
      <c r="EOH83" s="499"/>
      <c r="EOI83" s="499"/>
      <c r="EOJ83" s="499"/>
      <c r="EOK83" s="499"/>
      <c r="EOL83" s="499"/>
      <c r="EOM83" s="499"/>
      <c r="EON83" s="499"/>
      <c r="EOO83" s="499"/>
      <c r="EOP83" s="499"/>
      <c r="EOQ83" s="499"/>
      <c r="EOR83" s="499"/>
      <c r="EOS83" s="499"/>
      <c r="EOT83" s="499"/>
      <c r="EOU83" s="499"/>
      <c r="EOV83" s="499"/>
      <c r="EOW83" s="499"/>
      <c r="EOX83" s="499"/>
      <c r="EOY83" s="499"/>
      <c r="EOZ83" s="499"/>
      <c r="EPA83" s="499"/>
      <c r="EPB83" s="499"/>
      <c r="EPC83" s="499"/>
      <c r="EPD83" s="499"/>
      <c r="EPE83" s="499"/>
      <c r="EPF83" s="499"/>
      <c r="EPG83" s="499"/>
      <c r="EPH83" s="499"/>
      <c r="EPI83" s="499"/>
      <c r="EPJ83" s="499"/>
      <c r="EPK83" s="499"/>
      <c r="EPL83" s="499"/>
      <c r="EPM83" s="499"/>
      <c r="EPN83" s="499"/>
      <c r="EPO83" s="499"/>
      <c r="EPP83" s="499"/>
      <c r="EPQ83" s="499"/>
      <c r="EPR83" s="499"/>
      <c r="EPS83" s="499"/>
      <c r="EPT83" s="499"/>
      <c r="EPU83" s="499"/>
      <c r="EPV83" s="499"/>
      <c r="EPW83" s="499"/>
      <c r="EPX83" s="499"/>
      <c r="EPY83" s="499"/>
      <c r="EPZ83" s="499"/>
      <c r="EQA83" s="499"/>
      <c r="EQB83" s="499"/>
      <c r="EQC83" s="499"/>
      <c r="EQD83" s="499"/>
      <c r="EQE83" s="499"/>
      <c r="EQF83" s="499"/>
      <c r="EQG83" s="499"/>
      <c r="EQH83" s="499"/>
      <c r="EQI83" s="499"/>
      <c r="EQJ83" s="499"/>
      <c r="EQK83" s="499"/>
      <c r="EQL83" s="499"/>
      <c r="EQM83" s="499"/>
      <c r="EQN83" s="499"/>
      <c r="EQO83" s="499"/>
      <c r="EQP83" s="499"/>
      <c r="EQQ83" s="499"/>
      <c r="EQR83" s="499"/>
      <c r="EQS83" s="499"/>
      <c r="EQT83" s="499"/>
      <c r="EQU83" s="499"/>
      <c r="EQV83" s="499"/>
      <c r="EQW83" s="499"/>
      <c r="EQX83" s="499"/>
      <c r="EQY83" s="499"/>
      <c r="EQZ83" s="499"/>
      <c r="ERA83" s="499"/>
      <c r="ERB83" s="499"/>
      <c r="ERC83" s="499"/>
      <c r="ERD83" s="499"/>
      <c r="ERE83" s="499"/>
      <c r="ERF83" s="499"/>
      <c r="ERG83" s="499"/>
      <c r="ERH83" s="499"/>
      <c r="ERI83" s="499"/>
      <c r="ERJ83" s="499"/>
      <c r="ERK83" s="499"/>
      <c r="ERL83" s="499"/>
      <c r="ERM83" s="499"/>
      <c r="ERN83" s="499"/>
      <c r="ERO83" s="499"/>
      <c r="ERP83" s="499"/>
      <c r="ERQ83" s="499"/>
      <c r="ERR83" s="499"/>
      <c r="ERS83" s="499"/>
      <c r="ERT83" s="499"/>
      <c r="ERU83" s="499"/>
      <c r="ERV83" s="499"/>
      <c r="ERW83" s="499"/>
      <c r="ERX83" s="499"/>
      <c r="ERY83" s="499"/>
      <c r="ERZ83" s="499"/>
      <c r="ESA83" s="499"/>
      <c r="ESB83" s="499"/>
      <c r="ESC83" s="499"/>
      <c r="ESD83" s="499"/>
      <c r="ESE83" s="499"/>
      <c r="ESF83" s="499"/>
      <c r="ESG83" s="499"/>
      <c r="ESH83" s="499"/>
      <c r="ESI83" s="499"/>
      <c r="ESJ83" s="499"/>
      <c r="ESK83" s="499"/>
      <c r="ESL83" s="499"/>
      <c r="ESM83" s="499"/>
      <c r="ESN83" s="499"/>
      <c r="ESO83" s="499"/>
      <c r="ESP83" s="499"/>
      <c r="ESQ83" s="499"/>
      <c r="ESR83" s="499"/>
      <c r="ESS83" s="499"/>
      <c r="EST83" s="499"/>
      <c r="ESU83" s="499"/>
      <c r="ESV83" s="499"/>
      <c r="ESW83" s="499"/>
      <c r="ESX83" s="499"/>
      <c r="ESY83" s="499"/>
      <c r="ESZ83" s="499"/>
      <c r="ETA83" s="499"/>
      <c r="ETB83" s="499"/>
      <c r="ETC83" s="499"/>
      <c r="ETD83" s="499"/>
      <c r="ETE83" s="499"/>
      <c r="ETF83" s="499"/>
      <c r="ETG83" s="499"/>
      <c r="ETH83" s="499"/>
      <c r="ETI83" s="499"/>
      <c r="ETJ83" s="499"/>
      <c r="ETK83" s="499"/>
      <c r="ETL83" s="499"/>
      <c r="ETM83" s="499"/>
      <c r="ETN83" s="499"/>
      <c r="ETO83" s="499"/>
      <c r="ETP83" s="499"/>
      <c r="ETQ83" s="499"/>
      <c r="ETR83" s="499"/>
      <c r="ETS83" s="499"/>
      <c r="ETT83" s="499"/>
      <c r="ETU83" s="499"/>
      <c r="ETV83" s="499"/>
      <c r="ETW83" s="499"/>
      <c r="ETX83" s="499"/>
      <c r="ETY83" s="499"/>
      <c r="ETZ83" s="499"/>
      <c r="EUA83" s="499"/>
      <c r="EUB83" s="499"/>
      <c r="EUC83" s="499"/>
      <c r="EUD83" s="499"/>
      <c r="EUE83" s="499"/>
      <c r="EUF83" s="499"/>
      <c r="EUG83" s="499"/>
      <c r="EUH83" s="499"/>
      <c r="EUI83" s="499"/>
      <c r="EUJ83" s="499"/>
      <c r="EUK83" s="499"/>
      <c r="EUL83" s="499"/>
      <c r="EUM83" s="499"/>
      <c r="EUN83" s="499"/>
      <c r="EUO83" s="499"/>
      <c r="EUP83" s="499"/>
      <c r="EUQ83" s="499"/>
      <c r="EUR83" s="499"/>
      <c r="EUS83" s="499"/>
      <c r="EUT83" s="499"/>
      <c r="EUU83" s="499"/>
      <c r="EUV83" s="499"/>
      <c r="EUW83" s="499"/>
      <c r="EUX83" s="499"/>
      <c r="EUY83" s="499"/>
      <c r="EUZ83" s="499"/>
      <c r="EVA83" s="499"/>
      <c r="EVB83" s="499"/>
      <c r="EVC83" s="499"/>
      <c r="EVD83" s="499"/>
      <c r="EVE83" s="499"/>
      <c r="EVF83" s="499"/>
      <c r="EVG83" s="499"/>
      <c r="EVH83" s="499"/>
      <c r="EVI83" s="499"/>
      <c r="EVJ83" s="499"/>
      <c r="EVK83" s="499"/>
      <c r="EVL83" s="499"/>
      <c r="EVM83" s="499"/>
      <c r="EVN83" s="499"/>
      <c r="EVO83" s="499"/>
      <c r="EVP83" s="499"/>
      <c r="EVQ83" s="499"/>
      <c r="EVR83" s="499"/>
      <c r="EVS83" s="499"/>
      <c r="EVT83" s="499"/>
      <c r="EVU83" s="499"/>
      <c r="EVV83" s="499"/>
      <c r="EVW83" s="499"/>
      <c r="EVX83" s="499"/>
      <c r="EVY83" s="499"/>
      <c r="EVZ83" s="499"/>
      <c r="EWA83" s="499"/>
      <c r="EWB83" s="499"/>
      <c r="EWC83" s="499"/>
      <c r="EWD83" s="499"/>
      <c r="EWE83" s="499"/>
      <c r="EWF83" s="499"/>
      <c r="EWG83" s="499"/>
      <c r="EWH83" s="499"/>
      <c r="EWI83" s="499"/>
      <c r="EWJ83" s="499"/>
      <c r="EWK83" s="499"/>
      <c r="EWL83" s="499"/>
      <c r="EWM83" s="499"/>
      <c r="EWN83" s="499"/>
      <c r="EWO83" s="499"/>
      <c r="EWP83" s="499"/>
      <c r="EWQ83" s="499"/>
      <c r="EWR83" s="499"/>
      <c r="EWS83" s="499"/>
      <c r="EWT83" s="499"/>
      <c r="EWU83" s="499"/>
      <c r="EWV83" s="499"/>
      <c r="EWW83" s="499"/>
      <c r="EWX83" s="499"/>
      <c r="EWY83" s="499"/>
      <c r="EWZ83" s="499"/>
      <c r="EXA83" s="499"/>
      <c r="EXB83" s="499"/>
      <c r="EXC83" s="499"/>
      <c r="EXD83" s="499"/>
      <c r="EXE83" s="499"/>
      <c r="EXF83" s="499"/>
      <c r="EXG83" s="499"/>
      <c r="EXH83" s="499"/>
      <c r="EXI83" s="499"/>
      <c r="EXJ83" s="499"/>
      <c r="EXK83" s="499"/>
      <c r="EXL83" s="499"/>
      <c r="EXM83" s="499"/>
      <c r="EXN83" s="499"/>
      <c r="EXO83" s="499"/>
      <c r="EXP83" s="499"/>
      <c r="EXQ83" s="499"/>
      <c r="EXR83" s="499"/>
      <c r="EXS83" s="499"/>
      <c r="EXT83" s="499"/>
      <c r="EXU83" s="499"/>
      <c r="EXV83" s="499"/>
      <c r="EXW83" s="499"/>
      <c r="EXX83" s="499"/>
      <c r="EXY83" s="499"/>
      <c r="EXZ83" s="499"/>
      <c r="EYA83" s="499"/>
      <c r="EYB83" s="499"/>
      <c r="EYC83" s="499"/>
      <c r="EYD83" s="499"/>
      <c r="EYE83" s="499"/>
      <c r="EYF83" s="499"/>
      <c r="EYG83" s="499"/>
      <c r="EYH83" s="499"/>
      <c r="EYI83" s="499"/>
      <c r="EYJ83" s="499"/>
      <c r="EYK83" s="499"/>
      <c r="EYL83" s="499"/>
      <c r="EYM83" s="499"/>
      <c r="EYN83" s="499"/>
      <c r="EYO83" s="499"/>
      <c r="EYP83" s="499"/>
      <c r="EYQ83" s="499"/>
      <c r="EYR83" s="499"/>
      <c r="EYS83" s="499"/>
      <c r="EYT83" s="499"/>
      <c r="EYU83" s="499"/>
      <c r="EYV83" s="499"/>
      <c r="EYW83" s="499"/>
      <c r="EYX83" s="499"/>
      <c r="EYY83" s="499"/>
      <c r="EYZ83" s="499"/>
      <c r="EZA83" s="499"/>
      <c r="EZB83" s="499"/>
      <c r="EZC83" s="499"/>
      <c r="EZD83" s="499"/>
      <c r="EZE83" s="499"/>
      <c r="EZF83" s="499"/>
      <c r="EZG83" s="499"/>
      <c r="EZH83" s="499"/>
      <c r="EZI83" s="499"/>
      <c r="EZJ83" s="499"/>
      <c r="EZK83" s="499"/>
      <c r="EZL83" s="499"/>
      <c r="EZM83" s="499"/>
      <c r="EZN83" s="499"/>
      <c r="EZO83" s="499"/>
      <c r="EZP83" s="499"/>
      <c r="EZQ83" s="499"/>
      <c r="EZR83" s="499"/>
      <c r="EZS83" s="499"/>
      <c r="EZT83" s="499"/>
      <c r="EZU83" s="499"/>
      <c r="EZV83" s="499"/>
      <c r="EZW83" s="499"/>
      <c r="EZX83" s="499"/>
      <c r="EZY83" s="499"/>
      <c r="EZZ83" s="499"/>
      <c r="FAA83" s="499"/>
      <c r="FAB83" s="499"/>
      <c r="FAC83" s="499"/>
      <c r="FAD83" s="499"/>
      <c r="FAE83" s="499"/>
      <c r="FAF83" s="499"/>
      <c r="FAG83" s="499"/>
      <c r="FAH83" s="499"/>
      <c r="FAI83" s="499"/>
      <c r="FAJ83" s="499"/>
      <c r="FAK83" s="499"/>
      <c r="FAL83" s="499"/>
      <c r="FAM83" s="499"/>
      <c r="FAN83" s="499"/>
      <c r="FAO83" s="499"/>
      <c r="FAP83" s="499"/>
      <c r="FAQ83" s="499"/>
      <c r="FAR83" s="499"/>
      <c r="FAS83" s="499"/>
      <c r="FAT83" s="499"/>
      <c r="FAU83" s="499"/>
      <c r="FAV83" s="499"/>
      <c r="FAW83" s="499"/>
      <c r="FAX83" s="499"/>
      <c r="FAY83" s="499"/>
      <c r="FAZ83" s="499"/>
      <c r="FBA83" s="499"/>
      <c r="FBB83" s="499"/>
      <c r="FBC83" s="499"/>
      <c r="FBD83" s="499"/>
      <c r="FBE83" s="499"/>
      <c r="FBF83" s="499"/>
      <c r="FBG83" s="499"/>
      <c r="FBH83" s="499"/>
      <c r="FBI83" s="499"/>
      <c r="FBJ83" s="499"/>
      <c r="FBK83" s="499"/>
      <c r="FBL83" s="499"/>
      <c r="FBM83" s="499"/>
      <c r="FBN83" s="499"/>
      <c r="FBO83" s="499"/>
      <c r="FBP83" s="499"/>
      <c r="FBQ83" s="499"/>
      <c r="FBR83" s="499"/>
      <c r="FBS83" s="499"/>
      <c r="FBT83" s="499"/>
      <c r="FBU83" s="499"/>
      <c r="FBV83" s="499"/>
      <c r="FBW83" s="499"/>
      <c r="FBX83" s="499"/>
      <c r="FBY83" s="499"/>
      <c r="FBZ83" s="499"/>
      <c r="FCA83" s="499"/>
      <c r="FCB83" s="499"/>
      <c r="FCC83" s="499"/>
      <c r="FCD83" s="499"/>
      <c r="FCE83" s="499"/>
      <c r="FCF83" s="499"/>
      <c r="FCG83" s="499"/>
      <c r="FCH83" s="499"/>
      <c r="FCI83" s="499"/>
      <c r="FCJ83" s="499"/>
      <c r="FCK83" s="499"/>
      <c r="FCL83" s="499"/>
      <c r="FCM83" s="499"/>
      <c r="FCN83" s="499"/>
      <c r="FCO83" s="499"/>
      <c r="FCP83" s="499"/>
      <c r="FCQ83" s="499"/>
      <c r="FCR83" s="499"/>
      <c r="FCS83" s="499"/>
      <c r="FCT83" s="499"/>
      <c r="FCU83" s="499"/>
      <c r="FCV83" s="499"/>
      <c r="FCW83" s="499"/>
      <c r="FCX83" s="499"/>
      <c r="FCY83" s="499"/>
      <c r="FCZ83" s="499"/>
      <c r="FDA83" s="499"/>
      <c r="FDB83" s="499"/>
      <c r="FDC83" s="499"/>
      <c r="FDD83" s="499"/>
      <c r="FDE83" s="499"/>
      <c r="FDF83" s="499"/>
      <c r="FDG83" s="499"/>
      <c r="FDH83" s="499"/>
      <c r="FDI83" s="499"/>
      <c r="FDJ83" s="499"/>
      <c r="FDK83" s="499"/>
      <c r="FDL83" s="499"/>
      <c r="FDM83" s="499"/>
      <c r="FDN83" s="499"/>
      <c r="FDO83" s="499"/>
      <c r="FDP83" s="499"/>
      <c r="FDQ83" s="499"/>
      <c r="FDR83" s="499"/>
      <c r="FDS83" s="499"/>
      <c r="FDT83" s="499"/>
      <c r="FDU83" s="499"/>
      <c r="FDV83" s="499"/>
      <c r="FDW83" s="499"/>
      <c r="FDX83" s="499"/>
      <c r="FDY83" s="499"/>
      <c r="FDZ83" s="499"/>
      <c r="FEA83" s="499"/>
      <c r="FEB83" s="499"/>
      <c r="FEC83" s="499"/>
      <c r="FED83" s="499"/>
      <c r="FEE83" s="499"/>
      <c r="FEF83" s="499"/>
      <c r="FEG83" s="499"/>
      <c r="FEH83" s="499"/>
      <c r="FEI83" s="499"/>
      <c r="FEJ83" s="499"/>
      <c r="FEK83" s="499"/>
      <c r="FEL83" s="499"/>
      <c r="FEM83" s="499"/>
      <c r="FEN83" s="499"/>
      <c r="FEO83" s="499"/>
      <c r="FEP83" s="499"/>
      <c r="FEQ83" s="499"/>
      <c r="FER83" s="499"/>
      <c r="FES83" s="499"/>
      <c r="FET83" s="499"/>
      <c r="FEU83" s="499"/>
      <c r="FEV83" s="499"/>
      <c r="FEW83" s="499"/>
      <c r="FEX83" s="499"/>
      <c r="FEY83" s="499"/>
      <c r="FEZ83" s="499"/>
      <c r="FFA83" s="499"/>
      <c r="FFB83" s="499"/>
      <c r="FFC83" s="499"/>
      <c r="FFD83" s="499"/>
      <c r="FFE83" s="499"/>
      <c r="FFF83" s="499"/>
      <c r="FFG83" s="499"/>
      <c r="FFH83" s="499"/>
      <c r="FFI83" s="499"/>
      <c r="FFJ83" s="499"/>
      <c r="FFK83" s="499"/>
      <c r="FFL83" s="499"/>
      <c r="FFM83" s="499"/>
      <c r="FFN83" s="499"/>
      <c r="FFO83" s="499"/>
      <c r="FFP83" s="499"/>
      <c r="FFQ83" s="499"/>
      <c r="FFR83" s="499"/>
      <c r="FFS83" s="499"/>
      <c r="FFT83" s="499"/>
      <c r="FFU83" s="499"/>
      <c r="FFV83" s="499"/>
      <c r="FFW83" s="499"/>
      <c r="FFX83" s="499"/>
      <c r="FFY83" s="499"/>
      <c r="FFZ83" s="499"/>
      <c r="FGA83" s="499"/>
      <c r="FGB83" s="499"/>
      <c r="FGC83" s="499"/>
      <c r="FGD83" s="499"/>
      <c r="FGE83" s="499"/>
      <c r="FGF83" s="499"/>
      <c r="FGG83" s="499"/>
      <c r="FGH83" s="499"/>
      <c r="FGI83" s="499"/>
      <c r="FGJ83" s="499"/>
      <c r="FGK83" s="499"/>
      <c r="FGL83" s="499"/>
      <c r="FGM83" s="499"/>
      <c r="FGN83" s="499"/>
      <c r="FGO83" s="499"/>
      <c r="FGP83" s="499"/>
      <c r="FGQ83" s="499"/>
      <c r="FGR83" s="499"/>
      <c r="FGS83" s="499"/>
      <c r="FGT83" s="499"/>
      <c r="FGU83" s="499"/>
      <c r="FGV83" s="499"/>
      <c r="FGW83" s="499"/>
      <c r="FGX83" s="499"/>
      <c r="FGY83" s="499"/>
      <c r="FGZ83" s="499"/>
      <c r="FHA83" s="499"/>
      <c r="FHB83" s="499"/>
      <c r="FHC83" s="499"/>
      <c r="FHD83" s="499"/>
      <c r="FHE83" s="499"/>
      <c r="FHF83" s="499"/>
      <c r="FHG83" s="499"/>
      <c r="FHH83" s="499"/>
      <c r="FHI83" s="499"/>
      <c r="FHJ83" s="499"/>
      <c r="FHK83" s="499"/>
      <c r="FHL83" s="499"/>
      <c r="FHM83" s="499"/>
      <c r="FHN83" s="499"/>
      <c r="FHO83" s="499"/>
      <c r="FHP83" s="499"/>
      <c r="FHQ83" s="499"/>
      <c r="FHR83" s="499"/>
      <c r="FHS83" s="499"/>
      <c r="FHT83" s="499"/>
      <c r="FHU83" s="499"/>
      <c r="FHV83" s="499"/>
      <c r="FHW83" s="499"/>
      <c r="FHX83" s="499"/>
      <c r="FHY83" s="499"/>
      <c r="FHZ83" s="499"/>
      <c r="FIA83" s="499"/>
      <c r="FIB83" s="499"/>
      <c r="FIC83" s="499"/>
      <c r="FID83" s="499"/>
      <c r="FIE83" s="499"/>
      <c r="FIF83" s="499"/>
      <c r="FIG83" s="499"/>
      <c r="FIH83" s="499"/>
      <c r="FII83" s="499"/>
      <c r="FIJ83" s="499"/>
      <c r="FIK83" s="499"/>
      <c r="FIL83" s="499"/>
      <c r="FIM83" s="499"/>
      <c r="FIN83" s="499"/>
      <c r="FIO83" s="499"/>
      <c r="FIP83" s="499"/>
      <c r="FIQ83" s="499"/>
      <c r="FIR83" s="499"/>
      <c r="FIS83" s="499"/>
      <c r="FIT83" s="499"/>
      <c r="FIU83" s="499"/>
      <c r="FIV83" s="499"/>
      <c r="FIW83" s="499"/>
      <c r="FIX83" s="499"/>
      <c r="FIY83" s="499"/>
      <c r="FIZ83" s="499"/>
      <c r="FJA83" s="499"/>
      <c r="FJB83" s="499"/>
      <c r="FJC83" s="499"/>
      <c r="FJD83" s="499"/>
      <c r="FJE83" s="499"/>
      <c r="FJF83" s="499"/>
      <c r="FJG83" s="499"/>
      <c r="FJH83" s="499"/>
      <c r="FJI83" s="499"/>
      <c r="FJJ83" s="499"/>
      <c r="FJK83" s="499"/>
      <c r="FJL83" s="499"/>
      <c r="FJM83" s="499"/>
      <c r="FJN83" s="499"/>
      <c r="FJO83" s="499"/>
      <c r="FJP83" s="499"/>
      <c r="FJQ83" s="499"/>
      <c r="FJR83" s="499"/>
      <c r="FJS83" s="499"/>
      <c r="FJT83" s="499"/>
      <c r="FJU83" s="499"/>
      <c r="FJV83" s="499"/>
      <c r="FJW83" s="499"/>
      <c r="FJX83" s="499"/>
      <c r="FJY83" s="499"/>
      <c r="FJZ83" s="499"/>
      <c r="FKA83" s="499"/>
      <c r="FKB83" s="499"/>
      <c r="FKC83" s="499"/>
      <c r="FKD83" s="499"/>
      <c r="FKE83" s="499"/>
      <c r="FKF83" s="499"/>
      <c r="FKG83" s="499"/>
      <c r="FKH83" s="499"/>
      <c r="FKI83" s="499"/>
      <c r="FKJ83" s="499"/>
      <c r="FKK83" s="499"/>
      <c r="FKL83" s="499"/>
      <c r="FKM83" s="499"/>
      <c r="FKN83" s="499"/>
      <c r="FKO83" s="499"/>
      <c r="FKP83" s="499"/>
      <c r="FKQ83" s="499"/>
      <c r="FKR83" s="499"/>
      <c r="FKS83" s="499"/>
      <c r="FKT83" s="499"/>
      <c r="FKU83" s="499"/>
      <c r="FKV83" s="499"/>
      <c r="FKW83" s="499"/>
      <c r="FKX83" s="499"/>
      <c r="FKY83" s="499"/>
      <c r="FKZ83" s="499"/>
      <c r="FLA83" s="499"/>
      <c r="FLB83" s="499"/>
      <c r="FLC83" s="499"/>
      <c r="FLD83" s="499"/>
      <c r="FLE83" s="499"/>
      <c r="FLF83" s="499"/>
      <c r="FLG83" s="499"/>
      <c r="FLH83" s="499"/>
      <c r="FLI83" s="499"/>
      <c r="FLJ83" s="499"/>
      <c r="FLK83" s="499"/>
      <c r="FLL83" s="499"/>
      <c r="FLM83" s="499"/>
      <c r="FLN83" s="499"/>
      <c r="FLO83" s="499"/>
      <c r="FLP83" s="499"/>
      <c r="FLQ83" s="499"/>
      <c r="FLR83" s="499"/>
      <c r="FLS83" s="499"/>
      <c r="FLT83" s="499"/>
      <c r="FLU83" s="499"/>
      <c r="FLV83" s="499"/>
      <c r="FLW83" s="499"/>
      <c r="FLX83" s="499"/>
      <c r="FLY83" s="499"/>
      <c r="FLZ83" s="499"/>
      <c r="FMA83" s="499"/>
      <c r="FMB83" s="499"/>
      <c r="FMC83" s="499"/>
      <c r="FMD83" s="499"/>
      <c r="FME83" s="499"/>
      <c r="FMF83" s="499"/>
      <c r="FMG83" s="499"/>
      <c r="FMH83" s="499"/>
      <c r="FMI83" s="499"/>
      <c r="FMJ83" s="499"/>
      <c r="FMK83" s="499"/>
      <c r="FML83" s="499"/>
      <c r="FMM83" s="499"/>
      <c r="FMN83" s="499"/>
      <c r="FMO83" s="499"/>
      <c r="FMP83" s="499"/>
      <c r="FMQ83" s="499"/>
      <c r="FMR83" s="499"/>
      <c r="FMS83" s="499"/>
      <c r="FMT83" s="499"/>
      <c r="FMU83" s="499"/>
      <c r="FMV83" s="499"/>
      <c r="FMW83" s="499"/>
      <c r="FMX83" s="499"/>
      <c r="FMY83" s="499"/>
      <c r="FMZ83" s="499"/>
      <c r="FNA83" s="499"/>
      <c r="FNB83" s="499"/>
      <c r="FNC83" s="499"/>
      <c r="FND83" s="499"/>
      <c r="FNE83" s="499"/>
      <c r="FNF83" s="499"/>
      <c r="FNG83" s="499"/>
      <c r="FNH83" s="499"/>
      <c r="FNI83" s="499"/>
      <c r="FNJ83" s="499"/>
      <c r="FNK83" s="499"/>
      <c r="FNL83" s="499"/>
      <c r="FNM83" s="499"/>
      <c r="FNN83" s="499"/>
      <c r="FNO83" s="499"/>
      <c r="FNP83" s="499"/>
      <c r="FNQ83" s="499"/>
      <c r="FNR83" s="499"/>
      <c r="FNS83" s="499"/>
      <c r="FNT83" s="499"/>
      <c r="FNU83" s="499"/>
      <c r="FNV83" s="499"/>
      <c r="FNW83" s="499"/>
      <c r="FNX83" s="499"/>
      <c r="FNY83" s="499"/>
      <c r="FNZ83" s="499"/>
      <c r="FOA83" s="499"/>
      <c r="FOB83" s="499"/>
      <c r="FOC83" s="499"/>
      <c r="FOD83" s="499"/>
      <c r="FOE83" s="499"/>
      <c r="FOF83" s="499"/>
      <c r="FOG83" s="499"/>
      <c r="FOH83" s="499"/>
      <c r="FOI83" s="499"/>
      <c r="FOJ83" s="499"/>
      <c r="FOK83" s="499"/>
      <c r="FOL83" s="499"/>
      <c r="FOM83" s="499"/>
      <c r="FON83" s="499"/>
      <c r="FOO83" s="499"/>
      <c r="FOP83" s="499"/>
      <c r="FOQ83" s="499"/>
      <c r="FOR83" s="499"/>
      <c r="FOS83" s="499"/>
      <c r="FOT83" s="499"/>
      <c r="FOU83" s="499"/>
      <c r="FOV83" s="499"/>
      <c r="FOW83" s="499"/>
      <c r="FOX83" s="499"/>
      <c r="FOY83" s="499"/>
      <c r="FOZ83" s="499"/>
      <c r="FPA83" s="499"/>
      <c r="FPB83" s="499"/>
      <c r="FPC83" s="499"/>
      <c r="FPD83" s="499"/>
      <c r="FPE83" s="499"/>
      <c r="FPF83" s="499"/>
      <c r="FPG83" s="499"/>
      <c r="FPH83" s="499"/>
      <c r="FPI83" s="499"/>
      <c r="FPJ83" s="499"/>
      <c r="FPK83" s="499"/>
      <c r="FPL83" s="499"/>
      <c r="FPM83" s="499"/>
      <c r="FPN83" s="499"/>
      <c r="FPO83" s="499"/>
      <c r="FPP83" s="499"/>
      <c r="FPQ83" s="499"/>
      <c r="FPR83" s="499"/>
      <c r="FPS83" s="499"/>
      <c r="FPT83" s="499"/>
      <c r="FPU83" s="499"/>
      <c r="FPV83" s="499"/>
      <c r="FPW83" s="499"/>
      <c r="FPX83" s="499"/>
      <c r="FPY83" s="499"/>
      <c r="FPZ83" s="499"/>
      <c r="FQA83" s="499"/>
      <c r="FQB83" s="499"/>
      <c r="FQC83" s="499"/>
      <c r="FQD83" s="499"/>
      <c r="FQE83" s="499"/>
      <c r="FQF83" s="499"/>
      <c r="FQG83" s="499"/>
      <c r="FQH83" s="499"/>
      <c r="FQI83" s="499"/>
      <c r="FQJ83" s="499"/>
      <c r="FQK83" s="499"/>
      <c r="FQL83" s="499"/>
      <c r="FQM83" s="499"/>
      <c r="FQN83" s="499"/>
      <c r="FQO83" s="499"/>
      <c r="FQP83" s="499"/>
      <c r="FQQ83" s="499"/>
      <c r="FQR83" s="499"/>
      <c r="FQS83" s="499"/>
      <c r="FQT83" s="499"/>
      <c r="FQU83" s="499"/>
      <c r="FQV83" s="499"/>
      <c r="FQW83" s="499"/>
      <c r="FQX83" s="499"/>
      <c r="FQY83" s="499"/>
      <c r="FQZ83" s="499"/>
      <c r="FRA83" s="499"/>
      <c r="FRB83" s="499"/>
      <c r="FRC83" s="499"/>
      <c r="FRD83" s="499"/>
      <c r="FRE83" s="499"/>
      <c r="FRF83" s="499"/>
      <c r="FRG83" s="499"/>
      <c r="FRH83" s="499"/>
      <c r="FRI83" s="499"/>
      <c r="FRJ83" s="499"/>
      <c r="FRK83" s="499"/>
      <c r="FRL83" s="499"/>
      <c r="FRM83" s="499"/>
      <c r="FRN83" s="499"/>
      <c r="FRO83" s="499"/>
      <c r="FRP83" s="499"/>
      <c r="FRQ83" s="499"/>
      <c r="FRR83" s="499"/>
      <c r="FRS83" s="499"/>
      <c r="FRT83" s="499"/>
      <c r="FRU83" s="499"/>
      <c r="FRV83" s="499"/>
      <c r="FRW83" s="499"/>
      <c r="FRX83" s="499"/>
      <c r="FRY83" s="499"/>
      <c r="FRZ83" s="499"/>
      <c r="FSA83" s="499"/>
      <c r="FSB83" s="499"/>
      <c r="FSC83" s="499"/>
      <c r="FSD83" s="499"/>
      <c r="FSE83" s="499"/>
      <c r="FSF83" s="499"/>
      <c r="FSG83" s="499"/>
      <c r="FSH83" s="499"/>
      <c r="FSI83" s="499"/>
      <c r="FSJ83" s="499"/>
      <c r="FSK83" s="499"/>
      <c r="FSL83" s="499"/>
      <c r="FSM83" s="499"/>
      <c r="FSN83" s="499"/>
      <c r="FSO83" s="499"/>
      <c r="FSP83" s="499"/>
      <c r="FSQ83" s="499"/>
      <c r="FSR83" s="499"/>
      <c r="FSS83" s="499"/>
      <c r="FST83" s="499"/>
      <c r="FSU83" s="499"/>
      <c r="FSV83" s="499"/>
      <c r="FSW83" s="499"/>
      <c r="FSX83" s="499"/>
      <c r="FSY83" s="499"/>
      <c r="FSZ83" s="499"/>
      <c r="FTA83" s="499"/>
      <c r="FTB83" s="499"/>
      <c r="FTC83" s="499"/>
      <c r="FTD83" s="499"/>
      <c r="FTE83" s="499"/>
      <c r="FTF83" s="499"/>
      <c r="FTG83" s="499"/>
      <c r="FTH83" s="499"/>
      <c r="FTI83" s="499"/>
      <c r="FTJ83" s="499"/>
      <c r="FTK83" s="499"/>
      <c r="FTL83" s="499"/>
      <c r="FTM83" s="499"/>
      <c r="FTN83" s="499"/>
      <c r="FTO83" s="499"/>
      <c r="FTP83" s="499"/>
      <c r="FTQ83" s="499"/>
      <c r="FTR83" s="499"/>
      <c r="FTS83" s="499"/>
      <c r="FTT83" s="499"/>
      <c r="FTU83" s="499"/>
      <c r="FTV83" s="499"/>
      <c r="FTW83" s="499"/>
      <c r="FTX83" s="499"/>
      <c r="FTY83" s="499"/>
      <c r="FTZ83" s="499"/>
      <c r="FUA83" s="499"/>
      <c r="FUB83" s="499"/>
      <c r="FUC83" s="499"/>
      <c r="FUD83" s="499"/>
      <c r="FUE83" s="499"/>
      <c r="FUF83" s="499"/>
      <c r="FUG83" s="499"/>
      <c r="FUH83" s="499"/>
      <c r="FUI83" s="499"/>
      <c r="FUJ83" s="499"/>
      <c r="FUK83" s="499"/>
      <c r="FUL83" s="499"/>
      <c r="FUM83" s="499"/>
      <c r="FUN83" s="499"/>
      <c r="FUO83" s="499"/>
      <c r="FUP83" s="499"/>
      <c r="FUQ83" s="499"/>
      <c r="FUR83" s="499"/>
      <c r="FUS83" s="499"/>
      <c r="FUT83" s="499"/>
      <c r="FUU83" s="499"/>
      <c r="FUV83" s="499"/>
      <c r="FUW83" s="499"/>
      <c r="FUX83" s="499"/>
      <c r="FUY83" s="499"/>
      <c r="FUZ83" s="499"/>
      <c r="FVA83" s="499"/>
      <c r="FVB83" s="499"/>
      <c r="FVC83" s="499"/>
      <c r="FVD83" s="499"/>
      <c r="FVE83" s="499"/>
      <c r="FVF83" s="499"/>
      <c r="FVG83" s="499"/>
      <c r="FVH83" s="499"/>
      <c r="FVI83" s="499"/>
      <c r="FVJ83" s="499"/>
      <c r="FVK83" s="499"/>
      <c r="FVL83" s="499"/>
      <c r="FVM83" s="499"/>
      <c r="FVN83" s="499"/>
      <c r="FVO83" s="499"/>
      <c r="FVP83" s="499"/>
      <c r="FVQ83" s="499"/>
      <c r="FVR83" s="499"/>
      <c r="FVS83" s="499"/>
      <c r="FVT83" s="499"/>
      <c r="FVU83" s="499"/>
      <c r="FVV83" s="499"/>
      <c r="FVW83" s="499"/>
      <c r="FVX83" s="499"/>
      <c r="FVY83" s="499"/>
      <c r="FVZ83" s="499"/>
      <c r="FWA83" s="499"/>
      <c r="FWB83" s="499"/>
      <c r="FWC83" s="499"/>
      <c r="FWD83" s="499"/>
      <c r="FWE83" s="499"/>
      <c r="FWF83" s="499"/>
      <c r="FWG83" s="499"/>
      <c r="FWH83" s="499"/>
      <c r="FWI83" s="499"/>
      <c r="FWJ83" s="499"/>
      <c r="FWK83" s="499"/>
      <c r="FWL83" s="499"/>
      <c r="FWM83" s="499"/>
      <c r="FWN83" s="499"/>
      <c r="FWO83" s="499"/>
      <c r="FWP83" s="499"/>
      <c r="FWQ83" s="499"/>
      <c r="FWR83" s="499"/>
      <c r="FWS83" s="499"/>
      <c r="FWT83" s="499"/>
      <c r="FWU83" s="499"/>
      <c r="FWV83" s="499"/>
      <c r="FWW83" s="499"/>
      <c r="FWX83" s="499"/>
      <c r="FWY83" s="499"/>
      <c r="FWZ83" s="499"/>
      <c r="FXA83" s="499"/>
      <c r="FXB83" s="499"/>
      <c r="FXC83" s="499"/>
      <c r="FXD83" s="499"/>
      <c r="FXE83" s="499"/>
      <c r="FXF83" s="499"/>
      <c r="FXG83" s="499"/>
      <c r="FXH83" s="499"/>
      <c r="FXI83" s="499"/>
      <c r="FXJ83" s="499"/>
      <c r="FXK83" s="499"/>
      <c r="FXL83" s="499"/>
      <c r="FXM83" s="499"/>
      <c r="FXN83" s="499"/>
      <c r="FXO83" s="499"/>
      <c r="FXP83" s="499"/>
      <c r="FXQ83" s="499"/>
      <c r="FXR83" s="499"/>
      <c r="FXS83" s="499"/>
      <c r="FXT83" s="499"/>
      <c r="FXU83" s="499"/>
      <c r="FXV83" s="499"/>
      <c r="FXW83" s="499"/>
      <c r="FXX83" s="499"/>
      <c r="FXY83" s="499"/>
      <c r="FXZ83" s="499"/>
      <c r="FYA83" s="499"/>
      <c r="FYB83" s="499"/>
      <c r="FYC83" s="499"/>
      <c r="FYD83" s="499"/>
      <c r="FYE83" s="499"/>
      <c r="FYF83" s="499"/>
      <c r="FYG83" s="499"/>
      <c r="FYH83" s="499"/>
      <c r="FYI83" s="499"/>
      <c r="FYJ83" s="499"/>
      <c r="FYK83" s="499"/>
      <c r="FYL83" s="499"/>
      <c r="FYM83" s="499"/>
      <c r="FYN83" s="499"/>
      <c r="FYO83" s="499"/>
      <c r="FYP83" s="499"/>
      <c r="FYQ83" s="499"/>
      <c r="FYR83" s="499"/>
      <c r="FYS83" s="499"/>
      <c r="FYT83" s="499"/>
      <c r="FYU83" s="499"/>
      <c r="FYV83" s="499"/>
      <c r="FYW83" s="499"/>
      <c r="FYX83" s="499"/>
      <c r="FYY83" s="499"/>
      <c r="FYZ83" s="499"/>
      <c r="FZA83" s="499"/>
      <c r="FZB83" s="499"/>
      <c r="FZC83" s="499"/>
      <c r="FZD83" s="499"/>
      <c r="FZE83" s="499"/>
      <c r="FZF83" s="499"/>
      <c r="FZG83" s="499"/>
      <c r="FZH83" s="499"/>
      <c r="FZI83" s="499"/>
      <c r="FZJ83" s="499"/>
      <c r="FZK83" s="499"/>
      <c r="FZL83" s="499"/>
      <c r="FZM83" s="499"/>
      <c r="FZN83" s="499"/>
      <c r="FZO83" s="499"/>
      <c r="FZP83" s="499"/>
      <c r="FZQ83" s="499"/>
      <c r="FZR83" s="499"/>
      <c r="FZS83" s="499"/>
      <c r="FZT83" s="499"/>
      <c r="FZU83" s="499"/>
      <c r="FZV83" s="499"/>
      <c r="FZW83" s="499"/>
      <c r="FZX83" s="499"/>
      <c r="FZY83" s="499"/>
      <c r="FZZ83" s="499"/>
      <c r="GAA83" s="499"/>
      <c r="GAB83" s="499"/>
      <c r="GAC83" s="499"/>
      <c r="GAD83" s="499"/>
      <c r="GAE83" s="499"/>
      <c r="GAF83" s="499"/>
      <c r="GAG83" s="499"/>
      <c r="GAH83" s="499"/>
      <c r="GAI83" s="499"/>
      <c r="GAJ83" s="499"/>
      <c r="GAK83" s="499"/>
      <c r="GAL83" s="499"/>
      <c r="GAM83" s="499"/>
      <c r="GAN83" s="499"/>
      <c r="GAO83" s="499"/>
      <c r="GAP83" s="499"/>
      <c r="GAQ83" s="499"/>
      <c r="GAR83" s="499"/>
      <c r="GAS83" s="499"/>
      <c r="GAT83" s="499"/>
      <c r="GAU83" s="499"/>
      <c r="GAV83" s="499"/>
      <c r="GAW83" s="499"/>
      <c r="GAX83" s="499"/>
      <c r="GAY83" s="499"/>
      <c r="GAZ83" s="499"/>
      <c r="GBA83" s="499"/>
      <c r="GBB83" s="499"/>
      <c r="GBC83" s="499"/>
      <c r="GBD83" s="499"/>
      <c r="GBE83" s="499"/>
      <c r="GBF83" s="499"/>
      <c r="GBG83" s="499"/>
      <c r="GBH83" s="499"/>
      <c r="GBI83" s="499"/>
      <c r="GBJ83" s="499"/>
      <c r="GBK83" s="499"/>
      <c r="GBL83" s="499"/>
      <c r="GBM83" s="499"/>
      <c r="GBN83" s="499"/>
      <c r="GBO83" s="499"/>
      <c r="GBP83" s="499"/>
      <c r="GBQ83" s="499"/>
      <c r="GBR83" s="499"/>
      <c r="GBS83" s="499"/>
      <c r="GBT83" s="499"/>
      <c r="GBU83" s="499"/>
      <c r="GBV83" s="499"/>
      <c r="GBW83" s="499"/>
      <c r="GBX83" s="499"/>
      <c r="GBY83" s="499"/>
      <c r="GBZ83" s="499"/>
      <c r="GCA83" s="499"/>
      <c r="GCB83" s="499"/>
      <c r="GCC83" s="499"/>
      <c r="GCD83" s="499"/>
      <c r="GCE83" s="499"/>
      <c r="GCF83" s="499"/>
      <c r="GCG83" s="499"/>
      <c r="GCH83" s="499"/>
      <c r="GCI83" s="499"/>
      <c r="GCJ83" s="499"/>
      <c r="GCK83" s="499"/>
      <c r="GCL83" s="499"/>
      <c r="GCM83" s="499"/>
      <c r="GCN83" s="499"/>
      <c r="GCO83" s="499"/>
      <c r="GCP83" s="499"/>
      <c r="GCQ83" s="499"/>
      <c r="GCR83" s="499"/>
      <c r="GCS83" s="499"/>
      <c r="GCT83" s="499"/>
      <c r="GCU83" s="499"/>
      <c r="GCV83" s="499"/>
      <c r="GCW83" s="499"/>
      <c r="GCX83" s="499"/>
      <c r="GCY83" s="499"/>
      <c r="GCZ83" s="499"/>
      <c r="GDA83" s="499"/>
      <c r="GDB83" s="499"/>
      <c r="GDC83" s="499"/>
      <c r="GDD83" s="499"/>
      <c r="GDE83" s="499"/>
      <c r="GDF83" s="499"/>
      <c r="GDG83" s="499"/>
      <c r="GDH83" s="499"/>
      <c r="GDI83" s="499"/>
      <c r="GDJ83" s="499"/>
      <c r="GDK83" s="499"/>
      <c r="GDL83" s="499"/>
      <c r="GDM83" s="499"/>
      <c r="GDN83" s="499"/>
      <c r="GDO83" s="499"/>
      <c r="GDP83" s="499"/>
      <c r="GDQ83" s="499"/>
      <c r="GDR83" s="499"/>
      <c r="GDS83" s="499"/>
      <c r="GDT83" s="499"/>
      <c r="GDU83" s="499"/>
      <c r="GDV83" s="499"/>
      <c r="GDW83" s="499"/>
      <c r="GDX83" s="499"/>
      <c r="GDY83" s="499"/>
      <c r="GDZ83" s="499"/>
      <c r="GEA83" s="499"/>
      <c r="GEB83" s="499"/>
      <c r="GEC83" s="499"/>
      <c r="GED83" s="499"/>
      <c r="GEE83" s="499"/>
      <c r="GEF83" s="499"/>
      <c r="GEG83" s="499"/>
      <c r="GEH83" s="499"/>
      <c r="GEI83" s="499"/>
      <c r="GEJ83" s="499"/>
      <c r="GEK83" s="499"/>
      <c r="GEL83" s="499"/>
      <c r="GEM83" s="499"/>
      <c r="GEN83" s="499"/>
      <c r="GEO83" s="499"/>
      <c r="GEP83" s="499"/>
      <c r="GEQ83" s="499"/>
      <c r="GER83" s="499"/>
      <c r="GES83" s="499"/>
      <c r="GET83" s="499"/>
      <c r="GEU83" s="499"/>
      <c r="GEV83" s="499"/>
      <c r="GEW83" s="499"/>
      <c r="GEX83" s="499"/>
      <c r="GEY83" s="499"/>
      <c r="GEZ83" s="499"/>
      <c r="GFA83" s="499"/>
      <c r="GFB83" s="499"/>
      <c r="GFC83" s="499"/>
      <c r="GFD83" s="499"/>
      <c r="GFE83" s="499"/>
      <c r="GFF83" s="499"/>
      <c r="GFG83" s="499"/>
      <c r="GFH83" s="499"/>
      <c r="GFI83" s="499"/>
      <c r="GFJ83" s="499"/>
      <c r="GFK83" s="499"/>
      <c r="GFL83" s="499"/>
      <c r="GFM83" s="499"/>
      <c r="GFN83" s="499"/>
      <c r="GFO83" s="499"/>
      <c r="GFP83" s="499"/>
      <c r="GFQ83" s="499"/>
      <c r="GFR83" s="499"/>
      <c r="GFS83" s="499"/>
      <c r="GFT83" s="499"/>
      <c r="GFU83" s="499"/>
      <c r="GFV83" s="499"/>
      <c r="GFW83" s="499"/>
      <c r="GFX83" s="499"/>
      <c r="GFY83" s="499"/>
      <c r="GFZ83" s="499"/>
      <c r="GGA83" s="499"/>
      <c r="GGB83" s="499"/>
      <c r="GGC83" s="499"/>
      <c r="GGD83" s="499"/>
      <c r="GGE83" s="499"/>
      <c r="GGF83" s="499"/>
      <c r="GGG83" s="499"/>
      <c r="GGH83" s="499"/>
      <c r="GGI83" s="499"/>
      <c r="GGJ83" s="499"/>
      <c r="GGK83" s="499"/>
      <c r="GGL83" s="499"/>
      <c r="GGM83" s="499"/>
      <c r="GGN83" s="499"/>
      <c r="GGO83" s="499"/>
      <c r="GGP83" s="499"/>
      <c r="GGQ83" s="499"/>
      <c r="GGR83" s="499"/>
      <c r="GGS83" s="499"/>
      <c r="GGT83" s="499"/>
      <c r="GGU83" s="499"/>
      <c r="GGV83" s="499"/>
      <c r="GGW83" s="499"/>
      <c r="GGX83" s="499"/>
      <c r="GGY83" s="499"/>
      <c r="GGZ83" s="499"/>
      <c r="GHA83" s="499"/>
      <c r="GHB83" s="499"/>
      <c r="GHC83" s="499"/>
      <c r="GHD83" s="499"/>
      <c r="GHE83" s="499"/>
      <c r="GHF83" s="499"/>
      <c r="GHG83" s="499"/>
      <c r="GHH83" s="499"/>
      <c r="GHI83" s="499"/>
      <c r="GHJ83" s="499"/>
      <c r="GHK83" s="499"/>
      <c r="GHL83" s="499"/>
      <c r="GHM83" s="499"/>
      <c r="GHN83" s="499"/>
      <c r="GHO83" s="499"/>
      <c r="GHP83" s="499"/>
      <c r="GHQ83" s="499"/>
      <c r="GHR83" s="499"/>
      <c r="GHS83" s="499"/>
      <c r="GHT83" s="499"/>
      <c r="GHU83" s="499"/>
      <c r="GHV83" s="499"/>
      <c r="GHW83" s="499"/>
      <c r="GHX83" s="499"/>
      <c r="GHY83" s="499"/>
      <c r="GHZ83" s="499"/>
      <c r="GIA83" s="499"/>
      <c r="GIB83" s="499"/>
      <c r="GIC83" s="499"/>
      <c r="GID83" s="499"/>
      <c r="GIE83" s="499"/>
      <c r="GIF83" s="499"/>
      <c r="GIG83" s="499"/>
      <c r="GIH83" s="499"/>
      <c r="GII83" s="499"/>
      <c r="GIJ83" s="499"/>
      <c r="GIK83" s="499"/>
      <c r="GIL83" s="499"/>
      <c r="GIM83" s="499"/>
      <c r="GIN83" s="499"/>
      <c r="GIO83" s="499"/>
      <c r="GIP83" s="499"/>
      <c r="GIQ83" s="499"/>
      <c r="GIR83" s="499"/>
      <c r="GIS83" s="499"/>
      <c r="GIT83" s="499"/>
      <c r="GIU83" s="499"/>
      <c r="GIV83" s="499"/>
      <c r="GIW83" s="499"/>
      <c r="GIX83" s="499"/>
      <c r="GIY83" s="499"/>
      <c r="GIZ83" s="499"/>
      <c r="GJA83" s="499"/>
      <c r="GJB83" s="499"/>
      <c r="GJC83" s="499"/>
      <c r="GJD83" s="499"/>
      <c r="GJE83" s="499"/>
      <c r="GJF83" s="499"/>
      <c r="GJG83" s="499"/>
      <c r="GJH83" s="499"/>
      <c r="GJI83" s="499"/>
      <c r="GJJ83" s="499"/>
      <c r="GJK83" s="499"/>
      <c r="GJL83" s="499"/>
      <c r="GJM83" s="499"/>
      <c r="GJN83" s="499"/>
      <c r="GJO83" s="499"/>
      <c r="GJP83" s="499"/>
      <c r="GJQ83" s="499"/>
      <c r="GJR83" s="499"/>
      <c r="GJS83" s="499"/>
      <c r="GJT83" s="499"/>
      <c r="GJU83" s="499"/>
      <c r="GJV83" s="499"/>
      <c r="GJW83" s="499"/>
      <c r="GJX83" s="499"/>
      <c r="GJY83" s="499"/>
      <c r="GJZ83" s="499"/>
      <c r="GKA83" s="499"/>
      <c r="GKB83" s="499"/>
      <c r="GKC83" s="499"/>
      <c r="GKD83" s="499"/>
      <c r="GKE83" s="499"/>
      <c r="GKF83" s="499"/>
      <c r="GKG83" s="499"/>
      <c r="GKH83" s="499"/>
      <c r="GKI83" s="499"/>
      <c r="GKJ83" s="499"/>
      <c r="GKK83" s="499"/>
      <c r="GKL83" s="499"/>
      <c r="GKM83" s="499"/>
      <c r="GKN83" s="499"/>
      <c r="GKO83" s="499"/>
      <c r="GKP83" s="499"/>
      <c r="GKQ83" s="499"/>
      <c r="GKR83" s="499"/>
      <c r="GKS83" s="499"/>
      <c r="GKT83" s="499"/>
      <c r="GKU83" s="499"/>
      <c r="GKV83" s="499"/>
      <c r="GKW83" s="499"/>
      <c r="GKX83" s="499"/>
      <c r="GKY83" s="499"/>
      <c r="GKZ83" s="499"/>
      <c r="GLA83" s="499"/>
      <c r="GLB83" s="499"/>
      <c r="GLC83" s="499"/>
      <c r="GLD83" s="499"/>
      <c r="GLE83" s="499"/>
      <c r="GLF83" s="499"/>
      <c r="GLG83" s="499"/>
      <c r="GLH83" s="499"/>
      <c r="GLI83" s="499"/>
      <c r="GLJ83" s="499"/>
      <c r="GLK83" s="499"/>
      <c r="GLL83" s="499"/>
      <c r="GLM83" s="499"/>
      <c r="GLN83" s="499"/>
      <c r="GLO83" s="499"/>
      <c r="GLP83" s="499"/>
      <c r="GLQ83" s="499"/>
      <c r="GLR83" s="499"/>
      <c r="GLS83" s="499"/>
      <c r="GLT83" s="499"/>
      <c r="GLU83" s="499"/>
      <c r="GLV83" s="499"/>
      <c r="GLW83" s="499"/>
      <c r="GLX83" s="499"/>
      <c r="GLY83" s="499"/>
      <c r="GLZ83" s="499"/>
      <c r="GMA83" s="499"/>
      <c r="GMB83" s="499"/>
      <c r="GMC83" s="499"/>
      <c r="GMD83" s="499"/>
      <c r="GME83" s="499"/>
      <c r="GMF83" s="499"/>
      <c r="GMG83" s="499"/>
      <c r="GMH83" s="499"/>
      <c r="GMI83" s="499"/>
      <c r="GMJ83" s="499"/>
      <c r="GMK83" s="499"/>
      <c r="GML83" s="499"/>
      <c r="GMM83" s="499"/>
      <c r="GMN83" s="499"/>
      <c r="GMO83" s="499"/>
      <c r="GMP83" s="499"/>
      <c r="GMQ83" s="499"/>
      <c r="GMR83" s="499"/>
      <c r="GMS83" s="499"/>
      <c r="GMT83" s="499"/>
      <c r="GMU83" s="499"/>
      <c r="GMV83" s="499"/>
      <c r="GMW83" s="499"/>
      <c r="GMX83" s="499"/>
      <c r="GMY83" s="499"/>
      <c r="GMZ83" s="499"/>
      <c r="GNA83" s="499"/>
      <c r="GNB83" s="499"/>
      <c r="GNC83" s="499"/>
      <c r="GND83" s="499"/>
      <c r="GNE83" s="499"/>
      <c r="GNF83" s="499"/>
      <c r="GNG83" s="499"/>
      <c r="GNH83" s="499"/>
      <c r="GNI83" s="499"/>
      <c r="GNJ83" s="499"/>
      <c r="GNK83" s="499"/>
      <c r="GNL83" s="499"/>
      <c r="GNM83" s="499"/>
      <c r="GNN83" s="499"/>
      <c r="GNO83" s="499"/>
      <c r="GNP83" s="499"/>
      <c r="GNQ83" s="499"/>
      <c r="GNR83" s="499"/>
      <c r="GNS83" s="499"/>
      <c r="GNT83" s="499"/>
      <c r="GNU83" s="499"/>
      <c r="GNV83" s="499"/>
      <c r="GNW83" s="499"/>
      <c r="GNX83" s="499"/>
      <c r="GNY83" s="499"/>
      <c r="GNZ83" s="499"/>
      <c r="GOA83" s="499"/>
      <c r="GOB83" s="499"/>
      <c r="GOC83" s="499"/>
      <c r="GOD83" s="499"/>
      <c r="GOE83" s="499"/>
      <c r="GOF83" s="499"/>
      <c r="GOG83" s="499"/>
      <c r="GOH83" s="499"/>
      <c r="GOI83" s="499"/>
      <c r="GOJ83" s="499"/>
      <c r="GOK83" s="499"/>
      <c r="GOL83" s="499"/>
      <c r="GOM83" s="499"/>
      <c r="GON83" s="499"/>
      <c r="GOO83" s="499"/>
      <c r="GOP83" s="499"/>
      <c r="GOQ83" s="499"/>
      <c r="GOR83" s="499"/>
      <c r="GOS83" s="499"/>
      <c r="GOT83" s="499"/>
      <c r="GOU83" s="499"/>
      <c r="GOV83" s="499"/>
      <c r="GOW83" s="499"/>
      <c r="GOX83" s="499"/>
      <c r="GOY83" s="499"/>
      <c r="GOZ83" s="499"/>
      <c r="GPA83" s="499"/>
      <c r="GPB83" s="499"/>
      <c r="GPC83" s="499"/>
      <c r="GPD83" s="499"/>
      <c r="GPE83" s="499"/>
      <c r="GPF83" s="499"/>
      <c r="GPG83" s="499"/>
      <c r="GPH83" s="499"/>
      <c r="GPI83" s="499"/>
      <c r="GPJ83" s="499"/>
      <c r="GPK83" s="499"/>
      <c r="GPL83" s="499"/>
      <c r="GPM83" s="499"/>
      <c r="GPN83" s="499"/>
      <c r="GPO83" s="499"/>
      <c r="GPP83" s="499"/>
      <c r="GPQ83" s="499"/>
      <c r="GPR83" s="499"/>
      <c r="GPS83" s="499"/>
      <c r="GPT83" s="499"/>
      <c r="GPU83" s="499"/>
      <c r="GPV83" s="499"/>
      <c r="GPW83" s="499"/>
      <c r="GPX83" s="499"/>
      <c r="GPY83" s="499"/>
      <c r="GPZ83" s="499"/>
      <c r="GQA83" s="499"/>
      <c r="GQB83" s="499"/>
      <c r="GQC83" s="499"/>
      <c r="GQD83" s="499"/>
      <c r="GQE83" s="499"/>
      <c r="GQF83" s="499"/>
      <c r="GQG83" s="499"/>
      <c r="GQH83" s="499"/>
      <c r="GQI83" s="499"/>
      <c r="GQJ83" s="499"/>
      <c r="GQK83" s="499"/>
      <c r="GQL83" s="499"/>
      <c r="GQM83" s="499"/>
      <c r="GQN83" s="499"/>
      <c r="GQO83" s="499"/>
      <c r="GQP83" s="499"/>
      <c r="GQQ83" s="499"/>
      <c r="GQR83" s="499"/>
      <c r="GQS83" s="499"/>
      <c r="GQT83" s="499"/>
      <c r="GQU83" s="499"/>
      <c r="GQV83" s="499"/>
      <c r="GQW83" s="499"/>
      <c r="GQX83" s="499"/>
      <c r="GQY83" s="499"/>
      <c r="GQZ83" s="499"/>
      <c r="GRA83" s="499"/>
      <c r="GRB83" s="499"/>
      <c r="GRC83" s="499"/>
      <c r="GRD83" s="499"/>
      <c r="GRE83" s="499"/>
      <c r="GRF83" s="499"/>
      <c r="GRG83" s="499"/>
      <c r="GRH83" s="499"/>
      <c r="GRI83" s="499"/>
      <c r="GRJ83" s="499"/>
      <c r="GRK83" s="499"/>
      <c r="GRL83" s="499"/>
      <c r="GRM83" s="499"/>
      <c r="GRN83" s="499"/>
      <c r="GRO83" s="499"/>
      <c r="GRP83" s="499"/>
      <c r="GRQ83" s="499"/>
      <c r="GRR83" s="499"/>
      <c r="GRS83" s="499"/>
      <c r="GRT83" s="499"/>
      <c r="GRU83" s="499"/>
      <c r="GRV83" s="499"/>
      <c r="GRW83" s="499"/>
      <c r="GRX83" s="499"/>
      <c r="GRY83" s="499"/>
      <c r="GRZ83" s="499"/>
      <c r="GSA83" s="499"/>
      <c r="GSB83" s="499"/>
      <c r="GSC83" s="499"/>
      <c r="GSD83" s="499"/>
      <c r="GSE83" s="499"/>
      <c r="GSF83" s="499"/>
      <c r="GSG83" s="499"/>
      <c r="GSH83" s="499"/>
      <c r="GSI83" s="499"/>
      <c r="GSJ83" s="499"/>
      <c r="GSK83" s="499"/>
      <c r="GSL83" s="499"/>
      <c r="GSM83" s="499"/>
      <c r="GSN83" s="499"/>
      <c r="GSO83" s="499"/>
      <c r="GSP83" s="499"/>
      <c r="GSQ83" s="499"/>
      <c r="GSR83" s="499"/>
      <c r="GSS83" s="499"/>
      <c r="GST83" s="499"/>
      <c r="GSU83" s="499"/>
      <c r="GSV83" s="499"/>
      <c r="GSW83" s="499"/>
      <c r="GSX83" s="499"/>
      <c r="GSY83" s="499"/>
      <c r="GSZ83" s="499"/>
      <c r="GTA83" s="499"/>
      <c r="GTB83" s="499"/>
      <c r="GTC83" s="499"/>
      <c r="GTD83" s="499"/>
      <c r="GTE83" s="499"/>
      <c r="GTF83" s="499"/>
      <c r="GTG83" s="499"/>
      <c r="GTH83" s="499"/>
      <c r="GTI83" s="499"/>
      <c r="GTJ83" s="499"/>
      <c r="GTK83" s="499"/>
      <c r="GTL83" s="499"/>
      <c r="GTM83" s="499"/>
      <c r="GTN83" s="499"/>
      <c r="GTO83" s="499"/>
      <c r="GTP83" s="499"/>
      <c r="GTQ83" s="499"/>
      <c r="GTR83" s="499"/>
      <c r="GTS83" s="499"/>
      <c r="GTT83" s="499"/>
      <c r="GTU83" s="499"/>
      <c r="GTV83" s="499"/>
      <c r="GTW83" s="499"/>
      <c r="GTX83" s="499"/>
      <c r="GTY83" s="499"/>
      <c r="GTZ83" s="499"/>
      <c r="GUA83" s="499"/>
      <c r="GUB83" s="499"/>
      <c r="GUC83" s="499"/>
      <c r="GUD83" s="499"/>
      <c r="GUE83" s="499"/>
      <c r="GUF83" s="499"/>
      <c r="GUG83" s="499"/>
      <c r="GUH83" s="499"/>
      <c r="GUI83" s="499"/>
      <c r="GUJ83" s="499"/>
      <c r="GUK83" s="499"/>
      <c r="GUL83" s="499"/>
      <c r="GUM83" s="499"/>
      <c r="GUN83" s="499"/>
      <c r="GUO83" s="499"/>
      <c r="GUP83" s="499"/>
      <c r="GUQ83" s="499"/>
      <c r="GUR83" s="499"/>
      <c r="GUS83" s="499"/>
      <c r="GUT83" s="499"/>
      <c r="GUU83" s="499"/>
      <c r="GUV83" s="499"/>
      <c r="GUW83" s="499"/>
      <c r="GUX83" s="499"/>
      <c r="GUY83" s="499"/>
      <c r="GUZ83" s="499"/>
      <c r="GVA83" s="499"/>
      <c r="GVB83" s="499"/>
      <c r="GVC83" s="499"/>
      <c r="GVD83" s="499"/>
      <c r="GVE83" s="499"/>
      <c r="GVF83" s="499"/>
      <c r="GVG83" s="499"/>
      <c r="GVH83" s="499"/>
      <c r="GVI83" s="499"/>
      <c r="GVJ83" s="499"/>
      <c r="GVK83" s="499"/>
      <c r="GVL83" s="499"/>
      <c r="GVM83" s="499"/>
      <c r="GVN83" s="499"/>
      <c r="GVO83" s="499"/>
      <c r="GVP83" s="499"/>
      <c r="GVQ83" s="499"/>
      <c r="GVR83" s="499"/>
      <c r="GVS83" s="499"/>
      <c r="GVT83" s="499"/>
      <c r="GVU83" s="499"/>
      <c r="GVV83" s="499"/>
      <c r="GVW83" s="499"/>
      <c r="GVX83" s="499"/>
      <c r="GVY83" s="499"/>
      <c r="GVZ83" s="499"/>
      <c r="GWA83" s="499"/>
      <c r="GWB83" s="499"/>
      <c r="GWC83" s="499"/>
      <c r="GWD83" s="499"/>
      <c r="GWE83" s="499"/>
      <c r="GWF83" s="499"/>
      <c r="GWG83" s="499"/>
      <c r="GWH83" s="499"/>
      <c r="GWI83" s="499"/>
      <c r="GWJ83" s="499"/>
      <c r="GWK83" s="499"/>
      <c r="GWL83" s="499"/>
      <c r="GWM83" s="499"/>
      <c r="GWN83" s="499"/>
      <c r="GWO83" s="499"/>
      <c r="GWP83" s="499"/>
      <c r="GWQ83" s="499"/>
      <c r="GWR83" s="499"/>
      <c r="GWS83" s="499"/>
      <c r="GWT83" s="499"/>
      <c r="GWU83" s="499"/>
      <c r="GWV83" s="499"/>
      <c r="GWW83" s="499"/>
      <c r="GWX83" s="499"/>
      <c r="GWY83" s="499"/>
      <c r="GWZ83" s="499"/>
      <c r="GXA83" s="499"/>
      <c r="GXB83" s="499"/>
      <c r="GXC83" s="499"/>
      <c r="GXD83" s="499"/>
      <c r="GXE83" s="499"/>
      <c r="GXF83" s="499"/>
      <c r="GXG83" s="499"/>
      <c r="GXH83" s="499"/>
      <c r="GXI83" s="499"/>
      <c r="GXJ83" s="499"/>
      <c r="GXK83" s="499"/>
      <c r="GXL83" s="499"/>
      <c r="GXM83" s="499"/>
      <c r="GXN83" s="499"/>
      <c r="GXO83" s="499"/>
      <c r="GXP83" s="499"/>
      <c r="GXQ83" s="499"/>
      <c r="GXR83" s="499"/>
      <c r="GXS83" s="499"/>
      <c r="GXT83" s="499"/>
      <c r="GXU83" s="499"/>
      <c r="GXV83" s="499"/>
      <c r="GXW83" s="499"/>
      <c r="GXX83" s="499"/>
      <c r="GXY83" s="499"/>
      <c r="GXZ83" s="499"/>
      <c r="GYA83" s="499"/>
      <c r="GYB83" s="499"/>
      <c r="GYC83" s="499"/>
      <c r="GYD83" s="499"/>
      <c r="GYE83" s="499"/>
      <c r="GYF83" s="499"/>
      <c r="GYG83" s="499"/>
      <c r="GYH83" s="499"/>
      <c r="GYI83" s="499"/>
      <c r="GYJ83" s="499"/>
      <c r="GYK83" s="499"/>
      <c r="GYL83" s="499"/>
      <c r="GYM83" s="499"/>
      <c r="GYN83" s="499"/>
      <c r="GYO83" s="499"/>
      <c r="GYP83" s="499"/>
      <c r="GYQ83" s="499"/>
      <c r="GYR83" s="499"/>
      <c r="GYS83" s="499"/>
      <c r="GYT83" s="499"/>
      <c r="GYU83" s="499"/>
      <c r="GYV83" s="499"/>
      <c r="GYW83" s="499"/>
      <c r="GYX83" s="499"/>
      <c r="GYY83" s="499"/>
      <c r="GYZ83" s="499"/>
      <c r="GZA83" s="499"/>
      <c r="GZB83" s="499"/>
      <c r="GZC83" s="499"/>
      <c r="GZD83" s="499"/>
      <c r="GZE83" s="499"/>
      <c r="GZF83" s="499"/>
      <c r="GZG83" s="499"/>
      <c r="GZH83" s="499"/>
      <c r="GZI83" s="499"/>
      <c r="GZJ83" s="499"/>
      <c r="GZK83" s="499"/>
      <c r="GZL83" s="499"/>
      <c r="GZM83" s="499"/>
      <c r="GZN83" s="499"/>
      <c r="GZO83" s="499"/>
      <c r="GZP83" s="499"/>
      <c r="GZQ83" s="499"/>
      <c r="GZR83" s="499"/>
      <c r="GZS83" s="499"/>
      <c r="GZT83" s="499"/>
      <c r="GZU83" s="499"/>
      <c r="GZV83" s="499"/>
      <c r="GZW83" s="499"/>
      <c r="GZX83" s="499"/>
      <c r="GZY83" s="499"/>
      <c r="GZZ83" s="499"/>
      <c r="HAA83" s="499"/>
      <c r="HAB83" s="499"/>
      <c r="HAC83" s="499"/>
      <c r="HAD83" s="499"/>
      <c r="HAE83" s="499"/>
      <c r="HAF83" s="499"/>
      <c r="HAG83" s="499"/>
      <c r="HAH83" s="499"/>
      <c r="HAI83" s="499"/>
      <c r="HAJ83" s="499"/>
      <c r="HAK83" s="499"/>
      <c r="HAL83" s="499"/>
      <c r="HAM83" s="499"/>
      <c r="HAN83" s="499"/>
      <c r="HAO83" s="499"/>
      <c r="HAP83" s="499"/>
      <c r="HAQ83" s="499"/>
      <c r="HAR83" s="499"/>
      <c r="HAS83" s="499"/>
      <c r="HAT83" s="499"/>
      <c r="HAU83" s="499"/>
      <c r="HAV83" s="499"/>
      <c r="HAW83" s="499"/>
      <c r="HAX83" s="499"/>
      <c r="HAY83" s="499"/>
      <c r="HAZ83" s="499"/>
      <c r="HBA83" s="499"/>
      <c r="HBB83" s="499"/>
      <c r="HBC83" s="499"/>
      <c r="HBD83" s="499"/>
      <c r="HBE83" s="499"/>
      <c r="HBF83" s="499"/>
      <c r="HBG83" s="499"/>
      <c r="HBH83" s="499"/>
      <c r="HBI83" s="499"/>
      <c r="HBJ83" s="499"/>
      <c r="HBK83" s="499"/>
      <c r="HBL83" s="499"/>
      <c r="HBM83" s="499"/>
      <c r="HBN83" s="499"/>
      <c r="HBO83" s="499"/>
      <c r="HBP83" s="499"/>
      <c r="HBQ83" s="499"/>
      <c r="HBR83" s="499"/>
      <c r="HBS83" s="499"/>
      <c r="HBT83" s="499"/>
      <c r="HBU83" s="499"/>
      <c r="HBV83" s="499"/>
      <c r="HBW83" s="499"/>
      <c r="HBX83" s="499"/>
      <c r="HBY83" s="499"/>
      <c r="HBZ83" s="499"/>
      <c r="HCA83" s="499"/>
      <c r="HCB83" s="499"/>
      <c r="HCC83" s="499"/>
      <c r="HCD83" s="499"/>
      <c r="HCE83" s="499"/>
      <c r="HCF83" s="499"/>
      <c r="HCG83" s="499"/>
      <c r="HCH83" s="499"/>
      <c r="HCI83" s="499"/>
      <c r="HCJ83" s="499"/>
      <c r="HCK83" s="499"/>
      <c r="HCL83" s="499"/>
      <c r="HCM83" s="499"/>
      <c r="HCN83" s="499"/>
      <c r="HCO83" s="499"/>
      <c r="HCP83" s="499"/>
      <c r="HCQ83" s="499"/>
      <c r="HCR83" s="499"/>
      <c r="HCS83" s="499"/>
      <c r="HCT83" s="499"/>
      <c r="HCU83" s="499"/>
      <c r="HCV83" s="499"/>
      <c r="HCW83" s="499"/>
      <c r="HCX83" s="499"/>
      <c r="HCY83" s="499"/>
      <c r="HCZ83" s="499"/>
      <c r="HDA83" s="499"/>
      <c r="HDB83" s="499"/>
      <c r="HDC83" s="499"/>
      <c r="HDD83" s="499"/>
      <c r="HDE83" s="499"/>
      <c r="HDF83" s="499"/>
      <c r="HDG83" s="499"/>
      <c r="HDH83" s="499"/>
      <c r="HDI83" s="499"/>
      <c r="HDJ83" s="499"/>
      <c r="HDK83" s="499"/>
      <c r="HDL83" s="499"/>
      <c r="HDM83" s="499"/>
      <c r="HDN83" s="499"/>
      <c r="HDO83" s="499"/>
      <c r="HDP83" s="499"/>
      <c r="HDQ83" s="499"/>
      <c r="HDR83" s="499"/>
      <c r="HDS83" s="499"/>
      <c r="HDT83" s="499"/>
      <c r="HDU83" s="499"/>
      <c r="HDV83" s="499"/>
      <c r="HDW83" s="499"/>
      <c r="HDX83" s="499"/>
      <c r="HDY83" s="499"/>
      <c r="HDZ83" s="499"/>
      <c r="HEA83" s="499"/>
      <c r="HEB83" s="499"/>
      <c r="HEC83" s="499"/>
      <c r="HED83" s="499"/>
      <c r="HEE83" s="499"/>
      <c r="HEF83" s="499"/>
      <c r="HEG83" s="499"/>
      <c r="HEH83" s="499"/>
      <c r="HEI83" s="499"/>
      <c r="HEJ83" s="499"/>
      <c r="HEK83" s="499"/>
      <c r="HEL83" s="499"/>
      <c r="HEM83" s="499"/>
      <c r="HEN83" s="499"/>
      <c r="HEO83" s="499"/>
      <c r="HEP83" s="499"/>
      <c r="HEQ83" s="499"/>
      <c r="HER83" s="499"/>
      <c r="HES83" s="499"/>
      <c r="HET83" s="499"/>
      <c r="HEU83" s="499"/>
      <c r="HEV83" s="499"/>
      <c r="HEW83" s="499"/>
      <c r="HEX83" s="499"/>
      <c r="HEY83" s="499"/>
      <c r="HEZ83" s="499"/>
      <c r="HFA83" s="499"/>
      <c r="HFB83" s="499"/>
      <c r="HFC83" s="499"/>
      <c r="HFD83" s="499"/>
      <c r="HFE83" s="499"/>
      <c r="HFF83" s="499"/>
      <c r="HFG83" s="499"/>
      <c r="HFH83" s="499"/>
      <c r="HFI83" s="499"/>
      <c r="HFJ83" s="499"/>
      <c r="HFK83" s="499"/>
      <c r="HFL83" s="499"/>
      <c r="HFM83" s="499"/>
      <c r="HFN83" s="499"/>
      <c r="HFO83" s="499"/>
      <c r="HFP83" s="499"/>
      <c r="HFQ83" s="499"/>
      <c r="HFR83" s="499"/>
      <c r="HFS83" s="499"/>
      <c r="HFT83" s="499"/>
      <c r="HFU83" s="499"/>
      <c r="HFV83" s="499"/>
      <c r="HFW83" s="499"/>
      <c r="HFX83" s="499"/>
      <c r="HFY83" s="499"/>
      <c r="HFZ83" s="499"/>
      <c r="HGA83" s="499"/>
      <c r="HGB83" s="499"/>
      <c r="HGC83" s="499"/>
      <c r="HGD83" s="499"/>
      <c r="HGE83" s="499"/>
      <c r="HGF83" s="499"/>
      <c r="HGG83" s="499"/>
      <c r="HGH83" s="499"/>
      <c r="HGI83" s="499"/>
      <c r="HGJ83" s="499"/>
      <c r="HGK83" s="499"/>
      <c r="HGL83" s="499"/>
      <c r="HGM83" s="499"/>
      <c r="HGN83" s="499"/>
      <c r="HGO83" s="499"/>
      <c r="HGP83" s="499"/>
      <c r="HGQ83" s="499"/>
      <c r="HGR83" s="499"/>
      <c r="HGS83" s="499"/>
      <c r="HGT83" s="499"/>
      <c r="HGU83" s="499"/>
      <c r="HGV83" s="499"/>
      <c r="HGW83" s="499"/>
      <c r="HGX83" s="499"/>
      <c r="HGY83" s="499"/>
      <c r="HGZ83" s="499"/>
      <c r="HHA83" s="499"/>
      <c r="HHB83" s="499"/>
      <c r="HHC83" s="499"/>
      <c r="HHD83" s="499"/>
      <c r="HHE83" s="499"/>
      <c r="HHF83" s="499"/>
      <c r="HHG83" s="499"/>
      <c r="HHH83" s="499"/>
      <c r="HHI83" s="499"/>
      <c r="HHJ83" s="499"/>
      <c r="HHK83" s="499"/>
      <c r="HHL83" s="499"/>
      <c r="HHM83" s="499"/>
      <c r="HHN83" s="499"/>
      <c r="HHO83" s="499"/>
      <c r="HHP83" s="499"/>
      <c r="HHQ83" s="499"/>
      <c r="HHR83" s="499"/>
      <c r="HHS83" s="499"/>
      <c r="HHT83" s="499"/>
      <c r="HHU83" s="499"/>
      <c r="HHV83" s="499"/>
      <c r="HHW83" s="499"/>
      <c r="HHX83" s="499"/>
      <c r="HHY83" s="499"/>
      <c r="HHZ83" s="499"/>
      <c r="HIA83" s="499"/>
      <c r="HIB83" s="499"/>
      <c r="HIC83" s="499"/>
      <c r="HID83" s="499"/>
      <c r="HIE83" s="499"/>
      <c r="HIF83" s="499"/>
      <c r="HIG83" s="499"/>
      <c r="HIH83" s="499"/>
      <c r="HII83" s="499"/>
      <c r="HIJ83" s="499"/>
      <c r="HIK83" s="499"/>
      <c r="HIL83" s="499"/>
      <c r="HIM83" s="499"/>
      <c r="HIN83" s="499"/>
      <c r="HIO83" s="499"/>
      <c r="HIP83" s="499"/>
      <c r="HIQ83" s="499"/>
      <c r="HIR83" s="499"/>
      <c r="HIS83" s="499"/>
      <c r="HIT83" s="499"/>
      <c r="HIU83" s="499"/>
      <c r="HIV83" s="499"/>
      <c r="HIW83" s="499"/>
      <c r="HIX83" s="499"/>
      <c r="HIY83" s="499"/>
      <c r="HIZ83" s="499"/>
      <c r="HJA83" s="499"/>
      <c r="HJB83" s="499"/>
      <c r="HJC83" s="499"/>
      <c r="HJD83" s="499"/>
      <c r="HJE83" s="499"/>
      <c r="HJF83" s="499"/>
      <c r="HJG83" s="499"/>
      <c r="HJH83" s="499"/>
      <c r="HJI83" s="499"/>
      <c r="HJJ83" s="499"/>
      <c r="HJK83" s="499"/>
      <c r="HJL83" s="499"/>
      <c r="HJM83" s="499"/>
      <c r="HJN83" s="499"/>
      <c r="HJO83" s="499"/>
      <c r="HJP83" s="499"/>
      <c r="HJQ83" s="499"/>
      <c r="HJR83" s="499"/>
      <c r="HJS83" s="499"/>
      <c r="HJT83" s="499"/>
      <c r="HJU83" s="499"/>
      <c r="HJV83" s="499"/>
      <c r="HJW83" s="499"/>
      <c r="HJX83" s="499"/>
      <c r="HJY83" s="499"/>
      <c r="HJZ83" s="499"/>
      <c r="HKA83" s="499"/>
      <c r="HKB83" s="499"/>
      <c r="HKC83" s="499"/>
      <c r="HKD83" s="499"/>
      <c r="HKE83" s="499"/>
      <c r="HKF83" s="499"/>
      <c r="HKG83" s="499"/>
      <c r="HKH83" s="499"/>
      <c r="HKI83" s="499"/>
      <c r="HKJ83" s="499"/>
      <c r="HKK83" s="499"/>
      <c r="HKL83" s="499"/>
      <c r="HKM83" s="499"/>
      <c r="HKN83" s="499"/>
      <c r="HKO83" s="499"/>
      <c r="HKP83" s="499"/>
      <c r="HKQ83" s="499"/>
      <c r="HKR83" s="499"/>
      <c r="HKS83" s="499"/>
      <c r="HKT83" s="499"/>
      <c r="HKU83" s="499"/>
      <c r="HKV83" s="499"/>
      <c r="HKW83" s="499"/>
      <c r="HKX83" s="499"/>
      <c r="HKY83" s="499"/>
      <c r="HKZ83" s="499"/>
      <c r="HLA83" s="499"/>
      <c r="HLB83" s="499"/>
      <c r="HLC83" s="499"/>
      <c r="HLD83" s="499"/>
      <c r="HLE83" s="499"/>
      <c r="HLF83" s="499"/>
      <c r="HLG83" s="499"/>
      <c r="HLH83" s="499"/>
      <c r="HLI83" s="499"/>
      <c r="HLJ83" s="499"/>
      <c r="HLK83" s="499"/>
      <c r="HLL83" s="499"/>
      <c r="HLM83" s="499"/>
      <c r="HLN83" s="499"/>
      <c r="HLO83" s="499"/>
      <c r="HLP83" s="499"/>
      <c r="HLQ83" s="499"/>
      <c r="HLR83" s="499"/>
      <c r="HLS83" s="499"/>
      <c r="HLT83" s="499"/>
      <c r="HLU83" s="499"/>
      <c r="HLV83" s="499"/>
      <c r="HLW83" s="499"/>
      <c r="HLX83" s="499"/>
      <c r="HLY83" s="499"/>
      <c r="HLZ83" s="499"/>
      <c r="HMA83" s="499"/>
      <c r="HMB83" s="499"/>
      <c r="HMC83" s="499"/>
      <c r="HMD83" s="499"/>
      <c r="HME83" s="499"/>
      <c r="HMF83" s="499"/>
      <c r="HMG83" s="499"/>
      <c r="HMH83" s="499"/>
      <c r="HMI83" s="499"/>
      <c r="HMJ83" s="499"/>
      <c r="HMK83" s="499"/>
      <c r="HML83" s="499"/>
      <c r="HMM83" s="499"/>
      <c r="HMN83" s="499"/>
      <c r="HMO83" s="499"/>
      <c r="HMP83" s="499"/>
      <c r="HMQ83" s="499"/>
      <c r="HMR83" s="499"/>
      <c r="HMS83" s="499"/>
      <c r="HMT83" s="499"/>
      <c r="HMU83" s="499"/>
      <c r="HMV83" s="499"/>
      <c r="HMW83" s="499"/>
      <c r="HMX83" s="499"/>
      <c r="HMY83" s="499"/>
      <c r="HMZ83" s="499"/>
      <c r="HNA83" s="499"/>
      <c r="HNB83" s="499"/>
      <c r="HNC83" s="499"/>
      <c r="HND83" s="499"/>
      <c r="HNE83" s="499"/>
      <c r="HNF83" s="499"/>
      <c r="HNG83" s="499"/>
      <c r="HNH83" s="499"/>
      <c r="HNI83" s="499"/>
      <c r="HNJ83" s="499"/>
      <c r="HNK83" s="499"/>
      <c r="HNL83" s="499"/>
      <c r="HNM83" s="499"/>
      <c r="HNN83" s="499"/>
      <c r="HNO83" s="499"/>
      <c r="HNP83" s="499"/>
      <c r="HNQ83" s="499"/>
      <c r="HNR83" s="499"/>
      <c r="HNS83" s="499"/>
      <c r="HNT83" s="499"/>
      <c r="HNU83" s="499"/>
      <c r="HNV83" s="499"/>
      <c r="HNW83" s="499"/>
      <c r="HNX83" s="499"/>
      <c r="HNY83" s="499"/>
      <c r="HNZ83" s="499"/>
      <c r="HOA83" s="499"/>
      <c r="HOB83" s="499"/>
      <c r="HOC83" s="499"/>
      <c r="HOD83" s="499"/>
      <c r="HOE83" s="499"/>
      <c r="HOF83" s="499"/>
      <c r="HOG83" s="499"/>
      <c r="HOH83" s="499"/>
      <c r="HOI83" s="499"/>
      <c r="HOJ83" s="499"/>
      <c r="HOK83" s="499"/>
      <c r="HOL83" s="499"/>
      <c r="HOM83" s="499"/>
      <c r="HON83" s="499"/>
      <c r="HOO83" s="499"/>
      <c r="HOP83" s="499"/>
      <c r="HOQ83" s="499"/>
      <c r="HOR83" s="499"/>
      <c r="HOS83" s="499"/>
      <c r="HOT83" s="499"/>
      <c r="HOU83" s="499"/>
      <c r="HOV83" s="499"/>
      <c r="HOW83" s="499"/>
      <c r="HOX83" s="499"/>
      <c r="HOY83" s="499"/>
      <c r="HOZ83" s="499"/>
      <c r="HPA83" s="499"/>
      <c r="HPB83" s="499"/>
      <c r="HPC83" s="499"/>
      <c r="HPD83" s="499"/>
      <c r="HPE83" s="499"/>
      <c r="HPF83" s="499"/>
      <c r="HPG83" s="499"/>
      <c r="HPH83" s="499"/>
      <c r="HPI83" s="499"/>
      <c r="HPJ83" s="499"/>
      <c r="HPK83" s="499"/>
      <c r="HPL83" s="499"/>
      <c r="HPM83" s="499"/>
      <c r="HPN83" s="499"/>
      <c r="HPO83" s="499"/>
      <c r="HPP83" s="499"/>
      <c r="HPQ83" s="499"/>
      <c r="HPR83" s="499"/>
      <c r="HPS83" s="499"/>
      <c r="HPT83" s="499"/>
      <c r="HPU83" s="499"/>
      <c r="HPV83" s="499"/>
      <c r="HPW83" s="499"/>
      <c r="HPX83" s="499"/>
      <c r="HPY83" s="499"/>
      <c r="HPZ83" s="499"/>
      <c r="HQA83" s="499"/>
      <c r="HQB83" s="499"/>
      <c r="HQC83" s="499"/>
      <c r="HQD83" s="499"/>
      <c r="HQE83" s="499"/>
      <c r="HQF83" s="499"/>
      <c r="HQG83" s="499"/>
      <c r="HQH83" s="499"/>
      <c r="HQI83" s="499"/>
      <c r="HQJ83" s="499"/>
      <c r="HQK83" s="499"/>
      <c r="HQL83" s="499"/>
      <c r="HQM83" s="499"/>
      <c r="HQN83" s="499"/>
      <c r="HQO83" s="499"/>
      <c r="HQP83" s="499"/>
      <c r="HQQ83" s="499"/>
      <c r="HQR83" s="499"/>
      <c r="HQS83" s="499"/>
      <c r="HQT83" s="499"/>
      <c r="HQU83" s="499"/>
      <c r="HQV83" s="499"/>
      <c r="HQW83" s="499"/>
      <c r="HQX83" s="499"/>
      <c r="HQY83" s="499"/>
      <c r="HQZ83" s="499"/>
      <c r="HRA83" s="499"/>
      <c r="HRB83" s="499"/>
      <c r="HRC83" s="499"/>
      <c r="HRD83" s="499"/>
      <c r="HRE83" s="499"/>
      <c r="HRF83" s="499"/>
      <c r="HRG83" s="499"/>
      <c r="HRH83" s="499"/>
      <c r="HRI83" s="499"/>
      <c r="HRJ83" s="499"/>
      <c r="HRK83" s="499"/>
      <c r="HRL83" s="499"/>
      <c r="HRM83" s="499"/>
      <c r="HRN83" s="499"/>
      <c r="HRO83" s="499"/>
      <c r="HRP83" s="499"/>
      <c r="HRQ83" s="499"/>
      <c r="HRR83" s="499"/>
      <c r="HRS83" s="499"/>
      <c r="HRT83" s="499"/>
      <c r="HRU83" s="499"/>
      <c r="HRV83" s="499"/>
      <c r="HRW83" s="499"/>
      <c r="HRX83" s="499"/>
      <c r="HRY83" s="499"/>
      <c r="HRZ83" s="499"/>
      <c r="HSA83" s="499"/>
      <c r="HSB83" s="499"/>
      <c r="HSC83" s="499"/>
      <c r="HSD83" s="499"/>
      <c r="HSE83" s="499"/>
      <c r="HSF83" s="499"/>
      <c r="HSG83" s="499"/>
      <c r="HSH83" s="499"/>
      <c r="HSI83" s="499"/>
      <c r="HSJ83" s="499"/>
      <c r="HSK83" s="499"/>
      <c r="HSL83" s="499"/>
      <c r="HSM83" s="499"/>
      <c r="HSN83" s="499"/>
      <c r="HSO83" s="499"/>
      <c r="HSP83" s="499"/>
      <c r="HSQ83" s="499"/>
      <c r="HSR83" s="499"/>
      <c r="HSS83" s="499"/>
      <c r="HST83" s="499"/>
      <c r="HSU83" s="499"/>
      <c r="HSV83" s="499"/>
      <c r="HSW83" s="499"/>
      <c r="HSX83" s="499"/>
      <c r="HSY83" s="499"/>
      <c r="HSZ83" s="499"/>
      <c r="HTA83" s="499"/>
      <c r="HTB83" s="499"/>
      <c r="HTC83" s="499"/>
      <c r="HTD83" s="499"/>
      <c r="HTE83" s="499"/>
      <c r="HTF83" s="499"/>
      <c r="HTG83" s="499"/>
      <c r="HTH83" s="499"/>
      <c r="HTI83" s="499"/>
      <c r="HTJ83" s="499"/>
      <c r="HTK83" s="499"/>
      <c r="HTL83" s="499"/>
      <c r="HTM83" s="499"/>
      <c r="HTN83" s="499"/>
      <c r="HTO83" s="499"/>
      <c r="HTP83" s="499"/>
      <c r="HTQ83" s="499"/>
      <c r="HTR83" s="499"/>
      <c r="HTS83" s="499"/>
      <c r="HTT83" s="499"/>
      <c r="HTU83" s="499"/>
      <c r="HTV83" s="499"/>
      <c r="HTW83" s="499"/>
      <c r="HTX83" s="499"/>
      <c r="HTY83" s="499"/>
      <c r="HTZ83" s="499"/>
      <c r="HUA83" s="499"/>
      <c r="HUB83" s="499"/>
      <c r="HUC83" s="499"/>
      <c r="HUD83" s="499"/>
      <c r="HUE83" s="499"/>
      <c r="HUF83" s="499"/>
      <c r="HUG83" s="499"/>
      <c r="HUH83" s="499"/>
      <c r="HUI83" s="499"/>
      <c r="HUJ83" s="499"/>
      <c r="HUK83" s="499"/>
      <c r="HUL83" s="499"/>
      <c r="HUM83" s="499"/>
      <c r="HUN83" s="499"/>
      <c r="HUO83" s="499"/>
      <c r="HUP83" s="499"/>
      <c r="HUQ83" s="499"/>
      <c r="HUR83" s="499"/>
      <c r="HUS83" s="499"/>
      <c r="HUT83" s="499"/>
      <c r="HUU83" s="499"/>
      <c r="HUV83" s="499"/>
      <c r="HUW83" s="499"/>
      <c r="HUX83" s="499"/>
      <c r="HUY83" s="499"/>
      <c r="HUZ83" s="499"/>
      <c r="HVA83" s="499"/>
      <c r="HVB83" s="499"/>
      <c r="HVC83" s="499"/>
      <c r="HVD83" s="499"/>
      <c r="HVE83" s="499"/>
      <c r="HVF83" s="499"/>
      <c r="HVG83" s="499"/>
      <c r="HVH83" s="499"/>
      <c r="HVI83" s="499"/>
      <c r="HVJ83" s="499"/>
      <c r="HVK83" s="499"/>
      <c r="HVL83" s="499"/>
      <c r="HVM83" s="499"/>
      <c r="HVN83" s="499"/>
      <c r="HVO83" s="499"/>
      <c r="HVP83" s="499"/>
      <c r="HVQ83" s="499"/>
      <c r="HVR83" s="499"/>
      <c r="HVS83" s="499"/>
      <c r="HVT83" s="499"/>
      <c r="HVU83" s="499"/>
      <c r="HVV83" s="499"/>
      <c r="HVW83" s="499"/>
      <c r="HVX83" s="499"/>
      <c r="HVY83" s="499"/>
      <c r="HVZ83" s="499"/>
      <c r="HWA83" s="499"/>
      <c r="HWB83" s="499"/>
      <c r="HWC83" s="499"/>
      <c r="HWD83" s="499"/>
      <c r="HWE83" s="499"/>
      <c r="HWF83" s="499"/>
      <c r="HWG83" s="499"/>
      <c r="HWH83" s="499"/>
      <c r="HWI83" s="499"/>
      <c r="HWJ83" s="499"/>
      <c r="HWK83" s="499"/>
      <c r="HWL83" s="499"/>
      <c r="HWM83" s="499"/>
      <c r="HWN83" s="499"/>
      <c r="HWO83" s="499"/>
      <c r="HWP83" s="499"/>
      <c r="HWQ83" s="499"/>
      <c r="HWR83" s="499"/>
      <c r="HWS83" s="499"/>
      <c r="HWT83" s="499"/>
      <c r="HWU83" s="499"/>
      <c r="HWV83" s="499"/>
      <c r="HWW83" s="499"/>
      <c r="HWX83" s="499"/>
      <c r="HWY83" s="499"/>
      <c r="HWZ83" s="499"/>
      <c r="HXA83" s="499"/>
      <c r="HXB83" s="499"/>
      <c r="HXC83" s="499"/>
      <c r="HXD83" s="499"/>
      <c r="HXE83" s="499"/>
      <c r="HXF83" s="499"/>
      <c r="HXG83" s="499"/>
      <c r="HXH83" s="499"/>
      <c r="HXI83" s="499"/>
      <c r="HXJ83" s="499"/>
      <c r="HXK83" s="499"/>
      <c r="HXL83" s="499"/>
      <c r="HXM83" s="499"/>
      <c r="HXN83" s="499"/>
      <c r="HXO83" s="499"/>
      <c r="HXP83" s="499"/>
      <c r="HXQ83" s="499"/>
      <c r="HXR83" s="499"/>
      <c r="HXS83" s="499"/>
      <c r="HXT83" s="499"/>
      <c r="HXU83" s="499"/>
      <c r="HXV83" s="499"/>
      <c r="HXW83" s="499"/>
      <c r="HXX83" s="499"/>
      <c r="HXY83" s="499"/>
      <c r="HXZ83" s="499"/>
      <c r="HYA83" s="499"/>
      <c r="HYB83" s="499"/>
      <c r="HYC83" s="499"/>
      <c r="HYD83" s="499"/>
      <c r="HYE83" s="499"/>
      <c r="HYF83" s="499"/>
      <c r="HYG83" s="499"/>
      <c r="HYH83" s="499"/>
      <c r="HYI83" s="499"/>
      <c r="HYJ83" s="499"/>
      <c r="HYK83" s="499"/>
      <c r="HYL83" s="499"/>
      <c r="HYM83" s="499"/>
      <c r="HYN83" s="499"/>
      <c r="HYO83" s="499"/>
      <c r="HYP83" s="499"/>
      <c r="HYQ83" s="499"/>
      <c r="HYR83" s="499"/>
      <c r="HYS83" s="499"/>
      <c r="HYT83" s="499"/>
      <c r="HYU83" s="499"/>
      <c r="HYV83" s="499"/>
      <c r="HYW83" s="499"/>
      <c r="HYX83" s="499"/>
      <c r="HYY83" s="499"/>
      <c r="HYZ83" s="499"/>
      <c r="HZA83" s="499"/>
      <c r="HZB83" s="499"/>
      <c r="HZC83" s="499"/>
      <c r="HZD83" s="499"/>
      <c r="HZE83" s="499"/>
      <c r="HZF83" s="499"/>
      <c r="HZG83" s="499"/>
      <c r="HZH83" s="499"/>
      <c r="HZI83" s="499"/>
      <c r="HZJ83" s="499"/>
      <c r="HZK83" s="499"/>
      <c r="HZL83" s="499"/>
      <c r="HZM83" s="499"/>
      <c r="HZN83" s="499"/>
      <c r="HZO83" s="499"/>
      <c r="HZP83" s="499"/>
      <c r="HZQ83" s="499"/>
      <c r="HZR83" s="499"/>
      <c r="HZS83" s="499"/>
      <c r="HZT83" s="499"/>
      <c r="HZU83" s="499"/>
      <c r="HZV83" s="499"/>
      <c r="HZW83" s="499"/>
      <c r="HZX83" s="499"/>
      <c r="HZY83" s="499"/>
      <c r="HZZ83" s="499"/>
      <c r="IAA83" s="499"/>
      <c r="IAB83" s="499"/>
      <c r="IAC83" s="499"/>
      <c r="IAD83" s="499"/>
      <c r="IAE83" s="499"/>
      <c r="IAF83" s="499"/>
      <c r="IAG83" s="499"/>
      <c r="IAH83" s="499"/>
      <c r="IAI83" s="499"/>
      <c r="IAJ83" s="499"/>
      <c r="IAK83" s="499"/>
      <c r="IAL83" s="499"/>
      <c r="IAM83" s="499"/>
      <c r="IAN83" s="499"/>
      <c r="IAO83" s="499"/>
      <c r="IAP83" s="499"/>
      <c r="IAQ83" s="499"/>
      <c r="IAR83" s="499"/>
      <c r="IAS83" s="499"/>
      <c r="IAT83" s="499"/>
      <c r="IAU83" s="499"/>
      <c r="IAV83" s="499"/>
      <c r="IAW83" s="499"/>
      <c r="IAX83" s="499"/>
      <c r="IAY83" s="499"/>
      <c r="IAZ83" s="499"/>
      <c r="IBA83" s="499"/>
      <c r="IBB83" s="499"/>
      <c r="IBC83" s="499"/>
      <c r="IBD83" s="499"/>
      <c r="IBE83" s="499"/>
      <c r="IBF83" s="499"/>
      <c r="IBG83" s="499"/>
      <c r="IBH83" s="499"/>
      <c r="IBI83" s="499"/>
      <c r="IBJ83" s="499"/>
      <c r="IBK83" s="499"/>
      <c r="IBL83" s="499"/>
      <c r="IBM83" s="499"/>
      <c r="IBN83" s="499"/>
      <c r="IBO83" s="499"/>
      <c r="IBP83" s="499"/>
      <c r="IBQ83" s="499"/>
      <c r="IBR83" s="499"/>
      <c r="IBS83" s="499"/>
      <c r="IBT83" s="499"/>
      <c r="IBU83" s="499"/>
      <c r="IBV83" s="499"/>
      <c r="IBW83" s="499"/>
      <c r="IBX83" s="499"/>
      <c r="IBY83" s="499"/>
      <c r="IBZ83" s="499"/>
      <c r="ICA83" s="499"/>
      <c r="ICB83" s="499"/>
      <c r="ICC83" s="499"/>
      <c r="ICD83" s="499"/>
      <c r="ICE83" s="499"/>
      <c r="ICF83" s="499"/>
      <c r="ICG83" s="499"/>
      <c r="ICH83" s="499"/>
      <c r="ICI83" s="499"/>
      <c r="ICJ83" s="499"/>
      <c r="ICK83" s="499"/>
      <c r="ICL83" s="499"/>
      <c r="ICM83" s="499"/>
      <c r="ICN83" s="499"/>
      <c r="ICO83" s="499"/>
      <c r="ICP83" s="499"/>
      <c r="ICQ83" s="499"/>
      <c r="ICR83" s="499"/>
      <c r="ICS83" s="499"/>
      <c r="ICT83" s="499"/>
      <c r="ICU83" s="499"/>
      <c r="ICV83" s="499"/>
      <c r="ICW83" s="499"/>
      <c r="ICX83" s="499"/>
      <c r="ICY83" s="499"/>
      <c r="ICZ83" s="499"/>
      <c r="IDA83" s="499"/>
      <c r="IDB83" s="499"/>
      <c r="IDC83" s="499"/>
      <c r="IDD83" s="499"/>
      <c r="IDE83" s="499"/>
      <c r="IDF83" s="499"/>
      <c r="IDG83" s="499"/>
      <c r="IDH83" s="499"/>
      <c r="IDI83" s="499"/>
      <c r="IDJ83" s="499"/>
      <c r="IDK83" s="499"/>
      <c r="IDL83" s="499"/>
      <c r="IDM83" s="499"/>
      <c r="IDN83" s="499"/>
      <c r="IDO83" s="499"/>
      <c r="IDP83" s="499"/>
      <c r="IDQ83" s="499"/>
      <c r="IDR83" s="499"/>
      <c r="IDS83" s="499"/>
      <c r="IDT83" s="499"/>
      <c r="IDU83" s="499"/>
      <c r="IDV83" s="499"/>
      <c r="IDW83" s="499"/>
      <c r="IDX83" s="499"/>
      <c r="IDY83" s="499"/>
      <c r="IDZ83" s="499"/>
      <c r="IEA83" s="499"/>
      <c r="IEB83" s="499"/>
      <c r="IEC83" s="499"/>
      <c r="IED83" s="499"/>
      <c r="IEE83" s="499"/>
      <c r="IEF83" s="499"/>
      <c r="IEG83" s="499"/>
      <c r="IEH83" s="499"/>
      <c r="IEI83" s="499"/>
      <c r="IEJ83" s="499"/>
      <c r="IEK83" s="499"/>
      <c r="IEL83" s="499"/>
      <c r="IEM83" s="499"/>
      <c r="IEN83" s="499"/>
      <c r="IEO83" s="499"/>
      <c r="IEP83" s="499"/>
      <c r="IEQ83" s="499"/>
      <c r="IER83" s="499"/>
      <c r="IES83" s="499"/>
      <c r="IET83" s="499"/>
      <c r="IEU83" s="499"/>
      <c r="IEV83" s="499"/>
      <c r="IEW83" s="499"/>
      <c r="IEX83" s="499"/>
      <c r="IEY83" s="499"/>
      <c r="IEZ83" s="499"/>
      <c r="IFA83" s="499"/>
      <c r="IFB83" s="499"/>
      <c r="IFC83" s="499"/>
      <c r="IFD83" s="499"/>
      <c r="IFE83" s="499"/>
      <c r="IFF83" s="499"/>
      <c r="IFG83" s="499"/>
      <c r="IFH83" s="499"/>
      <c r="IFI83" s="499"/>
      <c r="IFJ83" s="499"/>
      <c r="IFK83" s="499"/>
      <c r="IFL83" s="499"/>
      <c r="IFM83" s="499"/>
      <c r="IFN83" s="499"/>
      <c r="IFO83" s="499"/>
      <c r="IFP83" s="499"/>
      <c r="IFQ83" s="499"/>
      <c r="IFR83" s="499"/>
      <c r="IFS83" s="499"/>
      <c r="IFT83" s="499"/>
      <c r="IFU83" s="499"/>
      <c r="IFV83" s="499"/>
      <c r="IFW83" s="499"/>
      <c r="IFX83" s="499"/>
      <c r="IFY83" s="499"/>
      <c r="IFZ83" s="499"/>
      <c r="IGA83" s="499"/>
      <c r="IGB83" s="499"/>
      <c r="IGC83" s="499"/>
      <c r="IGD83" s="499"/>
      <c r="IGE83" s="499"/>
      <c r="IGF83" s="499"/>
      <c r="IGG83" s="499"/>
      <c r="IGH83" s="499"/>
      <c r="IGI83" s="499"/>
      <c r="IGJ83" s="499"/>
      <c r="IGK83" s="499"/>
      <c r="IGL83" s="499"/>
      <c r="IGM83" s="499"/>
      <c r="IGN83" s="499"/>
      <c r="IGO83" s="499"/>
      <c r="IGP83" s="499"/>
      <c r="IGQ83" s="499"/>
      <c r="IGR83" s="499"/>
      <c r="IGS83" s="499"/>
      <c r="IGT83" s="499"/>
      <c r="IGU83" s="499"/>
      <c r="IGV83" s="499"/>
      <c r="IGW83" s="499"/>
      <c r="IGX83" s="499"/>
      <c r="IGY83" s="499"/>
      <c r="IGZ83" s="499"/>
      <c r="IHA83" s="499"/>
      <c r="IHB83" s="499"/>
      <c r="IHC83" s="499"/>
      <c r="IHD83" s="499"/>
      <c r="IHE83" s="499"/>
      <c r="IHF83" s="499"/>
      <c r="IHG83" s="499"/>
      <c r="IHH83" s="499"/>
      <c r="IHI83" s="499"/>
      <c r="IHJ83" s="499"/>
      <c r="IHK83" s="499"/>
      <c r="IHL83" s="499"/>
      <c r="IHM83" s="499"/>
      <c r="IHN83" s="499"/>
      <c r="IHO83" s="499"/>
      <c r="IHP83" s="499"/>
      <c r="IHQ83" s="499"/>
      <c r="IHR83" s="499"/>
      <c r="IHS83" s="499"/>
      <c r="IHT83" s="499"/>
      <c r="IHU83" s="499"/>
      <c r="IHV83" s="499"/>
      <c r="IHW83" s="499"/>
      <c r="IHX83" s="499"/>
      <c r="IHY83" s="499"/>
      <c r="IHZ83" s="499"/>
      <c r="IIA83" s="499"/>
      <c r="IIB83" s="499"/>
      <c r="IIC83" s="499"/>
      <c r="IID83" s="499"/>
      <c r="IIE83" s="499"/>
      <c r="IIF83" s="499"/>
      <c r="IIG83" s="499"/>
      <c r="IIH83" s="499"/>
      <c r="III83" s="499"/>
      <c r="IIJ83" s="499"/>
      <c r="IIK83" s="499"/>
      <c r="IIL83" s="499"/>
      <c r="IIM83" s="499"/>
      <c r="IIN83" s="499"/>
      <c r="IIO83" s="499"/>
      <c r="IIP83" s="499"/>
      <c r="IIQ83" s="499"/>
      <c r="IIR83" s="499"/>
      <c r="IIS83" s="499"/>
      <c r="IIT83" s="499"/>
      <c r="IIU83" s="499"/>
      <c r="IIV83" s="499"/>
      <c r="IIW83" s="499"/>
      <c r="IIX83" s="499"/>
      <c r="IIY83" s="499"/>
      <c r="IIZ83" s="499"/>
      <c r="IJA83" s="499"/>
      <c r="IJB83" s="499"/>
      <c r="IJC83" s="499"/>
      <c r="IJD83" s="499"/>
      <c r="IJE83" s="499"/>
      <c r="IJF83" s="499"/>
      <c r="IJG83" s="499"/>
      <c r="IJH83" s="499"/>
      <c r="IJI83" s="499"/>
      <c r="IJJ83" s="499"/>
      <c r="IJK83" s="499"/>
      <c r="IJL83" s="499"/>
      <c r="IJM83" s="499"/>
      <c r="IJN83" s="499"/>
      <c r="IJO83" s="499"/>
      <c r="IJP83" s="499"/>
      <c r="IJQ83" s="499"/>
      <c r="IJR83" s="499"/>
      <c r="IJS83" s="499"/>
      <c r="IJT83" s="499"/>
      <c r="IJU83" s="499"/>
      <c r="IJV83" s="499"/>
      <c r="IJW83" s="499"/>
      <c r="IJX83" s="499"/>
      <c r="IJY83" s="499"/>
      <c r="IJZ83" s="499"/>
      <c r="IKA83" s="499"/>
      <c r="IKB83" s="499"/>
      <c r="IKC83" s="499"/>
      <c r="IKD83" s="499"/>
      <c r="IKE83" s="499"/>
      <c r="IKF83" s="499"/>
      <c r="IKG83" s="499"/>
      <c r="IKH83" s="499"/>
      <c r="IKI83" s="499"/>
      <c r="IKJ83" s="499"/>
      <c r="IKK83" s="499"/>
      <c r="IKL83" s="499"/>
      <c r="IKM83" s="499"/>
      <c r="IKN83" s="499"/>
      <c r="IKO83" s="499"/>
      <c r="IKP83" s="499"/>
      <c r="IKQ83" s="499"/>
      <c r="IKR83" s="499"/>
      <c r="IKS83" s="499"/>
      <c r="IKT83" s="499"/>
      <c r="IKU83" s="499"/>
      <c r="IKV83" s="499"/>
      <c r="IKW83" s="499"/>
      <c r="IKX83" s="499"/>
      <c r="IKY83" s="499"/>
      <c r="IKZ83" s="499"/>
      <c r="ILA83" s="499"/>
      <c r="ILB83" s="499"/>
      <c r="ILC83" s="499"/>
      <c r="ILD83" s="499"/>
      <c r="ILE83" s="499"/>
      <c r="ILF83" s="499"/>
      <c r="ILG83" s="499"/>
      <c r="ILH83" s="499"/>
      <c r="ILI83" s="499"/>
      <c r="ILJ83" s="499"/>
      <c r="ILK83" s="499"/>
      <c r="ILL83" s="499"/>
      <c r="ILM83" s="499"/>
      <c r="ILN83" s="499"/>
      <c r="ILO83" s="499"/>
      <c r="ILP83" s="499"/>
      <c r="ILQ83" s="499"/>
      <c r="ILR83" s="499"/>
      <c r="ILS83" s="499"/>
      <c r="ILT83" s="499"/>
      <c r="ILU83" s="499"/>
      <c r="ILV83" s="499"/>
      <c r="ILW83" s="499"/>
      <c r="ILX83" s="499"/>
      <c r="ILY83" s="499"/>
      <c r="ILZ83" s="499"/>
      <c r="IMA83" s="499"/>
      <c r="IMB83" s="499"/>
      <c r="IMC83" s="499"/>
      <c r="IMD83" s="499"/>
      <c r="IME83" s="499"/>
      <c r="IMF83" s="499"/>
      <c r="IMG83" s="499"/>
      <c r="IMH83" s="499"/>
      <c r="IMI83" s="499"/>
      <c r="IMJ83" s="499"/>
      <c r="IMK83" s="499"/>
      <c r="IML83" s="499"/>
      <c r="IMM83" s="499"/>
      <c r="IMN83" s="499"/>
      <c r="IMO83" s="499"/>
      <c r="IMP83" s="499"/>
      <c r="IMQ83" s="499"/>
      <c r="IMR83" s="499"/>
      <c r="IMS83" s="499"/>
      <c r="IMT83" s="499"/>
      <c r="IMU83" s="499"/>
      <c r="IMV83" s="499"/>
      <c r="IMW83" s="499"/>
      <c r="IMX83" s="499"/>
      <c r="IMY83" s="499"/>
      <c r="IMZ83" s="499"/>
      <c r="INA83" s="499"/>
      <c r="INB83" s="499"/>
      <c r="INC83" s="499"/>
      <c r="IND83" s="499"/>
      <c r="INE83" s="499"/>
      <c r="INF83" s="499"/>
      <c r="ING83" s="499"/>
      <c r="INH83" s="499"/>
      <c r="INI83" s="499"/>
      <c r="INJ83" s="499"/>
      <c r="INK83" s="499"/>
      <c r="INL83" s="499"/>
      <c r="INM83" s="499"/>
      <c r="INN83" s="499"/>
      <c r="INO83" s="499"/>
      <c r="INP83" s="499"/>
      <c r="INQ83" s="499"/>
      <c r="INR83" s="499"/>
      <c r="INS83" s="499"/>
      <c r="INT83" s="499"/>
      <c r="INU83" s="499"/>
      <c r="INV83" s="499"/>
      <c r="INW83" s="499"/>
      <c r="INX83" s="499"/>
      <c r="INY83" s="499"/>
      <c r="INZ83" s="499"/>
      <c r="IOA83" s="499"/>
      <c r="IOB83" s="499"/>
      <c r="IOC83" s="499"/>
      <c r="IOD83" s="499"/>
      <c r="IOE83" s="499"/>
      <c r="IOF83" s="499"/>
      <c r="IOG83" s="499"/>
      <c r="IOH83" s="499"/>
      <c r="IOI83" s="499"/>
      <c r="IOJ83" s="499"/>
      <c r="IOK83" s="499"/>
      <c r="IOL83" s="499"/>
      <c r="IOM83" s="499"/>
      <c r="ION83" s="499"/>
      <c r="IOO83" s="499"/>
      <c r="IOP83" s="499"/>
      <c r="IOQ83" s="499"/>
      <c r="IOR83" s="499"/>
      <c r="IOS83" s="499"/>
      <c r="IOT83" s="499"/>
      <c r="IOU83" s="499"/>
      <c r="IOV83" s="499"/>
      <c r="IOW83" s="499"/>
      <c r="IOX83" s="499"/>
      <c r="IOY83" s="499"/>
      <c r="IOZ83" s="499"/>
      <c r="IPA83" s="499"/>
      <c r="IPB83" s="499"/>
      <c r="IPC83" s="499"/>
      <c r="IPD83" s="499"/>
      <c r="IPE83" s="499"/>
      <c r="IPF83" s="499"/>
      <c r="IPG83" s="499"/>
      <c r="IPH83" s="499"/>
      <c r="IPI83" s="499"/>
      <c r="IPJ83" s="499"/>
      <c r="IPK83" s="499"/>
      <c r="IPL83" s="499"/>
      <c r="IPM83" s="499"/>
      <c r="IPN83" s="499"/>
      <c r="IPO83" s="499"/>
      <c r="IPP83" s="499"/>
      <c r="IPQ83" s="499"/>
      <c r="IPR83" s="499"/>
      <c r="IPS83" s="499"/>
      <c r="IPT83" s="499"/>
      <c r="IPU83" s="499"/>
      <c r="IPV83" s="499"/>
      <c r="IPW83" s="499"/>
      <c r="IPX83" s="499"/>
      <c r="IPY83" s="499"/>
      <c r="IPZ83" s="499"/>
      <c r="IQA83" s="499"/>
      <c r="IQB83" s="499"/>
      <c r="IQC83" s="499"/>
      <c r="IQD83" s="499"/>
      <c r="IQE83" s="499"/>
      <c r="IQF83" s="499"/>
      <c r="IQG83" s="499"/>
      <c r="IQH83" s="499"/>
      <c r="IQI83" s="499"/>
      <c r="IQJ83" s="499"/>
      <c r="IQK83" s="499"/>
      <c r="IQL83" s="499"/>
      <c r="IQM83" s="499"/>
      <c r="IQN83" s="499"/>
      <c r="IQO83" s="499"/>
      <c r="IQP83" s="499"/>
      <c r="IQQ83" s="499"/>
      <c r="IQR83" s="499"/>
      <c r="IQS83" s="499"/>
      <c r="IQT83" s="499"/>
      <c r="IQU83" s="499"/>
      <c r="IQV83" s="499"/>
      <c r="IQW83" s="499"/>
      <c r="IQX83" s="499"/>
      <c r="IQY83" s="499"/>
      <c r="IQZ83" s="499"/>
      <c r="IRA83" s="499"/>
      <c r="IRB83" s="499"/>
      <c r="IRC83" s="499"/>
      <c r="IRD83" s="499"/>
      <c r="IRE83" s="499"/>
      <c r="IRF83" s="499"/>
      <c r="IRG83" s="499"/>
      <c r="IRH83" s="499"/>
      <c r="IRI83" s="499"/>
      <c r="IRJ83" s="499"/>
      <c r="IRK83" s="499"/>
      <c r="IRL83" s="499"/>
      <c r="IRM83" s="499"/>
      <c r="IRN83" s="499"/>
      <c r="IRO83" s="499"/>
      <c r="IRP83" s="499"/>
      <c r="IRQ83" s="499"/>
      <c r="IRR83" s="499"/>
      <c r="IRS83" s="499"/>
      <c r="IRT83" s="499"/>
      <c r="IRU83" s="499"/>
      <c r="IRV83" s="499"/>
      <c r="IRW83" s="499"/>
      <c r="IRX83" s="499"/>
      <c r="IRY83" s="499"/>
      <c r="IRZ83" s="499"/>
      <c r="ISA83" s="499"/>
      <c r="ISB83" s="499"/>
      <c r="ISC83" s="499"/>
      <c r="ISD83" s="499"/>
      <c r="ISE83" s="499"/>
      <c r="ISF83" s="499"/>
      <c r="ISG83" s="499"/>
      <c r="ISH83" s="499"/>
      <c r="ISI83" s="499"/>
      <c r="ISJ83" s="499"/>
      <c r="ISK83" s="499"/>
      <c r="ISL83" s="499"/>
      <c r="ISM83" s="499"/>
      <c r="ISN83" s="499"/>
      <c r="ISO83" s="499"/>
      <c r="ISP83" s="499"/>
      <c r="ISQ83" s="499"/>
      <c r="ISR83" s="499"/>
      <c r="ISS83" s="499"/>
      <c r="IST83" s="499"/>
      <c r="ISU83" s="499"/>
      <c r="ISV83" s="499"/>
      <c r="ISW83" s="499"/>
      <c r="ISX83" s="499"/>
      <c r="ISY83" s="499"/>
      <c r="ISZ83" s="499"/>
      <c r="ITA83" s="499"/>
      <c r="ITB83" s="499"/>
      <c r="ITC83" s="499"/>
      <c r="ITD83" s="499"/>
      <c r="ITE83" s="499"/>
      <c r="ITF83" s="499"/>
      <c r="ITG83" s="499"/>
      <c r="ITH83" s="499"/>
      <c r="ITI83" s="499"/>
      <c r="ITJ83" s="499"/>
      <c r="ITK83" s="499"/>
      <c r="ITL83" s="499"/>
      <c r="ITM83" s="499"/>
      <c r="ITN83" s="499"/>
      <c r="ITO83" s="499"/>
      <c r="ITP83" s="499"/>
      <c r="ITQ83" s="499"/>
      <c r="ITR83" s="499"/>
      <c r="ITS83" s="499"/>
      <c r="ITT83" s="499"/>
      <c r="ITU83" s="499"/>
      <c r="ITV83" s="499"/>
      <c r="ITW83" s="499"/>
      <c r="ITX83" s="499"/>
      <c r="ITY83" s="499"/>
      <c r="ITZ83" s="499"/>
      <c r="IUA83" s="499"/>
      <c r="IUB83" s="499"/>
      <c r="IUC83" s="499"/>
      <c r="IUD83" s="499"/>
      <c r="IUE83" s="499"/>
      <c r="IUF83" s="499"/>
      <c r="IUG83" s="499"/>
      <c r="IUH83" s="499"/>
      <c r="IUI83" s="499"/>
      <c r="IUJ83" s="499"/>
      <c r="IUK83" s="499"/>
      <c r="IUL83" s="499"/>
      <c r="IUM83" s="499"/>
      <c r="IUN83" s="499"/>
      <c r="IUO83" s="499"/>
      <c r="IUP83" s="499"/>
      <c r="IUQ83" s="499"/>
      <c r="IUR83" s="499"/>
      <c r="IUS83" s="499"/>
      <c r="IUT83" s="499"/>
      <c r="IUU83" s="499"/>
      <c r="IUV83" s="499"/>
      <c r="IUW83" s="499"/>
      <c r="IUX83" s="499"/>
      <c r="IUY83" s="499"/>
      <c r="IUZ83" s="499"/>
      <c r="IVA83" s="499"/>
      <c r="IVB83" s="499"/>
      <c r="IVC83" s="499"/>
      <c r="IVD83" s="499"/>
      <c r="IVE83" s="499"/>
      <c r="IVF83" s="499"/>
      <c r="IVG83" s="499"/>
      <c r="IVH83" s="499"/>
      <c r="IVI83" s="499"/>
      <c r="IVJ83" s="499"/>
      <c r="IVK83" s="499"/>
      <c r="IVL83" s="499"/>
      <c r="IVM83" s="499"/>
      <c r="IVN83" s="499"/>
      <c r="IVO83" s="499"/>
      <c r="IVP83" s="499"/>
      <c r="IVQ83" s="499"/>
      <c r="IVR83" s="499"/>
      <c r="IVS83" s="499"/>
      <c r="IVT83" s="499"/>
      <c r="IVU83" s="499"/>
      <c r="IVV83" s="499"/>
      <c r="IVW83" s="499"/>
      <c r="IVX83" s="499"/>
      <c r="IVY83" s="499"/>
      <c r="IVZ83" s="499"/>
      <c r="IWA83" s="499"/>
      <c r="IWB83" s="499"/>
      <c r="IWC83" s="499"/>
      <c r="IWD83" s="499"/>
      <c r="IWE83" s="499"/>
      <c r="IWF83" s="499"/>
      <c r="IWG83" s="499"/>
      <c r="IWH83" s="499"/>
      <c r="IWI83" s="499"/>
      <c r="IWJ83" s="499"/>
      <c r="IWK83" s="499"/>
      <c r="IWL83" s="499"/>
      <c r="IWM83" s="499"/>
      <c r="IWN83" s="499"/>
      <c r="IWO83" s="499"/>
      <c r="IWP83" s="499"/>
      <c r="IWQ83" s="499"/>
      <c r="IWR83" s="499"/>
      <c r="IWS83" s="499"/>
      <c r="IWT83" s="499"/>
      <c r="IWU83" s="499"/>
      <c r="IWV83" s="499"/>
      <c r="IWW83" s="499"/>
      <c r="IWX83" s="499"/>
      <c r="IWY83" s="499"/>
      <c r="IWZ83" s="499"/>
      <c r="IXA83" s="499"/>
      <c r="IXB83" s="499"/>
      <c r="IXC83" s="499"/>
      <c r="IXD83" s="499"/>
      <c r="IXE83" s="499"/>
      <c r="IXF83" s="499"/>
      <c r="IXG83" s="499"/>
      <c r="IXH83" s="499"/>
      <c r="IXI83" s="499"/>
      <c r="IXJ83" s="499"/>
      <c r="IXK83" s="499"/>
      <c r="IXL83" s="499"/>
      <c r="IXM83" s="499"/>
      <c r="IXN83" s="499"/>
      <c r="IXO83" s="499"/>
      <c r="IXP83" s="499"/>
      <c r="IXQ83" s="499"/>
      <c r="IXR83" s="499"/>
      <c r="IXS83" s="499"/>
      <c r="IXT83" s="499"/>
      <c r="IXU83" s="499"/>
      <c r="IXV83" s="499"/>
      <c r="IXW83" s="499"/>
      <c r="IXX83" s="499"/>
      <c r="IXY83" s="499"/>
      <c r="IXZ83" s="499"/>
      <c r="IYA83" s="499"/>
      <c r="IYB83" s="499"/>
      <c r="IYC83" s="499"/>
      <c r="IYD83" s="499"/>
      <c r="IYE83" s="499"/>
      <c r="IYF83" s="499"/>
      <c r="IYG83" s="499"/>
      <c r="IYH83" s="499"/>
      <c r="IYI83" s="499"/>
      <c r="IYJ83" s="499"/>
      <c r="IYK83" s="499"/>
      <c r="IYL83" s="499"/>
      <c r="IYM83" s="499"/>
      <c r="IYN83" s="499"/>
      <c r="IYO83" s="499"/>
      <c r="IYP83" s="499"/>
      <c r="IYQ83" s="499"/>
      <c r="IYR83" s="499"/>
      <c r="IYS83" s="499"/>
      <c r="IYT83" s="499"/>
      <c r="IYU83" s="499"/>
      <c r="IYV83" s="499"/>
      <c r="IYW83" s="499"/>
      <c r="IYX83" s="499"/>
      <c r="IYY83" s="499"/>
      <c r="IYZ83" s="499"/>
      <c r="IZA83" s="499"/>
      <c r="IZB83" s="499"/>
      <c r="IZC83" s="499"/>
      <c r="IZD83" s="499"/>
      <c r="IZE83" s="499"/>
      <c r="IZF83" s="499"/>
      <c r="IZG83" s="499"/>
      <c r="IZH83" s="499"/>
      <c r="IZI83" s="499"/>
      <c r="IZJ83" s="499"/>
      <c r="IZK83" s="499"/>
      <c r="IZL83" s="499"/>
      <c r="IZM83" s="499"/>
      <c r="IZN83" s="499"/>
      <c r="IZO83" s="499"/>
      <c r="IZP83" s="499"/>
      <c r="IZQ83" s="499"/>
      <c r="IZR83" s="499"/>
      <c r="IZS83" s="499"/>
      <c r="IZT83" s="499"/>
      <c r="IZU83" s="499"/>
      <c r="IZV83" s="499"/>
      <c r="IZW83" s="499"/>
      <c r="IZX83" s="499"/>
      <c r="IZY83" s="499"/>
      <c r="IZZ83" s="499"/>
      <c r="JAA83" s="499"/>
      <c r="JAB83" s="499"/>
      <c r="JAC83" s="499"/>
      <c r="JAD83" s="499"/>
      <c r="JAE83" s="499"/>
      <c r="JAF83" s="499"/>
      <c r="JAG83" s="499"/>
      <c r="JAH83" s="499"/>
      <c r="JAI83" s="499"/>
      <c r="JAJ83" s="499"/>
      <c r="JAK83" s="499"/>
      <c r="JAL83" s="499"/>
      <c r="JAM83" s="499"/>
      <c r="JAN83" s="499"/>
      <c r="JAO83" s="499"/>
      <c r="JAP83" s="499"/>
      <c r="JAQ83" s="499"/>
      <c r="JAR83" s="499"/>
      <c r="JAS83" s="499"/>
      <c r="JAT83" s="499"/>
      <c r="JAU83" s="499"/>
      <c r="JAV83" s="499"/>
      <c r="JAW83" s="499"/>
      <c r="JAX83" s="499"/>
      <c r="JAY83" s="499"/>
      <c r="JAZ83" s="499"/>
      <c r="JBA83" s="499"/>
      <c r="JBB83" s="499"/>
      <c r="JBC83" s="499"/>
      <c r="JBD83" s="499"/>
      <c r="JBE83" s="499"/>
      <c r="JBF83" s="499"/>
      <c r="JBG83" s="499"/>
      <c r="JBH83" s="499"/>
      <c r="JBI83" s="499"/>
      <c r="JBJ83" s="499"/>
      <c r="JBK83" s="499"/>
      <c r="JBL83" s="499"/>
      <c r="JBM83" s="499"/>
      <c r="JBN83" s="499"/>
      <c r="JBO83" s="499"/>
      <c r="JBP83" s="499"/>
      <c r="JBQ83" s="499"/>
      <c r="JBR83" s="499"/>
      <c r="JBS83" s="499"/>
      <c r="JBT83" s="499"/>
      <c r="JBU83" s="499"/>
      <c r="JBV83" s="499"/>
      <c r="JBW83" s="499"/>
      <c r="JBX83" s="499"/>
      <c r="JBY83" s="499"/>
      <c r="JBZ83" s="499"/>
      <c r="JCA83" s="499"/>
      <c r="JCB83" s="499"/>
      <c r="JCC83" s="499"/>
      <c r="JCD83" s="499"/>
      <c r="JCE83" s="499"/>
      <c r="JCF83" s="499"/>
      <c r="JCG83" s="499"/>
      <c r="JCH83" s="499"/>
      <c r="JCI83" s="499"/>
      <c r="JCJ83" s="499"/>
      <c r="JCK83" s="499"/>
      <c r="JCL83" s="499"/>
      <c r="JCM83" s="499"/>
      <c r="JCN83" s="499"/>
      <c r="JCO83" s="499"/>
      <c r="JCP83" s="499"/>
      <c r="JCQ83" s="499"/>
      <c r="JCR83" s="499"/>
      <c r="JCS83" s="499"/>
      <c r="JCT83" s="499"/>
      <c r="JCU83" s="499"/>
      <c r="JCV83" s="499"/>
      <c r="JCW83" s="499"/>
      <c r="JCX83" s="499"/>
      <c r="JCY83" s="499"/>
      <c r="JCZ83" s="499"/>
      <c r="JDA83" s="499"/>
      <c r="JDB83" s="499"/>
      <c r="JDC83" s="499"/>
      <c r="JDD83" s="499"/>
      <c r="JDE83" s="499"/>
      <c r="JDF83" s="499"/>
      <c r="JDG83" s="499"/>
      <c r="JDH83" s="499"/>
      <c r="JDI83" s="499"/>
      <c r="JDJ83" s="499"/>
      <c r="JDK83" s="499"/>
      <c r="JDL83" s="499"/>
      <c r="JDM83" s="499"/>
      <c r="JDN83" s="499"/>
      <c r="JDO83" s="499"/>
      <c r="JDP83" s="499"/>
      <c r="JDQ83" s="499"/>
      <c r="JDR83" s="499"/>
      <c r="JDS83" s="499"/>
      <c r="JDT83" s="499"/>
      <c r="JDU83" s="499"/>
      <c r="JDV83" s="499"/>
      <c r="JDW83" s="499"/>
      <c r="JDX83" s="499"/>
      <c r="JDY83" s="499"/>
      <c r="JDZ83" s="499"/>
      <c r="JEA83" s="499"/>
      <c r="JEB83" s="499"/>
      <c r="JEC83" s="499"/>
      <c r="JED83" s="499"/>
      <c r="JEE83" s="499"/>
      <c r="JEF83" s="499"/>
      <c r="JEG83" s="499"/>
      <c r="JEH83" s="499"/>
      <c r="JEI83" s="499"/>
      <c r="JEJ83" s="499"/>
      <c r="JEK83" s="499"/>
      <c r="JEL83" s="499"/>
      <c r="JEM83" s="499"/>
      <c r="JEN83" s="499"/>
      <c r="JEO83" s="499"/>
      <c r="JEP83" s="499"/>
      <c r="JEQ83" s="499"/>
      <c r="JER83" s="499"/>
      <c r="JES83" s="499"/>
      <c r="JET83" s="499"/>
      <c r="JEU83" s="499"/>
      <c r="JEV83" s="499"/>
      <c r="JEW83" s="499"/>
      <c r="JEX83" s="499"/>
      <c r="JEY83" s="499"/>
      <c r="JEZ83" s="499"/>
      <c r="JFA83" s="499"/>
      <c r="JFB83" s="499"/>
      <c r="JFC83" s="499"/>
      <c r="JFD83" s="499"/>
      <c r="JFE83" s="499"/>
      <c r="JFF83" s="499"/>
      <c r="JFG83" s="499"/>
      <c r="JFH83" s="499"/>
      <c r="JFI83" s="499"/>
      <c r="JFJ83" s="499"/>
      <c r="JFK83" s="499"/>
      <c r="JFL83" s="499"/>
      <c r="JFM83" s="499"/>
      <c r="JFN83" s="499"/>
      <c r="JFO83" s="499"/>
      <c r="JFP83" s="499"/>
      <c r="JFQ83" s="499"/>
      <c r="JFR83" s="499"/>
      <c r="JFS83" s="499"/>
      <c r="JFT83" s="499"/>
      <c r="JFU83" s="499"/>
      <c r="JFV83" s="499"/>
      <c r="JFW83" s="499"/>
      <c r="JFX83" s="499"/>
      <c r="JFY83" s="499"/>
      <c r="JFZ83" s="499"/>
      <c r="JGA83" s="499"/>
      <c r="JGB83" s="499"/>
      <c r="JGC83" s="499"/>
      <c r="JGD83" s="499"/>
      <c r="JGE83" s="499"/>
      <c r="JGF83" s="499"/>
      <c r="JGG83" s="499"/>
      <c r="JGH83" s="499"/>
      <c r="JGI83" s="499"/>
      <c r="JGJ83" s="499"/>
      <c r="JGK83" s="499"/>
      <c r="JGL83" s="499"/>
      <c r="JGM83" s="499"/>
      <c r="JGN83" s="499"/>
      <c r="JGO83" s="499"/>
      <c r="JGP83" s="499"/>
      <c r="JGQ83" s="499"/>
      <c r="JGR83" s="499"/>
      <c r="JGS83" s="499"/>
      <c r="JGT83" s="499"/>
      <c r="JGU83" s="499"/>
      <c r="JGV83" s="499"/>
      <c r="JGW83" s="499"/>
      <c r="JGX83" s="499"/>
      <c r="JGY83" s="499"/>
      <c r="JGZ83" s="499"/>
      <c r="JHA83" s="499"/>
      <c r="JHB83" s="499"/>
      <c r="JHC83" s="499"/>
      <c r="JHD83" s="499"/>
      <c r="JHE83" s="499"/>
      <c r="JHF83" s="499"/>
      <c r="JHG83" s="499"/>
      <c r="JHH83" s="499"/>
      <c r="JHI83" s="499"/>
      <c r="JHJ83" s="499"/>
      <c r="JHK83" s="499"/>
      <c r="JHL83" s="499"/>
      <c r="JHM83" s="499"/>
      <c r="JHN83" s="499"/>
      <c r="JHO83" s="499"/>
      <c r="JHP83" s="499"/>
      <c r="JHQ83" s="499"/>
      <c r="JHR83" s="499"/>
      <c r="JHS83" s="499"/>
      <c r="JHT83" s="499"/>
      <c r="JHU83" s="499"/>
      <c r="JHV83" s="499"/>
      <c r="JHW83" s="499"/>
      <c r="JHX83" s="499"/>
      <c r="JHY83" s="499"/>
      <c r="JHZ83" s="499"/>
      <c r="JIA83" s="499"/>
      <c r="JIB83" s="499"/>
      <c r="JIC83" s="499"/>
      <c r="JID83" s="499"/>
      <c r="JIE83" s="499"/>
      <c r="JIF83" s="499"/>
      <c r="JIG83" s="499"/>
      <c r="JIH83" s="499"/>
      <c r="JII83" s="499"/>
      <c r="JIJ83" s="499"/>
      <c r="JIK83" s="499"/>
      <c r="JIL83" s="499"/>
      <c r="JIM83" s="499"/>
      <c r="JIN83" s="499"/>
      <c r="JIO83" s="499"/>
      <c r="JIP83" s="499"/>
      <c r="JIQ83" s="499"/>
      <c r="JIR83" s="499"/>
      <c r="JIS83" s="499"/>
      <c r="JIT83" s="499"/>
      <c r="JIU83" s="499"/>
      <c r="JIV83" s="499"/>
      <c r="JIW83" s="499"/>
      <c r="JIX83" s="499"/>
      <c r="JIY83" s="499"/>
      <c r="JIZ83" s="499"/>
      <c r="JJA83" s="499"/>
      <c r="JJB83" s="499"/>
      <c r="JJC83" s="499"/>
      <c r="JJD83" s="499"/>
      <c r="JJE83" s="499"/>
      <c r="JJF83" s="499"/>
      <c r="JJG83" s="499"/>
      <c r="JJH83" s="499"/>
      <c r="JJI83" s="499"/>
      <c r="JJJ83" s="499"/>
      <c r="JJK83" s="499"/>
      <c r="JJL83" s="499"/>
      <c r="JJM83" s="499"/>
      <c r="JJN83" s="499"/>
      <c r="JJO83" s="499"/>
      <c r="JJP83" s="499"/>
      <c r="JJQ83" s="499"/>
      <c r="JJR83" s="499"/>
      <c r="JJS83" s="499"/>
      <c r="JJT83" s="499"/>
      <c r="JJU83" s="499"/>
      <c r="JJV83" s="499"/>
      <c r="JJW83" s="499"/>
      <c r="JJX83" s="499"/>
      <c r="JJY83" s="499"/>
      <c r="JJZ83" s="499"/>
      <c r="JKA83" s="499"/>
      <c r="JKB83" s="499"/>
      <c r="JKC83" s="499"/>
      <c r="JKD83" s="499"/>
      <c r="JKE83" s="499"/>
      <c r="JKF83" s="499"/>
      <c r="JKG83" s="499"/>
      <c r="JKH83" s="499"/>
      <c r="JKI83" s="499"/>
      <c r="JKJ83" s="499"/>
      <c r="JKK83" s="499"/>
      <c r="JKL83" s="499"/>
      <c r="JKM83" s="499"/>
      <c r="JKN83" s="499"/>
      <c r="JKO83" s="499"/>
      <c r="JKP83" s="499"/>
      <c r="JKQ83" s="499"/>
      <c r="JKR83" s="499"/>
      <c r="JKS83" s="499"/>
      <c r="JKT83" s="499"/>
      <c r="JKU83" s="499"/>
      <c r="JKV83" s="499"/>
      <c r="JKW83" s="499"/>
      <c r="JKX83" s="499"/>
      <c r="JKY83" s="499"/>
      <c r="JKZ83" s="499"/>
      <c r="JLA83" s="499"/>
      <c r="JLB83" s="499"/>
      <c r="JLC83" s="499"/>
      <c r="JLD83" s="499"/>
      <c r="JLE83" s="499"/>
      <c r="JLF83" s="499"/>
      <c r="JLG83" s="499"/>
      <c r="JLH83" s="499"/>
      <c r="JLI83" s="499"/>
      <c r="JLJ83" s="499"/>
      <c r="JLK83" s="499"/>
      <c r="JLL83" s="499"/>
      <c r="JLM83" s="499"/>
      <c r="JLN83" s="499"/>
      <c r="JLO83" s="499"/>
      <c r="JLP83" s="499"/>
      <c r="JLQ83" s="499"/>
      <c r="JLR83" s="499"/>
      <c r="JLS83" s="499"/>
      <c r="JLT83" s="499"/>
      <c r="JLU83" s="499"/>
      <c r="JLV83" s="499"/>
      <c r="JLW83" s="499"/>
      <c r="JLX83" s="499"/>
      <c r="JLY83" s="499"/>
      <c r="JLZ83" s="499"/>
      <c r="JMA83" s="499"/>
      <c r="JMB83" s="499"/>
      <c r="JMC83" s="499"/>
      <c r="JMD83" s="499"/>
      <c r="JME83" s="499"/>
      <c r="JMF83" s="499"/>
      <c r="JMG83" s="499"/>
      <c r="JMH83" s="499"/>
      <c r="JMI83" s="499"/>
      <c r="JMJ83" s="499"/>
      <c r="JMK83" s="499"/>
      <c r="JML83" s="499"/>
      <c r="JMM83" s="499"/>
      <c r="JMN83" s="499"/>
      <c r="JMO83" s="499"/>
      <c r="JMP83" s="499"/>
      <c r="JMQ83" s="499"/>
      <c r="JMR83" s="499"/>
      <c r="JMS83" s="499"/>
      <c r="JMT83" s="499"/>
      <c r="JMU83" s="499"/>
      <c r="JMV83" s="499"/>
      <c r="JMW83" s="499"/>
      <c r="JMX83" s="499"/>
      <c r="JMY83" s="499"/>
      <c r="JMZ83" s="499"/>
      <c r="JNA83" s="499"/>
      <c r="JNB83" s="499"/>
      <c r="JNC83" s="499"/>
      <c r="JND83" s="499"/>
      <c r="JNE83" s="499"/>
      <c r="JNF83" s="499"/>
      <c r="JNG83" s="499"/>
      <c r="JNH83" s="499"/>
      <c r="JNI83" s="499"/>
      <c r="JNJ83" s="499"/>
      <c r="JNK83" s="499"/>
      <c r="JNL83" s="499"/>
      <c r="JNM83" s="499"/>
      <c r="JNN83" s="499"/>
      <c r="JNO83" s="499"/>
      <c r="JNP83" s="499"/>
      <c r="JNQ83" s="499"/>
      <c r="JNR83" s="499"/>
      <c r="JNS83" s="499"/>
      <c r="JNT83" s="499"/>
      <c r="JNU83" s="499"/>
      <c r="JNV83" s="499"/>
      <c r="JNW83" s="499"/>
      <c r="JNX83" s="499"/>
      <c r="JNY83" s="499"/>
      <c r="JNZ83" s="499"/>
      <c r="JOA83" s="499"/>
      <c r="JOB83" s="499"/>
      <c r="JOC83" s="499"/>
      <c r="JOD83" s="499"/>
      <c r="JOE83" s="499"/>
      <c r="JOF83" s="499"/>
      <c r="JOG83" s="499"/>
      <c r="JOH83" s="499"/>
      <c r="JOI83" s="499"/>
      <c r="JOJ83" s="499"/>
      <c r="JOK83" s="499"/>
      <c r="JOL83" s="499"/>
      <c r="JOM83" s="499"/>
      <c r="JON83" s="499"/>
      <c r="JOO83" s="499"/>
      <c r="JOP83" s="499"/>
      <c r="JOQ83" s="499"/>
      <c r="JOR83" s="499"/>
      <c r="JOS83" s="499"/>
      <c r="JOT83" s="499"/>
      <c r="JOU83" s="499"/>
      <c r="JOV83" s="499"/>
      <c r="JOW83" s="499"/>
      <c r="JOX83" s="499"/>
      <c r="JOY83" s="499"/>
      <c r="JOZ83" s="499"/>
      <c r="JPA83" s="499"/>
      <c r="JPB83" s="499"/>
      <c r="JPC83" s="499"/>
      <c r="JPD83" s="499"/>
      <c r="JPE83" s="499"/>
      <c r="JPF83" s="499"/>
      <c r="JPG83" s="499"/>
      <c r="JPH83" s="499"/>
      <c r="JPI83" s="499"/>
      <c r="JPJ83" s="499"/>
      <c r="JPK83" s="499"/>
      <c r="JPL83" s="499"/>
      <c r="JPM83" s="499"/>
      <c r="JPN83" s="499"/>
      <c r="JPO83" s="499"/>
      <c r="JPP83" s="499"/>
      <c r="JPQ83" s="499"/>
      <c r="JPR83" s="499"/>
      <c r="JPS83" s="499"/>
      <c r="JPT83" s="499"/>
      <c r="JPU83" s="499"/>
      <c r="JPV83" s="499"/>
      <c r="JPW83" s="499"/>
      <c r="JPX83" s="499"/>
      <c r="JPY83" s="499"/>
      <c r="JPZ83" s="499"/>
      <c r="JQA83" s="499"/>
      <c r="JQB83" s="499"/>
      <c r="JQC83" s="499"/>
      <c r="JQD83" s="499"/>
      <c r="JQE83" s="499"/>
      <c r="JQF83" s="499"/>
      <c r="JQG83" s="499"/>
      <c r="JQH83" s="499"/>
      <c r="JQI83" s="499"/>
      <c r="JQJ83" s="499"/>
      <c r="JQK83" s="499"/>
      <c r="JQL83" s="499"/>
      <c r="JQM83" s="499"/>
      <c r="JQN83" s="499"/>
      <c r="JQO83" s="499"/>
      <c r="JQP83" s="499"/>
      <c r="JQQ83" s="499"/>
      <c r="JQR83" s="499"/>
      <c r="JQS83" s="499"/>
      <c r="JQT83" s="499"/>
      <c r="JQU83" s="499"/>
      <c r="JQV83" s="499"/>
      <c r="JQW83" s="499"/>
      <c r="JQX83" s="499"/>
      <c r="JQY83" s="499"/>
      <c r="JQZ83" s="499"/>
      <c r="JRA83" s="499"/>
      <c r="JRB83" s="499"/>
      <c r="JRC83" s="499"/>
      <c r="JRD83" s="499"/>
      <c r="JRE83" s="499"/>
      <c r="JRF83" s="499"/>
      <c r="JRG83" s="499"/>
      <c r="JRH83" s="499"/>
      <c r="JRI83" s="499"/>
      <c r="JRJ83" s="499"/>
      <c r="JRK83" s="499"/>
      <c r="JRL83" s="499"/>
      <c r="JRM83" s="499"/>
      <c r="JRN83" s="499"/>
      <c r="JRO83" s="499"/>
      <c r="JRP83" s="499"/>
      <c r="JRQ83" s="499"/>
      <c r="JRR83" s="499"/>
      <c r="JRS83" s="499"/>
      <c r="JRT83" s="499"/>
      <c r="JRU83" s="499"/>
      <c r="JRV83" s="499"/>
      <c r="JRW83" s="499"/>
      <c r="JRX83" s="499"/>
      <c r="JRY83" s="499"/>
      <c r="JRZ83" s="499"/>
      <c r="JSA83" s="499"/>
      <c r="JSB83" s="499"/>
      <c r="JSC83" s="499"/>
      <c r="JSD83" s="499"/>
      <c r="JSE83" s="499"/>
      <c r="JSF83" s="499"/>
      <c r="JSG83" s="499"/>
      <c r="JSH83" s="499"/>
      <c r="JSI83" s="499"/>
      <c r="JSJ83" s="499"/>
      <c r="JSK83" s="499"/>
      <c r="JSL83" s="499"/>
      <c r="JSM83" s="499"/>
      <c r="JSN83" s="499"/>
      <c r="JSO83" s="499"/>
      <c r="JSP83" s="499"/>
      <c r="JSQ83" s="499"/>
      <c r="JSR83" s="499"/>
      <c r="JSS83" s="499"/>
      <c r="JST83" s="499"/>
      <c r="JSU83" s="499"/>
      <c r="JSV83" s="499"/>
      <c r="JSW83" s="499"/>
      <c r="JSX83" s="499"/>
      <c r="JSY83" s="499"/>
      <c r="JSZ83" s="499"/>
      <c r="JTA83" s="499"/>
      <c r="JTB83" s="499"/>
      <c r="JTC83" s="499"/>
      <c r="JTD83" s="499"/>
      <c r="JTE83" s="499"/>
      <c r="JTF83" s="499"/>
      <c r="JTG83" s="499"/>
      <c r="JTH83" s="499"/>
      <c r="JTI83" s="499"/>
      <c r="JTJ83" s="499"/>
      <c r="JTK83" s="499"/>
      <c r="JTL83" s="499"/>
      <c r="JTM83" s="499"/>
      <c r="JTN83" s="499"/>
      <c r="JTO83" s="499"/>
      <c r="JTP83" s="499"/>
      <c r="JTQ83" s="499"/>
      <c r="JTR83" s="499"/>
      <c r="JTS83" s="499"/>
      <c r="JTT83" s="499"/>
      <c r="JTU83" s="499"/>
      <c r="JTV83" s="499"/>
      <c r="JTW83" s="499"/>
      <c r="JTX83" s="499"/>
      <c r="JTY83" s="499"/>
      <c r="JTZ83" s="499"/>
      <c r="JUA83" s="499"/>
      <c r="JUB83" s="499"/>
      <c r="JUC83" s="499"/>
      <c r="JUD83" s="499"/>
      <c r="JUE83" s="499"/>
      <c r="JUF83" s="499"/>
      <c r="JUG83" s="499"/>
      <c r="JUH83" s="499"/>
      <c r="JUI83" s="499"/>
      <c r="JUJ83" s="499"/>
      <c r="JUK83" s="499"/>
      <c r="JUL83" s="499"/>
      <c r="JUM83" s="499"/>
      <c r="JUN83" s="499"/>
      <c r="JUO83" s="499"/>
      <c r="JUP83" s="499"/>
      <c r="JUQ83" s="499"/>
      <c r="JUR83" s="499"/>
      <c r="JUS83" s="499"/>
      <c r="JUT83" s="499"/>
      <c r="JUU83" s="499"/>
      <c r="JUV83" s="499"/>
      <c r="JUW83" s="499"/>
      <c r="JUX83" s="499"/>
      <c r="JUY83" s="499"/>
      <c r="JUZ83" s="499"/>
      <c r="JVA83" s="499"/>
      <c r="JVB83" s="499"/>
      <c r="JVC83" s="499"/>
      <c r="JVD83" s="499"/>
      <c r="JVE83" s="499"/>
      <c r="JVF83" s="499"/>
      <c r="JVG83" s="499"/>
      <c r="JVH83" s="499"/>
      <c r="JVI83" s="499"/>
      <c r="JVJ83" s="499"/>
      <c r="JVK83" s="499"/>
      <c r="JVL83" s="499"/>
      <c r="JVM83" s="499"/>
      <c r="JVN83" s="499"/>
      <c r="JVO83" s="499"/>
      <c r="JVP83" s="499"/>
      <c r="JVQ83" s="499"/>
      <c r="JVR83" s="499"/>
      <c r="JVS83" s="499"/>
      <c r="JVT83" s="499"/>
      <c r="JVU83" s="499"/>
      <c r="JVV83" s="499"/>
      <c r="JVW83" s="499"/>
      <c r="JVX83" s="499"/>
      <c r="JVY83" s="499"/>
      <c r="JVZ83" s="499"/>
      <c r="JWA83" s="499"/>
      <c r="JWB83" s="499"/>
      <c r="JWC83" s="499"/>
      <c r="JWD83" s="499"/>
      <c r="JWE83" s="499"/>
      <c r="JWF83" s="499"/>
      <c r="JWG83" s="499"/>
      <c r="JWH83" s="499"/>
      <c r="JWI83" s="499"/>
      <c r="JWJ83" s="499"/>
      <c r="JWK83" s="499"/>
      <c r="JWL83" s="499"/>
      <c r="JWM83" s="499"/>
      <c r="JWN83" s="499"/>
      <c r="JWO83" s="499"/>
      <c r="JWP83" s="499"/>
      <c r="JWQ83" s="499"/>
      <c r="JWR83" s="499"/>
      <c r="JWS83" s="499"/>
      <c r="JWT83" s="499"/>
      <c r="JWU83" s="499"/>
      <c r="JWV83" s="499"/>
      <c r="JWW83" s="499"/>
      <c r="JWX83" s="499"/>
      <c r="JWY83" s="499"/>
      <c r="JWZ83" s="499"/>
      <c r="JXA83" s="499"/>
      <c r="JXB83" s="499"/>
      <c r="JXC83" s="499"/>
      <c r="JXD83" s="499"/>
      <c r="JXE83" s="499"/>
      <c r="JXF83" s="499"/>
      <c r="JXG83" s="499"/>
      <c r="JXH83" s="499"/>
      <c r="JXI83" s="499"/>
      <c r="JXJ83" s="499"/>
      <c r="JXK83" s="499"/>
      <c r="JXL83" s="499"/>
      <c r="JXM83" s="499"/>
      <c r="JXN83" s="499"/>
      <c r="JXO83" s="499"/>
      <c r="JXP83" s="499"/>
      <c r="JXQ83" s="499"/>
      <c r="JXR83" s="499"/>
      <c r="JXS83" s="499"/>
      <c r="JXT83" s="499"/>
      <c r="JXU83" s="499"/>
      <c r="JXV83" s="499"/>
      <c r="JXW83" s="499"/>
      <c r="JXX83" s="499"/>
      <c r="JXY83" s="499"/>
      <c r="JXZ83" s="499"/>
      <c r="JYA83" s="499"/>
      <c r="JYB83" s="499"/>
      <c r="JYC83" s="499"/>
      <c r="JYD83" s="499"/>
      <c r="JYE83" s="499"/>
      <c r="JYF83" s="499"/>
      <c r="JYG83" s="499"/>
      <c r="JYH83" s="499"/>
      <c r="JYI83" s="499"/>
      <c r="JYJ83" s="499"/>
      <c r="JYK83" s="499"/>
      <c r="JYL83" s="499"/>
      <c r="JYM83" s="499"/>
      <c r="JYN83" s="499"/>
      <c r="JYO83" s="499"/>
      <c r="JYP83" s="499"/>
      <c r="JYQ83" s="499"/>
      <c r="JYR83" s="499"/>
      <c r="JYS83" s="499"/>
      <c r="JYT83" s="499"/>
      <c r="JYU83" s="499"/>
      <c r="JYV83" s="499"/>
      <c r="JYW83" s="499"/>
      <c r="JYX83" s="499"/>
      <c r="JYY83" s="499"/>
      <c r="JYZ83" s="499"/>
      <c r="JZA83" s="499"/>
      <c r="JZB83" s="499"/>
      <c r="JZC83" s="499"/>
      <c r="JZD83" s="499"/>
      <c r="JZE83" s="499"/>
      <c r="JZF83" s="499"/>
      <c r="JZG83" s="499"/>
      <c r="JZH83" s="499"/>
      <c r="JZI83" s="499"/>
      <c r="JZJ83" s="499"/>
      <c r="JZK83" s="499"/>
      <c r="JZL83" s="499"/>
      <c r="JZM83" s="499"/>
      <c r="JZN83" s="499"/>
      <c r="JZO83" s="499"/>
      <c r="JZP83" s="499"/>
      <c r="JZQ83" s="499"/>
      <c r="JZR83" s="499"/>
      <c r="JZS83" s="499"/>
      <c r="JZT83" s="499"/>
      <c r="JZU83" s="499"/>
      <c r="JZV83" s="499"/>
      <c r="JZW83" s="499"/>
      <c r="JZX83" s="499"/>
      <c r="JZY83" s="499"/>
      <c r="JZZ83" s="499"/>
      <c r="KAA83" s="499"/>
      <c r="KAB83" s="499"/>
      <c r="KAC83" s="499"/>
      <c r="KAD83" s="499"/>
      <c r="KAE83" s="499"/>
      <c r="KAF83" s="499"/>
      <c r="KAG83" s="499"/>
      <c r="KAH83" s="499"/>
      <c r="KAI83" s="499"/>
      <c r="KAJ83" s="499"/>
      <c r="KAK83" s="499"/>
      <c r="KAL83" s="499"/>
      <c r="KAM83" s="499"/>
      <c r="KAN83" s="499"/>
      <c r="KAO83" s="499"/>
      <c r="KAP83" s="499"/>
      <c r="KAQ83" s="499"/>
      <c r="KAR83" s="499"/>
      <c r="KAS83" s="499"/>
      <c r="KAT83" s="499"/>
      <c r="KAU83" s="499"/>
      <c r="KAV83" s="499"/>
      <c r="KAW83" s="499"/>
      <c r="KAX83" s="499"/>
      <c r="KAY83" s="499"/>
      <c r="KAZ83" s="499"/>
      <c r="KBA83" s="499"/>
      <c r="KBB83" s="499"/>
      <c r="KBC83" s="499"/>
      <c r="KBD83" s="499"/>
      <c r="KBE83" s="499"/>
      <c r="KBF83" s="499"/>
      <c r="KBG83" s="499"/>
      <c r="KBH83" s="499"/>
      <c r="KBI83" s="499"/>
      <c r="KBJ83" s="499"/>
      <c r="KBK83" s="499"/>
      <c r="KBL83" s="499"/>
      <c r="KBM83" s="499"/>
      <c r="KBN83" s="499"/>
      <c r="KBO83" s="499"/>
      <c r="KBP83" s="499"/>
      <c r="KBQ83" s="499"/>
      <c r="KBR83" s="499"/>
      <c r="KBS83" s="499"/>
      <c r="KBT83" s="499"/>
      <c r="KBU83" s="499"/>
      <c r="KBV83" s="499"/>
      <c r="KBW83" s="499"/>
      <c r="KBX83" s="499"/>
      <c r="KBY83" s="499"/>
      <c r="KBZ83" s="499"/>
      <c r="KCA83" s="499"/>
      <c r="KCB83" s="499"/>
      <c r="KCC83" s="499"/>
      <c r="KCD83" s="499"/>
      <c r="KCE83" s="499"/>
      <c r="KCF83" s="499"/>
      <c r="KCG83" s="499"/>
      <c r="KCH83" s="499"/>
      <c r="KCI83" s="499"/>
      <c r="KCJ83" s="499"/>
      <c r="KCK83" s="499"/>
      <c r="KCL83" s="499"/>
      <c r="KCM83" s="499"/>
      <c r="KCN83" s="499"/>
      <c r="KCO83" s="499"/>
      <c r="KCP83" s="499"/>
      <c r="KCQ83" s="499"/>
      <c r="KCR83" s="499"/>
      <c r="KCS83" s="499"/>
      <c r="KCT83" s="499"/>
      <c r="KCU83" s="499"/>
      <c r="KCV83" s="499"/>
      <c r="KCW83" s="499"/>
      <c r="KCX83" s="499"/>
      <c r="KCY83" s="499"/>
      <c r="KCZ83" s="499"/>
      <c r="KDA83" s="499"/>
      <c r="KDB83" s="499"/>
      <c r="KDC83" s="499"/>
      <c r="KDD83" s="499"/>
      <c r="KDE83" s="499"/>
      <c r="KDF83" s="499"/>
      <c r="KDG83" s="499"/>
      <c r="KDH83" s="499"/>
      <c r="KDI83" s="499"/>
      <c r="KDJ83" s="499"/>
      <c r="KDK83" s="499"/>
      <c r="KDL83" s="499"/>
      <c r="KDM83" s="499"/>
      <c r="KDN83" s="499"/>
      <c r="KDO83" s="499"/>
      <c r="KDP83" s="499"/>
      <c r="KDQ83" s="499"/>
      <c r="KDR83" s="499"/>
      <c r="KDS83" s="499"/>
      <c r="KDT83" s="499"/>
      <c r="KDU83" s="499"/>
      <c r="KDV83" s="499"/>
      <c r="KDW83" s="499"/>
      <c r="KDX83" s="499"/>
      <c r="KDY83" s="499"/>
      <c r="KDZ83" s="499"/>
      <c r="KEA83" s="499"/>
      <c r="KEB83" s="499"/>
      <c r="KEC83" s="499"/>
      <c r="KED83" s="499"/>
      <c r="KEE83" s="499"/>
      <c r="KEF83" s="499"/>
      <c r="KEG83" s="499"/>
      <c r="KEH83" s="499"/>
      <c r="KEI83" s="499"/>
      <c r="KEJ83" s="499"/>
      <c r="KEK83" s="499"/>
      <c r="KEL83" s="499"/>
      <c r="KEM83" s="499"/>
      <c r="KEN83" s="499"/>
      <c r="KEO83" s="499"/>
      <c r="KEP83" s="499"/>
      <c r="KEQ83" s="499"/>
      <c r="KER83" s="499"/>
      <c r="KES83" s="499"/>
      <c r="KET83" s="499"/>
      <c r="KEU83" s="499"/>
      <c r="KEV83" s="499"/>
      <c r="KEW83" s="499"/>
      <c r="KEX83" s="499"/>
      <c r="KEY83" s="499"/>
      <c r="KEZ83" s="499"/>
      <c r="KFA83" s="499"/>
      <c r="KFB83" s="499"/>
      <c r="KFC83" s="499"/>
      <c r="KFD83" s="499"/>
      <c r="KFE83" s="499"/>
      <c r="KFF83" s="499"/>
      <c r="KFG83" s="499"/>
      <c r="KFH83" s="499"/>
      <c r="KFI83" s="499"/>
      <c r="KFJ83" s="499"/>
      <c r="KFK83" s="499"/>
      <c r="KFL83" s="499"/>
      <c r="KFM83" s="499"/>
      <c r="KFN83" s="499"/>
      <c r="KFO83" s="499"/>
      <c r="KFP83" s="499"/>
      <c r="KFQ83" s="499"/>
      <c r="KFR83" s="499"/>
      <c r="KFS83" s="499"/>
      <c r="KFT83" s="499"/>
      <c r="KFU83" s="499"/>
      <c r="KFV83" s="499"/>
      <c r="KFW83" s="499"/>
      <c r="KFX83" s="499"/>
      <c r="KFY83" s="499"/>
      <c r="KFZ83" s="499"/>
      <c r="KGA83" s="499"/>
      <c r="KGB83" s="499"/>
      <c r="KGC83" s="499"/>
      <c r="KGD83" s="499"/>
      <c r="KGE83" s="499"/>
      <c r="KGF83" s="499"/>
      <c r="KGG83" s="499"/>
      <c r="KGH83" s="499"/>
      <c r="KGI83" s="499"/>
      <c r="KGJ83" s="499"/>
      <c r="KGK83" s="499"/>
      <c r="KGL83" s="499"/>
      <c r="KGM83" s="499"/>
      <c r="KGN83" s="499"/>
      <c r="KGO83" s="499"/>
      <c r="KGP83" s="499"/>
      <c r="KGQ83" s="499"/>
      <c r="KGR83" s="499"/>
      <c r="KGS83" s="499"/>
      <c r="KGT83" s="499"/>
      <c r="KGU83" s="499"/>
      <c r="KGV83" s="499"/>
      <c r="KGW83" s="499"/>
      <c r="KGX83" s="499"/>
      <c r="KGY83" s="499"/>
      <c r="KGZ83" s="499"/>
      <c r="KHA83" s="499"/>
      <c r="KHB83" s="499"/>
      <c r="KHC83" s="499"/>
      <c r="KHD83" s="499"/>
      <c r="KHE83" s="499"/>
      <c r="KHF83" s="499"/>
      <c r="KHG83" s="499"/>
      <c r="KHH83" s="499"/>
      <c r="KHI83" s="499"/>
      <c r="KHJ83" s="499"/>
      <c r="KHK83" s="499"/>
      <c r="KHL83" s="499"/>
      <c r="KHM83" s="499"/>
      <c r="KHN83" s="499"/>
      <c r="KHO83" s="499"/>
      <c r="KHP83" s="499"/>
      <c r="KHQ83" s="499"/>
      <c r="KHR83" s="499"/>
      <c r="KHS83" s="499"/>
      <c r="KHT83" s="499"/>
      <c r="KHU83" s="499"/>
      <c r="KHV83" s="499"/>
      <c r="KHW83" s="499"/>
      <c r="KHX83" s="499"/>
      <c r="KHY83" s="499"/>
      <c r="KHZ83" s="499"/>
      <c r="KIA83" s="499"/>
      <c r="KIB83" s="499"/>
      <c r="KIC83" s="499"/>
      <c r="KID83" s="499"/>
      <c r="KIE83" s="499"/>
      <c r="KIF83" s="499"/>
      <c r="KIG83" s="499"/>
      <c r="KIH83" s="499"/>
      <c r="KII83" s="499"/>
      <c r="KIJ83" s="499"/>
      <c r="KIK83" s="499"/>
      <c r="KIL83" s="499"/>
      <c r="KIM83" s="499"/>
      <c r="KIN83" s="499"/>
      <c r="KIO83" s="499"/>
      <c r="KIP83" s="499"/>
      <c r="KIQ83" s="499"/>
      <c r="KIR83" s="499"/>
      <c r="KIS83" s="499"/>
      <c r="KIT83" s="499"/>
      <c r="KIU83" s="499"/>
      <c r="KIV83" s="499"/>
      <c r="KIW83" s="499"/>
      <c r="KIX83" s="499"/>
      <c r="KIY83" s="499"/>
      <c r="KIZ83" s="499"/>
      <c r="KJA83" s="499"/>
      <c r="KJB83" s="499"/>
      <c r="KJC83" s="499"/>
      <c r="KJD83" s="499"/>
      <c r="KJE83" s="499"/>
      <c r="KJF83" s="499"/>
      <c r="KJG83" s="499"/>
      <c r="KJH83" s="499"/>
      <c r="KJI83" s="499"/>
      <c r="KJJ83" s="499"/>
      <c r="KJK83" s="499"/>
      <c r="KJL83" s="499"/>
      <c r="KJM83" s="499"/>
      <c r="KJN83" s="499"/>
      <c r="KJO83" s="499"/>
      <c r="KJP83" s="499"/>
      <c r="KJQ83" s="499"/>
      <c r="KJR83" s="499"/>
      <c r="KJS83" s="499"/>
      <c r="KJT83" s="499"/>
      <c r="KJU83" s="499"/>
      <c r="KJV83" s="499"/>
      <c r="KJW83" s="499"/>
      <c r="KJX83" s="499"/>
      <c r="KJY83" s="499"/>
      <c r="KJZ83" s="499"/>
      <c r="KKA83" s="499"/>
      <c r="KKB83" s="499"/>
      <c r="KKC83" s="499"/>
      <c r="KKD83" s="499"/>
      <c r="KKE83" s="499"/>
      <c r="KKF83" s="499"/>
      <c r="KKG83" s="499"/>
      <c r="KKH83" s="499"/>
      <c r="KKI83" s="499"/>
      <c r="KKJ83" s="499"/>
      <c r="KKK83" s="499"/>
      <c r="KKL83" s="499"/>
      <c r="KKM83" s="499"/>
      <c r="KKN83" s="499"/>
      <c r="KKO83" s="499"/>
      <c r="KKP83" s="499"/>
      <c r="KKQ83" s="499"/>
      <c r="KKR83" s="499"/>
      <c r="KKS83" s="499"/>
      <c r="KKT83" s="499"/>
      <c r="KKU83" s="499"/>
      <c r="KKV83" s="499"/>
      <c r="KKW83" s="499"/>
      <c r="KKX83" s="499"/>
      <c r="KKY83" s="499"/>
      <c r="KKZ83" s="499"/>
      <c r="KLA83" s="499"/>
      <c r="KLB83" s="499"/>
      <c r="KLC83" s="499"/>
      <c r="KLD83" s="499"/>
      <c r="KLE83" s="499"/>
      <c r="KLF83" s="499"/>
      <c r="KLG83" s="499"/>
      <c r="KLH83" s="499"/>
      <c r="KLI83" s="499"/>
      <c r="KLJ83" s="499"/>
      <c r="KLK83" s="499"/>
      <c r="KLL83" s="499"/>
      <c r="KLM83" s="499"/>
      <c r="KLN83" s="499"/>
      <c r="KLO83" s="499"/>
      <c r="KLP83" s="499"/>
      <c r="KLQ83" s="499"/>
      <c r="KLR83" s="499"/>
      <c r="KLS83" s="499"/>
      <c r="KLT83" s="499"/>
      <c r="KLU83" s="499"/>
      <c r="KLV83" s="499"/>
      <c r="KLW83" s="499"/>
      <c r="KLX83" s="499"/>
      <c r="KLY83" s="499"/>
      <c r="KLZ83" s="499"/>
      <c r="KMA83" s="499"/>
      <c r="KMB83" s="499"/>
      <c r="KMC83" s="499"/>
      <c r="KMD83" s="499"/>
      <c r="KME83" s="499"/>
      <c r="KMF83" s="499"/>
      <c r="KMG83" s="499"/>
      <c r="KMH83" s="499"/>
      <c r="KMI83" s="499"/>
      <c r="KMJ83" s="499"/>
      <c r="KMK83" s="499"/>
      <c r="KML83" s="499"/>
      <c r="KMM83" s="499"/>
      <c r="KMN83" s="499"/>
      <c r="KMO83" s="499"/>
      <c r="KMP83" s="499"/>
      <c r="KMQ83" s="499"/>
      <c r="KMR83" s="499"/>
      <c r="KMS83" s="499"/>
      <c r="KMT83" s="499"/>
      <c r="KMU83" s="499"/>
      <c r="KMV83" s="499"/>
      <c r="KMW83" s="499"/>
      <c r="KMX83" s="499"/>
      <c r="KMY83" s="499"/>
      <c r="KMZ83" s="499"/>
      <c r="KNA83" s="499"/>
      <c r="KNB83" s="499"/>
      <c r="KNC83" s="499"/>
      <c r="KND83" s="499"/>
      <c r="KNE83" s="499"/>
      <c r="KNF83" s="499"/>
      <c r="KNG83" s="499"/>
      <c r="KNH83" s="499"/>
      <c r="KNI83" s="499"/>
      <c r="KNJ83" s="499"/>
      <c r="KNK83" s="499"/>
      <c r="KNL83" s="499"/>
      <c r="KNM83" s="499"/>
      <c r="KNN83" s="499"/>
      <c r="KNO83" s="499"/>
      <c r="KNP83" s="499"/>
      <c r="KNQ83" s="499"/>
      <c r="KNR83" s="499"/>
      <c r="KNS83" s="499"/>
      <c r="KNT83" s="499"/>
      <c r="KNU83" s="499"/>
      <c r="KNV83" s="499"/>
      <c r="KNW83" s="499"/>
      <c r="KNX83" s="499"/>
      <c r="KNY83" s="499"/>
      <c r="KNZ83" s="499"/>
      <c r="KOA83" s="499"/>
      <c r="KOB83" s="499"/>
      <c r="KOC83" s="499"/>
      <c r="KOD83" s="499"/>
      <c r="KOE83" s="499"/>
      <c r="KOF83" s="499"/>
      <c r="KOG83" s="499"/>
      <c r="KOH83" s="499"/>
      <c r="KOI83" s="499"/>
      <c r="KOJ83" s="499"/>
      <c r="KOK83" s="499"/>
      <c r="KOL83" s="499"/>
      <c r="KOM83" s="499"/>
      <c r="KON83" s="499"/>
      <c r="KOO83" s="499"/>
      <c r="KOP83" s="499"/>
      <c r="KOQ83" s="499"/>
      <c r="KOR83" s="499"/>
      <c r="KOS83" s="499"/>
      <c r="KOT83" s="499"/>
      <c r="KOU83" s="499"/>
      <c r="KOV83" s="499"/>
      <c r="KOW83" s="499"/>
      <c r="KOX83" s="499"/>
      <c r="KOY83" s="499"/>
      <c r="KOZ83" s="499"/>
      <c r="KPA83" s="499"/>
      <c r="KPB83" s="499"/>
      <c r="KPC83" s="499"/>
      <c r="KPD83" s="499"/>
      <c r="KPE83" s="499"/>
      <c r="KPF83" s="499"/>
      <c r="KPG83" s="499"/>
      <c r="KPH83" s="499"/>
      <c r="KPI83" s="499"/>
      <c r="KPJ83" s="499"/>
      <c r="KPK83" s="499"/>
      <c r="KPL83" s="499"/>
      <c r="KPM83" s="499"/>
      <c r="KPN83" s="499"/>
      <c r="KPO83" s="499"/>
      <c r="KPP83" s="499"/>
      <c r="KPQ83" s="499"/>
      <c r="KPR83" s="499"/>
      <c r="KPS83" s="499"/>
      <c r="KPT83" s="499"/>
      <c r="KPU83" s="499"/>
      <c r="KPV83" s="499"/>
      <c r="KPW83" s="499"/>
      <c r="KPX83" s="499"/>
      <c r="KPY83" s="499"/>
      <c r="KPZ83" s="499"/>
      <c r="KQA83" s="499"/>
      <c r="KQB83" s="499"/>
      <c r="KQC83" s="499"/>
      <c r="KQD83" s="499"/>
      <c r="KQE83" s="499"/>
      <c r="KQF83" s="499"/>
      <c r="KQG83" s="499"/>
      <c r="KQH83" s="499"/>
      <c r="KQI83" s="499"/>
      <c r="KQJ83" s="499"/>
      <c r="KQK83" s="499"/>
      <c r="KQL83" s="499"/>
      <c r="KQM83" s="499"/>
      <c r="KQN83" s="499"/>
      <c r="KQO83" s="499"/>
      <c r="KQP83" s="499"/>
      <c r="KQQ83" s="499"/>
      <c r="KQR83" s="499"/>
      <c r="KQS83" s="499"/>
      <c r="KQT83" s="499"/>
      <c r="KQU83" s="499"/>
      <c r="KQV83" s="499"/>
      <c r="KQW83" s="499"/>
      <c r="KQX83" s="499"/>
      <c r="KQY83" s="499"/>
      <c r="KQZ83" s="499"/>
      <c r="KRA83" s="499"/>
      <c r="KRB83" s="499"/>
      <c r="KRC83" s="499"/>
      <c r="KRD83" s="499"/>
      <c r="KRE83" s="499"/>
      <c r="KRF83" s="499"/>
      <c r="KRG83" s="499"/>
      <c r="KRH83" s="499"/>
      <c r="KRI83" s="499"/>
      <c r="KRJ83" s="499"/>
      <c r="KRK83" s="499"/>
      <c r="KRL83" s="499"/>
      <c r="KRM83" s="499"/>
      <c r="KRN83" s="499"/>
      <c r="KRO83" s="499"/>
      <c r="KRP83" s="499"/>
      <c r="KRQ83" s="499"/>
      <c r="KRR83" s="499"/>
      <c r="KRS83" s="499"/>
      <c r="KRT83" s="499"/>
      <c r="KRU83" s="499"/>
      <c r="KRV83" s="499"/>
      <c r="KRW83" s="499"/>
      <c r="KRX83" s="499"/>
      <c r="KRY83" s="499"/>
      <c r="KRZ83" s="499"/>
      <c r="KSA83" s="499"/>
      <c r="KSB83" s="499"/>
      <c r="KSC83" s="499"/>
      <c r="KSD83" s="499"/>
      <c r="KSE83" s="499"/>
      <c r="KSF83" s="499"/>
      <c r="KSG83" s="499"/>
      <c r="KSH83" s="499"/>
      <c r="KSI83" s="499"/>
      <c r="KSJ83" s="499"/>
      <c r="KSK83" s="499"/>
      <c r="KSL83" s="499"/>
      <c r="KSM83" s="499"/>
      <c r="KSN83" s="499"/>
      <c r="KSO83" s="499"/>
      <c r="KSP83" s="499"/>
      <c r="KSQ83" s="499"/>
      <c r="KSR83" s="499"/>
      <c r="KSS83" s="499"/>
      <c r="KST83" s="499"/>
      <c r="KSU83" s="499"/>
      <c r="KSV83" s="499"/>
      <c r="KSW83" s="499"/>
      <c r="KSX83" s="499"/>
      <c r="KSY83" s="499"/>
      <c r="KSZ83" s="499"/>
      <c r="KTA83" s="499"/>
      <c r="KTB83" s="499"/>
      <c r="KTC83" s="499"/>
      <c r="KTD83" s="499"/>
      <c r="KTE83" s="499"/>
      <c r="KTF83" s="499"/>
      <c r="KTG83" s="499"/>
      <c r="KTH83" s="499"/>
      <c r="KTI83" s="499"/>
      <c r="KTJ83" s="499"/>
      <c r="KTK83" s="499"/>
      <c r="KTL83" s="499"/>
      <c r="KTM83" s="499"/>
      <c r="KTN83" s="499"/>
      <c r="KTO83" s="499"/>
      <c r="KTP83" s="499"/>
      <c r="KTQ83" s="499"/>
      <c r="KTR83" s="499"/>
      <c r="KTS83" s="499"/>
      <c r="KTT83" s="499"/>
      <c r="KTU83" s="499"/>
      <c r="KTV83" s="499"/>
      <c r="KTW83" s="499"/>
      <c r="KTX83" s="499"/>
      <c r="KTY83" s="499"/>
      <c r="KTZ83" s="499"/>
      <c r="KUA83" s="499"/>
      <c r="KUB83" s="499"/>
      <c r="KUC83" s="499"/>
      <c r="KUD83" s="499"/>
      <c r="KUE83" s="499"/>
      <c r="KUF83" s="499"/>
      <c r="KUG83" s="499"/>
      <c r="KUH83" s="499"/>
      <c r="KUI83" s="499"/>
      <c r="KUJ83" s="499"/>
      <c r="KUK83" s="499"/>
      <c r="KUL83" s="499"/>
      <c r="KUM83" s="499"/>
      <c r="KUN83" s="499"/>
      <c r="KUO83" s="499"/>
      <c r="KUP83" s="499"/>
      <c r="KUQ83" s="499"/>
      <c r="KUR83" s="499"/>
      <c r="KUS83" s="499"/>
      <c r="KUT83" s="499"/>
      <c r="KUU83" s="499"/>
      <c r="KUV83" s="499"/>
      <c r="KUW83" s="499"/>
      <c r="KUX83" s="499"/>
      <c r="KUY83" s="499"/>
      <c r="KUZ83" s="499"/>
      <c r="KVA83" s="499"/>
      <c r="KVB83" s="499"/>
      <c r="KVC83" s="499"/>
      <c r="KVD83" s="499"/>
      <c r="KVE83" s="499"/>
      <c r="KVF83" s="499"/>
      <c r="KVG83" s="499"/>
      <c r="KVH83" s="499"/>
      <c r="KVI83" s="499"/>
      <c r="KVJ83" s="499"/>
      <c r="KVK83" s="499"/>
      <c r="KVL83" s="499"/>
      <c r="KVM83" s="499"/>
      <c r="KVN83" s="499"/>
      <c r="KVO83" s="499"/>
      <c r="KVP83" s="499"/>
      <c r="KVQ83" s="499"/>
      <c r="KVR83" s="499"/>
      <c r="KVS83" s="499"/>
      <c r="KVT83" s="499"/>
      <c r="KVU83" s="499"/>
      <c r="KVV83" s="499"/>
      <c r="KVW83" s="499"/>
      <c r="KVX83" s="499"/>
      <c r="KVY83" s="499"/>
      <c r="KVZ83" s="499"/>
      <c r="KWA83" s="499"/>
      <c r="KWB83" s="499"/>
      <c r="KWC83" s="499"/>
      <c r="KWD83" s="499"/>
      <c r="KWE83" s="499"/>
      <c r="KWF83" s="499"/>
      <c r="KWG83" s="499"/>
      <c r="KWH83" s="499"/>
      <c r="KWI83" s="499"/>
      <c r="KWJ83" s="499"/>
      <c r="KWK83" s="499"/>
      <c r="KWL83" s="499"/>
      <c r="KWM83" s="499"/>
      <c r="KWN83" s="499"/>
      <c r="KWO83" s="499"/>
      <c r="KWP83" s="499"/>
      <c r="KWQ83" s="499"/>
      <c r="KWR83" s="499"/>
      <c r="KWS83" s="499"/>
      <c r="KWT83" s="499"/>
      <c r="KWU83" s="499"/>
      <c r="KWV83" s="499"/>
      <c r="KWW83" s="499"/>
      <c r="KWX83" s="499"/>
      <c r="KWY83" s="499"/>
      <c r="KWZ83" s="499"/>
      <c r="KXA83" s="499"/>
      <c r="KXB83" s="499"/>
      <c r="KXC83" s="499"/>
      <c r="KXD83" s="499"/>
      <c r="KXE83" s="499"/>
      <c r="KXF83" s="499"/>
      <c r="KXG83" s="499"/>
      <c r="KXH83" s="499"/>
      <c r="KXI83" s="499"/>
      <c r="KXJ83" s="499"/>
      <c r="KXK83" s="499"/>
      <c r="KXL83" s="499"/>
      <c r="KXM83" s="499"/>
      <c r="KXN83" s="499"/>
      <c r="KXO83" s="499"/>
      <c r="KXP83" s="499"/>
      <c r="KXQ83" s="499"/>
      <c r="KXR83" s="499"/>
      <c r="KXS83" s="499"/>
      <c r="KXT83" s="499"/>
      <c r="KXU83" s="499"/>
      <c r="KXV83" s="499"/>
      <c r="KXW83" s="499"/>
      <c r="KXX83" s="499"/>
      <c r="KXY83" s="499"/>
      <c r="KXZ83" s="499"/>
      <c r="KYA83" s="499"/>
      <c r="KYB83" s="499"/>
      <c r="KYC83" s="499"/>
      <c r="KYD83" s="499"/>
      <c r="KYE83" s="499"/>
      <c r="KYF83" s="499"/>
      <c r="KYG83" s="499"/>
      <c r="KYH83" s="499"/>
      <c r="KYI83" s="499"/>
      <c r="KYJ83" s="499"/>
      <c r="KYK83" s="499"/>
      <c r="KYL83" s="499"/>
      <c r="KYM83" s="499"/>
      <c r="KYN83" s="499"/>
      <c r="KYO83" s="499"/>
      <c r="KYP83" s="499"/>
      <c r="KYQ83" s="499"/>
      <c r="KYR83" s="499"/>
      <c r="KYS83" s="499"/>
      <c r="KYT83" s="499"/>
      <c r="KYU83" s="499"/>
      <c r="KYV83" s="499"/>
      <c r="KYW83" s="499"/>
      <c r="KYX83" s="499"/>
      <c r="KYY83" s="499"/>
      <c r="KYZ83" s="499"/>
      <c r="KZA83" s="499"/>
      <c r="KZB83" s="499"/>
      <c r="KZC83" s="499"/>
      <c r="KZD83" s="499"/>
      <c r="KZE83" s="499"/>
      <c r="KZF83" s="499"/>
      <c r="KZG83" s="499"/>
      <c r="KZH83" s="499"/>
      <c r="KZI83" s="499"/>
      <c r="KZJ83" s="499"/>
      <c r="KZK83" s="499"/>
      <c r="KZL83" s="499"/>
      <c r="KZM83" s="499"/>
      <c r="KZN83" s="499"/>
      <c r="KZO83" s="499"/>
      <c r="KZP83" s="499"/>
      <c r="KZQ83" s="499"/>
      <c r="KZR83" s="499"/>
      <c r="KZS83" s="499"/>
      <c r="KZT83" s="499"/>
      <c r="KZU83" s="499"/>
      <c r="KZV83" s="499"/>
      <c r="KZW83" s="499"/>
      <c r="KZX83" s="499"/>
      <c r="KZY83" s="499"/>
      <c r="KZZ83" s="499"/>
      <c r="LAA83" s="499"/>
      <c r="LAB83" s="499"/>
      <c r="LAC83" s="499"/>
      <c r="LAD83" s="499"/>
      <c r="LAE83" s="499"/>
      <c r="LAF83" s="499"/>
      <c r="LAG83" s="499"/>
      <c r="LAH83" s="499"/>
      <c r="LAI83" s="499"/>
      <c r="LAJ83" s="499"/>
      <c r="LAK83" s="499"/>
      <c r="LAL83" s="499"/>
      <c r="LAM83" s="499"/>
      <c r="LAN83" s="499"/>
      <c r="LAO83" s="499"/>
      <c r="LAP83" s="499"/>
      <c r="LAQ83" s="499"/>
      <c r="LAR83" s="499"/>
      <c r="LAS83" s="499"/>
      <c r="LAT83" s="499"/>
      <c r="LAU83" s="499"/>
      <c r="LAV83" s="499"/>
      <c r="LAW83" s="499"/>
      <c r="LAX83" s="499"/>
      <c r="LAY83" s="499"/>
      <c r="LAZ83" s="499"/>
      <c r="LBA83" s="499"/>
      <c r="LBB83" s="499"/>
      <c r="LBC83" s="499"/>
      <c r="LBD83" s="499"/>
      <c r="LBE83" s="499"/>
      <c r="LBF83" s="499"/>
      <c r="LBG83" s="499"/>
      <c r="LBH83" s="499"/>
      <c r="LBI83" s="499"/>
      <c r="LBJ83" s="499"/>
      <c r="LBK83" s="499"/>
      <c r="LBL83" s="499"/>
      <c r="LBM83" s="499"/>
      <c r="LBN83" s="499"/>
      <c r="LBO83" s="499"/>
      <c r="LBP83" s="499"/>
      <c r="LBQ83" s="499"/>
      <c r="LBR83" s="499"/>
      <c r="LBS83" s="499"/>
      <c r="LBT83" s="499"/>
      <c r="LBU83" s="499"/>
      <c r="LBV83" s="499"/>
      <c r="LBW83" s="499"/>
      <c r="LBX83" s="499"/>
      <c r="LBY83" s="499"/>
      <c r="LBZ83" s="499"/>
      <c r="LCA83" s="499"/>
      <c r="LCB83" s="499"/>
      <c r="LCC83" s="499"/>
      <c r="LCD83" s="499"/>
      <c r="LCE83" s="499"/>
      <c r="LCF83" s="499"/>
      <c r="LCG83" s="499"/>
      <c r="LCH83" s="499"/>
      <c r="LCI83" s="499"/>
      <c r="LCJ83" s="499"/>
      <c r="LCK83" s="499"/>
      <c r="LCL83" s="499"/>
      <c r="LCM83" s="499"/>
      <c r="LCN83" s="499"/>
      <c r="LCO83" s="499"/>
      <c r="LCP83" s="499"/>
      <c r="LCQ83" s="499"/>
      <c r="LCR83" s="499"/>
      <c r="LCS83" s="499"/>
      <c r="LCT83" s="499"/>
      <c r="LCU83" s="499"/>
      <c r="LCV83" s="499"/>
      <c r="LCW83" s="499"/>
      <c r="LCX83" s="499"/>
      <c r="LCY83" s="499"/>
      <c r="LCZ83" s="499"/>
      <c r="LDA83" s="499"/>
      <c r="LDB83" s="499"/>
      <c r="LDC83" s="499"/>
      <c r="LDD83" s="499"/>
      <c r="LDE83" s="499"/>
      <c r="LDF83" s="499"/>
      <c r="LDG83" s="499"/>
      <c r="LDH83" s="499"/>
      <c r="LDI83" s="499"/>
      <c r="LDJ83" s="499"/>
      <c r="LDK83" s="499"/>
      <c r="LDL83" s="499"/>
      <c r="LDM83" s="499"/>
      <c r="LDN83" s="499"/>
      <c r="LDO83" s="499"/>
      <c r="LDP83" s="499"/>
      <c r="LDQ83" s="499"/>
      <c r="LDR83" s="499"/>
      <c r="LDS83" s="499"/>
      <c r="LDT83" s="499"/>
      <c r="LDU83" s="499"/>
      <c r="LDV83" s="499"/>
      <c r="LDW83" s="499"/>
      <c r="LDX83" s="499"/>
      <c r="LDY83" s="499"/>
      <c r="LDZ83" s="499"/>
      <c r="LEA83" s="499"/>
      <c r="LEB83" s="499"/>
      <c r="LEC83" s="499"/>
      <c r="LED83" s="499"/>
      <c r="LEE83" s="499"/>
      <c r="LEF83" s="499"/>
      <c r="LEG83" s="499"/>
      <c r="LEH83" s="499"/>
      <c r="LEI83" s="499"/>
      <c r="LEJ83" s="499"/>
      <c r="LEK83" s="499"/>
      <c r="LEL83" s="499"/>
      <c r="LEM83" s="499"/>
      <c r="LEN83" s="499"/>
      <c r="LEO83" s="499"/>
      <c r="LEP83" s="499"/>
      <c r="LEQ83" s="499"/>
      <c r="LER83" s="499"/>
      <c r="LES83" s="499"/>
      <c r="LET83" s="499"/>
      <c r="LEU83" s="499"/>
      <c r="LEV83" s="499"/>
      <c r="LEW83" s="499"/>
      <c r="LEX83" s="499"/>
      <c r="LEY83" s="499"/>
      <c r="LEZ83" s="499"/>
      <c r="LFA83" s="499"/>
      <c r="LFB83" s="499"/>
      <c r="LFC83" s="499"/>
      <c r="LFD83" s="499"/>
      <c r="LFE83" s="499"/>
      <c r="LFF83" s="499"/>
      <c r="LFG83" s="499"/>
      <c r="LFH83" s="499"/>
      <c r="LFI83" s="499"/>
      <c r="LFJ83" s="499"/>
      <c r="LFK83" s="499"/>
      <c r="LFL83" s="499"/>
      <c r="LFM83" s="499"/>
      <c r="LFN83" s="499"/>
      <c r="LFO83" s="499"/>
      <c r="LFP83" s="499"/>
      <c r="LFQ83" s="499"/>
      <c r="LFR83" s="499"/>
      <c r="LFS83" s="499"/>
      <c r="LFT83" s="499"/>
      <c r="LFU83" s="499"/>
      <c r="LFV83" s="499"/>
      <c r="LFW83" s="499"/>
      <c r="LFX83" s="499"/>
      <c r="LFY83" s="499"/>
      <c r="LFZ83" s="499"/>
      <c r="LGA83" s="499"/>
      <c r="LGB83" s="499"/>
      <c r="LGC83" s="499"/>
      <c r="LGD83" s="499"/>
      <c r="LGE83" s="499"/>
      <c r="LGF83" s="499"/>
      <c r="LGG83" s="499"/>
      <c r="LGH83" s="499"/>
      <c r="LGI83" s="499"/>
      <c r="LGJ83" s="499"/>
      <c r="LGK83" s="499"/>
      <c r="LGL83" s="499"/>
      <c r="LGM83" s="499"/>
      <c r="LGN83" s="499"/>
      <c r="LGO83" s="499"/>
      <c r="LGP83" s="499"/>
      <c r="LGQ83" s="499"/>
      <c r="LGR83" s="499"/>
      <c r="LGS83" s="499"/>
      <c r="LGT83" s="499"/>
      <c r="LGU83" s="499"/>
      <c r="LGV83" s="499"/>
      <c r="LGW83" s="499"/>
      <c r="LGX83" s="499"/>
      <c r="LGY83" s="499"/>
      <c r="LGZ83" s="499"/>
      <c r="LHA83" s="499"/>
      <c r="LHB83" s="499"/>
      <c r="LHC83" s="499"/>
      <c r="LHD83" s="499"/>
      <c r="LHE83" s="499"/>
      <c r="LHF83" s="499"/>
      <c r="LHG83" s="499"/>
      <c r="LHH83" s="499"/>
      <c r="LHI83" s="499"/>
      <c r="LHJ83" s="499"/>
      <c r="LHK83" s="499"/>
      <c r="LHL83" s="499"/>
      <c r="LHM83" s="499"/>
      <c r="LHN83" s="499"/>
      <c r="LHO83" s="499"/>
      <c r="LHP83" s="499"/>
      <c r="LHQ83" s="499"/>
      <c r="LHR83" s="499"/>
      <c r="LHS83" s="499"/>
      <c r="LHT83" s="499"/>
      <c r="LHU83" s="499"/>
      <c r="LHV83" s="499"/>
      <c r="LHW83" s="499"/>
      <c r="LHX83" s="499"/>
      <c r="LHY83" s="499"/>
      <c r="LHZ83" s="499"/>
      <c r="LIA83" s="499"/>
      <c r="LIB83" s="499"/>
      <c r="LIC83" s="499"/>
      <c r="LID83" s="499"/>
      <c r="LIE83" s="499"/>
      <c r="LIF83" s="499"/>
      <c r="LIG83" s="499"/>
      <c r="LIH83" s="499"/>
      <c r="LII83" s="499"/>
      <c r="LIJ83" s="499"/>
      <c r="LIK83" s="499"/>
      <c r="LIL83" s="499"/>
      <c r="LIM83" s="499"/>
      <c r="LIN83" s="499"/>
      <c r="LIO83" s="499"/>
      <c r="LIP83" s="499"/>
      <c r="LIQ83" s="499"/>
      <c r="LIR83" s="499"/>
      <c r="LIS83" s="499"/>
      <c r="LIT83" s="499"/>
      <c r="LIU83" s="499"/>
      <c r="LIV83" s="499"/>
      <c r="LIW83" s="499"/>
      <c r="LIX83" s="499"/>
      <c r="LIY83" s="499"/>
      <c r="LIZ83" s="499"/>
      <c r="LJA83" s="499"/>
      <c r="LJB83" s="499"/>
      <c r="LJC83" s="499"/>
      <c r="LJD83" s="499"/>
      <c r="LJE83" s="499"/>
      <c r="LJF83" s="499"/>
      <c r="LJG83" s="499"/>
      <c r="LJH83" s="499"/>
      <c r="LJI83" s="499"/>
      <c r="LJJ83" s="499"/>
      <c r="LJK83" s="499"/>
      <c r="LJL83" s="499"/>
      <c r="LJM83" s="499"/>
      <c r="LJN83" s="499"/>
      <c r="LJO83" s="499"/>
      <c r="LJP83" s="499"/>
      <c r="LJQ83" s="499"/>
      <c r="LJR83" s="499"/>
      <c r="LJS83" s="499"/>
      <c r="LJT83" s="499"/>
      <c r="LJU83" s="499"/>
      <c r="LJV83" s="499"/>
      <c r="LJW83" s="499"/>
      <c r="LJX83" s="499"/>
      <c r="LJY83" s="499"/>
      <c r="LJZ83" s="499"/>
      <c r="LKA83" s="499"/>
      <c r="LKB83" s="499"/>
      <c r="LKC83" s="499"/>
      <c r="LKD83" s="499"/>
      <c r="LKE83" s="499"/>
      <c r="LKF83" s="499"/>
      <c r="LKG83" s="499"/>
      <c r="LKH83" s="499"/>
      <c r="LKI83" s="499"/>
      <c r="LKJ83" s="499"/>
      <c r="LKK83" s="499"/>
      <c r="LKL83" s="499"/>
      <c r="LKM83" s="499"/>
      <c r="LKN83" s="499"/>
      <c r="LKO83" s="499"/>
      <c r="LKP83" s="499"/>
      <c r="LKQ83" s="499"/>
      <c r="LKR83" s="499"/>
      <c r="LKS83" s="499"/>
      <c r="LKT83" s="499"/>
      <c r="LKU83" s="499"/>
      <c r="LKV83" s="499"/>
      <c r="LKW83" s="499"/>
      <c r="LKX83" s="499"/>
      <c r="LKY83" s="499"/>
      <c r="LKZ83" s="499"/>
      <c r="LLA83" s="499"/>
      <c r="LLB83" s="499"/>
      <c r="LLC83" s="499"/>
      <c r="LLD83" s="499"/>
      <c r="LLE83" s="499"/>
      <c r="LLF83" s="499"/>
      <c r="LLG83" s="499"/>
      <c r="LLH83" s="499"/>
      <c r="LLI83" s="499"/>
      <c r="LLJ83" s="499"/>
      <c r="LLK83" s="499"/>
      <c r="LLL83" s="499"/>
      <c r="LLM83" s="499"/>
      <c r="LLN83" s="499"/>
      <c r="LLO83" s="499"/>
      <c r="LLP83" s="499"/>
      <c r="LLQ83" s="499"/>
      <c r="LLR83" s="499"/>
      <c r="LLS83" s="499"/>
      <c r="LLT83" s="499"/>
      <c r="LLU83" s="499"/>
      <c r="LLV83" s="499"/>
      <c r="LLW83" s="499"/>
      <c r="LLX83" s="499"/>
      <c r="LLY83" s="499"/>
      <c r="LLZ83" s="499"/>
      <c r="LMA83" s="499"/>
      <c r="LMB83" s="499"/>
      <c r="LMC83" s="499"/>
      <c r="LMD83" s="499"/>
      <c r="LME83" s="499"/>
      <c r="LMF83" s="499"/>
      <c r="LMG83" s="499"/>
      <c r="LMH83" s="499"/>
      <c r="LMI83" s="499"/>
      <c r="LMJ83" s="499"/>
      <c r="LMK83" s="499"/>
      <c r="LML83" s="499"/>
      <c r="LMM83" s="499"/>
      <c r="LMN83" s="499"/>
      <c r="LMO83" s="499"/>
      <c r="LMP83" s="499"/>
      <c r="LMQ83" s="499"/>
      <c r="LMR83" s="499"/>
      <c r="LMS83" s="499"/>
      <c r="LMT83" s="499"/>
      <c r="LMU83" s="499"/>
      <c r="LMV83" s="499"/>
      <c r="LMW83" s="499"/>
      <c r="LMX83" s="499"/>
      <c r="LMY83" s="499"/>
      <c r="LMZ83" s="499"/>
      <c r="LNA83" s="499"/>
      <c r="LNB83" s="499"/>
      <c r="LNC83" s="499"/>
      <c r="LND83" s="499"/>
      <c r="LNE83" s="499"/>
      <c r="LNF83" s="499"/>
      <c r="LNG83" s="499"/>
      <c r="LNH83" s="499"/>
      <c r="LNI83" s="499"/>
      <c r="LNJ83" s="499"/>
      <c r="LNK83" s="499"/>
      <c r="LNL83" s="499"/>
      <c r="LNM83" s="499"/>
      <c r="LNN83" s="499"/>
      <c r="LNO83" s="499"/>
      <c r="LNP83" s="499"/>
      <c r="LNQ83" s="499"/>
      <c r="LNR83" s="499"/>
      <c r="LNS83" s="499"/>
      <c r="LNT83" s="499"/>
      <c r="LNU83" s="499"/>
      <c r="LNV83" s="499"/>
      <c r="LNW83" s="499"/>
      <c r="LNX83" s="499"/>
      <c r="LNY83" s="499"/>
      <c r="LNZ83" s="499"/>
      <c r="LOA83" s="499"/>
      <c r="LOB83" s="499"/>
      <c r="LOC83" s="499"/>
      <c r="LOD83" s="499"/>
      <c r="LOE83" s="499"/>
      <c r="LOF83" s="499"/>
      <c r="LOG83" s="499"/>
      <c r="LOH83" s="499"/>
      <c r="LOI83" s="499"/>
      <c r="LOJ83" s="499"/>
      <c r="LOK83" s="499"/>
      <c r="LOL83" s="499"/>
      <c r="LOM83" s="499"/>
      <c r="LON83" s="499"/>
      <c r="LOO83" s="499"/>
      <c r="LOP83" s="499"/>
      <c r="LOQ83" s="499"/>
      <c r="LOR83" s="499"/>
      <c r="LOS83" s="499"/>
      <c r="LOT83" s="499"/>
      <c r="LOU83" s="499"/>
      <c r="LOV83" s="499"/>
      <c r="LOW83" s="499"/>
      <c r="LOX83" s="499"/>
      <c r="LOY83" s="499"/>
      <c r="LOZ83" s="499"/>
      <c r="LPA83" s="499"/>
      <c r="LPB83" s="499"/>
      <c r="LPC83" s="499"/>
      <c r="LPD83" s="499"/>
      <c r="LPE83" s="499"/>
      <c r="LPF83" s="499"/>
      <c r="LPG83" s="499"/>
      <c r="LPH83" s="499"/>
      <c r="LPI83" s="499"/>
      <c r="LPJ83" s="499"/>
      <c r="LPK83" s="499"/>
      <c r="LPL83" s="499"/>
      <c r="LPM83" s="499"/>
      <c r="LPN83" s="499"/>
      <c r="LPO83" s="499"/>
      <c r="LPP83" s="499"/>
      <c r="LPQ83" s="499"/>
      <c r="LPR83" s="499"/>
      <c r="LPS83" s="499"/>
      <c r="LPT83" s="499"/>
      <c r="LPU83" s="499"/>
      <c r="LPV83" s="499"/>
      <c r="LPW83" s="499"/>
      <c r="LPX83" s="499"/>
      <c r="LPY83" s="499"/>
      <c r="LPZ83" s="499"/>
      <c r="LQA83" s="499"/>
      <c r="LQB83" s="499"/>
      <c r="LQC83" s="499"/>
      <c r="LQD83" s="499"/>
      <c r="LQE83" s="499"/>
      <c r="LQF83" s="499"/>
      <c r="LQG83" s="499"/>
      <c r="LQH83" s="499"/>
      <c r="LQI83" s="499"/>
      <c r="LQJ83" s="499"/>
      <c r="LQK83" s="499"/>
      <c r="LQL83" s="499"/>
      <c r="LQM83" s="499"/>
      <c r="LQN83" s="499"/>
      <c r="LQO83" s="499"/>
      <c r="LQP83" s="499"/>
      <c r="LQQ83" s="499"/>
      <c r="LQR83" s="499"/>
      <c r="LQS83" s="499"/>
      <c r="LQT83" s="499"/>
      <c r="LQU83" s="499"/>
      <c r="LQV83" s="499"/>
      <c r="LQW83" s="499"/>
      <c r="LQX83" s="499"/>
      <c r="LQY83" s="499"/>
      <c r="LQZ83" s="499"/>
      <c r="LRA83" s="499"/>
      <c r="LRB83" s="499"/>
      <c r="LRC83" s="499"/>
      <c r="LRD83" s="499"/>
      <c r="LRE83" s="499"/>
      <c r="LRF83" s="499"/>
      <c r="LRG83" s="499"/>
      <c r="LRH83" s="499"/>
      <c r="LRI83" s="499"/>
      <c r="LRJ83" s="499"/>
      <c r="LRK83" s="499"/>
      <c r="LRL83" s="499"/>
      <c r="LRM83" s="499"/>
      <c r="LRN83" s="499"/>
      <c r="LRO83" s="499"/>
      <c r="LRP83" s="499"/>
      <c r="LRQ83" s="499"/>
      <c r="LRR83" s="499"/>
      <c r="LRS83" s="499"/>
      <c r="LRT83" s="499"/>
      <c r="LRU83" s="499"/>
      <c r="LRV83" s="499"/>
      <c r="LRW83" s="499"/>
      <c r="LRX83" s="499"/>
      <c r="LRY83" s="499"/>
      <c r="LRZ83" s="499"/>
      <c r="LSA83" s="499"/>
      <c r="LSB83" s="499"/>
      <c r="LSC83" s="499"/>
      <c r="LSD83" s="499"/>
      <c r="LSE83" s="499"/>
      <c r="LSF83" s="499"/>
      <c r="LSG83" s="499"/>
      <c r="LSH83" s="499"/>
      <c r="LSI83" s="499"/>
      <c r="LSJ83" s="499"/>
      <c r="LSK83" s="499"/>
      <c r="LSL83" s="499"/>
      <c r="LSM83" s="499"/>
      <c r="LSN83" s="499"/>
      <c r="LSO83" s="499"/>
      <c r="LSP83" s="499"/>
      <c r="LSQ83" s="499"/>
      <c r="LSR83" s="499"/>
      <c r="LSS83" s="499"/>
      <c r="LST83" s="499"/>
      <c r="LSU83" s="499"/>
      <c r="LSV83" s="499"/>
      <c r="LSW83" s="499"/>
      <c r="LSX83" s="499"/>
      <c r="LSY83" s="499"/>
      <c r="LSZ83" s="499"/>
      <c r="LTA83" s="499"/>
      <c r="LTB83" s="499"/>
      <c r="LTC83" s="499"/>
      <c r="LTD83" s="499"/>
      <c r="LTE83" s="499"/>
      <c r="LTF83" s="499"/>
      <c r="LTG83" s="499"/>
      <c r="LTH83" s="499"/>
      <c r="LTI83" s="499"/>
      <c r="LTJ83" s="499"/>
      <c r="LTK83" s="499"/>
      <c r="LTL83" s="499"/>
      <c r="LTM83" s="499"/>
      <c r="LTN83" s="499"/>
      <c r="LTO83" s="499"/>
      <c r="LTP83" s="499"/>
      <c r="LTQ83" s="499"/>
      <c r="LTR83" s="499"/>
      <c r="LTS83" s="499"/>
      <c r="LTT83" s="499"/>
      <c r="LTU83" s="499"/>
      <c r="LTV83" s="499"/>
      <c r="LTW83" s="499"/>
      <c r="LTX83" s="499"/>
      <c r="LTY83" s="499"/>
      <c r="LTZ83" s="499"/>
      <c r="LUA83" s="499"/>
      <c r="LUB83" s="499"/>
      <c r="LUC83" s="499"/>
      <c r="LUD83" s="499"/>
      <c r="LUE83" s="499"/>
      <c r="LUF83" s="499"/>
      <c r="LUG83" s="499"/>
      <c r="LUH83" s="499"/>
      <c r="LUI83" s="499"/>
      <c r="LUJ83" s="499"/>
      <c r="LUK83" s="499"/>
      <c r="LUL83" s="499"/>
      <c r="LUM83" s="499"/>
      <c r="LUN83" s="499"/>
      <c r="LUO83" s="499"/>
      <c r="LUP83" s="499"/>
      <c r="LUQ83" s="499"/>
      <c r="LUR83" s="499"/>
      <c r="LUS83" s="499"/>
      <c r="LUT83" s="499"/>
      <c r="LUU83" s="499"/>
      <c r="LUV83" s="499"/>
      <c r="LUW83" s="499"/>
      <c r="LUX83" s="499"/>
      <c r="LUY83" s="499"/>
      <c r="LUZ83" s="499"/>
      <c r="LVA83" s="499"/>
      <c r="LVB83" s="499"/>
      <c r="LVC83" s="499"/>
      <c r="LVD83" s="499"/>
      <c r="LVE83" s="499"/>
      <c r="LVF83" s="499"/>
      <c r="LVG83" s="499"/>
      <c r="LVH83" s="499"/>
      <c r="LVI83" s="499"/>
      <c r="LVJ83" s="499"/>
      <c r="LVK83" s="499"/>
      <c r="LVL83" s="499"/>
      <c r="LVM83" s="499"/>
      <c r="LVN83" s="499"/>
      <c r="LVO83" s="499"/>
      <c r="LVP83" s="499"/>
      <c r="LVQ83" s="499"/>
      <c r="LVR83" s="499"/>
      <c r="LVS83" s="499"/>
      <c r="LVT83" s="499"/>
      <c r="LVU83" s="499"/>
      <c r="LVV83" s="499"/>
      <c r="LVW83" s="499"/>
      <c r="LVX83" s="499"/>
      <c r="LVY83" s="499"/>
      <c r="LVZ83" s="499"/>
      <c r="LWA83" s="499"/>
      <c r="LWB83" s="499"/>
      <c r="LWC83" s="499"/>
      <c r="LWD83" s="499"/>
      <c r="LWE83" s="499"/>
      <c r="LWF83" s="499"/>
      <c r="LWG83" s="499"/>
      <c r="LWH83" s="499"/>
      <c r="LWI83" s="499"/>
      <c r="LWJ83" s="499"/>
      <c r="LWK83" s="499"/>
      <c r="LWL83" s="499"/>
      <c r="LWM83" s="499"/>
      <c r="LWN83" s="499"/>
      <c r="LWO83" s="499"/>
      <c r="LWP83" s="499"/>
      <c r="LWQ83" s="499"/>
      <c r="LWR83" s="499"/>
      <c r="LWS83" s="499"/>
      <c r="LWT83" s="499"/>
      <c r="LWU83" s="499"/>
      <c r="LWV83" s="499"/>
      <c r="LWW83" s="499"/>
      <c r="LWX83" s="499"/>
      <c r="LWY83" s="499"/>
      <c r="LWZ83" s="499"/>
      <c r="LXA83" s="499"/>
      <c r="LXB83" s="499"/>
      <c r="LXC83" s="499"/>
      <c r="LXD83" s="499"/>
      <c r="LXE83" s="499"/>
      <c r="LXF83" s="499"/>
      <c r="LXG83" s="499"/>
      <c r="LXH83" s="499"/>
      <c r="LXI83" s="499"/>
      <c r="LXJ83" s="499"/>
      <c r="LXK83" s="499"/>
      <c r="LXL83" s="499"/>
      <c r="LXM83" s="499"/>
      <c r="LXN83" s="499"/>
      <c r="LXO83" s="499"/>
      <c r="LXP83" s="499"/>
      <c r="LXQ83" s="499"/>
      <c r="LXR83" s="499"/>
      <c r="LXS83" s="499"/>
      <c r="LXT83" s="499"/>
      <c r="LXU83" s="499"/>
      <c r="LXV83" s="499"/>
      <c r="LXW83" s="499"/>
      <c r="LXX83" s="499"/>
      <c r="LXY83" s="499"/>
      <c r="LXZ83" s="499"/>
      <c r="LYA83" s="499"/>
      <c r="LYB83" s="499"/>
      <c r="LYC83" s="499"/>
      <c r="LYD83" s="499"/>
      <c r="LYE83" s="499"/>
      <c r="LYF83" s="499"/>
      <c r="LYG83" s="499"/>
      <c r="LYH83" s="499"/>
      <c r="LYI83" s="499"/>
      <c r="LYJ83" s="499"/>
      <c r="LYK83" s="499"/>
      <c r="LYL83" s="499"/>
      <c r="LYM83" s="499"/>
      <c r="LYN83" s="499"/>
      <c r="LYO83" s="499"/>
      <c r="LYP83" s="499"/>
      <c r="LYQ83" s="499"/>
      <c r="LYR83" s="499"/>
      <c r="LYS83" s="499"/>
      <c r="LYT83" s="499"/>
      <c r="LYU83" s="499"/>
      <c r="LYV83" s="499"/>
      <c r="LYW83" s="499"/>
      <c r="LYX83" s="499"/>
      <c r="LYY83" s="499"/>
      <c r="LYZ83" s="499"/>
      <c r="LZA83" s="499"/>
      <c r="LZB83" s="499"/>
      <c r="LZC83" s="499"/>
      <c r="LZD83" s="499"/>
      <c r="LZE83" s="499"/>
      <c r="LZF83" s="499"/>
      <c r="LZG83" s="499"/>
      <c r="LZH83" s="499"/>
      <c r="LZI83" s="499"/>
      <c r="LZJ83" s="499"/>
      <c r="LZK83" s="499"/>
      <c r="LZL83" s="499"/>
      <c r="LZM83" s="499"/>
      <c r="LZN83" s="499"/>
      <c r="LZO83" s="499"/>
      <c r="LZP83" s="499"/>
      <c r="LZQ83" s="499"/>
      <c r="LZR83" s="499"/>
      <c r="LZS83" s="499"/>
      <c r="LZT83" s="499"/>
      <c r="LZU83" s="499"/>
      <c r="LZV83" s="499"/>
      <c r="LZW83" s="499"/>
      <c r="LZX83" s="499"/>
      <c r="LZY83" s="499"/>
      <c r="LZZ83" s="499"/>
      <c r="MAA83" s="499"/>
      <c r="MAB83" s="499"/>
      <c r="MAC83" s="499"/>
      <c r="MAD83" s="499"/>
      <c r="MAE83" s="499"/>
      <c r="MAF83" s="499"/>
      <c r="MAG83" s="499"/>
      <c r="MAH83" s="499"/>
      <c r="MAI83" s="499"/>
      <c r="MAJ83" s="499"/>
      <c r="MAK83" s="499"/>
      <c r="MAL83" s="499"/>
      <c r="MAM83" s="499"/>
      <c r="MAN83" s="499"/>
      <c r="MAO83" s="499"/>
      <c r="MAP83" s="499"/>
      <c r="MAQ83" s="499"/>
      <c r="MAR83" s="499"/>
      <c r="MAS83" s="499"/>
      <c r="MAT83" s="499"/>
      <c r="MAU83" s="499"/>
      <c r="MAV83" s="499"/>
      <c r="MAW83" s="499"/>
      <c r="MAX83" s="499"/>
      <c r="MAY83" s="499"/>
      <c r="MAZ83" s="499"/>
      <c r="MBA83" s="499"/>
      <c r="MBB83" s="499"/>
      <c r="MBC83" s="499"/>
      <c r="MBD83" s="499"/>
      <c r="MBE83" s="499"/>
      <c r="MBF83" s="499"/>
      <c r="MBG83" s="499"/>
      <c r="MBH83" s="499"/>
      <c r="MBI83" s="499"/>
      <c r="MBJ83" s="499"/>
      <c r="MBK83" s="499"/>
      <c r="MBL83" s="499"/>
      <c r="MBM83" s="499"/>
      <c r="MBN83" s="499"/>
      <c r="MBO83" s="499"/>
      <c r="MBP83" s="499"/>
      <c r="MBQ83" s="499"/>
      <c r="MBR83" s="499"/>
      <c r="MBS83" s="499"/>
      <c r="MBT83" s="499"/>
      <c r="MBU83" s="499"/>
      <c r="MBV83" s="499"/>
      <c r="MBW83" s="499"/>
      <c r="MBX83" s="499"/>
      <c r="MBY83" s="499"/>
      <c r="MBZ83" s="499"/>
      <c r="MCA83" s="499"/>
      <c r="MCB83" s="499"/>
      <c r="MCC83" s="499"/>
      <c r="MCD83" s="499"/>
      <c r="MCE83" s="499"/>
      <c r="MCF83" s="499"/>
      <c r="MCG83" s="499"/>
      <c r="MCH83" s="499"/>
      <c r="MCI83" s="499"/>
      <c r="MCJ83" s="499"/>
      <c r="MCK83" s="499"/>
      <c r="MCL83" s="499"/>
      <c r="MCM83" s="499"/>
      <c r="MCN83" s="499"/>
      <c r="MCO83" s="499"/>
      <c r="MCP83" s="499"/>
      <c r="MCQ83" s="499"/>
      <c r="MCR83" s="499"/>
      <c r="MCS83" s="499"/>
      <c r="MCT83" s="499"/>
      <c r="MCU83" s="499"/>
      <c r="MCV83" s="499"/>
      <c r="MCW83" s="499"/>
      <c r="MCX83" s="499"/>
      <c r="MCY83" s="499"/>
      <c r="MCZ83" s="499"/>
      <c r="MDA83" s="499"/>
      <c r="MDB83" s="499"/>
      <c r="MDC83" s="499"/>
      <c r="MDD83" s="499"/>
      <c r="MDE83" s="499"/>
      <c r="MDF83" s="499"/>
      <c r="MDG83" s="499"/>
      <c r="MDH83" s="499"/>
      <c r="MDI83" s="499"/>
      <c r="MDJ83" s="499"/>
      <c r="MDK83" s="499"/>
      <c r="MDL83" s="499"/>
      <c r="MDM83" s="499"/>
      <c r="MDN83" s="499"/>
      <c r="MDO83" s="499"/>
      <c r="MDP83" s="499"/>
      <c r="MDQ83" s="499"/>
      <c r="MDR83" s="499"/>
      <c r="MDS83" s="499"/>
      <c r="MDT83" s="499"/>
      <c r="MDU83" s="499"/>
      <c r="MDV83" s="499"/>
      <c r="MDW83" s="499"/>
      <c r="MDX83" s="499"/>
      <c r="MDY83" s="499"/>
      <c r="MDZ83" s="499"/>
      <c r="MEA83" s="499"/>
      <c r="MEB83" s="499"/>
      <c r="MEC83" s="499"/>
      <c r="MED83" s="499"/>
      <c r="MEE83" s="499"/>
      <c r="MEF83" s="499"/>
      <c r="MEG83" s="499"/>
      <c r="MEH83" s="499"/>
      <c r="MEI83" s="499"/>
      <c r="MEJ83" s="499"/>
      <c r="MEK83" s="499"/>
      <c r="MEL83" s="499"/>
      <c r="MEM83" s="499"/>
      <c r="MEN83" s="499"/>
      <c r="MEO83" s="499"/>
      <c r="MEP83" s="499"/>
      <c r="MEQ83" s="499"/>
      <c r="MER83" s="499"/>
      <c r="MES83" s="499"/>
      <c r="MET83" s="499"/>
      <c r="MEU83" s="499"/>
      <c r="MEV83" s="499"/>
      <c r="MEW83" s="499"/>
      <c r="MEX83" s="499"/>
      <c r="MEY83" s="499"/>
      <c r="MEZ83" s="499"/>
      <c r="MFA83" s="499"/>
      <c r="MFB83" s="499"/>
      <c r="MFC83" s="499"/>
      <c r="MFD83" s="499"/>
      <c r="MFE83" s="499"/>
      <c r="MFF83" s="499"/>
      <c r="MFG83" s="499"/>
      <c r="MFH83" s="499"/>
      <c r="MFI83" s="499"/>
      <c r="MFJ83" s="499"/>
      <c r="MFK83" s="499"/>
      <c r="MFL83" s="499"/>
      <c r="MFM83" s="499"/>
      <c r="MFN83" s="499"/>
      <c r="MFO83" s="499"/>
      <c r="MFP83" s="499"/>
      <c r="MFQ83" s="499"/>
      <c r="MFR83" s="499"/>
      <c r="MFS83" s="499"/>
      <c r="MFT83" s="499"/>
      <c r="MFU83" s="499"/>
      <c r="MFV83" s="499"/>
      <c r="MFW83" s="499"/>
      <c r="MFX83" s="499"/>
      <c r="MFY83" s="499"/>
      <c r="MFZ83" s="499"/>
      <c r="MGA83" s="499"/>
      <c r="MGB83" s="499"/>
      <c r="MGC83" s="499"/>
      <c r="MGD83" s="499"/>
      <c r="MGE83" s="499"/>
      <c r="MGF83" s="499"/>
      <c r="MGG83" s="499"/>
      <c r="MGH83" s="499"/>
      <c r="MGI83" s="499"/>
      <c r="MGJ83" s="499"/>
      <c r="MGK83" s="499"/>
      <c r="MGL83" s="499"/>
      <c r="MGM83" s="499"/>
      <c r="MGN83" s="499"/>
      <c r="MGO83" s="499"/>
      <c r="MGP83" s="499"/>
      <c r="MGQ83" s="499"/>
      <c r="MGR83" s="499"/>
      <c r="MGS83" s="499"/>
      <c r="MGT83" s="499"/>
      <c r="MGU83" s="499"/>
      <c r="MGV83" s="499"/>
      <c r="MGW83" s="499"/>
      <c r="MGX83" s="499"/>
      <c r="MGY83" s="499"/>
      <c r="MGZ83" s="499"/>
      <c r="MHA83" s="499"/>
      <c r="MHB83" s="499"/>
      <c r="MHC83" s="499"/>
      <c r="MHD83" s="499"/>
      <c r="MHE83" s="499"/>
      <c r="MHF83" s="499"/>
      <c r="MHG83" s="499"/>
      <c r="MHH83" s="499"/>
      <c r="MHI83" s="499"/>
      <c r="MHJ83" s="499"/>
      <c r="MHK83" s="499"/>
      <c r="MHL83" s="499"/>
      <c r="MHM83" s="499"/>
      <c r="MHN83" s="499"/>
      <c r="MHO83" s="499"/>
      <c r="MHP83" s="499"/>
      <c r="MHQ83" s="499"/>
      <c r="MHR83" s="499"/>
      <c r="MHS83" s="499"/>
      <c r="MHT83" s="499"/>
      <c r="MHU83" s="499"/>
      <c r="MHV83" s="499"/>
      <c r="MHW83" s="499"/>
      <c r="MHX83" s="499"/>
      <c r="MHY83" s="499"/>
      <c r="MHZ83" s="499"/>
      <c r="MIA83" s="499"/>
      <c r="MIB83" s="499"/>
      <c r="MIC83" s="499"/>
      <c r="MID83" s="499"/>
      <c r="MIE83" s="499"/>
      <c r="MIF83" s="499"/>
      <c r="MIG83" s="499"/>
      <c r="MIH83" s="499"/>
      <c r="MII83" s="499"/>
      <c r="MIJ83" s="499"/>
      <c r="MIK83" s="499"/>
      <c r="MIL83" s="499"/>
      <c r="MIM83" s="499"/>
      <c r="MIN83" s="499"/>
      <c r="MIO83" s="499"/>
      <c r="MIP83" s="499"/>
      <c r="MIQ83" s="499"/>
      <c r="MIR83" s="499"/>
      <c r="MIS83" s="499"/>
      <c r="MIT83" s="499"/>
      <c r="MIU83" s="499"/>
      <c r="MIV83" s="499"/>
      <c r="MIW83" s="499"/>
      <c r="MIX83" s="499"/>
      <c r="MIY83" s="499"/>
      <c r="MIZ83" s="499"/>
      <c r="MJA83" s="499"/>
      <c r="MJB83" s="499"/>
      <c r="MJC83" s="499"/>
      <c r="MJD83" s="499"/>
      <c r="MJE83" s="499"/>
      <c r="MJF83" s="499"/>
      <c r="MJG83" s="499"/>
      <c r="MJH83" s="499"/>
      <c r="MJI83" s="499"/>
      <c r="MJJ83" s="499"/>
      <c r="MJK83" s="499"/>
      <c r="MJL83" s="499"/>
      <c r="MJM83" s="499"/>
      <c r="MJN83" s="499"/>
      <c r="MJO83" s="499"/>
      <c r="MJP83" s="499"/>
      <c r="MJQ83" s="499"/>
      <c r="MJR83" s="499"/>
      <c r="MJS83" s="499"/>
      <c r="MJT83" s="499"/>
      <c r="MJU83" s="499"/>
      <c r="MJV83" s="499"/>
      <c r="MJW83" s="499"/>
      <c r="MJX83" s="499"/>
      <c r="MJY83" s="499"/>
      <c r="MJZ83" s="499"/>
      <c r="MKA83" s="499"/>
      <c r="MKB83" s="499"/>
      <c r="MKC83" s="499"/>
      <c r="MKD83" s="499"/>
      <c r="MKE83" s="499"/>
      <c r="MKF83" s="499"/>
      <c r="MKG83" s="499"/>
      <c r="MKH83" s="499"/>
      <c r="MKI83" s="499"/>
      <c r="MKJ83" s="499"/>
      <c r="MKK83" s="499"/>
      <c r="MKL83" s="499"/>
      <c r="MKM83" s="499"/>
      <c r="MKN83" s="499"/>
      <c r="MKO83" s="499"/>
      <c r="MKP83" s="499"/>
      <c r="MKQ83" s="499"/>
      <c r="MKR83" s="499"/>
      <c r="MKS83" s="499"/>
      <c r="MKT83" s="499"/>
      <c r="MKU83" s="499"/>
      <c r="MKV83" s="499"/>
      <c r="MKW83" s="499"/>
      <c r="MKX83" s="499"/>
      <c r="MKY83" s="499"/>
      <c r="MKZ83" s="499"/>
      <c r="MLA83" s="499"/>
      <c r="MLB83" s="499"/>
      <c r="MLC83" s="499"/>
      <c r="MLD83" s="499"/>
      <c r="MLE83" s="499"/>
      <c r="MLF83" s="499"/>
      <c r="MLG83" s="499"/>
      <c r="MLH83" s="499"/>
      <c r="MLI83" s="499"/>
      <c r="MLJ83" s="499"/>
      <c r="MLK83" s="499"/>
      <c r="MLL83" s="499"/>
      <c r="MLM83" s="499"/>
      <c r="MLN83" s="499"/>
      <c r="MLO83" s="499"/>
      <c r="MLP83" s="499"/>
      <c r="MLQ83" s="499"/>
      <c r="MLR83" s="499"/>
      <c r="MLS83" s="499"/>
      <c r="MLT83" s="499"/>
      <c r="MLU83" s="499"/>
      <c r="MLV83" s="499"/>
      <c r="MLW83" s="499"/>
      <c r="MLX83" s="499"/>
      <c r="MLY83" s="499"/>
      <c r="MLZ83" s="499"/>
      <c r="MMA83" s="499"/>
      <c r="MMB83" s="499"/>
      <c r="MMC83" s="499"/>
      <c r="MMD83" s="499"/>
      <c r="MME83" s="499"/>
      <c r="MMF83" s="499"/>
      <c r="MMG83" s="499"/>
      <c r="MMH83" s="499"/>
      <c r="MMI83" s="499"/>
      <c r="MMJ83" s="499"/>
      <c r="MMK83" s="499"/>
      <c r="MML83" s="499"/>
      <c r="MMM83" s="499"/>
      <c r="MMN83" s="499"/>
      <c r="MMO83" s="499"/>
      <c r="MMP83" s="499"/>
      <c r="MMQ83" s="499"/>
      <c r="MMR83" s="499"/>
      <c r="MMS83" s="499"/>
      <c r="MMT83" s="499"/>
      <c r="MMU83" s="499"/>
      <c r="MMV83" s="499"/>
      <c r="MMW83" s="499"/>
      <c r="MMX83" s="499"/>
      <c r="MMY83" s="499"/>
      <c r="MMZ83" s="499"/>
      <c r="MNA83" s="499"/>
      <c r="MNB83" s="499"/>
      <c r="MNC83" s="499"/>
      <c r="MND83" s="499"/>
      <c r="MNE83" s="499"/>
      <c r="MNF83" s="499"/>
      <c r="MNG83" s="499"/>
      <c r="MNH83" s="499"/>
      <c r="MNI83" s="499"/>
      <c r="MNJ83" s="499"/>
      <c r="MNK83" s="499"/>
      <c r="MNL83" s="499"/>
      <c r="MNM83" s="499"/>
      <c r="MNN83" s="499"/>
      <c r="MNO83" s="499"/>
      <c r="MNP83" s="499"/>
      <c r="MNQ83" s="499"/>
      <c r="MNR83" s="499"/>
      <c r="MNS83" s="499"/>
      <c r="MNT83" s="499"/>
      <c r="MNU83" s="499"/>
      <c r="MNV83" s="499"/>
      <c r="MNW83" s="499"/>
      <c r="MNX83" s="499"/>
      <c r="MNY83" s="499"/>
      <c r="MNZ83" s="499"/>
      <c r="MOA83" s="499"/>
      <c r="MOB83" s="499"/>
      <c r="MOC83" s="499"/>
      <c r="MOD83" s="499"/>
      <c r="MOE83" s="499"/>
      <c r="MOF83" s="499"/>
      <c r="MOG83" s="499"/>
      <c r="MOH83" s="499"/>
      <c r="MOI83" s="499"/>
      <c r="MOJ83" s="499"/>
      <c r="MOK83" s="499"/>
      <c r="MOL83" s="499"/>
      <c r="MOM83" s="499"/>
      <c r="MON83" s="499"/>
      <c r="MOO83" s="499"/>
      <c r="MOP83" s="499"/>
      <c r="MOQ83" s="499"/>
      <c r="MOR83" s="499"/>
      <c r="MOS83" s="499"/>
      <c r="MOT83" s="499"/>
      <c r="MOU83" s="499"/>
      <c r="MOV83" s="499"/>
      <c r="MOW83" s="499"/>
      <c r="MOX83" s="499"/>
      <c r="MOY83" s="499"/>
      <c r="MOZ83" s="499"/>
      <c r="MPA83" s="499"/>
      <c r="MPB83" s="499"/>
      <c r="MPC83" s="499"/>
      <c r="MPD83" s="499"/>
      <c r="MPE83" s="499"/>
      <c r="MPF83" s="499"/>
      <c r="MPG83" s="499"/>
      <c r="MPH83" s="499"/>
      <c r="MPI83" s="499"/>
      <c r="MPJ83" s="499"/>
      <c r="MPK83" s="499"/>
      <c r="MPL83" s="499"/>
      <c r="MPM83" s="499"/>
      <c r="MPN83" s="499"/>
      <c r="MPO83" s="499"/>
      <c r="MPP83" s="499"/>
      <c r="MPQ83" s="499"/>
      <c r="MPR83" s="499"/>
      <c r="MPS83" s="499"/>
      <c r="MPT83" s="499"/>
      <c r="MPU83" s="499"/>
      <c r="MPV83" s="499"/>
      <c r="MPW83" s="499"/>
      <c r="MPX83" s="499"/>
      <c r="MPY83" s="499"/>
      <c r="MPZ83" s="499"/>
      <c r="MQA83" s="499"/>
      <c r="MQB83" s="499"/>
      <c r="MQC83" s="499"/>
      <c r="MQD83" s="499"/>
      <c r="MQE83" s="499"/>
      <c r="MQF83" s="499"/>
      <c r="MQG83" s="499"/>
      <c r="MQH83" s="499"/>
      <c r="MQI83" s="499"/>
      <c r="MQJ83" s="499"/>
      <c r="MQK83" s="499"/>
      <c r="MQL83" s="499"/>
      <c r="MQM83" s="499"/>
      <c r="MQN83" s="499"/>
      <c r="MQO83" s="499"/>
      <c r="MQP83" s="499"/>
      <c r="MQQ83" s="499"/>
      <c r="MQR83" s="499"/>
      <c r="MQS83" s="499"/>
      <c r="MQT83" s="499"/>
      <c r="MQU83" s="499"/>
      <c r="MQV83" s="499"/>
      <c r="MQW83" s="499"/>
      <c r="MQX83" s="499"/>
      <c r="MQY83" s="499"/>
      <c r="MQZ83" s="499"/>
      <c r="MRA83" s="499"/>
      <c r="MRB83" s="499"/>
      <c r="MRC83" s="499"/>
      <c r="MRD83" s="499"/>
      <c r="MRE83" s="499"/>
      <c r="MRF83" s="499"/>
      <c r="MRG83" s="499"/>
      <c r="MRH83" s="499"/>
      <c r="MRI83" s="499"/>
      <c r="MRJ83" s="499"/>
      <c r="MRK83" s="499"/>
      <c r="MRL83" s="499"/>
      <c r="MRM83" s="499"/>
      <c r="MRN83" s="499"/>
      <c r="MRO83" s="499"/>
      <c r="MRP83" s="499"/>
      <c r="MRQ83" s="499"/>
      <c r="MRR83" s="499"/>
      <c r="MRS83" s="499"/>
      <c r="MRT83" s="499"/>
      <c r="MRU83" s="499"/>
      <c r="MRV83" s="499"/>
      <c r="MRW83" s="499"/>
      <c r="MRX83" s="499"/>
      <c r="MRY83" s="499"/>
      <c r="MRZ83" s="499"/>
      <c r="MSA83" s="499"/>
      <c r="MSB83" s="499"/>
      <c r="MSC83" s="499"/>
      <c r="MSD83" s="499"/>
      <c r="MSE83" s="499"/>
      <c r="MSF83" s="499"/>
      <c r="MSG83" s="499"/>
      <c r="MSH83" s="499"/>
      <c r="MSI83" s="499"/>
      <c r="MSJ83" s="499"/>
      <c r="MSK83" s="499"/>
      <c r="MSL83" s="499"/>
      <c r="MSM83" s="499"/>
      <c r="MSN83" s="499"/>
      <c r="MSO83" s="499"/>
      <c r="MSP83" s="499"/>
      <c r="MSQ83" s="499"/>
      <c r="MSR83" s="499"/>
      <c r="MSS83" s="499"/>
      <c r="MST83" s="499"/>
      <c r="MSU83" s="499"/>
      <c r="MSV83" s="499"/>
      <c r="MSW83" s="499"/>
      <c r="MSX83" s="499"/>
      <c r="MSY83" s="499"/>
      <c r="MSZ83" s="499"/>
      <c r="MTA83" s="499"/>
      <c r="MTB83" s="499"/>
      <c r="MTC83" s="499"/>
      <c r="MTD83" s="499"/>
      <c r="MTE83" s="499"/>
      <c r="MTF83" s="499"/>
      <c r="MTG83" s="499"/>
      <c r="MTH83" s="499"/>
      <c r="MTI83" s="499"/>
      <c r="MTJ83" s="499"/>
      <c r="MTK83" s="499"/>
      <c r="MTL83" s="499"/>
      <c r="MTM83" s="499"/>
      <c r="MTN83" s="499"/>
      <c r="MTO83" s="499"/>
      <c r="MTP83" s="499"/>
      <c r="MTQ83" s="499"/>
      <c r="MTR83" s="499"/>
      <c r="MTS83" s="499"/>
      <c r="MTT83" s="499"/>
      <c r="MTU83" s="499"/>
      <c r="MTV83" s="499"/>
      <c r="MTW83" s="499"/>
      <c r="MTX83" s="499"/>
      <c r="MTY83" s="499"/>
      <c r="MTZ83" s="499"/>
      <c r="MUA83" s="499"/>
      <c r="MUB83" s="499"/>
      <c r="MUC83" s="499"/>
      <c r="MUD83" s="499"/>
      <c r="MUE83" s="499"/>
      <c r="MUF83" s="499"/>
      <c r="MUG83" s="499"/>
      <c r="MUH83" s="499"/>
      <c r="MUI83" s="499"/>
      <c r="MUJ83" s="499"/>
      <c r="MUK83" s="499"/>
      <c r="MUL83" s="499"/>
      <c r="MUM83" s="499"/>
      <c r="MUN83" s="499"/>
      <c r="MUO83" s="499"/>
      <c r="MUP83" s="499"/>
      <c r="MUQ83" s="499"/>
      <c r="MUR83" s="499"/>
      <c r="MUS83" s="499"/>
      <c r="MUT83" s="499"/>
      <c r="MUU83" s="499"/>
      <c r="MUV83" s="499"/>
      <c r="MUW83" s="499"/>
      <c r="MUX83" s="499"/>
      <c r="MUY83" s="499"/>
      <c r="MUZ83" s="499"/>
      <c r="MVA83" s="499"/>
      <c r="MVB83" s="499"/>
      <c r="MVC83" s="499"/>
      <c r="MVD83" s="499"/>
      <c r="MVE83" s="499"/>
      <c r="MVF83" s="499"/>
      <c r="MVG83" s="499"/>
      <c r="MVH83" s="499"/>
      <c r="MVI83" s="499"/>
      <c r="MVJ83" s="499"/>
      <c r="MVK83" s="499"/>
      <c r="MVL83" s="499"/>
      <c r="MVM83" s="499"/>
      <c r="MVN83" s="499"/>
      <c r="MVO83" s="499"/>
      <c r="MVP83" s="499"/>
      <c r="MVQ83" s="499"/>
      <c r="MVR83" s="499"/>
      <c r="MVS83" s="499"/>
      <c r="MVT83" s="499"/>
      <c r="MVU83" s="499"/>
      <c r="MVV83" s="499"/>
      <c r="MVW83" s="499"/>
      <c r="MVX83" s="499"/>
      <c r="MVY83" s="499"/>
      <c r="MVZ83" s="499"/>
      <c r="MWA83" s="499"/>
      <c r="MWB83" s="499"/>
      <c r="MWC83" s="499"/>
      <c r="MWD83" s="499"/>
      <c r="MWE83" s="499"/>
      <c r="MWF83" s="499"/>
      <c r="MWG83" s="499"/>
      <c r="MWH83" s="499"/>
      <c r="MWI83" s="499"/>
      <c r="MWJ83" s="499"/>
      <c r="MWK83" s="499"/>
      <c r="MWL83" s="499"/>
      <c r="MWM83" s="499"/>
      <c r="MWN83" s="499"/>
      <c r="MWO83" s="499"/>
      <c r="MWP83" s="499"/>
      <c r="MWQ83" s="499"/>
      <c r="MWR83" s="499"/>
      <c r="MWS83" s="499"/>
      <c r="MWT83" s="499"/>
      <c r="MWU83" s="499"/>
      <c r="MWV83" s="499"/>
      <c r="MWW83" s="499"/>
      <c r="MWX83" s="499"/>
      <c r="MWY83" s="499"/>
      <c r="MWZ83" s="499"/>
      <c r="MXA83" s="499"/>
      <c r="MXB83" s="499"/>
      <c r="MXC83" s="499"/>
      <c r="MXD83" s="499"/>
      <c r="MXE83" s="499"/>
      <c r="MXF83" s="499"/>
      <c r="MXG83" s="499"/>
      <c r="MXH83" s="499"/>
      <c r="MXI83" s="499"/>
      <c r="MXJ83" s="499"/>
      <c r="MXK83" s="499"/>
      <c r="MXL83" s="499"/>
      <c r="MXM83" s="499"/>
      <c r="MXN83" s="499"/>
      <c r="MXO83" s="499"/>
      <c r="MXP83" s="499"/>
      <c r="MXQ83" s="499"/>
      <c r="MXR83" s="499"/>
      <c r="MXS83" s="499"/>
      <c r="MXT83" s="499"/>
      <c r="MXU83" s="499"/>
      <c r="MXV83" s="499"/>
      <c r="MXW83" s="499"/>
      <c r="MXX83" s="499"/>
      <c r="MXY83" s="499"/>
      <c r="MXZ83" s="499"/>
      <c r="MYA83" s="499"/>
      <c r="MYB83" s="499"/>
      <c r="MYC83" s="499"/>
      <c r="MYD83" s="499"/>
      <c r="MYE83" s="499"/>
      <c r="MYF83" s="499"/>
      <c r="MYG83" s="499"/>
      <c r="MYH83" s="499"/>
      <c r="MYI83" s="499"/>
      <c r="MYJ83" s="499"/>
      <c r="MYK83" s="499"/>
      <c r="MYL83" s="499"/>
      <c r="MYM83" s="499"/>
      <c r="MYN83" s="499"/>
      <c r="MYO83" s="499"/>
      <c r="MYP83" s="499"/>
      <c r="MYQ83" s="499"/>
      <c r="MYR83" s="499"/>
      <c r="MYS83" s="499"/>
      <c r="MYT83" s="499"/>
      <c r="MYU83" s="499"/>
      <c r="MYV83" s="499"/>
      <c r="MYW83" s="499"/>
      <c r="MYX83" s="499"/>
      <c r="MYY83" s="499"/>
      <c r="MYZ83" s="499"/>
      <c r="MZA83" s="499"/>
      <c r="MZB83" s="499"/>
      <c r="MZC83" s="499"/>
      <c r="MZD83" s="499"/>
      <c r="MZE83" s="499"/>
      <c r="MZF83" s="499"/>
      <c r="MZG83" s="499"/>
      <c r="MZH83" s="499"/>
      <c r="MZI83" s="499"/>
      <c r="MZJ83" s="499"/>
      <c r="MZK83" s="499"/>
      <c r="MZL83" s="499"/>
      <c r="MZM83" s="499"/>
      <c r="MZN83" s="499"/>
      <c r="MZO83" s="499"/>
      <c r="MZP83" s="499"/>
      <c r="MZQ83" s="499"/>
      <c r="MZR83" s="499"/>
      <c r="MZS83" s="499"/>
      <c r="MZT83" s="499"/>
      <c r="MZU83" s="499"/>
      <c r="MZV83" s="499"/>
      <c r="MZW83" s="499"/>
      <c r="MZX83" s="499"/>
      <c r="MZY83" s="499"/>
      <c r="MZZ83" s="499"/>
      <c r="NAA83" s="499"/>
      <c r="NAB83" s="499"/>
      <c r="NAC83" s="499"/>
      <c r="NAD83" s="499"/>
      <c r="NAE83" s="499"/>
      <c r="NAF83" s="499"/>
      <c r="NAG83" s="499"/>
      <c r="NAH83" s="499"/>
      <c r="NAI83" s="499"/>
      <c r="NAJ83" s="499"/>
      <c r="NAK83" s="499"/>
      <c r="NAL83" s="499"/>
      <c r="NAM83" s="499"/>
      <c r="NAN83" s="499"/>
      <c r="NAO83" s="499"/>
      <c r="NAP83" s="499"/>
      <c r="NAQ83" s="499"/>
      <c r="NAR83" s="499"/>
      <c r="NAS83" s="499"/>
      <c r="NAT83" s="499"/>
      <c r="NAU83" s="499"/>
      <c r="NAV83" s="499"/>
      <c r="NAW83" s="499"/>
      <c r="NAX83" s="499"/>
      <c r="NAY83" s="499"/>
      <c r="NAZ83" s="499"/>
      <c r="NBA83" s="499"/>
      <c r="NBB83" s="499"/>
      <c r="NBC83" s="499"/>
      <c r="NBD83" s="499"/>
      <c r="NBE83" s="499"/>
      <c r="NBF83" s="499"/>
      <c r="NBG83" s="499"/>
      <c r="NBH83" s="499"/>
      <c r="NBI83" s="499"/>
      <c r="NBJ83" s="499"/>
      <c r="NBK83" s="499"/>
      <c r="NBL83" s="499"/>
      <c r="NBM83" s="499"/>
      <c r="NBN83" s="499"/>
      <c r="NBO83" s="499"/>
      <c r="NBP83" s="499"/>
      <c r="NBQ83" s="499"/>
      <c r="NBR83" s="499"/>
      <c r="NBS83" s="499"/>
      <c r="NBT83" s="499"/>
      <c r="NBU83" s="499"/>
      <c r="NBV83" s="499"/>
      <c r="NBW83" s="499"/>
      <c r="NBX83" s="499"/>
      <c r="NBY83" s="499"/>
      <c r="NBZ83" s="499"/>
      <c r="NCA83" s="499"/>
      <c r="NCB83" s="499"/>
      <c r="NCC83" s="499"/>
      <c r="NCD83" s="499"/>
      <c r="NCE83" s="499"/>
      <c r="NCF83" s="499"/>
      <c r="NCG83" s="499"/>
      <c r="NCH83" s="499"/>
      <c r="NCI83" s="499"/>
      <c r="NCJ83" s="499"/>
      <c r="NCK83" s="499"/>
      <c r="NCL83" s="499"/>
      <c r="NCM83" s="499"/>
      <c r="NCN83" s="499"/>
      <c r="NCO83" s="499"/>
      <c r="NCP83" s="499"/>
      <c r="NCQ83" s="499"/>
      <c r="NCR83" s="499"/>
      <c r="NCS83" s="499"/>
      <c r="NCT83" s="499"/>
      <c r="NCU83" s="499"/>
      <c r="NCV83" s="499"/>
      <c r="NCW83" s="499"/>
      <c r="NCX83" s="499"/>
      <c r="NCY83" s="499"/>
      <c r="NCZ83" s="499"/>
      <c r="NDA83" s="499"/>
      <c r="NDB83" s="499"/>
      <c r="NDC83" s="499"/>
      <c r="NDD83" s="499"/>
      <c r="NDE83" s="499"/>
      <c r="NDF83" s="499"/>
      <c r="NDG83" s="499"/>
      <c r="NDH83" s="499"/>
      <c r="NDI83" s="499"/>
      <c r="NDJ83" s="499"/>
      <c r="NDK83" s="499"/>
      <c r="NDL83" s="499"/>
      <c r="NDM83" s="499"/>
      <c r="NDN83" s="499"/>
      <c r="NDO83" s="499"/>
      <c r="NDP83" s="499"/>
      <c r="NDQ83" s="499"/>
      <c r="NDR83" s="499"/>
      <c r="NDS83" s="499"/>
      <c r="NDT83" s="499"/>
      <c r="NDU83" s="499"/>
      <c r="NDV83" s="499"/>
      <c r="NDW83" s="499"/>
      <c r="NDX83" s="499"/>
      <c r="NDY83" s="499"/>
      <c r="NDZ83" s="499"/>
      <c r="NEA83" s="499"/>
      <c r="NEB83" s="499"/>
      <c r="NEC83" s="499"/>
      <c r="NED83" s="499"/>
      <c r="NEE83" s="499"/>
      <c r="NEF83" s="499"/>
      <c r="NEG83" s="499"/>
      <c r="NEH83" s="499"/>
      <c r="NEI83" s="499"/>
      <c r="NEJ83" s="499"/>
      <c r="NEK83" s="499"/>
      <c r="NEL83" s="499"/>
      <c r="NEM83" s="499"/>
      <c r="NEN83" s="499"/>
      <c r="NEO83" s="499"/>
      <c r="NEP83" s="499"/>
      <c r="NEQ83" s="499"/>
      <c r="NER83" s="499"/>
      <c r="NES83" s="499"/>
      <c r="NET83" s="499"/>
      <c r="NEU83" s="499"/>
      <c r="NEV83" s="499"/>
      <c r="NEW83" s="499"/>
      <c r="NEX83" s="499"/>
      <c r="NEY83" s="499"/>
      <c r="NEZ83" s="499"/>
      <c r="NFA83" s="499"/>
      <c r="NFB83" s="499"/>
      <c r="NFC83" s="499"/>
      <c r="NFD83" s="499"/>
      <c r="NFE83" s="499"/>
      <c r="NFF83" s="499"/>
      <c r="NFG83" s="499"/>
      <c r="NFH83" s="499"/>
      <c r="NFI83" s="499"/>
      <c r="NFJ83" s="499"/>
      <c r="NFK83" s="499"/>
      <c r="NFL83" s="499"/>
      <c r="NFM83" s="499"/>
      <c r="NFN83" s="499"/>
      <c r="NFO83" s="499"/>
      <c r="NFP83" s="499"/>
      <c r="NFQ83" s="499"/>
      <c r="NFR83" s="499"/>
      <c r="NFS83" s="499"/>
      <c r="NFT83" s="499"/>
      <c r="NFU83" s="499"/>
      <c r="NFV83" s="499"/>
      <c r="NFW83" s="499"/>
      <c r="NFX83" s="499"/>
      <c r="NFY83" s="499"/>
      <c r="NFZ83" s="499"/>
      <c r="NGA83" s="499"/>
      <c r="NGB83" s="499"/>
      <c r="NGC83" s="499"/>
      <c r="NGD83" s="499"/>
      <c r="NGE83" s="499"/>
      <c r="NGF83" s="499"/>
      <c r="NGG83" s="499"/>
      <c r="NGH83" s="499"/>
      <c r="NGI83" s="499"/>
      <c r="NGJ83" s="499"/>
      <c r="NGK83" s="499"/>
      <c r="NGL83" s="499"/>
      <c r="NGM83" s="499"/>
      <c r="NGN83" s="499"/>
      <c r="NGO83" s="499"/>
      <c r="NGP83" s="499"/>
      <c r="NGQ83" s="499"/>
      <c r="NGR83" s="499"/>
      <c r="NGS83" s="499"/>
      <c r="NGT83" s="499"/>
      <c r="NGU83" s="499"/>
      <c r="NGV83" s="499"/>
      <c r="NGW83" s="499"/>
      <c r="NGX83" s="499"/>
      <c r="NGY83" s="499"/>
      <c r="NGZ83" s="499"/>
      <c r="NHA83" s="499"/>
      <c r="NHB83" s="499"/>
      <c r="NHC83" s="499"/>
      <c r="NHD83" s="499"/>
      <c r="NHE83" s="499"/>
      <c r="NHF83" s="499"/>
      <c r="NHG83" s="499"/>
      <c r="NHH83" s="499"/>
      <c r="NHI83" s="499"/>
      <c r="NHJ83" s="499"/>
      <c r="NHK83" s="499"/>
      <c r="NHL83" s="499"/>
      <c r="NHM83" s="499"/>
      <c r="NHN83" s="499"/>
      <c r="NHO83" s="499"/>
      <c r="NHP83" s="499"/>
      <c r="NHQ83" s="499"/>
      <c r="NHR83" s="499"/>
      <c r="NHS83" s="499"/>
      <c r="NHT83" s="499"/>
      <c r="NHU83" s="499"/>
      <c r="NHV83" s="499"/>
      <c r="NHW83" s="499"/>
      <c r="NHX83" s="499"/>
      <c r="NHY83" s="499"/>
      <c r="NHZ83" s="499"/>
      <c r="NIA83" s="499"/>
      <c r="NIB83" s="499"/>
      <c r="NIC83" s="499"/>
      <c r="NID83" s="499"/>
      <c r="NIE83" s="499"/>
      <c r="NIF83" s="499"/>
      <c r="NIG83" s="499"/>
      <c r="NIH83" s="499"/>
      <c r="NII83" s="499"/>
      <c r="NIJ83" s="499"/>
      <c r="NIK83" s="499"/>
      <c r="NIL83" s="499"/>
      <c r="NIM83" s="499"/>
      <c r="NIN83" s="499"/>
      <c r="NIO83" s="499"/>
      <c r="NIP83" s="499"/>
      <c r="NIQ83" s="499"/>
      <c r="NIR83" s="499"/>
      <c r="NIS83" s="499"/>
      <c r="NIT83" s="499"/>
      <c r="NIU83" s="499"/>
      <c r="NIV83" s="499"/>
      <c r="NIW83" s="499"/>
      <c r="NIX83" s="499"/>
      <c r="NIY83" s="499"/>
      <c r="NIZ83" s="499"/>
      <c r="NJA83" s="499"/>
      <c r="NJB83" s="499"/>
      <c r="NJC83" s="499"/>
      <c r="NJD83" s="499"/>
      <c r="NJE83" s="499"/>
      <c r="NJF83" s="499"/>
      <c r="NJG83" s="499"/>
      <c r="NJH83" s="499"/>
      <c r="NJI83" s="499"/>
      <c r="NJJ83" s="499"/>
      <c r="NJK83" s="499"/>
      <c r="NJL83" s="499"/>
      <c r="NJM83" s="499"/>
      <c r="NJN83" s="499"/>
      <c r="NJO83" s="499"/>
      <c r="NJP83" s="499"/>
      <c r="NJQ83" s="499"/>
      <c r="NJR83" s="499"/>
      <c r="NJS83" s="499"/>
      <c r="NJT83" s="499"/>
      <c r="NJU83" s="499"/>
      <c r="NJV83" s="499"/>
      <c r="NJW83" s="499"/>
      <c r="NJX83" s="499"/>
      <c r="NJY83" s="499"/>
      <c r="NJZ83" s="499"/>
      <c r="NKA83" s="499"/>
      <c r="NKB83" s="499"/>
      <c r="NKC83" s="499"/>
      <c r="NKD83" s="499"/>
      <c r="NKE83" s="499"/>
      <c r="NKF83" s="499"/>
      <c r="NKG83" s="499"/>
      <c r="NKH83" s="499"/>
      <c r="NKI83" s="499"/>
      <c r="NKJ83" s="499"/>
      <c r="NKK83" s="499"/>
      <c r="NKL83" s="499"/>
      <c r="NKM83" s="499"/>
      <c r="NKN83" s="499"/>
      <c r="NKO83" s="499"/>
      <c r="NKP83" s="499"/>
      <c r="NKQ83" s="499"/>
      <c r="NKR83" s="499"/>
      <c r="NKS83" s="499"/>
      <c r="NKT83" s="499"/>
      <c r="NKU83" s="499"/>
      <c r="NKV83" s="499"/>
      <c r="NKW83" s="499"/>
      <c r="NKX83" s="499"/>
      <c r="NKY83" s="499"/>
      <c r="NKZ83" s="499"/>
      <c r="NLA83" s="499"/>
      <c r="NLB83" s="499"/>
      <c r="NLC83" s="499"/>
      <c r="NLD83" s="499"/>
      <c r="NLE83" s="499"/>
      <c r="NLF83" s="499"/>
      <c r="NLG83" s="499"/>
      <c r="NLH83" s="499"/>
      <c r="NLI83" s="499"/>
      <c r="NLJ83" s="499"/>
      <c r="NLK83" s="499"/>
      <c r="NLL83" s="499"/>
      <c r="NLM83" s="499"/>
      <c r="NLN83" s="499"/>
      <c r="NLO83" s="499"/>
      <c r="NLP83" s="499"/>
      <c r="NLQ83" s="499"/>
      <c r="NLR83" s="499"/>
      <c r="NLS83" s="499"/>
      <c r="NLT83" s="499"/>
      <c r="NLU83" s="499"/>
      <c r="NLV83" s="499"/>
      <c r="NLW83" s="499"/>
      <c r="NLX83" s="499"/>
      <c r="NLY83" s="499"/>
      <c r="NLZ83" s="499"/>
      <c r="NMA83" s="499"/>
      <c r="NMB83" s="499"/>
      <c r="NMC83" s="499"/>
      <c r="NMD83" s="499"/>
      <c r="NME83" s="499"/>
      <c r="NMF83" s="499"/>
      <c r="NMG83" s="499"/>
      <c r="NMH83" s="499"/>
      <c r="NMI83" s="499"/>
      <c r="NMJ83" s="499"/>
      <c r="NMK83" s="499"/>
      <c r="NML83" s="499"/>
      <c r="NMM83" s="499"/>
      <c r="NMN83" s="499"/>
      <c r="NMO83" s="499"/>
      <c r="NMP83" s="499"/>
      <c r="NMQ83" s="499"/>
      <c r="NMR83" s="499"/>
      <c r="NMS83" s="499"/>
      <c r="NMT83" s="499"/>
      <c r="NMU83" s="499"/>
      <c r="NMV83" s="499"/>
      <c r="NMW83" s="499"/>
      <c r="NMX83" s="499"/>
      <c r="NMY83" s="499"/>
      <c r="NMZ83" s="499"/>
      <c r="NNA83" s="499"/>
      <c r="NNB83" s="499"/>
      <c r="NNC83" s="499"/>
      <c r="NND83" s="499"/>
      <c r="NNE83" s="499"/>
      <c r="NNF83" s="499"/>
      <c r="NNG83" s="499"/>
      <c r="NNH83" s="499"/>
      <c r="NNI83" s="499"/>
      <c r="NNJ83" s="499"/>
      <c r="NNK83" s="499"/>
      <c r="NNL83" s="499"/>
      <c r="NNM83" s="499"/>
      <c r="NNN83" s="499"/>
      <c r="NNO83" s="499"/>
      <c r="NNP83" s="499"/>
      <c r="NNQ83" s="499"/>
      <c r="NNR83" s="499"/>
      <c r="NNS83" s="499"/>
      <c r="NNT83" s="499"/>
      <c r="NNU83" s="499"/>
      <c r="NNV83" s="499"/>
      <c r="NNW83" s="499"/>
      <c r="NNX83" s="499"/>
      <c r="NNY83" s="499"/>
      <c r="NNZ83" s="499"/>
      <c r="NOA83" s="499"/>
      <c r="NOB83" s="499"/>
      <c r="NOC83" s="499"/>
      <c r="NOD83" s="499"/>
      <c r="NOE83" s="499"/>
      <c r="NOF83" s="499"/>
      <c r="NOG83" s="499"/>
      <c r="NOH83" s="499"/>
      <c r="NOI83" s="499"/>
      <c r="NOJ83" s="499"/>
      <c r="NOK83" s="499"/>
      <c r="NOL83" s="499"/>
      <c r="NOM83" s="499"/>
      <c r="NON83" s="499"/>
      <c r="NOO83" s="499"/>
      <c r="NOP83" s="499"/>
      <c r="NOQ83" s="499"/>
      <c r="NOR83" s="499"/>
      <c r="NOS83" s="499"/>
      <c r="NOT83" s="499"/>
      <c r="NOU83" s="499"/>
      <c r="NOV83" s="499"/>
      <c r="NOW83" s="499"/>
      <c r="NOX83" s="499"/>
      <c r="NOY83" s="499"/>
      <c r="NOZ83" s="499"/>
      <c r="NPA83" s="499"/>
      <c r="NPB83" s="499"/>
      <c r="NPC83" s="499"/>
      <c r="NPD83" s="499"/>
      <c r="NPE83" s="499"/>
      <c r="NPF83" s="499"/>
      <c r="NPG83" s="499"/>
      <c r="NPH83" s="499"/>
      <c r="NPI83" s="499"/>
      <c r="NPJ83" s="499"/>
      <c r="NPK83" s="499"/>
      <c r="NPL83" s="499"/>
      <c r="NPM83" s="499"/>
      <c r="NPN83" s="499"/>
      <c r="NPO83" s="499"/>
      <c r="NPP83" s="499"/>
      <c r="NPQ83" s="499"/>
      <c r="NPR83" s="499"/>
      <c r="NPS83" s="499"/>
      <c r="NPT83" s="499"/>
      <c r="NPU83" s="499"/>
      <c r="NPV83" s="499"/>
      <c r="NPW83" s="499"/>
      <c r="NPX83" s="499"/>
      <c r="NPY83" s="499"/>
      <c r="NPZ83" s="499"/>
      <c r="NQA83" s="499"/>
      <c r="NQB83" s="499"/>
      <c r="NQC83" s="499"/>
      <c r="NQD83" s="499"/>
      <c r="NQE83" s="499"/>
      <c r="NQF83" s="499"/>
      <c r="NQG83" s="499"/>
      <c r="NQH83" s="499"/>
      <c r="NQI83" s="499"/>
      <c r="NQJ83" s="499"/>
      <c r="NQK83" s="499"/>
      <c r="NQL83" s="499"/>
      <c r="NQM83" s="499"/>
      <c r="NQN83" s="499"/>
      <c r="NQO83" s="499"/>
      <c r="NQP83" s="499"/>
      <c r="NQQ83" s="499"/>
      <c r="NQR83" s="499"/>
      <c r="NQS83" s="499"/>
      <c r="NQT83" s="499"/>
      <c r="NQU83" s="499"/>
      <c r="NQV83" s="499"/>
      <c r="NQW83" s="499"/>
      <c r="NQX83" s="499"/>
      <c r="NQY83" s="499"/>
      <c r="NQZ83" s="499"/>
      <c r="NRA83" s="499"/>
      <c r="NRB83" s="499"/>
      <c r="NRC83" s="499"/>
      <c r="NRD83" s="499"/>
      <c r="NRE83" s="499"/>
      <c r="NRF83" s="499"/>
      <c r="NRG83" s="499"/>
      <c r="NRH83" s="499"/>
      <c r="NRI83" s="499"/>
      <c r="NRJ83" s="499"/>
      <c r="NRK83" s="499"/>
      <c r="NRL83" s="499"/>
      <c r="NRM83" s="499"/>
      <c r="NRN83" s="499"/>
      <c r="NRO83" s="499"/>
      <c r="NRP83" s="499"/>
      <c r="NRQ83" s="499"/>
      <c r="NRR83" s="499"/>
      <c r="NRS83" s="499"/>
      <c r="NRT83" s="499"/>
      <c r="NRU83" s="499"/>
      <c r="NRV83" s="499"/>
      <c r="NRW83" s="499"/>
      <c r="NRX83" s="499"/>
      <c r="NRY83" s="499"/>
      <c r="NRZ83" s="499"/>
      <c r="NSA83" s="499"/>
      <c r="NSB83" s="499"/>
      <c r="NSC83" s="499"/>
      <c r="NSD83" s="499"/>
      <c r="NSE83" s="499"/>
      <c r="NSF83" s="499"/>
      <c r="NSG83" s="499"/>
      <c r="NSH83" s="499"/>
      <c r="NSI83" s="499"/>
      <c r="NSJ83" s="499"/>
      <c r="NSK83" s="499"/>
      <c r="NSL83" s="499"/>
      <c r="NSM83" s="499"/>
      <c r="NSN83" s="499"/>
      <c r="NSO83" s="499"/>
      <c r="NSP83" s="499"/>
      <c r="NSQ83" s="499"/>
      <c r="NSR83" s="499"/>
      <c r="NSS83" s="499"/>
      <c r="NST83" s="499"/>
      <c r="NSU83" s="499"/>
      <c r="NSV83" s="499"/>
      <c r="NSW83" s="499"/>
      <c r="NSX83" s="499"/>
      <c r="NSY83" s="499"/>
      <c r="NSZ83" s="499"/>
      <c r="NTA83" s="499"/>
      <c r="NTB83" s="499"/>
      <c r="NTC83" s="499"/>
      <c r="NTD83" s="499"/>
      <c r="NTE83" s="499"/>
      <c r="NTF83" s="499"/>
      <c r="NTG83" s="499"/>
      <c r="NTH83" s="499"/>
      <c r="NTI83" s="499"/>
      <c r="NTJ83" s="499"/>
      <c r="NTK83" s="499"/>
      <c r="NTL83" s="499"/>
      <c r="NTM83" s="499"/>
      <c r="NTN83" s="499"/>
      <c r="NTO83" s="499"/>
      <c r="NTP83" s="499"/>
      <c r="NTQ83" s="499"/>
      <c r="NTR83" s="499"/>
      <c r="NTS83" s="499"/>
      <c r="NTT83" s="499"/>
      <c r="NTU83" s="499"/>
      <c r="NTV83" s="499"/>
      <c r="NTW83" s="499"/>
      <c r="NTX83" s="499"/>
      <c r="NTY83" s="499"/>
      <c r="NTZ83" s="499"/>
      <c r="NUA83" s="499"/>
      <c r="NUB83" s="499"/>
      <c r="NUC83" s="499"/>
      <c r="NUD83" s="499"/>
      <c r="NUE83" s="499"/>
      <c r="NUF83" s="499"/>
      <c r="NUG83" s="499"/>
      <c r="NUH83" s="499"/>
      <c r="NUI83" s="499"/>
      <c r="NUJ83" s="499"/>
      <c r="NUK83" s="499"/>
      <c r="NUL83" s="499"/>
      <c r="NUM83" s="499"/>
      <c r="NUN83" s="499"/>
      <c r="NUO83" s="499"/>
      <c r="NUP83" s="499"/>
      <c r="NUQ83" s="499"/>
      <c r="NUR83" s="499"/>
      <c r="NUS83" s="499"/>
      <c r="NUT83" s="499"/>
      <c r="NUU83" s="499"/>
      <c r="NUV83" s="499"/>
      <c r="NUW83" s="499"/>
      <c r="NUX83" s="499"/>
      <c r="NUY83" s="499"/>
      <c r="NUZ83" s="499"/>
      <c r="NVA83" s="499"/>
      <c r="NVB83" s="499"/>
      <c r="NVC83" s="499"/>
      <c r="NVD83" s="499"/>
      <c r="NVE83" s="499"/>
      <c r="NVF83" s="499"/>
      <c r="NVG83" s="499"/>
      <c r="NVH83" s="499"/>
      <c r="NVI83" s="499"/>
      <c r="NVJ83" s="499"/>
      <c r="NVK83" s="499"/>
      <c r="NVL83" s="499"/>
      <c r="NVM83" s="499"/>
      <c r="NVN83" s="499"/>
      <c r="NVO83" s="499"/>
      <c r="NVP83" s="499"/>
      <c r="NVQ83" s="499"/>
      <c r="NVR83" s="499"/>
      <c r="NVS83" s="499"/>
      <c r="NVT83" s="499"/>
      <c r="NVU83" s="499"/>
      <c r="NVV83" s="499"/>
      <c r="NVW83" s="499"/>
      <c r="NVX83" s="499"/>
      <c r="NVY83" s="499"/>
      <c r="NVZ83" s="499"/>
      <c r="NWA83" s="499"/>
      <c r="NWB83" s="499"/>
      <c r="NWC83" s="499"/>
      <c r="NWD83" s="499"/>
      <c r="NWE83" s="499"/>
      <c r="NWF83" s="499"/>
      <c r="NWG83" s="499"/>
      <c r="NWH83" s="499"/>
      <c r="NWI83" s="499"/>
      <c r="NWJ83" s="499"/>
      <c r="NWK83" s="499"/>
      <c r="NWL83" s="499"/>
      <c r="NWM83" s="499"/>
      <c r="NWN83" s="499"/>
      <c r="NWO83" s="499"/>
      <c r="NWP83" s="499"/>
      <c r="NWQ83" s="499"/>
      <c r="NWR83" s="499"/>
      <c r="NWS83" s="499"/>
      <c r="NWT83" s="499"/>
      <c r="NWU83" s="499"/>
      <c r="NWV83" s="499"/>
      <c r="NWW83" s="499"/>
      <c r="NWX83" s="499"/>
      <c r="NWY83" s="499"/>
      <c r="NWZ83" s="499"/>
      <c r="NXA83" s="499"/>
      <c r="NXB83" s="499"/>
      <c r="NXC83" s="499"/>
      <c r="NXD83" s="499"/>
      <c r="NXE83" s="499"/>
      <c r="NXF83" s="499"/>
      <c r="NXG83" s="499"/>
      <c r="NXH83" s="499"/>
      <c r="NXI83" s="499"/>
      <c r="NXJ83" s="499"/>
      <c r="NXK83" s="499"/>
      <c r="NXL83" s="499"/>
      <c r="NXM83" s="499"/>
      <c r="NXN83" s="499"/>
      <c r="NXO83" s="499"/>
      <c r="NXP83" s="499"/>
      <c r="NXQ83" s="499"/>
      <c r="NXR83" s="499"/>
      <c r="NXS83" s="499"/>
      <c r="NXT83" s="499"/>
      <c r="NXU83" s="499"/>
      <c r="NXV83" s="499"/>
      <c r="NXW83" s="499"/>
      <c r="NXX83" s="499"/>
      <c r="NXY83" s="499"/>
      <c r="NXZ83" s="499"/>
      <c r="NYA83" s="499"/>
      <c r="NYB83" s="499"/>
      <c r="NYC83" s="499"/>
      <c r="NYD83" s="499"/>
      <c r="NYE83" s="499"/>
      <c r="NYF83" s="499"/>
      <c r="NYG83" s="499"/>
      <c r="NYH83" s="499"/>
      <c r="NYI83" s="499"/>
      <c r="NYJ83" s="499"/>
      <c r="NYK83" s="499"/>
      <c r="NYL83" s="499"/>
      <c r="NYM83" s="499"/>
      <c r="NYN83" s="499"/>
      <c r="NYO83" s="499"/>
      <c r="NYP83" s="499"/>
      <c r="NYQ83" s="499"/>
      <c r="NYR83" s="499"/>
      <c r="NYS83" s="499"/>
      <c r="NYT83" s="499"/>
      <c r="NYU83" s="499"/>
      <c r="NYV83" s="499"/>
      <c r="NYW83" s="499"/>
      <c r="NYX83" s="499"/>
      <c r="NYY83" s="499"/>
      <c r="NYZ83" s="499"/>
      <c r="NZA83" s="499"/>
      <c r="NZB83" s="499"/>
      <c r="NZC83" s="499"/>
      <c r="NZD83" s="499"/>
      <c r="NZE83" s="499"/>
      <c r="NZF83" s="499"/>
      <c r="NZG83" s="499"/>
      <c r="NZH83" s="499"/>
      <c r="NZI83" s="499"/>
      <c r="NZJ83" s="499"/>
      <c r="NZK83" s="499"/>
      <c r="NZL83" s="499"/>
      <c r="NZM83" s="499"/>
      <c r="NZN83" s="499"/>
      <c r="NZO83" s="499"/>
      <c r="NZP83" s="499"/>
      <c r="NZQ83" s="499"/>
      <c r="NZR83" s="499"/>
      <c r="NZS83" s="499"/>
      <c r="NZT83" s="499"/>
      <c r="NZU83" s="499"/>
      <c r="NZV83" s="499"/>
      <c r="NZW83" s="499"/>
      <c r="NZX83" s="499"/>
      <c r="NZY83" s="499"/>
      <c r="NZZ83" s="499"/>
      <c r="OAA83" s="499"/>
      <c r="OAB83" s="499"/>
      <c r="OAC83" s="499"/>
      <c r="OAD83" s="499"/>
      <c r="OAE83" s="499"/>
      <c r="OAF83" s="499"/>
      <c r="OAG83" s="499"/>
      <c r="OAH83" s="499"/>
      <c r="OAI83" s="499"/>
      <c r="OAJ83" s="499"/>
      <c r="OAK83" s="499"/>
      <c r="OAL83" s="499"/>
      <c r="OAM83" s="499"/>
      <c r="OAN83" s="499"/>
      <c r="OAO83" s="499"/>
      <c r="OAP83" s="499"/>
      <c r="OAQ83" s="499"/>
      <c r="OAR83" s="499"/>
      <c r="OAS83" s="499"/>
      <c r="OAT83" s="499"/>
      <c r="OAU83" s="499"/>
      <c r="OAV83" s="499"/>
      <c r="OAW83" s="499"/>
      <c r="OAX83" s="499"/>
      <c r="OAY83" s="499"/>
      <c r="OAZ83" s="499"/>
      <c r="OBA83" s="499"/>
      <c r="OBB83" s="499"/>
      <c r="OBC83" s="499"/>
      <c r="OBD83" s="499"/>
      <c r="OBE83" s="499"/>
      <c r="OBF83" s="499"/>
      <c r="OBG83" s="499"/>
      <c r="OBH83" s="499"/>
      <c r="OBI83" s="499"/>
      <c r="OBJ83" s="499"/>
      <c r="OBK83" s="499"/>
      <c r="OBL83" s="499"/>
      <c r="OBM83" s="499"/>
      <c r="OBN83" s="499"/>
      <c r="OBO83" s="499"/>
      <c r="OBP83" s="499"/>
      <c r="OBQ83" s="499"/>
      <c r="OBR83" s="499"/>
      <c r="OBS83" s="499"/>
      <c r="OBT83" s="499"/>
      <c r="OBU83" s="499"/>
      <c r="OBV83" s="499"/>
      <c r="OBW83" s="499"/>
      <c r="OBX83" s="499"/>
      <c r="OBY83" s="499"/>
      <c r="OBZ83" s="499"/>
      <c r="OCA83" s="499"/>
      <c r="OCB83" s="499"/>
      <c r="OCC83" s="499"/>
      <c r="OCD83" s="499"/>
      <c r="OCE83" s="499"/>
      <c r="OCF83" s="499"/>
      <c r="OCG83" s="499"/>
      <c r="OCH83" s="499"/>
      <c r="OCI83" s="499"/>
      <c r="OCJ83" s="499"/>
      <c r="OCK83" s="499"/>
      <c r="OCL83" s="499"/>
      <c r="OCM83" s="499"/>
      <c r="OCN83" s="499"/>
      <c r="OCO83" s="499"/>
      <c r="OCP83" s="499"/>
      <c r="OCQ83" s="499"/>
      <c r="OCR83" s="499"/>
      <c r="OCS83" s="499"/>
      <c r="OCT83" s="499"/>
      <c r="OCU83" s="499"/>
      <c r="OCV83" s="499"/>
      <c r="OCW83" s="499"/>
      <c r="OCX83" s="499"/>
      <c r="OCY83" s="499"/>
      <c r="OCZ83" s="499"/>
      <c r="ODA83" s="499"/>
      <c r="ODB83" s="499"/>
      <c r="ODC83" s="499"/>
      <c r="ODD83" s="499"/>
      <c r="ODE83" s="499"/>
      <c r="ODF83" s="499"/>
      <c r="ODG83" s="499"/>
      <c r="ODH83" s="499"/>
      <c r="ODI83" s="499"/>
      <c r="ODJ83" s="499"/>
      <c r="ODK83" s="499"/>
      <c r="ODL83" s="499"/>
      <c r="ODM83" s="499"/>
      <c r="ODN83" s="499"/>
      <c r="ODO83" s="499"/>
      <c r="ODP83" s="499"/>
      <c r="ODQ83" s="499"/>
      <c r="ODR83" s="499"/>
      <c r="ODS83" s="499"/>
      <c r="ODT83" s="499"/>
      <c r="ODU83" s="499"/>
      <c r="ODV83" s="499"/>
      <c r="ODW83" s="499"/>
      <c r="ODX83" s="499"/>
      <c r="ODY83" s="499"/>
      <c r="ODZ83" s="499"/>
      <c r="OEA83" s="499"/>
      <c r="OEB83" s="499"/>
      <c r="OEC83" s="499"/>
      <c r="OED83" s="499"/>
      <c r="OEE83" s="499"/>
      <c r="OEF83" s="499"/>
      <c r="OEG83" s="499"/>
      <c r="OEH83" s="499"/>
      <c r="OEI83" s="499"/>
      <c r="OEJ83" s="499"/>
      <c r="OEK83" s="499"/>
      <c r="OEL83" s="499"/>
      <c r="OEM83" s="499"/>
      <c r="OEN83" s="499"/>
      <c r="OEO83" s="499"/>
      <c r="OEP83" s="499"/>
      <c r="OEQ83" s="499"/>
      <c r="OER83" s="499"/>
      <c r="OES83" s="499"/>
      <c r="OET83" s="499"/>
      <c r="OEU83" s="499"/>
      <c r="OEV83" s="499"/>
      <c r="OEW83" s="499"/>
      <c r="OEX83" s="499"/>
      <c r="OEY83" s="499"/>
      <c r="OEZ83" s="499"/>
      <c r="OFA83" s="499"/>
      <c r="OFB83" s="499"/>
      <c r="OFC83" s="499"/>
      <c r="OFD83" s="499"/>
      <c r="OFE83" s="499"/>
      <c r="OFF83" s="499"/>
      <c r="OFG83" s="499"/>
      <c r="OFH83" s="499"/>
      <c r="OFI83" s="499"/>
      <c r="OFJ83" s="499"/>
      <c r="OFK83" s="499"/>
      <c r="OFL83" s="499"/>
      <c r="OFM83" s="499"/>
      <c r="OFN83" s="499"/>
      <c r="OFO83" s="499"/>
      <c r="OFP83" s="499"/>
      <c r="OFQ83" s="499"/>
      <c r="OFR83" s="499"/>
      <c r="OFS83" s="499"/>
      <c r="OFT83" s="499"/>
      <c r="OFU83" s="499"/>
      <c r="OFV83" s="499"/>
      <c r="OFW83" s="499"/>
      <c r="OFX83" s="499"/>
      <c r="OFY83" s="499"/>
      <c r="OFZ83" s="499"/>
      <c r="OGA83" s="499"/>
      <c r="OGB83" s="499"/>
      <c r="OGC83" s="499"/>
      <c r="OGD83" s="499"/>
      <c r="OGE83" s="499"/>
      <c r="OGF83" s="499"/>
      <c r="OGG83" s="499"/>
      <c r="OGH83" s="499"/>
      <c r="OGI83" s="499"/>
      <c r="OGJ83" s="499"/>
      <c r="OGK83" s="499"/>
      <c r="OGL83" s="499"/>
      <c r="OGM83" s="499"/>
      <c r="OGN83" s="499"/>
      <c r="OGO83" s="499"/>
      <c r="OGP83" s="499"/>
      <c r="OGQ83" s="499"/>
      <c r="OGR83" s="499"/>
      <c r="OGS83" s="499"/>
      <c r="OGT83" s="499"/>
      <c r="OGU83" s="499"/>
      <c r="OGV83" s="499"/>
      <c r="OGW83" s="499"/>
      <c r="OGX83" s="499"/>
      <c r="OGY83" s="499"/>
      <c r="OGZ83" s="499"/>
      <c r="OHA83" s="499"/>
      <c r="OHB83" s="499"/>
      <c r="OHC83" s="499"/>
      <c r="OHD83" s="499"/>
      <c r="OHE83" s="499"/>
      <c r="OHF83" s="499"/>
      <c r="OHG83" s="499"/>
      <c r="OHH83" s="499"/>
      <c r="OHI83" s="499"/>
      <c r="OHJ83" s="499"/>
      <c r="OHK83" s="499"/>
      <c r="OHL83" s="499"/>
      <c r="OHM83" s="499"/>
      <c r="OHN83" s="499"/>
      <c r="OHO83" s="499"/>
      <c r="OHP83" s="499"/>
      <c r="OHQ83" s="499"/>
      <c r="OHR83" s="499"/>
      <c r="OHS83" s="499"/>
      <c r="OHT83" s="499"/>
      <c r="OHU83" s="499"/>
      <c r="OHV83" s="499"/>
      <c r="OHW83" s="499"/>
      <c r="OHX83" s="499"/>
      <c r="OHY83" s="499"/>
      <c r="OHZ83" s="499"/>
      <c r="OIA83" s="499"/>
      <c r="OIB83" s="499"/>
      <c r="OIC83" s="499"/>
      <c r="OID83" s="499"/>
      <c r="OIE83" s="499"/>
      <c r="OIF83" s="499"/>
      <c r="OIG83" s="499"/>
      <c r="OIH83" s="499"/>
      <c r="OII83" s="499"/>
      <c r="OIJ83" s="499"/>
      <c r="OIK83" s="499"/>
      <c r="OIL83" s="499"/>
      <c r="OIM83" s="499"/>
      <c r="OIN83" s="499"/>
      <c r="OIO83" s="499"/>
      <c r="OIP83" s="499"/>
      <c r="OIQ83" s="499"/>
      <c r="OIR83" s="499"/>
      <c r="OIS83" s="499"/>
      <c r="OIT83" s="499"/>
      <c r="OIU83" s="499"/>
      <c r="OIV83" s="499"/>
      <c r="OIW83" s="499"/>
      <c r="OIX83" s="499"/>
      <c r="OIY83" s="499"/>
      <c r="OIZ83" s="499"/>
      <c r="OJA83" s="499"/>
      <c r="OJB83" s="499"/>
      <c r="OJC83" s="499"/>
      <c r="OJD83" s="499"/>
      <c r="OJE83" s="499"/>
      <c r="OJF83" s="499"/>
      <c r="OJG83" s="499"/>
      <c r="OJH83" s="499"/>
      <c r="OJI83" s="499"/>
      <c r="OJJ83" s="499"/>
      <c r="OJK83" s="499"/>
      <c r="OJL83" s="499"/>
      <c r="OJM83" s="499"/>
      <c r="OJN83" s="499"/>
      <c r="OJO83" s="499"/>
      <c r="OJP83" s="499"/>
      <c r="OJQ83" s="499"/>
      <c r="OJR83" s="499"/>
      <c r="OJS83" s="499"/>
      <c r="OJT83" s="499"/>
      <c r="OJU83" s="499"/>
      <c r="OJV83" s="499"/>
      <c r="OJW83" s="499"/>
      <c r="OJX83" s="499"/>
      <c r="OJY83" s="499"/>
      <c r="OJZ83" s="499"/>
      <c r="OKA83" s="499"/>
      <c r="OKB83" s="499"/>
      <c r="OKC83" s="499"/>
      <c r="OKD83" s="499"/>
      <c r="OKE83" s="499"/>
      <c r="OKF83" s="499"/>
      <c r="OKG83" s="499"/>
      <c r="OKH83" s="499"/>
      <c r="OKI83" s="499"/>
      <c r="OKJ83" s="499"/>
      <c r="OKK83" s="499"/>
      <c r="OKL83" s="499"/>
      <c r="OKM83" s="499"/>
      <c r="OKN83" s="499"/>
      <c r="OKO83" s="499"/>
      <c r="OKP83" s="499"/>
      <c r="OKQ83" s="499"/>
      <c r="OKR83" s="499"/>
      <c r="OKS83" s="499"/>
      <c r="OKT83" s="499"/>
      <c r="OKU83" s="499"/>
      <c r="OKV83" s="499"/>
      <c r="OKW83" s="499"/>
      <c r="OKX83" s="499"/>
      <c r="OKY83" s="499"/>
      <c r="OKZ83" s="499"/>
      <c r="OLA83" s="499"/>
      <c r="OLB83" s="499"/>
      <c r="OLC83" s="499"/>
      <c r="OLD83" s="499"/>
      <c r="OLE83" s="499"/>
      <c r="OLF83" s="499"/>
      <c r="OLG83" s="499"/>
      <c r="OLH83" s="499"/>
      <c r="OLI83" s="499"/>
      <c r="OLJ83" s="499"/>
      <c r="OLK83" s="499"/>
      <c r="OLL83" s="499"/>
      <c r="OLM83" s="499"/>
      <c r="OLN83" s="499"/>
      <c r="OLO83" s="499"/>
      <c r="OLP83" s="499"/>
      <c r="OLQ83" s="499"/>
      <c r="OLR83" s="499"/>
      <c r="OLS83" s="499"/>
      <c r="OLT83" s="499"/>
      <c r="OLU83" s="499"/>
      <c r="OLV83" s="499"/>
      <c r="OLW83" s="499"/>
      <c r="OLX83" s="499"/>
      <c r="OLY83" s="499"/>
      <c r="OLZ83" s="499"/>
      <c r="OMA83" s="499"/>
      <c r="OMB83" s="499"/>
      <c r="OMC83" s="499"/>
      <c r="OMD83" s="499"/>
      <c r="OME83" s="499"/>
      <c r="OMF83" s="499"/>
      <c r="OMG83" s="499"/>
      <c r="OMH83" s="499"/>
      <c r="OMI83" s="499"/>
      <c r="OMJ83" s="499"/>
      <c r="OMK83" s="499"/>
      <c r="OML83" s="499"/>
      <c r="OMM83" s="499"/>
      <c r="OMN83" s="499"/>
      <c r="OMO83" s="499"/>
      <c r="OMP83" s="499"/>
      <c r="OMQ83" s="499"/>
      <c r="OMR83" s="499"/>
      <c r="OMS83" s="499"/>
      <c r="OMT83" s="499"/>
      <c r="OMU83" s="499"/>
      <c r="OMV83" s="499"/>
      <c r="OMW83" s="499"/>
      <c r="OMX83" s="499"/>
      <c r="OMY83" s="499"/>
      <c r="OMZ83" s="499"/>
      <c r="ONA83" s="499"/>
      <c r="ONB83" s="499"/>
      <c r="ONC83" s="499"/>
      <c r="OND83" s="499"/>
      <c r="ONE83" s="499"/>
      <c r="ONF83" s="499"/>
      <c r="ONG83" s="499"/>
      <c r="ONH83" s="499"/>
      <c r="ONI83" s="499"/>
      <c r="ONJ83" s="499"/>
      <c r="ONK83" s="499"/>
      <c r="ONL83" s="499"/>
      <c r="ONM83" s="499"/>
      <c r="ONN83" s="499"/>
      <c r="ONO83" s="499"/>
      <c r="ONP83" s="499"/>
      <c r="ONQ83" s="499"/>
      <c r="ONR83" s="499"/>
      <c r="ONS83" s="499"/>
      <c r="ONT83" s="499"/>
      <c r="ONU83" s="499"/>
      <c r="ONV83" s="499"/>
      <c r="ONW83" s="499"/>
      <c r="ONX83" s="499"/>
      <c r="ONY83" s="499"/>
      <c r="ONZ83" s="499"/>
      <c r="OOA83" s="499"/>
      <c r="OOB83" s="499"/>
      <c r="OOC83" s="499"/>
      <c r="OOD83" s="499"/>
      <c r="OOE83" s="499"/>
      <c r="OOF83" s="499"/>
      <c r="OOG83" s="499"/>
      <c r="OOH83" s="499"/>
      <c r="OOI83" s="499"/>
      <c r="OOJ83" s="499"/>
      <c r="OOK83" s="499"/>
      <c r="OOL83" s="499"/>
      <c r="OOM83" s="499"/>
      <c r="OON83" s="499"/>
      <c r="OOO83" s="499"/>
      <c r="OOP83" s="499"/>
      <c r="OOQ83" s="499"/>
      <c r="OOR83" s="499"/>
      <c r="OOS83" s="499"/>
      <c r="OOT83" s="499"/>
      <c r="OOU83" s="499"/>
      <c r="OOV83" s="499"/>
      <c r="OOW83" s="499"/>
      <c r="OOX83" s="499"/>
      <c r="OOY83" s="499"/>
      <c r="OOZ83" s="499"/>
      <c r="OPA83" s="499"/>
      <c r="OPB83" s="499"/>
      <c r="OPC83" s="499"/>
      <c r="OPD83" s="499"/>
      <c r="OPE83" s="499"/>
      <c r="OPF83" s="499"/>
      <c r="OPG83" s="499"/>
      <c r="OPH83" s="499"/>
      <c r="OPI83" s="499"/>
      <c r="OPJ83" s="499"/>
      <c r="OPK83" s="499"/>
      <c r="OPL83" s="499"/>
      <c r="OPM83" s="499"/>
      <c r="OPN83" s="499"/>
      <c r="OPO83" s="499"/>
      <c r="OPP83" s="499"/>
      <c r="OPQ83" s="499"/>
      <c r="OPR83" s="499"/>
      <c r="OPS83" s="499"/>
      <c r="OPT83" s="499"/>
      <c r="OPU83" s="499"/>
      <c r="OPV83" s="499"/>
      <c r="OPW83" s="499"/>
      <c r="OPX83" s="499"/>
      <c r="OPY83" s="499"/>
      <c r="OPZ83" s="499"/>
      <c r="OQA83" s="499"/>
      <c r="OQB83" s="499"/>
      <c r="OQC83" s="499"/>
      <c r="OQD83" s="499"/>
      <c r="OQE83" s="499"/>
      <c r="OQF83" s="499"/>
      <c r="OQG83" s="499"/>
      <c r="OQH83" s="499"/>
      <c r="OQI83" s="499"/>
      <c r="OQJ83" s="499"/>
      <c r="OQK83" s="499"/>
      <c r="OQL83" s="499"/>
      <c r="OQM83" s="499"/>
      <c r="OQN83" s="499"/>
      <c r="OQO83" s="499"/>
      <c r="OQP83" s="499"/>
      <c r="OQQ83" s="499"/>
      <c r="OQR83" s="499"/>
      <c r="OQS83" s="499"/>
      <c r="OQT83" s="499"/>
      <c r="OQU83" s="499"/>
      <c r="OQV83" s="499"/>
      <c r="OQW83" s="499"/>
      <c r="OQX83" s="499"/>
      <c r="OQY83" s="499"/>
      <c r="OQZ83" s="499"/>
      <c r="ORA83" s="499"/>
      <c r="ORB83" s="499"/>
      <c r="ORC83" s="499"/>
      <c r="ORD83" s="499"/>
      <c r="ORE83" s="499"/>
      <c r="ORF83" s="499"/>
      <c r="ORG83" s="499"/>
      <c r="ORH83" s="499"/>
      <c r="ORI83" s="499"/>
      <c r="ORJ83" s="499"/>
      <c r="ORK83" s="499"/>
      <c r="ORL83" s="499"/>
      <c r="ORM83" s="499"/>
      <c r="ORN83" s="499"/>
      <c r="ORO83" s="499"/>
      <c r="ORP83" s="499"/>
      <c r="ORQ83" s="499"/>
      <c r="ORR83" s="499"/>
      <c r="ORS83" s="499"/>
      <c r="ORT83" s="499"/>
      <c r="ORU83" s="499"/>
      <c r="ORV83" s="499"/>
      <c r="ORW83" s="499"/>
      <c r="ORX83" s="499"/>
      <c r="ORY83" s="499"/>
      <c r="ORZ83" s="499"/>
      <c r="OSA83" s="499"/>
      <c r="OSB83" s="499"/>
      <c r="OSC83" s="499"/>
      <c r="OSD83" s="499"/>
      <c r="OSE83" s="499"/>
      <c r="OSF83" s="499"/>
      <c r="OSG83" s="499"/>
      <c r="OSH83" s="499"/>
      <c r="OSI83" s="499"/>
      <c r="OSJ83" s="499"/>
      <c r="OSK83" s="499"/>
      <c r="OSL83" s="499"/>
      <c r="OSM83" s="499"/>
      <c r="OSN83" s="499"/>
      <c r="OSO83" s="499"/>
      <c r="OSP83" s="499"/>
      <c r="OSQ83" s="499"/>
      <c r="OSR83" s="499"/>
      <c r="OSS83" s="499"/>
      <c r="OST83" s="499"/>
      <c r="OSU83" s="499"/>
      <c r="OSV83" s="499"/>
      <c r="OSW83" s="499"/>
      <c r="OSX83" s="499"/>
      <c r="OSY83" s="499"/>
      <c r="OSZ83" s="499"/>
      <c r="OTA83" s="499"/>
      <c r="OTB83" s="499"/>
      <c r="OTC83" s="499"/>
      <c r="OTD83" s="499"/>
      <c r="OTE83" s="499"/>
      <c r="OTF83" s="499"/>
      <c r="OTG83" s="499"/>
      <c r="OTH83" s="499"/>
      <c r="OTI83" s="499"/>
      <c r="OTJ83" s="499"/>
      <c r="OTK83" s="499"/>
      <c r="OTL83" s="499"/>
      <c r="OTM83" s="499"/>
      <c r="OTN83" s="499"/>
      <c r="OTO83" s="499"/>
      <c r="OTP83" s="499"/>
      <c r="OTQ83" s="499"/>
      <c r="OTR83" s="499"/>
      <c r="OTS83" s="499"/>
      <c r="OTT83" s="499"/>
      <c r="OTU83" s="499"/>
      <c r="OTV83" s="499"/>
      <c r="OTW83" s="499"/>
      <c r="OTX83" s="499"/>
      <c r="OTY83" s="499"/>
      <c r="OTZ83" s="499"/>
      <c r="OUA83" s="499"/>
      <c r="OUB83" s="499"/>
      <c r="OUC83" s="499"/>
      <c r="OUD83" s="499"/>
      <c r="OUE83" s="499"/>
      <c r="OUF83" s="499"/>
      <c r="OUG83" s="499"/>
      <c r="OUH83" s="499"/>
      <c r="OUI83" s="499"/>
      <c r="OUJ83" s="499"/>
      <c r="OUK83" s="499"/>
      <c r="OUL83" s="499"/>
      <c r="OUM83" s="499"/>
      <c r="OUN83" s="499"/>
      <c r="OUO83" s="499"/>
      <c r="OUP83" s="499"/>
      <c r="OUQ83" s="499"/>
      <c r="OUR83" s="499"/>
      <c r="OUS83" s="499"/>
      <c r="OUT83" s="499"/>
      <c r="OUU83" s="499"/>
      <c r="OUV83" s="499"/>
      <c r="OUW83" s="499"/>
      <c r="OUX83" s="499"/>
      <c r="OUY83" s="499"/>
      <c r="OUZ83" s="499"/>
      <c r="OVA83" s="499"/>
      <c r="OVB83" s="499"/>
      <c r="OVC83" s="499"/>
      <c r="OVD83" s="499"/>
      <c r="OVE83" s="499"/>
      <c r="OVF83" s="499"/>
      <c r="OVG83" s="499"/>
      <c r="OVH83" s="499"/>
      <c r="OVI83" s="499"/>
      <c r="OVJ83" s="499"/>
      <c r="OVK83" s="499"/>
      <c r="OVL83" s="499"/>
      <c r="OVM83" s="499"/>
      <c r="OVN83" s="499"/>
      <c r="OVO83" s="499"/>
      <c r="OVP83" s="499"/>
      <c r="OVQ83" s="499"/>
      <c r="OVR83" s="499"/>
      <c r="OVS83" s="499"/>
      <c r="OVT83" s="499"/>
      <c r="OVU83" s="499"/>
      <c r="OVV83" s="499"/>
      <c r="OVW83" s="499"/>
      <c r="OVX83" s="499"/>
      <c r="OVY83" s="499"/>
      <c r="OVZ83" s="499"/>
      <c r="OWA83" s="499"/>
      <c r="OWB83" s="499"/>
      <c r="OWC83" s="499"/>
      <c r="OWD83" s="499"/>
      <c r="OWE83" s="499"/>
      <c r="OWF83" s="499"/>
      <c r="OWG83" s="499"/>
      <c r="OWH83" s="499"/>
      <c r="OWI83" s="499"/>
      <c r="OWJ83" s="499"/>
      <c r="OWK83" s="499"/>
      <c r="OWL83" s="499"/>
      <c r="OWM83" s="499"/>
      <c r="OWN83" s="499"/>
      <c r="OWO83" s="499"/>
      <c r="OWP83" s="499"/>
      <c r="OWQ83" s="499"/>
      <c r="OWR83" s="499"/>
      <c r="OWS83" s="499"/>
      <c r="OWT83" s="499"/>
      <c r="OWU83" s="499"/>
      <c r="OWV83" s="499"/>
      <c r="OWW83" s="499"/>
      <c r="OWX83" s="499"/>
      <c r="OWY83" s="499"/>
      <c r="OWZ83" s="499"/>
      <c r="OXA83" s="499"/>
      <c r="OXB83" s="499"/>
      <c r="OXC83" s="499"/>
      <c r="OXD83" s="499"/>
      <c r="OXE83" s="499"/>
      <c r="OXF83" s="499"/>
      <c r="OXG83" s="499"/>
      <c r="OXH83" s="499"/>
      <c r="OXI83" s="499"/>
      <c r="OXJ83" s="499"/>
      <c r="OXK83" s="499"/>
      <c r="OXL83" s="499"/>
      <c r="OXM83" s="499"/>
      <c r="OXN83" s="499"/>
      <c r="OXO83" s="499"/>
      <c r="OXP83" s="499"/>
      <c r="OXQ83" s="499"/>
      <c r="OXR83" s="499"/>
      <c r="OXS83" s="499"/>
      <c r="OXT83" s="499"/>
      <c r="OXU83" s="499"/>
      <c r="OXV83" s="499"/>
      <c r="OXW83" s="499"/>
      <c r="OXX83" s="499"/>
      <c r="OXY83" s="499"/>
      <c r="OXZ83" s="499"/>
      <c r="OYA83" s="499"/>
      <c r="OYB83" s="499"/>
      <c r="OYC83" s="499"/>
      <c r="OYD83" s="499"/>
      <c r="OYE83" s="499"/>
      <c r="OYF83" s="499"/>
      <c r="OYG83" s="499"/>
      <c r="OYH83" s="499"/>
      <c r="OYI83" s="499"/>
      <c r="OYJ83" s="499"/>
      <c r="OYK83" s="499"/>
      <c r="OYL83" s="499"/>
      <c r="OYM83" s="499"/>
      <c r="OYN83" s="499"/>
      <c r="OYO83" s="499"/>
      <c r="OYP83" s="499"/>
      <c r="OYQ83" s="499"/>
      <c r="OYR83" s="499"/>
      <c r="OYS83" s="499"/>
      <c r="OYT83" s="499"/>
      <c r="OYU83" s="499"/>
      <c r="OYV83" s="499"/>
      <c r="OYW83" s="499"/>
      <c r="OYX83" s="499"/>
      <c r="OYY83" s="499"/>
      <c r="OYZ83" s="499"/>
      <c r="OZA83" s="499"/>
      <c r="OZB83" s="499"/>
      <c r="OZC83" s="499"/>
      <c r="OZD83" s="499"/>
      <c r="OZE83" s="499"/>
      <c r="OZF83" s="499"/>
      <c r="OZG83" s="499"/>
      <c r="OZH83" s="499"/>
      <c r="OZI83" s="499"/>
      <c r="OZJ83" s="499"/>
      <c r="OZK83" s="499"/>
      <c r="OZL83" s="499"/>
      <c r="OZM83" s="499"/>
      <c r="OZN83" s="499"/>
      <c r="OZO83" s="499"/>
      <c r="OZP83" s="499"/>
      <c r="OZQ83" s="499"/>
      <c r="OZR83" s="499"/>
      <c r="OZS83" s="499"/>
      <c r="OZT83" s="499"/>
      <c r="OZU83" s="499"/>
      <c r="OZV83" s="499"/>
      <c r="OZW83" s="499"/>
      <c r="OZX83" s="499"/>
      <c r="OZY83" s="499"/>
      <c r="OZZ83" s="499"/>
      <c r="PAA83" s="499"/>
      <c r="PAB83" s="499"/>
      <c r="PAC83" s="499"/>
      <c r="PAD83" s="499"/>
      <c r="PAE83" s="499"/>
      <c r="PAF83" s="499"/>
      <c r="PAG83" s="499"/>
      <c r="PAH83" s="499"/>
      <c r="PAI83" s="499"/>
      <c r="PAJ83" s="499"/>
      <c r="PAK83" s="499"/>
      <c r="PAL83" s="499"/>
      <c r="PAM83" s="499"/>
      <c r="PAN83" s="499"/>
      <c r="PAO83" s="499"/>
      <c r="PAP83" s="499"/>
      <c r="PAQ83" s="499"/>
      <c r="PAR83" s="499"/>
      <c r="PAS83" s="499"/>
      <c r="PAT83" s="499"/>
      <c r="PAU83" s="499"/>
      <c r="PAV83" s="499"/>
      <c r="PAW83" s="499"/>
      <c r="PAX83" s="499"/>
      <c r="PAY83" s="499"/>
      <c r="PAZ83" s="499"/>
      <c r="PBA83" s="499"/>
      <c r="PBB83" s="499"/>
      <c r="PBC83" s="499"/>
      <c r="PBD83" s="499"/>
      <c r="PBE83" s="499"/>
      <c r="PBF83" s="499"/>
      <c r="PBG83" s="499"/>
      <c r="PBH83" s="499"/>
      <c r="PBI83" s="499"/>
      <c r="PBJ83" s="499"/>
      <c r="PBK83" s="499"/>
      <c r="PBL83" s="499"/>
      <c r="PBM83" s="499"/>
      <c r="PBN83" s="499"/>
      <c r="PBO83" s="499"/>
      <c r="PBP83" s="499"/>
      <c r="PBQ83" s="499"/>
      <c r="PBR83" s="499"/>
      <c r="PBS83" s="499"/>
      <c r="PBT83" s="499"/>
      <c r="PBU83" s="499"/>
      <c r="PBV83" s="499"/>
      <c r="PBW83" s="499"/>
      <c r="PBX83" s="499"/>
      <c r="PBY83" s="499"/>
      <c r="PBZ83" s="499"/>
      <c r="PCA83" s="499"/>
      <c r="PCB83" s="499"/>
      <c r="PCC83" s="499"/>
      <c r="PCD83" s="499"/>
      <c r="PCE83" s="499"/>
      <c r="PCF83" s="499"/>
      <c r="PCG83" s="499"/>
      <c r="PCH83" s="499"/>
      <c r="PCI83" s="499"/>
      <c r="PCJ83" s="499"/>
      <c r="PCK83" s="499"/>
      <c r="PCL83" s="499"/>
      <c r="PCM83" s="499"/>
      <c r="PCN83" s="499"/>
      <c r="PCO83" s="499"/>
      <c r="PCP83" s="499"/>
      <c r="PCQ83" s="499"/>
      <c r="PCR83" s="499"/>
      <c r="PCS83" s="499"/>
      <c r="PCT83" s="499"/>
      <c r="PCU83" s="499"/>
      <c r="PCV83" s="499"/>
      <c r="PCW83" s="499"/>
      <c r="PCX83" s="499"/>
      <c r="PCY83" s="499"/>
      <c r="PCZ83" s="499"/>
      <c r="PDA83" s="499"/>
      <c r="PDB83" s="499"/>
      <c r="PDC83" s="499"/>
      <c r="PDD83" s="499"/>
      <c r="PDE83" s="499"/>
      <c r="PDF83" s="499"/>
      <c r="PDG83" s="499"/>
      <c r="PDH83" s="499"/>
      <c r="PDI83" s="499"/>
      <c r="PDJ83" s="499"/>
      <c r="PDK83" s="499"/>
      <c r="PDL83" s="499"/>
      <c r="PDM83" s="499"/>
      <c r="PDN83" s="499"/>
      <c r="PDO83" s="499"/>
      <c r="PDP83" s="499"/>
      <c r="PDQ83" s="499"/>
      <c r="PDR83" s="499"/>
      <c r="PDS83" s="499"/>
      <c r="PDT83" s="499"/>
      <c r="PDU83" s="499"/>
      <c r="PDV83" s="499"/>
      <c r="PDW83" s="499"/>
      <c r="PDX83" s="499"/>
      <c r="PDY83" s="499"/>
      <c r="PDZ83" s="499"/>
      <c r="PEA83" s="499"/>
      <c r="PEB83" s="499"/>
      <c r="PEC83" s="499"/>
      <c r="PED83" s="499"/>
      <c r="PEE83" s="499"/>
      <c r="PEF83" s="499"/>
      <c r="PEG83" s="499"/>
      <c r="PEH83" s="499"/>
      <c r="PEI83" s="499"/>
      <c r="PEJ83" s="499"/>
      <c r="PEK83" s="499"/>
      <c r="PEL83" s="499"/>
      <c r="PEM83" s="499"/>
      <c r="PEN83" s="499"/>
      <c r="PEO83" s="499"/>
      <c r="PEP83" s="499"/>
      <c r="PEQ83" s="499"/>
      <c r="PER83" s="499"/>
      <c r="PES83" s="499"/>
      <c r="PET83" s="499"/>
      <c r="PEU83" s="499"/>
      <c r="PEV83" s="499"/>
      <c r="PEW83" s="499"/>
      <c r="PEX83" s="499"/>
      <c r="PEY83" s="499"/>
      <c r="PEZ83" s="499"/>
      <c r="PFA83" s="499"/>
      <c r="PFB83" s="499"/>
      <c r="PFC83" s="499"/>
      <c r="PFD83" s="499"/>
      <c r="PFE83" s="499"/>
      <c r="PFF83" s="499"/>
      <c r="PFG83" s="499"/>
      <c r="PFH83" s="499"/>
      <c r="PFI83" s="499"/>
      <c r="PFJ83" s="499"/>
      <c r="PFK83" s="499"/>
      <c r="PFL83" s="499"/>
      <c r="PFM83" s="499"/>
      <c r="PFN83" s="499"/>
      <c r="PFO83" s="499"/>
      <c r="PFP83" s="499"/>
      <c r="PFQ83" s="499"/>
      <c r="PFR83" s="499"/>
      <c r="PFS83" s="499"/>
      <c r="PFT83" s="499"/>
      <c r="PFU83" s="499"/>
      <c r="PFV83" s="499"/>
      <c r="PFW83" s="499"/>
      <c r="PFX83" s="499"/>
      <c r="PFY83" s="499"/>
      <c r="PFZ83" s="499"/>
      <c r="PGA83" s="499"/>
      <c r="PGB83" s="499"/>
      <c r="PGC83" s="499"/>
      <c r="PGD83" s="499"/>
      <c r="PGE83" s="499"/>
      <c r="PGF83" s="499"/>
      <c r="PGG83" s="499"/>
      <c r="PGH83" s="499"/>
      <c r="PGI83" s="499"/>
      <c r="PGJ83" s="499"/>
      <c r="PGK83" s="499"/>
      <c r="PGL83" s="499"/>
      <c r="PGM83" s="499"/>
      <c r="PGN83" s="499"/>
      <c r="PGO83" s="499"/>
      <c r="PGP83" s="499"/>
      <c r="PGQ83" s="499"/>
      <c r="PGR83" s="499"/>
      <c r="PGS83" s="499"/>
      <c r="PGT83" s="499"/>
      <c r="PGU83" s="499"/>
      <c r="PGV83" s="499"/>
      <c r="PGW83" s="499"/>
      <c r="PGX83" s="499"/>
      <c r="PGY83" s="499"/>
      <c r="PGZ83" s="499"/>
      <c r="PHA83" s="499"/>
      <c r="PHB83" s="499"/>
      <c r="PHC83" s="499"/>
      <c r="PHD83" s="499"/>
      <c r="PHE83" s="499"/>
      <c r="PHF83" s="499"/>
      <c r="PHG83" s="499"/>
      <c r="PHH83" s="499"/>
      <c r="PHI83" s="499"/>
      <c r="PHJ83" s="499"/>
      <c r="PHK83" s="499"/>
      <c r="PHL83" s="499"/>
      <c r="PHM83" s="499"/>
      <c r="PHN83" s="499"/>
      <c r="PHO83" s="499"/>
      <c r="PHP83" s="499"/>
      <c r="PHQ83" s="499"/>
      <c r="PHR83" s="499"/>
      <c r="PHS83" s="499"/>
      <c r="PHT83" s="499"/>
      <c r="PHU83" s="499"/>
      <c r="PHV83" s="499"/>
      <c r="PHW83" s="499"/>
      <c r="PHX83" s="499"/>
      <c r="PHY83" s="499"/>
      <c r="PHZ83" s="499"/>
      <c r="PIA83" s="499"/>
      <c r="PIB83" s="499"/>
      <c r="PIC83" s="499"/>
      <c r="PID83" s="499"/>
      <c r="PIE83" s="499"/>
      <c r="PIF83" s="499"/>
      <c r="PIG83" s="499"/>
      <c r="PIH83" s="499"/>
      <c r="PII83" s="499"/>
      <c r="PIJ83" s="499"/>
      <c r="PIK83" s="499"/>
      <c r="PIL83" s="499"/>
      <c r="PIM83" s="499"/>
      <c r="PIN83" s="499"/>
      <c r="PIO83" s="499"/>
      <c r="PIP83" s="499"/>
      <c r="PIQ83" s="499"/>
      <c r="PIR83" s="499"/>
      <c r="PIS83" s="499"/>
      <c r="PIT83" s="499"/>
      <c r="PIU83" s="499"/>
      <c r="PIV83" s="499"/>
      <c r="PIW83" s="499"/>
      <c r="PIX83" s="499"/>
      <c r="PIY83" s="499"/>
      <c r="PIZ83" s="499"/>
      <c r="PJA83" s="499"/>
      <c r="PJB83" s="499"/>
      <c r="PJC83" s="499"/>
      <c r="PJD83" s="499"/>
      <c r="PJE83" s="499"/>
      <c r="PJF83" s="499"/>
      <c r="PJG83" s="499"/>
      <c r="PJH83" s="499"/>
      <c r="PJI83" s="499"/>
      <c r="PJJ83" s="499"/>
      <c r="PJK83" s="499"/>
      <c r="PJL83" s="499"/>
      <c r="PJM83" s="499"/>
      <c r="PJN83" s="499"/>
      <c r="PJO83" s="499"/>
      <c r="PJP83" s="499"/>
      <c r="PJQ83" s="499"/>
      <c r="PJR83" s="499"/>
      <c r="PJS83" s="499"/>
      <c r="PJT83" s="499"/>
      <c r="PJU83" s="499"/>
      <c r="PJV83" s="499"/>
      <c r="PJW83" s="499"/>
      <c r="PJX83" s="499"/>
      <c r="PJY83" s="499"/>
      <c r="PJZ83" s="499"/>
      <c r="PKA83" s="499"/>
      <c r="PKB83" s="499"/>
      <c r="PKC83" s="499"/>
      <c r="PKD83" s="499"/>
      <c r="PKE83" s="499"/>
      <c r="PKF83" s="499"/>
      <c r="PKG83" s="499"/>
      <c r="PKH83" s="499"/>
      <c r="PKI83" s="499"/>
      <c r="PKJ83" s="499"/>
      <c r="PKK83" s="499"/>
      <c r="PKL83" s="499"/>
      <c r="PKM83" s="499"/>
      <c r="PKN83" s="499"/>
      <c r="PKO83" s="499"/>
      <c r="PKP83" s="499"/>
      <c r="PKQ83" s="499"/>
      <c r="PKR83" s="499"/>
      <c r="PKS83" s="499"/>
      <c r="PKT83" s="499"/>
      <c r="PKU83" s="499"/>
      <c r="PKV83" s="499"/>
      <c r="PKW83" s="499"/>
      <c r="PKX83" s="499"/>
      <c r="PKY83" s="499"/>
      <c r="PKZ83" s="499"/>
      <c r="PLA83" s="499"/>
      <c r="PLB83" s="499"/>
      <c r="PLC83" s="499"/>
      <c r="PLD83" s="499"/>
      <c r="PLE83" s="499"/>
      <c r="PLF83" s="499"/>
      <c r="PLG83" s="499"/>
      <c r="PLH83" s="499"/>
      <c r="PLI83" s="499"/>
      <c r="PLJ83" s="499"/>
      <c r="PLK83" s="499"/>
      <c r="PLL83" s="499"/>
      <c r="PLM83" s="499"/>
      <c r="PLN83" s="499"/>
      <c r="PLO83" s="499"/>
      <c r="PLP83" s="499"/>
      <c r="PLQ83" s="499"/>
      <c r="PLR83" s="499"/>
      <c r="PLS83" s="499"/>
      <c r="PLT83" s="499"/>
      <c r="PLU83" s="499"/>
      <c r="PLV83" s="499"/>
      <c r="PLW83" s="499"/>
      <c r="PLX83" s="499"/>
      <c r="PLY83" s="499"/>
      <c r="PLZ83" s="499"/>
      <c r="PMA83" s="499"/>
      <c r="PMB83" s="499"/>
      <c r="PMC83" s="499"/>
      <c r="PMD83" s="499"/>
      <c r="PME83" s="499"/>
      <c r="PMF83" s="499"/>
      <c r="PMG83" s="499"/>
      <c r="PMH83" s="499"/>
      <c r="PMI83" s="499"/>
      <c r="PMJ83" s="499"/>
      <c r="PMK83" s="499"/>
      <c r="PML83" s="499"/>
      <c r="PMM83" s="499"/>
      <c r="PMN83" s="499"/>
      <c r="PMO83" s="499"/>
      <c r="PMP83" s="499"/>
      <c r="PMQ83" s="499"/>
      <c r="PMR83" s="499"/>
      <c r="PMS83" s="499"/>
      <c r="PMT83" s="499"/>
      <c r="PMU83" s="499"/>
      <c r="PMV83" s="499"/>
      <c r="PMW83" s="499"/>
      <c r="PMX83" s="499"/>
      <c r="PMY83" s="499"/>
      <c r="PMZ83" s="499"/>
      <c r="PNA83" s="499"/>
      <c r="PNB83" s="499"/>
      <c r="PNC83" s="499"/>
      <c r="PND83" s="499"/>
      <c r="PNE83" s="499"/>
      <c r="PNF83" s="499"/>
      <c r="PNG83" s="499"/>
      <c r="PNH83" s="499"/>
      <c r="PNI83" s="499"/>
      <c r="PNJ83" s="499"/>
      <c r="PNK83" s="499"/>
      <c r="PNL83" s="499"/>
      <c r="PNM83" s="499"/>
      <c r="PNN83" s="499"/>
      <c r="PNO83" s="499"/>
      <c r="PNP83" s="499"/>
      <c r="PNQ83" s="499"/>
      <c r="PNR83" s="499"/>
      <c r="PNS83" s="499"/>
      <c r="PNT83" s="499"/>
      <c r="PNU83" s="499"/>
      <c r="PNV83" s="499"/>
      <c r="PNW83" s="499"/>
      <c r="PNX83" s="499"/>
      <c r="PNY83" s="499"/>
      <c r="PNZ83" s="499"/>
      <c r="POA83" s="499"/>
      <c r="POB83" s="499"/>
      <c r="POC83" s="499"/>
      <c r="POD83" s="499"/>
      <c r="POE83" s="499"/>
      <c r="POF83" s="499"/>
      <c r="POG83" s="499"/>
      <c r="POH83" s="499"/>
      <c r="POI83" s="499"/>
      <c r="POJ83" s="499"/>
      <c r="POK83" s="499"/>
      <c r="POL83" s="499"/>
      <c r="POM83" s="499"/>
      <c r="PON83" s="499"/>
      <c r="POO83" s="499"/>
      <c r="POP83" s="499"/>
      <c r="POQ83" s="499"/>
      <c r="POR83" s="499"/>
      <c r="POS83" s="499"/>
      <c r="POT83" s="499"/>
      <c r="POU83" s="499"/>
      <c r="POV83" s="499"/>
      <c r="POW83" s="499"/>
      <c r="POX83" s="499"/>
      <c r="POY83" s="499"/>
      <c r="POZ83" s="499"/>
      <c r="PPA83" s="499"/>
      <c r="PPB83" s="499"/>
      <c r="PPC83" s="499"/>
      <c r="PPD83" s="499"/>
      <c r="PPE83" s="499"/>
      <c r="PPF83" s="499"/>
      <c r="PPG83" s="499"/>
      <c r="PPH83" s="499"/>
      <c r="PPI83" s="499"/>
      <c r="PPJ83" s="499"/>
      <c r="PPK83" s="499"/>
      <c r="PPL83" s="499"/>
      <c r="PPM83" s="499"/>
      <c r="PPN83" s="499"/>
      <c r="PPO83" s="499"/>
      <c r="PPP83" s="499"/>
      <c r="PPQ83" s="499"/>
      <c r="PPR83" s="499"/>
      <c r="PPS83" s="499"/>
      <c r="PPT83" s="499"/>
      <c r="PPU83" s="499"/>
      <c r="PPV83" s="499"/>
      <c r="PPW83" s="499"/>
      <c r="PPX83" s="499"/>
      <c r="PPY83" s="499"/>
      <c r="PPZ83" s="499"/>
      <c r="PQA83" s="499"/>
      <c r="PQB83" s="499"/>
      <c r="PQC83" s="499"/>
      <c r="PQD83" s="499"/>
      <c r="PQE83" s="499"/>
      <c r="PQF83" s="499"/>
      <c r="PQG83" s="499"/>
      <c r="PQH83" s="499"/>
      <c r="PQI83" s="499"/>
      <c r="PQJ83" s="499"/>
      <c r="PQK83" s="499"/>
      <c r="PQL83" s="499"/>
      <c r="PQM83" s="499"/>
      <c r="PQN83" s="499"/>
      <c r="PQO83" s="499"/>
      <c r="PQP83" s="499"/>
      <c r="PQQ83" s="499"/>
      <c r="PQR83" s="499"/>
      <c r="PQS83" s="499"/>
      <c r="PQT83" s="499"/>
      <c r="PQU83" s="499"/>
      <c r="PQV83" s="499"/>
      <c r="PQW83" s="499"/>
      <c r="PQX83" s="499"/>
      <c r="PQY83" s="499"/>
      <c r="PQZ83" s="499"/>
      <c r="PRA83" s="499"/>
      <c r="PRB83" s="499"/>
      <c r="PRC83" s="499"/>
      <c r="PRD83" s="499"/>
      <c r="PRE83" s="499"/>
      <c r="PRF83" s="499"/>
      <c r="PRG83" s="499"/>
      <c r="PRH83" s="499"/>
      <c r="PRI83" s="499"/>
      <c r="PRJ83" s="499"/>
      <c r="PRK83" s="499"/>
      <c r="PRL83" s="499"/>
      <c r="PRM83" s="499"/>
      <c r="PRN83" s="499"/>
      <c r="PRO83" s="499"/>
      <c r="PRP83" s="499"/>
      <c r="PRQ83" s="499"/>
      <c r="PRR83" s="499"/>
      <c r="PRS83" s="499"/>
      <c r="PRT83" s="499"/>
      <c r="PRU83" s="499"/>
      <c r="PRV83" s="499"/>
      <c r="PRW83" s="499"/>
      <c r="PRX83" s="499"/>
      <c r="PRY83" s="499"/>
      <c r="PRZ83" s="499"/>
      <c r="PSA83" s="499"/>
      <c r="PSB83" s="499"/>
      <c r="PSC83" s="499"/>
      <c r="PSD83" s="499"/>
      <c r="PSE83" s="499"/>
      <c r="PSF83" s="499"/>
      <c r="PSG83" s="499"/>
      <c r="PSH83" s="499"/>
      <c r="PSI83" s="499"/>
      <c r="PSJ83" s="499"/>
      <c r="PSK83" s="499"/>
      <c r="PSL83" s="499"/>
      <c r="PSM83" s="499"/>
      <c r="PSN83" s="499"/>
      <c r="PSO83" s="499"/>
      <c r="PSP83" s="499"/>
      <c r="PSQ83" s="499"/>
      <c r="PSR83" s="499"/>
      <c r="PSS83" s="499"/>
      <c r="PST83" s="499"/>
      <c r="PSU83" s="499"/>
      <c r="PSV83" s="499"/>
      <c r="PSW83" s="499"/>
      <c r="PSX83" s="499"/>
      <c r="PSY83" s="499"/>
      <c r="PSZ83" s="499"/>
      <c r="PTA83" s="499"/>
      <c r="PTB83" s="499"/>
      <c r="PTC83" s="499"/>
      <c r="PTD83" s="499"/>
      <c r="PTE83" s="499"/>
      <c r="PTF83" s="499"/>
      <c r="PTG83" s="499"/>
      <c r="PTH83" s="499"/>
      <c r="PTI83" s="499"/>
      <c r="PTJ83" s="499"/>
      <c r="PTK83" s="499"/>
      <c r="PTL83" s="499"/>
      <c r="PTM83" s="499"/>
      <c r="PTN83" s="499"/>
      <c r="PTO83" s="499"/>
      <c r="PTP83" s="499"/>
      <c r="PTQ83" s="499"/>
      <c r="PTR83" s="499"/>
      <c r="PTS83" s="499"/>
      <c r="PTT83" s="499"/>
      <c r="PTU83" s="499"/>
      <c r="PTV83" s="499"/>
      <c r="PTW83" s="499"/>
      <c r="PTX83" s="499"/>
      <c r="PTY83" s="499"/>
      <c r="PTZ83" s="499"/>
      <c r="PUA83" s="499"/>
      <c r="PUB83" s="499"/>
      <c r="PUC83" s="499"/>
      <c r="PUD83" s="499"/>
      <c r="PUE83" s="499"/>
      <c r="PUF83" s="499"/>
      <c r="PUG83" s="499"/>
      <c r="PUH83" s="499"/>
      <c r="PUI83" s="499"/>
      <c r="PUJ83" s="499"/>
      <c r="PUK83" s="499"/>
      <c r="PUL83" s="499"/>
      <c r="PUM83" s="499"/>
      <c r="PUN83" s="499"/>
      <c r="PUO83" s="499"/>
      <c r="PUP83" s="499"/>
      <c r="PUQ83" s="499"/>
      <c r="PUR83" s="499"/>
      <c r="PUS83" s="499"/>
      <c r="PUT83" s="499"/>
      <c r="PUU83" s="499"/>
      <c r="PUV83" s="499"/>
      <c r="PUW83" s="499"/>
      <c r="PUX83" s="499"/>
      <c r="PUY83" s="499"/>
      <c r="PUZ83" s="499"/>
      <c r="PVA83" s="499"/>
      <c r="PVB83" s="499"/>
      <c r="PVC83" s="499"/>
      <c r="PVD83" s="499"/>
      <c r="PVE83" s="499"/>
      <c r="PVF83" s="499"/>
      <c r="PVG83" s="499"/>
      <c r="PVH83" s="499"/>
      <c r="PVI83" s="499"/>
      <c r="PVJ83" s="499"/>
      <c r="PVK83" s="499"/>
      <c r="PVL83" s="499"/>
      <c r="PVM83" s="499"/>
      <c r="PVN83" s="499"/>
      <c r="PVO83" s="499"/>
      <c r="PVP83" s="499"/>
      <c r="PVQ83" s="499"/>
      <c r="PVR83" s="499"/>
      <c r="PVS83" s="499"/>
      <c r="PVT83" s="499"/>
      <c r="PVU83" s="499"/>
      <c r="PVV83" s="499"/>
      <c r="PVW83" s="499"/>
      <c r="PVX83" s="499"/>
      <c r="PVY83" s="499"/>
      <c r="PVZ83" s="499"/>
      <c r="PWA83" s="499"/>
      <c r="PWB83" s="499"/>
      <c r="PWC83" s="499"/>
      <c r="PWD83" s="499"/>
      <c r="PWE83" s="499"/>
      <c r="PWF83" s="499"/>
      <c r="PWG83" s="499"/>
      <c r="PWH83" s="499"/>
      <c r="PWI83" s="499"/>
      <c r="PWJ83" s="499"/>
      <c r="PWK83" s="499"/>
      <c r="PWL83" s="499"/>
      <c r="PWM83" s="499"/>
      <c r="PWN83" s="499"/>
      <c r="PWO83" s="499"/>
      <c r="PWP83" s="499"/>
      <c r="PWQ83" s="499"/>
      <c r="PWR83" s="499"/>
      <c r="PWS83" s="499"/>
      <c r="PWT83" s="499"/>
      <c r="PWU83" s="499"/>
      <c r="PWV83" s="499"/>
      <c r="PWW83" s="499"/>
      <c r="PWX83" s="499"/>
      <c r="PWY83" s="499"/>
      <c r="PWZ83" s="499"/>
      <c r="PXA83" s="499"/>
      <c r="PXB83" s="499"/>
      <c r="PXC83" s="499"/>
      <c r="PXD83" s="499"/>
      <c r="PXE83" s="499"/>
      <c r="PXF83" s="499"/>
      <c r="PXG83" s="499"/>
      <c r="PXH83" s="499"/>
      <c r="PXI83" s="499"/>
      <c r="PXJ83" s="499"/>
      <c r="PXK83" s="499"/>
      <c r="PXL83" s="499"/>
      <c r="PXM83" s="499"/>
      <c r="PXN83" s="499"/>
      <c r="PXO83" s="499"/>
      <c r="PXP83" s="499"/>
      <c r="PXQ83" s="499"/>
      <c r="PXR83" s="499"/>
      <c r="PXS83" s="499"/>
      <c r="PXT83" s="499"/>
      <c r="PXU83" s="499"/>
      <c r="PXV83" s="499"/>
      <c r="PXW83" s="499"/>
      <c r="PXX83" s="499"/>
      <c r="PXY83" s="499"/>
      <c r="PXZ83" s="499"/>
      <c r="PYA83" s="499"/>
      <c r="PYB83" s="499"/>
      <c r="PYC83" s="499"/>
      <c r="PYD83" s="499"/>
      <c r="PYE83" s="499"/>
      <c r="PYF83" s="499"/>
      <c r="PYG83" s="499"/>
      <c r="PYH83" s="499"/>
      <c r="PYI83" s="499"/>
      <c r="PYJ83" s="499"/>
      <c r="PYK83" s="499"/>
      <c r="PYL83" s="499"/>
      <c r="PYM83" s="499"/>
      <c r="PYN83" s="499"/>
      <c r="PYO83" s="499"/>
      <c r="PYP83" s="499"/>
      <c r="PYQ83" s="499"/>
      <c r="PYR83" s="499"/>
      <c r="PYS83" s="499"/>
      <c r="PYT83" s="499"/>
      <c r="PYU83" s="499"/>
      <c r="PYV83" s="499"/>
      <c r="PYW83" s="499"/>
      <c r="PYX83" s="499"/>
      <c r="PYY83" s="499"/>
      <c r="PYZ83" s="499"/>
      <c r="PZA83" s="499"/>
      <c r="PZB83" s="499"/>
      <c r="PZC83" s="499"/>
      <c r="PZD83" s="499"/>
      <c r="PZE83" s="499"/>
      <c r="PZF83" s="499"/>
      <c r="PZG83" s="499"/>
      <c r="PZH83" s="499"/>
      <c r="PZI83" s="499"/>
      <c r="PZJ83" s="499"/>
      <c r="PZK83" s="499"/>
      <c r="PZL83" s="499"/>
      <c r="PZM83" s="499"/>
      <c r="PZN83" s="499"/>
      <c r="PZO83" s="499"/>
      <c r="PZP83" s="499"/>
      <c r="PZQ83" s="499"/>
      <c r="PZR83" s="499"/>
      <c r="PZS83" s="499"/>
      <c r="PZT83" s="499"/>
      <c r="PZU83" s="499"/>
      <c r="PZV83" s="499"/>
      <c r="PZW83" s="499"/>
      <c r="PZX83" s="499"/>
      <c r="PZY83" s="499"/>
      <c r="PZZ83" s="499"/>
      <c r="QAA83" s="499"/>
      <c r="QAB83" s="499"/>
      <c r="QAC83" s="499"/>
      <c r="QAD83" s="499"/>
      <c r="QAE83" s="499"/>
      <c r="QAF83" s="499"/>
      <c r="QAG83" s="499"/>
      <c r="QAH83" s="499"/>
      <c r="QAI83" s="499"/>
      <c r="QAJ83" s="499"/>
      <c r="QAK83" s="499"/>
      <c r="QAL83" s="499"/>
      <c r="QAM83" s="499"/>
      <c r="QAN83" s="499"/>
      <c r="QAO83" s="499"/>
      <c r="QAP83" s="499"/>
      <c r="QAQ83" s="499"/>
      <c r="QAR83" s="499"/>
      <c r="QAS83" s="499"/>
      <c r="QAT83" s="499"/>
      <c r="QAU83" s="499"/>
      <c r="QAV83" s="499"/>
      <c r="QAW83" s="499"/>
      <c r="QAX83" s="499"/>
      <c r="QAY83" s="499"/>
      <c r="QAZ83" s="499"/>
      <c r="QBA83" s="499"/>
      <c r="QBB83" s="499"/>
      <c r="QBC83" s="499"/>
      <c r="QBD83" s="499"/>
      <c r="QBE83" s="499"/>
      <c r="QBF83" s="499"/>
      <c r="QBG83" s="499"/>
      <c r="QBH83" s="499"/>
      <c r="QBI83" s="499"/>
      <c r="QBJ83" s="499"/>
      <c r="QBK83" s="499"/>
      <c r="QBL83" s="499"/>
      <c r="QBM83" s="499"/>
      <c r="QBN83" s="499"/>
      <c r="QBO83" s="499"/>
      <c r="QBP83" s="499"/>
      <c r="QBQ83" s="499"/>
      <c r="QBR83" s="499"/>
      <c r="QBS83" s="499"/>
      <c r="QBT83" s="499"/>
      <c r="QBU83" s="499"/>
      <c r="QBV83" s="499"/>
      <c r="QBW83" s="499"/>
      <c r="QBX83" s="499"/>
      <c r="QBY83" s="499"/>
      <c r="QBZ83" s="499"/>
      <c r="QCA83" s="499"/>
      <c r="QCB83" s="499"/>
      <c r="QCC83" s="499"/>
      <c r="QCD83" s="499"/>
      <c r="QCE83" s="499"/>
      <c r="QCF83" s="499"/>
      <c r="QCG83" s="499"/>
      <c r="QCH83" s="499"/>
      <c r="QCI83" s="499"/>
      <c r="QCJ83" s="499"/>
      <c r="QCK83" s="499"/>
      <c r="QCL83" s="499"/>
      <c r="QCM83" s="499"/>
      <c r="QCN83" s="499"/>
      <c r="QCO83" s="499"/>
      <c r="QCP83" s="499"/>
      <c r="QCQ83" s="499"/>
      <c r="QCR83" s="499"/>
      <c r="QCS83" s="499"/>
      <c r="QCT83" s="499"/>
      <c r="QCU83" s="499"/>
      <c r="QCV83" s="499"/>
      <c r="QCW83" s="499"/>
      <c r="QCX83" s="499"/>
      <c r="QCY83" s="499"/>
      <c r="QCZ83" s="499"/>
      <c r="QDA83" s="499"/>
      <c r="QDB83" s="499"/>
      <c r="QDC83" s="499"/>
      <c r="QDD83" s="499"/>
      <c r="QDE83" s="499"/>
      <c r="QDF83" s="499"/>
      <c r="QDG83" s="499"/>
      <c r="QDH83" s="499"/>
      <c r="QDI83" s="499"/>
      <c r="QDJ83" s="499"/>
      <c r="QDK83" s="499"/>
      <c r="QDL83" s="499"/>
      <c r="QDM83" s="499"/>
      <c r="QDN83" s="499"/>
      <c r="QDO83" s="499"/>
      <c r="QDP83" s="499"/>
      <c r="QDQ83" s="499"/>
      <c r="QDR83" s="499"/>
      <c r="QDS83" s="499"/>
      <c r="QDT83" s="499"/>
      <c r="QDU83" s="499"/>
      <c r="QDV83" s="499"/>
      <c r="QDW83" s="499"/>
      <c r="QDX83" s="499"/>
      <c r="QDY83" s="499"/>
      <c r="QDZ83" s="499"/>
      <c r="QEA83" s="499"/>
      <c r="QEB83" s="499"/>
      <c r="QEC83" s="499"/>
      <c r="QED83" s="499"/>
      <c r="QEE83" s="499"/>
      <c r="QEF83" s="499"/>
      <c r="QEG83" s="499"/>
      <c r="QEH83" s="499"/>
      <c r="QEI83" s="499"/>
      <c r="QEJ83" s="499"/>
      <c r="QEK83" s="499"/>
      <c r="QEL83" s="499"/>
      <c r="QEM83" s="499"/>
      <c r="QEN83" s="499"/>
      <c r="QEO83" s="499"/>
      <c r="QEP83" s="499"/>
      <c r="QEQ83" s="499"/>
      <c r="QER83" s="499"/>
      <c r="QES83" s="499"/>
      <c r="QET83" s="499"/>
      <c r="QEU83" s="499"/>
      <c r="QEV83" s="499"/>
      <c r="QEW83" s="499"/>
      <c r="QEX83" s="499"/>
      <c r="QEY83" s="499"/>
      <c r="QEZ83" s="499"/>
      <c r="QFA83" s="499"/>
      <c r="QFB83" s="499"/>
      <c r="QFC83" s="499"/>
      <c r="QFD83" s="499"/>
      <c r="QFE83" s="499"/>
      <c r="QFF83" s="499"/>
      <c r="QFG83" s="499"/>
      <c r="QFH83" s="499"/>
      <c r="QFI83" s="499"/>
      <c r="QFJ83" s="499"/>
      <c r="QFK83" s="499"/>
      <c r="QFL83" s="499"/>
      <c r="QFM83" s="499"/>
      <c r="QFN83" s="499"/>
      <c r="QFO83" s="499"/>
      <c r="QFP83" s="499"/>
      <c r="QFQ83" s="499"/>
      <c r="QFR83" s="499"/>
      <c r="QFS83" s="499"/>
      <c r="QFT83" s="499"/>
      <c r="QFU83" s="499"/>
      <c r="QFV83" s="499"/>
      <c r="QFW83" s="499"/>
      <c r="QFX83" s="499"/>
      <c r="QFY83" s="499"/>
      <c r="QFZ83" s="499"/>
      <c r="QGA83" s="499"/>
      <c r="QGB83" s="499"/>
      <c r="QGC83" s="499"/>
      <c r="QGD83" s="499"/>
      <c r="QGE83" s="499"/>
      <c r="QGF83" s="499"/>
      <c r="QGG83" s="499"/>
      <c r="QGH83" s="499"/>
      <c r="QGI83" s="499"/>
      <c r="QGJ83" s="499"/>
      <c r="QGK83" s="499"/>
      <c r="QGL83" s="499"/>
      <c r="QGM83" s="499"/>
      <c r="QGN83" s="499"/>
      <c r="QGO83" s="499"/>
      <c r="QGP83" s="499"/>
      <c r="QGQ83" s="499"/>
      <c r="QGR83" s="499"/>
      <c r="QGS83" s="499"/>
      <c r="QGT83" s="499"/>
      <c r="QGU83" s="499"/>
      <c r="QGV83" s="499"/>
      <c r="QGW83" s="499"/>
      <c r="QGX83" s="499"/>
      <c r="QGY83" s="499"/>
      <c r="QGZ83" s="499"/>
      <c r="QHA83" s="499"/>
      <c r="QHB83" s="499"/>
      <c r="QHC83" s="499"/>
      <c r="QHD83" s="499"/>
      <c r="QHE83" s="499"/>
      <c r="QHF83" s="499"/>
      <c r="QHG83" s="499"/>
      <c r="QHH83" s="499"/>
      <c r="QHI83" s="499"/>
      <c r="QHJ83" s="499"/>
      <c r="QHK83" s="499"/>
      <c r="QHL83" s="499"/>
      <c r="QHM83" s="499"/>
      <c r="QHN83" s="499"/>
      <c r="QHO83" s="499"/>
      <c r="QHP83" s="499"/>
      <c r="QHQ83" s="499"/>
      <c r="QHR83" s="499"/>
      <c r="QHS83" s="499"/>
      <c r="QHT83" s="499"/>
      <c r="QHU83" s="499"/>
      <c r="QHV83" s="499"/>
      <c r="QHW83" s="499"/>
      <c r="QHX83" s="499"/>
      <c r="QHY83" s="499"/>
      <c r="QHZ83" s="499"/>
      <c r="QIA83" s="499"/>
      <c r="QIB83" s="499"/>
      <c r="QIC83" s="499"/>
      <c r="QID83" s="499"/>
      <c r="QIE83" s="499"/>
      <c r="QIF83" s="499"/>
      <c r="QIG83" s="499"/>
      <c r="QIH83" s="499"/>
      <c r="QII83" s="499"/>
      <c r="QIJ83" s="499"/>
      <c r="QIK83" s="499"/>
      <c r="QIL83" s="499"/>
      <c r="QIM83" s="499"/>
      <c r="QIN83" s="499"/>
      <c r="QIO83" s="499"/>
      <c r="QIP83" s="499"/>
      <c r="QIQ83" s="499"/>
      <c r="QIR83" s="499"/>
      <c r="QIS83" s="499"/>
      <c r="QIT83" s="499"/>
      <c r="QIU83" s="499"/>
      <c r="QIV83" s="499"/>
      <c r="QIW83" s="499"/>
      <c r="QIX83" s="499"/>
      <c r="QIY83" s="499"/>
      <c r="QIZ83" s="499"/>
      <c r="QJA83" s="499"/>
      <c r="QJB83" s="499"/>
      <c r="QJC83" s="499"/>
      <c r="QJD83" s="499"/>
      <c r="QJE83" s="499"/>
      <c r="QJF83" s="499"/>
      <c r="QJG83" s="499"/>
      <c r="QJH83" s="499"/>
      <c r="QJI83" s="499"/>
      <c r="QJJ83" s="499"/>
      <c r="QJK83" s="499"/>
      <c r="QJL83" s="499"/>
      <c r="QJM83" s="499"/>
      <c r="QJN83" s="499"/>
      <c r="QJO83" s="499"/>
      <c r="QJP83" s="499"/>
      <c r="QJQ83" s="499"/>
      <c r="QJR83" s="499"/>
      <c r="QJS83" s="499"/>
      <c r="QJT83" s="499"/>
      <c r="QJU83" s="499"/>
      <c r="QJV83" s="499"/>
      <c r="QJW83" s="499"/>
      <c r="QJX83" s="499"/>
      <c r="QJY83" s="499"/>
      <c r="QJZ83" s="499"/>
      <c r="QKA83" s="499"/>
      <c r="QKB83" s="499"/>
      <c r="QKC83" s="499"/>
      <c r="QKD83" s="499"/>
      <c r="QKE83" s="499"/>
      <c r="QKF83" s="499"/>
      <c r="QKG83" s="499"/>
      <c r="QKH83" s="499"/>
      <c r="QKI83" s="499"/>
      <c r="QKJ83" s="499"/>
      <c r="QKK83" s="499"/>
      <c r="QKL83" s="499"/>
      <c r="QKM83" s="499"/>
      <c r="QKN83" s="499"/>
      <c r="QKO83" s="499"/>
      <c r="QKP83" s="499"/>
      <c r="QKQ83" s="499"/>
      <c r="QKR83" s="499"/>
      <c r="QKS83" s="499"/>
      <c r="QKT83" s="499"/>
      <c r="QKU83" s="499"/>
      <c r="QKV83" s="499"/>
      <c r="QKW83" s="499"/>
      <c r="QKX83" s="499"/>
      <c r="QKY83" s="499"/>
      <c r="QKZ83" s="499"/>
      <c r="QLA83" s="499"/>
      <c r="QLB83" s="499"/>
      <c r="QLC83" s="499"/>
      <c r="QLD83" s="499"/>
      <c r="QLE83" s="499"/>
      <c r="QLF83" s="499"/>
      <c r="QLG83" s="499"/>
      <c r="QLH83" s="499"/>
      <c r="QLI83" s="499"/>
      <c r="QLJ83" s="499"/>
      <c r="QLK83" s="499"/>
      <c r="QLL83" s="499"/>
      <c r="QLM83" s="499"/>
      <c r="QLN83" s="499"/>
      <c r="QLO83" s="499"/>
      <c r="QLP83" s="499"/>
      <c r="QLQ83" s="499"/>
      <c r="QLR83" s="499"/>
      <c r="QLS83" s="499"/>
      <c r="QLT83" s="499"/>
      <c r="QLU83" s="499"/>
      <c r="QLV83" s="499"/>
      <c r="QLW83" s="499"/>
      <c r="QLX83" s="499"/>
      <c r="QLY83" s="499"/>
      <c r="QLZ83" s="499"/>
      <c r="QMA83" s="499"/>
      <c r="QMB83" s="499"/>
      <c r="QMC83" s="499"/>
      <c r="QMD83" s="499"/>
      <c r="QME83" s="499"/>
      <c r="QMF83" s="499"/>
      <c r="QMG83" s="499"/>
      <c r="QMH83" s="499"/>
      <c r="QMI83" s="499"/>
      <c r="QMJ83" s="499"/>
      <c r="QMK83" s="499"/>
      <c r="QML83" s="499"/>
      <c r="QMM83" s="499"/>
      <c r="QMN83" s="499"/>
      <c r="QMO83" s="499"/>
      <c r="QMP83" s="499"/>
      <c r="QMQ83" s="499"/>
      <c r="QMR83" s="499"/>
      <c r="QMS83" s="499"/>
      <c r="QMT83" s="499"/>
      <c r="QMU83" s="499"/>
      <c r="QMV83" s="499"/>
      <c r="QMW83" s="499"/>
      <c r="QMX83" s="499"/>
      <c r="QMY83" s="499"/>
      <c r="QMZ83" s="499"/>
      <c r="QNA83" s="499"/>
      <c r="QNB83" s="499"/>
      <c r="QNC83" s="499"/>
      <c r="QND83" s="499"/>
      <c r="QNE83" s="499"/>
      <c r="QNF83" s="499"/>
      <c r="QNG83" s="499"/>
      <c r="QNH83" s="499"/>
      <c r="QNI83" s="499"/>
      <c r="QNJ83" s="499"/>
      <c r="QNK83" s="499"/>
      <c r="QNL83" s="499"/>
      <c r="QNM83" s="499"/>
      <c r="QNN83" s="499"/>
      <c r="QNO83" s="499"/>
      <c r="QNP83" s="499"/>
      <c r="QNQ83" s="499"/>
      <c r="QNR83" s="499"/>
      <c r="QNS83" s="499"/>
      <c r="QNT83" s="499"/>
      <c r="QNU83" s="499"/>
      <c r="QNV83" s="499"/>
      <c r="QNW83" s="499"/>
      <c r="QNX83" s="499"/>
      <c r="QNY83" s="499"/>
      <c r="QNZ83" s="499"/>
      <c r="QOA83" s="499"/>
      <c r="QOB83" s="499"/>
      <c r="QOC83" s="499"/>
      <c r="QOD83" s="499"/>
      <c r="QOE83" s="499"/>
      <c r="QOF83" s="499"/>
      <c r="QOG83" s="499"/>
      <c r="QOH83" s="499"/>
      <c r="QOI83" s="499"/>
      <c r="QOJ83" s="499"/>
      <c r="QOK83" s="499"/>
      <c r="QOL83" s="499"/>
      <c r="QOM83" s="499"/>
      <c r="QON83" s="499"/>
      <c r="QOO83" s="499"/>
      <c r="QOP83" s="499"/>
      <c r="QOQ83" s="499"/>
      <c r="QOR83" s="499"/>
      <c r="QOS83" s="499"/>
      <c r="QOT83" s="499"/>
      <c r="QOU83" s="499"/>
      <c r="QOV83" s="499"/>
      <c r="QOW83" s="499"/>
      <c r="QOX83" s="499"/>
      <c r="QOY83" s="499"/>
      <c r="QOZ83" s="499"/>
      <c r="QPA83" s="499"/>
      <c r="QPB83" s="499"/>
      <c r="QPC83" s="499"/>
      <c r="QPD83" s="499"/>
      <c r="QPE83" s="499"/>
      <c r="QPF83" s="499"/>
      <c r="QPG83" s="499"/>
      <c r="QPH83" s="499"/>
      <c r="QPI83" s="499"/>
      <c r="QPJ83" s="499"/>
      <c r="QPK83" s="499"/>
      <c r="QPL83" s="499"/>
      <c r="QPM83" s="499"/>
      <c r="QPN83" s="499"/>
      <c r="QPO83" s="499"/>
      <c r="QPP83" s="499"/>
      <c r="QPQ83" s="499"/>
      <c r="QPR83" s="499"/>
      <c r="QPS83" s="499"/>
      <c r="QPT83" s="499"/>
      <c r="QPU83" s="499"/>
      <c r="QPV83" s="499"/>
      <c r="QPW83" s="499"/>
      <c r="QPX83" s="499"/>
      <c r="QPY83" s="499"/>
      <c r="QPZ83" s="499"/>
      <c r="QQA83" s="499"/>
      <c r="QQB83" s="499"/>
      <c r="QQC83" s="499"/>
      <c r="QQD83" s="499"/>
      <c r="QQE83" s="499"/>
      <c r="QQF83" s="499"/>
      <c r="QQG83" s="499"/>
      <c r="QQH83" s="499"/>
      <c r="QQI83" s="499"/>
      <c r="QQJ83" s="499"/>
      <c r="QQK83" s="499"/>
      <c r="QQL83" s="499"/>
      <c r="QQM83" s="499"/>
      <c r="QQN83" s="499"/>
      <c r="QQO83" s="499"/>
      <c r="QQP83" s="499"/>
      <c r="QQQ83" s="499"/>
      <c r="QQR83" s="499"/>
      <c r="QQS83" s="499"/>
      <c r="QQT83" s="499"/>
      <c r="QQU83" s="499"/>
      <c r="QQV83" s="499"/>
      <c r="QQW83" s="499"/>
      <c r="QQX83" s="499"/>
      <c r="QQY83" s="499"/>
      <c r="QQZ83" s="499"/>
      <c r="QRA83" s="499"/>
      <c r="QRB83" s="499"/>
      <c r="QRC83" s="499"/>
      <c r="QRD83" s="499"/>
      <c r="QRE83" s="499"/>
      <c r="QRF83" s="499"/>
      <c r="QRG83" s="499"/>
      <c r="QRH83" s="499"/>
      <c r="QRI83" s="499"/>
      <c r="QRJ83" s="499"/>
      <c r="QRK83" s="499"/>
      <c r="QRL83" s="499"/>
      <c r="QRM83" s="499"/>
      <c r="QRN83" s="499"/>
      <c r="QRO83" s="499"/>
      <c r="QRP83" s="499"/>
      <c r="QRQ83" s="499"/>
      <c r="QRR83" s="499"/>
      <c r="QRS83" s="499"/>
      <c r="QRT83" s="499"/>
      <c r="QRU83" s="499"/>
      <c r="QRV83" s="499"/>
      <c r="QRW83" s="499"/>
      <c r="QRX83" s="499"/>
      <c r="QRY83" s="499"/>
      <c r="QRZ83" s="499"/>
      <c r="QSA83" s="499"/>
      <c r="QSB83" s="499"/>
      <c r="QSC83" s="499"/>
      <c r="QSD83" s="499"/>
      <c r="QSE83" s="499"/>
      <c r="QSF83" s="499"/>
      <c r="QSG83" s="499"/>
      <c r="QSH83" s="499"/>
      <c r="QSI83" s="499"/>
      <c r="QSJ83" s="499"/>
      <c r="QSK83" s="499"/>
      <c r="QSL83" s="499"/>
      <c r="QSM83" s="499"/>
      <c r="QSN83" s="499"/>
      <c r="QSO83" s="499"/>
      <c r="QSP83" s="499"/>
      <c r="QSQ83" s="499"/>
      <c r="QSR83" s="499"/>
      <c r="QSS83" s="499"/>
      <c r="QST83" s="499"/>
      <c r="QSU83" s="499"/>
      <c r="QSV83" s="499"/>
      <c r="QSW83" s="499"/>
      <c r="QSX83" s="499"/>
      <c r="QSY83" s="499"/>
      <c r="QSZ83" s="499"/>
      <c r="QTA83" s="499"/>
      <c r="QTB83" s="499"/>
      <c r="QTC83" s="499"/>
      <c r="QTD83" s="499"/>
      <c r="QTE83" s="499"/>
      <c r="QTF83" s="499"/>
      <c r="QTG83" s="499"/>
      <c r="QTH83" s="499"/>
      <c r="QTI83" s="499"/>
      <c r="QTJ83" s="499"/>
      <c r="QTK83" s="499"/>
      <c r="QTL83" s="499"/>
      <c r="QTM83" s="499"/>
      <c r="QTN83" s="499"/>
      <c r="QTO83" s="499"/>
      <c r="QTP83" s="499"/>
      <c r="QTQ83" s="499"/>
      <c r="QTR83" s="499"/>
      <c r="QTS83" s="499"/>
      <c r="QTT83" s="499"/>
      <c r="QTU83" s="499"/>
      <c r="QTV83" s="499"/>
      <c r="QTW83" s="499"/>
      <c r="QTX83" s="499"/>
      <c r="QTY83" s="499"/>
      <c r="QTZ83" s="499"/>
      <c r="QUA83" s="499"/>
      <c r="QUB83" s="499"/>
      <c r="QUC83" s="499"/>
      <c r="QUD83" s="499"/>
      <c r="QUE83" s="499"/>
      <c r="QUF83" s="499"/>
      <c r="QUG83" s="499"/>
      <c r="QUH83" s="499"/>
      <c r="QUI83" s="499"/>
      <c r="QUJ83" s="499"/>
      <c r="QUK83" s="499"/>
      <c r="QUL83" s="499"/>
      <c r="QUM83" s="499"/>
      <c r="QUN83" s="499"/>
      <c r="QUO83" s="499"/>
      <c r="QUP83" s="499"/>
      <c r="QUQ83" s="499"/>
      <c r="QUR83" s="499"/>
      <c r="QUS83" s="499"/>
      <c r="QUT83" s="499"/>
      <c r="QUU83" s="499"/>
      <c r="QUV83" s="499"/>
      <c r="QUW83" s="499"/>
      <c r="QUX83" s="499"/>
      <c r="QUY83" s="499"/>
      <c r="QUZ83" s="499"/>
      <c r="QVA83" s="499"/>
      <c r="QVB83" s="499"/>
      <c r="QVC83" s="499"/>
      <c r="QVD83" s="499"/>
      <c r="QVE83" s="499"/>
      <c r="QVF83" s="499"/>
      <c r="QVG83" s="499"/>
      <c r="QVH83" s="499"/>
      <c r="QVI83" s="499"/>
      <c r="QVJ83" s="499"/>
      <c r="QVK83" s="499"/>
      <c r="QVL83" s="499"/>
      <c r="QVM83" s="499"/>
      <c r="QVN83" s="499"/>
      <c r="QVO83" s="499"/>
      <c r="QVP83" s="499"/>
      <c r="QVQ83" s="499"/>
      <c r="QVR83" s="499"/>
      <c r="QVS83" s="499"/>
      <c r="QVT83" s="499"/>
      <c r="QVU83" s="499"/>
      <c r="QVV83" s="499"/>
      <c r="QVW83" s="499"/>
      <c r="QVX83" s="499"/>
      <c r="QVY83" s="499"/>
      <c r="QVZ83" s="499"/>
      <c r="QWA83" s="499"/>
      <c r="QWB83" s="499"/>
      <c r="QWC83" s="499"/>
      <c r="QWD83" s="499"/>
      <c r="QWE83" s="499"/>
      <c r="QWF83" s="499"/>
      <c r="QWG83" s="499"/>
      <c r="QWH83" s="499"/>
      <c r="QWI83" s="499"/>
      <c r="QWJ83" s="499"/>
      <c r="QWK83" s="499"/>
      <c r="QWL83" s="499"/>
      <c r="QWM83" s="499"/>
      <c r="QWN83" s="499"/>
      <c r="QWO83" s="499"/>
      <c r="QWP83" s="499"/>
      <c r="QWQ83" s="499"/>
      <c r="QWR83" s="499"/>
      <c r="QWS83" s="499"/>
      <c r="QWT83" s="499"/>
      <c r="QWU83" s="499"/>
      <c r="QWV83" s="499"/>
      <c r="QWW83" s="499"/>
      <c r="QWX83" s="499"/>
      <c r="QWY83" s="499"/>
      <c r="QWZ83" s="499"/>
      <c r="QXA83" s="499"/>
      <c r="QXB83" s="499"/>
      <c r="QXC83" s="499"/>
      <c r="QXD83" s="499"/>
      <c r="QXE83" s="499"/>
      <c r="QXF83" s="499"/>
      <c r="QXG83" s="499"/>
      <c r="QXH83" s="499"/>
      <c r="QXI83" s="499"/>
      <c r="QXJ83" s="499"/>
      <c r="QXK83" s="499"/>
      <c r="QXL83" s="499"/>
      <c r="QXM83" s="499"/>
      <c r="QXN83" s="499"/>
      <c r="QXO83" s="499"/>
      <c r="QXP83" s="499"/>
      <c r="QXQ83" s="499"/>
      <c r="QXR83" s="499"/>
      <c r="QXS83" s="499"/>
      <c r="QXT83" s="499"/>
      <c r="QXU83" s="499"/>
      <c r="QXV83" s="499"/>
      <c r="QXW83" s="499"/>
      <c r="QXX83" s="499"/>
      <c r="QXY83" s="499"/>
      <c r="QXZ83" s="499"/>
      <c r="QYA83" s="499"/>
      <c r="QYB83" s="499"/>
      <c r="QYC83" s="499"/>
      <c r="QYD83" s="499"/>
      <c r="QYE83" s="499"/>
      <c r="QYF83" s="499"/>
      <c r="QYG83" s="499"/>
      <c r="QYH83" s="499"/>
      <c r="QYI83" s="499"/>
      <c r="QYJ83" s="499"/>
      <c r="QYK83" s="499"/>
      <c r="QYL83" s="499"/>
      <c r="QYM83" s="499"/>
      <c r="QYN83" s="499"/>
      <c r="QYO83" s="499"/>
      <c r="QYP83" s="499"/>
      <c r="QYQ83" s="499"/>
      <c r="QYR83" s="499"/>
      <c r="QYS83" s="499"/>
      <c r="QYT83" s="499"/>
      <c r="QYU83" s="499"/>
      <c r="QYV83" s="499"/>
      <c r="QYW83" s="499"/>
      <c r="QYX83" s="499"/>
      <c r="QYY83" s="499"/>
      <c r="QYZ83" s="499"/>
      <c r="QZA83" s="499"/>
      <c r="QZB83" s="499"/>
      <c r="QZC83" s="499"/>
      <c r="QZD83" s="499"/>
      <c r="QZE83" s="499"/>
      <c r="QZF83" s="499"/>
      <c r="QZG83" s="499"/>
      <c r="QZH83" s="499"/>
      <c r="QZI83" s="499"/>
      <c r="QZJ83" s="499"/>
      <c r="QZK83" s="499"/>
      <c r="QZL83" s="499"/>
      <c r="QZM83" s="499"/>
      <c r="QZN83" s="499"/>
      <c r="QZO83" s="499"/>
      <c r="QZP83" s="499"/>
      <c r="QZQ83" s="499"/>
      <c r="QZR83" s="499"/>
      <c r="QZS83" s="499"/>
      <c r="QZT83" s="499"/>
      <c r="QZU83" s="499"/>
      <c r="QZV83" s="499"/>
      <c r="QZW83" s="499"/>
      <c r="QZX83" s="499"/>
      <c r="QZY83" s="499"/>
      <c r="QZZ83" s="499"/>
      <c r="RAA83" s="499"/>
      <c r="RAB83" s="499"/>
      <c r="RAC83" s="499"/>
      <c r="RAD83" s="499"/>
      <c r="RAE83" s="499"/>
      <c r="RAF83" s="499"/>
      <c r="RAG83" s="499"/>
      <c r="RAH83" s="499"/>
      <c r="RAI83" s="499"/>
      <c r="RAJ83" s="499"/>
      <c r="RAK83" s="499"/>
      <c r="RAL83" s="499"/>
      <c r="RAM83" s="499"/>
      <c r="RAN83" s="499"/>
      <c r="RAO83" s="499"/>
      <c r="RAP83" s="499"/>
      <c r="RAQ83" s="499"/>
      <c r="RAR83" s="499"/>
      <c r="RAS83" s="499"/>
      <c r="RAT83" s="499"/>
      <c r="RAU83" s="499"/>
      <c r="RAV83" s="499"/>
      <c r="RAW83" s="499"/>
      <c r="RAX83" s="499"/>
      <c r="RAY83" s="499"/>
      <c r="RAZ83" s="499"/>
      <c r="RBA83" s="499"/>
      <c r="RBB83" s="499"/>
      <c r="RBC83" s="499"/>
      <c r="RBD83" s="499"/>
      <c r="RBE83" s="499"/>
      <c r="RBF83" s="499"/>
      <c r="RBG83" s="499"/>
      <c r="RBH83" s="499"/>
      <c r="RBI83" s="499"/>
      <c r="RBJ83" s="499"/>
      <c r="RBK83" s="499"/>
      <c r="RBL83" s="499"/>
      <c r="RBM83" s="499"/>
      <c r="RBN83" s="499"/>
      <c r="RBO83" s="499"/>
      <c r="RBP83" s="499"/>
      <c r="RBQ83" s="499"/>
      <c r="RBR83" s="499"/>
      <c r="RBS83" s="499"/>
      <c r="RBT83" s="499"/>
      <c r="RBU83" s="499"/>
      <c r="RBV83" s="499"/>
      <c r="RBW83" s="499"/>
      <c r="RBX83" s="499"/>
      <c r="RBY83" s="499"/>
      <c r="RBZ83" s="499"/>
      <c r="RCA83" s="499"/>
      <c r="RCB83" s="499"/>
      <c r="RCC83" s="499"/>
      <c r="RCD83" s="499"/>
      <c r="RCE83" s="499"/>
      <c r="RCF83" s="499"/>
      <c r="RCG83" s="499"/>
      <c r="RCH83" s="499"/>
      <c r="RCI83" s="499"/>
      <c r="RCJ83" s="499"/>
      <c r="RCK83" s="499"/>
      <c r="RCL83" s="499"/>
      <c r="RCM83" s="499"/>
      <c r="RCN83" s="499"/>
      <c r="RCO83" s="499"/>
      <c r="RCP83" s="499"/>
      <c r="RCQ83" s="499"/>
      <c r="RCR83" s="499"/>
      <c r="RCS83" s="499"/>
      <c r="RCT83" s="499"/>
      <c r="RCU83" s="499"/>
      <c r="RCV83" s="499"/>
      <c r="RCW83" s="499"/>
      <c r="RCX83" s="499"/>
      <c r="RCY83" s="499"/>
      <c r="RCZ83" s="499"/>
      <c r="RDA83" s="499"/>
      <c r="RDB83" s="499"/>
      <c r="RDC83" s="499"/>
      <c r="RDD83" s="499"/>
      <c r="RDE83" s="499"/>
      <c r="RDF83" s="499"/>
      <c r="RDG83" s="499"/>
      <c r="RDH83" s="499"/>
      <c r="RDI83" s="499"/>
      <c r="RDJ83" s="499"/>
      <c r="RDK83" s="499"/>
      <c r="RDL83" s="499"/>
      <c r="RDM83" s="499"/>
      <c r="RDN83" s="499"/>
      <c r="RDO83" s="499"/>
      <c r="RDP83" s="499"/>
      <c r="RDQ83" s="499"/>
      <c r="RDR83" s="499"/>
      <c r="RDS83" s="499"/>
      <c r="RDT83" s="499"/>
      <c r="RDU83" s="499"/>
      <c r="RDV83" s="499"/>
      <c r="RDW83" s="499"/>
      <c r="RDX83" s="499"/>
      <c r="RDY83" s="499"/>
      <c r="RDZ83" s="499"/>
      <c r="REA83" s="499"/>
      <c r="REB83" s="499"/>
      <c r="REC83" s="499"/>
      <c r="RED83" s="499"/>
      <c r="REE83" s="499"/>
      <c r="REF83" s="499"/>
      <c r="REG83" s="499"/>
      <c r="REH83" s="499"/>
      <c r="REI83" s="499"/>
      <c r="REJ83" s="499"/>
      <c r="REK83" s="499"/>
      <c r="REL83" s="499"/>
      <c r="REM83" s="499"/>
      <c r="REN83" s="499"/>
      <c r="REO83" s="499"/>
      <c r="REP83" s="499"/>
      <c r="REQ83" s="499"/>
      <c r="RER83" s="499"/>
      <c r="RES83" s="499"/>
      <c r="RET83" s="499"/>
      <c r="REU83" s="499"/>
      <c r="REV83" s="499"/>
      <c r="REW83" s="499"/>
      <c r="REX83" s="499"/>
      <c r="REY83" s="499"/>
      <c r="REZ83" s="499"/>
      <c r="RFA83" s="499"/>
      <c r="RFB83" s="499"/>
      <c r="RFC83" s="499"/>
      <c r="RFD83" s="499"/>
      <c r="RFE83" s="499"/>
      <c r="RFF83" s="499"/>
      <c r="RFG83" s="499"/>
      <c r="RFH83" s="499"/>
      <c r="RFI83" s="499"/>
      <c r="RFJ83" s="499"/>
      <c r="RFK83" s="499"/>
      <c r="RFL83" s="499"/>
      <c r="RFM83" s="499"/>
      <c r="RFN83" s="499"/>
      <c r="RFO83" s="499"/>
      <c r="RFP83" s="499"/>
      <c r="RFQ83" s="499"/>
      <c r="RFR83" s="499"/>
      <c r="RFS83" s="499"/>
      <c r="RFT83" s="499"/>
      <c r="RFU83" s="499"/>
      <c r="RFV83" s="499"/>
      <c r="RFW83" s="499"/>
      <c r="RFX83" s="499"/>
      <c r="RFY83" s="499"/>
      <c r="RFZ83" s="499"/>
      <c r="RGA83" s="499"/>
      <c r="RGB83" s="499"/>
      <c r="RGC83" s="499"/>
      <c r="RGD83" s="499"/>
      <c r="RGE83" s="499"/>
      <c r="RGF83" s="499"/>
      <c r="RGG83" s="499"/>
      <c r="RGH83" s="499"/>
      <c r="RGI83" s="499"/>
      <c r="RGJ83" s="499"/>
      <c r="RGK83" s="499"/>
      <c r="RGL83" s="499"/>
      <c r="RGM83" s="499"/>
      <c r="RGN83" s="499"/>
      <c r="RGO83" s="499"/>
      <c r="RGP83" s="499"/>
      <c r="RGQ83" s="499"/>
      <c r="RGR83" s="499"/>
      <c r="RGS83" s="499"/>
      <c r="RGT83" s="499"/>
      <c r="RGU83" s="499"/>
      <c r="RGV83" s="499"/>
      <c r="RGW83" s="499"/>
      <c r="RGX83" s="499"/>
      <c r="RGY83" s="499"/>
      <c r="RGZ83" s="499"/>
      <c r="RHA83" s="499"/>
      <c r="RHB83" s="499"/>
      <c r="RHC83" s="499"/>
      <c r="RHD83" s="499"/>
      <c r="RHE83" s="499"/>
      <c r="RHF83" s="499"/>
      <c r="RHG83" s="499"/>
      <c r="RHH83" s="499"/>
      <c r="RHI83" s="499"/>
      <c r="RHJ83" s="499"/>
      <c r="RHK83" s="499"/>
      <c r="RHL83" s="499"/>
      <c r="RHM83" s="499"/>
      <c r="RHN83" s="499"/>
      <c r="RHO83" s="499"/>
      <c r="RHP83" s="499"/>
      <c r="RHQ83" s="499"/>
      <c r="RHR83" s="499"/>
      <c r="RHS83" s="499"/>
      <c r="RHT83" s="499"/>
      <c r="RHU83" s="499"/>
      <c r="RHV83" s="499"/>
      <c r="RHW83" s="499"/>
      <c r="RHX83" s="499"/>
      <c r="RHY83" s="499"/>
      <c r="RHZ83" s="499"/>
      <c r="RIA83" s="499"/>
      <c r="RIB83" s="499"/>
      <c r="RIC83" s="499"/>
      <c r="RID83" s="499"/>
      <c r="RIE83" s="499"/>
      <c r="RIF83" s="499"/>
      <c r="RIG83" s="499"/>
      <c r="RIH83" s="499"/>
      <c r="RII83" s="499"/>
      <c r="RIJ83" s="499"/>
      <c r="RIK83" s="499"/>
      <c r="RIL83" s="499"/>
      <c r="RIM83" s="499"/>
      <c r="RIN83" s="499"/>
      <c r="RIO83" s="499"/>
      <c r="RIP83" s="499"/>
      <c r="RIQ83" s="499"/>
      <c r="RIR83" s="499"/>
      <c r="RIS83" s="499"/>
      <c r="RIT83" s="499"/>
      <c r="RIU83" s="499"/>
      <c r="RIV83" s="499"/>
      <c r="RIW83" s="499"/>
      <c r="RIX83" s="499"/>
      <c r="RIY83" s="499"/>
      <c r="RIZ83" s="499"/>
      <c r="RJA83" s="499"/>
      <c r="RJB83" s="499"/>
      <c r="RJC83" s="499"/>
      <c r="RJD83" s="499"/>
      <c r="RJE83" s="499"/>
      <c r="RJF83" s="499"/>
      <c r="RJG83" s="499"/>
      <c r="RJH83" s="499"/>
      <c r="RJI83" s="499"/>
      <c r="RJJ83" s="499"/>
      <c r="RJK83" s="499"/>
      <c r="RJL83" s="499"/>
      <c r="RJM83" s="499"/>
      <c r="RJN83" s="499"/>
      <c r="RJO83" s="499"/>
      <c r="RJP83" s="499"/>
      <c r="RJQ83" s="499"/>
      <c r="RJR83" s="499"/>
      <c r="RJS83" s="499"/>
      <c r="RJT83" s="499"/>
      <c r="RJU83" s="499"/>
      <c r="RJV83" s="499"/>
      <c r="RJW83" s="499"/>
      <c r="RJX83" s="499"/>
      <c r="RJY83" s="499"/>
      <c r="RJZ83" s="499"/>
      <c r="RKA83" s="499"/>
      <c r="RKB83" s="499"/>
      <c r="RKC83" s="499"/>
      <c r="RKD83" s="499"/>
      <c r="RKE83" s="499"/>
      <c r="RKF83" s="499"/>
      <c r="RKG83" s="499"/>
      <c r="RKH83" s="499"/>
      <c r="RKI83" s="499"/>
      <c r="RKJ83" s="499"/>
      <c r="RKK83" s="499"/>
      <c r="RKL83" s="499"/>
      <c r="RKM83" s="499"/>
      <c r="RKN83" s="499"/>
      <c r="RKO83" s="499"/>
      <c r="RKP83" s="499"/>
      <c r="RKQ83" s="499"/>
      <c r="RKR83" s="499"/>
      <c r="RKS83" s="499"/>
      <c r="RKT83" s="499"/>
      <c r="RKU83" s="499"/>
      <c r="RKV83" s="499"/>
      <c r="RKW83" s="499"/>
      <c r="RKX83" s="499"/>
      <c r="RKY83" s="499"/>
      <c r="RKZ83" s="499"/>
      <c r="RLA83" s="499"/>
      <c r="RLB83" s="499"/>
      <c r="RLC83" s="499"/>
      <c r="RLD83" s="499"/>
      <c r="RLE83" s="499"/>
      <c r="RLF83" s="499"/>
      <c r="RLG83" s="499"/>
      <c r="RLH83" s="499"/>
      <c r="RLI83" s="499"/>
      <c r="RLJ83" s="499"/>
      <c r="RLK83" s="499"/>
      <c r="RLL83" s="499"/>
      <c r="RLM83" s="499"/>
      <c r="RLN83" s="499"/>
      <c r="RLO83" s="499"/>
      <c r="RLP83" s="499"/>
      <c r="RLQ83" s="499"/>
      <c r="RLR83" s="499"/>
      <c r="RLS83" s="499"/>
      <c r="RLT83" s="499"/>
      <c r="RLU83" s="499"/>
      <c r="RLV83" s="499"/>
      <c r="RLW83" s="499"/>
      <c r="RLX83" s="499"/>
      <c r="RLY83" s="499"/>
      <c r="RLZ83" s="499"/>
      <c r="RMA83" s="499"/>
      <c r="RMB83" s="499"/>
      <c r="RMC83" s="499"/>
      <c r="RMD83" s="499"/>
      <c r="RME83" s="499"/>
      <c r="RMF83" s="499"/>
      <c r="RMG83" s="499"/>
      <c r="RMH83" s="499"/>
      <c r="RMI83" s="499"/>
      <c r="RMJ83" s="499"/>
      <c r="RMK83" s="499"/>
      <c r="RML83" s="499"/>
      <c r="RMM83" s="499"/>
      <c r="RMN83" s="499"/>
      <c r="RMO83" s="499"/>
      <c r="RMP83" s="499"/>
      <c r="RMQ83" s="499"/>
      <c r="RMR83" s="499"/>
      <c r="RMS83" s="499"/>
      <c r="RMT83" s="499"/>
      <c r="RMU83" s="499"/>
      <c r="RMV83" s="499"/>
      <c r="RMW83" s="499"/>
      <c r="RMX83" s="499"/>
      <c r="RMY83" s="499"/>
      <c r="RMZ83" s="499"/>
      <c r="RNA83" s="499"/>
      <c r="RNB83" s="499"/>
      <c r="RNC83" s="499"/>
      <c r="RND83" s="499"/>
      <c r="RNE83" s="499"/>
      <c r="RNF83" s="499"/>
      <c r="RNG83" s="499"/>
      <c r="RNH83" s="499"/>
      <c r="RNI83" s="499"/>
      <c r="RNJ83" s="499"/>
      <c r="RNK83" s="499"/>
      <c r="RNL83" s="499"/>
      <c r="RNM83" s="499"/>
      <c r="RNN83" s="499"/>
      <c r="RNO83" s="499"/>
      <c r="RNP83" s="499"/>
      <c r="RNQ83" s="499"/>
      <c r="RNR83" s="499"/>
      <c r="RNS83" s="499"/>
      <c r="RNT83" s="499"/>
      <c r="RNU83" s="499"/>
      <c r="RNV83" s="499"/>
      <c r="RNW83" s="499"/>
      <c r="RNX83" s="499"/>
      <c r="RNY83" s="499"/>
      <c r="RNZ83" s="499"/>
      <c r="ROA83" s="499"/>
      <c r="ROB83" s="499"/>
      <c r="ROC83" s="499"/>
      <c r="ROD83" s="499"/>
      <c r="ROE83" s="499"/>
      <c r="ROF83" s="499"/>
      <c r="ROG83" s="499"/>
      <c r="ROH83" s="499"/>
      <c r="ROI83" s="499"/>
      <c r="ROJ83" s="499"/>
      <c r="ROK83" s="499"/>
      <c r="ROL83" s="499"/>
      <c r="ROM83" s="499"/>
      <c r="RON83" s="499"/>
      <c r="ROO83" s="499"/>
      <c r="ROP83" s="499"/>
      <c r="ROQ83" s="499"/>
      <c r="ROR83" s="499"/>
      <c r="ROS83" s="499"/>
      <c r="ROT83" s="499"/>
      <c r="ROU83" s="499"/>
      <c r="ROV83" s="499"/>
      <c r="ROW83" s="499"/>
      <c r="ROX83" s="499"/>
      <c r="ROY83" s="499"/>
      <c r="ROZ83" s="499"/>
      <c r="RPA83" s="499"/>
      <c r="RPB83" s="499"/>
      <c r="RPC83" s="499"/>
      <c r="RPD83" s="499"/>
      <c r="RPE83" s="499"/>
      <c r="RPF83" s="499"/>
      <c r="RPG83" s="499"/>
      <c r="RPH83" s="499"/>
      <c r="RPI83" s="499"/>
      <c r="RPJ83" s="499"/>
      <c r="RPK83" s="499"/>
      <c r="RPL83" s="499"/>
      <c r="RPM83" s="499"/>
      <c r="RPN83" s="499"/>
      <c r="RPO83" s="499"/>
      <c r="RPP83" s="499"/>
      <c r="RPQ83" s="499"/>
      <c r="RPR83" s="499"/>
      <c r="RPS83" s="499"/>
      <c r="RPT83" s="499"/>
      <c r="RPU83" s="499"/>
      <c r="RPV83" s="499"/>
      <c r="RPW83" s="499"/>
      <c r="RPX83" s="499"/>
      <c r="RPY83" s="499"/>
      <c r="RPZ83" s="499"/>
      <c r="RQA83" s="499"/>
      <c r="RQB83" s="499"/>
      <c r="RQC83" s="499"/>
      <c r="RQD83" s="499"/>
      <c r="RQE83" s="499"/>
      <c r="RQF83" s="499"/>
      <c r="RQG83" s="499"/>
      <c r="RQH83" s="499"/>
      <c r="RQI83" s="499"/>
      <c r="RQJ83" s="499"/>
      <c r="RQK83" s="499"/>
      <c r="RQL83" s="499"/>
      <c r="RQM83" s="499"/>
      <c r="RQN83" s="499"/>
      <c r="RQO83" s="499"/>
      <c r="RQP83" s="499"/>
      <c r="RQQ83" s="499"/>
      <c r="RQR83" s="499"/>
      <c r="RQS83" s="499"/>
      <c r="RQT83" s="499"/>
      <c r="RQU83" s="499"/>
      <c r="RQV83" s="499"/>
      <c r="RQW83" s="499"/>
      <c r="RQX83" s="499"/>
      <c r="RQY83" s="499"/>
      <c r="RQZ83" s="499"/>
      <c r="RRA83" s="499"/>
      <c r="RRB83" s="499"/>
      <c r="RRC83" s="499"/>
      <c r="RRD83" s="499"/>
      <c r="RRE83" s="499"/>
      <c r="RRF83" s="499"/>
      <c r="RRG83" s="499"/>
      <c r="RRH83" s="499"/>
      <c r="RRI83" s="499"/>
      <c r="RRJ83" s="499"/>
      <c r="RRK83" s="499"/>
      <c r="RRL83" s="499"/>
      <c r="RRM83" s="499"/>
      <c r="RRN83" s="499"/>
      <c r="RRO83" s="499"/>
      <c r="RRP83" s="499"/>
      <c r="RRQ83" s="499"/>
      <c r="RRR83" s="499"/>
      <c r="RRS83" s="499"/>
      <c r="RRT83" s="499"/>
      <c r="RRU83" s="499"/>
      <c r="RRV83" s="499"/>
      <c r="RRW83" s="499"/>
      <c r="RRX83" s="499"/>
      <c r="RRY83" s="499"/>
      <c r="RRZ83" s="499"/>
      <c r="RSA83" s="499"/>
      <c r="RSB83" s="499"/>
      <c r="RSC83" s="499"/>
      <c r="RSD83" s="499"/>
      <c r="RSE83" s="499"/>
      <c r="RSF83" s="499"/>
      <c r="RSG83" s="499"/>
      <c r="RSH83" s="499"/>
      <c r="RSI83" s="499"/>
      <c r="RSJ83" s="499"/>
      <c r="RSK83" s="499"/>
      <c r="RSL83" s="499"/>
      <c r="RSM83" s="499"/>
      <c r="RSN83" s="499"/>
      <c r="RSO83" s="499"/>
      <c r="RSP83" s="499"/>
      <c r="RSQ83" s="499"/>
      <c r="RSR83" s="499"/>
      <c r="RSS83" s="499"/>
      <c r="RST83" s="499"/>
      <c r="RSU83" s="499"/>
      <c r="RSV83" s="499"/>
      <c r="RSW83" s="499"/>
      <c r="RSX83" s="499"/>
      <c r="RSY83" s="499"/>
      <c r="RSZ83" s="499"/>
      <c r="RTA83" s="499"/>
      <c r="RTB83" s="499"/>
      <c r="RTC83" s="499"/>
      <c r="RTD83" s="499"/>
      <c r="RTE83" s="499"/>
      <c r="RTF83" s="499"/>
      <c r="RTG83" s="499"/>
      <c r="RTH83" s="499"/>
      <c r="RTI83" s="499"/>
      <c r="RTJ83" s="499"/>
      <c r="RTK83" s="499"/>
      <c r="RTL83" s="499"/>
      <c r="RTM83" s="499"/>
      <c r="RTN83" s="499"/>
      <c r="RTO83" s="499"/>
      <c r="RTP83" s="499"/>
      <c r="RTQ83" s="499"/>
      <c r="RTR83" s="499"/>
      <c r="RTS83" s="499"/>
      <c r="RTT83" s="499"/>
      <c r="RTU83" s="499"/>
      <c r="RTV83" s="499"/>
      <c r="RTW83" s="499"/>
      <c r="RTX83" s="499"/>
      <c r="RTY83" s="499"/>
      <c r="RTZ83" s="499"/>
      <c r="RUA83" s="499"/>
      <c r="RUB83" s="499"/>
      <c r="RUC83" s="499"/>
      <c r="RUD83" s="499"/>
      <c r="RUE83" s="499"/>
      <c r="RUF83" s="499"/>
      <c r="RUG83" s="499"/>
      <c r="RUH83" s="499"/>
      <c r="RUI83" s="499"/>
      <c r="RUJ83" s="499"/>
      <c r="RUK83" s="499"/>
      <c r="RUL83" s="499"/>
      <c r="RUM83" s="499"/>
      <c r="RUN83" s="499"/>
      <c r="RUO83" s="499"/>
      <c r="RUP83" s="499"/>
      <c r="RUQ83" s="499"/>
      <c r="RUR83" s="499"/>
      <c r="RUS83" s="499"/>
      <c r="RUT83" s="499"/>
      <c r="RUU83" s="499"/>
      <c r="RUV83" s="499"/>
      <c r="RUW83" s="499"/>
      <c r="RUX83" s="499"/>
      <c r="RUY83" s="499"/>
      <c r="RUZ83" s="499"/>
      <c r="RVA83" s="499"/>
      <c r="RVB83" s="499"/>
      <c r="RVC83" s="499"/>
      <c r="RVD83" s="499"/>
      <c r="RVE83" s="499"/>
      <c r="RVF83" s="499"/>
      <c r="RVG83" s="499"/>
      <c r="RVH83" s="499"/>
      <c r="RVI83" s="499"/>
      <c r="RVJ83" s="499"/>
      <c r="RVK83" s="499"/>
      <c r="RVL83" s="499"/>
      <c r="RVM83" s="499"/>
      <c r="RVN83" s="499"/>
      <c r="RVO83" s="499"/>
      <c r="RVP83" s="499"/>
      <c r="RVQ83" s="499"/>
      <c r="RVR83" s="499"/>
      <c r="RVS83" s="499"/>
      <c r="RVT83" s="499"/>
      <c r="RVU83" s="499"/>
      <c r="RVV83" s="499"/>
      <c r="RVW83" s="499"/>
      <c r="RVX83" s="499"/>
      <c r="RVY83" s="499"/>
      <c r="RVZ83" s="499"/>
      <c r="RWA83" s="499"/>
      <c r="RWB83" s="499"/>
      <c r="RWC83" s="499"/>
      <c r="RWD83" s="499"/>
      <c r="RWE83" s="499"/>
      <c r="RWF83" s="499"/>
      <c r="RWG83" s="499"/>
      <c r="RWH83" s="499"/>
      <c r="RWI83" s="499"/>
      <c r="RWJ83" s="499"/>
      <c r="RWK83" s="499"/>
      <c r="RWL83" s="499"/>
      <c r="RWM83" s="499"/>
      <c r="RWN83" s="499"/>
      <c r="RWO83" s="499"/>
      <c r="RWP83" s="499"/>
      <c r="RWQ83" s="499"/>
      <c r="RWR83" s="499"/>
      <c r="RWS83" s="499"/>
      <c r="RWT83" s="499"/>
      <c r="RWU83" s="499"/>
      <c r="RWV83" s="499"/>
      <c r="RWW83" s="499"/>
      <c r="RWX83" s="499"/>
      <c r="RWY83" s="499"/>
      <c r="RWZ83" s="499"/>
      <c r="RXA83" s="499"/>
      <c r="RXB83" s="499"/>
      <c r="RXC83" s="499"/>
      <c r="RXD83" s="499"/>
      <c r="RXE83" s="499"/>
      <c r="RXF83" s="499"/>
      <c r="RXG83" s="499"/>
      <c r="RXH83" s="499"/>
      <c r="RXI83" s="499"/>
      <c r="RXJ83" s="499"/>
      <c r="RXK83" s="499"/>
      <c r="RXL83" s="499"/>
      <c r="RXM83" s="499"/>
      <c r="RXN83" s="499"/>
      <c r="RXO83" s="499"/>
      <c r="RXP83" s="499"/>
      <c r="RXQ83" s="499"/>
      <c r="RXR83" s="499"/>
      <c r="RXS83" s="499"/>
      <c r="RXT83" s="499"/>
      <c r="RXU83" s="499"/>
      <c r="RXV83" s="499"/>
      <c r="RXW83" s="499"/>
      <c r="RXX83" s="499"/>
      <c r="RXY83" s="499"/>
      <c r="RXZ83" s="499"/>
      <c r="RYA83" s="499"/>
      <c r="RYB83" s="499"/>
      <c r="RYC83" s="499"/>
      <c r="RYD83" s="499"/>
      <c r="RYE83" s="499"/>
      <c r="RYF83" s="499"/>
      <c r="RYG83" s="499"/>
      <c r="RYH83" s="499"/>
      <c r="RYI83" s="499"/>
      <c r="RYJ83" s="499"/>
      <c r="RYK83" s="499"/>
      <c r="RYL83" s="499"/>
      <c r="RYM83" s="499"/>
      <c r="RYN83" s="499"/>
      <c r="RYO83" s="499"/>
      <c r="RYP83" s="499"/>
      <c r="RYQ83" s="499"/>
      <c r="RYR83" s="499"/>
      <c r="RYS83" s="499"/>
      <c r="RYT83" s="499"/>
      <c r="RYU83" s="499"/>
      <c r="RYV83" s="499"/>
      <c r="RYW83" s="499"/>
      <c r="RYX83" s="499"/>
      <c r="RYY83" s="499"/>
      <c r="RYZ83" s="499"/>
      <c r="RZA83" s="499"/>
      <c r="RZB83" s="499"/>
      <c r="RZC83" s="499"/>
      <c r="RZD83" s="499"/>
      <c r="RZE83" s="499"/>
      <c r="RZF83" s="499"/>
      <c r="RZG83" s="499"/>
      <c r="RZH83" s="499"/>
      <c r="RZI83" s="499"/>
      <c r="RZJ83" s="499"/>
      <c r="RZK83" s="499"/>
      <c r="RZL83" s="499"/>
      <c r="RZM83" s="499"/>
      <c r="RZN83" s="499"/>
      <c r="RZO83" s="499"/>
      <c r="RZP83" s="499"/>
      <c r="RZQ83" s="499"/>
      <c r="RZR83" s="499"/>
      <c r="RZS83" s="499"/>
      <c r="RZT83" s="499"/>
      <c r="RZU83" s="499"/>
      <c r="RZV83" s="499"/>
      <c r="RZW83" s="499"/>
      <c r="RZX83" s="499"/>
      <c r="RZY83" s="499"/>
      <c r="RZZ83" s="499"/>
      <c r="SAA83" s="499"/>
      <c r="SAB83" s="499"/>
      <c r="SAC83" s="499"/>
      <c r="SAD83" s="499"/>
      <c r="SAE83" s="499"/>
      <c r="SAF83" s="499"/>
      <c r="SAG83" s="499"/>
      <c r="SAH83" s="499"/>
      <c r="SAI83" s="499"/>
      <c r="SAJ83" s="499"/>
      <c r="SAK83" s="499"/>
      <c r="SAL83" s="499"/>
      <c r="SAM83" s="499"/>
      <c r="SAN83" s="499"/>
      <c r="SAO83" s="499"/>
      <c r="SAP83" s="499"/>
      <c r="SAQ83" s="499"/>
      <c r="SAR83" s="499"/>
      <c r="SAS83" s="499"/>
      <c r="SAT83" s="499"/>
      <c r="SAU83" s="499"/>
      <c r="SAV83" s="499"/>
      <c r="SAW83" s="499"/>
      <c r="SAX83" s="499"/>
      <c r="SAY83" s="499"/>
      <c r="SAZ83" s="499"/>
      <c r="SBA83" s="499"/>
      <c r="SBB83" s="499"/>
      <c r="SBC83" s="499"/>
      <c r="SBD83" s="499"/>
      <c r="SBE83" s="499"/>
      <c r="SBF83" s="499"/>
      <c r="SBG83" s="499"/>
      <c r="SBH83" s="499"/>
      <c r="SBI83" s="499"/>
      <c r="SBJ83" s="499"/>
      <c r="SBK83" s="499"/>
      <c r="SBL83" s="499"/>
      <c r="SBM83" s="499"/>
      <c r="SBN83" s="499"/>
      <c r="SBO83" s="499"/>
      <c r="SBP83" s="499"/>
      <c r="SBQ83" s="499"/>
      <c r="SBR83" s="499"/>
      <c r="SBS83" s="499"/>
      <c r="SBT83" s="499"/>
      <c r="SBU83" s="499"/>
      <c r="SBV83" s="499"/>
      <c r="SBW83" s="499"/>
      <c r="SBX83" s="499"/>
      <c r="SBY83" s="499"/>
      <c r="SBZ83" s="499"/>
      <c r="SCA83" s="499"/>
      <c r="SCB83" s="499"/>
      <c r="SCC83" s="499"/>
      <c r="SCD83" s="499"/>
      <c r="SCE83" s="499"/>
      <c r="SCF83" s="499"/>
      <c r="SCG83" s="499"/>
      <c r="SCH83" s="499"/>
      <c r="SCI83" s="499"/>
      <c r="SCJ83" s="499"/>
      <c r="SCK83" s="499"/>
      <c r="SCL83" s="499"/>
      <c r="SCM83" s="499"/>
      <c r="SCN83" s="499"/>
      <c r="SCO83" s="499"/>
      <c r="SCP83" s="499"/>
      <c r="SCQ83" s="499"/>
      <c r="SCR83" s="499"/>
      <c r="SCS83" s="499"/>
      <c r="SCT83" s="499"/>
      <c r="SCU83" s="499"/>
      <c r="SCV83" s="499"/>
      <c r="SCW83" s="499"/>
      <c r="SCX83" s="499"/>
      <c r="SCY83" s="499"/>
      <c r="SCZ83" s="499"/>
      <c r="SDA83" s="499"/>
      <c r="SDB83" s="499"/>
      <c r="SDC83" s="499"/>
      <c r="SDD83" s="499"/>
      <c r="SDE83" s="499"/>
      <c r="SDF83" s="499"/>
      <c r="SDG83" s="499"/>
      <c r="SDH83" s="499"/>
      <c r="SDI83" s="499"/>
      <c r="SDJ83" s="499"/>
      <c r="SDK83" s="499"/>
      <c r="SDL83" s="499"/>
      <c r="SDM83" s="499"/>
      <c r="SDN83" s="499"/>
      <c r="SDO83" s="499"/>
      <c r="SDP83" s="499"/>
      <c r="SDQ83" s="499"/>
      <c r="SDR83" s="499"/>
      <c r="SDS83" s="499"/>
      <c r="SDT83" s="499"/>
      <c r="SDU83" s="499"/>
      <c r="SDV83" s="499"/>
      <c r="SDW83" s="499"/>
      <c r="SDX83" s="499"/>
      <c r="SDY83" s="499"/>
      <c r="SDZ83" s="499"/>
      <c r="SEA83" s="499"/>
      <c r="SEB83" s="499"/>
      <c r="SEC83" s="499"/>
      <c r="SED83" s="499"/>
      <c r="SEE83" s="499"/>
      <c r="SEF83" s="499"/>
      <c r="SEG83" s="499"/>
      <c r="SEH83" s="499"/>
      <c r="SEI83" s="499"/>
      <c r="SEJ83" s="499"/>
      <c r="SEK83" s="499"/>
      <c r="SEL83" s="499"/>
      <c r="SEM83" s="499"/>
      <c r="SEN83" s="499"/>
      <c r="SEO83" s="499"/>
      <c r="SEP83" s="499"/>
      <c r="SEQ83" s="499"/>
      <c r="SER83" s="499"/>
      <c r="SES83" s="499"/>
      <c r="SET83" s="499"/>
      <c r="SEU83" s="499"/>
      <c r="SEV83" s="499"/>
      <c r="SEW83" s="499"/>
      <c r="SEX83" s="499"/>
      <c r="SEY83" s="499"/>
      <c r="SEZ83" s="499"/>
      <c r="SFA83" s="499"/>
      <c r="SFB83" s="499"/>
      <c r="SFC83" s="499"/>
      <c r="SFD83" s="499"/>
      <c r="SFE83" s="499"/>
      <c r="SFF83" s="499"/>
      <c r="SFG83" s="499"/>
      <c r="SFH83" s="499"/>
      <c r="SFI83" s="499"/>
      <c r="SFJ83" s="499"/>
      <c r="SFK83" s="499"/>
      <c r="SFL83" s="499"/>
      <c r="SFM83" s="499"/>
      <c r="SFN83" s="499"/>
      <c r="SFO83" s="499"/>
      <c r="SFP83" s="499"/>
      <c r="SFQ83" s="499"/>
      <c r="SFR83" s="499"/>
      <c r="SFS83" s="499"/>
      <c r="SFT83" s="499"/>
      <c r="SFU83" s="499"/>
      <c r="SFV83" s="499"/>
      <c r="SFW83" s="499"/>
      <c r="SFX83" s="499"/>
      <c r="SFY83" s="499"/>
      <c r="SFZ83" s="499"/>
      <c r="SGA83" s="499"/>
      <c r="SGB83" s="499"/>
      <c r="SGC83" s="499"/>
      <c r="SGD83" s="499"/>
      <c r="SGE83" s="499"/>
      <c r="SGF83" s="499"/>
      <c r="SGG83" s="499"/>
      <c r="SGH83" s="499"/>
      <c r="SGI83" s="499"/>
      <c r="SGJ83" s="499"/>
      <c r="SGK83" s="499"/>
      <c r="SGL83" s="499"/>
      <c r="SGM83" s="499"/>
      <c r="SGN83" s="499"/>
      <c r="SGO83" s="499"/>
      <c r="SGP83" s="499"/>
      <c r="SGQ83" s="499"/>
      <c r="SGR83" s="499"/>
      <c r="SGS83" s="499"/>
      <c r="SGT83" s="499"/>
      <c r="SGU83" s="499"/>
      <c r="SGV83" s="499"/>
      <c r="SGW83" s="499"/>
      <c r="SGX83" s="499"/>
      <c r="SGY83" s="499"/>
      <c r="SGZ83" s="499"/>
      <c r="SHA83" s="499"/>
      <c r="SHB83" s="499"/>
      <c r="SHC83" s="499"/>
      <c r="SHD83" s="499"/>
      <c r="SHE83" s="499"/>
      <c r="SHF83" s="499"/>
      <c r="SHG83" s="499"/>
      <c r="SHH83" s="499"/>
      <c r="SHI83" s="499"/>
      <c r="SHJ83" s="499"/>
      <c r="SHK83" s="499"/>
      <c r="SHL83" s="499"/>
      <c r="SHM83" s="499"/>
      <c r="SHN83" s="499"/>
      <c r="SHO83" s="499"/>
      <c r="SHP83" s="499"/>
      <c r="SHQ83" s="499"/>
      <c r="SHR83" s="499"/>
      <c r="SHS83" s="499"/>
      <c r="SHT83" s="499"/>
      <c r="SHU83" s="499"/>
      <c r="SHV83" s="499"/>
      <c r="SHW83" s="499"/>
      <c r="SHX83" s="499"/>
      <c r="SHY83" s="499"/>
      <c r="SHZ83" s="499"/>
      <c r="SIA83" s="499"/>
      <c r="SIB83" s="499"/>
      <c r="SIC83" s="499"/>
      <c r="SID83" s="499"/>
      <c r="SIE83" s="499"/>
      <c r="SIF83" s="499"/>
      <c r="SIG83" s="499"/>
      <c r="SIH83" s="499"/>
      <c r="SII83" s="499"/>
      <c r="SIJ83" s="499"/>
      <c r="SIK83" s="499"/>
      <c r="SIL83" s="499"/>
      <c r="SIM83" s="499"/>
      <c r="SIN83" s="499"/>
      <c r="SIO83" s="499"/>
      <c r="SIP83" s="499"/>
      <c r="SIQ83" s="499"/>
      <c r="SIR83" s="499"/>
      <c r="SIS83" s="499"/>
      <c r="SIT83" s="499"/>
      <c r="SIU83" s="499"/>
      <c r="SIV83" s="499"/>
      <c r="SIW83" s="499"/>
      <c r="SIX83" s="499"/>
      <c r="SIY83" s="499"/>
      <c r="SIZ83" s="499"/>
      <c r="SJA83" s="499"/>
      <c r="SJB83" s="499"/>
      <c r="SJC83" s="499"/>
      <c r="SJD83" s="499"/>
      <c r="SJE83" s="499"/>
      <c r="SJF83" s="499"/>
      <c r="SJG83" s="499"/>
      <c r="SJH83" s="499"/>
      <c r="SJI83" s="499"/>
      <c r="SJJ83" s="499"/>
      <c r="SJK83" s="499"/>
      <c r="SJL83" s="499"/>
      <c r="SJM83" s="499"/>
      <c r="SJN83" s="499"/>
      <c r="SJO83" s="499"/>
      <c r="SJP83" s="499"/>
      <c r="SJQ83" s="499"/>
      <c r="SJR83" s="499"/>
      <c r="SJS83" s="499"/>
      <c r="SJT83" s="499"/>
      <c r="SJU83" s="499"/>
      <c r="SJV83" s="499"/>
      <c r="SJW83" s="499"/>
      <c r="SJX83" s="499"/>
      <c r="SJY83" s="499"/>
      <c r="SJZ83" s="499"/>
      <c r="SKA83" s="499"/>
      <c r="SKB83" s="499"/>
      <c r="SKC83" s="499"/>
      <c r="SKD83" s="499"/>
      <c r="SKE83" s="499"/>
      <c r="SKF83" s="499"/>
      <c r="SKG83" s="499"/>
      <c r="SKH83" s="499"/>
      <c r="SKI83" s="499"/>
      <c r="SKJ83" s="499"/>
      <c r="SKK83" s="499"/>
      <c r="SKL83" s="499"/>
      <c r="SKM83" s="499"/>
      <c r="SKN83" s="499"/>
      <c r="SKO83" s="499"/>
      <c r="SKP83" s="499"/>
      <c r="SKQ83" s="499"/>
      <c r="SKR83" s="499"/>
      <c r="SKS83" s="499"/>
      <c r="SKT83" s="499"/>
      <c r="SKU83" s="499"/>
      <c r="SKV83" s="499"/>
      <c r="SKW83" s="499"/>
      <c r="SKX83" s="499"/>
      <c r="SKY83" s="499"/>
      <c r="SKZ83" s="499"/>
      <c r="SLA83" s="499"/>
      <c r="SLB83" s="499"/>
      <c r="SLC83" s="499"/>
      <c r="SLD83" s="499"/>
      <c r="SLE83" s="499"/>
      <c r="SLF83" s="499"/>
      <c r="SLG83" s="499"/>
      <c r="SLH83" s="499"/>
      <c r="SLI83" s="499"/>
      <c r="SLJ83" s="499"/>
      <c r="SLK83" s="499"/>
      <c r="SLL83" s="499"/>
      <c r="SLM83" s="499"/>
      <c r="SLN83" s="499"/>
      <c r="SLO83" s="499"/>
      <c r="SLP83" s="499"/>
      <c r="SLQ83" s="499"/>
      <c r="SLR83" s="499"/>
      <c r="SLS83" s="499"/>
      <c r="SLT83" s="499"/>
      <c r="SLU83" s="499"/>
      <c r="SLV83" s="499"/>
      <c r="SLW83" s="499"/>
      <c r="SLX83" s="499"/>
      <c r="SLY83" s="499"/>
      <c r="SLZ83" s="499"/>
      <c r="SMA83" s="499"/>
      <c r="SMB83" s="499"/>
      <c r="SMC83" s="499"/>
      <c r="SMD83" s="499"/>
      <c r="SME83" s="499"/>
      <c r="SMF83" s="499"/>
      <c r="SMG83" s="499"/>
      <c r="SMH83" s="499"/>
      <c r="SMI83" s="499"/>
      <c r="SMJ83" s="499"/>
      <c r="SMK83" s="499"/>
      <c r="SML83" s="499"/>
      <c r="SMM83" s="499"/>
      <c r="SMN83" s="499"/>
      <c r="SMO83" s="499"/>
      <c r="SMP83" s="499"/>
      <c r="SMQ83" s="499"/>
      <c r="SMR83" s="499"/>
      <c r="SMS83" s="499"/>
      <c r="SMT83" s="499"/>
      <c r="SMU83" s="499"/>
      <c r="SMV83" s="499"/>
      <c r="SMW83" s="499"/>
      <c r="SMX83" s="499"/>
      <c r="SMY83" s="499"/>
      <c r="SMZ83" s="499"/>
      <c r="SNA83" s="499"/>
      <c r="SNB83" s="499"/>
      <c r="SNC83" s="499"/>
      <c r="SND83" s="499"/>
      <c r="SNE83" s="499"/>
      <c r="SNF83" s="499"/>
      <c r="SNG83" s="499"/>
      <c r="SNH83" s="499"/>
      <c r="SNI83" s="499"/>
      <c r="SNJ83" s="499"/>
      <c r="SNK83" s="499"/>
      <c r="SNL83" s="499"/>
      <c r="SNM83" s="499"/>
      <c r="SNN83" s="499"/>
      <c r="SNO83" s="499"/>
      <c r="SNP83" s="499"/>
      <c r="SNQ83" s="499"/>
      <c r="SNR83" s="499"/>
      <c r="SNS83" s="499"/>
      <c r="SNT83" s="499"/>
      <c r="SNU83" s="499"/>
      <c r="SNV83" s="499"/>
      <c r="SNW83" s="499"/>
      <c r="SNX83" s="499"/>
      <c r="SNY83" s="499"/>
      <c r="SNZ83" s="499"/>
      <c r="SOA83" s="499"/>
      <c r="SOB83" s="499"/>
      <c r="SOC83" s="499"/>
      <c r="SOD83" s="499"/>
      <c r="SOE83" s="499"/>
      <c r="SOF83" s="499"/>
      <c r="SOG83" s="499"/>
      <c r="SOH83" s="499"/>
      <c r="SOI83" s="499"/>
      <c r="SOJ83" s="499"/>
      <c r="SOK83" s="499"/>
      <c r="SOL83" s="499"/>
      <c r="SOM83" s="499"/>
      <c r="SON83" s="499"/>
      <c r="SOO83" s="499"/>
      <c r="SOP83" s="499"/>
      <c r="SOQ83" s="499"/>
      <c r="SOR83" s="499"/>
      <c r="SOS83" s="499"/>
      <c r="SOT83" s="499"/>
      <c r="SOU83" s="499"/>
      <c r="SOV83" s="499"/>
      <c r="SOW83" s="499"/>
      <c r="SOX83" s="499"/>
      <c r="SOY83" s="499"/>
      <c r="SOZ83" s="499"/>
      <c r="SPA83" s="499"/>
      <c r="SPB83" s="499"/>
      <c r="SPC83" s="499"/>
      <c r="SPD83" s="499"/>
      <c r="SPE83" s="499"/>
      <c r="SPF83" s="499"/>
      <c r="SPG83" s="499"/>
      <c r="SPH83" s="499"/>
      <c r="SPI83" s="499"/>
      <c r="SPJ83" s="499"/>
      <c r="SPK83" s="499"/>
      <c r="SPL83" s="499"/>
      <c r="SPM83" s="499"/>
      <c r="SPN83" s="499"/>
      <c r="SPO83" s="499"/>
      <c r="SPP83" s="499"/>
      <c r="SPQ83" s="499"/>
      <c r="SPR83" s="499"/>
      <c r="SPS83" s="499"/>
      <c r="SPT83" s="499"/>
      <c r="SPU83" s="499"/>
      <c r="SPV83" s="499"/>
      <c r="SPW83" s="499"/>
      <c r="SPX83" s="499"/>
      <c r="SPY83" s="499"/>
      <c r="SPZ83" s="499"/>
      <c r="SQA83" s="499"/>
      <c r="SQB83" s="499"/>
      <c r="SQC83" s="499"/>
      <c r="SQD83" s="499"/>
      <c r="SQE83" s="499"/>
      <c r="SQF83" s="499"/>
      <c r="SQG83" s="499"/>
      <c r="SQH83" s="499"/>
      <c r="SQI83" s="499"/>
      <c r="SQJ83" s="499"/>
      <c r="SQK83" s="499"/>
      <c r="SQL83" s="499"/>
      <c r="SQM83" s="499"/>
      <c r="SQN83" s="499"/>
      <c r="SQO83" s="499"/>
      <c r="SQP83" s="499"/>
      <c r="SQQ83" s="499"/>
      <c r="SQR83" s="499"/>
      <c r="SQS83" s="499"/>
      <c r="SQT83" s="499"/>
      <c r="SQU83" s="499"/>
      <c r="SQV83" s="499"/>
      <c r="SQW83" s="499"/>
      <c r="SQX83" s="499"/>
      <c r="SQY83" s="499"/>
      <c r="SQZ83" s="499"/>
      <c r="SRA83" s="499"/>
      <c r="SRB83" s="499"/>
      <c r="SRC83" s="499"/>
      <c r="SRD83" s="499"/>
      <c r="SRE83" s="499"/>
      <c r="SRF83" s="499"/>
      <c r="SRG83" s="499"/>
      <c r="SRH83" s="499"/>
      <c r="SRI83" s="499"/>
      <c r="SRJ83" s="499"/>
      <c r="SRK83" s="499"/>
      <c r="SRL83" s="499"/>
      <c r="SRM83" s="499"/>
      <c r="SRN83" s="499"/>
      <c r="SRO83" s="499"/>
      <c r="SRP83" s="499"/>
      <c r="SRQ83" s="499"/>
      <c r="SRR83" s="499"/>
      <c r="SRS83" s="499"/>
      <c r="SRT83" s="499"/>
      <c r="SRU83" s="499"/>
      <c r="SRV83" s="499"/>
      <c r="SRW83" s="499"/>
      <c r="SRX83" s="499"/>
      <c r="SRY83" s="499"/>
      <c r="SRZ83" s="499"/>
      <c r="SSA83" s="499"/>
      <c r="SSB83" s="499"/>
      <c r="SSC83" s="499"/>
      <c r="SSD83" s="499"/>
      <c r="SSE83" s="499"/>
      <c r="SSF83" s="499"/>
      <c r="SSG83" s="499"/>
      <c r="SSH83" s="499"/>
      <c r="SSI83" s="499"/>
      <c r="SSJ83" s="499"/>
      <c r="SSK83" s="499"/>
      <c r="SSL83" s="499"/>
      <c r="SSM83" s="499"/>
      <c r="SSN83" s="499"/>
      <c r="SSO83" s="499"/>
      <c r="SSP83" s="499"/>
      <c r="SSQ83" s="499"/>
      <c r="SSR83" s="499"/>
      <c r="SSS83" s="499"/>
      <c r="SST83" s="499"/>
      <c r="SSU83" s="499"/>
      <c r="SSV83" s="499"/>
      <c r="SSW83" s="499"/>
      <c r="SSX83" s="499"/>
      <c r="SSY83" s="499"/>
      <c r="SSZ83" s="499"/>
      <c r="STA83" s="499"/>
      <c r="STB83" s="499"/>
      <c r="STC83" s="499"/>
      <c r="STD83" s="499"/>
      <c r="STE83" s="499"/>
      <c r="STF83" s="499"/>
      <c r="STG83" s="499"/>
      <c r="STH83" s="499"/>
      <c r="STI83" s="499"/>
      <c r="STJ83" s="499"/>
      <c r="STK83" s="499"/>
      <c r="STL83" s="499"/>
      <c r="STM83" s="499"/>
      <c r="STN83" s="499"/>
      <c r="STO83" s="499"/>
      <c r="STP83" s="499"/>
      <c r="STQ83" s="499"/>
      <c r="STR83" s="499"/>
      <c r="STS83" s="499"/>
      <c r="STT83" s="499"/>
      <c r="STU83" s="499"/>
      <c r="STV83" s="499"/>
      <c r="STW83" s="499"/>
      <c r="STX83" s="499"/>
      <c r="STY83" s="499"/>
      <c r="STZ83" s="499"/>
      <c r="SUA83" s="499"/>
      <c r="SUB83" s="499"/>
      <c r="SUC83" s="499"/>
      <c r="SUD83" s="499"/>
      <c r="SUE83" s="499"/>
      <c r="SUF83" s="499"/>
      <c r="SUG83" s="499"/>
      <c r="SUH83" s="499"/>
      <c r="SUI83" s="499"/>
      <c r="SUJ83" s="499"/>
      <c r="SUK83" s="499"/>
      <c r="SUL83" s="499"/>
      <c r="SUM83" s="499"/>
      <c r="SUN83" s="499"/>
      <c r="SUO83" s="499"/>
      <c r="SUP83" s="499"/>
      <c r="SUQ83" s="499"/>
      <c r="SUR83" s="499"/>
      <c r="SUS83" s="499"/>
      <c r="SUT83" s="499"/>
      <c r="SUU83" s="499"/>
      <c r="SUV83" s="499"/>
      <c r="SUW83" s="499"/>
      <c r="SUX83" s="499"/>
      <c r="SUY83" s="499"/>
      <c r="SUZ83" s="499"/>
      <c r="SVA83" s="499"/>
      <c r="SVB83" s="499"/>
      <c r="SVC83" s="499"/>
      <c r="SVD83" s="499"/>
      <c r="SVE83" s="499"/>
      <c r="SVF83" s="499"/>
      <c r="SVG83" s="499"/>
      <c r="SVH83" s="499"/>
      <c r="SVI83" s="499"/>
      <c r="SVJ83" s="499"/>
      <c r="SVK83" s="499"/>
      <c r="SVL83" s="499"/>
      <c r="SVM83" s="499"/>
      <c r="SVN83" s="499"/>
      <c r="SVO83" s="499"/>
      <c r="SVP83" s="499"/>
      <c r="SVQ83" s="499"/>
      <c r="SVR83" s="499"/>
      <c r="SVS83" s="499"/>
      <c r="SVT83" s="499"/>
      <c r="SVU83" s="499"/>
      <c r="SVV83" s="499"/>
      <c r="SVW83" s="499"/>
      <c r="SVX83" s="499"/>
      <c r="SVY83" s="499"/>
      <c r="SVZ83" s="499"/>
      <c r="SWA83" s="499"/>
      <c r="SWB83" s="499"/>
      <c r="SWC83" s="499"/>
      <c r="SWD83" s="499"/>
      <c r="SWE83" s="499"/>
      <c r="SWF83" s="499"/>
      <c r="SWG83" s="499"/>
      <c r="SWH83" s="499"/>
      <c r="SWI83" s="499"/>
      <c r="SWJ83" s="499"/>
      <c r="SWK83" s="499"/>
      <c r="SWL83" s="499"/>
      <c r="SWM83" s="499"/>
      <c r="SWN83" s="499"/>
      <c r="SWO83" s="499"/>
      <c r="SWP83" s="499"/>
      <c r="SWQ83" s="499"/>
      <c r="SWR83" s="499"/>
      <c r="SWS83" s="499"/>
      <c r="SWT83" s="499"/>
      <c r="SWU83" s="499"/>
      <c r="SWV83" s="499"/>
      <c r="SWW83" s="499"/>
      <c r="SWX83" s="499"/>
      <c r="SWY83" s="499"/>
      <c r="SWZ83" s="499"/>
      <c r="SXA83" s="499"/>
      <c r="SXB83" s="499"/>
      <c r="SXC83" s="499"/>
      <c r="SXD83" s="499"/>
      <c r="SXE83" s="499"/>
      <c r="SXF83" s="499"/>
      <c r="SXG83" s="499"/>
      <c r="SXH83" s="499"/>
      <c r="SXI83" s="499"/>
      <c r="SXJ83" s="499"/>
      <c r="SXK83" s="499"/>
      <c r="SXL83" s="499"/>
      <c r="SXM83" s="499"/>
      <c r="SXN83" s="499"/>
      <c r="SXO83" s="499"/>
      <c r="SXP83" s="499"/>
      <c r="SXQ83" s="499"/>
      <c r="SXR83" s="499"/>
      <c r="SXS83" s="499"/>
      <c r="SXT83" s="499"/>
      <c r="SXU83" s="499"/>
      <c r="SXV83" s="499"/>
      <c r="SXW83" s="499"/>
      <c r="SXX83" s="499"/>
      <c r="SXY83" s="499"/>
      <c r="SXZ83" s="499"/>
      <c r="SYA83" s="499"/>
      <c r="SYB83" s="499"/>
      <c r="SYC83" s="499"/>
      <c r="SYD83" s="499"/>
      <c r="SYE83" s="499"/>
      <c r="SYF83" s="499"/>
      <c r="SYG83" s="499"/>
      <c r="SYH83" s="499"/>
      <c r="SYI83" s="499"/>
      <c r="SYJ83" s="499"/>
      <c r="SYK83" s="499"/>
      <c r="SYL83" s="499"/>
      <c r="SYM83" s="499"/>
      <c r="SYN83" s="499"/>
      <c r="SYO83" s="499"/>
      <c r="SYP83" s="499"/>
      <c r="SYQ83" s="499"/>
      <c r="SYR83" s="499"/>
      <c r="SYS83" s="499"/>
      <c r="SYT83" s="499"/>
      <c r="SYU83" s="499"/>
      <c r="SYV83" s="499"/>
      <c r="SYW83" s="499"/>
      <c r="SYX83" s="499"/>
      <c r="SYY83" s="499"/>
      <c r="SYZ83" s="499"/>
      <c r="SZA83" s="499"/>
      <c r="SZB83" s="499"/>
      <c r="SZC83" s="499"/>
      <c r="SZD83" s="499"/>
      <c r="SZE83" s="499"/>
      <c r="SZF83" s="499"/>
      <c r="SZG83" s="499"/>
      <c r="SZH83" s="499"/>
      <c r="SZI83" s="499"/>
      <c r="SZJ83" s="499"/>
      <c r="SZK83" s="499"/>
      <c r="SZL83" s="499"/>
      <c r="SZM83" s="499"/>
      <c r="SZN83" s="499"/>
      <c r="SZO83" s="499"/>
      <c r="SZP83" s="499"/>
      <c r="SZQ83" s="499"/>
      <c r="SZR83" s="499"/>
      <c r="SZS83" s="499"/>
      <c r="SZT83" s="499"/>
      <c r="SZU83" s="499"/>
      <c r="SZV83" s="499"/>
      <c r="SZW83" s="499"/>
      <c r="SZX83" s="499"/>
      <c r="SZY83" s="499"/>
      <c r="SZZ83" s="499"/>
      <c r="TAA83" s="499"/>
      <c r="TAB83" s="499"/>
      <c r="TAC83" s="499"/>
      <c r="TAD83" s="499"/>
      <c r="TAE83" s="499"/>
      <c r="TAF83" s="499"/>
      <c r="TAG83" s="499"/>
      <c r="TAH83" s="499"/>
      <c r="TAI83" s="499"/>
      <c r="TAJ83" s="499"/>
      <c r="TAK83" s="499"/>
      <c r="TAL83" s="499"/>
      <c r="TAM83" s="499"/>
      <c r="TAN83" s="499"/>
      <c r="TAO83" s="499"/>
      <c r="TAP83" s="499"/>
      <c r="TAQ83" s="499"/>
      <c r="TAR83" s="499"/>
      <c r="TAS83" s="499"/>
      <c r="TAT83" s="499"/>
      <c r="TAU83" s="499"/>
      <c r="TAV83" s="499"/>
      <c r="TAW83" s="499"/>
      <c r="TAX83" s="499"/>
      <c r="TAY83" s="499"/>
      <c r="TAZ83" s="499"/>
      <c r="TBA83" s="499"/>
      <c r="TBB83" s="499"/>
      <c r="TBC83" s="499"/>
      <c r="TBD83" s="499"/>
      <c r="TBE83" s="499"/>
      <c r="TBF83" s="499"/>
      <c r="TBG83" s="499"/>
      <c r="TBH83" s="499"/>
      <c r="TBI83" s="499"/>
      <c r="TBJ83" s="499"/>
      <c r="TBK83" s="499"/>
      <c r="TBL83" s="499"/>
      <c r="TBM83" s="499"/>
      <c r="TBN83" s="499"/>
      <c r="TBO83" s="499"/>
      <c r="TBP83" s="499"/>
      <c r="TBQ83" s="499"/>
      <c r="TBR83" s="499"/>
      <c r="TBS83" s="499"/>
      <c r="TBT83" s="499"/>
      <c r="TBU83" s="499"/>
      <c r="TBV83" s="499"/>
      <c r="TBW83" s="499"/>
      <c r="TBX83" s="499"/>
      <c r="TBY83" s="499"/>
      <c r="TBZ83" s="499"/>
      <c r="TCA83" s="499"/>
      <c r="TCB83" s="499"/>
      <c r="TCC83" s="499"/>
      <c r="TCD83" s="499"/>
      <c r="TCE83" s="499"/>
      <c r="TCF83" s="499"/>
      <c r="TCG83" s="499"/>
      <c r="TCH83" s="499"/>
      <c r="TCI83" s="499"/>
      <c r="TCJ83" s="499"/>
      <c r="TCK83" s="499"/>
      <c r="TCL83" s="499"/>
      <c r="TCM83" s="499"/>
      <c r="TCN83" s="499"/>
      <c r="TCO83" s="499"/>
      <c r="TCP83" s="499"/>
      <c r="TCQ83" s="499"/>
      <c r="TCR83" s="499"/>
      <c r="TCS83" s="499"/>
      <c r="TCT83" s="499"/>
      <c r="TCU83" s="499"/>
      <c r="TCV83" s="499"/>
      <c r="TCW83" s="499"/>
      <c r="TCX83" s="499"/>
      <c r="TCY83" s="499"/>
      <c r="TCZ83" s="499"/>
      <c r="TDA83" s="499"/>
      <c r="TDB83" s="499"/>
      <c r="TDC83" s="499"/>
      <c r="TDD83" s="499"/>
      <c r="TDE83" s="499"/>
      <c r="TDF83" s="499"/>
      <c r="TDG83" s="499"/>
      <c r="TDH83" s="499"/>
      <c r="TDI83" s="499"/>
      <c r="TDJ83" s="499"/>
      <c r="TDK83" s="499"/>
      <c r="TDL83" s="499"/>
      <c r="TDM83" s="499"/>
      <c r="TDN83" s="499"/>
      <c r="TDO83" s="499"/>
      <c r="TDP83" s="499"/>
      <c r="TDQ83" s="499"/>
      <c r="TDR83" s="499"/>
      <c r="TDS83" s="499"/>
      <c r="TDT83" s="499"/>
      <c r="TDU83" s="499"/>
      <c r="TDV83" s="499"/>
      <c r="TDW83" s="499"/>
      <c r="TDX83" s="499"/>
      <c r="TDY83" s="499"/>
      <c r="TDZ83" s="499"/>
      <c r="TEA83" s="499"/>
      <c r="TEB83" s="499"/>
      <c r="TEC83" s="499"/>
      <c r="TED83" s="499"/>
      <c r="TEE83" s="499"/>
      <c r="TEF83" s="499"/>
      <c r="TEG83" s="499"/>
      <c r="TEH83" s="499"/>
      <c r="TEI83" s="499"/>
      <c r="TEJ83" s="499"/>
      <c r="TEK83" s="499"/>
      <c r="TEL83" s="499"/>
      <c r="TEM83" s="499"/>
      <c r="TEN83" s="499"/>
      <c r="TEO83" s="499"/>
      <c r="TEP83" s="499"/>
      <c r="TEQ83" s="499"/>
      <c r="TER83" s="499"/>
      <c r="TES83" s="499"/>
      <c r="TET83" s="499"/>
      <c r="TEU83" s="499"/>
      <c r="TEV83" s="499"/>
      <c r="TEW83" s="499"/>
      <c r="TEX83" s="499"/>
      <c r="TEY83" s="499"/>
      <c r="TEZ83" s="499"/>
      <c r="TFA83" s="499"/>
      <c r="TFB83" s="499"/>
      <c r="TFC83" s="499"/>
      <c r="TFD83" s="499"/>
      <c r="TFE83" s="499"/>
      <c r="TFF83" s="499"/>
      <c r="TFG83" s="499"/>
      <c r="TFH83" s="499"/>
      <c r="TFI83" s="499"/>
      <c r="TFJ83" s="499"/>
      <c r="TFK83" s="499"/>
      <c r="TFL83" s="499"/>
      <c r="TFM83" s="499"/>
      <c r="TFN83" s="499"/>
      <c r="TFO83" s="499"/>
      <c r="TFP83" s="499"/>
      <c r="TFQ83" s="499"/>
      <c r="TFR83" s="499"/>
      <c r="TFS83" s="499"/>
      <c r="TFT83" s="499"/>
      <c r="TFU83" s="499"/>
      <c r="TFV83" s="499"/>
      <c r="TFW83" s="499"/>
      <c r="TFX83" s="499"/>
      <c r="TFY83" s="499"/>
      <c r="TFZ83" s="499"/>
      <c r="TGA83" s="499"/>
      <c r="TGB83" s="499"/>
      <c r="TGC83" s="499"/>
      <c r="TGD83" s="499"/>
      <c r="TGE83" s="499"/>
      <c r="TGF83" s="499"/>
      <c r="TGG83" s="499"/>
      <c r="TGH83" s="499"/>
      <c r="TGI83" s="499"/>
      <c r="TGJ83" s="499"/>
      <c r="TGK83" s="499"/>
      <c r="TGL83" s="499"/>
      <c r="TGM83" s="499"/>
      <c r="TGN83" s="499"/>
      <c r="TGO83" s="499"/>
      <c r="TGP83" s="499"/>
      <c r="TGQ83" s="499"/>
      <c r="TGR83" s="499"/>
      <c r="TGS83" s="499"/>
      <c r="TGT83" s="499"/>
      <c r="TGU83" s="499"/>
      <c r="TGV83" s="499"/>
      <c r="TGW83" s="499"/>
      <c r="TGX83" s="499"/>
      <c r="TGY83" s="499"/>
      <c r="TGZ83" s="499"/>
      <c r="THA83" s="499"/>
      <c r="THB83" s="499"/>
      <c r="THC83" s="499"/>
      <c r="THD83" s="499"/>
      <c r="THE83" s="499"/>
      <c r="THF83" s="499"/>
      <c r="THG83" s="499"/>
      <c r="THH83" s="499"/>
      <c r="THI83" s="499"/>
      <c r="THJ83" s="499"/>
      <c r="THK83" s="499"/>
      <c r="THL83" s="499"/>
      <c r="THM83" s="499"/>
      <c r="THN83" s="499"/>
      <c r="THO83" s="499"/>
      <c r="THP83" s="499"/>
      <c r="THQ83" s="499"/>
      <c r="THR83" s="499"/>
      <c r="THS83" s="499"/>
      <c r="THT83" s="499"/>
      <c r="THU83" s="499"/>
      <c r="THV83" s="499"/>
      <c r="THW83" s="499"/>
      <c r="THX83" s="499"/>
      <c r="THY83" s="499"/>
      <c r="THZ83" s="499"/>
      <c r="TIA83" s="499"/>
      <c r="TIB83" s="499"/>
      <c r="TIC83" s="499"/>
      <c r="TID83" s="499"/>
      <c r="TIE83" s="499"/>
      <c r="TIF83" s="499"/>
      <c r="TIG83" s="499"/>
      <c r="TIH83" s="499"/>
      <c r="TII83" s="499"/>
      <c r="TIJ83" s="499"/>
      <c r="TIK83" s="499"/>
      <c r="TIL83" s="499"/>
      <c r="TIM83" s="499"/>
      <c r="TIN83" s="499"/>
      <c r="TIO83" s="499"/>
      <c r="TIP83" s="499"/>
      <c r="TIQ83" s="499"/>
      <c r="TIR83" s="499"/>
      <c r="TIS83" s="499"/>
      <c r="TIT83" s="499"/>
      <c r="TIU83" s="499"/>
      <c r="TIV83" s="499"/>
      <c r="TIW83" s="499"/>
      <c r="TIX83" s="499"/>
      <c r="TIY83" s="499"/>
      <c r="TIZ83" s="499"/>
      <c r="TJA83" s="499"/>
      <c r="TJB83" s="499"/>
      <c r="TJC83" s="499"/>
      <c r="TJD83" s="499"/>
      <c r="TJE83" s="499"/>
      <c r="TJF83" s="499"/>
      <c r="TJG83" s="499"/>
      <c r="TJH83" s="499"/>
      <c r="TJI83" s="499"/>
      <c r="TJJ83" s="499"/>
      <c r="TJK83" s="499"/>
      <c r="TJL83" s="499"/>
      <c r="TJM83" s="499"/>
      <c r="TJN83" s="499"/>
      <c r="TJO83" s="499"/>
      <c r="TJP83" s="499"/>
      <c r="TJQ83" s="499"/>
      <c r="TJR83" s="499"/>
      <c r="TJS83" s="499"/>
      <c r="TJT83" s="499"/>
      <c r="TJU83" s="499"/>
      <c r="TJV83" s="499"/>
      <c r="TJW83" s="499"/>
      <c r="TJX83" s="499"/>
      <c r="TJY83" s="499"/>
      <c r="TJZ83" s="499"/>
      <c r="TKA83" s="499"/>
      <c r="TKB83" s="499"/>
      <c r="TKC83" s="499"/>
      <c r="TKD83" s="499"/>
      <c r="TKE83" s="499"/>
      <c r="TKF83" s="499"/>
      <c r="TKG83" s="499"/>
      <c r="TKH83" s="499"/>
      <c r="TKI83" s="499"/>
      <c r="TKJ83" s="499"/>
      <c r="TKK83" s="499"/>
      <c r="TKL83" s="499"/>
      <c r="TKM83" s="499"/>
      <c r="TKN83" s="499"/>
      <c r="TKO83" s="499"/>
      <c r="TKP83" s="499"/>
      <c r="TKQ83" s="499"/>
      <c r="TKR83" s="499"/>
      <c r="TKS83" s="499"/>
      <c r="TKT83" s="499"/>
      <c r="TKU83" s="499"/>
      <c r="TKV83" s="499"/>
      <c r="TKW83" s="499"/>
      <c r="TKX83" s="499"/>
      <c r="TKY83" s="499"/>
      <c r="TKZ83" s="499"/>
      <c r="TLA83" s="499"/>
      <c r="TLB83" s="499"/>
      <c r="TLC83" s="499"/>
      <c r="TLD83" s="499"/>
      <c r="TLE83" s="499"/>
      <c r="TLF83" s="499"/>
      <c r="TLG83" s="499"/>
      <c r="TLH83" s="499"/>
      <c r="TLI83" s="499"/>
      <c r="TLJ83" s="499"/>
      <c r="TLK83" s="499"/>
      <c r="TLL83" s="499"/>
      <c r="TLM83" s="499"/>
      <c r="TLN83" s="499"/>
      <c r="TLO83" s="499"/>
      <c r="TLP83" s="499"/>
      <c r="TLQ83" s="499"/>
      <c r="TLR83" s="499"/>
      <c r="TLS83" s="499"/>
      <c r="TLT83" s="499"/>
      <c r="TLU83" s="499"/>
      <c r="TLV83" s="499"/>
      <c r="TLW83" s="499"/>
      <c r="TLX83" s="499"/>
      <c r="TLY83" s="499"/>
      <c r="TLZ83" s="499"/>
      <c r="TMA83" s="499"/>
      <c r="TMB83" s="499"/>
      <c r="TMC83" s="499"/>
      <c r="TMD83" s="499"/>
      <c r="TME83" s="499"/>
      <c r="TMF83" s="499"/>
      <c r="TMG83" s="499"/>
      <c r="TMH83" s="499"/>
      <c r="TMI83" s="499"/>
      <c r="TMJ83" s="499"/>
      <c r="TMK83" s="499"/>
      <c r="TML83" s="499"/>
      <c r="TMM83" s="499"/>
      <c r="TMN83" s="499"/>
      <c r="TMO83" s="499"/>
      <c r="TMP83" s="499"/>
      <c r="TMQ83" s="499"/>
      <c r="TMR83" s="499"/>
      <c r="TMS83" s="499"/>
      <c r="TMT83" s="499"/>
      <c r="TMU83" s="499"/>
      <c r="TMV83" s="499"/>
      <c r="TMW83" s="499"/>
      <c r="TMX83" s="499"/>
      <c r="TMY83" s="499"/>
      <c r="TMZ83" s="499"/>
      <c r="TNA83" s="499"/>
      <c r="TNB83" s="499"/>
      <c r="TNC83" s="499"/>
      <c r="TND83" s="499"/>
      <c r="TNE83" s="499"/>
      <c r="TNF83" s="499"/>
      <c r="TNG83" s="499"/>
      <c r="TNH83" s="499"/>
      <c r="TNI83" s="499"/>
      <c r="TNJ83" s="499"/>
      <c r="TNK83" s="499"/>
      <c r="TNL83" s="499"/>
      <c r="TNM83" s="499"/>
      <c r="TNN83" s="499"/>
      <c r="TNO83" s="499"/>
      <c r="TNP83" s="499"/>
      <c r="TNQ83" s="499"/>
      <c r="TNR83" s="499"/>
      <c r="TNS83" s="499"/>
      <c r="TNT83" s="499"/>
      <c r="TNU83" s="499"/>
      <c r="TNV83" s="499"/>
      <c r="TNW83" s="499"/>
      <c r="TNX83" s="499"/>
      <c r="TNY83" s="499"/>
      <c r="TNZ83" s="499"/>
      <c r="TOA83" s="499"/>
      <c r="TOB83" s="499"/>
      <c r="TOC83" s="499"/>
      <c r="TOD83" s="499"/>
      <c r="TOE83" s="499"/>
      <c r="TOF83" s="499"/>
      <c r="TOG83" s="499"/>
      <c r="TOH83" s="499"/>
      <c r="TOI83" s="499"/>
      <c r="TOJ83" s="499"/>
      <c r="TOK83" s="499"/>
      <c r="TOL83" s="499"/>
      <c r="TOM83" s="499"/>
      <c r="TON83" s="499"/>
      <c r="TOO83" s="499"/>
      <c r="TOP83" s="499"/>
      <c r="TOQ83" s="499"/>
      <c r="TOR83" s="499"/>
      <c r="TOS83" s="499"/>
      <c r="TOT83" s="499"/>
      <c r="TOU83" s="499"/>
      <c r="TOV83" s="499"/>
      <c r="TOW83" s="499"/>
      <c r="TOX83" s="499"/>
      <c r="TOY83" s="499"/>
      <c r="TOZ83" s="499"/>
      <c r="TPA83" s="499"/>
      <c r="TPB83" s="499"/>
      <c r="TPC83" s="499"/>
      <c r="TPD83" s="499"/>
      <c r="TPE83" s="499"/>
      <c r="TPF83" s="499"/>
      <c r="TPG83" s="499"/>
      <c r="TPH83" s="499"/>
      <c r="TPI83" s="499"/>
      <c r="TPJ83" s="499"/>
      <c r="TPK83" s="499"/>
      <c r="TPL83" s="499"/>
      <c r="TPM83" s="499"/>
      <c r="TPN83" s="499"/>
      <c r="TPO83" s="499"/>
      <c r="TPP83" s="499"/>
      <c r="TPQ83" s="499"/>
      <c r="TPR83" s="499"/>
      <c r="TPS83" s="499"/>
      <c r="TPT83" s="499"/>
      <c r="TPU83" s="499"/>
      <c r="TPV83" s="499"/>
      <c r="TPW83" s="499"/>
      <c r="TPX83" s="499"/>
      <c r="TPY83" s="499"/>
      <c r="TPZ83" s="499"/>
      <c r="TQA83" s="499"/>
      <c r="TQB83" s="499"/>
      <c r="TQC83" s="499"/>
      <c r="TQD83" s="499"/>
      <c r="TQE83" s="499"/>
      <c r="TQF83" s="499"/>
      <c r="TQG83" s="499"/>
      <c r="TQH83" s="499"/>
      <c r="TQI83" s="499"/>
      <c r="TQJ83" s="499"/>
      <c r="TQK83" s="499"/>
      <c r="TQL83" s="499"/>
      <c r="TQM83" s="499"/>
      <c r="TQN83" s="499"/>
      <c r="TQO83" s="499"/>
      <c r="TQP83" s="499"/>
      <c r="TQQ83" s="499"/>
      <c r="TQR83" s="499"/>
      <c r="TQS83" s="499"/>
      <c r="TQT83" s="499"/>
      <c r="TQU83" s="499"/>
      <c r="TQV83" s="499"/>
      <c r="TQW83" s="499"/>
      <c r="TQX83" s="499"/>
      <c r="TQY83" s="499"/>
      <c r="TQZ83" s="499"/>
      <c r="TRA83" s="499"/>
      <c r="TRB83" s="499"/>
      <c r="TRC83" s="499"/>
      <c r="TRD83" s="499"/>
      <c r="TRE83" s="499"/>
      <c r="TRF83" s="499"/>
      <c r="TRG83" s="499"/>
      <c r="TRH83" s="499"/>
      <c r="TRI83" s="499"/>
      <c r="TRJ83" s="499"/>
      <c r="TRK83" s="499"/>
      <c r="TRL83" s="499"/>
      <c r="TRM83" s="499"/>
      <c r="TRN83" s="499"/>
      <c r="TRO83" s="499"/>
      <c r="TRP83" s="499"/>
      <c r="TRQ83" s="499"/>
      <c r="TRR83" s="499"/>
      <c r="TRS83" s="499"/>
      <c r="TRT83" s="499"/>
      <c r="TRU83" s="499"/>
      <c r="TRV83" s="499"/>
      <c r="TRW83" s="499"/>
      <c r="TRX83" s="499"/>
      <c r="TRY83" s="499"/>
      <c r="TRZ83" s="499"/>
      <c r="TSA83" s="499"/>
      <c r="TSB83" s="499"/>
      <c r="TSC83" s="499"/>
      <c r="TSD83" s="499"/>
      <c r="TSE83" s="499"/>
      <c r="TSF83" s="499"/>
      <c r="TSG83" s="499"/>
      <c r="TSH83" s="499"/>
      <c r="TSI83" s="499"/>
      <c r="TSJ83" s="499"/>
      <c r="TSK83" s="499"/>
      <c r="TSL83" s="499"/>
      <c r="TSM83" s="499"/>
      <c r="TSN83" s="499"/>
      <c r="TSO83" s="499"/>
      <c r="TSP83" s="499"/>
      <c r="TSQ83" s="499"/>
      <c r="TSR83" s="499"/>
      <c r="TSS83" s="499"/>
      <c r="TST83" s="499"/>
      <c r="TSU83" s="499"/>
      <c r="TSV83" s="499"/>
      <c r="TSW83" s="499"/>
      <c r="TSX83" s="499"/>
      <c r="TSY83" s="499"/>
      <c r="TSZ83" s="499"/>
      <c r="TTA83" s="499"/>
      <c r="TTB83" s="499"/>
      <c r="TTC83" s="499"/>
      <c r="TTD83" s="499"/>
      <c r="TTE83" s="499"/>
      <c r="TTF83" s="499"/>
      <c r="TTG83" s="499"/>
      <c r="TTH83" s="499"/>
      <c r="TTI83" s="499"/>
      <c r="TTJ83" s="499"/>
      <c r="TTK83" s="499"/>
      <c r="TTL83" s="499"/>
      <c r="TTM83" s="499"/>
      <c r="TTN83" s="499"/>
      <c r="TTO83" s="499"/>
      <c r="TTP83" s="499"/>
      <c r="TTQ83" s="499"/>
      <c r="TTR83" s="499"/>
      <c r="TTS83" s="499"/>
      <c r="TTT83" s="499"/>
      <c r="TTU83" s="499"/>
      <c r="TTV83" s="499"/>
      <c r="TTW83" s="499"/>
      <c r="TTX83" s="499"/>
      <c r="TTY83" s="499"/>
      <c r="TTZ83" s="499"/>
      <c r="TUA83" s="499"/>
      <c r="TUB83" s="499"/>
      <c r="TUC83" s="499"/>
      <c r="TUD83" s="499"/>
      <c r="TUE83" s="499"/>
      <c r="TUF83" s="499"/>
      <c r="TUG83" s="499"/>
      <c r="TUH83" s="499"/>
      <c r="TUI83" s="499"/>
      <c r="TUJ83" s="499"/>
      <c r="TUK83" s="499"/>
      <c r="TUL83" s="499"/>
      <c r="TUM83" s="499"/>
      <c r="TUN83" s="499"/>
      <c r="TUO83" s="499"/>
      <c r="TUP83" s="499"/>
      <c r="TUQ83" s="499"/>
      <c r="TUR83" s="499"/>
      <c r="TUS83" s="499"/>
      <c r="TUT83" s="499"/>
      <c r="TUU83" s="499"/>
      <c r="TUV83" s="499"/>
      <c r="TUW83" s="499"/>
      <c r="TUX83" s="499"/>
      <c r="TUY83" s="499"/>
      <c r="TUZ83" s="499"/>
      <c r="TVA83" s="499"/>
      <c r="TVB83" s="499"/>
      <c r="TVC83" s="499"/>
      <c r="TVD83" s="499"/>
      <c r="TVE83" s="499"/>
      <c r="TVF83" s="499"/>
      <c r="TVG83" s="499"/>
      <c r="TVH83" s="499"/>
      <c r="TVI83" s="499"/>
      <c r="TVJ83" s="499"/>
      <c r="TVK83" s="499"/>
      <c r="TVL83" s="499"/>
      <c r="TVM83" s="499"/>
      <c r="TVN83" s="499"/>
      <c r="TVO83" s="499"/>
      <c r="TVP83" s="499"/>
      <c r="TVQ83" s="499"/>
      <c r="TVR83" s="499"/>
      <c r="TVS83" s="499"/>
      <c r="TVT83" s="499"/>
      <c r="TVU83" s="499"/>
      <c r="TVV83" s="499"/>
      <c r="TVW83" s="499"/>
      <c r="TVX83" s="499"/>
      <c r="TVY83" s="499"/>
      <c r="TVZ83" s="499"/>
      <c r="TWA83" s="499"/>
      <c r="TWB83" s="499"/>
      <c r="TWC83" s="499"/>
      <c r="TWD83" s="499"/>
      <c r="TWE83" s="499"/>
      <c r="TWF83" s="499"/>
      <c r="TWG83" s="499"/>
      <c r="TWH83" s="499"/>
      <c r="TWI83" s="499"/>
      <c r="TWJ83" s="499"/>
      <c r="TWK83" s="499"/>
      <c r="TWL83" s="499"/>
      <c r="TWM83" s="499"/>
      <c r="TWN83" s="499"/>
      <c r="TWO83" s="499"/>
      <c r="TWP83" s="499"/>
      <c r="TWQ83" s="499"/>
      <c r="TWR83" s="499"/>
      <c r="TWS83" s="499"/>
      <c r="TWT83" s="499"/>
      <c r="TWU83" s="499"/>
      <c r="TWV83" s="499"/>
      <c r="TWW83" s="499"/>
      <c r="TWX83" s="499"/>
      <c r="TWY83" s="499"/>
      <c r="TWZ83" s="499"/>
      <c r="TXA83" s="499"/>
      <c r="TXB83" s="499"/>
      <c r="TXC83" s="499"/>
      <c r="TXD83" s="499"/>
      <c r="TXE83" s="499"/>
      <c r="TXF83" s="499"/>
      <c r="TXG83" s="499"/>
      <c r="TXH83" s="499"/>
      <c r="TXI83" s="499"/>
      <c r="TXJ83" s="499"/>
      <c r="TXK83" s="499"/>
      <c r="TXL83" s="499"/>
      <c r="TXM83" s="499"/>
      <c r="TXN83" s="499"/>
      <c r="TXO83" s="499"/>
      <c r="TXP83" s="499"/>
      <c r="TXQ83" s="499"/>
      <c r="TXR83" s="499"/>
      <c r="TXS83" s="499"/>
      <c r="TXT83" s="499"/>
      <c r="TXU83" s="499"/>
      <c r="TXV83" s="499"/>
      <c r="TXW83" s="499"/>
      <c r="TXX83" s="499"/>
      <c r="TXY83" s="499"/>
      <c r="TXZ83" s="499"/>
      <c r="TYA83" s="499"/>
      <c r="TYB83" s="499"/>
      <c r="TYC83" s="499"/>
      <c r="TYD83" s="499"/>
      <c r="TYE83" s="499"/>
      <c r="TYF83" s="499"/>
      <c r="TYG83" s="499"/>
      <c r="TYH83" s="499"/>
      <c r="TYI83" s="499"/>
      <c r="TYJ83" s="499"/>
      <c r="TYK83" s="499"/>
      <c r="TYL83" s="499"/>
      <c r="TYM83" s="499"/>
      <c r="TYN83" s="499"/>
      <c r="TYO83" s="499"/>
      <c r="TYP83" s="499"/>
      <c r="TYQ83" s="499"/>
      <c r="TYR83" s="499"/>
      <c r="TYS83" s="499"/>
      <c r="TYT83" s="499"/>
      <c r="TYU83" s="499"/>
      <c r="TYV83" s="499"/>
      <c r="TYW83" s="499"/>
      <c r="TYX83" s="499"/>
      <c r="TYY83" s="499"/>
      <c r="TYZ83" s="499"/>
      <c r="TZA83" s="499"/>
      <c r="TZB83" s="499"/>
      <c r="TZC83" s="499"/>
      <c r="TZD83" s="499"/>
      <c r="TZE83" s="499"/>
      <c r="TZF83" s="499"/>
      <c r="TZG83" s="499"/>
      <c r="TZH83" s="499"/>
      <c r="TZI83" s="499"/>
      <c r="TZJ83" s="499"/>
      <c r="TZK83" s="499"/>
      <c r="TZL83" s="499"/>
      <c r="TZM83" s="499"/>
      <c r="TZN83" s="499"/>
      <c r="TZO83" s="499"/>
      <c r="TZP83" s="499"/>
      <c r="TZQ83" s="499"/>
      <c r="TZR83" s="499"/>
      <c r="TZS83" s="499"/>
      <c r="TZT83" s="499"/>
      <c r="TZU83" s="499"/>
      <c r="TZV83" s="499"/>
      <c r="TZW83" s="499"/>
      <c r="TZX83" s="499"/>
      <c r="TZY83" s="499"/>
      <c r="TZZ83" s="499"/>
      <c r="UAA83" s="499"/>
      <c r="UAB83" s="499"/>
      <c r="UAC83" s="499"/>
      <c r="UAD83" s="499"/>
      <c r="UAE83" s="499"/>
      <c r="UAF83" s="499"/>
      <c r="UAG83" s="499"/>
      <c r="UAH83" s="499"/>
      <c r="UAI83" s="499"/>
      <c r="UAJ83" s="499"/>
      <c r="UAK83" s="499"/>
      <c r="UAL83" s="499"/>
      <c r="UAM83" s="499"/>
      <c r="UAN83" s="499"/>
      <c r="UAO83" s="499"/>
      <c r="UAP83" s="499"/>
      <c r="UAQ83" s="499"/>
      <c r="UAR83" s="499"/>
      <c r="UAS83" s="499"/>
      <c r="UAT83" s="499"/>
      <c r="UAU83" s="499"/>
      <c r="UAV83" s="499"/>
      <c r="UAW83" s="499"/>
      <c r="UAX83" s="499"/>
      <c r="UAY83" s="499"/>
      <c r="UAZ83" s="499"/>
      <c r="UBA83" s="499"/>
      <c r="UBB83" s="499"/>
      <c r="UBC83" s="499"/>
      <c r="UBD83" s="499"/>
      <c r="UBE83" s="499"/>
      <c r="UBF83" s="499"/>
      <c r="UBG83" s="499"/>
      <c r="UBH83" s="499"/>
      <c r="UBI83" s="499"/>
      <c r="UBJ83" s="499"/>
      <c r="UBK83" s="499"/>
      <c r="UBL83" s="499"/>
      <c r="UBM83" s="499"/>
      <c r="UBN83" s="499"/>
      <c r="UBO83" s="499"/>
      <c r="UBP83" s="499"/>
      <c r="UBQ83" s="499"/>
      <c r="UBR83" s="499"/>
      <c r="UBS83" s="499"/>
      <c r="UBT83" s="499"/>
      <c r="UBU83" s="499"/>
      <c r="UBV83" s="499"/>
      <c r="UBW83" s="499"/>
      <c r="UBX83" s="499"/>
      <c r="UBY83" s="499"/>
      <c r="UBZ83" s="499"/>
      <c r="UCA83" s="499"/>
      <c r="UCB83" s="499"/>
      <c r="UCC83" s="499"/>
      <c r="UCD83" s="499"/>
      <c r="UCE83" s="499"/>
      <c r="UCF83" s="499"/>
      <c r="UCG83" s="499"/>
      <c r="UCH83" s="499"/>
      <c r="UCI83" s="499"/>
      <c r="UCJ83" s="499"/>
      <c r="UCK83" s="499"/>
      <c r="UCL83" s="499"/>
      <c r="UCM83" s="499"/>
      <c r="UCN83" s="499"/>
      <c r="UCO83" s="499"/>
      <c r="UCP83" s="499"/>
      <c r="UCQ83" s="499"/>
      <c r="UCR83" s="499"/>
      <c r="UCS83" s="499"/>
      <c r="UCT83" s="499"/>
      <c r="UCU83" s="499"/>
      <c r="UCV83" s="499"/>
      <c r="UCW83" s="499"/>
      <c r="UCX83" s="499"/>
      <c r="UCY83" s="499"/>
      <c r="UCZ83" s="499"/>
      <c r="UDA83" s="499"/>
      <c r="UDB83" s="499"/>
      <c r="UDC83" s="499"/>
      <c r="UDD83" s="499"/>
      <c r="UDE83" s="499"/>
      <c r="UDF83" s="499"/>
      <c r="UDG83" s="499"/>
      <c r="UDH83" s="499"/>
      <c r="UDI83" s="499"/>
      <c r="UDJ83" s="499"/>
      <c r="UDK83" s="499"/>
      <c r="UDL83" s="499"/>
      <c r="UDM83" s="499"/>
      <c r="UDN83" s="499"/>
      <c r="UDO83" s="499"/>
      <c r="UDP83" s="499"/>
      <c r="UDQ83" s="499"/>
      <c r="UDR83" s="499"/>
      <c r="UDS83" s="499"/>
      <c r="UDT83" s="499"/>
      <c r="UDU83" s="499"/>
      <c r="UDV83" s="499"/>
      <c r="UDW83" s="499"/>
      <c r="UDX83" s="499"/>
      <c r="UDY83" s="499"/>
      <c r="UDZ83" s="499"/>
      <c r="UEA83" s="499"/>
      <c r="UEB83" s="499"/>
      <c r="UEC83" s="499"/>
      <c r="UED83" s="499"/>
      <c r="UEE83" s="499"/>
      <c r="UEF83" s="499"/>
      <c r="UEG83" s="499"/>
      <c r="UEH83" s="499"/>
      <c r="UEI83" s="499"/>
      <c r="UEJ83" s="499"/>
      <c r="UEK83" s="499"/>
      <c r="UEL83" s="499"/>
      <c r="UEM83" s="499"/>
      <c r="UEN83" s="499"/>
      <c r="UEO83" s="499"/>
      <c r="UEP83" s="499"/>
      <c r="UEQ83" s="499"/>
      <c r="UER83" s="499"/>
      <c r="UES83" s="499"/>
      <c r="UET83" s="499"/>
      <c r="UEU83" s="499"/>
      <c r="UEV83" s="499"/>
      <c r="UEW83" s="499"/>
      <c r="UEX83" s="499"/>
      <c r="UEY83" s="499"/>
      <c r="UEZ83" s="499"/>
      <c r="UFA83" s="499"/>
      <c r="UFB83" s="499"/>
      <c r="UFC83" s="499"/>
      <c r="UFD83" s="499"/>
      <c r="UFE83" s="499"/>
      <c r="UFF83" s="499"/>
      <c r="UFG83" s="499"/>
      <c r="UFH83" s="499"/>
      <c r="UFI83" s="499"/>
      <c r="UFJ83" s="499"/>
      <c r="UFK83" s="499"/>
      <c r="UFL83" s="499"/>
      <c r="UFM83" s="499"/>
      <c r="UFN83" s="499"/>
      <c r="UFO83" s="499"/>
      <c r="UFP83" s="499"/>
      <c r="UFQ83" s="499"/>
      <c r="UFR83" s="499"/>
      <c r="UFS83" s="499"/>
      <c r="UFT83" s="499"/>
      <c r="UFU83" s="499"/>
      <c r="UFV83" s="499"/>
      <c r="UFW83" s="499"/>
      <c r="UFX83" s="499"/>
      <c r="UFY83" s="499"/>
      <c r="UFZ83" s="499"/>
      <c r="UGA83" s="499"/>
      <c r="UGB83" s="499"/>
      <c r="UGC83" s="499"/>
      <c r="UGD83" s="499"/>
      <c r="UGE83" s="499"/>
      <c r="UGF83" s="499"/>
      <c r="UGG83" s="499"/>
      <c r="UGH83" s="499"/>
      <c r="UGI83" s="499"/>
      <c r="UGJ83" s="499"/>
      <c r="UGK83" s="499"/>
      <c r="UGL83" s="499"/>
      <c r="UGM83" s="499"/>
      <c r="UGN83" s="499"/>
      <c r="UGO83" s="499"/>
      <c r="UGP83" s="499"/>
      <c r="UGQ83" s="499"/>
      <c r="UGR83" s="499"/>
      <c r="UGS83" s="499"/>
      <c r="UGT83" s="499"/>
      <c r="UGU83" s="499"/>
      <c r="UGV83" s="499"/>
      <c r="UGW83" s="499"/>
      <c r="UGX83" s="499"/>
      <c r="UGY83" s="499"/>
      <c r="UGZ83" s="499"/>
      <c r="UHA83" s="499"/>
      <c r="UHB83" s="499"/>
      <c r="UHC83" s="499"/>
      <c r="UHD83" s="499"/>
      <c r="UHE83" s="499"/>
      <c r="UHF83" s="499"/>
      <c r="UHG83" s="499"/>
      <c r="UHH83" s="499"/>
      <c r="UHI83" s="499"/>
      <c r="UHJ83" s="499"/>
      <c r="UHK83" s="499"/>
      <c r="UHL83" s="499"/>
      <c r="UHM83" s="499"/>
      <c r="UHN83" s="499"/>
      <c r="UHO83" s="499"/>
      <c r="UHP83" s="499"/>
      <c r="UHQ83" s="499"/>
      <c r="UHR83" s="499"/>
      <c r="UHS83" s="499"/>
      <c r="UHT83" s="499"/>
      <c r="UHU83" s="499"/>
      <c r="UHV83" s="499"/>
      <c r="UHW83" s="499"/>
      <c r="UHX83" s="499"/>
      <c r="UHY83" s="499"/>
      <c r="UHZ83" s="499"/>
      <c r="UIA83" s="499"/>
      <c r="UIB83" s="499"/>
      <c r="UIC83" s="499"/>
      <c r="UID83" s="499"/>
      <c r="UIE83" s="499"/>
      <c r="UIF83" s="499"/>
      <c r="UIG83" s="499"/>
      <c r="UIH83" s="499"/>
      <c r="UII83" s="499"/>
      <c r="UIJ83" s="499"/>
      <c r="UIK83" s="499"/>
      <c r="UIL83" s="499"/>
      <c r="UIM83" s="499"/>
      <c r="UIN83" s="499"/>
      <c r="UIO83" s="499"/>
      <c r="UIP83" s="499"/>
      <c r="UIQ83" s="499"/>
      <c r="UIR83" s="499"/>
      <c r="UIS83" s="499"/>
      <c r="UIT83" s="499"/>
      <c r="UIU83" s="499"/>
      <c r="UIV83" s="499"/>
      <c r="UIW83" s="499"/>
      <c r="UIX83" s="499"/>
      <c r="UIY83" s="499"/>
      <c r="UIZ83" s="499"/>
      <c r="UJA83" s="499"/>
      <c r="UJB83" s="499"/>
      <c r="UJC83" s="499"/>
      <c r="UJD83" s="499"/>
      <c r="UJE83" s="499"/>
      <c r="UJF83" s="499"/>
      <c r="UJG83" s="499"/>
      <c r="UJH83" s="499"/>
      <c r="UJI83" s="499"/>
      <c r="UJJ83" s="499"/>
      <c r="UJK83" s="499"/>
      <c r="UJL83" s="499"/>
      <c r="UJM83" s="499"/>
      <c r="UJN83" s="499"/>
      <c r="UJO83" s="499"/>
      <c r="UJP83" s="499"/>
      <c r="UJQ83" s="499"/>
      <c r="UJR83" s="499"/>
      <c r="UJS83" s="499"/>
      <c r="UJT83" s="499"/>
      <c r="UJU83" s="499"/>
      <c r="UJV83" s="499"/>
      <c r="UJW83" s="499"/>
      <c r="UJX83" s="499"/>
      <c r="UJY83" s="499"/>
      <c r="UJZ83" s="499"/>
      <c r="UKA83" s="499"/>
      <c r="UKB83" s="499"/>
      <c r="UKC83" s="499"/>
      <c r="UKD83" s="499"/>
      <c r="UKE83" s="499"/>
      <c r="UKF83" s="499"/>
      <c r="UKG83" s="499"/>
      <c r="UKH83" s="499"/>
      <c r="UKI83" s="499"/>
      <c r="UKJ83" s="499"/>
      <c r="UKK83" s="499"/>
      <c r="UKL83" s="499"/>
      <c r="UKM83" s="499"/>
      <c r="UKN83" s="499"/>
      <c r="UKO83" s="499"/>
      <c r="UKP83" s="499"/>
      <c r="UKQ83" s="499"/>
      <c r="UKR83" s="499"/>
      <c r="UKS83" s="499"/>
      <c r="UKT83" s="499"/>
      <c r="UKU83" s="499"/>
      <c r="UKV83" s="499"/>
      <c r="UKW83" s="499"/>
      <c r="UKX83" s="499"/>
      <c r="UKY83" s="499"/>
      <c r="UKZ83" s="499"/>
      <c r="ULA83" s="499"/>
      <c r="ULB83" s="499"/>
      <c r="ULC83" s="499"/>
      <c r="ULD83" s="499"/>
      <c r="ULE83" s="499"/>
      <c r="ULF83" s="499"/>
      <c r="ULG83" s="499"/>
      <c r="ULH83" s="499"/>
      <c r="ULI83" s="499"/>
      <c r="ULJ83" s="499"/>
      <c r="ULK83" s="499"/>
      <c r="ULL83" s="499"/>
      <c r="ULM83" s="499"/>
      <c r="ULN83" s="499"/>
      <c r="ULO83" s="499"/>
      <c r="ULP83" s="499"/>
      <c r="ULQ83" s="499"/>
      <c r="ULR83" s="499"/>
      <c r="ULS83" s="499"/>
      <c r="ULT83" s="499"/>
      <c r="ULU83" s="499"/>
      <c r="ULV83" s="499"/>
      <c r="ULW83" s="499"/>
      <c r="ULX83" s="499"/>
      <c r="ULY83" s="499"/>
      <c r="ULZ83" s="499"/>
      <c r="UMA83" s="499"/>
      <c r="UMB83" s="499"/>
      <c r="UMC83" s="499"/>
      <c r="UMD83" s="499"/>
      <c r="UME83" s="499"/>
      <c r="UMF83" s="499"/>
      <c r="UMG83" s="499"/>
      <c r="UMH83" s="499"/>
      <c r="UMI83" s="499"/>
      <c r="UMJ83" s="499"/>
      <c r="UMK83" s="499"/>
      <c r="UML83" s="499"/>
      <c r="UMM83" s="499"/>
      <c r="UMN83" s="499"/>
      <c r="UMO83" s="499"/>
      <c r="UMP83" s="499"/>
      <c r="UMQ83" s="499"/>
      <c r="UMR83" s="499"/>
      <c r="UMS83" s="499"/>
      <c r="UMT83" s="499"/>
      <c r="UMU83" s="499"/>
      <c r="UMV83" s="499"/>
      <c r="UMW83" s="499"/>
      <c r="UMX83" s="499"/>
      <c r="UMY83" s="499"/>
      <c r="UMZ83" s="499"/>
      <c r="UNA83" s="499"/>
      <c r="UNB83" s="499"/>
      <c r="UNC83" s="499"/>
      <c r="UND83" s="499"/>
      <c r="UNE83" s="499"/>
      <c r="UNF83" s="499"/>
      <c r="UNG83" s="499"/>
      <c r="UNH83" s="499"/>
      <c r="UNI83" s="499"/>
      <c r="UNJ83" s="499"/>
      <c r="UNK83" s="499"/>
      <c r="UNL83" s="499"/>
      <c r="UNM83" s="499"/>
      <c r="UNN83" s="499"/>
      <c r="UNO83" s="499"/>
      <c r="UNP83" s="499"/>
      <c r="UNQ83" s="499"/>
      <c r="UNR83" s="499"/>
      <c r="UNS83" s="499"/>
      <c r="UNT83" s="499"/>
      <c r="UNU83" s="499"/>
      <c r="UNV83" s="499"/>
      <c r="UNW83" s="499"/>
      <c r="UNX83" s="499"/>
      <c r="UNY83" s="499"/>
      <c r="UNZ83" s="499"/>
      <c r="UOA83" s="499"/>
      <c r="UOB83" s="499"/>
      <c r="UOC83" s="499"/>
      <c r="UOD83" s="499"/>
      <c r="UOE83" s="499"/>
      <c r="UOF83" s="499"/>
      <c r="UOG83" s="499"/>
      <c r="UOH83" s="499"/>
      <c r="UOI83" s="499"/>
      <c r="UOJ83" s="499"/>
      <c r="UOK83" s="499"/>
      <c r="UOL83" s="499"/>
      <c r="UOM83" s="499"/>
      <c r="UON83" s="499"/>
      <c r="UOO83" s="499"/>
      <c r="UOP83" s="499"/>
      <c r="UOQ83" s="499"/>
      <c r="UOR83" s="499"/>
      <c r="UOS83" s="499"/>
      <c r="UOT83" s="499"/>
      <c r="UOU83" s="499"/>
      <c r="UOV83" s="499"/>
      <c r="UOW83" s="499"/>
      <c r="UOX83" s="499"/>
      <c r="UOY83" s="499"/>
      <c r="UOZ83" s="499"/>
      <c r="UPA83" s="499"/>
      <c r="UPB83" s="499"/>
      <c r="UPC83" s="499"/>
      <c r="UPD83" s="499"/>
      <c r="UPE83" s="499"/>
      <c r="UPF83" s="499"/>
      <c r="UPG83" s="499"/>
      <c r="UPH83" s="499"/>
      <c r="UPI83" s="499"/>
      <c r="UPJ83" s="499"/>
      <c r="UPK83" s="499"/>
      <c r="UPL83" s="499"/>
      <c r="UPM83" s="499"/>
      <c r="UPN83" s="499"/>
      <c r="UPO83" s="499"/>
      <c r="UPP83" s="499"/>
      <c r="UPQ83" s="499"/>
      <c r="UPR83" s="499"/>
      <c r="UPS83" s="499"/>
      <c r="UPT83" s="499"/>
      <c r="UPU83" s="499"/>
      <c r="UPV83" s="499"/>
      <c r="UPW83" s="499"/>
      <c r="UPX83" s="499"/>
      <c r="UPY83" s="499"/>
      <c r="UPZ83" s="499"/>
      <c r="UQA83" s="499"/>
      <c r="UQB83" s="499"/>
      <c r="UQC83" s="499"/>
      <c r="UQD83" s="499"/>
      <c r="UQE83" s="499"/>
      <c r="UQF83" s="499"/>
      <c r="UQG83" s="499"/>
      <c r="UQH83" s="499"/>
      <c r="UQI83" s="499"/>
      <c r="UQJ83" s="499"/>
      <c r="UQK83" s="499"/>
      <c r="UQL83" s="499"/>
      <c r="UQM83" s="499"/>
      <c r="UQN83" s="499"/>
      <c r="UQO83" s="499"/>
      <c r="UQP83" s="499"/>
      <c r="UQQ83" s="499"/>
      <c r="UQR83" s="499"/>
      <c r="UQS83" s="499"/>
      <c r="UQT83" s="499"/>
      <c r="UQU83" s="499"/>
      <c r="UQV83" s="499"/>
      <c r="UQW83" s="499"/>
      <c r="UQX83" s="499"/>
      <c r="UQY83" s="499"/>
      <c r="UQZ83" s="499"/>
      <c r="URA83" s="499"/>
      <c r="URB83" s="499"/>
      <c r="URC83" s="499"/>
      <c r="URD83" s="499"/>
      <c r="URE83" s="499"/>
      <c r="URF83" s="499"/>
      <c r="URG83" s="499"/>
      <c r="URH83" s="499"/>
      <c r="URI83" s="499"/>
      <c r="URJ83" s="499"/>
      <c r="URK83" s="499"/>
      <c r="URL83" s="499"/>
      <c r="URM83" s="499"/>
      <c r="URN83" s="499"/>
      <c r="URO83" s="499"/>
      <c r="URP83" s="499"/>
      <c r="URQ83" s="499"/>
      <c r="URR83" s="499"/>
      <c r="URS83" s="499"/>
      <c r="URT83" s="499"/>
      <c r="URU83" s="499"/>
      <c r="URV83" s="499"/>
      <c r="URW83" s="499"/>
      <c r="URX83" s="499"/>
      <c r="URY83" s="499"/>
      <c r="URZ83" s="499"/>
      <c r="USA83" s="499"/>
      <c r="USB83" s="499"/>
      <c r="USC83" s="499"/>
      <c r="USD83" s="499"/>
      <c r="USE83" s="499"/>
      <c r="USF83" s="499"/>
      <c r="USG83" s="499"/>
      <c r="USH83" s="499"/>
      <c r="USI83" s="499"/>
      <c r="USJ83" s="499"/>
      <c r="USK83" s="499"/>
      <c r="USL83" s="499"/>
      <c r="USM83" s="499"/>
      <c r="USN83" s="499"/>
      <c r="USO83" s="499"/>
      <c r="USP83" s="499"/>
      <c r="USQ83" s="499"/>
      <c r="USR83" s="499"/>
      <c r="USS83" s="499"/>
      <c r="UST83" s="499"/>
      <c r="USU83" s="499"/>
      <c r="USV83" s="499"/>
      <c r="USW83" s="499"/>
      <c r="USX83" s="499"/>
      <c r="USY83" s="499"/>
      <c r="USZ83" s="499"/>
      <c r="UTA83" s="499"/>
      <c r="UTB83" s="499"/>
      <c r="UTC83" s="499"/>
      <c r="UTD83" s="499"/>
      <c r="UTE83" s="499"/>
      <c r="UTF83" s="499"/>
      <c r="UTG83" s="499"/>
      <c r="UTH83" s="499"/>
      <c r="UTI83" s="499"/>
      <c r="UTJ83" s="499"/>
      <c r="UTK83" s="499"/>
      <c r="UTL83" s="499"/>
      <c r="UTM83" s="499"/>
      <c r="UTN83" s="499"/>
      <c r="UTO83" s="499"/>
      <c r="UTP83" s="499"/>
      <c r="UTQ83" s="499"/>
      <c r="UTR83" s="499"/>
      <c r="UTS83" s="499"/>
      <c r="UTT83" s="499"/>
      <c r="UTU83" s="499"/>
      <c r="UTV83" s="499"/>
      <c r="UTW83" s="499"/>
      <c r="UTX83" s="499"/>
      <c r="UTY83" s="499"/>
      <c r="UTZ83" s="499"/>
      <c r="UUA83" s="499"/>
      <c r="UUB83" s="499"/>
      <c r="UUC83" s="499"/>
      <c r="UUD83" s="499"/>
      <c r="UUE83" s="499"/>
      <c r="UUF83" s="499"/>
      <c r="UUG83" s="499"/>
      <c r="UUH83" s="499"/>
      <c r="UUI83" s="499"/>
      <c r="UUJ83" s="499"/>
      <c r="UUK83" s="499"/>
      <c r="UUL83" s="499"/>
      <c r="UUM83" s="499"/>
      <c r="UUN83" s="499"/>
      <c r="UUO83" s="499"/>
      <c r="UUP83" s="499"/>
      <c r="UUQ83" s="499"/>
      <c r="UUR83" s="499"/>
      <c r="UUS83" s="499"/>
      <c r="UUT83" s="499"/>
      <c r="UUU83" s="499"/>
      <c r="UUV83" s="499"/>
      <c r="UUW83" s="499"/>
      <c r="UUX83" s="499"/>
      <c r="UUY83" s="499"/>
      <c r="UUZ83" s="499"/>
      <c r="UVA83" s="499"/>
      <c r="UVB83" s="499"/>
      <c r="UVC83" s="499"/>
      <c r="UVD83" s="499"/>
      <c r="UVE83" s="499"/>
      <c r="UVF83" s="499"/>
      <c r="UVG83" s="499"/>
      <c r="UVH83" s="499"/>
      <c r="UVI83" s="499"/>
      <c r="UVJ83" s="499"/>
      <c r="UVK83" s="499"/>
      <c r="UVL83" s="499"/>
      <c r="UVM83" s="499"/>
      <c r="UVN83" s="499"/>
      <c r="UVO83" s="499"/>
      <c r="UVP83" s="499"/>
      <c r="UVQ83" s="499"/>
      <c r="UVR83" s="499"/>
      <c r="UVS83" s="499"/>
      <c r="UVT83" s="499"/>
      <c r="UVU83" s="499"/>
      <c r="UVV83" s="499"/>
      <c r="UVW83" s="499"/>
      <c r="UVX83" s="499"/>
      <c r="UVY83" s="499"/>
      <c r="UVZ83" s="499"/>
      <c r="UWA83" s="499"/>
      <c r="UWB83" s="499"/>
      <c r="UWC83" s="499"/>
      <c r="UWD83" s="499"/>
      <c r="UWE83" s="499"/>
      <c r="UWF83" s="499"/>
      <c r="UWG83" s="499"/>
      <c r="UWH83" s="499"/>
      <c r="UWI83" s="499"/>
      <c r="UWJ83" s="499"/>
      <c r="UWK83" s="499"/>
      <c r="UWL83" s="499"/>
      <c r="UWM83" s="499"/>
      <c r="UWN83" s="499"/>
      <c r="UWO83" s="499"/>
      <c r="UWP83" s="499"/>
      <c r="UWQ83" s="499"/>
      <c r="UWR83" s="499"/>
      <c r="UWS83" s="499"/>
      <c r="UWT83" s="499"/>
      <c r="UWU83" s="499"/>
      <c r="UWV83" s="499"/>
      <c r="UWW83" s="499"/>
      <c r="UWX83" s="499"/>
      <c r="UWY83" s="499"/>
      <c r="UWZ83" s="499"/>
      <c r="UXA83" s="499"/>
      <c r="UXB83" s="499"/>
      <c r="UXC83" s="499"/>
      <c r="UXD83" s="499"/>
      <c r="UXE83" s="499"/>
      <c r="UXF83" s="499"/>
      <c r="UXG83" s="499"/>
      <c r="UXH83" s="499"/>
      <c r="UXI83" s="499"/>
      <c r="UXJ83" s="499"/>
      <c r="UXK83" s="499"/>
      <c r="UXL83" s="499"/>
      <c r="UXM83" s="499"/>
      <c r="UXN83" s="499"/>
      <c r="UXO83" s="499"/>
      <c r="UXP83" s="499"/>
      <c r="UXQ83" s="499"/>
      <c r="UXR83" s="499"/>
      <c r="UXS83" s="499"/>
      <c r="UXT83" s="499"/>
      <c r="UXU83" s="499"/>
      <c r="UXV83" s="499"/>
      <c r="UXW83" s="499"/>
      <c r="UXX83" s="499"/>
      <c r="UXY83" s="499"/>
      <c r="UXZ83" s="499"/>
      <c r="UYA83" s="499"/>
      <c r="UYB83" s="499"/>
      <c r="UYC83" s="499"/>
      <c r="UYD83" s="499"/>
      <c r="UYE83" s="499"/>
      <c r="UYF83" s="499"/>
      <c r="UYG83" s="499"/>
      <c r="UYH83" s="499"/>
      <c r="UYI83" s="499"/>
      <c r="UYJ83" s="499"/>
      <c r="UYK83" s="499"/>
      <c r="UYL83" s="499"/>
      <c r="UYM83" s="499"/>
      <c r="UYN83" s="499"/>
      <c r="UYO83" s="499"/>
      <c r="UYP83" s="499"/>
      <c r="UYQ83" s="499"/>
      <c r="UYR83" s="499"/>
      <c r="UYS83" s="499"/>
      <c r="UYT83" s="499"/>
      <c r="UYU83" s="499"/>
      <c r="UYV83" s="499"/>
      <c r="UYW83" s="499"/>
      <c r="UYX83" s="499"/>
      <c r="UYY83" s="499"/>
      <c r="UYZ83" s="499"/>
      <c r="UZA83" s="499"/>
      <c r="UZB83" s="499"/>
      <c r="UZC83" s="499"/>
      <c r="UZD83" s="499"/>
      <c r="UZE83" s="499"/>
      <c r="UZF83" s="499"/>
      <c r="UZG83" s="499"/>
      <c r="UZH83" s="499"/>
      <c r="UZI83" s="499"/>
      <c r="UZJ83" s="499"/>
      <c r="UZK83" s="499"/>
      <c r="UZL83" s="499"/>
      <c r="UZM83" s="499"/>
      <c r="UZN83" s="499"/>
      <c r="UZO83" s="499"/>
      <c r="UZP83" s="499"/>
      <c r="UZQ83" s="499"/>
      <c r="UZR83" s="499"/>
      <c r="UZS83" s="499"/>
      <c r="UZT83" s="499"/>
      <c r="UZU83" s="499"/>
      <c r="UZV83" s="499"/>
      <c r="UZW83" s="499"/>
      <c r="UZX83" s="499"/>
      <c r="UZY83" s="499"/>
      <c r="UZZ83" s="499"/>
      <c r="VAA83" s="499"/>
      <c r="VAB83" s="499"/>
      <c r="VAC83" s="499"/>
      <c r="VAD83" s="499"/>
      <c r="VAE83" s="499"/>
      <c r="VAF83" s="499"/>
      <c r="VAG83" s="499"/>
      <c r="VAH83" s="499"/>
      <c r="VAI83" s="499"/>
      <c r="VAJ83" s="499"/>
      <c r="VAK83" s="499"/>
      <c r="VAL83" s="499"/>
      <c r="VAM83" s="499"/>
      <c r="VAN83" s="499"/>
      <c r="VAO83" s="499"/>
      <c r="VAP83" s="499"/>
      <c r="VAQ83" s="499"/>
      <c r="VAR83" s="499"/>
      <c r="VAS83" s="499"/>
      <c r="VAT83" s="499"/>
      <c r="VAU83" s="499"/>
      <c r="VAV83" s="499"/>
      <c r="VAW83" s="499"/>
      <c r="VAX83" s="499"/>
      <c r="VAY83" s="499"/>
      <c r="VAZ83" s="499"/>
      <c r="VBA83" s="499"/>
      <c r="VBB83" s="499"/>
      <c r="VBC83" s="499"/>
      <c r="VBD83" s="499"/>
      <c r="VBE83" s="499"/>
      <c r="VBF83" s="499"/>
      <c r="VBG83" s="499"/>
      <c r="VBH83" s="499"/>
      <c r="VBI83" s="499"/>
      <c r="VBJ83" s="499"/>
      <c r="VBK83" s="499"/>
      <c r="VBL83" s="499"/>
      <c r="VBM83" s="499"/>
      <c r="VBN83" s="499"/>
      <c r="VBO83" s="499"/>
      <c r="VBP83" s="499"/>
      <c r="VBQ83" s="499"/>
      <c r="VBR83" s="499"/>
      <c r="VBS83" s="499"/>
      <c r="VBT83" s="499"/>
      <c r="VBU83" s="499"/>
      <c r="VBV83" s="499"/>
      <c r="VBW83" s="499"/>
      <c r="VBX83" s="499"/>
      <c r="VBY83" s="499"/>
      <c r="VBZ83" s="499"/>
      <c r="VCA83" s="499"/>
      <c r="VCB83" s="499"/>
      <c r="VCC83" s="499"/>
      <c r="VCD83" s="499"/>
      <c r="VCE83" s="499"/>
      <c r="VCF83" s="499"/>
      <c r="VCG83" s="499"/>
      <c r="VCH83" s="499"/>
      <c r="VCI83" s="499"/>
      <c r="VCJ83" s="499"/>
      <c r="VCK83" s="499"/>
      <c r="VCL83" s="499"/>
      <c r="VCM83" s="499"/>
      <c r="VCN83" s="499"/>
      <c r="VCO83" s="499"/>
      <c r="VCP83" s="499"/>
      <c r="VCQ83" s="499"/>
      <c r="VCR83" s="499"/>
      <c r="VCS83" s="499"/>
      <c r="VCT83" s="499"/>
      <c r="VCU83" s="499"/>
      <c r="VCV83" s="499"/>
      <c r="VCW83" s="499"/>
      <c r="VCX83" s="499"/>
      <c r="VCY83" s="499"/>
      <c r="VCZ83" s="499"/>
      <c r="VDA83" s="499"/>
      <c r="VDB83" s="499"/>
      <c r="VDC83" s="499"/>
      <c r="VDD83" s="499"/>
      <c r="VDE83" s="499"/>
      <c r="VDF83" s="499"/>
      <c r="VDG83" s="499"/>
      <c r="VDH83" s="499"/>
      <c r="VDI83" s="499"/>
      <c r="VDJ83" s="499"/>
      <c r="VDK83" s="499"/>
      <c r="VDL83" s="499"/>
      <c r="VDM83" s="499"/>
      <c r="VDN83" s="499"/>
      <c r="VDO83" s="499"/>
      <c r="VDP83" s="499"/>
      <c r="VDQ83" s="499"/>
      <c r="VDR83" s="499"/>
      <c r="VDS83" s="499"/>
      <c r="VDT83" s="499"/>
      <c r="VDU83" s="499"/>
      <c r="VDV83" s="499"/>
      <c r="VDW83" s="499"/>
      <c r="VDX83" s="499"/>
      <c r="VDY83" s="499"/>
      <c r="VDZ83" s="499"/>
      <c r="VEA83" s="499"/>
      <c r="VEB83" s="499"/>
      <c r="VEC83" s="499"/>
      <c r="VED83" s="499"/>
      <c r="VEE83" s="499"/>
      <c r="VEF83" s="499"/>
      <c r="VEG83" s="499"/>
      <c r="VEH83" s="499"/>
      <c r="VEI83" s="499"/>
      <c r="VEJ83" s="499"/>
      <c r="VEK83" s="499"/>
      <c r="VEL83" s="499"/>
      <c r="VEM83" s="499"/>
      <c r="VEN83" s="499"/>
      <c r="VEO83" s="499"/>
      <c r="VEP83" s="499"/>
      <c r="VEQ83" s="499"/>
      <c r="VER83" s="499"/>
      <c r="VES83" s="499"/>
      <c r="VET83" s="499"/>
      <c r="VEU83" s="499"/>
      <c r="VEV83" s="499"/>
      <c r="VEW83" s="499"/>
      <c r="VEX83" s="499"/>
      <c r="VEY83" s="499"/>
      <c r="VEZ83" s="499"/>
      <c r="VFA83" s="499"/>
      <c r="VFB83" s="499"/>
      <c r="VFC83" s="499"/>
      <c r="VFD83" s="499"/>
      <c r="VFE83" s="499"/>
      <c r="VFF83" s="499"/>
      <c r="VFG83" s="499"/>
      <c r="VFH83" s="499"/>
      <c r="VFI83" s="499"/>
      <c r="VFJ83" s="499"/>
      <c r="VFK83" s="499"/>
      <c r="VFL83" s="499"/>
      <c r="VFM83" s="499"/>
      <c r="VFN83" s="499"/>
      <c r="VFO83" s="499"/>
      <c r="VFP83" s="499"/>
      <c r="VFQ83" s="499"/>
      <c r="VFR83" s="499"/>
      <c r="VFS83" s="499"/>
      <c r="VFT83" s="499"/>
      <c r="VFU83" s="499"/>
      <c r="VFV83" s="499"/>
      <c r="VFW83" s="499"/>
      <c r="VFX83" s="499"/>
      <c r="VFY83" s="499"/>
      <c r="VFZ83" s="499"/>
      <c r="VGA83" s="499"/>
      <c r="VGB83" s="499"/>
      <c r="VGC83" s="499"/>
      <c r="VGD83" s="499"/>
      <c r="VGE83" s="499"/>
      <c r="VGF83" s="499"/>
      <c r="VGG83" s="499"/>
      <c r="VGH83" s="499"/>
      <c r="VGI83" s="499"/>
      <c r="VGJ83" s="499"/>
      <c r="VGK83" s="499"/>
      <c r="VGL83" s="499"/>
      <c r="VGM83" s="499"/>
      <c r="VGN83" s="499"/>
      <c r="VGO83" s="499"/>
      <c r="VGP83" s="499"/>
      <c r="VGQ83" s="499"/>
      <c r="VGR83" s="499"/>
      <c r="VGS83" s="499"/>
      <c r="VGT83" s="499"/>
      <c r="VGU83" s="499"/>
      <c r="VGV83" s="499"/>
      <c r="VGW83" s="499"/>
      <c r="VGX83" s="499"/>
      <c r="VGY83" s="499"/>
      <c r="VGZ83" s="499"/>
      <c r="VHA83" s="499"/>
      <c r="VHB83" s="499"/>
      <c r="VHC83" s="499"/>
      <c r="VHD83" s="499"/>
      <c r="VHE83" s="499"/>
      <c r="VHF83" s="499"/>
      <c r="VHG83" s="499"/>
      <c r="VHH83" s="499"/>
      <c r="VHI83" s="499"/>
      <c r="VHJ83" s="499"/>
      <c r="VHK83" s="499"/>
      <c r="VHL83" s="499"/>
      <c r="VHM83" s="499"/>
      <c r="VHN83" s="499"/>
      <c r="VHO83" s="499"/>
      <c r="VHP83" s="499"/>
      <c r="VHQ83" s="499"/>
      <c r="VHR83" s="499"/>
      <c r="VHS83" s="499"/>
      <c r="VHT83" s="499"/>
      <c r="VHU83" s="499"/>
      <c r="VHV83" s="499"/>
      <c r="VHW83" s="499"/>
      <c r="VHX83" s="499"/>
      <c r="VHY83" s="499"/>
      <c r="VHZ83" s="499"/>
      <c r="VIA83" s="499"/>
      <c r="VIB83" s="499"/>
      <c r="VIC83" s="499"/>
      <c r="VID83" s="499"/>
      <c r="VIE83" s="499"/>
      <c r="VIF83" s="499"/>
      <c r="VIG83" s="499"/>
      <c r="VIH83" s="499"/>
      <c r="VII83" s="499"/>
      <c r="VIJ83" s="499"/>
      <c r="VIK83" s="499"/>
      <c r="VIL83" s="499"/>
      <c r="VIM83" s="499"/>
      <c r="VIN83" s="499"/>
      <c r="VIO83" s="499"/>
      <c r="VIP83" s="499"/>
      <c r="VIQ83" s="499"/>
      <c r="VIR83" s="499"/>
      <c r="VIS83" s="499"/>
      <c r="VIT83" s="499"/>
      <c r="VIU83" s="499"/>
      <c r="VIV83" s="499"/>
      <c r="VIW83" s="499"/>
      <c r="VIX83" s="499"/>
      <c r="VIY83" s="499"/>
      <c r="VIZ83" s="499"/>
      <c r="VJA83" s="499"/>
      <c r="VJB83" s="499"/>
      <c r="VJC83" s="499"/>
      <c r="VJD83" s="499"/>
      <c r="VJE83" s="499"/>
      <c r="VJF83" s="499"/>
      <c r="VJG83" s="499"/>
      <c r="VJH83" s="499"/>
      <c r="VJI83" s="499"/>
      <c r="VJJ83" s="499"/>
      <c r="VJK83" s="499"/>
      <c r="VJL83" s="499"/>
      <c r="VJM83" s="499"/>
      <c r="VJN83" s="499"/>
      <c r="VJO83" s="499"/>
      <c r="VJP83" s="499"/>
      <c r="VJQ83" s="499"/>
      <c r="VJR83" s="499"/>
      <c r="VJS83" s="499"/>
      <c r="VJT83" s="499"/>
      <c r="VJU83" s="499"/>
      <c r="VJV83" s="499"/>
      <c r="VJW83" s="499"/>
      <c r="VJX83" s="499"/>
      <c r="VJY83" s="499"/>
      <c r="VJZ83" s="499"/>
      <c r="VKA83" s="499"/>
      <c r="VKB83" s="499"/>
      <c r="VKC83" s="499"/>
      <c r="VKD83" s="499"/>
      <c r="VKE83" s="499"/>
      <c r="VKF83" s="499"/>
      <c r="VKG83" s="499"/>
      <c r="VKH83" s="499"/>
      <c r="VKI83" s="499"/>
      <c r="VKJ83" s="499"/>
      <c r="VKK83" s="499"/>
      <c r="VKL83" s="499"/>
      <c r="VKM83" s="499"/>
      <c r="VKN83" s="499"/>
      <c r="VKO83" s="499"/>
      <c r="VKP83" s="499"/>
      <c r="VKQ83" s="499"/>
      <c r="VKR83" s="499"/>
      <c r="VKS83" s="499"/>
      <c r="VKT83" s="499"/>
      <c r="VKU83" s="499"/>
      <c r="VKV83" s="499"/>
      <c r="VKW83" s="499"/>
      <c r="VKX83" s="499"/>
      <c r="VKY83" s="499"/>
      <c r="VKZ83" s="499"/>
      <c r="VLA83" s="499"/>
      <c r="VLB83" s="499"/>
      <c r="VLC83" s="499"/>
      <c r="VLD83" s="499"/>
      <c r="VLE83" s="499"/>
      <c r="VLF83" s="499"/>
      <c r="VLG83" s="499"/>
      <c r="VLH83" s="499"/>
      <c r="VLI83" s="499"/>
      <c r="VLJ83" s="499"/>
      <c r="VLK83" s="499"/>
      <c r="VLL83" s="499"/>
      <c r="VLM83" s="499"/>
      <c r="VLN83" s="499"/>
      <c r="VLO83" s="499"/>
      <c r="VLP83" s="499"/>
      <c r="VLQ83" s="499"/>
      <c r="VLR83" s="499"/>
      <c r="VLS83" s="499"/>
      <c r="VLT83" s="499"/>
      <c r="VLU83" s="499"/>
      <c r="VLV83" s="499"/>
      <c r="VLW83" s="499"/>
      <c r="VLX83" s="499"/>
      <c r="VLY83" s="499"/>
      <c r="VLZ83" s="499"/>
      <c r="VMA83" s="499"/>
      <c r="VMB83" s="499"/>
      <c r="VMC83" s="499"/>
      <c r="VMD83" s="499"/>
      <c r="VME83" s="499"/>
      <c r="VMF83" s="499"/>
      <c r="VMG83" s="499"/>
      <c r="VMH83" s="499"/>
      <c r="VMI83" s="499"/>
      <c r="VMJ83" s="499"/>
      <c r="VMK83" s="499"/>
      <c r="VML83" s="499"/>
      <c r="VMM83" s="499"/>
      <c r="VMN83" s="499"/>
      <c r="VMO83" s="499"/>
      <c r="VMP83" s="499"/>
      <c r="VMQ83" s="499"/>
      <c r="VMR83" s="499"/>
      <c r="VMS83" s="499"/>
      <c r="VMT83" s="499"/>
      <c r="VMU83" s="499"/>
      <c r="VMV83" s="499"/>
      <c r="VMW83" s="499"/>
      <c r="VMX83" s="499"/>
      <c r="VMY83" s="499"/>
      <c r="VMZ83" s="499"/>
      <c r="VNA83" s="499"/>
      <c r="VNB83" s="499"/>
      <c r="VNC83" s="499"/>
      <c r="VND83" s="499"/>
      <c r="VNE83" s="499"/>
      <c r="VNF83" s="499"/>
      <c r="VNG83" s="499"/>
      <c r="VNH83" s="499"/>
      <c r="VNI83" s="499"/>
      <c r="VNJ83" s="499"/>
      <c r="VNK83" s="499"/>
      <c r="VNL83" s="499"/>
      <c r="VNM83" s="499"/>
      <c r="VNN83" s="499"/>
      <c r="VNO83" s="499"/>
      <c r="VNP83" s="499"/>
      <c r="VNQ83" s="499"/>
      <c r="VNR83" s="499"/>
      <c r="VNS83" s="499"/>
      <c r="VNT83" s="499"/>
      <c r="VNU83" s="499"/>
      <c r="VNV83" s="499"/>
      <c r="VNW83" s="499"/>
      <c r="VNX83" s="499"/>
      <c r="VNY83" s="499"/>
      <c r="VNZ83" s="499"/>
      <c r="VOA83" s="499"/>
      <c r="VOB83" s="499"/>
      <c r="VOC83" s="499"/>
      <c r="VOD83" s="499"/>
      <c r="VOE83" s="499"/>
      <c r="VOF83" s="499"/>
      <c r="VOG83" s="499"/>
      <c r="VOH83" s="499"/>
      <c r="VOI83" s="499"/>
      <c r="VOJ83" s="499"/>
      <c r="VOK83" s="499"/>
      <c r="VOL83" s="499"/>
      <c r="VOM83" s="499"/>
      <c r="VON83" s="499"/>
      <c r="VOO83" s="499"/>
      <c r="VOP83" s="499"/>
      <c r="VOQ83" s="499"/>
      <c r="VOR83" s="499"/>
      <c r="VOS83" s="499"/>
      <c r="VOT83" s="499"/>
      <c r="VOU83" s="499"/>
      <c r="VOV83" s="499"/>
      <c r="VOW83" s="499"/>
      <c r="VOX83" s="499"/>
      <c r="VOY83" s="499"/>
      <c r="VOZ83" s="499"/>
      <c r="VPA83" s="499"/>
      <c r="VPB83" s="499"/>
      <c r="VPC83" s="499"/>
      <c r="VPD83" s="499"/>
      <c r="VPE83" s="499"/>
      <c r="VPF83" s="499"/>
      <c r="VPG83" s="499"/>
      <c r="VPH83" s="499"/>
      <c r="VPI83" s="499"/>
      <c r="VPJ83" s="499"/>
      <c r="VPK83" s="499"/>
      <c r="VPL83" s="499"/>
      <c r="VPM83" s="499"/>
      <c r="VPN83" s="499"/>
      <c r="VPO83" s="499"/>
      <c r="VPP83" s="499"/>
      <c r="VPQ83" s="499"/>
      <c r="VPR83" s="499"/>
      <c r="VPS83" s="499"/>
      <c r="VPT83" s="499"/>
      <c r="VPU83" s="499"/>
      <c r="VPV83" s="499"/>
      <c r="VPW83" s="499"/>
      <c r="VPX83" s="499"/>
      <c r="VPY83" s="499"/>
      <c r="VPZ83" s="499"/>
      <c r="VQA83" s="499"/>
      <c r="VQB83" s="499"/>
      <c r="VQC83" s="499"/>
      <c r="VQD83" s="499"/>
      <c r="VQE83" s="499"/>
      <c r="VQF83" s="499"/>
      <c r="VQG83" s="499"/>
      <c r="VQH83" s="499"/>
      <c r="VQI83" s="499"/>
      <c r="VQJ83" s="499"/>
      <c r="VQK83" s="499"/>
      <c r="VQL83" s="499"/>
      <c r="VQM83" s="499"/>
      <c r="VQN83" s="499"/>
      <c r="VQO83" s="499"/>
      <c r="VQP83" s="499"/>
      <c r="VQQ83" s="499"/>
      <c r="VQR83" s="499"/>
      <c r="VQS83" s="499"/>
      <c r="VQT83" s="499"/>
      <c r="VQU83" s="499"/>
      <c r="VQV83" s="499"/>
      <c r="VQW83" s="499"/>
      <c r="VQX83" s="499"/>
      <c r="VQY83" s="499"/>
      <c r="VQZ83" s="499"/>
      <c r="VRA83" s="499"/>
      <c r="VRB83" s="499"/>
      <c r="VRC83" s="499"/>
      <c r="VRD83" s="499"/>
      <c r="VRE83" s="499"/>
      <c r="VRF83" s="499"/>
      <c r="VRG83" s="499"/>
      <c r="VRH83" s="499"/>
      <c r="VRI83" s="499"/>
      <c r="VRJ83" s="499"/>
      <c r="VRK83" s="499"/>
      <c r="VRL83" s="499"/>
      <c r="VRM83" s="499"/>
      <c r="VRN83" s="499"/>
      <c r="VRO83" s="499"/>
      <c r="VRP83" s="499"/>
      <c r="VRQ83" s="499"/>
      <c r="VRR83" s="499"/>
      <c r="VRS83" s="499"/>
      <c r="VRT83" s="499"/>
      <c r="VRU83" s="499"/>
      <c r="VRV83" s="499"/>
      <c r="VRW83" s="499"/>
      <c r="VRX83" s="499"/>
      <c r="VRY83" s="499"/>
      <c r="VRZ83" s="499"/>
      <c r="VSA83" s="499"/>
      <c r="VSB83" s="499"/>
      <c r="VSC83" s="499"/>
      <c r="VSD83" s="499"/>
      <c r="VSE83" s="499"/>
      <c r="VSF83" s="499"/>
      <c r="VSG83" s="499"/>
      <c r="VSH83" s="499"/>
      <c r="VSI83" s="499"/>
      <c r="VSJ83" s="499"/>
      <c r="VSK83" s="499"/>
      <c r="VSL83" s="499"/>
      <c r="VSM83" s="499"/>
      <c r="VSN83" s="499"/>
      <c r="VSO83" s="499"/>
      <c r="VSP83" s="499"/>
      <c r="VSQ83" s="499"/>
      <c r="VSR83" s="499"/>
      <c r="VSS83" s="499"/>
      <c r="VST83" s="499"/>
      <c r="VSU83" s="499"/>
      <c r="VSV83" s="499"/>
      <c r="VSW83" s="499"/>
      <c r="VSX83" s="499"/>
      <c r="VSY83" s="499"/>
      <c r="VSZ83" s="499"/>
      <c r="VTA83" s="499"/>
      <c r="VTB83" s="499"/>
      <c r="VTC83" s="499"/>
      <c r="VTD83" s="499"/>
      <c r="VTE83" s="499"/>
      <c r="VTF83" s="499"/>
      <c r="VTG83" s="499"/>
      <c r="VTH83" s="499"/>
      <c r="VTI83" s="499"/>
      <c r="VTJ83" s="499"/>
      <c r="VTK83" s="499"/>
      <c r="VTL83" s="499"/>
      <c r="VTM83" s="499"/>
      <c r="VTN83" s="499"/>
      <c r="VTO83" s="499"/>
      <c r="VTP83" s="499"/>
      <c r="VTQ83" s="499"/>
      <c r="VTR83" s="499"/>
      <c r="VTS83" s="499"/>
      <c r="VTT83" s="499"/>
      <c r="VTU83" s="499"/>
      <c r="VTV83" s="499"/>
      <c r="VTW83" s="499"/>
      <c r="VTX83" s="499"/>
      <c r="VTY83" s="499"/>
      <c r="VTZ83" s="499"/>
      <c r="VUA83" s="499"/>
      <c r="VUB83" s="499"/>
      <c r="VUC83" s="499"/>
      <c r="VUD83" s="499"/>
      <c r="VUE83" s="499"/>
      <c r="VUF83" s="499"/>
      <c r="VUG83" s="499"/>
      <c r="VUH83" s="499"/>
      <c r="VUI83" s="499"/>
      <c r="VUJ83" s="499"/>
      <c r="VUK83" s="499"/>
      <c r="VUL83" s="499"/>
      <c r="VUM83" s="499"/>
      <c r="VUN83" s="499"/>
      <c r="VUO83" s="499"/>
      <c r="VUP83" s="499"/>
      <c r="VUQ83" s="499"/>
      <c r="VUR83" s="499"/>
      <c r="VUS83" s="499"/>
      <c r="VUT83" s="499"/>
      <c r="VUU83" s="499"/>
      <c r="VUV83" s="499"/>
      <c r="VUW83" s="499"/>
      <c r="VUX83" s="499"/>
      <c r="VUY83" s="499"/>
      <c r="VUZ83" s="499"/>
      <c r="VVA83" s="499"/>
      <c r="VVB83" s="499"/>
      <c r="VVC83" s="499"/>
      <c r="VVD83" s="499"/>
      <c r="VVE83" s="499"/>
      <c r="VVF83" s="499"/>
      <c r="VVG83" s="499"/>
      <c r="VVH83" s="499"/>
      <c r="VVI83" s="499"/>
      <c r="VVJ83" s="499"/>
      <c r="VVK83" s="499"/>
      <c r="VVL83" s="499"/>
      <c r="VVM83" s="499"/>
      <c r="VVN83" s="499"/>
      <c r="VVO83" s="499"/>
      <c r="VVP83" s="499"/>
      <c r="VVQ83" s="499"/>
      <c r="VVR83" s="499"/>
      <c r="VVS83" s="499"/>
      <c r="VVT83" s="499"/>
      <c r="VVU83" s="499"/>
      <c r="VVV83" s="499"/>
      <c r="VVW83" s="499"/>
      <c r="VVX83" s="499"/>
      <c r="VVY83" s="499"/>
      <c r="VVZ83" s="499"/>
      <c r="VWA83" s="499"/>
      <c r="VWB83" s="499"/>
      <c r="VWC83" s="499"/>
      <c r="VWD83" s="499"/>
      <c r="VWE83" s="499"/>
      <c r="VWF83" s="499"/>
      <c r="VWG83" s="499"/>
      <c r="VWH83" s="499"/>
      <c r="VWI83" s="499"/>
      <c r="VWJ83" s="499"/>
      <c r="VWK83" s="499"/>
      <c r="VWL83" s="499"/>
      <c r="VWM83" s="499"/>
      <c r="VWN83" s="499"/>
      <c r="VWO83" s="499"/>
      <c r="VWP83" s="499"/>
      <c r="VWQ83" s="499"/>
      <c r="VWR83" s="499"/>
      <c r="VWS83" s="499"/>
      <c r="VWT83" s="499"/>
      <c r="VWU83" s="499"/>
      <c r="VWV83" s="499"/>
      <c r="VWW83" s="499"/>
      <c r="VWX83" s="499"/>
      <c r="VWY83" s="499"/>
      <c r="VWZ83" s="499"/>
      <c r="VXA83" s="499"/>
      <c r="VXB83" s="499"/>
      <c r="VXC83" s="499"/>
      <c r="VXD83" s="499"/>
      <c r="VXE83" s="499"/>
      <c r="VXF83" s="499"/>
      <c r="VXG83" s="499"/>
      <c r="VXH83" s="499"/>
      <c r="VXI83" s="499"/>
      <c r="VXJ83" s="499"/>
      <c r="VXK83" s="499"/>
      <c r="VXL83" s="499"/>
      <c r="VXM83" s="499"/>
      <c r="VXN83" s="499"/>
      <c r="VXO83" s="499"/>
      <c r="VXP83" s="499"/>
      <c r="VXQ83" s="499"/>
      <c r="VXR83" s="499"/>
      <c r="VXS83" s="499"/>
      <c r="VXT83" s="499"/>
      <c r="VXU83" s="499"/>
      <c r="VXV83" s="499"/>
      <c r="VXW83" s="499"/>
      <c r="VXX83" s="499"/>
      <c r="VXY83" s="499"/>
      <c r="VXZ83" s="499"/>
      <c r="VYA83" s="499"/>
      <c r="VYB83" s="499"/>
      <c r="VYC83" s="499"/>
      <c r="VYD83" s="499"/>
      <c r="VYE83" s="499"/>
      <c r="VYF83" s="499"/>
      <c r="VYG83" s="499"/>
      <c r="VYH83" s="499"/>
      <c r="VYI83" s="499"/>
      <c r="VYJ83" s="499"/>
      <c r="VYK83" s="499"/>
      <c r="VYL83" s="499"/>
      <c r="VYM83" s="499"/>
      <c r="VYN83" s="499"/>
      <c r="VYO83" s="499"/>
      <c r="VYP83" s="499"/>
      <c r="VYQ83" s="499"/>
      <c r="VYR83" s="499"/>
      <c r="VYS83" s="499"/>
      <c r="VYT83" s="499"/>
      <c r="VYU83" s="499"/>
      <c r="VYV83" s="499"/>
      <c r="VYW83" s="499"/>
      <c r="VYX83" s="499"/>
      <c r="VYY83" s="499"/>
      <c r="VYZ83" s="499"/>
      <c r="VZA83" s="499"/>
      <c r="VZB83" s="499"/>
      <c r="VZC83" s="499"/>
      <c r="VZD83" s="499"/>
      <c r="VZE83" s="499"/>
      <c r="VZF83" s="499"/>
      <c r="VZG83" s="499"/>
      <c r="VZH83" s="499"/>
      <c r="VZI83" s="499"/>
      <c r="VZJ83" s="499"/>
      <c r="VZK83" s="499"/>
      <c r="VZL83" s="499"/>
      <c r="VZM83" s="499"/>
      <c r="VZN83" s="499"/>
      <c r="VZO83" s="499"/>
      <c r="VZP83" s="499"/>
      <c r="VZQ83" s="499"/>
      <c r="VZR83" s="499"/>
      <c r="VZS83" s="499"/>
      <c r="VZT83" s="499"/>
      <c r="VZU83" s="499"/>
      <c r="VZV83" s="499"/>
      <c r="VZW83" s="499"/>
      <c r="VZX83" s="499"/>
      <c r="VZY83" s="499"/>
      <c r="VZZ83" s="499"/>
      <c r="WAA83" s="499"/>
      <c r="WAB83" s="499"/>
      <c r="WAC83" s="499"/>
      <c r="WAD83" s="499"/>
      <c r="WAE83" s="499"/>
      <c r="WAF83" s="499"/>
      <c r="WAG83" s="499"/>
      <c r="WAH83" s="499"/>
      <c r="WAI83" s="499"/>
      <c r="WAJ83" s="499"/>
      <c r="WAK83" s="499"/>
      <c r="WAL83" s="499"/>
      <c r="WAM83" s="499"/>
      <c r="WAN83" s="499"/>
      <c r="WAO83" s="499"/>
      <c r="WAP83" s="499"/>
      <c r="WAQ83" s="499"/>
      <c r="WAR83" s="499"/>
      <c r="WAS83" s="499"/>
      <c r="WAT83" s="499"/>
      <c r="WAU83" s="499"/>
      <c r="WAV83" s="499"/>
      <c r="WAW83" s="499"/>
      <c r="WAX83" s="499"/>
      <c r="WAY83" s="499"/>
      <c r="WAZ83" s="499"/>
      <c r="WBA83" s="499"/>
      <c r="WBB83" s="499"/>
      <c r="WBC83" s="499"/>
      <c r="WBD83" s="499"/>
      <c r="WBE83" s="499"/>
      <c r="WBF83" s="499"/>
      <c r="WBG83" s="499"/>
      <c r="WBH83" s="499"/>
      <c r="WBI83" s="499"/>
      <c r="WBJ83" s="499"/>
      <c r="WBK83" s="499"/>
      <c r="WBL83" s="499"/>
      <c r="WBM83" s="499"/>
      <c r="WBN83" s="499"/>
      <c r="WBO83" s="499"/>
      <c r="WBP83" s="499"/>
      <c r="WBQ83" s="499"/>
      <c r="WBR83" s="499"/>
      <c r="WBS83" s="499"/>
      <c r="WBT83" s="499"/>
      <c r="WBU83" s="499"/>
      <c r="WBV83" s="499"/>
      <c r="WBW83" s="499"/>
      <c r="WBX83" s="499"/>
      <c r="WBY83" s="499"/>
      <c r="WBZ83" s="499"/>
      <c r="WCA83" s="499"/>
      <c r="WCB83" s="499"/>
      <c r="WCC83" s="499"/>
      <c r="WCD83" s="499"/>
      <c r="WCE83" s="499"/>
      <c r="WCF83" s="499"/>
      <c r="WCG83" s="499"/>
      <c r="WCH83" s="499"/>
      <c r="WCI83" s="499"/>
      <c r="WCJ83" s="499"/>
      <c r="WCK83" s="499"/>
      <c r="WCL83" s="499"/>
      <c r="WCM83" s="499"/>
      <c r="WCN83" s="499"/>
      <c r="WCO83" s="499"/>
      <c r="WCP83" s="499"/>
      <c r="WCQ83" s="499"/>
      <c r="WCR83" s="499"/>
      <c r="WCS83" s="499"/>
      <c r="WCT83" s="499"/>
      <c r="WCU83" s="499"/>
      <c r="WCV83" s="499"/>
      <c r="WCW83" s="499"/>
      <c r="WCX83" s="499"/>
      <c r="WCY83" s="499"/>
      <c r="WCZ83" s="499"/>
      <c r="WDA83" s="499"/>
      <c r="WDB83" s="499"/>
      <c r="WDC83" s="499"/>
      <c r="WDD83" s="499"/>
      <c r="WDE83" s="499"/>
      <c r="WDF83" s="499"/>
      <c r="WDG83" s="499"/>
      <c r="WDH83" s="499"/>
      <c r="WDI83" s="499"/>
      <c r="WDJ83" s="499"/>
      <c r="WDK83" s="499"/>
      <c r="WDL83" s="499"/>
      <c r="WDM83" s="499"/>
      <c r="WDN83" s="499"/>
      <c r="WDO83" s="499"/>
      <c r="WDP83" s="499"/>
      <c r="WDQ83" s="499"/>
      <c r="WDR83" s="499"/>
      <c r="WDS83" s="499"/>
      <c r="WDT83" s="499"/>
      <c r="WDU83" s="499"/>
      <c r="WDV83" s="499"/>
      <c r="WDW83" s="499"/>
      <c r="WDX83" s="499"/>
      <c r="WDY83" s="499"/>
      <c r="WDZ83" s="499"/>
      <c r="WEA83" s="499"/>
      <c r="WEB83" s="499"/>
      <c r="WEC83" s="499"/>
      <c r="WED83" s="499"/>
      <c r="WEE83" s="499"/>
      <c r="WEF83" s="499"/>
      <c r="WEG83" s="499"/>
      <c r="WEH83" s="499"/>
      <c r="WEI83" s="499"/>
      <c r="WEJ83" s="499"/>
      <c r="WEK83" s="499"/>
      <c r="WEL83" s="499"/>
      <c r="WEM83" s="499"/>
      <c r="WEN83" s="499"/>
      <c r="WEO83" s="499"/>
      <c r="WEP83" s="499"/>
      <c r="WEQ83" s="499"/>
      <c r="WER83" s="499"/>
      <c r="WES83" s="499"/>
      <c r="WET83" s="499"/>
      <c r="WEU83" s="499"/>
      <c r="WEV83" s="499"/>
      <c r="WEW83" s="499"/>
      <c r="WEX83" s="499"/>
      <c r="WEY83" s="499"/>
      <c r="WEZ83" s="499"/>
      <c r="WFA83" s="499"/>
      <c r="WFB83" s="499"/>
      <c r="WFC83" s="499"/>
      <c r="WFD83" s="499"/>
      <c r="WFE83" s="499"/>
      <c r="WFF83" s="499"/>
      <c r="WFG83" s="499"/>
      <c r="WFH83" s="499"/>
      <c r="WFI83" s="499"/>
      <c r="WFJ83" s="499"/>
      <c r="WFK83" s="499"/>
      <c r="WFL83" s="499"/>
      <c r="WFM83" s="499"/>
      <c r="WFN83" s="499"/>
      <c r="WFO83" s="499"/>
      <c r="WFP83" s="499"/>
      <c r="WFQ83" s="499"/>
      <c r="WFR83" s="499"/>
      <c r="WFS83" s="499"/>
      <c r="WFT83" s="499"/>
      <c r="WFU83" s="499"/>
      <c r="WFV83" s="499"/>
      <c r="WFW83" s="499"/>
      <c r="WFX83" s="499"/>
      <c r="WFY83" s="499"/>
      <c r="WFZ83" s="499"/>
      <c r="WGA83" s="499"/>
      <c r="WGB83" s="499"/>
      <c r="WGC83" s="499"/>
      <c r="WGD83" s="499"/>
      <c r="WGE83" s="499"/>
      <c r="WGF83" s="499"/>
      <c r="WGG83" s="499"/>
      <c r="WGH83" s="499"/>
      <c r="WGI83" s="499"/>
      <c r="WGJ83" s="499"/>
      <c r="WGK83" s="499"/>
      <c r="WGL83" s="499"/>
      <c r="WGM83" s="499"/>
      <c r="WGN83" s="499"/>
      <c r="WGO83" s="499"/>
      <c r="WGP83" s="499"/>
      <c r="WGQ83" s="499"/>
      <c r="WGR83" s="499"/>
      <c r="WGS83" s="499"/>
      <c r="WGT83" s="499"/>
      <c r="WGU83" s="499"/>
      <c r="WGV83" s="499"/>
      <c r="WGW83" s="499"/>
      <c r="WGX83" s="499"/>
      <c r="WGY83" s="499"/>
      <c r="WGZ83" s="499"/>
      <c r="WHA83" s="499"/>
      <c r="WHB83" s="499"/>
      <c r="WHC83" s="499"/>
      <c r="WHD83" s="499"/>
      <c r="WHE83" s="499"/>
      <c r="WHF83" s="499"/>
      <c r="WHG83" s="499"/>
      <c r="WHH83" s="499"/>
      <c r="WHI83" s="499"/>
      <c r="WHJ83" s="499"/>
      <c r="WHK83" s="499"/>
      <c r="WHL83" s="499"/>
      <c r="WHM83" s="499"/>
      <c r="WHN83" s="499"/>
      <c r="WHO83" s="499"/>
      <c r="WHP83" s="499"/>
      <c r="WHQ83" s="499"/>
      <c r="WHR83" s="499"/>
      <c r="WHS83" s="499"/>
      <c r="WHT83" s="499"/>
      <c r="WHU83" s="499"/>
      <c r="WHV83" s="499"/>
      <c r="WHW83" s="499"/>
      <c r="WHX83" s="499"/>
      <c r="WHY83" s="499"/>
      <c r="WHZ83" s="499"/>
      <c r="WIA83" s="499"/>
      <c r="WIB83" s="499"/>
      <c r="WIC83" s="499"/>
      <c r="WID83" s="499"/>
      <c r="WIE83" s="499"/>
      <c r="WIF83" s="499"/>
      <c r="WIG83" s="499"/>
      <c r="WIH83" s="499"/>
      <c r="WII83" s="499"/>
      <c r="WIJ83" s="499"/>
      <c r="WIK83" s="499"/>
      <c r="WIL83" s="499"/>
      <c r="WIM83" s="499"/>
      <c r="WIN83" s="499"/>
      <c r="WIO83" s="499"/>
      <c r="WIP83" s="499"/>
      <c r="WIQ83" s="499"/>
      <c r="WIR83" s="499"/>
      <c r="WIS83" s="499"/>
      <c r="WIT83" s="499"/>
      <c r="WIU83" s="499"/>
      <c r="WIV83" s="499"/>
      <c r="WIW83" s="499"/>
      <c r="WIX83" s="499"/>
      <c r="WIY83" s="499"/>
      <c r="WIZ83" s="499"/>
      <c r="WJA83" s="499"/>
      <c r="WJB83" s="499"/>
      <c r="WJC83" s="499"/>
      <c r="WJD83" s="499"/>
      <c r="WJE83" s="499"/>
      <c r="WJF83" s="499"/>
      <c r="WJG83" s="499"/>
      <c r="WJH83" s="499"/>
      <c r="WJI83" s="499"/>
      <c r="WJJ83" s="499"/>
      <c r="WJK83" s="499"/>
      <c r="WJL83" s="499"/>
      <c r="WJM83" s="499"/>
      <c r="WJN83" s="499"/>
      <c r="WJO83" s="499"/>
      <c r="WJP83" s="499"/>
      <c r="WJQ83" s="499"/>
      <c r="WJR83" s="499"/>
      <c r="WJS83" s="499"/>
      <c r="WJT83" s="499"/>
      <c r="WJU83" s="499"/>
      <c r="WJV83" s="499"/>
      <c r="WJW83" s="499"/>
      <c r="WJX83" s="499"/>
      <c r="WJY83" s="499"/>
      <c r="WJZ83" s="499"/>
      <c r="WKA83" s="499"/>
      <c r="WKB83" s="499"/>
      <c r="WKC83" s="499"/>
      <c r="WKD83" s="499"/>
      <c r="WKE83" s="499"/>
      <c r="WKF83" s="499"/>
      <c r="WKG83" s="499"/>
      <c r="WKH83" s="499"/>
      <c r="WKI83" s="499"/>
      <c r="WKJ83" s="499"/>
      <c r="WKK83" s="499"/>
      <c r="WKL83" s="499"/>
      <c r="WKM83" s="499"/>
      <c r="WKN83" s="499"/>
      <c r="WKO83" s="499"/>
      <c r="WKP83" s="499"/>
      <c r="WKQ83" s="499"/>
      <c r="WKR83" s="499"/>
      <c r="WKS83" s="499"/>
      <c r="WKT83" s="499"/>
      <c r="WKU83" s="499"/>
      <c r="WKV83" s="499"/>
      <c r="WKW83" s="499"/>
      <c r="WKX83" s="499"/>
      <c r="WKY83" s="499"/>
      <c r="WKZ83" s="499"/>
      <c r="WLA83" s="499"/>
      <c r="WLB83" s="499"/>
      <c r="WLC83" s="499"/>
      <c r="WLD83" s="499"/>
      <c r="WLE83" s="499"/>
      <c r="WLF83" s="499"/>
      <c r="WLG83" s="499"/>
      <c r="WLH83" s="499"/>
      <c r="WLI83" s="499"/>
      <c r="WLJ83" s="499"/>
      <c r="WLK83" s="499"/>
      <c r="WLL83" s="499"/>
      <c r="WLM83" s="499"/>
      <c r="WLN83" s="499"/>
      <c r="WLO83" s="499"/>
      <c r="WLP83" s="499"/>
      <c r="WLQ83" s="499"/>
      <c r="WLR83" s="499"/>
      <c r="WLS83" s="499"/>
      <c r="WLT83" s="499"/>
      <c r="WLU83" s="499"/>
      <c r="WLV83" s="499"/>
      <c r="WLW83" s="499"/>
      <c r="WLX83" s="499"/>
      <c r="WLY83" s="499"/>
      <c r="WLZ83" s="499"/>
      <c r="WMA83" s="499"/>
      <c r="WMB83" s="499"/>
      <c r="WMC83" s="499"/>
      <c r="WMD83" s="499"/>
      <c r="WME83" s="499"/>
      <c r="WMF83" s="499"/>
      <c r="WMG83" s="499"/>
      <c r="WMH83" s="499"/>
      <c r="WMI83" s="499"/>
      <c r="WMJ83" s="499"/>
      <c r="WMK83" s="499"/>
      <c r="WML83" s="499"/>
      <c r="WMM83" s="499"/>
      <c r="WMN83" s="499"/>
      <c r="WMO83" s="499"/>
      <c r="WMP83" s="499"/>
      <c r="WMQ83" s="499"/>
      <c r="WMR83" s="499"/>
      <c r="WMS83" s="499"/>
      <c r="WMT83" s="499"/>
      <c r="WMU83" s="499"/>
      <c r="WMV83" s="499"/>
      <c r="WMW83" s="499"/>
      <c r="WMX83" s="499"/>
      <c r="WMY83" s="499"/>
      <c r="WMZ83" s="499"/>
      <c r="WNA83" s="499"/>
      <c r="WNB83" s="499"/>
      <c r="WNC83" s="499"/>
      <c r="WND83" s="499"/>
      <c r="WNE83" s="499"/>
      <c r="WNF83" s="499"/>
      <c r="WNG83" s="499"/>
      <c r="WNH83" s="499"/>
      <c r="WNI83" s="499"/>
      <c r="WNJ83" s="499"/>
      <c r="WNK83" s="499"/>
      <c r="WNL83" s="499"/>
      <c r="WNM83" s="499"/>
      <c r="WNN83" s="499"/>
      <c r="WNO83" s="499"/>
      <c r="WNP83" s="499"/>
      <c r="WNQ83" s="499"/>
      <c r="WNR83" s="499"/>
      <c r="WNS83" s="499"/>
      <c r="WNT83" s="499"/>
      <c r="WNU83" s="499"/>
      <c r="WNV83" s="499"/>
      <c r="WNW83" s="499"/>
      <c r="WNX83" s="499"/>
      <c r="WNY83" s="499"/>
      <c r="WNZ83" s="499"/>
      <c r="WOA83" s="499"/>
      <c r="WOB83" s="499"/>
      <c r="WOC83" s="499"/>
      <c r="WOD83" s="499"/>
      <c r="WOE83" s="499"/>
      <c r="WOF83" s="499"/>
      <c r="WOG83" s="499"/>
      <c r="WOH83" s="499"/>
      <c r="WOI83" s="499"/>
      <c r="WOJ83" s="499"/>
      <c r="WOK83" s="499"/>
      <c r="WOL83" s="499"/>
      <c r="WOM83" s="499"/>
      <c r="WON83" s="499"/>
      <c r="WOO83" s="499"/>
      <c r="WOP83" s="499"/>
      <c r="WOQ83" s="499"/>
      <c r="WOR83" s="499"/>
      <c r="WOS83" s="499"/>
      <c r="WOT83" s="499"/>
      <c r="WOU83" s="499"/>
      <c r="WOV83" s="499"/>
      <c r="WOW83" s="499"/>
      <c r="WOX83" s="499"/>
      <c r="WOY83" s="499"/>
      <c r="WOZ83" s="499"/>
      <c r="WPA83" s="499"/>
      <c r="WPB83" s="499"/>
      <c r="WPC83" s="499"/>
      <c r="WPD83" s="499"/>
      <c r="WPE83" s="499"/>
      <c r="WPF83" s="499"/>
      <c r="WPG83" s="499"/>
      <c r="WPH83" s="499"/>
      <c r="WPI83" s="499"/>
      <c r="WPJ83" s="499"/>
      <c r="WPK83" s="499"/>
      <c r="WPL83" s="499"/>
      <c r="WPM83" s="499"/>
      <c r="WPN83" s="499"/>
      <c r="WPO83" s="499"/>
      <c r="WPP83" s="499"/>
      <c r="WPQ83" s="499"/>
      <c r="WPR83" s="499"/>
      <c r="WPS83" s="499"/>
      <c r="WPT83" s="499"/>
      <c r="WPU83" s="499"/>
      <c r="WPV83" s="499"/>
      <c r="WPW83" s="499"/>
      <c r="WPX83" s="499"/>
      <c r="WPY83" s="499"/>
      <c r="WPZ83" s="499"/>
      <c r="WQA83" s="499"/>
      <c r="WQB83" s="499"/>
      <c r="WQC83" s="499"/>
      <c r="WQD83" s="499"/>
      <c r="WQE83" s="499"/>
      <c r="WQF83" s="499"/>
      <c r="WQG83" s="499"/>
      <c r="WQH83" s="499"/>
      <c r="WQI83" s="499"/>
      <c r="WQJ83" s="499"/>
      <c r="WQK83" s="499"/>
      <c r="WQL83" s="499"/>
      <c r="WQM83" s="499"/>
      <c r="WQN83" s="499"/>
      <c r="WQO83" s="499"/>
      <c r="WQP83" s="499"/>
      <c r="WQQ83" s="499"/>
      <c r="WQR83" s="499"/>
      <c r="WQS83" s="499"/>
      <c r="WQT83" s="499"/>
      <c r="WQU83" s="499"/>
      <c r="WQV83" s="499"/>
      <c r="WQW83" s="499"/>
      <c r="WQX83" s="499"/>
      <c r="WQY83" s="499"/>
      <c r="WQZ83" s="499"/>
      <c r="WRA83" s="499"/>
      <c r="WRB83" s="499"/>
      <c r="WRC83" s="499"/>
      <c r="WRD83" s="499"/>
      <c r="WRE83" s="499"/>
      <c r="WRF83" s="499"/>
      <c r="WRG83" s="499"/>
      <c r="WRH83" s="499"/>
      <c r="WRI83" s="499"/>
      <c r="WRJ83" s="499"/>
      <c r="WRK83" s="499"/>
      <c r="WRL83" s="499"/>
      <c r="WRM83" s="499"/>
      <c r="WRN83" s="499"/>
      <c r="WRO83" s="499"/>
      <c r="WRP83" s="499"/>
      <c r="WRQ83" s="499"/>
      <c r="WRR83" s="499"/>
      <c r="WRS83" s="499"/>
      <c r="WRT83" s="499"/>
      <c r="WRU83" s="499"/>
      <c r="WRV83" s="499"/>
      <c r="WRW83" s="499"/>
      <c r="WRX83" s="499"/>
      <c r="WRY83" s="499"/>
      <c r="WRZ83" s="499"/>
      <c r="WSA83" s="499"/>
      <c r="WSB83" s="499"/>
      <c r="WSC83" s="499"/>
      <c r="WSD83" s="499"/>
      <c r="WSE83" s="499"/>
      <c r="WSF83" s="499"/>
      <c r="WSG83" s="499"/>
      <c r="WSH83" s="499"/>
      <c r="WSI83" s="499"/>
      <c r="WSJ83" s="499"/>
      <c r="WSK83" s="499"/>
      <c r="WSL83" s="499"/>
      <c r="WSM83" s="499"/>
      <c r="WSN83" s="499"/>
      <c r="WSO83" s="499"/>
      <c r="WSP83" s="499"/>
      <c r="WSQ83" s="499"/>
      <c r="WSR83" s="499"/>
      <c r="WSS83" s="499"/>
      <c r="WST83" s="499"/>
      <c r="WSU83" s="499"/>
      <c r="WSV83" s="499"/>
      <c r="WSW83" s="499"/>
      <c r="WSX83" s="499"/>
      <c r="WSY83" s="499"/>
      <c r="WSZ83" s="499"/>
      <c r="WTA83" s="499"/>
      <c r="WTB83" s="499"/>
      <c r="WTC83" s="499"/>
      <c r="WTD83" s="499"/>
      <c r="WTE83" s="499"/>
      <c r="WTF83" s="499"/>
      <c r="WTG83" s="499"/>
      <c r="WTH83" s="499"/>
      <c r="WTI83" s="499"/>
      <c r="WTJ83" s="499"/>
      <c r="WTK83" s="499"/>
      <c r="WTL83" s="499"/>
      <c r="WTM83" s="499"/>
      <c r="WTN83" s="499"/>
      <c r="WTO83" s="499"/>
      <c r="WTP83" s="499"/>
      <c r="WTQ83" s="499"/>
      <c r="WTR83" s="499"/>
      <c r="WTS83" s="499"/>
      <c r="WTT83" s="499"/>
      <c r="WTU83" s="499"/>
      <c r="WTV83" s="499"/>
      <c r="WTW83" s="499"/>
      <c r="WTX83" s="499"/>
      <c r="WTY83" s="499"/>
      <c r="WTZ83" s="499"/>
      <c r="WUA83" s="499"/>
      <c r="WUB83" s="499"/>
      <c r="WUC83" s="499"/>
      <c r="WUD83" s="499"/>
      <c r="WUE83" s="499"/>
      <c r="WUF83" s="499"/>
      <c r="WUG83" s="499"/>
      <c r="WUH83" s="499"/>
      <c r="WUI83" s="499"/>
      <c r="WUJ83" s="499"/>
      <c r="WUK83" s="499"/>
      <c r="WUL83" s="499"/>
      <c r="WUM83" s="499"/>
      <c r="WUN83" s="499"/>
      <c r="WUO83" s="499"/>
      <c r="WUP83" s="499"/>
      <c r="WUQ83" s="499"/>
      <c r="WUR83" s="499"/>
      <c r="WUS83" s="499"/>
      <c r="WUT83" s="499"/>
      <c r="WUU83" s="499"/>
      <c r="WUV83" s="499"/>
      <c r="WUW83" s="499"/>
      <c r="WUX83" s="499"/>
      <c r="WUY83" s="499"/>
      <c r="WUZ83" s="499"/>
      <c r="WVA83" s="499"/>
      <c r="WVB83" s="499"/>
      <c r="WVC83" s="499"/>
      <c r="WVD83" s="499"/>
      <c r="WVE83" s="499"/>
      <c r="WVF83" s="499"/>
      <c r="WVG83" s="499"/>
      <c r="WVH83" s="499"/>
      <c r="WVI83" s="499"/>
      <c r="WVJ83" s="499"/>
      <c r="WVK83" s="499"/>
      <c r="WVL83" s="499"/>
      <c r="WVM83" s="499"/>
      <c r="WVN83" s="499"/>
      <c r="WVO83" s="499"/>
      <c r="WVP83" s="499"/>
      <c r="WVQ83" s="499"/>
      <c r="WVR83" s="499"/>
      <c r="WVS83" s="499"/>
      <c r="WVT83" s="499"/>
      <c r="WVU83" s="499"/>
      <c r="WVV83" s="499"/>
      <c r="WVW83" s="499"/>
      <c r="WVX83" s="499"/>
      <c r="WVY83" s="499"/>
      <c r="WVZ83" s="499"/>
      <c r="WWA83" s="499"/>
      <c r="WWB83" s="499"/>
      <c r="WWC83" s="499"/>
      <c r="WWD83" s="499"/>
      <c r="WWE83" s="499"/>
      <c r="WWF83" s="499"/>
      <c r="WWG83" s="499"/>
      <c r="WWH83" s="499"/>
      <c r="WWI83" s="499"/>
      <c r="WWJ83" s="499"/>
      <c r="WWK83" s="499"/>
      <c r="WWL83" s="499"/>
      <c r="WWM83" s="499"/>
      <c r="WWN83" s="499"/>
      <c r="WWO83" s="499"/>
      <c r="WWP83" s="499"/>
      <c r="WWQ83" s="499"/>
      <c r="WWR83" s="499"/>
      <c r="WWS83" s="499"/>
      <c r="WWT83" s="499"/>
      <c r="WWU83" s="499"/>
      <c r="WWV83" s="499"/>
      <c r="WWW83" s="499"/>
      <c r="WWX83" s="499"/>
      <c r="WWY83" s="499"/>
      <c r="WWZ83" s="499"/>
      <c r="WXA83" s="499"/>
      <c r="WXB83" s="499"/>
      <c r="WXC83" s="499"/>
      <c r="WXD83" s="499"/>
      <c r="WXE83" s="499"/>
      <c r="WXF83" s="499"/>
      <c r="WXG83" s="499"/>
      <c r="WXH83" s="499"/>
      <c r="WXI83" s="499"/>
      <c r="WXJ83" s="499"/>
      <c r="WXK83" s="499"/>
      <c r="WXL83" s="499"/>
      <c r="WXM83" s="499"/>
      <c r="WXN83" s="499"/>
      <c r="WXO83" s="499"/>
      <c r="WXP83" s="499"/>
      <c r="WXQ83" s="499"/>
      <c r="WXR83" s="499"/>
      <c r="WXS83" s="499"/>
      <c r="WXT83" s="499"/>
      <c r="WXU83" s="499"/>
      <c r="WXV83" s="499"/>
      <c r="WXW83" s="499"/>
      <c r="WXX83" s="499"/>
      <c r="WXY83" s="499"/>
      <c r="WXZ83" s="499"/>
      <c r="WYA83" s="499"/>
      <c r="WYB83" s="499"/>
      <c r="WYC83" s="499"/>
      <c r="WYD83" s="499"/>
      <c r="WYE83" s="499"/>
      <c r="WYF83" s="499"/>
      <c r="WYG83" s="499"/>
      <c r="WYH83" s="499"/>
      <c r="WYI83" s="499"/>
      <c r="WYJ83" s="499"/>
      <c r="WYK83" s="499"/>
      <c r="WYL83" s="499"/>
      <c r="WYM83" s="499"/>
      <c r="WYN83" s="499"/>
      <c r="WYO83" s="499"/>
      <c r="WYP83" s="499"/>
      <c r="WYQ83" s="499"/>
      <c r="WYR83" s="499"/>
      <c r="WYS83" s="499"/>
      <c r="WYT83" s="499"/>
      <c r="WYU83" s="499"/>
      <c r="WYV83" s="499"/>
      <c r="WYW83" s="499"/>
      <c r="WYX83" s="499"/>
      <c r="WYY83" s="499"/>
      <c r="WYZ83" s="499"/>
      <c r="WZA83" s="499"/>
      <c r="WZB83" s="499"/>
      <c r="WZC83" s="499"/>
      <c r="WZD83" s="499"/>
      <c r="WZE83" s="499"/>
      <c r="WZF83" s="499"/>
      <c r="WZG83" s="499"/>
      <c r="WZH83" s="499"/>
      <c r="WZI83" s="499"/>
      <c r="WZJ83" s="499"/>
      <c r="WZK83" s="499"/>
      <c r="WZL83" s="499"/>
      <c r="WZM83" s="499"/>
      <c r="WZN83" s="499"/>
      <c r="WZO83" s="499"/>
      <c r="WZP83" s="499"/>
      <c r="WZQ83" s="499"/>
      <c r="WZR83" s="499"/>
      <c r="WZS83" s="499"/>
      <c r="WZT83" s="499"/>
      <c r="WZU83" s="499"/>
      <c r="WZV83" s="499"/>
      <c r="WZW83" s="499"/>
      <c r="WZX83" s="499"/>
      <c r="WZY83" s="499"/>
      <c r="WZZ83" s="499"/>
      <c r="XAA83" s="499"/>
      <c r="XAB83" s="499"/>
      <c r="XAC83" s="499"/>
      <c r="XAD83" s="499"/>
      <c r="XAE83" s="499"/>
      <c r="XAF83" s="499"/>
      <c r="XAG83" s="499"/>
      <c r="XAH83" s="499"/>
      <c r="XAI83" s="499"/>
      <c r="XAJ83" s="499"/>
      <c r="XAK83" s="499"/>
      <c r="XAL83" s="499"/>
      <c r="XAM83" s="499"/>
      <c r="XAN83" s="499"/>
      <c r="XAO83" s="499"/>
      <c r="XAP83" s="499"/>
      <c r="XAQ83" s="499"/>
      <c r="XAR83" s="499"/>
      <c r="XAS83" s="499"/>
      <c r="XAT83" s="499"/>
      <c r="XAU83" s="499"/>
      <c r="XAV83" s="499"/>
      <c r="XAW83" s="499"/>
      <c r="XAX83" s="499"/>
      <c r="XAY83" s="499"/>
      <c r="XAZ83" s="499"/>
      <c r="XBA83" s="499"/>
      <c r="XBB83" s="499"/>
      <c r="XBC83" s="499"/>
      <c r="XBD83" s="499"/>
      <c r="XBE83" s="499"/>
      <c r="XBF83" s="499"/>
      <c r="XBG83" s="499"/>
      <c r="XBH83" s="499"/>
      <c r="XBI83" s="499"/>
      <c r="XBJ83" s="499"/>
      <c r="XBK83" s="499"/>
      <c r="XBL83" s="499"/>
      <c r="XBM83" s="499"/>
      <c r="XBN83" s="499"/>
      <c r="XBO83" s="499"/>
      <c r="XBP83" s="499"/>
      <c r="XBQ83" s="499"/>
      <c r="XBR83" s="499"/>
      <c r="XBS83" s="499"/>
      <c r="XBT83" s="499"/>
      <c r="XBU83" s="499"/>
      <c r="XBV83" s="499"/>
      <c r="XBW83" s="499"/>
      <c r="XBX83" s="499"/>
      <c r="XBY83" s="499"/>
      <c r="XBZ83" s="499"/>
      <c r="XCA83" s="499"/>
      <c r="XCB83" s="499"/>
      <c r="XCC83" s="499"/>
      <c r="XCD83" s="499"/>
      <c r="XCE83" s="499"/>
      <c r="XCF83" s="499"/>
      <c r="XCG83" s="499"/>
      <c r="XCH83" s="499"/>
      <c r="XCI83" s="499"/>
      <c r="XCJ83" s="499"/>
      <c r="XCK83" s="499"/>
      <c r="XCL83" s="499"/>
      <c r="XCM83" s="499"/>
      <c r="XCN83" s="499"/>
      <c r="XCO83" s="499"/>
      <c r="XCP83" s="499"/>
      <c r="XCQ83" s="499"/>
      <c r="XCR83" s="499"/>
      <c r="XCS83" s="499"/>
      <c r="XCT83" s="499"/>
      <c r="XCU83" s="499"/>
      <c r="XCV83" s="499"/>
      <c r="XCW83" s="499"/>
      <c r="XCX83" s="499"/>
      <c r="XCY83" s="499"/>
      <c r="XCZ83" s="499"/>
      <c r="XDA83" s="499"/>
      <c r="XDB83" s="499"/>
      <c r="XDC83" s="499"/>
      <c r="XDD83" s="499"/>
      <c r="XDE83" s="499"/>
      <c r="XDF83" s="499"/>
      <c r="XDG83" s="499"/>
      <c r="XDH83" s="499"/>
      <c r="XDI83" s="499"/>
      <c r="XDJ83" s="499"/>
      <c r="XDK83" s="499"/>
      <c r="XDL83" s="499"/>
      <c r="XDM83" s="499"/>
      <c r="XDN83" s="499"/>
      <c r="XDO83" s="499"/>
      <c r="XDP83" s="499"/>
      <c r="XDQ83" s="499"/>
      <c r="XDR83" s="499"/>
      <c r="XDS83" s="499"/>
      <c r="XDT83" s="499"/>
      <c r="XDU83" s="499"/>
      <c r="XDV83" s="499"/>
      <c r="XDW83" s="499"/>
      <c r="XDX83" s="499"/>
      <c r="XDY83" s="499"/>
      <c r="XDZ83" s="499"/>
      <c r="XEA83" s="499"/>
      <c r="XEB83" s="499"/>
      <c r="XEC83" s="499"/>
      <c r="XED83" s="499"/>
      <c r="XEE83" s="499"/>
      <c r="XEF83" s="499"/>
      <c r="XEG83" s="499"/>
      <c r="XEH83" s="499"/>
      <c r="XEI83" s="499"/>
      <c r="XEJ83" s="499"/>
      <c r="XEK83" s="499"/>
      <c r="XEL83" s="499"/>
      <c r="XEM83" s="499"/>
      <c r="XEN83" s="499"/>
      <c r="XEO83" s="499"/>
      <c r="XEP83" s="499"/>
    </row>
    <row r="84" spans="1:16370" s="144" customFormat="1">
      <c r="A84" s="46"/>
      <c r="B84" s="181"/>
      <c r="C84" s="267"/>
      <c r="D84" s="77"/>
      <c r="E84" s="48"/>
      <c r="F84" s="103"/>
      <c r="G84" s="48"/>
      <c r="H84" s="106"/>
      <c r="I84" s="103"/>
      <c r="J84" s="103"/>
      <c r="K84" s="103"/>
      <c r="L84" s="84"/>
      <c r="M84" s="60"/>
      <c r="N84" s="84"/>
      <c r="O84" s="84"/>
      <c r="P84" s="514"/>
      <c r="Q84" s="276">
        <f>1</f>
        <v>1</v>
      </c>
      <c r="R84" s="138"/>
      <c r="T84" s="146"/>
      <c r="U84" s="145"/>
      <c r="X84" s="275"/>
      <c r="Y84" s="275" t="str">
        <f t="shared" si="14"/>
        <v/>
      </c>
      <c r="Z84" s="138" t="str">
        <f t="shared" si="15"/>
        <v/>
      </c>
    </row>
    <row r="85" spans="1:16370" s="144" customFormat="1" ht="204" customHeight="1">
      <c r="A85" s="46" t="e">
        <f>#REF!+1</f>
        <v>#REF!</v>
      </c>
      <c r="B85" s="183" t="s">
        <v>356</v>
      </c>
      <c r="C85" s="143" t="s">
        <v>356</v>
      </c>
      <c r="D85" s="163" t="s">
        <v>357</v>
      </c>
      <c r="E85" s="149">
        <f>LEN(D85)</f>
        <v>290</v>
      </c>
      <c r="F85" s="163" t="s">
        <v>358</v>
      </c>
      <c r="G85" s="149">
        <f>LEN(F89)</f>
        <v>132</v>
      </c>
      <c r="H85" s="158" t="s">
        <v>37</v>
      </c>
      <c r="I85" s="149" t="s">
        <v>24</v>
      </c>
      <c r="J85" s="149" t="s">
        <v>24</v>
      </c>
      <c r="K85" s="149" t="s">
        <v>38</v>
      </c>
      <c r="L85" s="173" t="s">
        <v>359</v>
      </c>
      <c r="M85" s="219" t="s">
        <v>24</v>
      </c>
      <c r="N85" s="173" t="s">
        <v>360</v>
      </c>
      <c r="O85" s="60"/>
      <c r="P85" s="10"/>
      <c r="Q85" s="271">
        <f>1</f>
        <v>1</v>
      </c>
      <c r="R85" s="138"/>
      <c r="T85" s="437" t="s">
        <v>33</v>
      </c>
      <c r="U85" s="145"/>
      <c r="X85" s="274">
        <v>17.26140213012695</v>
      </c>
      <c r="Y85" s="274">
        <f t="shared" si="14"/>
        <v>17.26140213012695</v>
      </c>
      <c r="Z85" s="138">
        <f t="shared" si="15"/>
        <v>17.26140213012695</v>
      </c>
    </row>
    <row r="86" spans="1:16370" s="144" customFormat="1">
      <c r="A86" s="46"/>
      <c r="B86" s="181"/>
      <c r="C86" s="97"/>
      <c r="D86" s="179"/>
      <c r="E86" s="48"/>
      <c r="F86" s="48"/>
      <c r="G86" s="48"/>
      <c r="H86" s="98"/>
      <c r="I86" s="48"/>
      <c r="J86" s="48"/>
      <c r="K86" s="48"/>
      <c r="L86" s="88"/>
      <c r="M86" s="60"/>
      <c r="N86" s="88"/>
      <c r="O86" s="88"/>
      <c r="P86" s="10"/>
      <c r="Q86" s="276">
        <f>1</f>
        <v>1</v>
      </c>
      <c r="R86" s="138"/>
      <c r="T86" s="146"/>
      <c r="U86" s="145"/>
      <c r="X86" s="275"/>
      <c r="Y86" s="275" t="str">
        <f t="shared" si="14"/>
        <v/>
      </c>
      <c r="Z86" s="138" t="str">
        <f t="shared" si="15"/>
        <v/>
      </c>
    </row>
    <row r="87" spans="1:16370" s="144" customFormat="1" ht="409.5" customHeight="1">
      <c r="A87" s="46" t="e">
        <f>A85+1</f>
        <v>#REF!</v>
      </c>
      <c r="B87" s="183" t="s">
        <v>361</v>
      </c>
      <c r="C87" s="143" t="s">
        <v>361</v>
      </c>
      <c r="D87" s="163" t="s">
        <v>362</v>
      </c>
      <c r="E87" s="149">
        <f>LEN(D87)</f>
        <v>1217</v>
      </c>
      <c r="F87" s="163" t="s">
        <v>363</v>
      </c>
      <c r="G87" s="149">
        <f>LEN(F93)</f>
        <v>230</v>
      </c>
      <c r="H87" s="158" t="s">
        <v>37</v>
      </c>
      <c r="I87" s="149" t="s">
        <v>24</v>
      </c>
      <c r="J87" s="149" t="s">
        <v>24</v>
      </c>
      <c r="K87" s="149" t="s">
        <v>364</v>
      </c>
      <c r="L87" s="140" t="s">
        <v>365</v>
      </c>
      <c r="M87" s="219" t="s">
        <v>24</v>
      </c>
      <c r="N87" s="147" t="s">
        <v>366</v>
      </c>
      <c r="O87" s="52" t="s">
        <v>367</v>
      </c>
      <c r="P87" s="10"/>
      <c r="Q87" s="271">
        <f>1</f>
        <v>1</v>
      </c>
      <c r="R87" s="138"/>
      <c r="T87" s="437" t="s">
        <v>33</v>
      </c>
      <c r="U87" s="145"/>
      <c r="X87" s="274">
        <v>14.47539234161377</v>
      </c>
      <c r="Y87" s="274">
        <f t="shared" si="14"/>
        <v>14.47539234161377</v>
      </c>
      <c r="Z87" s="138">
        <f t="shared" si="15"/>
        <v>14.47539234161377</v>
      </c>
    </row>
    <row r="88" spans="1:16370" s="232" customFormat="1" ht="182" customHeight="1">
      <c r="A88" s="343"/>
      <c r="B88" s="234" t="s">
        <v>368</v>
      </c>
      <c r="C88" s="245" t="s">
        <v>368</v>
      </c>
      <c r="D88" s="148" t="s">
        <v>288</v>
      </c>
      <c r="E88" s="141">
        <f>LEN(D88)</f>
        <v>143</v>
      </c>
      <c r="F88" s="419" t="s">
        <v>289</v>
      </c>
      <c r="G88" s="141">
        <f>LEN(F94)</f>
        <v>170</v>
      </c>
      <c r="H88" s="143" t="s">
        <v>37</v>
      </c>
      <c r="I88" s="141" t="s">
        <v>24</v>
      </c>
      <c r="J88" s="141" t="s">
        <v>24</v>
      </c>
      <c r="K88" s="141" t="s">
        <v>38</v>
      </c>
      <c r="L88" s="140" t="s">
        <v>369</v>
      </c>
      <c r="M88" s="219" t="s">
        <v>24</v>
      </c>
      <c r="N88" s="147" t="s">
        <v>370</v>
      </c>
      <c r="O88" s="52" t="s">
        <v>371</v>
      </c>
      <c r="P88" s="51"/>
      <c r="Q88" s="392">
        <f>1</f>
        <v>1</v>
      </c>
      <c r="R88" s="139"/>
      <c r="T88" s="441" t="s">
        <v>33</v>
      </c>
      <c r="U88" s="226"/>
      <c r="X88" s="278">
        <v>8</v>
      </c>
      <c r="Y88" s="278">
        <f t="shared" si="14"/>
        <v>8</v>
      </c>
      <c r="Z88" s="139">
        <f t="shared" si="15"/>
        <v>8</v>
      </c>
    </row>
    <row r="89" spans="1:16370" s="232" customFormat="1" ht="182" customHeight="1">
      <c r="A89" s="343"/>
      <c r="B89" s="234" t="s">
        <v>372</v>
      </c>
      <c r="C89" s="245" t="s">
        <v>372</v>
      </c>
      <c r="D89" s="148" t="s">
        <v>294</v>
      </c>
      <c r="E89" s="141">
        <f>LEN(D89)</f>
        <v>170</v>
      </c>
      <c r="F89" s="419" t="s">
        <v>295</v>
      </c>
      <c r="G89" s="141">
        <f>LEN(F95)</f>
        <v>166</v>
      </c>
      <c r="H89" s="143" t="s">
        <v>37</v>
      </c>
      <c r="I89" s="141" t="s">
        <v>24</v>
      </c>
      <c r="J89" s="141" t="s">
        <v>24</v>
      </c>
      <c r="K89" s="141" t="s">
        <v>38</v>
      </c>
      <c r="L89" s="140" t="s">
        <v>369</v>
      </c>
      <c r="M89" s="219" t="s">
        <v>24</v>
      </c>
      <c r="N89" s="147" t="s">
        <v>373</v>
      </c>
      <c r="O89" s="52" t="s">
        <v>371</v>
      </c>
      <c r="P89" s="51"/>
      <c r="Q89" s="392">
        <f>1</f>
        <v>1</v>
      </c>
      <c r="R89" s="139"/>
      <c r="T89" s="441" t="s">
        <v>33</v>
      </c>
      <c r="U89" s="226"/>
      <c r="X89" s="278">
        <v>8</v>
      </c>
      <c r="Y89" s="278">
        <f t="shared" si="14"/>
        <v>8</v>
      </c>
      <c r="Z89" s="139">
        <f t="shared" si="15"/>
        <v>8</v>
      </c>
    </row>
    <row r="90" spans="1:16370" s="144" customFormat="1" ht="182" customHeight="1">
      <c r="A90" s="343"/>
      <c r="B90" s="234" t="s">
        <v>374</v>
      </c>
      <c r="C90" s="245" t="s">
        <v>374</v>
      </c>
      <c r="D90" s="148" t="s">
        <v>298</v>
      </c>
      <c r="E90" s="141">
        <f>LEN(D90)</f>
        <v>176</v>
      </c>
      <c r="F90" s="419" t="s">
        <v>299</v>
      </c>
      <c r="G90" s="141">
        <f>LEN(F96)</f>
        <v>0</v>
      </c>
      <c r="H90" s="143" t="s">
        <v>37</v>
      </c>
      <c r="I90" s="141" t="s">
        <v>24</v>
      </c>
      <c r="J90" s="141" t="s">
        <v>24</v>
      </c>
      <c r="K90" s="141" t="s">
        <v>38</v>
      </c>
      <c r="L90" s="140" t="s">
        <v>369</v>
      </c>
      <c r="M90" s="219" t="s">
        <v>24</v>
      </c>
      <c r="N90" s="147" t="s">
        <v>375</v>
      </c>
      <c r="O90" s="52" t="s">
        <v>371</v>
      </c>
      <c r="P90" s="51"/>
      <c r="Q90" s="271">
        <f>1</f>
        <v>1</v>
      </c>
      <c r="R90" s="138"/>
      <c r="T90" s="437" t="s">
        <v>33</v>
      </c>
      <c r="U90" s="145"/>
      <c r="X90" s="274">
        <v>8</v>
      </c>
      <c r="Y90" s="274">
        <f t="shared" si="14"/>
        <v>8</v>
      </c>
      <c r="Z90" s="138">
        <f t="shared" si="15"/>
        <v>8</v>
      </c>
    </row>
    <row r="91" spans="1:16370" s="144" customFormat="1">
      <c r="A91" s="96"/>
      <c r="B91" s="262"/>
      <c r="C91" s="267"/>
      <c r="D91" s="268"/>
      <c r="E91" s="103"/>
      <c r="G91" s="103"/>
      <c r="H91" s="97"/>
      <c r="I91" s="103"/>
      <c r="J91" s="103"/>
      <c r="K91" s="103"/>
      <c r="L91" s="84"/>
      <c r="M91" s="60"/>
      <c r="N91" s="172"/>
      <c r="O91" s="172"/>
      <c r="P91" s="51"/>
      <c r="Q91" s="276">
        <f>1</f>
        <v>1</v>
      </c>
      <c r="R91" s="138"/>
      <c r="T91" s="146"/>
      <c r="U91" s="145"/>
      <c r="X91" s="275"/>
      <c r="Y91" s="275" t="str">
        <f t="shared" si="14"/>
        <v/>
      </c>
      <c r="Z91" s="138" t="str">
        <f t="shared" si="15"/>
        <v/>
      </c>
    </row>
    <row r="92" spans="1:16370" s="144" customFormat="1" ht="136" hidden="1" customHeight="1">
      <c r="A92" s="14" t="e">
        <f>A87+1</f>
        <v>#REF!</v>
      </c>
      <c r="B92" s="235" t="s">
        <v>376</v>
      </c>
      <c r="C92" s="17" t="s">
        <v>376</v>
      </c>
      <c r="D92" s="22" t="s">
        <v>377</v>
      </c>
      <c r="E92" s="20">
        <f>LEN(D92)</f>
        <v>247</v>
      </c>
      <c r="F92" s="479" t="s">
        <v>378</v>
      </c>
      <c r="G92" s="20">
        <f>LEN(F98)</f>
        <v>0</v>
      </c>
      <c r="H92" s="36" t="s">
        <v>128</v>
      </c>
      <c r="I92" s="20" t="s">
        <v>24</v>
      </c>
      <c r="J92" s="20" t="s">
        <v>24</v>
      </c>
      <c r="K92" s="20" t="s">
        <v>27</v>
      </c>
      <c r="L92" s="379" t="s">
        <v>379</v>
      </c>
      <c r="M92" s="78" t="s">
        <v>24</v>
      </c>
      <c r="N92" s="380" t="s">
        <v>380</v>
      </c>
      <c r="O92" s="32"/>
      <c r="P92" s="669" t="s">
        <v>306</v>
      </c>
      <c r="Q92" s="276">
        <f>1</f>
        <v>1</v>
      </c>
      <c r="R92" s="138"/>
      <c r="T92" s="146" t="s">
        <v>23</v>
      </c>
      <c r="U92" s="145"/>
      <c r="X92" s="275">
        <v>24.40109825134277</v>
      </c>
      <c r="Y92" s="275">
        <f t="shared" si="14"/>
        <v>24.40109825134277</v>
      </c>
      <c r="Z92" s="138" t="str">
        <f t="shared" si="15"/>
        <v/>
      </c>
    </row>
    <row r="93" spans="1:16370" s="144" customFormat="1" ht="119" hidden="1" customHeight="1">
      <c r="A93" s="14" t="e">
        <f>A92+1</f>
        <v>#REF!</v>
      </c>
      <c r="B93" s="235" t="s">
        <v>381</v>
      </c>
      <c r="C93" s="244" t="s">
        <v>381</v>
      </c>
      <c r="D93" s="22" t="s">
        <v>308</v>
      </c>
      <c r="E93" s="20">
        <f>LEN(D93)</f>
        <v>256</v>
      </c>
      <c r="F93" s="479" t="s">
        <v>309</v>
      </c>
      <c r="G93" s="20">
        <f>LEN(F101)</f>
        <v>1347</v>
      </c>
      <c r="H93" s="33" t="s">
        <v>37</v>
      </c>
      <c r="I93" s="16" t="s">
        <v>24</v>
      </c>
      <c r="J93" s="16" t="s">
        <v>24</v>
      </c>
      <c r="K93" s="16" t="s">
        <v>38</v>
      </c>
      <c r="L93" s="34" t="s">
        <v>382</v>
      </c>
      <c r="M93" s="78" t="s">
        <v>24</v>
      </c>
      <c r="N93" s="34" t="s">
        <v>383</v>
      </c>
      <c r="O93" s="34"/>
      <c r="P93" s="668"/>
      <c r="Q93" s="276">
        <f>1</f>
        <v>1</v>
      </c>
      <c r="R93" s="138"/>
      <c r="T93" s="146" t="s">
        <v>23</v>
      </c>
      <c r="U93" s="145"/>
      <c r="X93" s="275">
        <v>2.4700000000000002</v>
      </c>
      <c r="Y93" s="275">
        <f t="shared" si="14"/>
        <v>2.4700000000000002</v>
      </c>
      <c r="Z93" s="138" t="str">
        <f t="shared" si="15"/>
        <v/>
      </c>
    </row>
    <row r="94" spans="1:16370" s="144" customFormat="1" ht="170" customHeight="1">
      <c r="A94" s="58">
        <v>18</v>
      </c>
      <c r="B94" s="376" t="s">
        <v>384</v>
      </c>
      <c r="C94" s="377" t="s">
        <v>384</v>
      </c>
      <c r="D94" s="57" t="s">
        <v>313</v>
      </c>
      <c r="E94" s="16">
        <f>LEN(D94)</f>
        <v>181</v>
      </c>
      <c r="F94" s="479" t="s">
        <v>314</v>
      </c>
      <c r="G94" s="16">
        <f>LEN(F102)</f>
        <v>265</v>
      </c>
      <c r="H94" s="17" t="s">
        <v>37</v>
      </c>
      <c r="I94" s="16" t="s">
        <v>24</v>
      </c>
      <c r="J94" s="16" t="s">
        <v>24</v>
      </c>
      <c r="K94" s="16" t="s">
        <v>38</v>
      </c>
      <c r="L94" s="34" t="s">
        <v>385</v>
      </c>
      <c r="M94" s="78" t="s">
        <v>24</v>
      </c>
      <c r="N94" s="362" t="s">
        <v>386</v>
      </c>
      <c r="O94" s="362"/>
      <c r="P94" s="51"/>
      <c r="Q94" s="276">
        <f>1</f>
        <v>1</v>
      </c>
      <c r="R94" s="138"/>
      <c r="T94" s="146" t="s">
        <v>23</v>
      </c>
      <c r="U94" s="145"/>
      <c r="X94" s="275">
        <v>4.7874016761779794</v>
      </c>
      <c r="Y94" s="275">
        <f t="shared" si="14"/>
        <v>4.7874016761779794</v>
      </c>
      <c r="Z94" s="138" t="str">
        <f t="shared" si="15"/>
        <v/>
      </c>
    </row>
    <row r="95" spans="1:16370" s="144" customFormat="1" ht="153" hidden="1" customHeight="1">
      <c r="A95" s="26"/>
      <c r="B95" s="235" t="s">
        <v>387</v>
      </c>
      <c r="C95" s="244" t="s">
        <v>387</v>
      </c>
      <c r="D95" s="37" t="s">
        <v>319</v>
      </c>
      <c r="E95" s="24">
        <f>LEN(D95)</f>
        <v>215</v>
      </c>
      <c r="F95" s="479" t="s">
        <v>320</v>
      </c>
      <c r="G95" s="24">
        <f>LEN(F103)</f>
        <v>634</v>
      </c>
      <c r="H95" s="36" t="s">
        <v>37</v>
      </c>
      <c r="I95" s="20" t="s">
        <v>24</v>
      </c>
      <c r="J95" s="20" t="s">
        <v>24</v>
      </c>
      <c r="K95" s="20" t="s">
        <v>38</v>
      </c>
      <c r="L95" s="31" t="s">
        <v>388</v>
      </c>
      <c r="M95" s="78" t="s">
        <v>24</v>
      </c>
      <c r="N95" s="375" t="s">
        <v>389</v>
      </c>
      <c r="O95" s="361"/>
      <c r="P95" s="10"/>
      <c r="Q95" s="276">
        <f>1</f>
        <v>1</v>
      </c>
      <c r="R95" s="138"/>
      <c r="S95" s="499"/>
      <c r="T95" s="146" t="s">
        <v>23</v>
      </c>
      <c r="U95" s="145"/>
      <c r="V95" s="499"/>
      <c r="W95" s="499"/>
      <c r="X95" s="275">
        <v>20.918367385864261</v>
      </c>
      <c r="Y95" s="275">
        <f t="shared" si="14"/>
        <v>20.918367385864261</v>
      </c>
      <c r="Z95" s="138" t="str">
        <f t="shared" si="15"/>
        <v/>
      </c>
      <c r="AA95" s="499"/>
      <c r="AB95" s="499"/>
      <c r="AC95" s="499"/>
      <c r="AD95" s="499"/>
      <c r="AE95" s="499"/>
      <c r="AF95" s="499"/>
      <c r="AG95" s="499"/>
      <c r="AH95" s="499"/>
      <c r="AI95" s="499"/>
      <c r="AJ95" s="499"/>
      <c r="AK95" s="499"/>
      <c r="AL95" s="499"/>
      <c r="AM95" s="499"/>
      <c r="AN95" s="499"/>
      <c r="AO95" s="499"/>
      <c r="AP95" s="499"/>
      <c r="AQ95" s="499"/>
      <c r="AR95" s="499"/>
      <c r="AS95" s="499"/>
      <c r="AT95" s="499"/>
      <c r="AU95" s="499"/>
      <c r="AV95" s="499"/>
      <c r="AW95" s="499"/>
      <c r="AX95" s="499"/>
      <c r="AY95" s="499"/>
      <c r="AZ95" s="499"/>
      <c r="BA95" s="499"/>
      <c r="BB95" s="499"/>
      <c r="BC95" s="499"/>
      <c r="BD95" s="499"/>
      <c r="BE95" s="499"/>
      <c r="BF95" s="499"/>
      <c r="BG95" s="499"/>
      <c r="BH95" s="499"/>
      <c r="BI95" s="499"/>
      <c r="BJ95" s="499"/>
      <c r="BK95" s="499"/>
      <c r="BL95" s="499"/>
      <c r="BM95" s="499"/>
      <c r="BN95" s="499"/>
      <c r="BO95" s="499"/>
      <c r="BP95" s="499"/>
      <c r="BQ95" s="499"/>
      <c r="BR95" s="499"/>
      <c r="BS95" s="499"/>
      <c r="BT95" s="499"/>
      <c r="BU95" s="499"/>
      <c r="BV95" s="499"/>
      <c r="BW95" s="499"/>
      <c r="BX95" s="499"/>
      <c r="BY95" s="499"/>
      <c r="BZ95" s="499"/>
      <c r="CA95" s="499"/>
      <c r="CB95" s="499"/>
      <c r="CC95" s="499"/>
      <c r="CD95" s="499"/>
      <c r="CE95" s="499"/>
      <c r="CF95" s="499"/>
      <c r="CG95" s="499"/>
      <c r="CH95" s="499"/>
      <c r="CI95" s="499"/>
      <c r="CJ95" s="499"/>
      <c r="CK95" s="499"/>
      <c r="CL95" s="499"/>
      <c r="CM95" s="499"/>
      <c r="CN95" s="499"/>
      <c r="CO95" s="499"/>
      <c r="CP95" s="499"/>
      <c r="CQ95" s="499"/>
      <c r="CR95" s="499"/>
      <c r="CS95" s="499"/>
      <c r="CT95" s="499"/>
      <c r="CU95" s="499"/>
      <c r="CV95" s="499"/>
      <c r="CW95" s="499"/>
      <c r="CX95" s="499"/>
      <c r="CY95" s="499"/>
      <c r="CZ95" s="499"/>
      <c r="DA95" s="499"/>
      <c r="DB95" s="499"/>
      <c r="DC95" s="499"/>
      <c r="DD95" s="499"/>
      <c r="DE95" s="499"/>
      <c r="DF95" s="499"/>
      <c r="DG95" s="499"/>
      <c r="DH95" s="499"/>
      <c r="DI95" s="499"/>
      <c r="DJ95" s="499"/>
      <c r="DK95" s="499"/>
      <c r="DL95" s="499"/>
      <c r="DM95" s="499"/>
      <c r="DN95" s="499"/>
      <c r="DO95" s="499"/>
      <c r="DP95" s="499"/>
      <c r="DQ95" s="499"/>
      <c r="DR95" s="499"/>
      <c r="DS95" s="499"/>
      <c r="DT95" s="499"/>
      <c r="DU95" s="499"/>
      <c r="DV95" s="499"/>
      <c r="DW95" s="499"/>
      <c r="DX95" s="499"/>
      <c r="DY95" s="499"/>
      <c r="DZ95" s="499"/>
      <c r="EA95" s="499"/>
      <c r="EB95" s="499"/>
      <c r="EC95" s="499"/>
      <c r="ED95" s="499"/>
      <c r="EE95" s="499"/>
      <c r="EF95" s="499"/>
      <c r="EG95" s="499"/>
      <c r="EH95" s="499"/>
      <c r="EI95" s="499"/>
      <c r="EJ95" s="499"/>
      <c r="EK95" s="499"/>
      <c r="EL95" s="499"/>
      <c r="EM95" s="499"/>
      <c r="EN95" s="499"/>
      <c r="EO95" s="499"/>
      <c r="EP95" s="499"/>
      <c r="EQ95" s="499"/>
      <c r="ER95" s="499"/>
      <c r="ES95" s="499"/>
      <c r="ET95" s="499"/>
      <c r="EU95" s="499"/>
      <c r="EV95" s="499"/>
      <c r="EW95" s="499"/>
      <c r="EX95" s="499"/>
      <c r="EY95" s="499"/>
      <c r="EZ95" s="499"/>
      <c r="FA95" s="499"/>
      <c r="FB95" s="499"/>
      <c r="FC95" s="499"/>
      <c r="FD95" s="499"/>
      <c r="FE95" s="499"/>
      <c r="FF95" s="499"/>
      <c r="FG95" s="499"/>
      <c r="FH95" s="499"/>
      <c r="FI95" s="499"/>
      <c r="FJ95" s="499"/>
      <c r="FK95" s="499"/>
      <c r="FL95" s="499"/>
      <c r="FM95" s="499"/>
      <c r="FN95" s="499"/>
      <c r="FO95" s="499"/>
      <c r="FP95" s="499"/>
      <c r="FQ95" s="499"/>
      <c r="FR95" s="499"/>
      <c r="FS95" s="499"/>
      <c r="FT95" s="499"/>
      <c r="FU95" s="499"/>
      <c r="FV95" s="499"/>
      <c r="FW95" s="499"/>
      <c r="FX95" s="499"/>
      <c r="FY95" s="499"/>
      <c r="FZ95" s="499"/>
      <c r="GA95" s="499"/>
      <c r="GB95" s="499"/>
      <c r="GC95" s="499"/>
      <c r="GD95" s="499"/>
      <c r="GE95" s="499"/>
      <c r="GF95" s="499"/>
      <c r="GG95" s="499"/>
      <c r="GH95" s="499"/>
      <c r="GI95" s="499"/>
      <c r="GJ95" s="499"/>
      <c r="GK95" s="499"/>
      <c r="GL95" s="499"/>
      <c r="GM95" s="499"/>
      <c r="GN95" s="499"/>
      <c r="GO95" s="499"/>
      <c r="GP95" s="499"/>
      <c r="GQ95" s="499"/>
      <c r="GR95" s="499"/>
      <c r="GS95" s="499"/>
      <c r="GT95" s="499"/>
      <c r="GU95" s="499"/>
      <c r="GV95" s="499"/>
      <c r="GW95" s="499"/>
      <c r="GX95" s="499"/>
      <c r="GY95" s="499"/>
      <c r="GZ95" s="499"/>
      <c r="HA95" s="499"/>
      <c r="HB95" s="499"/>
      <c r="HC95" s="499"/>
      <c r="HD95" s="499"/>
      <c r="HE95" s="499"/>
      <c r="HF95" s="499"/>
      <c r="HG95" s="499"/>
      <c r="HH95" s="499"/>
      <c r="HI95" s="499"/>
      <c r="HJ95" s="499"/>
      <c r="HK95" s="499"/>
      <c r="HL95" s="499"/>
      <c r="HM95" s="499"/>
      <c r="HN95" s="499"/>
      <c r="HO95" s="499"/>
      <c r="HP95" s="499"/>
      <c r="HQ95" s="499"/>
      <c r="HR95" s="499"/>
      <c r="HS95" s="499"/>
      <c r="HT95" s="499"/>
      <c r="HU95" s="499"/>
      <c r="HV95" s="499"/>
      <c r="HW95" s="499"/>
      <c r="HX95" s="499"/>
      <c r="HY95" s="499"/>
      <c r="HZ95" s="499"/>
      <c r="IA95" s="499"/>
      <c r="IB95" s="499"/>
      <c r="IC95" s="499"/>
      <c r="ID95" s="499"/>
      <c r="IE95" s="499"/>
      <c r="IF95" s="499"/>
      <c r="IG95" s="499"/>
      <c r="IH95" s="499"/>
      <c r="II95" s="499"/>
      <c r="IJ95" s="499"/>
      <c r="IK95" s="499"/>
      <c r="IL95" s="499"/>
      <c r="IM95" s="499"/>
      <c r="IN95" s="499"/>
      <c r="IO95" s="499"/>
      <c r="IP95" s="499"/>
      <c r="IQ95" s="499"/>
      <c r="IR95" s="499"/>
      <c r="IS95" s="499"/>
      <c r="IT95" s="499"/>
      <c r="IU95" s="499"/>
      <c r="IV95" s="499"/>
      <c r="IW95" s="499"/>
      <c r="IX95" s="499"/>
      <c r="IY95" s="499"/>
      <c r="IZ95" s="499"/>
      <c r="JA95" s="499"/>
      <c r="JB95" s="499"/>
      <c r="JC95" s="499"/>
      <c r="JD95" s="499"/>
      <c r="JE95" s="499"/>
      <c r="JF95" s="499"/>
      <c r="JG95" s="499"/>
      <c r="JH95" s="499"/>
      <c r="JI95" s="499"/>
      <c r="JJ95" s="499"/>
      <c r="JK95" s="499"/>
      <c r="JL95" s="499"/>
      <c r="JM95" s="499"/>
      <c r="JN95" s="499"/>
      <c r="JO95" s="499"/>
      <c r="JP95" s="499"/>
      <c r="JQ95" s="499"/>
      <c r="JR95" s="499"/>
      <c r="JS95" s="499"/>
      <c r="JT95" s="499"/>
      <c r="JU95" s="499"/>
      <c r="JV95" s="499"/>
      <c r="JW95" s="499"/>
      <c r="JX95" s="499"/>
      <c r="JY95" s="499"/>
      <c r="JZ95" s="499"/>
      <c r="KA95" s="499"/>
      <c r="KB95" s="499"/>
      <c r="KC95" s="499"/>
      <c r="KD95" s="499"/>
      <c r="KE95" s="499"/>
      <c r="KF95" s="499"/>
      <c r="KG95" s="499"/>
      <c r="KH95" s="499"/>
      <c r="KI95" s="499"/>
      <c r="KJ95" s="499"/>
      <c r="KK95" s="499"/>
      <c r="KL95" s="499"/>
      <c r="KM95" s="499"/>
      <c r="KN95" s="499"/>
      <c r="KO95" s="499"/>
      <c r="KP95" s="499"/>
      <c r="KQ95" s="499"/>
      <c r="KR95" s="499"/>
      <c r="KS95" s="499"/>
      <c r="KT95" s="499"/>
      <c r="KU95" s="499"/>
      <c r="KV95" s="499"/>
      <c r="KW95" s="499"/>
      <c r="KX95" s="499"/>
      <c r="KY95" s="499"/>
      <c r="KZ95" s="499"/>
      <c r="LA95" s="499"/>
      <c r="LB95" s="499"/>
      <c r="LC95" s="499"/>
      <c r="LD95" s="499"/>
      <c r="LE95" s="499"/>
      <c r="LF95" s="499"/>
      <c r="LG95" s="499"/>
      <c r="LH95" s="499"/>
      <c r="LI95" s="499"/>
      <c r="LJ95" s="499"/>
      <c r="LK95" s="499"/>
      <c r="LL95" s="499"/>
      <c r="LM95" s="499"/>
      <c r="LN95" s="499"/>
      <c r="LO95" s="499"/>
      <c r="LP95" s="499"/>
      <c r="LQ95" s="499"/>
      <c r="LR95" s="499"/>
      <c r="LS95" s="499"/>
      <c r="LT95" s="499"/>
      <c r="LU95" s="499"/>
      <c r="LV95" s="499"/>
      <c r="LW95" s="499"/>
      <c r="LX95" s="499"/>
      <c r="LY95" s="499"/>
      <c r="LZ95" s="499"/>
      <c r="MA95" s="499"/>
      <c r="MB95" s="499"/>
      <c r="MC95" s="499"/>
      <c r="MD95" s="499"/>
      <c r="ME95" s="499"/>
      <c r="MF95" s="499"/>
      <c r="MG95" s="499"/>
      <c r="MH95" s="499"/>
      <c r="MI95" s="499"/>
      <c r="MJ95" s="499"/>
      <c r="MK95" s="499"/>
      <c r="ML95" s="499"/>
      <c r="MM95" s="499"/>
      <c r="MN95" s="499"/>
      <c r="MO95" s="499"/>
      <c r="MP95" s="499"/>
      <c r="MQ95" s="499"/>
      <c r="MR95" s="499"/>
      <c r="MS95" s="499"/>
      <c r="MT95" s="499"/>
      <c r="MU95" s="499"/>
      <c r="MV95" s="499"/>
      <c r="MW95" s="499"/>
      <c r="MX95" s="499"/>
      <c r="MY95" s="499"/>
      <c r="MZ95" s="499"/>
      <c r="NA95" s="499"/>
      <c r="NB95" s="499"/>
      <c r="NC95" s="499"/>
      <c r="ND95" s="499"/>
      <c r="NE95" s="499"/>
      <c r="NF95" s="499"/>
      <c r="NG95" s="499"/>
      <c r="NH95" s="499"/>
      <c r="NI95" s="499"/>
      <c r="NJ95" s="499"/>
      <c r="NK95" s="499"/>
      <c r="NL95" s="499"/>
      <c r="NM95" s="499"/>
      <c r="NN95" s="499"/>
      <c r="NO95" s="499"/>
      <c r="NP95" s="499"/>
      <c r="NQ95" s="499"/>
      <c r="NR95" s="499"/>
      <c r="NS95" s="499"/>
      <c r="NT95" s="499"/>
      <c r="NU95" s="499"/>
      <c r="NV95" s="499"/>
      <c r="NW95" s="499"/>
      <c r="NX95" s="499"/>
      <c r="NY95" s="499"/>
      <c r="NZ95" s="499"/>
      <c r="OA95" s="499"/>
      <c r="OB95" s="499"/>
      <c r="OC95" s="499"/>
      <c r="OD95" s="499"/>
      <c r="OE95" s="499"/>
      <c r="OF95" s="499"/>
      <c r="OG95" s="499"/>
      <c r="OH95" s="499"/>
      <c r="OI95" s="499"/>
      <c r="OJ95" s="499"/>
      <c r="OK95" s="499"/>
      <c r="OL95" s="499"/>
      <c r="OM95" s="499"/>
      <c r="ON95" s="499"/>
      <c r="OO95" s="499"/>
      <c r="OP95" s="499"/>
      <c r="OQ95" s="499"/>
      <c r="OR95" s="499"/>
      <c r="OS95" s="499"/>
      <c r="OT95" s="499"/>
      <c r="OU95" s="499"/>
      <c r="OV95" s="499"/>
      <c r="OW95" s="499"/>
      <c r="OX95" s="499"/>
      <c r="OY95" s="499"/>
      <c r="OZ95" s="499"/>
      <c r="PA95" s="499"/>
      <c r="PB95" s="499"/>
      <c r="PC95" s="499"/>
      <c r="PD95" s="499"/>
      <c r="PE95" s="499"/>
      <c r="PF95" s="499"/>
      <c r="PG95" s="499"/>
      <c r="PH95" s="499"/>
      <c r="PI95" s="499"/>
      <c r="PJ95" s="499"/>
      <c r="PK95" s="499"/>
      <c r="PL95" s="499"/>
      <c r="PM95" s="499"/>
      <c r="PN95" s="499"/>
      <c r="PO95" s="499"/>
      <c r="PP95" s="499"/>
      <c r="PQ95" s="499"/>
      <c r="PR95" s="499"/>
      <c r="PS95" s="499"/>
      <c r="PT95" s="499"/>
      <c r="PU95" s="499"/>
      <c r="PV95" s="499"/>
      <c r="PW95" s="499"/>
      <c r="PX95" s="499"/>
      <c r="PY95" s="499"/>
      <c r="PZ95" s="499"/>
      <c r="QA95" s="499"/>
      <c r="QB95" s="499"/>
      <c r="QC95" s="499"/>
      <c r="QD95" s="499"/>
      <c r="QE95" s="499"/>
      <c r="QF95" s="499"/>
      <c r="QG95" s="499"/>
      <c r="QH95" s="499"/>
      <c r="QI95" s="499"/>
      <c r="QJ95" s="499"/>
      <c r="QK95" s="499"/>
      <c r="QL95" s="499"/>
      <c r="QM95" s="499"/>
      <c r="QN95" s="499"/>
      <c r="QO95" s="499"/>
      <c r="QP95" s="499"/>
      <c r="QQ95" s="499"/>
      <c r="QR95" s="499"/>
      <c r="QS95" s="499"/>
      <c r="QT95" s="499"/>
      <c r="QU95" s="499"/>
      <c r="QV95" s="499"/>
      <c r="QW95" s="499"/>
      <c r="QX95" s="499"/>
      <c r="QY95" s="499"/>
      <c r="QZ95" s="499"/>
      <c r="RA95" s="499"/>
      <c r="RB95" s="499"/>
      <c r="RC95" s="499"/>
      <c r="RD95" s="499"/>
      <c r="RE95" s="499"/>
      <c r="RF95" s="499"/>
      <c r="RG95" s="499"/>
      <c r="RH95" s="499"/>
      <c r="RI95" s="499"/>
      <c r="RJ95" s="499"/>
      <c r="RK95" s="499"/>
      <c r="RL95" s="499"/>
      <c r="RM95" s="499"/>
      <c r="RN95" s="499"/>
      <c r="RO95" s="499"/>
      <c r="RP95" s="499"/>
      <c r="RQ95" s="499"/>
      <c r="RR95" s="499"/>
      <c r="RS95" s="499"/>
      <c r="RT95" s="499"/>
      <c r="RU95" s="499"/>
      <c r="RV95" s="499"/>
      <c r="RW95" s="499"/>
      <c r="RX95" s="499"/>
      <c r="RY95" s="499"/>
      <c r="RZ95" s="499"/>
      <c r="SA95" s="499"/>
      <c r="SB95" s="499"/>
      <c r="SC95" s="499"/>
      <c r="SD95" s="499"/>
      <c r="SE95" s="499"/>
      <c r="SF95" s="499"/>
      <c r="SG95" s="499"/>
      <c r="SH95" s="499"/>
      <c r="SI95" s="499"/>
      <c r="SJ95" s="499"/>
      <c r="SK95" s="499"/>
      <c r="SL95" s="499"/>
      <c r="SM95" s="499"/>
      <c r="SN95" s="499"/>
      <c r="SO95" s="499"/>
      <c r="SP95" s="499"/>
      <c r="SQ95" s="499"/>
      <c r="SR95" s="499"/>
      <c r="SS95" s="499"/>
      <c r="ST95" s="499"/>
      <c r="SU95" s="499"/>
      <c r="SV95" s="499"/>
      <c r="SW95" s="499"/>
      <c r="SX95" s="499"/>
      <c r="SY95" s="499"/>
      <c r="SZ95" s="499"/>
      <c r="TA95" s="499"/>
      <c r="TB95" s="499"/>
      <c r="TC95" s="499"/>
      <c r="TD95" s="499"/>
      <c r="TE95" s="499"/>
      <c r="TF95" s="499"/>
      <c r="TG95" s="499"/>
      <c r="TH95" s="499"/>
      <c r="TI95" s="499"/>
      <c r="TJ95" s="499"/>
      <c r="TK95" s="499"/>
      <c r="TL95" s="499"/>
      <c r="TM95" s="499"/>
      <c r="TN95" s="499"/>
      <c r="TO95" s="499"/>
      <c r="TP95" s="499"/>
      <c r="TQ95" s="499"/>
      <c r="TR95" s="499"/>
      <c r="TS95" s="499"/>
      <c r="TT95" s="499"/>
      <c r="TU95" s="499"/>
      <c r="TV95" s="499"/>
      <c r="TW95" s="499"/>
      <c r="TX95" s="499"/>
      <c r="TY95" s="499"/>
      <c r="TZ95" s="499"/>
      <c r="UA95" s="499"/>
      <c r="UB95" s="499"/>
      <c r="UC95" s="499"/>
      <c r="UD95" s="499"/>
      <c r="UE95" s="499"/>
      <c r="UF95" s="499"/>
      <c r="UG95" s="499"/>
      <c r="UH95" s="499"/>
      <c r="UI95" s="499"/>
      <c r="UJ95" s="499"/>
      <c r="UK95" s="499"/>
      <c r="UL95" s="499"/>
      <c r="UM95" s="499"/>
      <c r="UN95" s="499"/>
      <c r="UO95" s="499"/>
      <c r="UP95" s="499"/>
      <c r="UQ95" s="499"/>
      <c r="UR95" s="499"/>
      <c r="US95" s="499"/>
      <c r="UT95" s="499"/>
      <c r="UU95" s="499"/>
      <c r="UV95" s="499"/>
      <c r="UW95" s="499"/>
      <c r="UX95" s="499"/>
      <c r="UY95" s="499"/>
      <c r="UZ95" s="499"/>
      <c r="VA95" s="499"/>
      <c r="VB95" s="499"/>
      <c r="VC95" s="499"/>
      <c r="VD95" s="499"/>
      <c r="VE95" s="499"/>
      <c r="VF95" s="499"/>
      <c r="VG95" s="499"/>
      <c r="VH95" s="499"/>
      <c r="VI95" s="499"/>
      <c r="VJ95" s="499"/>
      <c r="VK95" s="499"/>
      <c r="VL95" s="499"/>
      <c r="VM95" s="499"/>
      <c r="VN95" s="499"/>
      <c r="VO95" s="499"/>
      <c r="VP95" s="499"/>
      <c r="VQ95" s="499"/>
      <c r="VR95" s="499"/>
      <c r="VS95" s="499"/>
      <c r="VT95" s="499"/>
      <c r="VU95" s="499"/>
      <c r="VV95" s="499"/>
      <c r="VW95" s="499"/>
      <c r="VX95" s="499"/>
      <c r="VY95" s="499"/>
      <c r="VZ95" s="499"/>
      <c r="WA95" s="499"/>
      <c r="WB95" s="499"/>
      <c r="WC95" s="499"/>
      <c r="WD95" s="499"/>
      <c r="WE95" s="499"/>
      <c r="WF95" s="499"/>
      <c r="WG95" s="499"/>
      <c r="WH95" s="499"/>
      <c r="WI95" s="499"/>
      <c r="WJ95" s="499"/>
      <c r="WK95" s="499"/>
      <c r="WL95" s="499"/>
      <c r="WM95" s="499"/>
      <c r="WN95" s="499"/>
      <c r="WO95" s="499"/>
      <c r="WP95" s="499"/>
      <c r="WQ95" s="499"/>
      <c r="WR95" s="499"/>
      <c r="WS95" s="499"/>
      <c r="WT95" s="499"/>
      <c r="WU95" s="499"/>
      <c r="WV95" s="499"/>
      <c r="WW95" s="499"/>
      <c r="WX95" s="499"/>
      <c r="WY95" s="499"/>
      <c r="WZ95" s="499"/>
      <c r="XA95" s="499"/>
      <c r="XB95" s="499"/>
      <c r="XC95" s="499"/>
      <c r="XD95" s="499"/>
      <c r="XE95" s="499"/>
      <c r="XF95" s="499"/>
      <c r="XG95" s="499"/>
      <c r="XH95" s="499"/>
      <c r="XI95" s="499"/>
      <c r="XJ95" s="499"/>
      <c r="XK95" s="499"/>
      <c r="XL95" s="499"/>
      <c r="XM95" s="499"/>
      <c r="XN95" s="499"/>
      <c r="XO95" s="499"/>
      <c r="XP95" s="499"/>
      <c r="XQ95" s="499"/>
      <c r="XR95" s="499"/>
      <c r="XS95" s="499"/>
      <c r="XT95" s="499"/>
      <c r="XU95" s="499"/>
      <c r="XV95" s="499"/>
      <c r="XW95" s="499"/>
      <c r="XX95" s="499"/>
      <c r="XY95" s="499"/>
      <c r="XZ95" s="499"/>
      <c r="YA95" s="499"/>
      <c r="YB95" s="499"/>
      <c r="YC95" s="499"/>
      <c r="YD95" s="499"/>
      <c r="YE95" s="499"/>
      <c r="YF95" s="499"/>
      <c r="YG95" s="499"/>
      <c r="YH95" s="499"/>
      <c r="YI95" s="499"/>
      <c r="YJ95" s="499"/>
      <c r="YK95" s="499"/>
      <c r="YL95" s="499"/>
      <c r="YM95" s="499"/>
      <c r="YN95" s="499"/>
      <c r="YO95" s="499"/>
      <c r="YP95" s="499"/>
      <c r="YQ95" s="499"/>
      <c r="YR95" s="499"/>
      <c r="YS95" s="499"/>
      <c r="YT95" s="499"/>
      <c r="YU95" s="499"/>
      <c r="YV95" s="499"/>
      <c r="YW95" s="499"/>
      <c r="YX95" s="499"/>
      <c r="YY95" s="499"/>
      <c r="YZ95" s="499"/>
      <c r="ZA95" s="499"/>
      <c r="ZB95" s="499"/>
      <c r="ZC95" s="499"/>
      <c r="ZD95" s="499"/>
      <c r="ZE95" s="499"/>
      <c r="ZF95" s="499"/>
      <c r="ZG95" s="499"/>
      <c r="ZH95" s="499"/>
      <c r="ZI95" s="499"/>
      <c r="ZJ95" s="499"/>
      <c r="ZK95" s="499"/>
      <c r="ZL95" s="499"/>
      <c r="ZM95" s="499"/>
      <c r="ZN95" s="499"/>
      <c r="ZO95" s="499"/>
      <c r="ZP95" s="499"/>
      <c r="ZQ95" s="499"/>
      <c r="ZR95" s="499"/>
      <c r="ZS95" s="499"/>
      <c r="ZT95" s="499"/>
      <c r="ZU95" s="499"/>
      <c r="ZV95" s="499"/>
      <c r="ZW95" s="499"/>
      <c r="ZX95" s="499"/>
      <c r="ZY95" s="499"/>
      <c r="ZZ95" s="499"/>
      <c r="AAA95" s="499"/>
      <c r="AAB95" s="499"/>
      <c r="AAC95" s="499"/>
      <c r="AAD95" s="499"/>
      <c r="AAE95" s="499"/>
      <c r="AAF95" s="499"/>
      <c r="AAG95" s="499"/>
      <c r="AAH95" s="499"/>
      <c r="AAI95" s="499"/>
      <c r="AAJ95" s="499"/>
      <c r="AAK95" s="499"/>
      <c r="AAL95" s="499"/>
      <c r="AAM95" s="499"/>
      <c r="AAN95" s="499"/>
      <c r="AAO95" s="499"/>
      <c r="AAP95" s="499"/>
      <c r="AAQ95" s="499"/>
      <c r="AAR95" s="499"/>
      <c r="AAS95" s="499"/>
      <c r="AAT95" s="499"/>
      <c r="AAU95" s="499"/>
      <c r="AAV95" s="499"/>
      <c r="AAW95" s="499"/>
      <c r="AAX95" s="499"/>
      <c r="AAY95" s="499"/>
      <c r="AAZ95" s="499"/>
      <c r="ABA95" s="499"/>
      <c r="ABB95" s="499"/>
      <c r="ABC95" s="499"/>
      <c r="ABD95" s="499"/>
      <c r="ABE95" s="499"/>
      <c r="ABF95" s="499"/>
      <c r="ABG95" s="499"/>
      <c r="ABH95" s="499"/>
      <c r="ABI95" s="499"/>
      <c r="ABJ95" s="499"/>
      <c r="ABK95" s="499"/>
      <c r="ABL95" s="499"/>
      <c r="ABM95" s="499"/>
      <c r="ABN95" s="499"/>
      <c r="ABO95" s="499"/>
      <c r="ABP95" s="499"/>
      <c r="ABQ95" s="499"/>
      <c r="ABR95" s="499"/>
      <c r="ABS95" s="499"/>
      <c r="ABT95" s="499"/>
      <c r="ABU95" s="499"/>
      <c r="ABV95" s="499"/>
      <c r="ABW95" s="499"/>
      <c r="ABX95" s="499"/>
      <c r="ABY95" s="499"/>
      <c r="ABZ95" s="499"/>
      <c r="ACA95" s="499"/>
      <c r="ACB95" s="499"/>
      <c r="ACC95" s="499"/>
      <c r="ACD95" s="499"/>
      <c r="ACE95" s="499"/>
      <c r="ACF95" s="499"/>
      <c r="ACG95" s="499"/>
      <c r="ACH95" s="499"/>
      <c r="ACI95" s="499"/>
      <c r="ACJ95" s="499"/>
      <c r="ACK95" s="499"/>
      <c r="ACL95" s="499"/>
      <c r="ACM95" s="499"/>
      <c r="ACN95" s="499"/>
      <c r="ACO95" s="499"/>
      <c r="ACP95" s="499"/>
      <c r="ACQ95" s="499"/>
      <c r="ACR95" s="499"/>
      <c r="ACS95" s="499"/>
      <c r="ACT95" s="499"/>
      <c r="ACU95" s="499"/>
      <c r="ACV95" s="499"/>
      <c r="ACW95" s="499"/>
      <c r="ACX95" s="499"/>
      <c r="ACY95" s="499"/>
      <c r="ACZ95" s="499"/>
      <c r="ADA95" s="499"/>
      <c r="ADB95" s="499"/>
      <c r="ADC95" s="499"/>
      <c r="ADD95" s="499"/>
      <c r="ADE95" s="499"/>
      <c r="ADF95" s="499"/>
      <c r="ADG95" s="499"/>
      <c r="ADH95" s="499"/>
      <c r="ADI95" s="499"/>
      <c r="ADJ95" s="499"/>
      <c r="ADK95" s="499"/>
      <c r="ADL95" s="499"/>
      <c r="ADM95" s="499"/>
      <c r="ADN95" s="499"/>
      <c r="ADO95" s="499"/>
      <c r="ADP95" s="499"/>
      <c r="ADQ95" s="499"/>
      <c r="ADR95" s="499"/>
      <c r="ADS95" s="499"/>
      <c r="ADT95" s="499"/>
      <c r="ADU95" s="499"/>
      <c r="ADV95" s="499"/>
      <c r="ADW95" s="499"/>
      <c r="ADX95" s="499"/>
      <c r="ADY95" s="499"/>
      <c r="ADZ95" s="499"/>
      <c r="AEA95" s="499"/>
      <c r="AEB95" s="499"/>
      <c r="AEC95" s="499"/>
      <c r="AED95" s="499"/>
      <c r="AEE95" s="499"/>
      <c r="AEF95" s="499"/>
      <c r="AEG95" s="499"/>
      <c r="AEH95" s="499"/>
      <c r="AEI95" s="499"/>
      <c r="AEJ95" s="499"/>
      <c r="AEK95" s="499"/>
      <c r="AEL95" s="499"/>
      <c r="AEM95" s="499"/>
      <c r="AEN95" s="499"/>
      <c r="AEO95" s="499"/>
      <c r="AEP95" s="499"/>
      <c r="AEQ95" s="499"/>
      <c r="AER95" s="499"/>
      <c r="AES95" s="499"/>
      <c r="AET95" s="499"/>
      <c r="AEU95" s="499"/>
      <c r="AEV95" s="499"/>
      <c r="AEW95" s="499"/>
      <c r="AEX95" s="499"/>
      <c r="AEY95" s="499"/>
      <c r="AEZ95" s="499"/>
      <c r="AFA95" s="499"/>
      <c r="AFB95" s="499"/>
      <c r="AFC95" s="499"/>
      <c r="AFD95" s="499"/>
      <c r="AFE95" s="499"/>
      <c r="AFF95" s="499"/>
      <c r="AFG95" s="499"/>
      <c r="AFH95" s="499"/>
      <c r="AFI95" s="499"/>
      <c r="AFJ95" s="499"/>
      <c r="AFK95" s="499"/>
      <c r="AFL95" s="499"/>
      <c r="AFM95" s="499"/>
      <c r="AFN95" s="499"/>
      <c r="AFO95" s="499"/>
      <c r="AFP95" s="499"/>
      <c r="AFQ95" s="499"/>
      <c r="AFR95" s="499"/>
      <c r="AFS95" s="499"/>
      <c r="AFT95" s="499"/>
      <c r="AFU95" s="499"/>
      <c r="AFV95" s="499"/>
      <c r="AFW95" s="499"/>
      <c r="AFX95" s="499"/>
      <c r="AFY95" s="499"/>
      <c r="AFZ95" s="499"/>
      <c r="AGA95" s="499"/>
      <c r="AGB95" s="499"/>
      <c r="AGC95" s="499"/>
      <c r="AGD95" s="499"/>
      <c r="AGE95" s="499"/>
      <c r="AGF95" s="499"/>
      <c r="AGG95" s="499"/>
      <c r="AGH95" s="499"/>
      <c r="AGI95" s="499"/>
      <c r="AGJ95" s="499"/>
      <c r="AGK95" s="499"/>
      <c r="AGL95" s="499"/>
      <c r="AGM95" s="499"/>
      <c r="AGN95" s="499"/>
      <c r="AGO95" s="499"/>
      <c r="AGP95" s="499"/>
      <c r="AGQ95" s="499"/>
      <c r="AGR95" s="499"/>
      <c r="AGS95" s="499"/>
      <c r="AGT95" s="499"/>
      <c r="AGU95" s="499"/>
      <c r="AGV95" s="499"/>
      <c r="AGW95" s="499"/>
      <c r="AGX95" s="499"/>
      <c r="AGY95" s="499"/>
      <c r="AGZ95" s="499"/>
      <c r="AHA95" s="499"/>
      <c r="AHB95" s="499"/>
      <c r="AHC95" s="499"/>
      <c r="AHD95" s="499"/>
      <c r="AHE95" s="499"/>
      <c r="AHF95" s="499"/>
      <c r="AHG95" s="499"/>
      <c r="AHH95" s="499"/>
      <c r="AHI95" s="499"/>
      <c r="AHJ95" s="499"/>
      <c r="AHK95" s="499"/>
      <c r="AHL95" s="499"/>
      <c r="AHM95" s="499"/>
      <c r="AHN95" s="499"/>
      <c r="AHO95" s="499"/>
      <c r="AHP95" s="499"/>
      <c r="AHQ95" s="499"/>
      <c r="AHR95" s="499"/>
      <c r="AHS95" s="499"/>
      <c r="AHT95" s="499"/>
      <c r="AHU95" s="499"/>
      <c r="AHV95" s="499"/>
      <c r="AHW95" s="499"/>
      <c r="AHX95" s="499"/>
      <c r="AHY95" s="499"/>
      <c r="AHZ95" s="499"/>
      <c r="AIA95" s="499"/>
      <c r="AIB95" s="499"/>
      <c r="AIC95" s="499"/>
      <c r="AID95" s="499"/>
      <c r="AIE95" s="499"/>
      <c r="AIF95" s="499"/>
      <c r="AIG95" s="499"/>
      <c r="AIH95" s="499"/>
      <c r="AII95" s="499"/>
      <c r="AIJ95" s="499"/>
      <c r="AIK95" s="499"/>
      <c r="AIL95" s="499"/>
      <c r="AIM95" s="499"/>
      <c r="AIN95" s="499"/>
      <c r="AIO95" s="499"/>
      <c r="AIP95" s="499"/>
      <c r="AIQ95" s="499"/>
      <c r="AIR95" s="499"/>
      <c r="AIS95" s="499"/>
      <c r="AIT95" s="499"/>
      <c r="AIU95" s="499"/>
      <c r="AIV95" s="499"/>
      <c r="AIW95" s="499"/>
      <c r="AIX95" s="499"/>
      <c r="AIY95" s="499"/>
      <c r="AIZ95" s="499"/>
      <c r="AJA95" s="499"/>
      <c r="AJB95" s="499"/>
      <c r="AJC95" s="499"/>
      <c r="AJD95" s="499"/>
      <c r="AJE95" s="499"/>
      <c r="AJF95" s="499"/>
      <c r="AJG95" s="499"/>
      <c r="AJH95" s="499"/>
      <c r="AJI95" s="499"/>
      <c r="AJJ95" s="499"/>
      <c r="AJK95" s="499"/>
      <c r="AJL95" s="499"/>
      <c r="AJM95" s="499"/>
      <c r="AJN95" s="499"/>
      <c r="AJO95" s="499"/>
      <c r="AJP95" s="499"/>
      <c r="AJQ95" s="499"/>
      <c r="AJR95" s="499"/>
      <c r="AJS95" s="499"/>
      <c r="AJT95" s="499"/>
      <c r="AJU95" s="499"/>
      <c r="AJV95" s="499"/>
      <c r="AJW95" s="499"/>
      <c r="AJX95" s="499"/>
      <c r="AJY95" s="499"/>
      <c r="AJZ95" s="499"/>
      <c r="AKA95" s="499"/>
      <c r="AKB95" s="499"/>
      <c r="AKC95" s="499"/>
      <c r="AKD95" s="499"/>
      <c r="AKE95" s="499"/>
      <c r="AKF95" s="499"/>
      <c r="AKG95" s="499"/>
      <c r="AKH95" s="499"/>
      <c r="AKI95" s="499"/>
      <c r="AKJ95" s="499"/>
      <c r="AKK95" s="499"/>
      <c r="AKL95" s="499"/>
      <c r="AKM95" s="499"/>
      <c r="AKN95" s="499"/>
      <c r="AKO95" s="499"/>
      <c r="AKP95" s="499"/>
      <c r="AKQ95" s="499"/>
      <c r="AKR95" s="499"/>
      <c r="AKS95" s="499"/>
      <c r="AKT95" s="499"/>
      <c r="AKU95" s="499"/>
      <c r="AKV95" s="499"/>
      <c r="AKW95" s="499"/>
      <c r="AKX95" s="499"/>
      <c r="AKY95" s="499"/>
      <c r="AKZ95" s="499"/>
      <c r="ALA95" s="499"/>
      <c r="ALB95" s="499"/>
      <c r="ALC95" s="499"/>
      <c r="ALD95" s="499"/>
      <c r="ALE95" s="499"/>
      <c r="ALF95" s="499"/>
      <c r="ALG95" s="499"/>
      <c r="ALH95" s="499"/>
      <c r="ALI95" s="499"/>
      <c r="ALJ95" s="499"/>
      <c r="ALK95" s="499"/>
      <c r="ALL95" s="499"/>
      <c r="ALM95" s="499"/>
      <c r="ALN95" s="499"/>
      <c r="ALO95" s="499"/>
      <c r="ALP95" s="499"/>
      <c r="ALQ95" s="499"/>
      <c r="ALR95" s="499"/>
      <c r="ALS95" s="499"/>
      <c r="ALT95" s="499"/>
      <c r="ALU95" s="499"/>
      <c r="ALV95" s="499"/>
      <c r="ALW95" s="499"/>
      <c r="ALX95" s="499"/>
      <c r="ALY95" s="499"/>
      <c r="ALZ95" s="499"/>
      <c r="AMA95" s="499"/>
      <c r="AMB95" s="499"/>
      <c r="AMC95" s="499"/>
      <c r="AMD95" s="499"/>
      <c r="AME95" s="499"/>
      <c r="AMF95" s="499"/>
      <c r="AMG95" s="499"/>
      <c r="AMH95" s="499"/>
      <c r="AMI95" s="499"/>
      <c r="AMJ95" s="499"/>
      <c r="AMK95" s="499"/>
      <c r="AML95" s="499"/>
      <c r="AMM95" s="499"/>
      <c r="AMN95" s="499"/>
      <c r="AMO95" s="499"/>
      <c r="AMP95" s="499"/>
      <c r="AMQ95" s="499"/>
      <c r="AMR95" s="499"/>
      <c r="AMS95" s="499"/>
      <c r="AMT95" s="499"/>
      <c r="AMU95" s="499"/>
      <c r="AMV95" s="499"/>
      <c r="AMW95" s="499"/>
      <c r="AMX95" s="499"/>
      <c r="AMY95" s="499"/>
      <c r="AMZ95" s="499"/>
      <c r="ANA95" s="499"/>
      <c r="ANB95" s="499"/>
      <c r="ANC95" s="499"/>
      <c r="AND95" s="499"/>
      <c r="ANE95" s="499"/>
      <c r="ANF95" s="499"/>
      <c r="ANG95" s="499"/>
      <c r="ANH95" s="499"/>
      <c r="ANI95" s="499"/>
      <c r="ANJ95" s="499"/>
      <c r="ANK95" s="499"/>
      <c r="ANL95" s="499"/>
      <c r="ANM95" s="499"/>
      <c r="ANN95" s="499"/>
      <c r="ANO95" s="499"/>
      <c r="ANP95" s="499"/>
      <c r="ANQ95" s="499"/>
      <c r="ANR95" s="499"/>
      <c r="ANS95" s="499"/>
      <c r="ANT95" s="499"/>
      <c r="ANU95" s="499"/>
      <c r="ANV95" s="499"/>
      <c r="ANW95" s="499"/>
      <c r="ANX95" s="499"/>
      <c r="ANY95" s="499"/>
      <c r="ANZ95" s="499"/>
      <c r="AOA95" s="499"/>
      <c r="AOB95" s="499"/>
      <c r="AOC95" s="499"/>
      <c r="AOD95" s="499"/>
      <c r="AOE95" s="499"/>
      <c r="AOF95" s="499"/>
      <c r="AOG95" s="499"/>
      <c r="AOH95" s="499"/>
      <c r="AOI95" s="499"/>
      <c r="AOJ95" s="499"/>
      <c r="AOK95" s="499"/>
      <c r="AOL95" s="499"/>
      <c r="AOM95" s="499"/>
      <c r="AON95" s="499"/>
      <c r="AOO95" s="499"/>
      <c r="AOP95" s="499"/>
      <c r="AOQ95" s="499"/>
      <c r="AOR95" s="499"/>
      <c r="AOS95" s="499"/>
      <c r="AOT95" s="499"/>
      <c r="AOU95" s="499"/>
      <c r="AOV95" s="499"/>
      <c r="AOW95" s="499"/>
      <c r="AOX95" s="499"/>
      <c r="AOY95" s="499"/>
      <c r="AOZ95" s="499"/>
      <c r="APA95" s="499"/>
      <c r="APB95" s="499"/>
      <c r="APC95" s="499"/>
      <c r="APD95" s="499"/>
      <c r="APE95" s="499"/>
      <c r="APF95" s="499"/>
      <c r="APG95" s="499"/>
      <c r="APH95" s="499"/>
      <c r="API95" s="499"/>
      <c r="APJ95" s="499"/>
      <c r="APK95" s="499"/>
      <c r="APL95" s="499"/>
      <c r="APM95" s="499"/>
      <c r="APN95" s="499"/>
      <c r="APO95" s="499"/>
      <c r="APP95" s="499"/>
      <c r="APQ95" s="499"/>
      <c r="APR95" s="499"/>
      <c r="APS95" s="499"/>
      <c r="APT95" s="499"/>
      <c r="APU95" s="499"/>
      <c r="APV95" s="499"/>
      <c r="APW95" s="499"/>
      <c r="APX95" s="499"/>
      <c r="APY95" s="499"/>
      <c r="APZ95" s="499"/>
      <c r="AQA95" s="499"/>
      <c r="AQB95" s="499"/>
      <c r="AQC95" s="499"/>
      <c r="AQD95" s="499"/>
      <c r="AQE95" s="499"/>
      <c r="AQF95" s="499"/>
      <c r="AQG95" s="499"/>
      <c r="AQH95" s="499"/>
      <c r="AQI95" s="499"/>
      <c r="AQJ95" s="499"/>
      <c r="AQK95" s="499"/>
      <c r="AQL95" s="499"/>
      <c r="AQM95" s="499"/>
      <c r="AQN95" s="499"/>
      <c r="AQO95" s="499"/>
      <c r="AQP95" s="499"/>
      <c r="AQQ95" s="499"/>
      <c r="AQR95" s="499"/>
      <c r="AQS95" s="499"/>
      <c r="AQT95" s="499"/>
      <c r="AQU95" s="499"/>
      <c r="AQV95" s="499"/>
      <c r="AQW95" s="499"/>
      <c r="AQX95" s="499"/>
      <c r="AQY95" s="499"/>
      <c r="AQZ95" s="499"/>
      <c r="ARA95" s="499"/>
      <c r="ARB95" s="499"/>
      <c r="ARC95" s="499"/>
      <c r="ARD95" s="499"/>
      <c r="ARE95" s="499"/>
      <c r="ARF95" s="499"/>
      <c r="ARG95" s="499"/>
      <c r="ARH95" s="499"/>
      <c r="ARI95" s="499"/>
      <c r="ARJ95" s="499"/>
      <c r="ARK95" s="499"/>
      <c r="ARL95" s="499"/>
      <c r="ARM95" s="499"/>
      <c r="ARN95" s="499"/>
      <c r="ARO95" s="499"/>
      <c r="ARP95" s="499"/>
      <c r="ARQ95" s="499"/>
      <c r="ARR95" s="499"/>
      <c r="ARS95" s="499"/>
      <c r="ART95" s="499"/>
      <c r="ARU95" s="499"/>
      <c r="ARV95" s="499"/>
      <c r="ARW95" s="499"/>
      <c r="ARX95" s="499"/>
      <c r="ARY95" s="499"/>
      <c r="ARZ95" s="499"/>
      <c r="ASA95" s="499"/>
      <c r="ASB95" s="499"/>
      <c r="ASC95" s="499"/>
      <c r="ASD95" s="499"/>
      <c r="ASE95" s="499"/>
      <c r="ASF95" s="499"/>
      <c r="ASG95" s="499"/>
      <c r="ASH95" s="499"/>
      <c r="ASI95" s="499"/>
      <c r="ASJ95" s="499"/>
      <c r="ASK95" s="499"/>
      <c r="ASL95" s="499"/>
      <c r="ASM95" s="499"/>
      <c r="ASN95" s="499"/>
      <c r="ASO95" s="499"/>
      <c r="ASP95" s="499"/>
      <c r="ASQ95" s="499"/>
      <c r="ASR95" s="499"/>
      <c r="ASS95" s="499"/>
      <c r="AST95" s="499"/>
      <c r="ASU95" s="499"/>
      <c r="ASV95" s="499"/>
      <c r="ASW95" s="499"/>
      <c r="ASX95" s="499"/>
      <c r="ASY95" s="499"/>
      <c r="ASZ95" s="499"/>
      <c r="ATA95" s="499"/>
      <c r="ATB95" s="499"/>
      <c r="ATC95" s="499"/>
      <c r="ATD95" s="499"/>
      <c r="ATE95" s="499"/>
      <c r="ATF95" s="499"/>
      <c r="ATG95" s="499"/>
      <c r="ATH95" s="499"/>
      <c r="ATI95" s="499"/>
      <c r="ATJ95" s="499"/>
      <c r="ATK95" s="499"/>
      <c r="ATL95" s="499"/>
      <c r="ATM95" s="499"/>
      <c r="ATN95" s="499"/>
      <c r="ATO95" s="499"/>
      <c r="ATP95" s="499"/>
      <c r="ATQ95" s="499"/>
      <c r="ATR95" s="499"/>
      <c r="ATS95" s="499"/>
      <c r="ATT95" s="499"/>
      <c r="ATU95" s="499"/>
      <c r="ATV95" s="499"/>
      <c r="ATW95" s="499"/>
      <c r="ATX95" s="499"/>
      <c r="ATY95" s="499"/>
      <c r="ATZ95" s="499"/>
      <c r="AUA95" s="499"/>
      <c r="AUB95" s="499"/>
      <c r="AUC95" s="499"/>
      <c r="AUD95" s="499"/>
      <c r="AUE95" s="499"/>
      <c r="AUF95" s="499"/>
      <c r="AUG95" s="499"/>
      <c r="AUH95" s="499"/>
      <c r="AUI95" s="499"/>
      <c r="AUJ95" s="499"/>
      <c r="AUK95" s="499"/>
      <c r="AUL95" s="499"/>
      <c r="AUM95" s="499"/>
      <c r="AUN95" s="499"/>
      <c r="AUO95" s="499"/>
      <c r="AUP95" s="499"/>
      <c r="AUQ95" s="499"/>
      <c r="AUR95" s="499"/>
      <c r="AUS95" s="499"/>
      <c r="AUT95" s="499"/>
      <c r="AUU95" s="499"/>
      <c r="AUV95" s="499"/>
      <c r="AUW95" s="499"/>
      <c r="AUX95" s="499"/>
      <c r="AUY95" s="499"/>
      <c r="AUZ95" s="499"/>
      <c r="AVA95" s="499"/>
      <c r="AVB95" s="499"/>
      <c r="AVC95" s="499"/>
      <c r="AVD95" s="499"/>
      <c r="AVE95" s="499"/>
      <c r="AVF95" s="499"/>
      <c r="AVG95" s="499"/>
      <c r="AVH95" s="499"/>
      <c r="AVI95" s="499"/>
      <c r="AVJ95" s="499"/>
      <c r="AVK95" s="499"/>
      <c r="AVL95" s="499"/>
      <c r="AVM95" s="499"/>
      <c r="AVN95" s="499"/>
      <c r="AVO95" s="499"/>
      <c r="AVP95" s="499"/>
      <c r="AVQ95" s="499"/>
      <c r="AVR95" s="499"/>
      <c r="AVS95" s="499"/>
      <c r="AVT95" s="499"/>
      <c r="AVU95" s="499"/>
      <c r="AVV95" s="499"/>
      <c r="AVW95" s="499"/>
      <c r="AVX95" s="499"/>
      <c r="AVY95" s="499"/>
      <c r="AVZ95" s="499"/>
      <c r="AWA95" s="499"/>
      <c r="AWB95" s="499"/>
      <c r="AWC95" s="499"/>
      <c r="AWD95" s="499"/>
      <c r="AWE95" s="499"/>
      <c r="AWF95" s="499"/>
      <c r="AWG95" s="499"/>
      <c r="AWH95" s="499"/>
      <c r="AWI95" s="499"/>
      <c r="AWJ95" s="499"/>
      <c r="AWK95" s="499"/>
      <c r="AWL95" s="499"/>
      <c r="AWM95" s="499"/>
      <c r="AWN95" s="499"/>
      <c r="AWO95" s="499"/>
      <c r="AWP95" s="499"/>
      <c r="AWQ95" s="499"/>
      <c r="AWR95" s="499"/>
      <c r="AWS95" s="499"/>
      <c r="AWT95" s="499"/>
      <c r="AWU95" s="499"/>
      <c r="AWV95" s="499"/>
      <c r="AWW95" s="499"/>
      <c r="AWX95" s="499"/>
      <c r="AWY95" s="499"/>
      <c r="AWZ95" s="499"/>
      <c r="AXA95" s="499"/>
      <c r="AXB95" s="499"/>
      <c r="AXC95" s="499"/>
      <c r="AXD95" s="499"/>
      <c r="AXE95" s="499"/>
      <c r="AXF95" s="499"/>
      <c r="AXG95" s="499"/>
      <c r="AXH95" s="499"/>
      <c r="AXI95" s="499"/>
      <c r="AXJ95" s="499"/>
      <c r="AXK95" s="499"/>
      <c r="AXL95" s="499"/>
      <c r="AXM95" s="499"/>
      <c r="AXN95" s="499"/>
      <c r="AXO95" s="499"/>
      <c r="AXP95" s="499"/>
      <c r="AXQ95" s="499"/>
      <c r="AXR95" s="499"/>
      <c r="AXS95" s="499"/>
      <c r="AXT95" s="499"/>
      <c r="AXU95" s="499"/>
      <c r="AXV95" s="499"/>
      <c r="AXW95" s="499"/>
      <c r="AXX95" s="499"/>
      <c r="AXY95" s="499"/>
      <c r="AXZ95" s="499"/>
      <c r="AYA95" s="499"/>
      <c r="AYB95" s="499"/>
      <c r="AYC95" s="499"/>
      <c r="AYD95" s="499"/>
      <c r="AYE95" s="499"/>
      <c r="AYF95" s="499"/>
      <c r="AYG95" s="499"/>
      <c r="AYH95" s="499"/>
      <c r="AYI95" s="499"/>
      <c r="AYJ95" s="499"/>
      <c r="AYK95" s="499"/>
      <c r="AYL95" s="499"/>
      <c r="AYM95" s="499"/>
      <c r="AYN95" s="499"/>
      <c r="AYO95" s="499"/>
      <c r="AYP95" s="499"/>
      <c r="AYQ95" s="499"/>
      <c r="AYR95" s="499"/>
      <c r="AYS95" s="499"/>
      <c r="AYT95" s="499"/>
      <c r="AYU95" s="499"/>
      <c r="AYV95" s="499"/>
      <c r="AYW95" s="499"/>
      <c r="AYX95" s="499"/>
      <c r="AYY95" s="499"/>
      <c r="AYZ95" s="499"/>
      <c r="AZA95" s="499"/>
      <c r="AZB95" s="499"/>
      <c r="AZC95" s="499"/>
      <c r="AZD95" s="499"/>
      <c r="AZE95" s="499"/>
      <c r="AZF95" s="499"/>
      <c r="AZG95" s="499"/>
      <c r="AZH95" s="499"/>
      <c r="AZI95" s="499"/>
      <c r="AZJ95" s="499"/>
      <c r="AZK95" s="499"/>
      <c r="AZL95" s="499"/>
      <c r="AZM95" s="499"/>
      <c r="AZN95" s="499"/>
      <c r="AZO95" s="499"/>
      <c r="AZP95" s="499"/>
      <c r="AZQ95" s="499"/>
      <c r="AZR95" s="499"/>
      <c r="AZS95" s="499"/>
      <c r="AZT95" s="499"/>
      <c r="AZU95" s="499"/>
      <c r="AZV95" s="499"/>
      <c r="AZW95" s="499"/>
      <c r="AZX95" s="499"/>
      <c r="AZY95" s="499"/>
      <c r="AZZ95" s="499"/>
      <c r="BAA95" s="499"/>
      <c r="BAB95" s="499"/>
      <c r="BAC95" s="499"/>
      <c r="BAD95" s="499"/>
      <c r="BAE95" s="499"/>
      <c r="BAF95" s="499"/>
      <c r="BAG95" s="499"/>
      <c r="BAH95" s="499"/>
      <c r="BAI95" s="499"/>
      <c r="BAJ95" s="499"/>
      <c r="BAK95" s="499"/>
      <c r="BAL95" s="499"/>
      <c r="BAM95" s="499"/>
      <c r="BAN95" s="499"/>
      <c r="BAO95" s="499"/>
      <c r="BAP95" s="499"/>
      <c r="BAQ95" s="499"/>
      <c r="BAR95" s="499"/>
      <c r="BAS95" s="499"/>
      <c r="BAT95" s="499"/>
      <c r="BAU95" s="499"/>
      <c r="BAV95" s="499"/>
      <c r="BAW95" s="499"/>
      <c r="BAX95" s="499"/>
      <c r="BAY95" s="499"/>
      <c r="BAZ95" s="499"/>
      <c r="BBA95" s="499"/>
      <c r="BBB95" s="499"/>
      <c r="BBC95" s="499"/>
      <c r="BBD95" s="499"/>
      <c r="BBE95" s="499"/>
      <c r="BBF95" s="499"/>
      <c r="BBG95" s="499"/>
      <c r="BBH95" s="499"/>
      <c r="BBI95" s="499"/>
      <c r="BBJ95" s="499"/>
      <c r="BBK95" s="499"/>
      <c r="BBL95" s="499"/>
      <c r="BBM95" s="499"/>
      <c r="BBN95" s="499"/>
      <c r="BBO95" s="499"/>
      <c r="BBP95" s="499"/>
      <c r="BBQ95" s="499"/>
      <c r="BBR95" s="499"/>
      <c r="BBS95" s="499"/>
      <c r="BBT95" s="499"/>
      <c r="BBU95" s="499"/>
      <c r="BBV95" s="499"/>
      <c r="BBW95" s="499"/>
      <c r="BBX95" s="499"/>
      <c r="BBY95" s="499"/>
      <c r="BBZ95" s="499"/>
      <c r="BCA95" s="499"/>
      <c r="BCB95" s="499"/>
      <c r="BCC95" s="499"/>
      <c r="BCD95" s="499"/>
      <c r="BCE95" s="499"/>
      <c r="BCF95" s="499"/>
      <c r="BCG95" s="499"/>
      <c r="BCH95" s="499"/>
      <c r="BCI95" s="499"/>
      <c r="BCJ95" s="499"/>
      <c r="BCK95" s="499"/>
      <c r="BCL95" s="499"/>
      <c r="BCM95" s="499"/>
      <c r="BCN95" s="499"/>
      <c r="BCO95" s="499"/>
      <c r="BCP95" s="499"/>
      <c r="BCQ95" s="499"/>
      <c r="BCR95" s="499"/>
      <c r="BCS95" s="499"/>
      <c r="BCT95" s="499"/>
      <c r="BCU95" s="499"/>
      <c r="BCV95" s="499"/>
      <c r="BCW95" s="499"/>
      <c r="BCX95" s="499"/>
      <c r="BCY95" s="499"/>
      <c r="BCZ95" s="499"/>
      <c r="BDA95" s="499"/>
      <c r="BDB95" s="499"/>
      <c r="BDC95" s="499"/>
      <c r="BDD95" s="499"/>
      <c r="BDE95" s="499"/>
      <c r="BDF95" s="499"/>
      <c r="BDG95" s="499"/>
      <c r="BDH95" s="499"/>
      <c r="BDI95" s="499"/>
      <c r="BDJ95" s="499"/>
      <c r="BDK95" s="499"/>
      <c r="BDL95" s="499"/>
      <c r="BDM95" s="499"/>
      <c r="BDN95" s="499"/>
      <c r="BDO95" s="499"/>
      <c r="BDP95" s="499"/>
      <c r="BDQ95" s="499"/>
      <c r="BDR95" s="499"/>
      <c r="BDS95" s="499"/>
      <c r="BDT95" s="499"/>
      <c r="BDU95" s="499"/>
      <c r="BDV95" s="499"/>
      <c r="BDW95" s="499"/>
      <c r="BDX95" s="499"/>
      <c r="BDY95" s="499"/>
      <c r="BDZ95" s="499"/>
      <c r="BEA95" s="499"/>
      <c r="BEB95" s="499"/>
      <c r="BEC95" s="499"/>
      <c r="BED95" s="499"/>
      <c r="BEE95" s="499"/>
      <c r="BEF95" s="499"/>
      <c r="BEG95" s="499"/>
      <c r="BEH95" s="499"/>
      <c r="BEI95" s="499"/>
      <c r="BEJ95" s="499"/>
      <c r="BEK95" s="499"/>
      <c r="BEL95" s="499"/>
      <c r="BEM95" s="499"/>
      <c r="BEN95" s="499"/>
      <c r="BEO95" s="499"/>
      <c r="BEP95" s="499"/>
      <c r="BEQ95" s="499"/>
      <c r="BER95" s="499"/>
      <c r="BES95" s="499"/>
      <c r="BET95" s="499"/>
      <c r="BEU95" s="499"/>
      <c r="BEV95" s="499"/>
      <c r="BEW95" s="499"/>
      <c r="BEX95" s="499"/>
      <c r="BEY95" s="499"/>
      <c r="BEZ95" s="499"/>
      <c r="BFA95" s="499"/>
      <c r="BFB95" s="499"/>
      <c r="BFC95" s="499"/>
      <c r="BFD95" s="499"/>
      <c r="BFE95" s="499"/>
      <c r="BFF95" s="499"/>
      <c r="BFG95" s="499"/>
      <c r="BFH95" s="499"/>
      <c r="BFI95" s="499"/>
      <c r="BFJ95" s="499"/>
      <c r="BFK95" s="499"/>
      <c r="BFL95" s="499"/>
      <c r="BFM95" s="499"/>
      <c r="BFN95" s="499"/>
      <c r="BFO95" s="499"/>
      <c r="BFP95" s="499"/>
      <c r="BFQ95" s="499"/>
      <c r="BFR95" s="499"/>
      <c r="BFS95" s="499"/>
      <c r="BFT95" s="499"/>
      <c r="BFU95" s="499"/>
      <c r="BFV95" s="499"/>
      <c r="BFW95" s="499"/>
      <c r="BFX95" s="499"/>
      <c r="BFY95" s="499"/>
      <c r="BFZ95" s="499"/>
      <c r="BGA95" s="499"/>
      <c r="BGB95" s="499"/>
      <c r="BGC95" s="499"/>
      <c r="BGD95" s="499"/>
      <c r="BGE95" s="499"/>
      <c r="BGF95" s="499"/>
      <c r="BGG95" s="499"/>
      <c r="BGH95" s="499"/>
      <c r="BGI95" s="499"/>
      <c r="BGJ95" s="499"/>
      <c r="BGK95" s="499"/>
      <c r="BGL95" s="499"/>
      <c r="BGM95" s="499"/>
      <c r="BGN95" s="499"/>
      <c r="BGO95" s="499"/>
      <c r="BGP95" s="499"/>
      <c r="BGQ95" s="499"/>
      <c r="BGR95" s="499"/>
      <c r="BGS95" s="499"/>
      <c r="BGT95" s="499"/>
      <c r="BGU95" s="499"/>
      <c r="BGV95" s="499"/>
      <c r="BGW95" s="499"/>
      <c r="BGX95" s="499"/>
      <c r="BGY95" s="499"/>
      <c r="BGZ95" s="499"/>
      <c r="BHA95" s="499"/>
      <c r="BHB95" s="499"/>
      <c r="BHC95" s="499"/>
      <c r="BHD95" s="499"/>
      <c r="BHE95" s="499"/>
      <c r="BHF95" s="499"/>
      <c r="BHG95" s="499"/>
      <c r="BHH95" s="499"/>
      <c r="BHI95" s="499"/>
      <c r="BHJ95" s="499"/>
      <c r="BHK95" s="499"/>
      <c r="BHL95" s="499"/>
      <c r="BHM95" s="499"/>
      <c r="BHN95" s="499"/>
      <c r="BHO95" s="499"/>
      <c r="BHP95" s="499"/>
      <c r="BHQ95" s="499"/>
      <c r="BHR95" s="499"/>
      <c r="BHS95" s="499"/>
      <c r="BHT95" s="499"/>
      <c r="BHU95" s="499"/>
      <c r="BHV95" s="499"/>
      <c r="BHW95" s="499"/>
      <c r="BHX95" s="499"/>
      <c r="BHY95" s="499"/>
      <c r="BHZ95" s="499"/>
      <c r="BIA95" s="499"/>
      <c r="BIB95" s="499"/>
      <c r="BIC95" s="499"/>
      <c r="BID95" s="499"/>
      <c r="BIE95" s="499"/>
      <c r="BIF95" s="499"/>
      <c r="BIG95" s="499"/>
      <c r="BIH95" s="499"/>
      <c r="BII95" s="499"/>
      <c r="BIJ95" s="499"/>
      <c r="BIK95" s="499"/>
      <c r="BIL95" s="499"/>
      <c r="BIM95" s="499"/>
      <c r="BIN95" s="499"/>
      <c r="BIO95" s="499"/>
      <c r="BIP95" s="499"/>
      <c r="BIQ95" s="499"/>
      <c r="BIR95" s="499"/>
      <c r="BIS95" s="499"/>
      <c r="BIT95" s="499"/>
      <c r="BIU95" s="499"/>
      <c r="BIV95" s="499"/>
      <c r="BIW95" s="499"/>
      <c r="BIX95" s="499"/>
      <c r="BIY95" s="499"/>
      <c r="BIZ95" s="499"/>
      <c r="BJA95" s="499"/>
      <c r="BJB95" s="499"/>
      <c r="BJC95" s="499"/>
      <c r="BJD95" s="499"/>
      <c r="BJE95" s="499"/>
      <c r="BJF95" s="499"/>
      <c r="BJG95" s="499"/>
      <c r="BJH95" s="499"/>
      <c r="BJI95" s="499"/>
      <c r="BJJ95" s="499"/>
      <c r="BJK95" s="499"/>
      <c r="BJL95" s="499"/>
      <c r="BJM95" s="499"/>
      <c r="BJN95" s="499"/>
      <c r="BJO95" s="499"/>
      <c r="BJP95" s="499"/>
      <c r="BJQ95" s="499"/>
      <c r="BJR95" s="499"/>
      <c r="BJS95" s="499"/>
      <c r="BJT95" s="499"/>
      <c r="BJU95" s="499"/>
      <c r="BJV95" s="499"/>
      <c r="BJW95" s="499"/>
      <c r="BJX95" s="499"/>
      <c r="BJY95" s="499"/>
      <c r="BJZ95" s="499"/>
      <c r="BKA95" s="499"/>
      <c r="BKB95" s="499"/>
      <c r="BKC95" s="499"/>
      <c r="BKD95" s="499"/>
      <c r="BKE95" s="499"/>
      <c r="BKF95" s="499"/>
      <c r="BKG95" s="499"/>
      <c r="BKH95" s="499"/>
      <c r="BKI95" s="499"/>
      <c r="BKJ95" s="499"/>
      <c r="BKK95" s="499"/>
      <c r="BKL95" s="499"/>
      <c r="BKM95" s="499"/>
      <c r="BKN95" s="499"/>
      <c r="BKO95" s="499"/>
      <c r="BKP95" s="499"/>
      <c r="BKQ95" s="499"/>
      <c r="BKR95" s="499"/>
      <c r="BKS95" s="499"/>
      <c r="BKT95" s="499"/>
      <c r="BKU95" s="499"/>
      <c r="BKV95" s="499"/>
      <c r="BKW95" s="499"/>
      <c r="BKX95" s="499"/>
      <c r="BKY95" s="499"/>
      <c r="BKZ95" s="499"/>
      <c r="BLA95" s="499"/>
      <c r="BLB95" s="499"/>
      <c r="BLC95" s="499"/>
      <c r="BLD95" s="499"/>
      <c r="BLE95" s="499"/>
      <c r="BLF95" s="499"/>
      <c r="BLG95" s="499"/>
      <c r="BLH95" s="499"/>
      <c r="BLI95" s="499"/>
      <c r="BLJ95" s="499"/>
      <c r="BLK95" s="499"/>
      <c r="BLL95" s="499"/>
      <c r="BLM95" s="499"/>
      <c r="BLN95" s="499"/>
      <c r="BLO95" s="499"/>
      <c r="BLP95" s="499"/>
      <c r="BLQ95" s="499"/>
      <c r="BLR95" s="499"/>
      <c r="BLS95" s="499"/>
      <c r="BLT95" s="499"/>
      <c r="BLU95" s="499"/>
      <c r="BLV95" s="499"/>
      <c r="BLW95" s="499"/>
      <c r="BLX95" s="499"/>
      <c r="BLY95" s="499"/>
      <c r="BLZ95" s="499"/>
      <c r="BMA95" s="499"/>
      <c r="BMB95" s="499"/>
      <c r="BMC95" s="499"/>
      <c r="BMD95" s="499"/>
      <c r="BME95" s="499"/>
      <c r="BMF95" s="499"/>
      <c r="BMG95" s="499"/>
      <c r="BMH95" s="499"/>
      <c r="BMI95" s="499"/>
      <c r="BMJ95" s="499"/>
      <c r="BMK95" s="499"/>
      <c r="BML95" s="499"/>
      <c r="BMM95" s="499"/>
      <c r="BMN95" s="499"/>
      <c r="BMO95" s="499"/>
      <c r="BMP95" s="499"/>
      <c r="BMQ95" s="499"/>
      <c r="BMR95" s="499"/>
      <c r="BMS95" s="499"/>
      <c r="BMT95" s="499"/>
      <c r="BMU95" s="499"/>
      <c r="BMV95" s="499"/>
      <c r="BMW95" s="499"/>
      <c r="BMX95" s="499"/>
      <c r="BMY95" s="499"/>
      <c r="BMZ95" s="499"/>
      <c r="BNA95" s="499"/>
      <c r="BNB95" s="499"/>
      <c r="BNC95" s="499"/>
      <c r="BND95" s="499"/>
      <c r="BNE95" s="499"/>
      <c r="BNF95" s="499"/>
      <c r="BNG95" s="499"/>
      <c r="BNH95" s="499"/>
      <c r="BNI95" s="499"/>
      <c r="BNJ95" s="499"/>
      <c r="BNK95" s="499"/>
      <c r="BNL95" s="499"/>
      <c r="BNM95" s="499"/>
      <c r="BNN95" s="499"/>
      <c r="BNO95" s="499"/>
      <c r="BNP95" s="499"/>
      <c r="BNQ95" s="499"/>
      <c r="BNR95" s="499"/>
      <c r="BNS95" s="499"/>
      <c r="BNT95" s="499"/>
      <c r="BNU95" s="499"/>
      <c r="BNV95" s="499"/>
      <c r="BNW95" s="499"/>
      <c r="BNX95" s="499"/>
      <c r="BNY95" s="499"/>
      <c r="BNZ95" s="499"/>
      <c r="BOA95" s="499"/>
      <c r="BOB95" s="499"/>
      <c r="BOC95" s="499"/>
      <c r="BOD95" s="499"/>
      <c r="BOE95" s="499"/>
      <c r="BOF95" s="499"/>
      <c r="BOG95" s="499"/>
      <c r="BOH95" s="499"/>
      <c r="BOI95" s="499"/>
      <c r="BOJ95" s="499"/>
      <c r="BOK95" s="499"/>
      <c r="BOL95" s="499"/>
      <c r="BOM95" s="499"/>
      <c r="BON95" s="499"/>
      <c r="BOO95" s="499"/>
      <c r="BOP95" s="499"/>
      <c r="BOQ95" s="499"/>
      <c r="BOR95" s="499"/>
      <c r="BOS95" s="499"/>
      <c r="BOT95" s="499"/>
      <c r="BOU95" s="499"/>
      <c r="BOV95" s="499"/>
      <c r="BOW95" s="499"/>
      <c r="BOX95" s="499"/>
      <c r="BOY95" s="499"/>
      <c r="BOZ95" s="499"/>
      <c r="BPA95" s="499"/>
      <c r="BPB95" s="499"/>
      <c r="BPC95" s="499"/>
      <c r="BPD95" s="499"/>
      <c r="BPE95" s="499"/>
      <c r="BPF95" s="499"/>
      <c r="BPG95" s="499"/>
      <c r="BPH95" s="499"/>
      <c r="BPI95" s="499"/>
      <c r="BPJ95" s="499"/>
      <c r="BPK95" s="499"/>
      <c r="BPL95" s="499"/>
      <c r="BPM95" s="499"/>
      <c r="BPN95" s="499"/>
      <c r="BPO95" s="499"/>
      <c r="BPP95" s="499"/>
      <c r="BPQ95" s="499"/>
      <c r="BPR95" s="499"/>
      <c r="BPS95" s="499"/>
      <c r="BPT95" s="499"/>
      <c r="BPU95" s="499"/>
      <c r="BPV95" s="499"/>
      <c r="BPW95" s="499"/>
      <c r="BPX95" s="499"/>
      <c r="BPY95" s="499"/>
      <c r="BPZ95" s="499"/>
      <c r="BQA95" s="499"/>
      <c r="BQB95" s="499"/>
      <c r="BQC95" s="499"/>
      <c r="BQD95" s="499"/>
      <c r="BQE95" s="499"/>
      <c r="BQF95" s="499"/>
      <c r="BQG95" s="499"/>
      <c r="BQH95" s="499"/>
      <c r="BQI95" s="499"/>
      <c r="BQJ95" s="499"/>
      <c r="BQK95" s="499"/>
      <c r="BQL95" s="499"/>
      <c r="BQM95" s="499"/>
      <c r="BQN95" s="499"/>
      <c r="BQO95" s="499"/>
      <c r="BQP95" s="499"/>
      <c r="BQQ95" s="499"/>
      <c r="BQR95" s="499"/>
      <c r="BQS95" s="499"/>
      <c r="BQT95" s="499"/>
      <c r="BQU95" s="499"/>
      <c r="BQV95" s="499"/>
      <c r="BQW95" s="499"/>
      <c r="BQX95" s="499"/>
      <c r="BQY95" s="499"/>
      <c r="BQZ95" s="499"/>
      <c r="BRA95" s="499"/>
      <c r="BRB95" s="499"/>
      <c r="BRC95" s="499"/>
      <c r="BRD95" s="499"/>
      <c r="BRE95" s="499"/>
      <c r="BRF95" s="499"/>
      <c r="BRG95" s="499"/>
      <c r="BRH95" s="499"/>
      <c r="BRI95" s="499"/>
      <c r="BRJ95" s="499"/>
      <c r="BRK95" s="499"/>
      <c r="BRL95" s="499"/>
      <c r="BRM95" s="499"/>
      <c r="BRN95" s="499"/>
      <c r="BRO95" s="499"/>
      <c r="BRP95" s="499"/>
      <c r="BRQ95" s="499"/>
      <c r="BRR95" s="499"/>
      <c r="BRS95" s="499"/>
      <c r="BRT95" s="499"/>
      <c r="BRU95" s="499"/>
      <c r="BRV95" s="499"/>
      <c r="BRW95" s="499"/>
      <c r="BRX95" s="499"/>
      <c r="BRY95" s="499"/>
      <c r="BRZ95" s="499"/>
      <c r="BSA95" s="499"/>
      <c r="BSB95" s="499"/>
      <c r="BSC95" s="499"/>
      <c r="BSD95" s="499"/>
      <c r="BSE95" s="499"/>
      <c r="BSF95" s="499"/>
      <c r="BSG95" s="499"/>
      <c r="BSH95" s="499"/>
      <c r="BSI95" s="499"/>
      <c r="BSJ95" s="499"/>
      <c r="BSK95" s="499"/>
      <c r="BSL95" s="499"/>
      <c r="BSM95" s="499"/>
      <c r="BSN95" s="499"/>
      <c r="BSO95" s="499"/>
      <c r="BSP95" s="499"/>
      <c r="BSQ95" s="499"/>
      <c r="BSR95" s="499"/>
      <c r="BSS95" s="499"/>
      <c r="BST95" s="499"/>
      <c r="BSU95" s="499"/>
      <c r="BSV95" s="499"/>
      <c r="BSW95" s="499"/>
      <c r="BSX95" s="499"/>
      <c r="BSY95" s="499"/>
      <c r="BSZ95" s="499"/>
      <c r="BTA95" s="499"/>
      <c r="BTB95" s="499"/>
      <c r="BTC95" s="499"/>
      <c r="BTD95" s="499"/>
      <c r="BTE95" s="499"/>
      <c r="BTF95" s="499"/>
      <c r="BTG95" s="499"/>
      <c r="BTH95" s="499"/>
      <c r="BTI95" s="499"/>
      <c r="BTJ95" s="499"/>
      <c r="BTK95" s="499"/>
      <c r="BTL95" s="499"/>
      <c r="BTM95" s="499"/>
      <c r="BTN95" s="499"/>
      <c r="BTO95" s="499"/>
      <c r="BTP95" s="499"/>
      <c r="BTQ95" s="499"/>
      <c r="BTR95" s="499"/>
      <c r="BTS95" s="499"/>
      <c r="BTT95" s="499"/>
      <c r="BTU95" s="499"/>
      <c r="BTV95" s="499"/>
      <c r="BTW95" s="499"/>
      <c r="BTX95" s="499"/>
      <c r="BTY95" s="499"/>
      <c r="BTZ95" s="499"/>
      <c r="BUA95" s="499"/>
      <c r="BUB95" s="499"/>
      <c r="BUC95" s="499"/>
      <c r="BUD95" s="499"/>
      <c r="BUE95" s="499"/>
      <c r="BUF95" s="499"/>
      <c r="BUG95" s="499"/>
      <c r="BUH95" s="499"/>
      <c r="BUI95" s="499"/>
      <c r="BUJ95" s="499"/>
      <c r="BUK95" s="499"/>
      <c r="BUL95" s="499"/>
      <c r="BUM95" s="499"/>
      <c r="BUN95" s="499"/>
      <c r="BUO95" s="499"/>
      <c r="BUP95" s="499"/>
      <c r="BUQ95" s="499"/>
      <c r="BUR95" s="499"/>
      <c r="BUS95" s="499"/>
      <c r="BUT95" s="499"/>
      <c r="BUU95" s="499"/>
      <c r="BUV95" s="499"/>
      <c r="BUW95" s="499"/>
      <c r="BUX95" s="499"/>
      <c r="BUY95" s="499"/>
      <c r="BUZ95" s="499"/>
      <c r="BVA95" s="499"/>
      <c r="BVB95" s="499"/>
      <c r="BVC95" s="499"/>
      <c r="BVD95" s="499"/>
      <c r="BVE95" s="499"/>
      <c r="BVF95" s="499"/>
      <c r="BVG95" s="499"/>
      <c r="BVH95" s="499"/>
      <c r="BVI95" s="499"/>
      <c r="BVJ95" s="499"/>
      <c r="BVK95" s="499"/>
      <c r="BVL95" s="499"/>
      <c r="BVM95" s="499"/>
      <c r="BVN95" s="499"/>
      <c r="BVO95" s="499"/>
      <c r="BVP95" s="499"/>
      <c r="BVQ95" s="499"/>
      <c r="BVR95" s="499"/>
      <c r="BVS95" s="499"/>
      <c r="BVT95" s="499"/>
      <c r="BVU95" s="499"/>
      <c r="BVV95" s="499"/>
      <c r="BVW95" s="499"/>
      <c r="BVX95" s="499"/>
      <c r="BVY95" s="499"/>
      <c r="BVZ95" s="499"/>
      <c r="BWA95" s="499"/>
      <c r="BWB95" s="499"/>
      <c r="BWC95" s="499"/>
      <c r="BWD95" s="499"/>
      <c r="BWE95" s="499"/>
      <c r="BWF95" s="499"/>
      <c r="BWG95" s="499"/>
      <c r="BWH95" s="499"/>
      <c r="BWI95" s="499"/>
      <c r="BWJ95" s="499"/>
      <c r="BWK95" s="499"/>
      <c r="BWL95" s="499"/>
      <c r="BWM95" s="499"/>
      <c r="BWN95" s="499"/>
      <c r="BWO95" s="499"/>
      <c r="BWP95" s="499"/>
      <c r="BWQ95" s="499"/>
      <c r="BWR95" s="499"/>
      <c r="BWS95" s="499"/>
      <c r="BWT95" s="499"/>
      <c r="BWU95" s="499"/>
      <c r="BWV95" s="499"/>
      <c r="BWW95" s="499"/>
      <c r="BWX95" s="499"/>
      <c r="BWY95" s="499"/>
      <c r="BWZ95" s="499"/>
      <c r="BXA95" s="499"/>
      <c r="BXB95" s="499"/>
      <c r="BXC95" s="499"/>
      <c r="BXD95" s="499"/>
      <c r="BXE95" s="499"/>
      <c r="BXF95" s="499"/>
      <c r="BXG95" s="499"/>
      <c r="BXH95" s="499"/>
      <c r="BXI95" s="499"/>
      <c r="BXJ95" s="499"/>
      <c r="BXK95" s="499"/>
      <c r="BXL95" s="499"/>
      <c r="BXM95" s="499"/>
      <c r="BXN95" s="499"/>
      <c r="BXO95" s="499"/>
      <c r="BXP95" s="499"/>
      <c r="BXQ95" s="499"/>
      <c r="BXR95" s="499"/>
      <c r="BXS95" s="499"/>
      <c r="BXT95" s="499"/>
      <c r="BXU95" s="499"/>
      <c r="BXV95" s="499"/>
      <c r="BXW95" s="499"/>
      <c r="BXX95" s="499"/>
      <c r="BXY95" s="499"/>
      <c r="BXZ95" s="499"/>
      <c r="BYA95" s="499"/>
      <c r="BYB95" s="499"/>
      <c r="BYC95" s="499"/>
      <c r="BYD95" s="499"/>
      <c r="BYE95" s="499"/>
      <c r="BYF95" s="499"/>
      <c r="BYG95" s="499"/>
      <c r="BYH95" s="499"/>
      <c r="BYI95" s="499"/>
      <c r="BYJ95" s="499"/>
      <c r="BYK95" s="499"/>
      <c r="BYL95" s="499"/>
      <c r="BYM95" s="499"/>
      <c r="BYN95" s="499"/>
      <c r="BYO95" s="499"/>
      <c r="BYP95" s="499"/>
      <c r="BYQ95" s="499"/>
      <c r="BYR95" s="499"/>
      <c r="BYS95" s="499"/>
      <c r="BYT95" s="499"/>
      <c r="BYU95" s="499"/>
      <c r="BYV95" s="499"/>
      <c r="BYW95" s="499"/>
      <c r="BYX95" s="499"/>
      <c r="BYY95" s="499"/>
      <c r="BYZ95" s="499"/>
      <c r="BZA95" s="499"/>
      <c r="BZB95" s="499"/>
      <c r="BZC95" s="499"/>
      <c r="BZD95" s="499"/>
      <c r="BZE95" s="499"/>
      <c r="BZF95" s="499"/>
      <c r="BZG95" s="499"/>
      <c r="BZH95" s="499"/>
      <c r="BZI95" s="499"/>
      <c r="BZJ95" s="499"/>
      <c r="BZK95" s="499"/>
      <c r="BZL95" s="499"/>
      <c r="BZM95" s="499"/>
      <c r="BZN95" s="499"/>
      <c r="BZO95" s="499"/>
      <c r="BZP95" s="499"/>
      <c r="BZQ95" s="499"/>
      <c r="BZR95" s="499"/>
      <c r="BZS95" s="499"/>
      <c r="BZT95" s="499"/>
      <c r="BZU95" s="499"/>
      <c r="BZV95" s="499"/>
      <c r="BZW95" s="499"/>
      <c r="BZX95" s="499"/>
      <c r="BZY95" s="499"/>
      <c r="BZZ95" s="499"/>
      <c r="CAA95" s="499"/>
      <c r="CAB95" s="499"/>
      <c r="CAC95" s="499"/>
      <c r="CAD95" s="499"/>
      <c r="CAE95" s="499"/>
      <c r="CAF95" s="499"/>
      <c r="CAG95" s="499"/>
      <c r="CAH95" s="499"/>
      <c r="CAI95" s="499"/>
      <c r="CAJ95" s="499"/>
      <c r="CAK95" s="499"/>
      <c r="CAL95" s="499"/>
      <c r="CAM95" s="499"/>
      <c r="CAN95" s="499"/>
      <c r="CAO95" s="499"/>
      <c r="CAP95" s="499"/>
      <c r="CAQ95" s="499"/>
      <c r="CAR95" s="499"/>
      <c r="CAS95" s="499"/>
      <c r="CAT95" s="499"/>
      <c r="CAU95" s="499"/>
      <c r="CAV95" s="499"/>
      <c r="CAW95" s="499"/>
      <c r="CAX95" s="499"/>
      <c r="CAY95" s="499"/>
      <c r="CAZ95" s="499"/>
      <c r="CBA95" s="499"/>
      <c r="CBB95" s="499"/>
      <c r="CBC95" s="499"/>
      <c r="CBD95" s="499"/>
      <c r="CBE95" s="499"/>
      <c r="CBF95" s="499"/>
      <c r="CBG95" s="499"/>
      <c r="CBH95" s="499"/>
      <c r="CBI95" s="499"/>
      <c r="CBJ95" s="499"/>
      <c r="CBK95" s="499"/>
      <c r="CBL95" s="499"/>
      <c r="CBM95" s="499"/>
      <c r="CBN95" s="499"/>
      <c r="CBO95" s="499"/>
      <c r="CBP95" s="499"/>
      <c r="CBQ95" s="499"/>
      <c r="CBR95" s="499"/>
      <c r="CBS95" s="499"/>
      <c r="CBT95" s="499"/>
      <c r="CBU95" s="499"/>
      <c r="CBV95" s="499"/>
      <c r="CBW95" s="499"/>
      <c r="CBX95" s="499"/>
      <c r="CBY95" s="499"/>
      <c r="CBZ95" s="499"/>
      <c r="CCA95" s="499"/>
      <c r="CCB95" s="499"/>
      <c r="CCC95" s="499"/>
      <c r="CCD95" s="499"/>
      <c r="CCE95" s="499"/>
      <c r="CCF95" s="499"/>
      <c r="CCG95" s="499"/>
      <c r="CCH95" s="499"/>
      <c r="CCI95" s="499"/>
      <c r="CCJ95" s="499"/>
      <c r="CCK95" s="499"/>
      <c r="CCL95" s="499"/>
      <c r="CCM95" s="499"/>
      <c r="CCN95" s="499"/>
      <c r="CCO95" s="499"/>
      <c r="CCP95" s="499"/>
      <c r="CCQ95" s="499"/>
      <c r="CCR95" s="499"/>
      <c r="CCS95" s="499"/>
      <c r="CCT95" s="499"/>
      <c r="CCU95" s="499"/>
      <c r="CCV95" s="499"/>
      <c r="CCW95" s="499"/>
      <c r="CCX95" s="499"/>
      <c r="CCY95" s="499"/>
      <c r="CCZ95" s="499"/>
      <c r="CDA95" s="499"/>
      <c r="CDB95" s="499"/>
      <c r="CDC95" s="499"/>
      <c r="CDD95" s="499"/>
      <c r="CDE95" s="499"/>
      <c r="CDF95" s="499"/>
      <c r="CDG95" s="499"/>
      <c r="CDH95" s="499"/>
      <c r="CDI95" s="499"/>
      <c r="CDJ95" s="499"/>
      <c r="CDK95" s="499"/>
      <c r="CDL95" s="499"/>
      <c r="CDM95" s="499"/>
      <c r="CDN95" s="499"/>
      <c r="CDO95" s="499"/>
      <c r="CDP95" s="499"/>
      <c r="CDQ95" s="499"/>
      <c r="CDR95" s="499"/>
      <c r="CDS95" s="499"/>
      <c r="CDT95" s="499"/>
      <c r="CDU95" s="499"/>
      <c r="CDV95" s="499"/>
      <c r="CDW95" s="499"/>
      <c r="CDX95" s="499"/>
      <c r="CDY95" s="499"/>
      <c r="CDZ95" s="499"/>
      <c r="CEA95" s="499"/>
      <c r="CEB95" s="499"/>
      <c r="CEC95" s="499"/>
      <c r="CED95" s="499"/>
      <c r="CEE95" s="499"/>
      <c r="CEF95" s="499"/>
      <c r="CEG95" s="499"/>
      <c r="CEH95" s="499"/>
      <c r="CEI95" s="499"/>
      <c r="CEJ95" s="499"/>
      <c r="CEK95" s="499"/>
      <c r="CEL95" s="499"/>
      <c r="CEM95" s="499"/>
      <c r="CEN95" s="499"/>
      <c r="CEO95" s="499"/>
      <c r="CEP95" s="499"/>
      <c r="CEQ95" s="499"/>
      <c r="CER95" s="499"/>
      <c r="CES95" s="499"/>
      <c r="CET95" s="499"/>
      <c r="CEU95" s="499"/>
      <c r="CEV95" s="499"/>
      <c r="CEW95" s="499"/>
      <c r="CEX95" s="499"/>
      <c r="CEY95" s="499"/>
      <c r="CEZ95" s="499"/>
      <c r="CFA95" s="499"/>
      <c r="CFB95" s="499"/>
      <c r="CFC95" s="499"/>
      <c r="CFD95" s="499"/>
      <c r="CFE95" s="499"/>
      <c r="CFF95" s="499"/>
      <c r="CFG95" s="499"/>
      <c r="CFH95" s="499"/>
      <c r="CFI95" s="499"/>
      <c r="CFJ95" s="499"/>
      <c r="CFK95" s="499"/>
      <c r="CFL95" s="499"/>
      <c r="CFM95" s="499"/>
      <c r="CFN95" s="499"/>
      <c r="CFO95" s="499"/>
      <c r="CFP95" s="499"/>
      <c r="CFQ95" s="499"/>
      <c r="CFR95" s="499"/>
      <c r="CFS95" s="499"/>
      <c r="CFT95" s="499"/>
      <c r="CFU95" s="499"/>
      <c r="CFV95" s="499"/>
      <c r="CFW95" s="499"/>
      <c r="CFX95" s="499"/>
      <c r="CFY95" s="499"/>
      <c r="CFZ95" s="499"/>
      <c r="CGA95" s="499"/>
      <c r="CGB95" s="499"/>
      <c r="CGC95" s="499"/>
      <c r="CGD95" s="499"/>
      <c r="CGE95" s="499"/>
      <c r="CGF95" s="499"/>
      <c r="CGG95" s="499"/>
      <c r="CGH95" s="499"/>
      <c r="CGI95" s="499"/>
      <c r="CGJ95" s="499"/>
      <c r="CGK95" s="499"/>
      <c r="CGL95" s="499"/>
      <c r="CGM95" s="499"/>
      <c r="CGN95" s="499"/>
      <c r="CGO95" s="499"/>
      <c r="CGP95" s="499"/>
      <c r="CGQ95" s="499"/>
      <c r="CGR95" s="499"/>
      <c r="CGS95" s="499"/>
      <c r="CGT95" s="499"/>
      <c r="CGU95" s="499"/>
      <c r="CGV95" s="499"/>
      <c r="CGW95" s="499"/>
      <c r="CGX95" s="499"/>
      <c r="CGY95" s="499"/>
      <c r="CGZ95" s="499"/>
      <c r="CHA95" s="499"/>
      <c r="CHB95" s="499"/>
      <c r="CHC95" s="499"/>
      <c r="CHD95" s="499"/>
      <c r="CHE95" s="499"/>
      <c r="CHF95" s="499"/>
      <c r="CHG95" s="499"/>
      <c r="CHH95" s="499"/>
      <c r="CHI95" s="499"/>
      <c r="CHJ95" s="499"/>
      <c r="CHK95" s="499"/>
      <c r="CHL95" s="499"/>
      <c r="CHM95" s="499"/>
      <c r="CHN95" s="499"/>
      <c r="CHO95" s="499"/>
      <c r="CHP95" s="499"/>
      <c r="CHQ95" s="499"/>
      <c r="CHR95" s="499"/>
      <c r="CHS95" s="499"/>
      <c r="CHT95" s="499"/>
      <c r="CHU95" s="499"/>
      <c r="CHV95" s="499"/>
      <c r="CHW95" s="499"/>
      <c r="CHX95" s="499"/>
      <c r="CHY95" s="499"/>
      <c r="CHZ95" s="499"/>
      <c r="CIA95" s="499"/>
      <c r="CIB95" s="499"/>
      <c r="CIC95" s="499"/>
      <c r="CID95" s="499"/>
      <c r="CIE95" s="499"/>
      <c r="CIF95" s="499"/>
      <c r="CIG95" s="499"/>
      <c r="CIH95" s="499"/>
      <c r="CII95" s="499"/>
      <c r="CIJ95" s="499"/>
      <c r="CIK95" s="499"/>
      <c r="CIL95" s="499"/>
      <c r="CIM95" s="499"/>
      <c r="CIN95" s="499"/>
      <c r="CIO95" s="499"/>
      <c r="CIP95" s="499"/>
      <c r="CIQ95" s="499"/>
      <c r="CIR95" s="499"/>
      <c r="CIS95" s="499"/>
      <c r="CIT95" s="499"/>
      <c r="CIU95" s="499"/>
      <c r="CIV95" s="499"/>
      <c r="CIW95" s="499"/>
      <c r="CIX95" s="499"/>
      <c r="CIY95" s="499"/>
      <c r="CIZ95" s="499"/>
      <c r="CJA95" s="499"/>
      <c r="CJB95" s="499"/>
      <c r="CJC95" s="499"/>
      <c r="CJD95" s="499"/>
      <c r="CJE95" s="499"/>
      <c r="CJF95" s="499"/>
      <c r="CJG95" s="499"/>
      <c r="CJH95" s="499"/>
      <c r="CJI95" s="499"/>
      <c r="CJJ95" s="499"/>
      <c r="CJK95" s="499"/>
      <c r="CJL95" s="499"/>
      <c r="CJM95" s="499"/>
      <c r="CJN95" s="499"/>
      <c r="CJO95" s="499"/>
      <c r="CJP95" s="499"/>
      <c r="CJQ95" s="499"/>
      <c r="CJR95" s="499"/>
      <c r="CJS95" s="499"/>
      <c r="CJT95" s="499"/>
      <c r="CJU95" s="499"/>
      <c r="CJV95" s="499"/>
      <c r="CJW95" s="499"/>
      <c r="CJX95" s="499"/>
      <c r="CJY95" s="499"/>
      <c r="CJZ95" s="499"/>
      <c r="CKA95" s="499"/>
      <c r="CKB95" s="499"/>
      <c r="CKC95" s="499"/>
      <c r="CKD95" s="499"/>
      <c r="CKE95" s="499"/>
      <c r="CKF95" s="499"/>
      <c r="CKG95" s="499"/>
      <c r="CKH95" s="499"/>
      <c r="CKI95" s="499"/>
      <c r="CKJ95" s="499"/>
      <c r="CKK95" s="499"/>
      <c r="CKL95" s="499"/>
      <c r="CKM95" s="499"/>
      <c r="CKN95" s="499"/>
      <c r="CKO95" s="499"/>
      <c r="CKP95" s="499"/>
      <c r="CKQ95" s="499"/>
      <c r="CKR95" s="499"/>
      <c r="CKS95" s="499"/>
      <c r="CKT95" s="499"/>
      <c r="CKU95" s="499"/>
      <c r="CKV95" s="499"/>
      <c r="CKW95" s="499"/>
      <c r="CKX95" s="499"/>
      <c r="CKY95" s="499"/>
      <c r="CKZ95" s="499"/>
      <c r="CLA95" s="499"/>
      <c r="CLB95" s="499"/>
      <c r="CLC95" s="499"/>
      <c r="CLD95" s="499"/>
      <c r="CLE95" s="499"/>
      <c r="CLF95" s="499"/>
      <c r="CLG95" s="499"/>
      <c r="CLH95" s="499"/>
      <c r="CLI95" s="499"/>
      <c r="CLJ95" s="499"/>
      <c r="CLK95" s="499"/>
      <c r="CLL95" s="499"/>
      <c r="CLM95" s="499"/>
      <c r="CLN95" s="499"/>
      <c r="CLO95" s="499"/>
      <c r="CLP95" s="499"/>
      <c r="CLQ95" s="499"/>
      <c r="CLR95" s="499"/>
      <c r="CLS95" s="499"/>
      <c r="CLT95" s="499"/>
      <c r="CLU95" s="499"/>
      <c r="CLV95" s="499"/>
      <c r="CLW95" s="499"/>
      <c r="CLX95" s="499"/>
      <c r="CLY95" s="499"/>
      <c r="CLZ95" s="499"/>
      <c r="CMA95" s="499"/>
      <c r="CMB95" s="499"/>
      <c r="CMC95" s="499"/>
      <c r="CMD95" s="499"/>
      <c r="CME95" s="499"/>
      <c r="CMF95" s="499"/>
      <c r="CMG95" s="499"/>
      <c r="CMH95" s="499"/>
      <c r="CMI95" s="499"/>
      <c r="CMJ95" s="499"/>
      <c r="CMK95" s="499"/>
      <c r="CML95" s="499"/>
      <c r="CMM95" s="499"/>
      <c r="CMN95" s="499"/>
      <c r="CMO95" s="499"/>
      <c r="CMP95" s="499"/>
      <c r="CMQ95" s="499"/>
      <c r="CMR95" s="499"/>
      <c r="CMS95" s="499"/>
      <c r="CMT95" s="499"/>
      <c r="CMU95" s="499"/>
      <c r="CMV95" s="499"/>
      <c r="CMW95" s="499"/>
      <c r="CMX95" s="499"/>
      <c r="CMY95" s="499"/>
      <c r="CMZ95" s="499"/>
      <c r="CNA95" s="499"/>
      <c r="CNB95" s="499"/>
      <c r="CNC95" s="499"/>
      <c r="CND95" s="499"/>
      <c r="CNE95" s="499"/>
      <c r="CNF95" s="499"/>
      <c r="CNG95" s="499"/>
      <c r="CNH95" s="499"/>
      <c r="CNI95" s="499"/>
      <c r="CNJ95" s="499"/>
      <c r="CNK95" s="499"/>
      <c r="CNL95" s="499"/>
      <c r="CNM95" s="499"/>
      <c r="CNN95" s="499"/>
      <c r="CNO95" s="499"/>
      <c r="CNP95" s="499"/>
      <c r="CNQ95" s="499"/>
      <c r="CNR95" s="499"/>
      <c r="CNS95" s="499"/>
      <c r="CNT95" s="499"/>
      <c r="CNU95" s="499"/>
      <c r="CNV95" s="499"/>
      <c r="CNW95" s="499"/>
      <c r="CNX95" s="499"/>
      <c r="CNY95" s="499"/>
      <c r="CNZ95" s="499"/>
      <c r="COA95" s="499"/>
      <c r="COB95" s="499"/>
      <c r="COC95" s="499"/>
      <c r="COD95" s="499"/>
      <c r="COE95" s="499"/>
      <c r="COF95" s="499"/>
      <c r="COG95" s="499"/>
      <c r="COH95" s="499"/>
      <c r="COI95" s="499"/>
      <c r="COJ95" s="499"/>
      <c r="COK95" s="499"/>
      <c r="COL95" s="499"/>
      <c r="COM95" s="499"/>
      <c r="CON95" s="499"/>
      <c r="COO95" s="499"/>
      <c r="COP95" s="499"/>
      <c r="COQ95" s="499"/>
      <c r="COR95" s="499"/>
      <c r="COS95" s="499"/>
      <c r="COT95" s="499"/>
      <c r="COU95" s="499"/>
      <c r="COV95" s="499"/>
      <c r="COW95" s="499"/>
      <c r="COX95" s="499"/>
      <c r="COY95" s="499"/>
      <c r="COZ95" s="499"/>
      <c r="CPA95" s="499"/>
      <c r="CPB95" s="499"/>
      <c r="CPC95" s="499"/>
      <c r="CPD95" s="499"/>
      <c r="CPE95" s="499"/>
      <c r="CPF95" s="499"/>
      <c r="CPG95" s="499"/>
      <c r="CPH95" s="499"/>
      <c r="CPI95" s="499"/>
      <c r="CPJ95" s="499"/>
      <c r="CPK95" s="499"/>
      <c r="CPL95" s="499"/>
      <c r="CPM95" s="499"/>
      <c r="CPN95" s="499"/>
      <c r="CPO95" s="499"/>
      <c r="CPP95" s="499"/>
      <c r="CPQ95" s="499"/>
      <c r="CPR95" s="499"/>
      <c r="CPS95" s="499"/>
      <c r="CPT95" s="499"/>
      <c r="CPU95" s="499"/>
      <c r="CPV95" s="499"/>
      <c r="CPW95" s="499"/>
      <c r="CPX95" s="499"/>
      <c r="CPY95" s="499"/>
      <c r="CPZ95" s="499"/>
      <c r="CQA95" s="499"/>
      <c r="CQB95" s="499"/>
      <c r="CQC95" s="499"/>
      <c r="CQD95" s="499"/>
      <c r="CQE95" s="499"/>
      <c r="CQF95" s="499"/>
      <c r="CQG95" s="499"/>
      <c r="CQH95" s="499"/>
      <c r="CQI95" s="499"/>
      <c r="CQJ95" s="499"/>
      <c r="CQK95" s="499"/>
      <c r="CQL95" s="499"/>
      <c r="CQM95" s="499"/>
      <c r="CQN95" s="499"/>
      <c r="CQO95" s="499"/>
      <c r="CQP95" s="499"/>
      <c r="CQQ95" s="499"/>
      <c r="CQR95" s="499"/>
      <c r="CQS95" s="499"/>
      <c r="CQT95" s="499"/>
      <c r="CQU95" s="499"/>
      <c r="CQV95" s="499"/>
      <c r="CQW95" s="499"/>
      <c r="CQX95" s="499"/>
      <c r="CQY95" s="499"/>
      <c r="CQZ95" s="499"/>
      <c r="CRA95" s="499"/>
      <c r="CRB95" s="499"/>
      <c r="CRC95" s="499"/>
      <c r="CRD95" s="499"/>
      <c r="CRE95" s="499"/>
      <c r="CRF95" s="499"/>
      <c r="CRG95" s="499"/>
      <c r="CRH95" s="499"/>
      <c r="CRI95" s="499"/>
      <c r="CRJ95" s="499"/>
      <c r="CRK95" s="499"/>
      <c r="CRL95" s="499"/>
      <c r="CRM95" s="499"/>
      <c r="CRN95" s="499"/>
      <c r="CRO95" s="499"/>
      <c r="CRP95" s="499"/>
      <c r="CRQ95" s="499"/>
      <c r="CRR95" s="499"/>
      <c r="CRS95" s="499"/>
      <c r="CRT95" s="499"/>
      <c r="CRU95" s="499"/>
      <c r="CRV95" s="499"/>
      <c r="CRW95" s="499"/>
      <c r="CRX95" s="499"/>
      <c r="CRY95" s="499"/>
      <c r="CRZ95" s="499"/>
      <c r="CSA95" s="499"/>
      <c r="CSB95" s="499"/>
      <c r="CSC95" s="499"/>
      <c r="CSD95" s="499"/>
      <c r="CSE95" s="499"/>
      <c r="CSF95" s="499"/>
      <c r="CSG95" s="499"/>
      <c r="CSH95" s="499"/>
      <c r="CSI95" s="499"/>
      <c r="CSJ95" s="499"/>
      <c r="CSK95" s="499"/>
      <c r="CSL95" s="499"/>
      <c r="CSM95" s="499"/>
      <c r="CSN95" s="499"/>
      <c r="CSO95" s="499"/>
      <c r="CSP95" s="499"/>
      <c r="CSQ95" s="499"/>
      <c r="CSR95" s="499"/>
      <c r="CSS95" s="499"/>
      <c r="CST95" s="499"/>
      <c r="CSU95" s="499"/>
      <c r="CSV95" s="499"/>
      <c r="CSW95" s="499"/>
      <c r="CSX95" s="499"/>
      <c r="CSY95" s="499"/>
      <c r="CSZ95" s="499"/>
      <c r="CTA95" s="499"/>
      <c r="CTB95" s="499"/>
      <c r="CTC95" s="499"/>
      <c r="CTD95" s="499"/>
      <c r="CTE95" s="499"/>
      <c r="CTF95" s="499"/>
      <c r="CTG95" s="499"/>
      <c r="CTH95" s="499"/>
      <c r="CTI95" s="499"/>
      <c r="CTJ95" s="499"/>
      <c r="CTK95" s="499"/>
      <c r="CTL95" s="499"/>
      <c r="CTM95" s="499"/>
      <c r="CTN95" s="499"/>
      <c r="CTO95" s="499"/>
      <c r="CTP95" s="499"/>
      <c r="CTQ95" s="499"/>
      <c r="CTR95" s="499"/>
      <c r="CTS95" s="499"/>
      <c r="CTT95" s="499"/>
      <c r="CTU95" s="499"/>
      <c r="CTV95" s="499"/>
      <c r="CTW95" s="499"/>
      <c r="CTX95" s="499"/>
      <c r="CTY95" s="499"/>
      <c r="CTZ95" s="499"/>
      <c r="CUA95" s="499"/>
      <c r="CUB95" s="499"/>
      <c r="CUC95" s="499"/>
      <c r="CUD95" s="499"/>
      <c r="CUE95" s="499"/>
      <c r="CUF95" s="499"/>
      <c r="CUG95" s="499"/>
      <c r="CUH95" s="499"/>
      <c r="CUI95" s="499"/>
      <c r="CUJ95" s="499"/>
      <c r="CUK95" s="499"/>
      <c r="CUL95" s="499"/>
      <c r="CUM95" s="499"/>
      <c r="CUN95" s="499"/>
      <c r="CUO95" s="499"/>
      <c r="CUP95" s="499"/>
      <c r="CUQ95" s="499"/>
      <c r="CUR95" s="499"/>
      <c r="CUS95" s="499"/>
      <c r="CUT95" s="499"/>
      <c r="CUU95" s="499"/>
      <c r="CUV95" s="499"/>
      <c r="CUW95" s="499"/>
      <c r="CUX95" s="499"/>
      <c r="CUY95" s="499"/>
      <c r="CUZ95" s="499"/>
      <c r="CVA95" s="499"/>
      <c r="CVB95" s="499"/>
      <c r="CVC95" s="499"/>
      <c r="CVD95" s="499"/>
      <c r="CVE95" s="499"/>
      <c r="CVF95" s="499"/>
      <c r="CVG95" s="499"/>
      <c r="CVH95" s="499"/>
      <c r="CVI95" s="499"/>
      <c r="CVJ95" s="499"/>
      <c r="CVK95" s="499"/>
      <c r="CVL95" s="499"/>
      <c r="CVM95" s="499"/>
      <c r="CVN95" s="499"/>
      <c r="CVO95" s="499"/>
      <c r="CVP95" s="499"/>
      <c r="CVQ95" s="499"/>
      <c r="CVR95" s="499"/>
      <c r="CVS95" s="499"/>
      <c r="CVT95" s="499"/>
      <c r="CVU95" s="499"/>
      <c r="CVV95" s="499"/>
      <c r="CVW95" s="499"/>
      <c r="CVX95" s="499"/>
      <c r="CVY95" s="499"/>
      <c r="CVZ95" s="499"/>
      <c r="CWA95" s="499"/>
      <c r="CWB95" s="499"/>
      <c r="CWC95" s="499"/>
      <c r="CWD95" s="499"/>
      <c r="CWE95" s="499"/>
      <c r="CWF95" s="499"/>
      <c r="CWG95" s="499"/>
      <c r="CWH95" s="499"/>
      <c r="CWI95" s="499"/>
      <c r="CWJ95" s="499"/>
      <c r="CWK95" s="499"/>
      <c r="CWL95" s="499"/>
      <c r="CWM95" s="499"/>
      <c r="CWN95" s="499"/>
      <c r="CWO95" s="499"/>
      <c r="CWP95" s="499"/>
      <c r="CWQ95" s="499"/>
      <c r="CWR95" s="499"/>
      <c r="CWS95" s="499"/>
      <c r="CWT95" s="499"/>
      <c r="CWU95" s="499"/>
      <c r="CWV95" s="499"/>
      <c r="CWW95" s="499"/>
      <c r="CWX95" s="499"/>
      <c r="CWY95" s="499"/>
      <c r="CWZ95" s="499"/>
      <c r="CXA95" s="499"/>
      <c r="CXB95" s="499"/>
      <c r="CXC95" s="499"/>
      <c r="CXD95" s="499"/>
      <c r="CXE95" s="499"/>
      <c r="CXF95" s="499"/>
      <c r="CXG95" s="499"/>
      <c r="CXH95" s="499"/>
      <c r="CXI95" s="499"/>
      <c r="CXJ95" s="499"/>
      <c r="CXK95" s="499"/>
      <c r="CXL95" s="499"/>
      <c r="CXM95" s="499"/>
      <c r="CXN95" s="499"/>
      <c r="CXO95" s="499"/>
      <c r="CXP95" s="499"/>
      <c r="CXQ95" s="499"/>
      <c r="CXR95" s="499"/>
      <c r="CXS95" s="499"/>
      <c r="CXT95" s="499"/>
      <c r="CXU95" s="499"/>
      <c r="CXV95" s="499"/>
      <c r="CXW95" s="499"/>
      <c r="CXX95" s="499"/>
      <c r="CXY95" s="499"/>
      <c r="CXZ95" s="499"/>
      <c r="CYA95" s="499"/>
      <c r="CYB95" s="499"/>
      <c r="CYC95" s="499"/>
      <c r="CYD95" s="499"/>
      <c r="CYE95" s="499"/>
      <c r="CYF95" s="499"/>
      <c r="CYG95" s="499"/>
      <c r="CYH95" s="499"/>
      <c r="CYI95" s="499"/>
      <c r="CYJ95" s="499"/>
      <c r="CYK95" s="499"/>
      <c r="CYL95" s="499"/>
      <c r="CYM95" s="499"/>
      <c r="CYN95" s="499"/>
      <c r="CYO95" s="499"/>
      <c r="CYP95" s="499"/>
      <c r="CYQ95" s="499"/>
      <c r="CYR95" s="499"/>
      <c r="CYS95" s="499"/>
      <c r="CYT95" s="499"/>
      <c r="CYU95" s="499"/>
      <c r="CYV95" s="499"/>
      <c r="CYW95" s="499"/>
      <c r="CYX95" s="499"/>
      <c r="CYY95" s="499"/>
      <c r="CYZ95" s="499"/>
      <c r="CZA95" s="499"/>
      <c r="CZB95" s="499"/>
      <c r="CZC95" s="499"/>
      <c r="CZD95" s="499"/>
      <c r="CZE95" s="499"/>
      <c r="CZF95" s="499"/>
      <c r="CZG95" s="499"/>
      <c r="CZH95" s="499"/>
      <c r="CZI95" s="499"/>
      <c r="CZJ95" s="499"/>
      <c r="CZK95" s="499"/>
      <c r="CZL95" s="499"/>
      <c r="CZM95" s="499"/>
      <c r="CZN95" s="499"/>
      <c r="CZO95" s="499"/>
      <c r="CZP95" s="499"/>
      <c r="CZQ95" s="499"/>
      <c r="CZR95" s="499"/>
      <c r="CZS95" s="499"/>
      <c r="CZT95" s="499"/>
      <c r="CZU95" s="499"/>
      <c r="CZV95" s="499"/>
      <c r="CZW95" s="499"/>
      <c r="CZX95" s="499"/>
      <c r="CZY95" s="499"/>
      <c r="CZZ95" s="499"/>
      <c r="DAA95" s="499"/>
      <c r="DAB95" s="499"/>
      <c r="DAC95" s="499"/>
      <c r="DAD95" s="499"/>
      <c r="DAE95" s="499"/>
      <c r="DAF95" s="499"/>
      <c r="DAG95" s="499"/>
      <c r="DAH95" s="499"/>
      <c r="DAI95" s="499"/>
      <c r="DAJ95" s="499"/>
      <c r="DAK95" s="499"/>
      <c r="DAL95" s="499"/>
      <c r="DAM95" s="499"/>
      <c r="DAN95" s="499"/>
      <c r="DAO95" s="499"/>
      <c r="DAP95" s="499"/>
      <c r="DAQ95" s="499"/>
      <c r="DAR95" s="499"/>
      <c r="DAS95" s="499"/>
      <c r="DAT95" s="499"/>
      <c r="DAU95" s="499"/>
      <c r="DAV95" s="499"/>
      <c r="DAW95" s="499"/>
      <c r="DAX95" s="499"/>
      <c r="DAY95" s="499"/>
      <c r="DAZ95" s="499"/>
      <c r="DBA95" s="499"/>
      <c r="DBB95" s="499"/>
      <c r="DBC95" s="499"/>
      <c r="DBD95" s="499"/>
      <c r="DBE95" s="499"/>
      <c r="DBF95" s="499"/>
      <c r="DBG95" s="499"/>
      <c r="DBH95" s="499"/>
      <c r="DBI95" s="499"/>
      <c r="DBJ95" s="499"/>
      <c r="DBK95" s="499"/>
      <c r="DBL95" s="499"/>
      <c r="DBM95" s="499"/>
      <c r="DBN95" s="499"/>
      <c r="DBO95" s="499"/>
      <c r="DBP95" s="499"/>
      <c r="DBQ95" s="499"/>
      <c r="DBR95" s="499"/>
      <c r="DBS95" s="499"/>
      <c r="DBT95" s="499"/>
      <c r="DBU95" s="499"/>
      <c r="DBV95" s="499"/>
      <c r="DBW95" s="499"/>
      <c r="DBX95" s="499"/>
      <c r="DBY95" s="499"/>
      <c r="DBZ95" s="499"/>
      <c r="DCA95" s="499"/>
      <c r="DCB95" s="499"/>
      <c r="DCC95" s="499"/>
      <c r="DCD95" s="499"/>
      <c r="DCE95" s="499"/>
      <c r="DCF95" s="499"/>
      <c r="DCG95" s="499"/>
      <c r="DCH95" s="499"/>
      <c r="DCI95" s="499"/>
      <c r="DCJ95" s="499"/>
      <c r="DCK95" s="499"/>
      <c r="DCL95" s="499"/>
      <c r="DCM95" s="499"/>
      <c r="DCN95" s="499"/>
      <c r="DCO95" s="499"/>
      <c r="DCP95" s="499"/>
      <c r="DCQ95" s="499"/>
      <c r="DCR95" s="499"/>
      <c r="DCS95" s="499"/>
      <c r="DCT95" s="499"/>
      <c r="DCU95" s="499"/>
      <c r="DCV95" s="499"/>
      <c r="DCW95" s="499"/>
      <c r="DCX95" s="499"/>
      <c r="DCY95" s="499"/>
      <c r="DCZ95" s="499"/>
      <c r="DDA95" s="499"/>
      <c r="DDB95" s="499"/>
      <c r="DDC95" s="499"/>
      <c r="DDD95" s="499"/>
      <c r="DDE95" s="499"/>
      <c r="DDF95" s="499"/>
      <c r="DDG95" s="499"/>
      <c r="DDH95" s="499"/>
      <c r="DDI95" s="499"/>
      <c r="DDJ95" s="499"/>
      <c r="DDK95" s="499"/>
      <c r="DDL95" s="499"/>
      <c r="DDM95" s="499"/>
      <c r="DDN95" s="499"/>
      <c r="DDO95" s="499"/>
      <c r="DDP95" s="499"/>
      <c r="DDQ95" s="499"/>
      <c r="DDR95" s="499"/>
      <c r="DDS95" s="499"/>
      <c r="DDT95" s="499"/>
      <c r="DDU95" s="499"/>
      <c r="DDV95" s="499"/>
      <c r="DDW95" s="499"/>
      <c r="DDX95" s="499"/>
      <c r="DDY95" s="499"/>
      <c r="DDZ95" s="499"/>
      <c r="DEA95" s="499"/>
      <c r="DEB95" s="499"/>
      <c r="DEC95" s="499"/>
      <c r="DED95" s="499"/>
      <c r="DEE95" s="499"/>
      <c r="DEF95" s="499"/>
      <c r="DEG95" s="499"/>
      <c r="DEH95" s="499"/>
      <c r="DEI95" s="499"/>
      <c r="DEJ95" s="499"/>
      <c r="DEK95" s="499"/>
      <c r="DEL95" s="499"/>
      <c r="DEM95" s="499"/>
      <c r="DEN95" s="499"/>
      <c r="DEO95" s="499"/>
      <c r="DEP95" s="499"/>
      <c r="DEQ95" s="499"/>
      <c r="DER95" s="499"/>
      <c r="DES95" s="499"/>
      <c r="DET95" s="499"/>
      <c r="DEU95" s="499"/>
      <c r="DEV95" s="499"/>
      <c r="DEW95" s="499"/>
      <c r="DEX95" s="499"/>
      <c r="DEY95" s="499"/>
      <c r="DEZ95" s="499"/>
      <c r="DFA95" s="499"/>
      <c r="DFB95" s="499"/>
      <c r="DFC95" s="499"/>
      <c r="DFD95" s="499"/>
      <c r="DFE95" s="499"/>
      <c r="DFF95" s="499"/>
      <c r="DFG95" s="499"/>
      <c r="DFH95" s="499"/>
      <c r="DFI95" s="499"/>
      <c r="DFJ95" s="499"/>
      <c r="DFK95" s="499"/>
      <c r="DFL95" s="499"/>
      <c r="DFM95" s="499"/>
      <c r="DFN95" s="499"/>
      <c r="DFO95" s="499"/>
      <c r="DFP95" s="499"/>
      <c r="DFQ95" s="499"/>
      <c r="DFR95" s="499"/>
      <c r="DFS95" s="499"/>
      <c r="DFT95" s="499"/>
      <c r="DFU95" s="499"/>
      <c r="DFV95" s="499"/>
      <c r="DFW95" s="499"/>
      <c r="DFX95" s="499"/>
      <c r="DFY95" s="499"/>
      <c r="DFZ95" s="499"/>
      <c r="DGA95" s="499"/>
      <c r="DGB95" s="499"/>
      <c r="DGC95" s="499"/>
      <c r="DGD95" s="499"/>
      <c r="DGE95" s="499"/>
      <c r="DGF95" s="499"/>
      <c r="DGG95" s="499"/>
      <c r="DGH95" s="499"/>
      <c r="DGI95" s="499"/>
      <c r="DGJ95" s="499"/>
      <c r="DGK95" s="499"/>
      <c r="DGL95" s="499"/>
      <c r="DGM95" s="499"/>
      <c r="DGN95" s="499"/>
      <c r="DGO95" s="499"/>
      <c r="DGP95" s="499"/>
      <c r="DGQ95" s="499"/>
      <c r="DGR95" s="499"/>
      <c r="DGS95" s="499"/>
      <c r="DGT95" s="499"/>
      <c r="DGU95" s="499"/>
      <c r="DGV95" s="499"/>
      <c r="DGW95" s="499"/>
      <c r="DGX95" s="499"/>
      <c r="DGY95" s="499"/>
      <c r="DGZ95" s="499"/>
      <c r="DHA95" s="499"/>
      <c r="DHB95" s="499"/>
      <c r="DHC95" s="499"/>
      <c r="DHD95" s="499"/>
      <c r="DHE95" s="499"/>
      <c r="DHF95" s="499"/>
      <c r="DHG95" s="499"/>
      <c r="DHH95" s="499"/>
      <c r="DHI95" s="499"/>
      <c r="DHJ95" s="499"/>
      <c r="DHK95" s="499"/>
      <c r="DHL95" s="499"/>
      <c r="DHM95" s="499"/>
      <c r="DHN95" s="499"/>
      <c r="DHO95" s="499"/>
      <c r="DHP95" s="499"/>
      <c r="DHQ95" s="499"/>
      <c r="DHR95" s="499"/>
      <c r="DHS95" s="499"/>
      <c r="DHT95" s="499"/>
      <c r="DHU95" s="499"/>
      <c r="DHV95" s="499"/>
      <c r="DHW95" s="499"/>
      <c r="DHX95" s="499"/>
      <c r="DHY95" s="499"/>
      <c r="DHZ95" s="499"/>
      <c r="DIA95" s="499"/>
      <c r="DIB95" s="499"/>
      <c r="DIC95" s="499"/>
      <c r="DID95" s="499"/>
      <c r="DIE95" s="499"/>
      <c r="DIF95" s="499"/>
      <c r="DIG95" s="499"/>
      <c r="DIH95" s="499"/>
      <c r="DII95" s="499"/>
      <c r="DIJ95" s="499"/>
      <c r="DIK95" s="499"/>
      <c r="DIL95" s="499"/>
      <c r="DIM95" s="499"/>
      <c r="DIN95" s="499"/>
      <c r="DIO95" s="499"/>
      <c r="DIP95" s="499"/>
      <c r="DIQ95" s="499"/>
      <c r="DIR95" s="499"/>
      <c r="DIS95" s="499"/>
      <c r="DIT95" s="499"/>
      <c r="DIU95" s="499"/>
      <c r="DIV95" s="499"/>
      <c r="DIW95" s="499"/>
      <c r="DIX95" s="499"/>
      <c r="DIY95" s="499"/>
      <c r="DIZ95" s="499"/>
      <c r="DJA95" s="499"/>
      <c r="DJB95" s="499"/>
      <c r="DJC95" s="499"/>
      <c r="DJD95" s="499"/>
      <c r="DJE95" s="499"/>
      <c r="DJF95" s="499"/>
      <c r="DJG95" s="499"/>
      <c r="DJH95" s="499"/>
      <c r="DJI95" s="499"/>
      <c r="DJJ95" s="499"/>
      <c r="DJK95" s="499"/>
      <c r="DJL95" s="499"/>
      <c r="DJM95" s="499"/>
      <c r="DJN95" s="499"/>
      <c r="DJO95" s="499"/>
      <c r="DJP95" s="499"/>
      <c r="DJQ95" s="499"/>
      <c r="DJR95" s="499"/>
      <c r="DJS95" s="499"/>
      <c r="DJT95" s="499"/>
      <c r="DJU95" s="499"/>
      <c r="DJV95" s="499"/>
      <c r="DJW95" s="499"/>
      <c r="DJX95" s="499"/>
      <c r="DJY95" s="499"/>
      <c r="DJZ95" s="499"/>
      <c r="DKA95" s="499"/>
      <c r="DKB95" s="499"/>
      <c r="DKC95" s="499"/>
      <c r="DKD95" s="499"/>
      <c r="DKE95" s="499"/>
      <c r="DKF95" s="499"/>
      <c r="DKG95" s="499"/>
      <c r="DKH95" s="499"/>
      <c r="DKI95" s="499"/>
      <c r="DKJ95" s="499"/>
      <c r="DKK95" s="499"/>
      <c r="DKL95" s="499"/>
      <c r="DKM95" s="499"/>
      <c r="DKN95" s="499"/>
      <c r="DKO95" s="499"/>
      <c r="DKP95" s="499"/>
      <c r="DKQ95" s="499"/>
      <c r="DKR95" s="499"/>
      <c r="DKS95" s="499"/>
      <c r="DKT95" s="499"/>
      <c r="DKU95" s="499"/>
      <c r="DKV95" s="499"/>
      <c r="DKW95" s="499"/>
      <c r="DKX95" s="499"/>
      <c r="DKY95" s="499"/>
      <c r="DKZ95" s="499"/>
      <c r="DLA95" s="499"/>
      <c r="DLB95" s="499"/>
      <c r="DLC95" s="499"/>
      <c r="DLD95" s="499"/>
      <c r="DLE95" s="499"/>
      <c r="DLF95" s="499"/>
      <c r="DLG95" s="499"/>
      <c r="DLH95" s="499"/>
      <c r="DLI95" s="499"/>
      <c r="DLJ95" s="499"/>
      <c r="DLK95" s="499"/>
      <c r="DLL95" s="499"/>
      <c r="DLM95" s="499"/>
      <c r="DLN95" s="499"/>
      <c r="DLO95" s="499"/>
      <c r="DLP95" s="499"/>
      <c r="DLQ95" s="499"/>
      <c r="DLR95" s="499"/>
      <c r="DLS95" s="499"/>
      <c r="DLT95" s="499"/>
      <c r="DLU95" s="499"/>
      <c r="DLV95" s="499"/>
      <c r="DLW95" s="499"/>
      <c r="DLX95" s="499"/>
      <c r="DLY95" s="499"/>
      <c r="DLZ95" s="499"/>
      <c r="DMA95" s="499"/>
      <c r="DMB95" s="499"/>
      <c r="DMC95" s="499"/>
      <c r="DMD95" s="499"/>
      <c r="DME95" s="499"/>
      <c r="DMF95" s="499"/>
      <c r="DMG95" s="499"/>
      <c r="DMH95" s="499"/>
      <c r="DMI95" s="499"/>
      <c r="DMJ95" s="499"/>
      <c r="DMK95" s="499"/>
      <c r="DML95" s="499"/>
      <c r="DMM95" s="499"/>
      <c r="DMN95" s="499"/>
      <c r="DMO95" s="499"/>
      <c r="DMP95" s="499"/>
      <c r="DMQ95" s="499"/>
      <c r="DMR95" s="499"/>
      <c r="DMS95" s="499"/>
      <c r="DMT95" s="499"/>
      <c r="DMU95" s="499"/>
      <c r="DMV95" s="499"/>
      <c r="DMW95" s="499"/>
      <c r="DMX95" s="499"/>
      <c r="DMY95" s="499"/>
      <c r="DMZ95" s="499"/>
      <c r="DNA95" s="499"/>
      <c r="DNB95" s="499"/>
      <c r="DNC95" s="499"/>
      <c r="DND95" s="499"/>
      <c r="DNE95" s="499"/>
      <c r="DNF95" s="499"/>
      <c r="DNG95" s="499"/>
      <c r="DNH95" s="499"/>
      <c r="DNI95" s="499"/>
      <c r="DNJ95" s="499"/>
      <c r="DNK95" s="499"/>
      <c r="DNL95" s="499"/>
      <c r="DNM95" s="499"/>
      <c r="DNN95" s="499"/>
      <c r="DNO95" s="499"/>
      <c r="DNP95" s="499"/>
      <c r="DNQ95" s="499"/>
      <c r="DNR95" s="499"/>
      <c r="DNS95" s="499"/>
      <c r="DNT95" s="499"/>
      <c r="DNU95" s="499"/>
      <c r="DNV95" s="499"/>
      <c r="DNW95" s="499"/>
      <c r="DNX95" s="499"/>
      <c r="DNY95" s="499"/>
      <c r="DNZ95" s="499"/>
      <c r="DOA95" s="499"/>
      <c r="DOB95" s="499"/>
      <c r="DOC95" s="499"/>
      <c r="DOD95" s="499"/>
      <c r="DOE95" s="499"/>
      <c r="DOF95" s="499"/>
      <c r="DOG95" s="499"/>
      <c r="DOH95" s="499"/>
      <c r="DOI95" s="499"/>
      <c r="DOJ95" s="499"/>
      <c r="DOK95" s="499"/>
      <c r="DOL95" s="499"/>
      <c r="DOM95" s="499"/>
      <c r="DON95" s="499"/>
      <c r="DOO95" s="499"/>
      <c r="DOP95" s="499"/>
      <c r="DOQ95" s="499"/>
      <c r="DOR95" s="499"/>
      <c r="DOS95" s="499"/>
      <c r="DOT95" s="499"/>
      <c r="DOU95" s="499"/>
      <c r="DOV95" s="499"/>
      <c r="DOW95" s="499"/>
      <c r="DOX95" s="499"/>
      <c r="DOY95" s="499"/>
      <c r="DOZ95" s="499"/>
      <c r="DPA95" s="499"/>
      <c r="DPB95" s="499"/>
      <c r="DPC95" s="499"/>
      <c r="DPD95" s="499"/>
      <c r="DPE95" s="499"/>
      <c r="DPF95" s="499"/>
      <c r="DPG95" s="499"/>
      <c r="DPH95" s="499"/>
      <c r="DPI95" s="499"/>
      <c r="DPJ95" s="499"/>
      <c r="DPK95" s="499"/>
      <c r="DPL95" s="499"/>
      <c r="DPM95" s="499"/>
      <c r="DPN95" s="499"/>
      <c r="DPO95" s="499"/>
      <c r="DPP95" s="499"/>
      <c r="DPQ95" s="499"/>
      <c r="DPR95" s="499"/>
      <c r="DPS95" s="499"/>
      <c r="DPT95" s="499"/>
      <c r="DPU95" s="499"/>
      <c r="DPV95" s="499"/>
      <c r="DPW95" s="499"/>
      <c r="DPX95" s="499"/>
      <c r="DPY95" s="499"/>
      <c r="DPZ95" s="499"/>
      <c r="DQA95" s="499"/>
      <c r="DQB95" s="499"/>
      <c r="DQC95" s="499"/>
      <c r="DQD95" s="499"/>
      <c r="DQE95" s="499"/>
      <c r="DQF95" s="499"/>
      <c r="DQG95" s="499"/>
      <c r="DQH95" s="499"/>
      <c r="DQI95" s="499"/>
      <c r="DQJ95" s="499"/>
      <c r="DQK95" s="499"/>
      <c r="DQL95" s="499"/>
      <c r="DQM95" s="499"/>
      <c r="DQN95" s="499"/>
      <c r="DQO95" s="499"/>
      <c r="DQP95" s="499"/>
      <c r="DQQ95" s="499"/>
      <c r="DQR95" s="499"/>
      <c r="DQS95" s="499"/>
      <c r="DQT95" s="499"/>
      <c r="DQU95" s="499"/>
      <c r="DQV95" s="499"/>
      <c r="DQW95" s="499"/>
      <c r="DQX95" s="499"/>
      <c r="DQY95" s="499"/>
      <c r="DQZ95" s="499"/>
      <c r="DRA95" s="499"/>
      <c r="DRB95" s="499"/>
      <c r="DRC95" s="499"/>
      <c r="DRD95" s="499"/>
      <c r="DRE95" s="499"/>
      <c r="DRF95" s="499"/>
      <c r="DRG95" s="499"/>
      <c r="DRH95" s="499"/>
      <c r="DRI95" s="499"/>
      <c r="DRJ95" s="499"/>
      <c r="DRK95" s="499"/>
      <c r="DRL95" s="499"/>
      <c r="DRM95" s="499"/>
      <c r="DRN95" s="499"/>
      <c r="DRO95" s="499"/>
      <c r="DRP95" s="499"/>
      <c r="DRQ95" s="499"/>
      <c r="DRR95" s="499"/>
      <c r="DRS95" s="499"/>
      <c r="DRT95" s="499"/>
      <c r="DRU95" s="499"/>
      <c r="DRV95" s="499"/>
      <c r="DRW95" s="499"/>
      <c r="DRX95" s="499"/>
      <c r="DRY95" s="499"/>
      <c r="DRZ95" s="499"/>
      <c r="DSA95" s="499"/>
      <c r="DSB95" s="499"/>
      <c r="DSC95" s="499"/>
      <c r="DSD95" s="499"/>
      <c r="DSE95" s="499"/>
      <c r="DSF95" s="499"/>
      <c r="DSG95" s="499"/>
      <c r="DSH95" s="499"/>
      <c r="DSI95" s="499"/>
      <c r="DSJ95" s="499"/>
      <c r="DSK95" s="499"/>
      <c r="DSL95" s="499"/>
      <c r="DSM95" s="499"/>
      <c r="DSN95" s="499"/>
      <c r="DSO95" s="499"/>
      <c r="DSP95" s="499"/>
      <c r="DSQ95" s="499"/>
      <c r="DSR95" s="499"/>
      <c r="DSS95" s="499"/>
      <c r="DST95" s="499"/>
      <c r="DSU95" s="499"/>
      <c r="DSV95" s="499"/>
      <c r="DSW95" s="499"/>
      <c r="DSX95" s="499"/>
      <c r="DSY95" s="499"/>
      <c r="DSZ95" s="499"/>
      <c r="DTA95" s="499"/>
      <c r="DTB95" s="499"/>
      <c r="DTC95" s="499"/>
      <c r="DTD95" s="499"/>
      <c r="DTE95" s="499"/>
      <c r="DTF95" s="499"/>
      <c r="DTG95" s="499"/>
      <c r="DTH95" s="499"/>
      <c r="DTI95" s="499"/>
      <c r="DTJ95" s="499"/>
      <c r="DTK95" s="499"/>
      <c r="DTL95" s="499"/>
      <c r="DTM95" s="499"/>
      <c r="DTN95" s="499"/>
      <c r="DTO95" s="499"/>
      <c r="DTP95" s="499"/>
      <c r="DTQ95" s="499"/>
      <c r="DTR95" s="499"/>
      <c r="DTS95" s="499"/>
      <c r="DTT95" s="499"/>
      <c r="DTU95" s="499"/>
      <c r="DTV95" s="499"/>
      <c r="DTW95" s="499"/>
      <c r="DTX95" s="499"/>
      <c r="DTY95" s="499"/>
      <c r="DTZ95" s="499"/>
      <c r="DUA95" s="499"/>
      <c r="DUB95" s="499"/>
      <c r="DUC95" s="499"/>
      <c r="DUD95" s="499"/>
      <c r="DUE95" s="499"/>
      <c r="DUF95" s="499"/>
      <c r="DUG95" s="499"/>
      <c r="DUH95" s="499"/>
      <c r="DUI95" s="499"/>
      <c r="DUJ95" s="499"/>
      <c r="DUK95" s="499"/>
      <c r="DUL95" s="499"/>
      <c r="DUM95" s="499"/>
      <c r="DUN95" s="499"/>
      <c r="DUO95" s="499"/>
      <c r="DUP95" s="499"/>
      <c r="DUQ95" s="499"/>
      <c r="DUR95" s="499"/>
      <c r="DUS95" s="499"/>
      <c r="DUT95" s="499"/>
      <c r="DUU95" s="499"/>
      <c r="DUV95" s="499"/>
      <c r="DUW95" s="499"/>
      <c r="DUX95" s="499"/>
      <c r="DUY95" s="499"/>
      <c r="DUZ95" s="499"/>
      <c r="DVA95" s="499"/>
      <c r="DVB95" s="499"/>
      <c r="DVC95" s="499"/>
      <c r="DVD95" s="499"/>
      <c r="DVE95" s="499"/>
      <c r="DVF95" s="499"/>
      <c r="DVG95" s="499"/>
      <c r="DVH95" s="499"/>
      <c r="DVI95" s="499"/>
      <c r="DVJ95" s="499"/>
      <c r="DVK95" s="499"/>
      <c r="DVL95" s="499"/>
      <c r="DVM95" s="499"/>
      <c r="DVN95" s="499"/>
      <c r="DVO95" s="499"/>
      <c r="DVP95" s="499"/>
      <c r="DVQ95" s="499"/>
      <c r="DVR95" s="499"/>
      <c r="DVS95" s="499"/>
      <c r="DVT95" s="499"/>
      <c r="DVU95" s="499"/>
      <c r="DVV95" s="499"/>
      <c r="DVW95" s="499"/>
      <c r="DVX95" s="499"/>
      <c r="DVY95" s="499"/>
      <c r="DVZ95" s="499"/>
      <c r="DWA95" s="499"/>
      <c r="DWB95" s="499"/>
      <c r="DWC95" s="499"/>
      <c r="DWD95" s="499"/>
      <c r="DWE95" s="499"/>
      <c r="DWF95" s="499"/>
      <c r="DWG95" s="499"/>
      <c r="DWH95" s="499"/>
      <c r="DWI95" s="499"/>
      <c r="DWJ95" s="499"/>
      <c r="DWK95" s="499"/>
      <c r="DWL95" s="499"/>
      <c r="DWM95" s="499"/>
      <c r="DWN95" s="499"/>
      <c r="DWO95" s="499"/>
      <c r="DWP95" s="499"/>
      <c r="DWQ95" s="499"/>
      <c r="DWR95" s="499"/>
      <c r="DWS95" s="499"/>
      <c r="DWT95" s="499"/>
      <c r="DWU95" s="499"/>
      <c r="DWV95" s="499"/>
      <c r="DWW95" s="499"/>
      <c r="DWX95" s="499"/>
      <c r="DWY95" s="499"/>
      <c r="DWZ95" s="499"/>
      <c r="DXA95" s="499"/>
      <c r="DXB95" s="499"/>
      <c r="DXC95" s="499"/>
      <c r="DXD95" s="499"/>
      <c r="DXE95" s="499"/>
      <c r="DXF95" s="499"/>
      <c r="DXG95" s="499"/>
      <c r="DXH95" s="499"/>
      <c r="DXI95" s="499"/>
      <c r="DXJ95" s="499"/>
      <c r="DXK95" s="499"/>
      <c r="DXL95" s="499"/>
      <c r="DXM95" s="499"/>
      <c r="DXN95" s="499"/>
      <c r="DXO95" s="499"/>
      <c r="DXP95" s="499"/>
      <c r="DXQ95" s="499"/>
      <c r="DXR95" s="499"/>
      <c r="DXS95" s="499"/>
      <c r="DXT95" s="499"/>
      <c r="DXU95" s="499"/>
      <c r="DXV95" s="499"/>
      <c r="DXW95" s="499"/>
      <c r="DXX95" s="499"/>
      <c r="DXY95" s="499"/>
      <c r="DXZ95" s="499"/>
      <c r="DYA95" s="499"/>
      <c r="DYB95" s="499"/>
      <c r="DYC95" s="499"/>
      <c r="DYD95" s="499"/>
      <c r="DYE95" s="499"/>
      <c r="DYF95" s="499"/>
      <c r="DYG95" s="499"/>
      <c r="DYH95" s="499"/>
      <c r="DYI95" s="499"/>
      <c r="DYJ95" s="499"/>
      <c r="DYK95" s="499"/>
      <c r="DYL95" s="499"/>
      <c r="DYM95" s="499"/>
      <c r="DYN95" s="499"/>
      <c r="DYO95" s="499"/>
      <c r="DYP95" s="499"/>
      <c r="DYQ95" s="499"/>
      <c r="DYR95" s="499"/>
      <c r="DYS95" s="499"/>
      <c r="DYT95" s="499"/>
      <c r="DYU95" s="499"/>
      <c r="DYV95" s="499"/>
      <c r="DYW95" s="499"/>
      <c r="DYX95" s="499"/>
      <c r="DYY95" s="499"/>
      <c r="DYZ95" s="499"/>
      <c r="DZA95" s="499"/>
      <c r="DZB95" s="499"/>
      <c r="DZC95" s="499"/>
      <c r="DZD95" s="499"/>
      <c r="DZE95" s="499"/>
      <c r="DZF95" s="499"/>
      <c r="DZG95" s="499"/>
      <c r="DZH95" s="499"/>
      <c r="DZI95" s="499"/>
      <c r="DZJ95" s="499"/>
      <c r="DZK95" s="499"/>
      <c r="DZL95" s="499"/>
      <c r="DZM95" s="499"/>
      <c r="DZN95" s="499"/>
      <c r="DZO95" s="499"/>
      <c r="DZP95" s="499"/>
      <c r="DZQ95" s="499"/>
      <c r="DZR95" s="499"/>
      <c r="DZS95" s="499"/>
      <c r="DZT95" s="499"/>
      <c r="DZU95" s="499"/>
      <c r="DZV95" s="499"/>
      <c r="DZW95" s="499"/>
      <c r="DZX95" s="499"/>
      <c r="DZY95" s="499"/>
      <c r="DZZ95" s="499"/>
      <c r="EAA95" s="499"/>
      <c r="EAB95" s="499"/>
      <c r="EAC95" s="499"/>
      <c r="EAD95" s="499"/>
      <c r="EAE95" s="499"/>
      <c r="EAF95" s="499"/>
      <c r="EAG95" s="499"/>
      <c r="EAH95" s="499"/>
      <c r="EAI95" s="499"/>
      <c r="EAJ95" s="499"/>
      <c r="EAK95" s="499"/>
      <c r="EAL95" s="499"/>
      <c r="EAM95" s="499"/>
      <c r="EAN95" s="499"/>
      <c r="EAO95" s="499"/>
      <c r="EAP95" s="499"/>
      <c r="EAQ95" s="499"/>
      <c r="EAR95" s="499"/>
      <c r="EAS95" s="499"/>
      <c r="EAT95" s="499"/>
      <c r="EAU95" s="499"/>
      <c r="EAV95" s="499"/>
      <c r="EAW95" s="499"/>
      <c r="EAX95" s="499"/>
      <c r="EAY95" s="499"/>
      <c r="EAZ95" s="499"/>
      <c r="EBA95" s="499"/>
      <c r="EBB95" s="499"/>
      <c r="EBC95" s="499"/>
      <c r="EBD95" s="499"/>
      <c r="EBE95" s="499"/>
      <c r="EBF95" s="499"/>
      <c r="EBG95" s="499"/>
      <c r="EBH95" s="499"/>
      <c r="EBI95" s="499"/>
      <c r="EBJ95" s="499"/>
      <c r="EBK95" s="499"/>
      <c r="EBL95" s="499"/>
      <c r="EBM95" s="499"/>
      <c r="EBN95" s="499"/>
      <c r="EBO95" s="499"/>
      <c r="EBP95" s="499"/>
      <c r="EBQ95" s="499"/>
      <c r="EBR95" s="499"/>
      <c r="EBS95" s="499"/>
      <c r="EBT95" s="499"/>
      <c r="EBU95" s="499"/>
      <c r="EBV95" s="499"/>
      <c r="EBW95" s="499"/>
      <c r="EBX95" s="499"/>
      <c r="EBY95" s="499"/>
      <c r="EBZ95" s="499"/>
      <c r="ECA95" s="499"/>
      <c r="ECB95" s="499"/>
      <c r="ECC95" s="499"/>
      <c r="ECD95" s="499"/>
      <c r="ECE95" s="499"/>
      <c r="ECF95" s="499"/>
      <c r="ECG95" s="499"/>
      <c r="ECH95" s="499"/>
      <c r="ECI95" s="499"/>
      <c r="ECJ95" s="499"/>
      <c r="ECK95" s="499"/>
      <c r="ECL95" s="499"/>
      <c r="ECM95" s="499"/>
      <c r="ECN95" s="499"/>
      <c r="ECO95" s="499"/>
      <c r="ECP95" s="499"/>
      <c r="ECQ95" s="499"/>
      <c r="ECR95" s="499"/>
      <c r="ECS95" s="499"/>
      <c r="ECT95" s="499"/>
      <c r="ECU95" s="499"/>
      <c r="ECV95" s="499"/>
      <c r="ECW95" s="499"/>
      <c r="ECX95" s="499"/>
      <c r="ECY95" s="499"/>
      <c r="ECZ95" s="499"/>
      <c r="EDA95" s="499"/>
      <c r="EDB95" s="499"/>
      <c r="EDC95" s="499"/>
      <c r="EDD95" s="499"/>
      <c r="EDE95" s="499"/>
      <c r="EDF95" s="499"/>
      <c r="EDG95" s="499"/>
      <c r="EDH95" s="499"/>
      <c r="EDI95" s="499"/>
      <c r="EDJ95" s="499"/>
      <c r="EDK95" s="499"/>
      <c r="EDL95" s="499"/>
      <c r="EDM95" s="499"/>
      <c r="EDN95" s="499"/>
      <c r="EDO95" s="499"/>
      <c r="EDP95" s="499"/>
      <c r="EDQ95" s="499"/>
      <c r="EDR95" s="499"/>
      <c r="EDS95" s="499"/>
      <c r="EDT95" s="499"/>
      <c r="EDU95" s="499"/>
      <c r="EDV95" s="499"/>
      <c r="EDW95" s="499"/>
      <c r="EDX95" s="499"/>
      <c r="EDY95" s="499"/>
      <c r="EDZ95" s="499"/>
      <c r="EEA95" s="499"/>
      <c r="EEB95" s="499"/>
      <c r="EEC95" s="499"/>
      <c r="EED95" s="499"/>
      <c r="EEE95" s="499"/>
      <c r="EEF95" s="499"/>
      <c r="EEG95" s="499"/>
      <c r="EEH95" s="499"/>
      <c r="EEI95" s="499"/>
      <c r="EEJ95" s="499"/>
      <c r="EEK95" s="499"/>
      <c r="EEL95" s="499"/>
      <c r="EEM95" s="499"/>
      <c r="EEN95" s="499"/>
      <c r="EEO95" s="499"/>
      <c r="EEP95" s="499"/>
      <c r="EEQ95" s="499"/>
      <c r="EER95" s="499"/>
      <c r="EES95" s="499"/>
      <c r="EET95" s="499"/>
      <c r="EEU95" s="499"/>
      <c r="EEV95" s="499"/>
      <c r="EEW95" s="499"/>
      <c r="EEX95" s="499"/>
      <c r="EEY95" s="499"/>
      <c r="EEZ95" s="499"/>
      <c r="EFA95" s="499"/>
      <c r="EFB95" s="499"/>
      <c r="EFC95" s="499"/>
      <c r="EFD95" s="499"/>
      <c r="EFE95" s="499"/>
      <c r="EFF95" s="499"/>
      <c r="EFG95" s="499"/>
      <c r="EFH95" s="499"/>
      <c r="EFI95" s="499"/>
      <c r="EFJ95" s="499"/>
      <c r="EFK95" s="499"/>
      <c r="EFL95" s="499"/>
      <c r="EFM95" s="499"/>
      <c r="EFN95" s="499"/>
      <c r="EFO95" s="499"/>
      <c r="EFP95" s="499"/>
      <c r="EFQ95" s="499"/>
      <c r="EFR95" s="499"/>
      <c r="EFS95" s="499"/>
      <c r="EFT95" s="499"/>
      <c r="EFU95" s="499"/>
      <c r="EFV95" s="499"/>
      <c r="EFW95" s="499"/>
      <c r="EFX95" s="499"/>
      <c r="EFY95" s="499"/>
      <c r="EFZ95" s="499"/>
      <c r="EGA95" s="499"/>
      <c r="EGB95" s="499"/>
      <c r="EGC95" s="499"/>
      <c r="EGD95" s="499"/>
      <c r="EGE95" s="499"/>
      <c r="EGF95" s="499"/>
      <c r="EGG95" s="499"/>
      <c r="EGH95" s="499"/>
      <c r="EGI95" s="499"/>
      <c r="EGJ95" s="499"/>
      <c r="EGK95" s="499"/>
      <c r="EGL95" s="499"/>
      <c r="EGM95" s="499"/>
      <c r="EGN95" s="499"/>
      <c r="EGO95" s="499"/>
      <c r="EGP95" s="499"/>
      <c r="EGQ95" s="499"/>
      <c r="EGR95" s="499"/>
      <c r="EGS95" s="499"/>
      <c r="EGT95" s="499"/>
      <c r="EGU95" s="499"/>
      <c r="EGV95" s="499"/>
      <c r="EGW95" s="499"/>
      <c r="EGX95" s="499"/>
      <c r="EGY95" s="499"/>
      <c r="EGZ95" s="499"/>
      <c r="EHA95" s="499"/>
      <c r="EHB95" s="499"/>
      <c r="EHC95" s="499"/>
      <c r="EHD95" s="499"/>
      <c r="EHE95" s="499"/>
      <c r="EHF95" s="499"/>
      <c r="EHG95" s="499"/>
      <c r="EHH95" s="499"/>
      <c r="EHI95" s="499"/>
      <c r="EHJ95" s="499"/>
      <c r="EHK95" s="499"/>
      <c r="EHL95" s="499"/>
      <c r="EHM95" s="499"/>
      <c r="EHN95" s="499"/>
      <c r="EHO95" s="499"/>
      <c r="EHP95" s="499"/>
      <c r="EHQ95" s="499"/>
      <c r="EHR95" s="499"/>
      <c r="EHS95" s="499"/>
      <c r="EHT95" s="499"/>
      <c r="EHU95" s="499"/>
      <c r="EHV95" s="499"/>
      <c r="EHW95" s="499"/>
      <c r="EHX95" s="499"/>
      <c r="EHY95" s="499"/>
      <c r="EHZ95" s="499"/>
      <c r="EIA95" s="499"/>
      <c r="EIB95" s="499"/>
      <c r="EIC95" s="499"/>
      <c r="EID95" s="499"/>
      <c r="EIE95" s="499"/>
      <c r="EIF95" s="499"/>
      <c r="EIG95" s="499"/>
      <c r="EIH95" s="499"/>
      <c r="EII95" s="499"/>
      <c r="EIJ95" s="499"/>
      <c r="EIK95" s="499"/>
      <c r="EIL95" s="499"/>
      <c r="EIM95" s="499"/>
      <c r="EIN95" s="499"/>
      <c r="EIO95" s="499"/>
      <c r="EIP95" s="499"/>
      <c r="EIQ95" s="499"/>
      <c r="EIR95" s="499"/>
      <c r="EIS95" s="499"/>
      <c r="EIT95" s="499"/>
      <c r="EIU95" s="499"/>
      <c r="EIV95" s="499"/>
      <c r="EIW95" s="499"/>
      <c r="EIX95" s="499"/>
      <c r="EIY95" s="499"/>
      <c r="EIZ95" s="499"/>
      <c r="EJA95" s="499"/>
      <c r="EJB95" s="499"/>
      <c r="EJC95" s="499"/>
      <c r="EJD95" s="499"/>
      <c r="EJE95" s="499"/>
      <c r="EJF95" s="499"/>
      <c r="EJG95" s="499"/>
      <c r="EJH95" s="499"/>
      <c r="EJI95" s="499"/>
      <c r="EJJ95" s="499"/>
      <c r="EJK95" s="499"/>
      <c r="EJL95" s="499"/>
      <c r="EJM95" s="499"/>
      <c r="EJN95" s="499"/>
      <c r="EJO95" s="499"/>
      <c r="EJP95" s="499"/>
      <c r="EJQ95" s="499"/>
      <c r="EJR95" s="499"/>
      <c r="EJS95" s="499"/>
      <c r="EJT95" s="499"/>
      <c r="EJU95" s="499"/>
      <c r="EJV95" s="499"/>
      <c r="EJW95" s="499"/>
      <c r="EJX95" s="499"/>
      <c r="EJY95" s="499"/>
      <c r="EJZ95" s="499"/>
      <c r="EKA95" s="499"/>
      <c r="EKB95" s="499"/>
      <c r="EKC95" s="499"/>
      <c r="EKD95" s="499"/>
      <c r="EKE95" s="499"/>
      <c r="EKF95" s="499"/>
      <c r="EKG95" s="499"/>
      <c r="EKH95" s="499"/>
      <c r="EKI95" s="499"/>
      <c r="EKJ95" s="499"/>
      <c r="EKK95" s="499"/>
      <c r="EKL95" s="499"/>
      <c r="EKM95" s="499"/>
      <c r="EKN95" s="499"/>
      <c r="EKO95" s="499"/>
      <c r="EKP95" s="499"/>
      <c r="EKQ95" s="499"/>
      <c r="EKR95" s="499"/>
      <c r="EKS95" s="499"/>
      <c r="EKT95" s="499"/>
      <c r="EKU95" s="499"/>
      <c r="EKV95" s="499"/>
      <c r="EKW95" s="499"/>
      <c r="EKX95" s="499"/>
      <c r="EKY95" s="499"/>
      <c r="EKZ95" s="499"/>
      <c r="ELA95" s="499"/>
      <c r="ELB95" s="499"/>
      <c r="ELC95" s="499"/>
      <c r="ELD95" s="499"/>
      <c r="ELE95" s="499"/>
      <c r="ELF95" s="499"/>
      <c r="ELG95" s="499"/>
      <c r="ELH95" s="499"/>
      <c r="ELI95" s="499"/>
      <c r="ELJ95" s="499"/>
      <c r="ELK95" s="499"/>
      <c r="ELL95" s="499"/>
      <c r="ELM95" s="499"/>
      <c r="ELN95" s="499"/>
      <c r="ELO95" s="499"/>
      <c r="ELP95" s="499"/>
      <c r="ELQ95" s="499"/>
      <c r="ELR95" s="499"/>
      <c r="ELS95" s="499"/>
      <c r="ELT95" s="499"/>
      <c r="ELU95" s="499"/>
      <c r="ELV95" s="499"/>
      <c r="ELW95" s="499"/>
      <c r="ELX95" s="499"/>
      <c r="ELY95" s="499"/>
      <c r="ELZ95" s="499"/>
      <c r="EMA95" s="499"/>
      <c r="EMB95" s="499"/>
      <c r="EMC95" s="499"/>
      <c r="EMD95" s="499"/>
      <c r="EME95" s="499"/>
      <c r="EMF95" s="499"/>
      <c r="EMG95" s="499"/>
      <c r="EMH95" s="499"/>
      <c r="EMI95" s="499"/>
      <c r="EMJ95" s="499"/>
      <c r="EMK95" s="499"/>
      <c r="EML95" s="499"/>
      <c r="EMM95" s="499"/>
      <c r="EMN95" s="499"/>
      <c r="EMO95" s="499"/>
      <c r="EMP95" s="499"/>
      <c r="EMQ95" s="499"/>
      <c r="EMR95" s="499"/>
      <c r="EMS95" s="499"/>
      <c r="EMT95" s="499"/>
      <c r="EMU95" s="499"/>
      <c r="EMV95" s="499"/>
      <c r="EMW95" s="499"/>
      <c r="EMX95" s="499"/>
      <c r="EMY95" s="499"/>
      <c r="EMZ95" s="499"/>
      <c r="ENA95" s="499"/>
      <c r="ENB95" s="499"/>
      <c r="ENC95" s="499"/>
      <c r="END95" s="499"/>
      <c r="ENE95" s="499"/>
      <c r="ENF95" s="499"/>
      <c r="ENG95" s="499"/>
      <c r="ENH95" s="499"/>
      <c r="ENI95" s="499"/>
      <c r="ENJ95" s="499"/>
      <c r="ENK95" s="499"/>
      <c r="ENL95" s="499"/>
      <c r="ENM95" s="499"/>
      <c r="ENN95" s="499"/>
      <c r="ENO95" s="499"/>
      <c r="ENP95" s="499"/>
      <c r="ENQ95" s="499"/>
      <c r="ENR95" s="499"/>
      <c r="ENS95" s="499"/>
      <c r="ENT95" s="499"/>
      <c r="ENU95" s="499"/>
      <c r="ENV95" s="499"/>
      <c r="ENW95" s="499"/>
      <c r="ENX95" s="499"/>
      <c r="ENY95" s="499"/>
      <c r="ENZ95" s="499"/>
      <c r="EOA95" s="499"/>
      <c r="EOB95" s="499"/>
      <c r="EOC95" s="499"/>
      <c r="EOD95" s="499"/>
      <c r="EOE95" s="499"/>
      <c r="EOF95" s="499"/>
      <c r="EOG95" s="499"/>
      <c r="EOH95" s="499"/>
      <c r="EOI95" s="499"/>
      <c r="EOJ95" s="499"/>
      <c r="EOK95" s="499"/>
      <c r="EOL95" s="499"/>
      <c r="EOM95" s="499"/>
      <c r="EON95" s="499"/>
      <c r="EOO95" s="499"/>
      <c r="EOP95" s="499"/>
      <c r="EOQ95" s="499"/>
      <c r="EOR95" s="499"/>
      <c r="EOS95" s="499"/>
      <c r="EOT95" s="499"/>
      <c r="EOU95" s="499"/>
      <c r="EOV95" s="499"/>
      <c r="EOW95" s="499"/>
      <c r="EOX95" s="499"/>
      <c r="EOY95" s="499"/>
      <c r="EOZ95" s="499"/>
      <c r="EPA95" s="499"/>
      <c r="EPB95" s="499"/>
      <c r="EPC95" s="499"/>
      <c r="EPD95" s="499"/>
      <c r="EPE95" s="499"/>
      <c r="EPF95" s="499"/>
      <c r="EPG95" s="499"/>
      <c r="EPH95" s="499"/>
      <c r="EPI95" s="499"/>
      <c r="EPJ95" s="499"/>
      <c r="EPK95" s="499"/>
      <c r="EPL95" s="499"/>
      <c r="EPM95" s="499"/>
      <c r="EPN95" s="499"/>
      <c r="EPO95" s="499"/>
      <c r="EPP95" s="499"/>
      <c r="EPQ95" s="499"/>
      <c r="EPR95" s="499"/>
      <c r="EPS95" s="499"/>
      <c r="EPT95" s="499"/>
      <c r="EPU95" s="499"/>
      <c r="EPV95" s="499"/>
      <c r="EPW95" s="499"/>
      <c r="EPX95" s="499"/>
      <c r="EPY95" s="499"/>
      <c r="EPZ95" s="499"/>
      <c r="EQA95" s="499"/>
      <c r="EQB95" s="499"/>
      <c r="EQC95" s="499"/>
      <c r="EQD95" s="499"/>
      <c r="EQE95" s="499"/>
      <c r="EQF95" s="499"/>
      <c r="EQG95" s="499"/>
      <c r="EQH95" s="499"/>
      <c r="EQI95" s="499"/>
      <c r="EQJ95" s="499"/>
      <c r="EQK95" s="499"/>
      <c r="EQL95" s="499"/>
      <c r="EQM95" s="499"/>
      <c r="EQN95" s="499"/>
      <c r="EQO95" s="499"/>
      <c r="EQP95" s="499"/>
      <c r="EQQ95" s="499"/>
      <c r="EQR95" s="499"/>
      <c r="EQS95" s="499"/>
      <c r="EQT95" s="499"/>
      <c r="EQU95" s="499"/>
      <c r="EQV95" s="499"/>
      <c r="EQW95" s="499"/>
      <c r="EQX95" s="499"/>
      <c r="EQY95" s="499"/>
      <c r="EQZ95" s="499"/>
      <c r="ERA95" s="499"/>
      <c r="ERB95" s="499"/>
      <c r="ERC95" s="499"/>
      <c r="ERD95" s="499"/>
      <c r="ERE95" s="499"/>
      <c r="ERF95" s="499"/>
      <c r="ERG95" s="499"/>
      <c r="ERH95" s="499"/>
      <c r="ERI95" s="499"/>
      <c r="ERJ95" s="499"/>
      <c r="ERK95" s="499"/>
      <c r="ERL95" s="499"/>
      <c r="ERM95" s="499"/>
      <c r="ERN95" s="499"/>
      <c r="ERO95" s="499"/>
      <c r="ERP95" s="499"/>
      <c r="ERQ95" s="499"/>
      <c r="ERR95" s="499"/>
      <c r="ERS95" s="499"/>
      <c r="ERT95" s="499"/>
      <c r="ERU95" s="499"/>
      <c r="ERV95" s="499"/>
      <c r="ERW95" s="499"/>
      <c r="ERX95" s="499"/>
      <c r="ERY95" s="499"/>
      <c r="ERZ95" s="499"/>
      <c r="ESA95" s="499"/>
      <c r="ESB95" s="499"/>
      <c r="ESC95" s="499"/>
      <c r="ESD95" s="499"/>
      <c r="ESE95" s="499"/>
      <c r="ESF95" s="499"/>
      <c r="ESG95" s="499"/>
      <c r="ESH95" s="499"/>
      <c r="ESI95" s="499"/>
      <c r="ESJ95" s="499"/>
      <c r="ESK95" s="499"/>
      <c r="ESL95" s="499"/>
      <c r="ESM95" s="499"/>
      <c r="ESN95" s="499"/>
      <c r="ESO95" s="499"/>
      <c r="ESP95" s="499"/>
      <c r="ESQ95" s="499"/>
      <c r="ESR95" s="499"/>
      <c r="ESS95" s="499"/>
      <c r="EST95" s="499"/>
      <c r="ESU95" s="499"/>
      <c r="ESV95" s="499"/>
      <c r="ESW95" s="499"/>
      <c r="ESX95" s="499"/>
      <c r="ESY95" s="499"/>
      <c r="ESZ95" s="499"/>
      <c r="ETA95" s="499"/>
      <c r="ETB95" s="499"/>
      <c r="ETC95" s="499"/>
      <c r="ETD95" s="499"/>
      <c r="ETE95" s="499"/>
      <c r="ETF95" s="499"/>
      <c r="ETG95" s="499"/>
      <c r="ETH95" s="499"/>
      <c r="ETI95" s="499"/>
      <c r="ETJ95" s="499"/>
      <c r="ETK95" s="499"/>
      <c r="ETL95" s="499"/>
      <c r="ETM95" s="499"/>
      <c r="ETN95" s="499"/>
      <c r="ETO95" s="499"/>
      <c r="ETP95" s="499"/>
      <c r="ETQ95" s="499"/>
      <c r="ETR95" s="499"/>
      <c r="ETS95" s="499"/>
      <c r="ETT95" s="499"/>
      <c r="ETU95" s="499"/>
      <c r="ETV95" s="499"/>
      <c r="ETW95" s="499"/>
      <c r="ETX95" s="499"/>
      <c r="ETY95" s="499"/>
      <c r="ETZ95" s="499"/>
      <c r="EUA95" s="499"/>
      <c r="EUB95" s="499"/>
      <c r="EUC95" s="499"/>
      <c r="EUD95" s="499"/>
      <c r="EUE95" s="499"/>
      <c r="EUF95" s="499"/>
      <c r="EUG95" s="499"/>
      <c r="EUH95" s="499"/>
      <c r="EUI95" s="499"/>
      <c r="EUJ95" s="499"/>
      <c r="EUK95" s="499"/>
      <c r="EUL95" s="499"/>
      <c r="EUM95" s="499"/>
      <c r="EUN95" s="499"/>
      <c r="EUO95" s="499"/>
      <c r="EUP95" s="499"/>
      <c r="EUQ95" s="499"/>
      <c r="EUR95" s="499"/>
      <c r="EUS95" s="499"/>
      <c r="EUT95" s="499"/>
      <c r="EUU95" s="499"/>
      <c r="EUV95" s="499"/>
      <c r="EUW95" s="499"/>
      <c r="EUX95" s="499"/>
      <c r="EUY95" s="499"/>
      <c r="EUZ95" s="499"/>
      <c r="EVA95" s="499"/>
      <c r="EVB95" s="499"/>
      <c r="EVC95" s="499"/>
      <c r="EVD95" s="499"/>
      <c r="EVE95" s="499"/>
      <c r="EVF95" s="499"/>
      <c r="EVG95" s="499"/>
      <c r="EVH95" s="499"/>
      <c r="EVI95" s="499"/>
      <c r="EVJ95" s="499"/>
      <c r="EVK95" s="499"/>
      <c r="EVL95" s="499"/>
      <c r="EVM95" s="499"/>
      <c r="EVN95" s="499"/>
      <c r="EVO95" s="499"/>
      <c r="EVP95" s="499"/>
      <c r="EVQ95" s="499"/>
      <c r="EVR95" s="499"/>
      <c r="EVS95" s="499"/>
      <c r="EVT95" s="499"/>
      <c r="EVU95" s="499"/>
      <c r="EVV95" s="499"/>
      <c r="EVW95" s="499"/>
      <c r="EVX95" s="499"/>
      <c r="EVY95" s="499"/>
      <c r="EVZ95" s="499"/>
      <c r="EWA95" s="499"/>
      <c r="EWB95" s="499"/>
      <c r="EWC95" s="499"/>
      <c r="EWD95" s="499"/>
      <c r="EWE95" s="499"/>
      <c r="EWF95" s="499"/>
      <c r="EWG95" s="499"/>
      <c r="EWH95" s="499"/>
      <c r="EWI95" s="499"/>
      <c r="EWJ95" s="499"/>
      <c r="EWK95" s="499"/>
      <c r="EWL95" s="499"/>
      <c r="EWM95" s="499"/>
      <c r="EWN95" s="499"/>
      <c r="EWO95" s="499"/>
      <c r="EWP95" s="499"/>
      <c r="EWQ95" s="499"/>
      <c r="EWR95" s="499"/>
      <c r="EWS95" s="499"/>
      <c r="EWT95" s="499"/>
      <c r="EWU95" s="499"/>
      <c r="EWV95" s="499"/>
      <c r="EWW95" s="499"/>
      <c r="EWX95" s="499"/>
      <c r="EWY95" s="499"/>
      <c r="EWZ95" s="499"/>
      <c r="EXA95" s="499"/>
      <c r="EXB95" s="499"/>
      <c r="EXC95" s="499"/>
      <c r="EXD95" s="499"/>
      <c r="EXE95" s="499"/>
      <c r="EXF95" s="499"/>
      <c r="EXG95" s="499"/>
      <c r="EXH95" s="499"/>
      <c r="EXI95" s="499"/>
      <c r="EXJ95" s="499"/>
      <c r="EXK95" s="499"/>
      <c r="EXL95" s="499"/>
      <c r="EXM95" s="499"/>
      <c r="EXN95" s="499"/>
      <c r="EXO95" s="499"/>
      <c r="EXP95" s="499"/>
      <c r="EXQ95" s="499"/>
      <c r="EXR95" s="499"/>
      <c r="EXS95" s="499"/>
      <c r="EXT95" s="499"/>
      <c r="EXU95" s="499"/>
      <c r="EXV95" s="499"/>
      <c r="EXW95" s="499"/>
      <c r="EXX95" s="499"/>
      <c r="EXY95" s="499"/>
      <c r="EXZ95" s="499"/>
      <c r="EYA95" s="499"/>
      <c r="EYB95" s="499"/>
      <c r="EYC95" s="499"/>
      <c r="EYD95" s="499"/>
      <c r="EYE95" s="499"/>
      <c r="EYF95" s="499"/>
      <c r="EYG95" s="499"/>
      <c r="EYH95" s="499"/>
      <c r="EYI95" s="499"/>
      <c r="EYJ95" s="499"/>
      <c r="EYK95" s="499"/>
      <c r="EYL95" s="499"/>
      <c r="EYM95" s="499"/>
      <c r="EYN95" s="499"/>
      <c r="EYO95" s="499"/>
      <c r="EYP95" s="499"/>
      <c r="EYQ95" s="499"/>
      <c r="EYR95" s="499"/>
      <c r="EYS95" s="499"/>
      <c r="EYT95" s="499"/>
      <c r="EYU95" s="499"/>
      <c r="EYV95" s="499"/>
      <c r="EYW95" s="499"/>
      <c r="EYX95" s="499"/>
      <c r="EYY95" s="499"/>
      <c r="EYZ95" s="499"/>
      <c r="EZA95" s="499"/>
      <c r="EZB95" s="499"/>
      <c r="EZC95" s="499"/>
      <c r="EZD95" s="499"/>
      <c r="EZE95" s="499"/>
      <c r="EZF95" s="499"/>
      <c r="EZG95" s="499"/>
      <c r="EZH95" s="499"/>
      <c r="EZI95" s="499"/>
      <c r="EZJ95" s="499"/>
      <c r="EZK95" s="499"/>
      <c r="EZL95" s="499"/>
      <c r="EZM95" s="499"/>
      <c r="EZN95" s="499"/>
      <c r="EZO95" s="499"/>
      <c r="EZP95" s="499"/>
      <c r="EZQ95" s="499"/>
      <c r="EZR95" s="499"/>
      <c r="EZS95" s="499"/>
      <c r="EZT95" s="499"/>
      <c r="EZU95" s="499"/>
      <c r="EZV95" s="499"/>
      <c r="EZW95" s="499"/>
      <c r="EZX95" s="499"/>
      <c r="EZY95" s="499"/>
      <c r="EZZ95" s="499"/>
      <c r="FAA95" s="499"/>
      <c r="FAB95" s="499"/>
      <c r="FAC95" s="499"/>
      <c r="FAD95" s="499"/>
      <c r="FAE95" s="499"/>
      <c r="FAF95" s="499"/>
      <c r="FAG95" s="499"/>
      <c r="FAH95" s="499"/>
      <c r="FAI95" s="499"/>
      <c r="FAJ95" s="499"/>
      <c r="FAK95" s="499"/>
      <c r="FAL95" s="499"/>
      <c r="FAM95" s="499"/>
      <c r="FAN95" s="499"/>
      <c r="FAO95" s="499"/>
      <c r="FAP95" s="499"/>
      <c r="FAQ95" s="499"/>
      <c r="FAR95" s="499"/>
      <c r="FAS95" s="499"/>
      <c r="FAT95" s="499"/>
      <c r="FAU95" s="499"/>
      <c r="FAV95" s="499"/>
      <c r="FAW95" s="499"/>
      <c r="FAX95" s="499"/>
      <c r="FAY95" s="499"/>
      <c r="FAZ95" s="499"/>
      <c r="FBA95" s="499"/>
      <c r="FBB95" s="499"/>
      <c r="FBC95" s="499"/>
      <c r="FBD95" s="499"/>
      <c r="FBE95" s="499"/>
      <c r="FBF95" s="499"/>
      <c r="FBG95" s="499"/>
      <c r="FBH95" s="499"/>
      <c r="FBI95" s="499"/>
      <c r="FBJ95" s="499"/>
      <c r="FBK95" s="499"/>
      <c r="FBL95" s="499"/>
      <c r="FBM95" s="499"/>
      <c r="FBN95" s="499"/>
      <c r="FBO95" s="499"/>
      <c r="FBP95" s="499"/>
      <c r="FBQ95" s="499"/>
      <c r="FBR95" s="499"/>
      <c r="FBS95" s="499"/>
      <c r="FBT95" s="499"/>
      <c r="FBU95" s="499"/>
      <c r="FBV95" s="499"/>
      <c r="FBW95" s="499"/>
      <c r="FBX95" s="499"/>
      <c r="FBY95" s="499"/>
      <c r="FBZ95" s="499"/>
      <c r="FCA95" s="499"/>
      <c r="FCB95" s="499"/>
      <c r="FCC95" s="499"/>
      <c r="FCD95" s="499"/>
      <c r="FCE95" s="499"/>
      <c r="FCF95" s="499"/>
      <c r="FCG95" s="499"/>
      <c r="FCH95" s="499"/>
      <c r="FCI95" s="499"/>
      <c r="FCJ95" s="499"/>
      <c r="FCK95" s="499"/>
      <c r="FCL95" s="499"/>
      <c r="FCM95" s="499"/>
      <c r="FCN95" s="499"/>
      <c r="FCO95" s="499"/>
      <c r="FCP95" s="499"/>
      <c r="FCQ95" s="499"/>
      <c r="FCR95" s="499"/>
      <c r="FCS95" s="499"/>
      <c r="FCT95" s="499"/>
      <c r="FCU95" s="499"/>
      <c r="FCV95" s="499"/>
      <c r="FCW95" s="499"/>
      <c r="FCX95" s="499"/>
      <c r="FCY95" s="499"/>
      <c r="FCZ95" s="499"/>
      <c r="FDA95" s="499"/>
      <c r="FDB95" s="499"/>
      <c r="FDC95" s="499"/>
      <c r="FDD95" s="499"/>
      <c r="FDE95" s="499"/>
      <c r="FDF95" s="499"/>
      <c r="FDG95" s="499"/>
      <c r="FDH95" s="499"/>
      <c r="FDI95" s="499"/>
      <c r="FDJ95" s="499"/>
      <c r="FDK95" s="499"/>
      <c r="FDL95" s="499"/>
      <c r="FDM95" s="499"/>
      <c r="FDN95" s="499"/>
      <c r="FDO95" s="499"/>
      <c r="FDP95" s="499"/>
      <c r="FDQ95" s="499"/>
      <c r="FDR95" s="499"/>
      <c r="FDS95" s="499"/>
      <c r="FDT95" s="499"/>
      <c r="FDU95" s="499"/>
      <c r="FDV95" s="499"/>
      <c r="FDW95" s="499"/>
      <c r="FDX95" s="499"/>
      <c r="FDY95" s="499"/>
      <c r="FDZ95" s="499"/>
      <c r="FEA95" s="499"/>
      <c r="FEB95" s="499"/>
      <c r="FEC95" s="499"/>
      <c r="FED95" s="499"/>
      <c r="FEE95" s="499"/>
      <c r="FEF95" s="499"/>
      <c r="FEG95" s="499"/>
      <c r="FEH95" s="499"/>
      <c r="FEI95" s="499"/>
      <c r="FEJ95" s="499"/>
      <c r="FEK95" s="499"/>
      <c r="FEL95" s="499"/>
      <c r="FEM95" s="499"/>
      <c r="FEN95" s="499"/>
      <c r="FEO95" s="499"/>
      <c r="FEP95" s="499"/>
      <c r="FEQ95" s="499"/>
      <c r="FER95" s="499"/>
      <c r="FES95" s="499"/>
      <c r="FET95" s="499"/>
      <c r="FEU95" s="499"/>
      <c r="FEV95" s="499"/>
      <c r="FEW95" s="499"/>
      <c r="FEX95" s="499"/>
      <c r="FEY95" s="499"/>
      <c r="FEZ95" s="499"/>
      <c r="FFA95" s="499"/>
      <c r="FFB95" s="499"/>
      <c r="FFC95" s="499"/>
      <c r="FFD95" s="499"/>
      <c r="FFE95" s="499"/>
      <c r="FFF95" s="499"/>
      <c r="FFG95" s="499"/>
      <c r="FFH95" s="499"/>
      <c r="FFI95" s="499"/>
      <c r="FFJ95" s="499"/>
      <c r="FFK95" s="499"/>
      <c r="FFL95" s="499"/>
      <c r="FFM95" s="499"/>
      <c r="FFN95" s="499"/>
      <c r="FFO95" s="499"/>
      <c r="FFP95" s="499"/>
      <c r="FFQ95" s="499"/>
      <c r="FFR95" s="499"/>
      <c r="FFS95" s="499"/>
      <c r="FFT95" s="499"/>
      <c r="FFU95" s="499"/>
      <c r="FFV95" s="499"/>
      <c r="FFW95" s="499"/>
      <c r="FFX95" s="499"/>
      <c r="FFY95" s="499"/>
      <c r="FFZ95" s="499"/>
      <c r="FGA95" s="499"/>
      <c r="FGB95" s="499"/>
      <c r="FGC95" s="499"/>
      <c r="FGD95" s="499"/>
      <c r="FGE95" s="499"/>
      <c r="FGF95" s="499"/>
      <c r="FGG95" s="499"/>
      <c r="FGH95" s="499"/>
      <c r="FGI95" s="499"/>
      <c r="FGJ95" s="499"/>
      <c r="FGK95" s="499"/>
      <c r="FGL95" s="499"/>
      <c r="FGM95" s="499"/>
      <c r="FGN95" s="499"/>
      <c r="FGO95" s="499"/>
      <c r="FGP95" s="499"/>
      <c r="FGQ95" s="499"/>
      <c r="FGR95" s="499"/>
      <c r="FGS95" s="499"/>
      <c r="FGT95" s="499"/>
      <c r="FGU95" s="499"/>
      <c r="FGV95" s="499"/>
      <c r="FGW95" s="499"/>
      <c r="FGX95" s="499"/>
      <c r="FGY95" s="499"/>
      <c r="FGZ95" s="499"/>
      <c r="FHA95" s="499"/>
      <c r="FHB95" s="499"/>
      <c r="FHC95" s="499"/>
      <c r="FHD95" s="499"/>
      <c r="FHE95" s="499"/>
      <c r="FHF95" s="499"/>
      <c r="FHG95" s="499"/>
      <c r="FHH95" s="499"/>
      <c r="FHI95" s="499"/>
      <c r="FHJ95" s="499"/>
      <c r="FHK95" s="499"/>
      <c r="FHL95" s="499"/>
      <c r="FHM95" s="499"/>
      <c r="FHN95" s="499"/>
      <c r="FHO95" s="499"/>
      <c r="FHP95" s="499"/>
      <c r="FHQ95" s="499"/>
      <c r="FHR95" s="499"/>
      <c r="FHS95" s="499"/>
      <c r="FHT95" s="499"/>
      <c r="FHU95" s="499"/>
      <c r="FHV95" s="499"/>
      <c r="FHW95" s="499"/>
      <c r="FHX95" s="499"/>
      <c r="FHY95" s="499"/>
      <c r="FHZ95" s="499"/>
      <c r="FIA95" s="499"/>
      <c r="FIB95" s="499"/>
      <c r="FIC95" s="499"/>
      <c r="FID95" s="499"/>
      <c r="FIE95" s="499"/>
      <c r="FIF95" s="499"/>
      <c r="FIG95" s="499"/>
      <c r="FIH95" s="499"/>
      <c r="FII95" s="499"/>
      <c r="FIJ95" s="499"/>
      <c r="FIK95" s="499"/>
      <c r="FIL95" s="499"/>
      <c r="FIM95" s="499"/>
      <c r="FIN95" s="499"/>
      <c r="FIO95" s="499"/>
      <c r="FIP95" s="499"/>
      <c r="FIQ95" s="499"/>
      <c r="FIR95" s="499"/>
      <c r="FIS95" s="499"/>
      <c r="FIT95" s="499"/>
      <c r="FIU95" s="499"/>
      <c r="FIV95" s="499"/>
      <c r="FIW95" s="499"/>
      <c r="FIX95" s="499"/>
      <c r="FIY95" s="499"/>
      <c r="FIZ95" s="499"/>
      <c r="FJA95" s="499"/>
      <c r="FJB95" s="499"/>
      <c r="FJC95" s="499"/>
      <c r="FJD95" s="499"/>
      <c r="FJE95" s="499"/>
      <c r="FJF95" s="499"/>
      <c r="FJG95" s="499"/>
      <c r="FJH95" s="499"/>
      <c r="FJI95" s="499"/>
      <c r="FJJ95" s="499"/>
      <c r="FJK95" s="499"/>
      <c r="FJL95" s="499"/>
      <c r="FJM95" s="499"/>
      <c r="FJN95" s="499"/>
      <c r="FJO95" s="499"/>
      <c r="FJP95" s="499"/>
      <c r="FJQ95" s="499"/>
      <c r="FJR95" s="499"/>
      <c r="FJS95" s="499"/>
      <c r="FJT95" s="499"/>
      <c r="FJU95" s="499"/>
      <c r="FJV95" s="499"/>
      <c r="FJW95" s="499"/>
      <c r="FJX95" s="499"/>
      <c r="FJY95" s="499"/>
      <c r="FJZ95" s="499"/>
      <c r="FKA95" s="499"/>
      <c r="FKB95" s="499"/>
      <c r="FKC95" s="499"/>
      <c r="FKD95" s="499"/>
      <c r="FKE95" s="499"/>
      <c r="FKF95" s="499"/>
      <c r="FKG95" s="499"/>
      <c r="FKH95" s="499"/>
      <c r="FKI95" s="499"/>
      <c r="FKJ95" s="499"/>
      <c r="FKK95" s="499"/>
      <c r="FKL95" s="499"/>
      <c r="FKM95" s="499"/>
      <c r="FKN95" s="499"/>
      <c r="FKO95" s="499"/>
      <c r="FKP95" s="499"/>
      <c r="FKQ95" s="499"/>
      <c r="FKR95" s="499"/>
      <c r="FKS95" s="499"/>
      <c r="FKT95" s="499"/>
      <c r="FKU95" s="499"/>
      <c r="FKV95" s="499"/>
      <c r="FKW95" s="499"/>
      <c r="FKX95" s="499"/>
      <c r="FKY95" s="499"/>
      <c r="FKZ95" s="499"/>
      <c r="FLA95" s="499"/>
      <c r="FLB95" s="499"/>
      <c r="FLC95" s="499"/>
      <c r="FLD95" s="499"/>
      <c r="FLE95" s="499"/>
      <c r="FLF95" s="499"/>
      <c r="FLG95" s="499"/>
      <c r="FLH95" s="499"/>
      <c r="FLI95" s="499"/>
      <c r="FLJ95" s="499"/>
      <c r="FLK95" s="499"/>
      <c r="FLL95" s="499"/>
      <c r="FLM95" s="499"/>
      <c r="FLN95" s="499"/>
      <c r="FLO95" s="499"/>
      <c r="FLP95" s="499"/>
      <c r="FLQ95" s="499"/>
      <c r="FLR95" s="499"/>
      <c r="FLS95" s="499"/>
      <c r="FLT95" s="499"/>
      <c r="FLU95" s="499"/>
      <c r="FLV95" s="499"/>
      <c r="FLW95" s="499"/>
      <c r="FLX95" s="499"/>
      <c r="FLY95" s="499"/>
      <c r="FLZ95" s="499"/>
      <c r="FMA95" s="499"/>
      <c r="FMB95" s="499"/>
      <c r="FMC95" s="499"/>
      <c r="FMD95" s="499"/>
      <c r="FME95" s="499"/>
      <c r="FMF95" s="499"/>
      <c r="FMG95" s="499"/>
      <c r="FMH95" s="499"/>
      <c r="FMI95" s="499"/>
      <c r="FMJ95" s="499"/>
      <c r="FMK95" s="499"/>
      <c r="FML95" s="499"/>
      <c r="FMM95" s="499"/>
      <c r="FMN95" s="499"/>
      <c r="FMO95" s="499"/>
      <c r="FMP95" s="499"/>
      <c r="FMQ95" s="499"/>
      <c r="FMR95" s="499"/>
      <c r="FMS95" s="499"/>
      <c r="FMT95" s="499"/>
      <c r="FMU95" s="499"/>
      <c r="FMV95" s="499"/>
      <c r="FMW95" s="499"/>
      <c r="FMX95" s="499"/>
      <c r="FMY95" s="499"/>
      <c r="FMZ95" s="499"/>
      <c r="FNA95" s="499"/>
      <c r="FNB95" s="499"/>
      <c r="FNC95" s="499"/>
      <c r="FND95" s="499"/>
      <c r="FNE95" s="499"/>
      <c r="FNF95" s="499"/>
      <c r="FNG95" s="499"/>
      <c r="FNH95" s="499"/>
      <c r="FNI95" s="499"/>
      <c r="FNJ95" s="499"/>
      <c r="FNK95" s="499"/>
      <c r="FNL95" s="499"/>
      <c r="FNM95" s="499"/>
      <c r="FNN95" s="499"/>
      <c r="FNO95" s="499"/>
      <c r="FNP95" s="499"/>
      <c r="FNQ95" s="499"/>
      <c r="FNR95" s="499"/>
      <c r="FNS95" s="499"/>
      <c r="FNT95" s="499"/>
      <c r="FNU95" s="499"/>
      <c r="FNV95" s="499"/>
      <c r="FNW95" s="499"/>
      <c r="FNX95" s="499"/>
      <c r="FNY95" s="499"/>
      <c r="FNZ95" s="499"/>
      <c r="FOA95" s="499"/>
      <c r="FOB95" s="499"/>
      <c r="FOC95" s="499"/>
      <c r="FOD95" s="499"/>
      <c r="FOE95" s="499"/>
      <c r="FOF95" s="499"/>
      <c r="FOG95" s="499"/>
      <c r="FOH95" s="499"/>
      <c r="FOI95" s="499"/>
      <c r="FOJ95" s="499"/>
      <c r="FOK95" s="499"/>
      <c r="FOL95" s="499"/>
      <c r="FOM95" s="499"/>
      <c r="FON95" s="499"/>
      <c r="FOO95" s="499"/>
      <c r="FOP95" s="499"/>
      <c r="FOQ95" s="499"/>
      <c r="FOR95" s="499"/>
      <c r="FOS95" s="499"/>
      <c r="FOT95" s="499"/>
      <c r="FOU95" s="499"/>
      <c r="FOV95" s="499"/>
      <c r="FOW95" s="499"/>
      <c r="FOX95" s="499"/>
      <c r="FOY95" s="499"/>
      <c r="FOZ95" s="499"/>
      <c r="FPA95" s="499"/>
      <c r="FPB95" s="499"/>
      <c r="FPC95" s="499"/>
      <c r="FPD95" s="499"/>
      <c r="FPE95" s="499"/>
      <c r="FPF95" s="499"/>
      <c r="FPG95" s="499"/>
      <c r="FPH95" s="499"/>
      <c r="FPI95" s="499"/>
      <c r="FPJ95" s="499"/>
      <c r="FPK95" s="499"/>
      <c r="FPL95" s="499"/>
      <c r="FPM95" s="499"/>
      <c r="FPN95" s="499"/>
      <c r="FPO95" s="499"/>
      <c r="FPP95" s="499"/>
      <c r="FPQ95" s="499"/>
      <c r="FPR95" s="499"/>
      <c r="FPS95" s="499"/>
      <c r="FPT95" s="499"/>
      <c r="FPU95" s="499"/>
      <c r="FPV95" s="499"/>
      <c r="FPW95" s="499"/>
      <c r="FPX95" s="499"/>
      <c r="FPY95" s="499"/>
      <c r="FPZ95" s="499"/>
      <c r="FQA95" s="499"/>
      <c r="FQB95" s="499"/>
      <c r="FQC95" s="499"/>
      <c r="FQD95" s="499"/>
      <c r="FQE95" s="499"/>
      <c r="FQF95" s="499"/>
      <c r="FQG95" s="499"/>
      <c r="FQH95" s="499"/>
      <c r="FQI95" s="499"/>
      <c r="FQJ95" s="499"/>
      <c r="FQK95" s="499"/>
      <c r="FQL95" s="499"/>
      <c r="FQM95" s="499"/>
      <c r="FQN95" s="499"/>
      <c r="FQO95" s="499"/>
      <c r="FQP95" s="499"/>
      <c r="FQQ95" s="499"/>
      <c r="FQR95" s="499"/>
      <c r="FQS95" s="499"/>
      <c r="FQT95" s="499"/>
      <c r="FQU95" s="499"/>
      <c r="FQV95" s="499"/>
      <c r="FQW95" s="499"/>
      <c r="FQX95" s="499"/>
      <c r="FQY95" s="499"/>
      <c r="FQZ95" s="499"/>
      <c r="FRA95" s="499"/>
      <c r="FRB95" s="499"/>
      <c r="FRC95" s="499"/>
      <c r="FRD95" s="499"/>
      <c r="FRE95" s="499"/>
      <c r="FRF95" s="499"/>
      <c r="FRG95" s="499"/>
      <c r="FRH95" s="499"/>
      <c r="FRI95" s="499"/>
      <c r="FRJ95" s="499"/>
      <c r="FRK95" s="499"/>
      <c r="FRL95" s="499"/>
      <c r="FRM95" s="499"/>
      <c r="FRN95" s="499"/>
      <c r="FRO95" s="499"/>
      <c r="FRP95" s="499"/>
      <c r="FRQ95" s="499"/>
      <c r="FRR95" s="499"/>
      <c r="FRS95" s="499"/>
      <c r="FRT95" s="499"/>
      <c r="FRU95" s="499"/>
      <c r="FRV95" s="499"/>
      <c r="FRW95" s="499"/>
      <c r="FRX95" s="499"/>
      <c r="FRY95" s="499"/>
      <c r="FRZ95" s="499"/>
      <c r="FSA95" s="499"/>
      <c r="FSB95" s="499"/>
      <c r="FSC95" s="499"/>
      <c r="FSD95" s="499"/>
      <c r="FSE95" s="499"/>
      <c r="FSF95" s="499"/>
      <c r="FSG95" s="499"/>
      <c r="FSH95" s="499"/>
      <c r="FSI95" s="499"/>
      <c r="FSJ95" s="499"/>
      <c r="FSK95" s="499"/>
      <c r="FSL95" s="499"/>
      <c r="FSM95" s="499"/>
      <c r="FSN95" s="499"/>
      <c r="FSO95" s="499"/>
      <c r="FSP95" s="499"/>
      <c r="FSQ95" s="499"/>
      <c r="FSR95" s="499"/>
      <c r="FSS95" s="499"/>
      <c r="FST95" s="499"/>
      <c r="FSU95" s="499"/>
      <c r="FSV95" s="499"/>
      <c r="FSW95" s="499"/>
      <c r="FSX95" s="499"/>
      <c r="FSY95" s="499"/>
      <c r="FSZ95" s="499"/>
      <c r="FTA95" s="499"/>
      <c r="FTB95" s="499"/>
      <c r="FTC95" s="499"/>
      <c r="FTD95" s="499"/>
      <c r="FTE95" s="499"/>
      <c r="FTF95" s="499"/>
      <c r="FTG95" s="499"/>
      <c r="FTH95" s="499"/>
      <c r="FTI95" s="499"/>
      <c r="FTJ95" s="499"/>
      <c r="FTK95" s="499"/>
      <c r="FTL95" s="499"/>
      <c r="FTM95" s="499"/>
      <c r="FTN95" s="499"/>
      <c r="FTO95" s="499"/>
      <c r="FTP95" s="499"/>
      <c r="FTQ95" s="499"/>
      <c r="FTR95" s="499"/>
      <c r="FTS95" s="499"/>
      <c r="FTT95" s="499"/>
      <c r="FTU95" s="499"/>
      <c r="FTV95" s="499"/>
      <c r="FTW95" s="499"/>
      <c r="FTX95" s="499"/>
      <c r="FTY95" s="499"/>
      <c r="FTZ95" s="499"/>
      <c r="FUA95" s="499"/>
      <c r="FUB95" s="499"/>
      <c r="FUC95" s="499"/>
      <c r="FUD95" s="499"/>
      <c r="FUE95" s="499"/>
      <c r="FUF95" s="499"/>
      <c r="FUG95" s="499"/>
      <c r="FUH95" s="499"/>
      <c r="FUI95" s="499"/>
      <c r="FUJ95" s="499"/>
      <c r="FUK95" s="499"/>
      <c r="FUL95" s="499"/>
      <c r="FUM95" s="499"/>
      <c r="FUN95" s="499"/>
      <c r="FUO95" s="499"/>
      <c r="FUP95" s="499"/>
      <c r="FUQ95" s="499"/>
      <c r="FUR95" s="499"/>
      <c r="FUS95" s="499"/>
      <c r="FUT95" s="499"/>
      <c r="FUU95" s="499"/>
      <c r="FUV95" s="499"/>
      <c r="FUW95" s="499"/>
      <c r="FUX95" s="499"/>
      <c r="FUY95" s="499"/>
      <c r="FUZ95" s="499"/>
      <c r="FVA95" s="499"/>
      <c r="FVB95" s="499"/>
      <c r="FVC95" s="499"/>
      <c r="FVD95" s="499"/>
      <c r="FVE95" s="499"/>
      <c r="FVF95" s="499"/>
      <c r="FVG95" s="499"/>
      <c r="FVH95" s="499"/>
      <c r="FVI95" s="499"/>
      <c r="FVJ95" s="499"/>
      <c r="FVK95" s="499"/>
      <c r="FVL95" s="499"/>
      <c r="FVM95" s="499"/>
      <c r="FVN95" s="499"/>
      <c r="FVO95" s="499"/>
      <c r="FVP95" s="499"/>
      <c r="FVQ95" s="499"/>
      <c r="FVR95" s="499"/>
      <c r="FVS95" s="499"/>
      <c r="FVT95" s="499"/>
      <c r="FVU95" s="499"/>
      <c r="FVV95" s="499"/>
      <c r="FVW95" s="499"/>
      <c r="FVX95" s="499"/>
      <c r="FVY95" s="499"/>
      <c r="FVZ95" s="499"/>
      <c r="FWA95" s="499"/>
      <c r="FWB95" s="499"/>
      <c r="FWC95" s="499"/>
      <c r="FWD95" s="499"/>
      <c r="FWE95" s="499"/>
      <c r="FWF95" s="499"/>
      <c r="FWG95" s="499"/>
      <c r="FWH95" s="499"/>
      <c r="FWI95" s="499"/>
      <c r="FWJ95" s="499"/>
      <c r="FWK95" s="499"/>
      <c r="FWL95" s="499"/>
      <c r="FWM95" s="499"/>
      <c r="FWN95" s="499"/>
      <c r="FWO95" s="499"/>
      <c r="FWP95" s="499"/>
      <c r="FWQ95" s="499"/>
      <c r="FWR95" s="499"/>
      <c r="FWS95" s="499"/>
      <c r="FWT95" s="499"/>
      <c r="FWU95" s="499"/>
      <c r="FWV95" s="499"/>
      <c r="FWW95" s="499"/>
      <c r="FWX95" s="499"/>
      <c r="FWY95" s="499"/>
      <c r="FWZ95" s="499"/>
      <c r="FXA95" s="499"/>
      <c r="FXB95" s="499"/>
      <c r="FXC95" s="499"/>
      <c r="FXD95" s="499"/>
      <c r="FXE95" s="499"/>
      <c r="FXF95" s="499"/>
      <c r="FXG95" s="499"/>
      <c r="FXH95" s="499"/>
      <c r="FXI95" s="499"/>
      <c r="FXJ95" s="499"/>
      <c r="FXK95" s="499"/>
      <c r="FXL95" s="499"/>
      <c r="FXM95" s="499"/>
      <c r="FXN95" s="499"/>
      <c r="FXO95" s="499"/>
      <c r="FXP95" s="499"/>
      <c r="FXQ95" s="499"/>
      <c r="FXR95" s="499"/>
      <c r="FXS95" s="499"/>
      <c r="FXT95" s="499"/>
      <c r="FXU95" s="499"/>
      <c r="FXV95" s="499"/>
      <c r="FXW95" s="499"/>
      <c r="FXX95" s="499"/>
      <c r="FXY95" s="499"/>
      <c r="FXZ95" s="499"/>
      <c r="FYA95" s="499"/>
      <c r="FYB95" s="499"/>
      <c r="FYC95" s="499"/>
      <c r="FYD95" s="499"/>
      <c r="FYE95" s="499"/>
      <c r="FYF95" s="499"/>
      <c r="FYG95" s="499"/>
      <c r="FYH95" s="499"/>
      <c r="FYI95" s="499"/>
      <c r="FYJ95" s="499"/>
      <c r="FYK95" s="499"/>
      <c r="FYL95" s="499"/>
      <c r="FYM95" s="499"/>
      <c r="FYN95" s="499"/>
      <c r="FYO95" s="499"/>
      <c r="FYP95" s="499"/>
      <c r="FYQ95" s="499"/>
      <c r="FYR95" s="499"/>
      <c r="FYS95" s="499"/>
      <c r="FYT95" s="499"/>
      <c r="FYU95" s="499"/>
      <c r="FYV95" s="499"/>
      <c r="FYW95" s="499"/>
      <c r="FYX95" s="499"/>
      <c r="FYY95" s="499"/>
      <c r="FYZ95" s="499"/>
      <c r="FZA95" s="499"/>
      <c r="FZB95" s="499"/>
      <c r="FZC95" s="499"/>
      <c r="FZD95" s="499"/>
      <c r="FZE95" s="499"/>
      <c r="FZF95" s="499"/>
      <c r="FZG95" s="499"/>
      <c r="FZH95" s="499"/>
      <c r="FZI95" s="499"/>
      <c r="FZJ95" s="499"/>
      <c r="FZK95" s="499"/>
      <c r="FZL95" s="499"/>
      <c r="FZM95" s="499"/>
      <c r="FZN95" s="499"/>
      <c r="FZO95" s="499"/>
      <c r="FZP95" s="499"/>
      <c r="FZQ95" s="499"/>
      <c r="FZR95" s="499"/>
      <c r="FZS95" s="499"/>
      <c r="FZT95" s="499"/>
      <c r="FZU95" s="499"/>
      <c r="FZV95" s="499"/>
      <c r="FZW95" s="499"/>
      <c r="FZX95" s="499"/>
      <c r="FZY95" s="499"/>
      <c r="FZZ95" s="499"/>
      <c r="GAA95" s="499"/>
      <c r="GAB95" s="499"/>
      <c r="GAC95" s="499"/>
      <c r="GAD95" s="499"/>
      <c r="GAE95" s="499"/>
      <c r="GAF95" s="499"/>
      <c r="GAG95" s="499"/>
      <c r="GAH95" s="499"/>
      <c r="GAI95" s="499"/>
      <c r="GAJ95" s="499"/>
      <c r="GAK95" s="499"/>
      <c r="GAL95" s="499"/>
      <c r="GAM95" s="499"/>
      <c r="GAN95" s="499"/>
      <c r="GAO95" s="499"/>
      <c r="GAP95" s="499"/>
      <c r="GAQ95" s="499"/>
      <c r="GAR95" s="499"/>
      <c r="GAS95" s="499"/>
      <c r="GAT95" s="499"/>
      <c r="GAU95" s="499"/>
      <c r="GAV95" s="499"/>
      <c r="GAW95" s="499"/>
      <c r="GAX95" s="499"/>
      <c r="GAY95" s="499"/>
      <c r="GAZ95" s="499"/>
      <c r="GBA95" s="499"/>
      <c r="GBB95" s="499"/>
      <c r="GBC95" s="499"/>
      <c r="GBD95" s="499"/>
      <c r="GBE95" s="499"/>
      <c r="GBF95" s="499"/>
      <c r="GBG95" s="499"/>
      <c r="GBH95" s="499"/>
      <c r="GBI95" s="499"/>
      <c r="GBJ95" s="499"/>
      <c r="GBK95" s="499"/>
      <c r="GBL95" s="499"/>
      <c r="GBM95" s="499"/>
      <c r="GBN95" s="499"/>
      <c r="GBO95" s="499"/>
      <c r="GBP95" s="499"/>
      <c r="GBQ95" s="499"/>
      <c r="GBR95" s="499"/>
      <c r="GBS95" s="499"/>
      <c r="GBT95" s="499"/>
      <c r="GBU95" s="499"/>
      <c r="GBV95" s="499"/>
      <c r="GBW95" s="499"/>
      <c r="GBX95" s="499"/>
      <c r="GBY95" s="499"/>
      <c r="GBZ95" s="499"/>
      <c r="GCA95" s="499"/>
      <c r="GCB95" s="499"/>
      <c r="GCC95" s="499"/>
      <c r="GCD95" s="499"/>
      <c r="GCE95" s="499"/>
      <c r="GCF95" s="499"/>
      <c r="GCG95" s="499"/>
      <c r="GCH95" s="499"/>
      <c r="GCI95" s="499"/>
      <c r="GCJ95" s="499"/>
      <c r="GCK95" s="499"/>
      <c r="GCL95" s="499"/>
      <c r="GCM95" s="499"/>
      <c r="GCN95" s="499"/>
      <c r="GCO95" s="499"/>
      <c r="GCP95" s="499"/>
      <c r="GCQ95" s="499"/>
      <c r="GCR95" s="499"/>
      <c r="GCS95" s="499"/>
      <c r="GCT95" s="499"/>
      <c r="GCU95" s="499"/>
      <c r="GCV95" s="499"/>
      <c r="GCW95" s="499"/>
      <c r="GCX95" s="499"/>
      <c r="GCY95" s="499"/>
      <c r="GCZ95" s="499"/>
      <c r="GDA95" s="499"/>
      <c r="GDB95" s="499"/>
      <c r="GDC95" s="499"/>
      <c r="GDD95" s="499"/>
      <c r="GDE95" s="499"/>
      <c r="GDF95" s="499"/>
      <c r="GDG95" s="499"/>
      <c r="GDH95" s="499"/>
      <c r="GDI95" s="499"/>
      <c r="GDJ95" s="499"/>
      <c r="GDK95" s="499"/>
      <c r="GDL95" s="499"/>
      <c r="GDM95" s="499"/>
      <c r="GDN95" s="499"/>
      <c r="GDO95" s="499"/>
      <c r="GDP95" s="499"/>
      <c r="GDQ95" s="499"/>
      <c r="GDR95" s="499"/>
      <c r="GDS95" s="499"/>
      <c r="GDT95" s="499"/>
      <c r="GDU95" s="499"/>
      <c r="GDV95" s="499"/>
      <c r="GDW95" s="499"/>
      <c r="GDX95" s="499"/>
      <c r="GDY95" s="499"/>
      <c r="GDZ95" s="499"/>
      <c r="GEA95" s="499"/>
      <c r="GEB95" s="499"/>
      <c r="GEC95" s="499"/>
      <c r="GED95" s="499"/>
      <c r="GEE95" s="499"/>
      <c r="GEF95" s="499"/>
      <c r="GEG95" s="499"/>
      <c r="GEH95" s="499"/>
      <c r="GEI95" s="499"/>
      <c r="GEJ95" s="499"/>
      <c r="GEK95" s="499"/>
      <c r="GEL95" s="499"/>
      <c r="GEM95" s="499"/>
      <c r="GEN95" s="499"/>
      <c r="GEO95" s="499"/>
      <c r="GEP95" s="499"/>
      <c r="GEQ95" s="499"/>
      <c r="GER95" s="499"/>
      <c r="GES95" s="499"/>
      <c r="GET95" s="499"/>
      <c r="GEU95" s="499"/>
      <c r="GEV95" s="499"/>
      <c r="GEW95" s="499"/>
      <c r="GEX95" s="499"/>
      <c r="GEY95" s="499"/>
      <c r="GEZ95" s="499"/>
      <c r="GFA95" s="499"/>
      <c r="GFB95" s="499"/>
      <c r="GFC95" s="499"/>
      <c r="GFD95" s="499"/>
      <c r="GFE95" s="499"/>
      <c r="GFF95" s="499"/>
      <c r="GFG95" s="499"/>
      <c r="GFH95" s="499"/>
      <c r="GFI95" s="499"/>
      <c r="GFJ95" s="499"/>
      <c r="GFK95" s="499"/>
      <c r="GFL95" s="499"/>
      <c r="GFM95" s="499"/>
      <c r="GFN95" s="499"/>
      <c r="GFO95" s="499"/>
      <c r="GFP95" s="499"/>
      <c r="GFQ95" s="499"/>
      <c r="GFR95" s="499"/>
      <c r="GFS95" s="499"/>
      <c r="GFT95" s="499"/>
      <c r="GFU95" s="499"/>
      <c r="GFV95" s="499"/>
      <c r="GFW95" s="499"/>
      <c r="GFX95" s="499"/>
      <c r="GFY95" s="499"/>
      <c r="GFZ95" s="499"/>
      <c r="GGA95" s="499"/>
      <c r="GGB95" s="499"/>
      <c r="GGC95" s="499"/>
      <c r="GGD95" s="499"/>
      <c r="GGE95" s="499"/>
      <c r="GGF95" s="499"/>
      <c r="GGG95" s="499"/>
      <c r="GGH95" s="499"/>
      <c r="GGI95" s="499"/>
      <c r="GGJ95" s="499"/>
      <c r="GGK95" s="499"/>
      <c r="GGL95" s="499"/>
      <c r="GGM95" s="499"/>
      <c r="GGN95" s="499"/>
      <c r="GGO95" s="499"/>
      <c r="GGP95" s="499"/>
      <c r="GGQ95" s="499"/>
      <c r="GGR95" s="499"/>
      <c r="GGS95" s="499"/>
      <c r="GGT95" s="499"/>
      <c r="GGU95" s="499"/>
      <c r="GGV95" s="499"/>
      <c r="GGW95" s="499"/>
      <c r="GGX95" s="499"/>
      <c r="GGY95" s="499"/>
      <c r="GGZ95" s="499"/>
      <c r="GHA95" s="499"/>
      <c r="GHB95" s="499"/>
      <c r="GHC95" s="499"/>
      <c r="GHD95" s="499"/>
      <c r="GHE95" s="499"/>
      <c r="GHF95" s="499"/>
      <c r="GHG95" s="499"/>
      <c r="GHH95" s="499"/>
      <c r="GHI95" s="499"/>
      <c r="GHJ95" s="499"/>
      <c r="GHK95" s="499"/>
      <c r="GHL95" s="499"/>
      <c r="GHM95" s="499"/>
      <c r="GHN95" s="499"/>
      <c r="GHO95" s="499"/>
      <c r="GHP95" s="499"/>
      <c r="GHQ95" s="499"/>
      <c r="GHR95" s="499"/>
      <c r="GHS95" s="499"/>
      <c r="GHT95" s="499"/>
      <c r="GHU95" s="499"/>
      <c r="GHV95" s="499"/>
      <c r="GHW95" s="499"/>
      <c r="GHX95" s="499"/>
      <c r="GHY95" s="499"/>
      <c r="GHZ95" s="499"/>
      <c r="GIA95" s="499"/>
      <c r="GIB95" s="499"/>
      <c r="GIC95" s="499"/>
      <c r="GID95" s="499"/>
      <c r="GIE95" s="499"/>
      <c r="GIF95" s="499"/>
      <c r="GIG95" s="499"/>
      <c r="GIH95" s="499"/>
      <c r="GII95" s="499"/>
      <c r="GIJ95" s="499"/>
      <c r="GIK95" s="499"/>
      <c r="GIL95" s="499"/>
      <c r="GIM95" s="499"/>
      <c r="GIN95" s="499"/>
      <c r="GIO95" s="499"/>
      <c r="GIP95" s="499"/>
      <c r="GIQ95" s="499"/>
      <c r="GIR95" s="499"/>
      <c r="GIS95" s="499"/>
      <c r="GIT95" s="499"/>
      <c r="GIU95" s="499"/>
      <c r="GIV95" s="499"/>
      <c r="GIW95" s="499"/>
      <c r="GIX95" s="499"/>
      <c r="GIY95" s="499"/>
      <c r="GIZ95" s="499"/>
      <c r="GJA95" s="499"/>
      <c r="GJB95" s="499"/>
      <c r="GJC95" s="499"/>
      <c r="GJD95" s="499"/>
      <c r="GJE95" s="499"/>
      <c r="GJF95" s="499"/>
      <c r="GJG95" s="499"/>
      <c r="GJH95" s="499"/>
      <c r="GJI95" s="499"/>
      <c r="GJJ95" s="499"/>
      <c r="GJK95" s="499"/>
      <c r="GJL95" s="499"/>
      <c r="GJM95" s="499"/>
      <c r="GJN95" s="499"/>
      <c r="GJO95" s="499"/>
      <c r="GJP95" s="499"/>
      <c r="GJQ95" s="499"/>
      <c r="GJR95" s="499"/>
      <c r="GJS95" s="499"/>
      <c r="GJT95" s="499"/>
      <c r="GJU95" s="499"/>
      <c r="GJV95" s="499"/>
      <c r="GJW95" s="499"/>
      <c r="GJX95" s="499"/>
      <c r="GJY95" s="499"/>
      <c r="GJZ95" s="499"/>
      <c r="GKA95" s="499"/>
      <c r="GKB95" s="499"/>
      <c r="GKC95" s="499"/>
      <c r="GKD95" s="499"/>
      <c r="GKE95" s="499"/>
      <c r="GKF95" s="499"/>
      <c r="GKG95" s="499"/>
      <c r="GKH95" s="499"/>
      <c r="GKI95" s="499"/>
      <c r="GKJ95" s="499"/>
      <c r="GKK95" s="499"/>
      <c r="GKL95" s="499"/>
      <c r="GKM95" s="499"/>
      <c r="GKN95" s="499"/>
      <c r="GKO95" s="499"/>
      <c r="GKP95" s="499"/>
      <c r="GKQ95" s="499"/>
      <c r="GKR95" s="499"/>
      <c r="GKS95" s="499"/>
      <c r="GKT95" s="499"/>
      <c r="GKU95" s="499"/>
      <c r="GKV95" s="499"/>
      <c r="GKW95" s="499"/>
      <c r="GKX95" s="499"/>
      <c r="GKY95" s="499"/>
      <c r="GKZ95" s="499"/>
      <c r="GLA95" s="499"/>
      <c r="GLB95" s="499"/>
      <c r="GLC95" s="499"/>
      <c r="GLD95" s="499"/>
      <c r="GLE95" s="499"/>
      <c r="GLF95" s="499"/>
      <c r="GLG95" s="499"/>
      <c r="GLH95" s="499"/>
      <c r="GLI95" s="499"/>
      <c r="GLJ95" s="499"/>
      <c r="GLK95" s="499"/>
      <c r="GLL95" s="499"/>
      <c r="GLM95" s="499"/>
      <c r="GLN95" s="499"/>
      <c r="GLO95" s="499"/>
      <c r="GLP95" s="499"/>
      <c r="GLQ95" s="499"/>
      <c r="GLR95" s="499"/>
      <c r="GLS95" s="499"/>
      <c r="GLT95" s="499"/>
      <c r="GLU95" s="499"/>
      <c r="GLV95" s="499"/>
      <c r="GLW95" s="499"/>
      <c r="GLX95" s="499"/>
      <c r="GLY95" s="499"/>
      <c r="GLZ95" s="499"/>
      <c r="GMA95" s="499"/>
      <c r="GMB95" s="499"/>
      <c r="GMC95" s="499"/>
      <c r="GMD95" s="499"/>
      <c r="GME95" s="499"/>
      <c r="GMF95" s="499"/>
      <c r="GMG95" s="499"/>
      <c r="GMH95" s="499"/>
      <c r="GMI95" s="499"/>
      <c r="GMJ95" s="499"/>
      <c r="GMK95" s="499"/>
      <c r="GML95" s="499"/>
      <c r="GMM95" s="499"/>
      <c r="GMN95" s="499"/>
      <c r="GMO95" s="499"/>
      <c r="GMP95" s="499"/>
      <c r="GMQ95" s="499"/>
      <c r="GMR95" s="499"/>
      <c r="GMS95" s="499"/>
      <c r="GMT95" s="499"/>
      <c r="GMU95" s="499"/>
      <c r="GMV95" s="499"/>
      <c r="GMW95" s="499"/>
      <c r="GMX95" s="499"/>
      <c r="GMY95" s="499"/>
      <c r="GMZ95" s="499"/>
      <c r="GNA95" s="499"/>
      <c r="GNB95" s="499"/>
      <c r="GNC95" s="499"/>
      <c r="GND95" s="499"/>
      <c r="GNE95" s="499"/>
      <c r="GNF95" s="499"/>
      <c r="GNG95" s="499"/>
      <c r="GNH95" s="499"/>
      <c r="GNI95" s="499"/>
      <c r="GNJ95" s="499"/>
      <c r="GNK95" s="499"/>
      <c r="GNL95" s="499"/>
      <c r="GNM95" s="499"/>
      <c r="GNN95" s="499"/>
      <c r="GNO95" s="499"/>
      <c r="GNP95" s="499"/>
      <c r="GNQ95" s="499"/>
      <c r="GNR95" s="499"/>
      <c r="GNS95" s="499"/>
      <c r="GNT95" s="499"/>
      <c r="GNU95" s="499"/>
      <c r="GNV95" s="499"/>
      <c r="GNW95" s="499"/>
      <c r="GNX95" s="499"/>
      <c r="GNY95" s="499"/>
      <c r="GNZ95" s="499"/>
      <c r="GOA95" s="499"/>
      <c r="GOB95" s="499"/>
      <c r="GOC95" s="499"/>
      <c r="GOD95" s="499"/>
      <c r="GOE95" s="499"/>
      <c r="GOF95" s="499"/>
      <c r="GOG95" s="499"/>
      <c r="GOH95" s="499"/>
      <c r="GOI95" s="499"/>
      <c r="GOJ95" s="499"/>
      <c r="GOK95" s="499"/>
      <c r="GOL95" s="499"/>
      <c r="GOM95" s="499"/>
      <c r="GON95" s="499"/>
      <c r="GOO95" s="499"/>
      <c r="GOP95" s="499"/>
      <c r="GOQ95" s="499"/>
      <c r="GOR95" s="499"/>
      <c r="GOS95" s="499"/>
      <c r="GOT95" s="499"/>
      <c r="GOU95" s="499"/>
      <c r="GOV95" s="499"/>
      <c r="GOW95" s="499"/>
      <c r="GOX95" s="499"/>
      <c r="GOY95" s="499"/>
      <c r="GOZ95" s="499"/>
      <c r="GPA95" s="499"/>
      <c r="GPB95" s="499"/>
      <c r="GPC95" s="499"/>
      <c r="GPD95" s="499"/>
      <c r="GPE95" s="499"/>
      <c r="GPF95" s="499"/>
      <c r="GPG95" s="499"/>
      <c r="GPH95" s="499"/>
      <c r="GPI95" s="499"/>
      <c r="GPJ95" s="499"/>
      <c r="GPK95" s="499"/>
      <c r="GPL95" s="499"/>
      <c r="GPM95" s="499"/>
      <c r="GPN95" s="499"/>
      <c r="GPO95" s="499"/>
      <c r="GPP95" s="499"/>
      <c r="GPQ95" s="499"/>
      <c r="GPR95" s="499"/>
      <c r="GPS95" s="499"/>
      <c r="GPT95" s="499"/>
      <c r="GPU95" s="499"/>
      <c r="GPV95" s="499"/>
      <c r="GPW95" s="499"/>
      <c r="GPX95" s="499"/>
      <c r="GPY95" s="499"/>
      <c r="GPZ95" s="499"/>
      <c r="GQA95" s="499"/>
      <c r="GQB95" s="499"/>
      <c r="GQC95" s="499"/>
      <c r="GQD95" s="499"/>
      <c r="GQE95" s="499"/>
      <c r="GQF95" s="499"/>
      <c r="GQG95" s="499"/>
      <c r="GQH95" s="499"/>
      <c r="GQI95" s="499"/>
      <c r="GQJ95" s="499"/>
      <c r="GQK95" s="499"/>
      <c r="GQL95" s="499"/>
      <c r="GQM95" s="499"/>
      <c r="GQN95" s="499"/>
      <c r="GQO95" s="499"/>
      <c r="GQP95" s="499"/>
      <c r="GQQ95" s="499"/>
      <c r="GQR95" s="499"/>
      <c r="GQS95" s="499"/>
      <c r="GQT95" s="499"/>
      <c r="GQU95" s="499"/>
      <c r="GQV95" s="499"/>
      <c r="GQW95" s="499"/>
      <c r="GQX95" s="499"/>
      <c r="GQY95" s="499"/>
      <c r="GQZ95" s="499"/>
      <c r="GRA95" s="499"/>
      <c r="GRB95" s="499"/>
      <c r="GRC95" s="499"/>
      <c r="GRD95" s="499"/>
      <c r="GRE95" s="499"/>
      <c r="GRF95" s="499"/>
      <c r="GRG95" s="499"/>
      <c r="GRH95" s="499"/>
      <c r="GRI95" s="499"/>
      <c r="GRJ95" s="499"/>
      <c r="GRK95" s="499"/>
      <c r="GRL95" s="499"/>
      <c r="GRM95" s="499"/>
      <c r="GRN95" s="499"/>
      <c r="GRO95" s="499"/>
      <c r="GRP95" s="499"/>
      <c r="GRQ95" s="499"/>
      <c r="GRR95" s="499"/>
      <c r="GRS95" s="499"/>
      <c r="GRT95" s="499"/>
      <c r="GRU95" s="499"/>
      <c r="GRV95" s="499"/>
      <c r="GRW95" s="499"/>
      <c r="GRX95" s="499"/>
      <c r="GRY95" s="499"/>
      <c r="GRZ95" s="499"/>
      <c r="GSA95" s="499"/>
      <c r="GSB95" s="499"/>
      <c r="GSC95" s="499"/>
      <c r="GSD95" s="499"/>
      <c r="GSE95" s="499"/>
      <c r="GSF95" s="499"/>
      <c r="GSG95" s="499"/>
      <c r="GSH95" s="499"/>
      <c r="GSI95" s="499"/>
      <c r="GSJ95" s="499"/>
      <c r="GSK95" s="499"/>
      <c r="GSL95" s="499"/>
      <c r="GSM95" s="499"/>
      <c r="GSN95" s="499"/>
      <c r="GSO95" s="499"/>
      <c r="GSP95" s="499"/>
      <c r="GSQ95" s="499"/>
      <c r="GSR95" s="499"/>
      <c r="GSS95" s="499"/>
      <c r="GST95" s="499"/>
      <c r="GSU95" s="499"/>
      <c r="GSV95" s="499"/>
      <c r="GSW95" s="499"/>
      <c r="GSX95" s="499"/>
      <c r="GSY95" s="499"/>
      <c r="GSZ95" s="499"/>
      <c r="GTA95" s="499"/>
      <c r="GTB95" s="499"/>
      <c r="GTC95" s="499"/>
      <c r="GTD95" s="499"/>
      <c r="GTE95" s="499"/>
      <c r="GTF95" s="499"/>
      <c r="GTG95" s="499"/>
      <c r="GTH95" s="499"/>
      <c r="GTI95" s="499"/>
      <c r="GTJ95" s="499"/>
      <c r="GTK95" s="499"/>
      <c r="GTL95" s="499"/>
      <c r="GTM95" s="499"/>
      <c r="GTN95" s="499"/>
      <c r="GTO95" s="499"/>
      <c r="GTP95" s="499"/>
      <c r="GTQ95" s="499"/>
      <c r="GTR95" s="499"/>
      <c r="GTS95" s="499"/>
      <c r="GTT95" s="499"/>
      <c r="GTU95" s="499"/>
      <c r="GTV95" s="499"/>
      <c r="GTW95" s="499"/>
      <c r="GTX95" s="499"/>
      <c r="GTY95" s="499"/>
      <c r="GTZ95" s="499"/>
      <c r="GUA95" s="499"/>
      <c r="GUB95" s="499"/>
      <c r="GUC95" s="499"/>
      <c r="GUD95" s="499"/>
      <c r="GUE95" s="499"/>
      <c r="GUF95" s="499"/>
      <c r="GUG95" s="499"/>
      <c r="GUH95" s="499"/>
      <c r="GUI95" s="499"/>
      <c r="GUJ95" s="499"/>
      <c r="GUK95" s="499"/>
      <c r="GUL95" s="499"/>
      <c r="GUM95" s="499"/>
      <c r="GUN95" s="499"/>
      <c r="GUO95" s="499"/>
      <c r="GUP95" s="499"/>
      <c r="GUQ95" s="499"/>
      <c r="GUR95" s="499"/>
      <c r="GUS95" s="499"/>
      <c r="GUT95" s="499"/>
      <c r="GUU95" s="499"/>
      <c r="GUV95" s="499"/>
      <c r="GUW95" s="499"/>
      <c r="GUX95" s="499"/>
      <c r="GUY95" s="499"/>
      <c r="GUZ95" s="499"/>
      <c r="GVA95" s="499"/>
      <c r="GVB95" s="499"/>
      <c r="GVC95" s="499"/>
      <c r="GVD95" s="499"/>
      <c r="GVE95" s="499"/>
      <c r="GVF95" s="499"/>
      <c r="GVG95" s="499"/>
      <c r="GVH95" s="499"/>
      <c r="GVI95" s="499"/>
      <c r="GVJ95" s="499"/>
      <c r="GVK95" s="499"/>
      <c r="GVL95" s="499"/>
      <c r="GVM95" s="499"/>
      <c r="GVN95" s="499"/>
      <c r="GVO95" s="499"/>
      <c r="GVP95" s="499"/>
      <c r="GVQ95" s="499"/>
      <c r="GVR95" s="499"/>
      <c r="GVS95" s="499"/>
      <c r="GVT95" s="499"/>
      <c r="GVU95" s="499"/>
      <c r="GVV95" s="499"/>
      <c r="GVW95" s="499"/>
      <c r="GVX95" s="499"/>
      <c r="GVY95" s="499"/>
      <c r="GVZ95" s="499"/>
      <c r="GWA95" s="499"/>
      <c r="GWB95" s="499"/>
      <c r="GWC95" s="499"/>
      <c r="GWD95" s="499"/>
      <c r="GWE95" s="499"/>
      <c r="GWF95" s="499"/>
      <c r="GWG95" s="499"/>
      <c r="GWH95" s="499"/>
      <c r="GWI95" s="499"/>
      <c r="GWJ95" s="499"/>
      <c r="GWK95" s="499"/>
      <c r="GWL95" s="499"/>
      <c r="GWM95" s="499"/>
      <c r="GWN95" s="499"/>
      <c r="GWO95" s="499"/>
      <c r="GWP95" s="499"/>
      <c r="GWQ95" s="499"/>
      <c r="GWR95" s="499"/>
      <c r="GWS95" s="499"/>
      <c r="GWT95" s="499"/>
      <c r="GWU95" s="499"/>
      <c r="GWV95" s="499"/>
      <c r="GWW95" s="499"/>
      <c r="GWX95" s="499"/>
      <c r="GWY95" s="499"/>
      <c r="GWZ95" s="499"/>
      <c r="GXA95" s="499"/>
      <c r="GXB95" s="499"/>
      <c r="GXC95" s="499"/>
      <c r="GXD95" s="499"/>
      <c r="GXE95" s="499"/>
      <c r="GXF95" s="499"/>
      <c r="GXG95" s="499"/>
      <c r="GXH95" s="499"/>
      <c r="GXI95" s="499"/>
      <c r="GXJ95" s="499"/>
      <c r="GXK95" s="499"/>
      <c r="GXL95" s="499"/>
      <c r="GXM95" s="499"/>
      <c r="GXN95" s="499"/>
      <c r="GXO95" s="499"/>
      <c r="GXP95" s="499"/>
      <c r="GXQ95" s="499"/>
      <c r="GXR95" s="499"/>
      <c r="GXS95" s="499"/>
      <c r="GXT95" s="499"/>
      <c r="GXU95" s="499"/>
      <c r="GXV95" s="499"/>
      <c r="GXW95" s="499"/>
      <c r="GXX95" s="499"/>
      <c r="GXY95" s="499"/>
      <c r="GXZ95" s="499"/>
      <c r="GYA95" s="499"/>
      <c r="GYB95" s="499"/>
      <c r="GYC95" s="499"/>
      <c r="GYD95" s="499"/>
      <c r="GYE95" s="499"/>
      <c r="GYF95" s="499"/>
      <c r="GYG95" s="499"/>
      <c r="GYH95" s="499"/>
      <c r="GYI95" s="499"/>
      <c r="GYJ95" s="499"/>
      <c r="GYK95" s="499"/>
      <c r="GYL95" s="499"/>
      <c r="GYM95" s="499"/>
      <c r="GYN95" s="499"/>
      <c r="GYO95" s="499"/>
      <c r="GYP95" s="499"/>
      <c r="GYQ95" s="499"/>
      <c r="GYR95" s="499"/>
      <c r="GYS95" s="499"/>
      <c r="GYT95" s="499"/>
      <c r="GYU95" s="499"/>
      <c r="GYV95" s="499"/>
      <c r="GYW95" s="499"/>
      <c r="GYX95" s="499"/>
      <c r="GYY95" s="499"/>
      <c r="GYZ95" s="499"/>
      <c r="GZA95" s="499"/>
      <c r="GZB95" s="499"/>
      <c r="GZC95" s="499"/>
      <c r="GZD95" s="499"/>
      <c r="GZE95" s="499"/>
      <c r="GZF95" s="499"/>
      <c r="GZG95" s="499"/>
      <c r="GZH95" s="499"/>
      <c r="GZI95" s="499"/>
      <c r="GZJ95" s="499"/>
      <c r="GZK95" s="499"/>
      <c r="GZL95" s="499"/>
      <c r="GZM95" s="499"/>
      <c r="GZN95" s="499"/>
      <c r="GZO95" s="499"/>
      <c r="GZP95" s="499"/>
      <c r="GZQ95" s="499"/>
      <c r="GZR95" s="499"/>
      <c r="GZS95" s="499"/>
      <c r="GZT95" s="499"/>
      <c r="GZU95" s="499"/>
      <c r="GZV95" s="499"/>
      <c r="GZW95" s="499"/>
      <c r="GZX95" s="499"/>
      <c r="GZY95" s="499"/>
      <c r="GZZ95" s="499"/>
      <c r="HAA95" s="499"/>
      <c r="HAB95" s="499"/>
      <c r="HAC95" s="499"/>
      <c r="HAD95" s="499"/>
      <c r="HAE95" s="499"/>
      <c r="HAF95" s="499"/>
      <c r="HAG95" s="499"/>
      <c r="HAH95" s="499"/>
      <c r="HAI95" s="499"/>
      <c r="HAJ95" s="499"/>
      <c r="HAK95" s="499"/>
      <c r="HAL95" s="499"/>
      <c r="HAM95" s="499"/>
      <c r="HAN95" s="499"/>
      <c r="HAO95" s="499"/>
      <c r="HAP95" s="499"/>
      <c r="HAQ95" s="499"/>
      <c r="HAR95" s="499"/>
      <c r="HAS95" s="499"/>
      <c r="HAT95" s="499"/>
      <c r="HAU95" s="499"/>
      <c r="HAV95" s="499"/>
      <c r="HAW95" s="499"/>
      <c r="HAX95" s="499"/>
      <c r="HAY95" s="499"/>
      <c r="HAZ95" s="499"/>
      <c r="HBA95" s="499"/>
      <c r="HBB95" s="499"/>
      <c r="HBC95" s="499"/>
      <c r="HBD95" s="499"/>
      <c r="HBE95" s="499"/>
      <c r="HBF95" s="499"/>
      <c r="HBG95" s="499"/>
      <c r="HBH95" s="499"/>
      <c r="HBI95" s="499"/>
      <c r="HBJ95" s="499"/>
      <c r="HBK95" s="499"/>
      <c r="HBL95" s="499"/>
      <c r="HBM95" s="499"/>
      <c r="HBN95" s="499"/>
      <c r="HBO95" s="499"/>
      <c r="HBP95" s="499"/>
      <c r="HBQ95" s="499"/>
      <c r="HBR95" s="499"/>
      <c r="HBS95" s="499"/>
      <c r="HBT95" s="499"/>
      <c r="HBU95" s="499"/>
      <c r="HBV95" s="499"/>
      <c r="HBW95" s="499"/>
      <c r="HBX95" s="499"/>
      <c r="HBY95" s="499"/>
      <c r="HBZ95" s="499"/>
      <c r="HCA95" s="499"/>
      <c r="HCB95" s="499"/>
      <c r="HCC95" s="499"/>
      <c r="HCD95" s="499"/>
      <c r="HCE95" s="499"/>
      <c r="HCF95" s="499"/>
      <c r="HCG95" s="499"/>
      <c r="HCH95" s="499"/>
      <c r="HCI95" s="499"/>
      <c r="HCJ95" s="499"/>
      <c r="HCK95" s="499"/>
      <c r="HCL95" s="499"/>
      <c r="HCM95" s="499"/>
      <c r="HCN95" s="499"/>
      <c r="HCO95" s="499"/>
      <c r="HCP95" s="499"/>
      <c r="HCQ95" s="499"/>
      <c r="HCR95" s="499"/>
      <c r="HCS95" s="499"/>
      <c r="HCT95" s="499"/>
      <c r="HCU95" s="499"/>
      <c r="HCV95" s="499"/>
      <c r="HCW95" s="499"/>
      <c r="HCX95" s="499"/>
      <c r="HCY95" s="499"/>
      <c r="HCZ95" s="499"/>
      <c r="HDA95" s="499"/>
      <c r="HDB95" s="499"/>
      <c r="HDC95" s="499"/>
      <c r="HDD95" s="499"/>
      <c r="HDE95" s="499"/>
      <c r="HDF95" s="499"/>
      <c r="HDG95" s="499"/>
      <c r="HDH95" s="499"/>
      <c r="HDI95" s="499"/>
      <c r="HDJ95" s="499"/>
      <c r="HDK95" s="499"/>
      <c r="HDL95" s="499"/>
      <c r="HDM95" s="499"/>
      <c r="HDN95" s="499"/>
      <c r="HDO95" s="499"/>
      <c r="HDP95" s="499"/>
      <c r="HDQ95" s="499"/>
      <c r="HDR95" s="499"/>
      <c r="HDS95" s="499"/>
      <c r="HDT95" s="499"/>
      <c r="HDU95" s="499"/>
      <c r="HDV95" s="499"/>
      <c r="HDW95" s="499"/>
      <c r="HDX95" s="499"/>
      <c r="HDY95" s="499"/>
      <c r="HDZ95" s="499"/>
      <c r="HEA95" s="499"/>
      <c r="HEB95" s="499"/>
      <c r="HEC95" s="499"/>
      <c r="HED95" s="499"/>
      <c r="HEE95" s="499"/>
      <c r="HEF95" s="499"/>
      <c r="HEG95" s="499"/>
      <c r="HEH95" s="499"/>
      <c r="HEI95" s="499"/>
      <c r="HEJ95" s="499"/>
      <c r="HEK95" s="499"/>
      <c r="HEL95" s="499"/>
      <c r="HEM95" s="499"/>
      <c r="HEN95" s="499"/>
      <c r="HEO95" s="499"/>
      <c r="HEP95" s="499"/>
      <c r="HEQ95" s="499"/>
      <c r="HER95" s="499"/>
      <c r="HES95" s="499"/>
      <c r="HET95" s="499"/>
      <c r="HEU95" s="499"/>
      <c r="HEV95" s="499"/>
      <c r="HEW95" s="499"/>
      <c r="HEX95" s="499"/>
      <c r="HEY95" s="499"/>
      <c r="HEZ95" s="499"/>
      <c r="HFA95" s="499"/>
      <c r="HFB95" s="499"/>
      <c r="HFC95" s="499"/>
      <c r="HFD95" s="499"/>
      <c r="HFE95" s="499"/>
      <c r="HFF95" s="499"/>
      <c r="HFG95" s="499"/>
      <c r="HFH95" s="499"/>
      <c r="HFI95" s="499"/>
      <c r="HFJ95" s="499"/>
      <c r="HFK95" s="499"/>
      <c r="HFL95" s="499"/>
      <c r="HFM95" s="499"/>
      <c r="HFN95" s="499"/>
      <c r="HFO95" s="499"/>
      <c r="HFP95" s="499"/>
      <c r="HFQ95" s="499"/>
      <c r="HFR95" s="499"/>
      <c r="HFS95" s="499"/>
      <c r="HFT95" s="499"/>
      <c r="HFU95" s="499"/>
      <c r="HFV95" s="499"/>
      <c r="HFW95" s="499"/>
      <c r="HFX95" s="499"/>
      <c r="HFY95" s="499"/>
      <c r="HFZ95" s="499"/>
      <c r="HGA95" s="499"/>
      <c r="HGB95" s="499"/>
      <c r="HGC95" s="499"/>
      <c r="HGD95" s="499"/>
      <c r="HGE95" s="499"/>
      <c r="HGF95" s="499"/>
      <c r="HGG95" s="499"/>
      <c r="HGH95" s="499"/>
      <c r="HGI95" s="499"/>
      <c r="HGJ95" s="499"/>
      <c r="HGK95" s="499"/>
      <c r="HGL95" s="499"/>
      <c r="HGM95" s="499"/>
      <c r="HGN95" s="499"/>
      <c r="HGO95" s="499"/>
      <c r="HGP95" s="499"/>
      <c r="HGQ95" s="499"/>
      <c r="HGR95" s="499"/>
      <c r="HGS95" s="499"/>
      <c r="HGT95" s="499"/>
      <c r="HGU95" s="499"/>
      <c r="HGV95" s="499"/>
      <c r="HGW95" s="499"/>
      <c r="HGX95" s="499"/>
      <c r="HGY95" s="499"/>
      <c r="HGZ95" s="499"/>
      <c r="HHA95" s="499"/>
      <c r="HHB95" s="499"/>
      <c r="HHC95" s="499"/>
      <c r="HHD95" s="499"/>
      <c r="HHE95" s="499"/>
      <c r="HHF95" s="499"/>
      <c r="HHG95" s="499"/>
      <c r="HHH95" s="499"/>
      <c r="HHI95" s="499"/>
      <c r="HHJ95" s="499"/>
      <c r="HHK95" s="499"/>
      <c r="HHL95" s="499"/>
      <c r="HHM95" s="499"/>
      <c r="HHN95" s="499"/>
      <c r="HHO95" s="499"/>
      <c r="HHP95" s="499"/>
      <c r="HHQ95" s="499"/>
      <c r="HHR95" s="499"/>
      <c r="HHS95" s="499"/>
      <c r="HHT95" s="499"/>
      <c r="HHU95" s="499"/>
      <c r="HHV95" s="499"/>
      <c r="HHW95" s="499"/>
      <c r="HHX95" s="499"/>
      <c r="HHY95" s="499"/>
      <c r="HHZ95" s="499"/>
      <c r="HIA95" s="499"/>
      <c r="HIB95" s="499"/>
      <c r="HIC95" s="499"/>
      <c r="HID95" s="499"/>
      <c r="HIE95" s="499"/>
      <c r="HIF95" s="499"/>
      <c r="HIG95" s="499"/>
      <c r="HIH95" s="499"/>
      <c r="HII95" s="499"/>
      <c r="HIJ95" s="499"/>
      <c r="HIK95" s="499"/>
      <c r="HIL95" s="499"/>
      <c r="HIM95" s="499"/>
      <c r="HIN95" s="499"/>
      <c r="HIO95" s="499"/>
      <c r="HIP95" s="499"/>
      <c r="HIQ95" s="499"/>
      <c r="HIR95" s="499"/>
      <c r="HIS95" s="499"/>
      <c r="HIT95" s="499"/>
      <c r="HIU95" s="499"/>
      <c r="HIV95" s="499"/>
      <c r="HIW95" s="499"/>
      <c r="HIX95" s="499"/>
      <c r="HIY95" s="499"/>
      <c r="HIZ95" s="499"/>
      <c r="HJA95" s="499"/>
      <c r="HJB95" s="499"/>
      <c r="HJC95" s="499"/>
      <c r="HJD95" s="499"/>
      <c r="HJE95" s="499"/>
      <c r="HJF95" s="499"/>
      <c r="HJG95" s="499"/>
      <c r="HJH95" s="499"/>
      <c r="HJI95" s="499"/>
      <c r="HJJ95" s="499"/>
      <c r="HJK95" s="499"/>
      <c r="HJL95" s="499"/>
      <c r="HJM95" s="499"/>
      <c r="HJN95" s="499"/>
      <c r="HJO95" s="499"/>
      <c r="HJP95" s="499"/>
      <c r="HJQ95" s="499"/>
      <c r="HJR95" s="499"/>
      <c r="HJS95" s="499"/>
      <c r="HJT95" s="499"/>
      <c r="HJU95" s="499"/>
      <c r="HJV95" s="499"/>
      <c r="HJW95" s="499"/>
      <c r="HJX95" s="499"/>
      <c r="HJY95" s="499"/>
      <c r="HJZ95" s="499"/>
      <c r="HKA95" s="499"/>
      <c r="HKB95" s="499"/>
      <c r="HKC95" s="499"/>
      <c r="HKD95" s="499"/>
      <c r="HKE95" s="499"/>
      <c r="HKF95" s="499"/>
      <c r="HKG95" s="499"/>
      <c r="HKH95" s="499"/>
      <c r="HKI95" s="499"/>
      <c r="HKJ95" s="499"/>
      <c r="HKK95" s="499"/>
      <c r="HKL95" s="499"/>
      <c r="HKM95" s="499"/>
      <c r="HKN95" s="499"/>
      <c r="HKO95" s="499"/>
      <c r="HKP95" s="499"/>
      <c r="HKQ95" s="499"/>
      <c r="HKR95" s="499"/>
      <c r="HKS95" s="499"/>
      <c r="HKT95" s="499"/>
      <c r="HKU95" s="499"/>
      <c r="HKV95" s="499"/>
      <c r="HKW95" s="499"/>
      <c r="HKX95" s="499"/>
      <c r="HKY95" s="499"/>
      <c r="HKZ95" s="499"/>
      <c r="HLA95" s="499"/>
      <c r="HLB95" s="499"/>
      <c r="HLC95" s="499"/>
      <c r="HLD95" s="499"/>
      <c r="HLE95" s="499"/>
      <c r="HLF95" s="499"/>
      <c r="HLG95" s="499"/>
      <c r="HLH95" s="499"/>
      <c r="HLI95" s="499"/>
      <c r="HLJ95" s="499"/>
      <c r="HLK95" s="499"/>
      <c r="HLL95" s="499"/>
      <c r="HLM95" s="499"/>
      <c r="HLN95" s="499"/>
      <c r="HLO95" s="499"/>
      <c r="HLP95" s="499"/>
      <c r="HLQ95" s="499"/>
      <c r="HLR95" s="499"/>
      <c r="HLS95" s="499"/>
      <c r="HLT95" s="499"/>
      <c r="HLU95" s="499"/>
      <c r="HLV95" s="499"/>
      <c r="HLW95" s="499"/>
      <c r="HLX95" s="499"/>
      <c r="HLY95" s="499"/>
      <c r="HLZ95" s="499"/>
      <c r="HMA95" s="499"/>
      <c r="HMB95" s="499"/>
      <c r="HMC95" s="499"/>
      <c r="HMD95" s="499"/>
      <c r="HME95" s="499"/>
      <c r="HMF95" s="499"/>
      <c r="HMG95" s="499"/>
      <c r="HMH95" s="499"/>
      <c r="HMI95" s="499"/>
      <c r="HMJ95" s="499"/>
      <c r="HMK95" s="499"/>
      <c r="HML95" s="499"/>
      <c r="HMM95" s="499"/>
      <c r="HMN95" s="499"/>
      <c r="HMO95" s="499"/>
      <c r="HMP95" s="499"/>
      <c r="HMQ95" s="499"/>
      <c r="HMR95" s="499"/>
      <c r="HMS95" s="499"/>
      <c r="HMT95" s="499"/>
      <c r="HMU95" s="499"/>
      <c r="HMV95" s="499"/>
      <c r="HMW95" s="499"/>
      <c r="HMX95" s="499"/>
      <c r="HMY95" s="499"/>
      <c r="HMZ95" s="499"/>
      <c r="HNA95" s="499"/>
      <c r="HNB95" s="499"/>
      <c r="HNC95" s="499"/>
      <c r="HND95" s="499"/>
      <c r="HNE95" s="499"/>
      <c r="HNF95" s="499"/>
      <c r="HNG95" s="499"/>
      <c r="HNH95" s="499"/>
      <c r="HNI95" s="499"/>
      <c r="HNJ95" s="499"/>
      <c r="HNK95" s="499"/>
      <c r="HNL95" s="499"/>
      <c r="HNM95" s="499"/>
      <c r="HNN95" s="499"/>
      <c r="HNO95" s="499"/>
      <c r="HNP95" s="499"/>
      <c r="HNQ95" s="499"/>
      <c r="HNR95" s="499"/>
      <c r="HNS95" s="499"/>
      <c r="HNT95" s="499"/>
      <c r="HNU95" s="499"/>
      <c r="HNV95" s="499"/>
      <c r="HNW95" s="499"/>
      <c r="HNX95" s="499"/>
      <c r="HNY95" s="499"/>
      <c r="HNZ95" s="499"/>
      <c r="HOA95" s="499"/>
      <c r="HOB95" s="499"/>
      <c r="HOC95" s="499"/>
      <c r="HOD95" s="499"/>
      <c r="HOE95" s="499"/>
      <c r="HOF95" s="499"/>
      <c r="HOG95" s="499"/>
      <c r="HOH95" s="499"/>
      <c r="HOI95" s="499"/>
      <c r="HOJ95" s="499"/>
      <c r="HOK95" s="499"/>
      <c r="HOL95" s="499"/>
      <c r="HOM95" s="499"/>
      <c r="HON95" s="499"/>
      <c r="HOO95" s="499"/>
      <c r="HOP95" s="499"/>
      <c r="HOQ95" s="499"/>
      <c r="HOR95" s="499"/>
      <c r="HOS95" s="499"/>
      <c r="HOT95" s="499"/>
      <c r="HOU95" s="499"/>
      <c r="HOV95" s="499"/>
      <c r="HOW95" s="499"/>
      <c r="HOX95" s="499"/>
      <c r="HOY95" s="499"/>
      <c r="HOZ95" s="499"/>
      <c r="HPA95" s="499"/>
      <c r="HPB95" s="499"/>
      <c r="HPC95" s="499"/>
      <c r="HPD95" s="499"/>
      <c r="HPE95" s="499"/>
      <c r="HPF95" s="499"/>
      <c r="HPG95" s="499"/>
      <c r="HPH95" s="499"/>
      <c r="HPI95" s="499"/>
      <c r="HPJ95" s="499"/>
      <c r="HPK95" s="499"/>
      <c r="HPL95" s="499"/>
      <c r="HPM95" s="499"/>
      <c r="HPN95" s="499"/>
      <c r="HPO95" s="499"/>
      <c r="HPP95" s="499"/>
      <c r="HPQ95" s="499"/>
      <c r="HPR95" s="499"/>
      <c r="HPS95" s="499"/>
      <c r="HPT95" s="499"/>
      <c r="HPU95" s="499"/>
      <c r="HPV95" s="499"/>
      <c r="HPW95" s="499"/>
      <c r="HPX95" s="499"/>
      <c r="HPY95" s="499"/>
      <c r="HPZ95" s="499"/>
      <c r="HQA95" s="499"/>
      <c r="HQB95" s="499"/>
      <c r="HQC95" s="499"/>
      <c r="HQD95" s="499"/>
      <c r="HQE95" s="499"/>
      <c r="HQF95" s="499"/>
      <c r="HQG95" s="499"/>
      <c r="HQH95" s="499"/>
      <c r="HQI95" s="499"/>
      <c r="HQJ95" s="499"/>
      <c r="HQK95" s="499"/>
      <c r="HQL95" s="499"/>
      <c r="HQM95" s="499"/>
      <c r="HQN95" s="499"/>
      <c r="HQO95" s="499"/>
      <c r="HQP95" s="499"/>
      <c r="HQQ95" s="499"/>
      <c r="HQR95" s="499"/>
      <c r="HQS95" s="499"/>
      <c r="HQT95" s="499"/>
      <c r="HQU95" s="499"/>
      <c r="HQV95" s="499"/>
      <c r="HQW95" s="499"/>
      <c r="HQX95" s="499"/>
      <c r="HQY95" s="499"/>
      <c r="HQZ95" s="499"/>
      <c r="HRA95" s="499"/>
      <c r="HRB95" s="499"/>
      <c r="HRC95" s="499"/>
      <c r="HRD95" s="499"/>
      <c r="HRE95" s="499"/>
      <c r="HRF95" s="499"/>
      <c r="HRG95" s="499"/>
      <c r="HRH95" s="499"/>
      <c r="HRI95" s="499"/>
      <c r="HRJ95" s="499"/>
      <c r="HRK95" s="499"/>
      <c r="HRL95" s="499"/>
      <c r="HRM95" s="499"/>
      <c r="HRN95" s="499"/>
      <c r="HRO95" s="499"/>
      <c r="HRP95" s="499"/>
      <c r="HRQ95" s="499"/>
      <c r="HRR95" s="499"/>
      <c r="HRS95" s="499"/>
      <c r="HRT95" s="499"/>
      <c r="HRU95" s="499"/>
      <c r="HRV95" s="499"/>
      <c r="HRW95" s="499"/>
      <c r="HRX95" s="499"/>
      <c r="HRY95" s="499"/>
      <c r="HRZ95" s="499"/>
      <c r="HSA95" s="499"/>
      <c r="HSB95" s="499"/>
      <c r="HSC95" s="499"/>
      <c r="HSD95" s="499"/>
      <c r="HSE95" s="499"/>
      <c r="HSF95" s="499"/>
      <c r="HSG95" s="499"/>
      <c r="HSH95" s="499"/>
      <c r="HSI95" s="499"/>
      <c r="HSJ95" s="499"/>
      <c r="HSK95" s="499"/>
      <c r="HSL95" s="499"/>
      <c r="HSM95" s="499"/>
      <c r="HSN95" s="499"/>
      <c r="HSO95" s="499"/>
      <c r="HSP95" s="499"/>
      <c r="HSQ95" s="499"/>
      <c r="HSR95" s="499"/>
      <c r="HSS95" s="499"/>
      <c r="HST95" s="499"/>
      <c r="HSU95" s="499"/>
      <c r="HSV95" s="499"/>
      <c r="HSW95" s="499"/>
      <c r="HSX95" s="499"/>
      <c r="HSY95" s="499"/>
      <c r="HSZ95" s="499"/>
      <c r="HTA95" s="499"/>
      <c r="HTB95" s="499"/>
      <c r="HTC95" s="499"/>
      <c r="HTD95" s="499"/>
      <c r="HTE95" s="499"/>
      <c r="HTF95" s="499"/>
      <c r="HTG95" s="499"/>
      <c r="HTH95" s="499"/>
      <c r="HTI95" s="499"/>
      <c r="HTJ95" s="499"/>
      <c r="HTK95" s="499"/>
      <c r="HTL95" s="499"/>
      <c r="HTM95" s="499"/>
      <c r="HTN95" s="499"/>
      <c r="HTO95" s="499"/>
      <c r="HTP95" s="499"/>
      <c r="HTQ95" s="499"/>
      <c r="HTR95" s="499"/>
      <c r="HTS95" s="499"/>
      <c r="HTT95" s="499"/>
      <c r="HTU95" s="499"/>
      <c r="HTV95" s="499"/>
      <c r="HTW95" s="499"/>
      <c r="HTX95" s="499"/>
      <c r="HTY95" s="499"/>
      <c r="HTZ95" s="499"/>
      <c r="HUA95" s="499"/>
      <c r="HUB95" s="499"/>
      <c r="HUC95" s="499"/>
      <c r="HUD95" s="499"/>
      <c r="HUE95" s="499"/>
      <c r="HUF95" s="499"/>
      <c r="HUG95" s="499"/>
      <c r="HUH95" s="499"/>
      <c r="HUI95" s="499"/>
      <c r="HUJ95" s="499"/>
      <c r="HUK95" s="499"/>
      <c r="HUL95" s="499"/>
      <c r="HUM95" s="499"/>
      <c r="HUN95" s="499"/>
      <c r="HUO95" s="499"/>
      <c r="HUP95" s="499"/>
      <c r="HUQ95" s="499"/>
      <c r="HUR95" s="499"/>
      <c r="HUS95" s="499"/>
      <c r="HUT95" s="499"/>
      <c r="HUU95" s="499"/>
      <c r="HUV95" s="499"/>
      <c r="HUW95" s="499"/>
      <c r="HUX95" s="499"/>
      <c r="HUY95" s="499"/>
      <c r="HUZ95" s="499"/>
      <c r="HVA95" s="499"/>
      <c r="HVB95" s="499"/>
      <c r="HVC95" s="499"/>
      <c r="HVD95" s="499"/>
      <c r="HVE95" s="499"/>
      <c r="HVF95" s="499"/>
      <c r="HVG95" s="499"/>
      <c r="HVH95" s="499"/>
      <c r="HVI95" s="499"/>
      <c r="HVJ95" s="499"/>
      <c r="HVK95" s="499"/>
      <c r="HVL95" s="499"/>
      <c r="HVM95" s="499"/>
      <c r="HVN95" s="499"/>
      <c r="HVO95" s="499"/>
      <c r="HVP95" s="499"/>
      <c r="HVQ95" s="499"/>
      <c r="HVR95" s="499"/>
      <c r="HVS95" s="499"/>
      <c r="HVT95" s="499"/>
      <c r="HVU95" s="499"/>
      <c r="HVV95" s="499"/>
      <c r="HVW95" s="499"/>
      <c r="HVX95" s="499"/>
      <c r="HVY95" s="499"/>
      <c r="HVZ95" s="499"/>
      <c r="HWA95" s="499"/>
      <c r="HWB95" s="499"/>
      <c r="HWC95" s="499"/>
      <c r="HWD95" s="499"/>
      <c r="HWE95" s="499"/>
      <c r="HWF95" s="499"/>
      <c r="HWG95" s="499"/>
      <c r="HWH95" s="499"/>
      <c r="HWI95" s="499"/>
      <c r="HWJ95" s="499"/>
      <c r="HWK95" s="499"/>
      <c r="HWL95" s="499"/>
      <c r="HWM95" s="499"/>
      <c r="HWN95" s="499"/>
      <c r="HWO95" s="499"/>
      <c r="HWP95" s="499"/>
      <c r="HWQ95" s="499"/>
      <c r="HWR95" s="499"/>
      <c r="HWS95" s="499"/>
      <c r="HWT95" s="499"/>
      <c r="HWU95" s="499"/>
      <c r="HWV95" s="499"/>
      <c r="HWW95" s="499"/>
      <c r="HWX95" s="499"/>
      <c r="HWY95" s="499"/>
      <c r="HWZ95" s="499"/>
      <c r="HXA95" s="499"/>
      <c r="HXB95" s="499"/>
      <c r="HXC95" s="499"/>
      <c r="HXD95" s="499"/>
      <c r="HXE95" s="499"/>
      <c r="HXF95" s="499"/>
      <c r="HXG95" s="499"/>
      <c r="HXH95" s="499"/>
      <c r="HXI95" s="499"/>
      <c r="HXJ95" s="499"/>
      <c r="HXK95" s="499"/>
      <c r="HXL95" s="499"/>
      <c r="HXM95" s="499"/>
      <c r="HXN95" s="499"/>
      <c r="HXO95" s="499"/>
      <c r="HXP95" s="499"/>
      <c r="HXQ95" s="499"/>
      <c r="HXR95" s="499"/>
      <c r="HXS95" s="499"/>
      <c r="HXT95" s="499"/>
      <c r="HXU95" s="499"/>
      <c r="HXV95" s="499"/>
      <c r="HXW95" s="499"/>
      <c r="HXX95" s="499"/>
      <c r="HXY95" s="499"/>
      <c r="HXZ95" s="499"/>
      <c r="HYA95" s="499"/>
      <c r="HYB95" s="499"/>
      <c r="HYC95" s="499"/>
      <c r="HYD95" s="499"/>
      <c r="HYE95" s="499"/>
      <c r="HYF95" s="499"/>
      <c r="HYG95" s="499"/>
      <c r="HYH95" s="499"/>
      <c r="HYI95" s="499"/>
      <c r="HYJ95" s="499"/>
      <c r="HYK95" s="499"/>
      <c r="HYL95" s="499"/>
      <c r="HYM95" s="499"/>
      <c r="HYN95" s="499"/>
      <c r="HYO95" s="499"/>
      <c r="HYP95" s="499"/>
      <c r="HYQ95" s="499"/>
      <c r="HYR95" s="499"/>
      <c r="HYS95" s="499"/>
      <c r="HYT95" s="499"/>
      <c r="HYU95" s="499"/>
      <c r="HYV95" s="499"/>
      <c r="HYW95" s="499"/>
      <c r="HYX95" s="499"/>
      <c r="HYY95" s="499"/>
      <c r="HYZ95" s="499"/>
      <c r="HZA95" s="499"/>
      <c r="HZB95" s="499"/>
      <c r="HZC95" s="499"/>
      <c r="HZD95" s="499"/>
      <c r="HZE95" s="499"/>
      <c r="HZF95" s="499"/>
      <c r="HZG95" s="499"/>
      <c r="HZH95" s="499"/>
      <c r="HZI95" s="499"/>
      <c r="HZJ95" s="499"/>
      <c r="HZK95" s="499"/>
      <c r="HZL95" s="499"/>
      <c r="HZM95" s="499"/>
      <c r="HZN95" s="499"/>
      <c r="HZO95" s="499"/>
      <c r="HZP95" s="499"/>
      <c r="HZQ95" s="499"/>
      <c r="HZR95" s="499"/>
      <c r="HZS95" s="499"/>
      <c r="HZT95" s="499"/>
      <c r="HZU95" s="499"/>
      <c r="HZV95" s="499"/>
      <c r="HZW95" s="499"/>
      <c r="HZX95" s="499"/>
      <c r="HZY95" s="499"/>
      <c r="HZZ95" s="499"/>
      <c r="IAA95" s="499"/>
      <c r="IAB95" s="499"/>
      <c r="IAC95" s="499"/>
      <c r="IAD95" s="499"/>
      <c r="IAE95" s="499"/>
      <c r="IAF95" s="499"/>
      <c r="IAG95" s="499"/>
      <c r="IAH95" s="499"/>
      <c r="IAI95" s="499"/>
      <c r="IAJ95" s="499"/>
      <c r="IAK95" s="499"/>
      <c r="IAL95" s="499"/>
      <c r="IAM95" s="499"/>
      <c r="IAN95" s="499"/>
      <c r="IAO95" s="499"/>
      <c r="IAP95" s="499"/>
      <c r="IAQ95" s="499"/>
      <c r="IAR95" s="499"/>
      <c r="IAS95" s="499"/>
      <c r="IAT95" s="499"/>
      <c r="IAU95" s="499"/>
      <c r="IAV95" s="499"/>
      <c r="IAW95" s="499"/>
      <c r="IAX95" s="499"/>
      <c r="IAY95" s="499"/>
      <c r="IAZ95" s="499"/>
      <c r="IBA95" s="499"/>
      <c r="IBB95" s="499"/>
      <c r="IBC95" s="499"/>
      <c r="IBD95" s="499"/>
      <c r="IBE95" s="499"/>
      <c r="IBF95" s="499"/>
      <c r="IBG95" s="499"/>
      <c r="IBH95" s="499"/>
      <c r="IBI95" s="499"/>
      <c r="IBJ95" s="499"/>
      <c r="IBK95" s="499"/>
      <c r="IBL95" s="499"/>
      <c r="IBM95" s="499"/>
      <c r="IBN95" s="499"/>
      <c r="IBO95" s="499"/>
      <c r="IBP95" s="499"/>
      <c r="IBQ95" s="499"/>
      <c r="IBR95" s="499"/>
      <c r="IBS95" s="499"/>
      <c r="IBT95" s="499"/>
      <c r="IBU95" s="499"/>
      <c r="IBV95" s="499"/>
      <c r="IBW95" s="499"/>
      <c r="IBX95" s="499"/>
      <c r="IBY95" s="499"/>
      <c r="IBZ95" s="499"/>
      <c r="ICA95" s="499"/>
      <c r="ICB95" s="499"/>
      <c r="ICC95" s="499"/>
      <c r="ICD95" s="499"/>
      <c r="ICE95" s="499"/>
      <c r="ICF95" s="499"/>
      <c r="ICG95" s="499"/>
      <c r="ICH95" s="499"/>
      <c r="ICI95" s="499"/>
      <c r="ICJ95" s="499"/>
      <c r="ICK95" s="499"/>
      <c r="ICL95" s="499"/>
      <c r="ICM95" s="499"/>
      <c r="ICN95" s="499"/>
      <c r="ICO95" s="499"/>
      <c r="ICP95" s="499"/>
      <c r="ICQ95" s="499"/>
      <c r="ICR95" s="499"/>
      <c r="ICS95" s="499"/>
      <c r="ICT95" s="499"/>
      <c r="ICU95" s="499"/>
      <c r="ICV95" s="499"/>
      <c r="ICW95" s="499"/>
      <c r="ICX95" s="499"/>
      <c r="ICY95" s="499"/>
      <c r="ICZ95" s="499"/>
      <c r="IDA95" s="499"/>
      <c r="IDB95" s="499"/>
      <c r="IDC95" s="499"/>
      <c r="IDD95" s="499"/>
      <c r="IDE95" s="499"/>
      <c r="IDF95" s="499"/>
      <c r="IDG95" s="499"/>
      <c r="IDH95" s="499"/>
      <c r="IDI95" s="499"/>
      <c r="IDJ95" s="499"/>
      <c r="IDK95" s="499"/>
      <c r="IDL95" s="499"/>
      <c r="IDM95" s="499"/>
      <c r="IDN95" s="499"/>
      <c r="IDO95" s="499"/>
      <c r="IDP95" s="499"/>
      <c r="IDQ95" s="499"/>
      <c r="IDR95" s="499"/>
      <c r="IDS95" s="499"/>
      <c r="IDT95" s="499"/>
      <c r="IDU95" s="499"/>
      <c r="IDV95" s="499"/>
      <c r="IDW95" s="499"/>
      <c r="IDX95" s="499"/>
      <c r="IDY95" s="499"/>
      <c r="IDZ95" s="499"/>
      <c r="IEA95" s="499"/>
      <c r="IEB95" s="499"/>
      <c r="IEC95" s="499"/>
      <c r="IED95" s="499"/>
      <c r="IEE95" s="499"/>
      <c r="IEF95" s="499"/>
      <c r="IEG95" s="499"/>
      <c r="IEH95" s="499"/>
      <c r="IEI95" s="499"/>
      <c r="IEJ95" s="499"/>
      <c r="IEK95" s="499"/>
      <c r="IEL95" s="499"/>
      <c r="IEM95" s="499"/>
      <c r="IEN95" s="499"/>
      <c r="IEO95" s="499"/>
      <c r="IEP95" s="499"/>
      <c r="IEQ95" s="499"/>
      <c r="IER95" s="499"/>
      <c r="IES95" s="499"/>
      <c r="IET95" s="499"/>
      <c r="IEU95" s="499"/>
      <c r="IEV95" s="499"/>
      <c r="IEW95" s="499"/>
      <c r="IEX95" s="499"/>
      <c r="IEY95" s="499"/>
      <c r="IEZ95" s="499"/>
      <c r="IFA95" s="499"/>
      <c r="IFB95" s="499"/>
      <c r="IFC95" s="499"/>
      <c r="IFD95" s="499"/>
      <c r="IFE95" s="499"/>
      <c r="IFF95" s="499"/>
      <c r="IFG95" s="499"/>
      <c r="IFH95" s="499"/>
      <c r="IFI95" s="499"/>
      <c r="IFJ95" s="499"/>
      <c r="IFK95" s="499"/>
      <c r="IFL95" s="499"/>
      <c r="IFM95" s="499"/>
      <c r="IFN95" s="499"/>
      <c r="IFO95" s="499"/>
      <c r="IFP95" s="499"/>
      <c r="IFQ95" s="499"/>
      <c r="IFR95" s="499"/>
      <c r="IFS95" s="499"/>
      <c r="IFT95" s="499"/>
      <c r="IFU95" s="499"/>
      <c r="IFV95" s="499"/>
      <c r="IFW95" s="499"/>
      <c r="IFX95" s="499"/>
      <c r="IFY95" s="499"/>
      <c r="IFZ95" s="499"/>
      <c r="IGA95" s="499"/>
      <c r="IGB95" s="499"/>
      <c r="IGC95" s="499"/>
      <c r="IGD95" s="499"/>
      <c r="IGE95" s="499"/>
      <c r="IGF95" s="499"/>
      <c r="IGG95" s="499"/>
      <c r="IGH95" s="499"/>
      <c r="IGI95" s="499"/>
      <c r="IGJ95" s="499"/>
      <c r="IGK95" s="499"/>
      <c r="IGL95" s="499"/>
      <c r="IGM95" s="499"/>
      <c r="IGN95" s="499"/>
      <c r="IGO95" s="499"/>
      <c r="IGP95" s="499"/>
      <c r="IGQ95" s="499"/>
      <c r="IGR95" s="499"/>
      <c r="IGS95" s="499"/>
      <c r="IGT95" s="499"/>
      <c r="IGU95" s="499"/>
      <c r="IGV95" s="499"/>
      <c r="IGW95" s="499"/>
      <c r="IGX95" s="499"/>
      <c r="IGY95" s="499"/>
      <c r="IGZ95" s="499"/>
      <c r="IHA95" s="499"/>
      <c r="IHB95" s="499"/>
      <c r="IHC95" s="499"/>
      <c r="IHD95" s="499"/>
      <c r="IHE95" s="499"/>
      <c r="IHF95" s="499"/>
      <c r="IHG95" s="499"/>
      <c r="IHH95" s="499"/>
      <c r="IHI95" s="499"/>
      <c r="IHJ95" s="499"/>
      <c r="IHK95" s="499"/>
      <c r="IHL95" s="499"/>
      <c r="IHM95" s="499"/>
      <c r="IHN95" s="499"/>
      <c r="IHO95" s="499"/>
      <c r="IHP95" s="499"/>
      <c r="IHQ95" s="499"/>
      <c r="IHR95" s="499"/>
      <c r="IHS95" s="499"/>
      <c r="IHT95" s="499"/>
      <c r="IHU95" s="499"/>
      <c r="IHV95" s="499"/>
      <c r="IHW95" s="499"/>
      <c r="IHX95" s="499"/>
      <c r="IHY95" s="499"/>
      <c r="IHZ95" s="499"/>
      <c r="IIA95" s="499"/>
      <c r="IIB95" s="499"/>
      <c r="IIC95" s="499"/>
      <c r="IID95" s="499"/>
      <c r="IIE95" s="499"/>
      <c r="IIF95" s="499"/>
      <c r="IIG95" s="499"/>
      <c r="IIH95" s="499"/>
      <c r="III95" s="499"/>
      <c r="IIJ95" s="499"/>
      <c r="IIK95" s="499"/>
      <c r="IIL95" s="499"/>
      <c r="IIM95" s="499"/>
      <c r="IIN95" s="499"/>
      <c r="IIO95" s="499"/>
      <c r="IIP95" s="499"/>
      <c r="IIQ95" s="499"/>
      <c r="IIR95" s="499"/>
      <c r="IIS95" s="499"/>
      <c r="IIT95" s="499"/>
      <c r="IIU95" s="499"/>
      <c r="IIV95" s="499"/>
      <c r="IIW95" s="499"/>
      <c r="IIX95" s="499"/>
      <c r="IIY95" s="499"/>
      <c r="IIZ95" s="499"/>
      <c r="IJA95" s="499"/>
      <c r="IJB95" s="499"/>
      <c r="IJC95" s="499"/>
      <c r="IJD95" s="499"/>
      <c r="IJE95" s="499"/>
      <c r="IJF95" s="499"/>
      <c r="IJG95" s="499"/>
      <c r="IJH95" s="499"/>
      <c r="IJI95" s="499"/>
      <c r="IJJ95" s="499"/>
      <c r="IJK95" s="499"/>
      <c r="IJL95" s="499"/>
      <c r="IJM95" s="499"/>
      <c r="IJN95" s="499"/>
      <c r="IJO95" s="499"/>
      <c r="IJP95" s="499"/>
      <c r="IJQ95" s="499"/>
      <c r="IJR95" s="499"/>
      <c r="IJS95" s="499"/>
      <c r="IJT95" s="499"/>
      <c r="IJU95" s="499"/>
      <c r="IJV95" s="499"/>
      <c r="IJW95" s="499"/>
      <c r="IJX95" s="499"/>
      <c r="IJY95" s="499"/>
      <c r="IJZ95" s="499"/>
      <c r="IKA95" s="499"/>
      <c r="IKB95" s="499"/>
      <c r="IKC95" s="499"/>
      <c r="IKD95" s="499"/>
      <c r="IKE95" s="499"/>
      <c r="IKF95" s="499"/>
      <c r="IKG95" s="499"/>
      <c r="IKH95" s="499"/>
      <c r="IKI95" s="499"/>
      <c r="IKJ95" s="499"/>
      <c r="IKK95" s="499"/>
      <c r="IKL95" s="499"/>
      <c r="IKM95" s="499"/>
      <c r="IKN95" s="499"/>
      <c r="IKO95" s="499"/>
      <c r="IKP95" s="499"/>
      <c r="IKQ95" s="499"/>
      <c r="IKR95" s="499"/>
      <c r="IKS95" s="499"/>
      <c r="IKT95" s="499"/>
      <c r="IKU95" s="499"/>
      <c r="IKV95" s="499"/>
      <c r="IKW95" s="499"/>
      <c r="IKX95" s="499"/>
      <c r="IKY95" s="499"/>
      <c r="IKZ95" s="499"/>
      <c r="ILA95" s="499"/>
      <c r="ILB95" s="499"/>
      <c r="ILC95" s="499"/>
      <c r="ILD95" s="499"/>
      <c r="ILE95" s="499"/>
      <c r="ILF95" s="499"/>
      <c r="ILG95" s="499"/>
      <c r="ILH95" s="499"/>
      <c r="ILI95" s="499"/>
      <c r="ILJ95" s="499"/>
      <c r="ILK95" s="499"/>
      <c r="ILL95" s="499"/>
      <c r="ILM95" s="499"/>
      <c r="ILN95" s="499"/>
      <c r="ILO95" s="499"/>
      <c r="ILP95" s="499"/>
      <c r="ILQ95" s="499"/>
      <c r="ILR95" s="499"/>
      <c r="ILS95" s="499"/>
      <c r="ILT95" s="499"/>
      <c r="ILU95" s="499"/>
      <c r="ILV95" s="499"/>
      <c r="ILW95" s="499"/>
      <c r="ILX95" s="499"/>
      <c r="ILY95" s="499"/>
      <c r="ILZ95" s="499"/>
      <c r="IMA95" s="499"/>
      <c r="IMB95" s="499"/>
      <c r="IMC95" s="499"/>
      <c r="IMD95" s="499"/>
      <c r="IME95" s="499"/>
      <c r="IMF95" s="499"/>
      <c r="IMG95" s="499"/>
      <c r="IMH95" s="499"/>
      <c r="IMI95" s="499"/>
      <c r="IMJ95" s="499"/>
      <c r="IMK95" s="499"/>
      <c r="IML95" s="499"/>
      <c r="IMM95" s="499"/>
      <c r="IMN95" s="499"/>
      <c r="IMO95" s="499"/>
      <c r="IMP95" s="499"/>
      <c r="IMQ95" s="499"/>
      <c r="IMR95" s="499"/>
      <c r="IMS95" s="499"/>
      <c r="IMT95" s="499"/>
      <c r="IMU95" s="499"/>
      <c r="IMV95" s="499"/>
      <c r="IMW95" s="499"/>
      <c r="IMX95" s="499"/>
      <c r="IMY95" s="499"/>
      <c r="IMZ95" s="499"/>
      <c r="INA95" s="499"/>
      <c r="INB95" s="499"/>
      <c r="INC95" s="499"/>
      <c r="IND95" s="499"/>
      <c r="INE95" s="499"/>
      <c r="INF95" s="499"/>
      <c r="ING95" s="499"/>
      <c r="INH95" s="499"/>
      <c r="INI95" s="499"/>
      <c r="INJ95" s="499"/>
      <c r="INK95" s="499"/>
      <c r="INL95" s="499"/>
      <c r="INM95" s="499"/>
      <c r="INN95" s="499"/>
      <c r="INO95" s="499"/>
      <c r="INP95" s="499"/>
      <c r="INQ95" s="499"/>
      <c r="INR95" s="499"/>
      <c r="INS95" s="499"/>
      <c r="INT95" s="499"/>
      <c r="INU95" s="499"/>
      <c r="INV95" s="499"/>
      <c r="INW95" s="499"/>
      <c r="INX95" s="499"/>
      <c r="INY95" s="499"/>
      <c r="INZ95" s="499"/>
      <c r="IOA95" s="499"/>
      <c r="IOB95" s="499"/>
      <c r="IOC95" s="499"/>
      <c r="IOD95" s="499"/>
      <c r="IOE95" s="499"/>
      <c r="IOF95" s="499"/>
      <c r="IOG95" s="499"/>
      <c r="IOH95" s="499"/>
      <c r="IOI95" s="499"/>
      <c r="IOJ95" s="499"/>
      <c r="IOK95" s="499"/>
      <c r="IOL95" s="499"/>
      <c r="IOM95" s="499"/>
      <c r="ION95" s="499"/>
      <c r="IOO95" s="499"/>
      <c r="IOP95" s="499"/>
      <c r="IOQ95" s="499"/>
      <c r="IOR95" s="499"/>
      <c r="IOS95" s="499"/>
      <c r="IOT95" s="499"/>
      <c r="IOU95" s="499"/>
      <c r="IOV95" s="499"/>
      <c r="IOW95" s="499"/>
      <c r="IOX95" s="499"/>
      <c r="IOY95" s="499"/>
      <c r="IOZ95" s="499"/>
      <c r="IPA95" s="499"/>
      <c r="IPB95" s="499"/>
      <c r="IPC95" s="499"/>
      <c r="IPD95" s="499"/>
      <c r="IPE95" s="499"/>
      <c r="IPF95" s="499"/>
      <c r="IPG95" s="499"/>
      <c r="IPH95" s="499"/>
      <c r="IPI95" s="499"/>
      <c r="IPJ95" s="499"/>
      <c r="IPK95" s="499"/>
      <c r="IPL95" s="499"/>
      <c r="IPM95" s="499"/>
      <c r="IPN95" s="499"/>
      <c r="IPO95" s="499"/>
      <c r="IPP95" s="499"/>
      <c r="IPQ95" s="499"/>
      <c r="IPR95" s="499"/>
      <c r="IPS95" s="499"/>
      <c r="IPT95" s="499"/>
      <c r="IPU95" s="499"/>
      <c r="IPV95" s="499"/>
      <c r="IPW95" s="499"/>
      <c r="IPX95" s="499"/>
      <c r="IPY95" s="499"/>
      <c r="IPZ95" s="499"/>
      <c r="IQA95" s="499"/>
      <c r="IQB95" s="499"/>
      <c r="IQC95" s="499"/>
      <c r="IQD95" s="499"/>
      <c r="IQE95" s="499"/>
      <c r="IQF95" s="499"/>
      <c r="IQG95" s="499"/>
      <c r="IQH95" s="499"/>
      <c r="IQI95" s="499"/>
      <c r="IQJ95" s="499"/>
      <c r="IQK95" s="499"/>
      <c r="IQL95" s="499"/>
      <c r="IQM95" s="499"/>
      <c r="IQN95" s="499"/>
      <c r="IQO95" s="499"/>
      <c r="IQP95" s="499"/>
      <c r="IQQ95" s="499"/>
      <c r="IQR95" s="499"/>
      <c r="IQS95" s="499"/>
      <c r="IQT95" s="499"/>
      <c r="IQU95" s="499"/>
      <c r="IQV95" s="499"/>
      <c r="IQW95" s="499"/>
      <c r="IQX95" s="499"/>
      <c r="IQY95" s="499"/>
      <c r="IQZ95" s="499"/>
      <c r="IRA95" s="499"/>
      <c r="IRB95" s="499"/>
      <c r="IRC95" s="499"/>
      <c r="IRD95" s="499"/>
      <c r="IRE95" s="499"/>
      <c r="IRF95" s="499"/>
      <c r="IRG95" s="499"/>
      <c r="IRH95" s="499"/>
      <c r="IRI95" s="499"/>
      <c r="IRJ95" s="499"/>
      <c r="IRK95" s="499"/>
      <c r="IRL95" s="499"/>
      <c r="IRM95" s="499"/>
      <c r="IRN95" s="499"/>
      <c r="IRO95" s="499"/>
      <c r="IRP95" s="499"/>
      <c r="IRQ95" s="499"/>
      <c r="IRR95" s="499"/>
      <c r="IRS95" s="499"/>
      <c r="IRT95" s="499"/>
      <c r="IRU95" s="499"/>
      <c r="IRV95" s="499"/>
      <c r="IRW95" s="499"/>
      <c r="IRX95" s="499"/>
      <c r="IRY95" s="499"/>
      <c r="IRZ95" s="499"/>
      <c r="ISA95" s="499"/>
      <c r="ISB95" s="499"/>
      <c r="ISC95" s="499"/>
      <c r="ISD95" s="499"/>
      <c r="ISE95" s="499"/>
      <c r="ISF95" s="499"/>
      <c r="ISG95" s="499"/>
      <c r="ISH95" s="499"/>
      <c r="ISI95" s="499"/>
      <c r="ISJ95" s="499"/>
      <c r="ISK95" s="499"/>
      <c r="ISL95" s="499"/>
      <c r="ISM95" s="499"/>
      <c r="ISN95" s="499"/>
      <c r="ISO95" s="499"/>
      <c r="ISP95" s="499"/>
      <c r="ISQ95" s="499"/>
      <c r="ISR95" s="499"/>
      <c r="ISS95" s="499"/>
      <c r="IST95" s="499"/>
      <c r="ISU95" s="499"/>
      <c r="ISV95" s="499"/>
      <c r="ISW95" s="499"/>
      <c r="ISX95" s="499"/>
      <c r="ISY95" s="499"/>
      <c r="ISZ95" s="499"/>
      <c r="ITA95" s="499"/>
      <c r="ITB95" s="499"/>
      <c r="ITC95" s="499"/>
      <c r="ITD95" s="499"/>
      <c r="ITE95" s="499"/>
      <c r="ITF95" s="499"/>
      <c r="ITG95" s="499"/>
      <c r="ITH95" s="499"/>
      <c r="ITI95" s="499"/>
      <c r="ITJ95" s="499"/>
      <c r="ITK95" s="499"/>
      <c r="ITL95" s="499"/>
      <c r="ITM95" s="499"/>
      <c r="ITN95" s="499"/>
      <c r="ITO95" s="499"/>
      <c r="ITP95" s="499"/>
      <c r="ITQ95" s="499"/>
      <c r="ITR95" s="499"/>
      <c r="ITS95" s="499"/>
      <c r="ITT95" s="499"/>
      <c r="ITU95" s="499"/>
      <c r="ITV95" s="499"/>
      <c r="ITW95" s="499"/>
      <c r="ITX95" s="499"/>
      <c r="ITY95" s="499"/>
      <c r="ITZ95" s="499"/>
      <c r="IUA95" s="499"/>
      <c r="IUB95" s="499"/>
      <c r="IUC95" s="499"/>
      <c r="IUD95" s="499"/>
      <c r="IUE95" s="499"/>
      <c r="IUF95" s="499"/>
      <c r="IUG95" s="499"/>
      <c r="IUH95" s="499"/>
      <c r="IUI95" s="499"/>
      <c r="IUJ95" s="499"/>
      <c r="IUK95" s="499"/>
      <c r="IUL95" s="499"/>
      <c r="IUM95" s="499"/>
      <c r="IUN95" s="499"/>
      <c r="IUO95" s="499"/>
      <c r="IUP95" s="499"/>
      <c r="IUQ95" s="499"/>
      <c r="IUR95" s="499"/>
      <c r="IUS95" s="499"/>
      <c r="IUT95" s="499"/>
      <c r="IUU95" s="499"/>
      <c r="IUV95" s="499"/>
      <c r="IUW95" s="499"/>
      <c r="IUX95" s="499"/>
      <c r="IUY95" s="499"/>
      <c r="IUZ95" s="499"/>
      <c r="IVA95" s="499"/>
      <c r="IVB95" s="499"/>
      <c r="IVC95" s="499"/>
      <c r="IVD95" s="499"/>
      <c r="IVE95" s="499"/>
      <c r="IVF95" s="499"/>
      <c r="IVG95" s="499"/>
      <c r="IVH95" s="499"/>
      <c r="IVI95" s="499"/>
      <c r="IVJ95" s="499"/>
      <c r="IVK95" s="499"/>
      <c r="IVL95" s="499"/>
      <c r="IVM95" s="499"/>
      <c r="IVN95" s="499"/>
      <c r="IVO95" s="499"/>
      <c r="IVP95" s="499"/>
      <c r="IVQ95" s="499"/>
      <c r="IVR95" s="499"/>
      <c r="IVS95" s="499"/>
      <c r="IVT95" s="499"/>
      <c r="IVU95" s="499"/>
      <c r="IVV95" s="499"/>
      <c r="IVW95" s="499"/>
      <c r="IVX95" s="499"/>
      <c r="IVY95" s="499"/>
      <c r="IVZ95" s="499"/>
      <c r="IWA95" s="499"/>
      <c r="IWB95" s="499"/>
      <c r="IWC95" s="499"/>
      <c r="IWD95" s="499"/>
      <c r="IWE95" s="499"/>
      <c r="IWF95" s="499"/>
      <c r="IWG95" s="499"/>
      <c r="IWH95" s="499"/>
      <c r="IWI95" s="499"/>
      <c r="IWJ95" s="499"/>
      <c r="IWK95" s="499"/>
      <c r="IWL95" s="499"/>
      <c r="IWM95" s="499"/>
      <c r="IWN95" s="499"/>
      <c r="IWO95" s="499"/>
      <c r="IWP95" s="499"/>
      <c r="IWQ95" s="499"/>
      <c r="IWR95" s="499"/>
      <c r="IWS95" s="499"/>
      <c r="IWT95" s="499"/>
      <c r="IWU95" s="499"/>
      <c r="IWV95" s="499"/>
      <c r="IWW95" s="499"/>
      <c r="IWX95" s="499"/>
      <c r="IWY95" s="499"/>
      <c r="IWZ95" s="499"/>
      <c r="IXA95" s="499"/>
      <c r="IXB95" s="499"/>
      <c r="IXC95" s="499"/>
      <c r="IXD95" s="499"/>
      <c r="IXE95" s="499"/>
      <c r="IXF95" s="499"/>
      <c r="IXG95" s="499"/>
      <c r="IXH95" s="499"/>
      <c r="IXI95" s="499"/>
      <c r="IXJ95" s="499"/>
      <c r="IXK95" s="499"/>
      <c r="IXL95" s="499"/>
      <c r="IXM95" s="499"/>
      <c r="IXN95" s="499"/>
      <c r="IXO95" s="499"/>
      <c r="IXP95" s="499"/>
      <c r="IXQ95" s="499"/>
      <c r="IXR95" s="499"/>
      <c r="IXS95" s="499"/>
      <c r="IXT95" s="499"/>
      <c r="IXU95" s="499"/>
      <c r="IXV95" s="499"/>
      <c r="IXW95" s="499"/>
      <c r="IXX95" s="499"/>
      <c r="IXY95" s="499"/>
      <c r="IXZ95" s="499"/>
      <c r="IYA95" s="499"/>
      <c r="IYB95" s="499"/>
      <c r="IYC95" s="499"/>
      <c r="IYD95" s="499"/>
      <c r="IYE95" s="499"/>
      <c r="IYF95" s="499"/>
      <c r="IYG95" s="499"/>
      <c r="IYH95" s="499"/>
      <c r="IYI95" s="499"/>
      <c r="IYJ95" s="499"/>
      <c r="IYK95" s="499"/>
      <c r="IYL95" s="499"/>
      <c r="IYM95" s="499"/>
      <c r="IYN95" s="499"/>
      <c r="IYO95" s="499"/>
      <c r="IYP95" s="499"/>
      <c r="IYQ95" s="499"/>
      <c r="IYR95" s="499"/>
      <c r="IYS95" s="499"/>
      <c r="IYT95" s="499"/>
      <c r="IYU95" s="499"/>
      <c r="IYV95" s="499"/>
      <c r="IYW95" s="499"/>
      <c r="IYX95" s="499"/>
      <c r="IYY95" s="499"/>
      <c r="IYZ95" s="499"/>
      <c r="IZA95" s="499"/>
      <c r="IZB95" s="499"/>
      <c r="IZC95" s="499"/>
      <c r="IZD95" s="499"/>
      <c r="IZE95" s="499"/>
      <c r="IZF95" s="499"/>
      <c r="IZG95" s="499"/>
      <c r="IZH95" s="499"/>
      <c r="IZI95" s="499"/>
      <c r="IZJ95" s="499"/>
      <c r="IZK95" s="499"/>
      <c r="IZL95" s="499"/>
      <c r="IZM95" s="499"/>
      <c r="IZN95" s="499"/>
      <c r="IZO95" s="499"/>
      <c r="IZP95" s="499"/>
      <c r="IZQ95" s="499"/>
      <c r="IZR95" s="499"/>
      <c r="IZS95" s="499"/>
      <c r="IZT95" s="499"/>
      <c r="IZU95" s="499"/>
      <c r="IZV95" s="499"/>
      <c r="IZW95" s="499"/>
      <c r="IZX95" s="499"/>
      <c r="IZY95" s="499"/>
      <c r="IZZ95" s="499"/>
      <c r="JAA95" s="499"/>
      <c r="JAB95" s="499"/>
      <c r="JAC95" s="499"/>
      <c r="JAD95" s="499"/>
      <c r="JAE95" s="499"/>
      <c r="JAF95" s="499"/>
      <c r="JAG95" s="499"/>
      <c r="JAH95" s="499"/>
      <c r="JAI95" s="499"/>
      <c r="JAJ95" s="499"/>
      <c r="JAK95" s="499"/>
      <c r="JAL95" s="499"/>
      <c r="JAM95" s="499"/>
      <c r="JAN95" s="499"/>
      <c r="JAO95" s="499"/>
      <c r="JAP95" s="499"/>
      <c r="JAQ95" s="499"/>
      <c r="JAR95" s="499"/>
      <c r="JAS95" s="499"/>
      <c r="JAT95" s="499"/>
      <c r="JAU95" s="499"/>
      <c r="JAV95" s="499"/>
      <c r="JAW95" s="499"/>
      <c r="JAX95" s="499"/>
      <c r="JAY95" s="499"/>
      <c r="JAZ95" s="499"/>
      <c r="JBA95" s="499"/>
      <c r="JBB95" s="499"/>
      <c r="JBC95" s="499"/>
      <c r="JBD95" s="499"/>
      <c r="JBE95" s="499"/>
      <c r="JBF95" s="499"/>
      <c r="JBG95" s="499"/>
      <c r="JBH95" s="499"/>
      <c r="JBI95" s="499"/>
      <c r="JBJ95" s="499"/>
      <c r="JBK95" s="499"/>
      <c r="JBL95" s="499"/>
      <c r="JBM95" s="499"/>
      <c r="JBN95" s="499"/>
      <c r="JBO95" s="499"/>
      <c r="JBP95" s="499"/>
      <c r="JBQ95" s="499"/>
      <c r="JBR95" s="499"/>
      <c r="JBS95" s="499"/>
      <c r="JBT95" s="499"/>
      <c r="JBU95" s="499"/>
      <c r="JBV95" s="499"/>
      <c r="JBW95" s="499"/>
      <c r="JBX95" s="499"/>
      <c r="JBY95" s="499"/>
      <c r="JBZ95" s="499"/>
      <c r="JCA95" s="499"/>
      <c r="JCB95" s="499"/>
      <c r="JCC95" s="499"/>
      <c r="JCD95" s="499"/>
      <c r="JCE95" s="499"/>
      <c r="JCF95" s="499"/>
      <c r="JCG95" s="499"/>
      <c r="JCH95" s="499"/>
      <c r="JCI95" s="499"/>
      <c r="JCJ95" s="499"/>
      <c r="JCK95" s="499"/>
      <c r="JCL95" s="499"/>
      <c r="JCM95" s="499"/>
      <c r="JCN95" s="499"/>
      <c r="JCO95" s="499"/>
      <c r="JCP95" s="499"/>
      <c r="JCQ95" s="499"/>
      <c r="JCR95" s="499"/>
      <c r="JCS95" s="499"/>
      <c r="JCT95" s="499"/>
      <c r="JCU95" s="499"/>
      <c r="JCV95" s="499"/>
      <c r="JCW95" s="499"/>
      <c r="JCX95" s="499"/>
      <c r="JCY95" s="499"/>
      <c r="JCZ95" s="499"/>
      <c r="JDA95" s="499"/>
      <c r="JDB95" s="499"/>
      <c r="JDC95" s="499"/>
      <c r="JDD95" s="499"/>
      <c r="JDE95" s="499"/>
      <c r="JDF95" s="499"/>
      <c r="JDG95" s="499"/>
      <c r="JDH95" s="499"/>
      <c r="JDI95" s="499"/>
      <c r="JDJ95" s="499"/>
      <c r="JDK95" s="499"/>
      <c r="JDL95" s="499"/>
      <c r="JDM95" s="499"/>
      <c r="JDN95" s="499"/>
      <c r="JDO95" s="499"/>
      <c r="JDP95" s="499"/>
      <c r="JDQ95" s="499"/>
      <c r="JDR95" s="499"/>
      <c r="JDS95" s="499"/>
      <c r="JDT95" s="499"/>
      <c r="JDU95" s="499"/>
      <c r="JDV95" s="499"/>
      <c r="JDW95" s="499"/>
      <c r="JDX95" s="499"/>
      <c r="JDY95" s="499"/>
      <c r="JDZ95" s="499"/>
      <c r="JEA95" s="499"/>
      <c r="JEB95" s="499"/>
      <c r="JEC95" s="499"/>
      <c r="JED95" s="499"/>
      <c r="JEE95" s="499"/>
      <c r="JEF95" s="499"/>
      <c r="JEG95" s="499"/>
      <c r="JEH95" s="499"/>
      <c r="JEI95" s="499"/>
      <c r="JEJ95" s="499"/>
      <c r="JEK95" s="499"/>
      <c r="JEL95" s="499"/>
      <c r="JEM95" s="499"/>
      <c r="JEN95" s="499"/>
      <c r="JEO95" s="499"/>
      <c r="JEP95" s="499"/>
      <c r="JEQ95" s="499"/>
      <c r="JER95" s="499"/>
      <c r="JES95" s="499"/>
      <c r="JET95" s="499"/>
      <c r="JEU95" s="499"/>
      <c r="JEV95" s="499"/>
      <c r="JEW95" s="499"/>
      <c r="JEX95" s="499"/>
      <c r="JEY95" s="499"/>
      <c r="JEZ95" s="499"/>
      <c r="JFA95" s="499"/>
      <c r="JFB95" s="499"/>
      <c r="JFC95" s="499"/>
      <c r="JFD95" s="499"/>
      <c r="JFE95" s="499"/>
      <c r="JFF95" s="499"/>
      <c r="JFG95" s="499"/>
      <c r="JFH95" s="499"/>
      <c r="JFI95" s="499"/>
      <c r="JFJ95" s="499"/>
      <c r="JFK95" s="499"/>
      <c r="JFL95" s="499"/>
      <c r="JFM95" s="499"/>
      <c r="JFN95" s="499"/>
      <c r="JFO95" s="499"/>
      <c r="JFP95" s="499"/>
      <c r="JFQ95" s="499"/>
      <c r="JFR95" s="499"/>
      <c r="JFS95" s="499"/>
      <c r="JFT95" s="499"/>
      <c r="JFU95" s="499"/>
      <c r="JFV95" s="499"/>
      <c r="JFW95" s="499"/>
      <c r="JFX95" s="499"/>
      <c r="JFY95" s="499"/>
      <c r="JFZ95" s="499"/>
      <c r="JGA95" s="499"/>
      <c r="JGB95" s="499"/>
      <c r="JGC95" s="499"/>
      <c r="JGD95" s="499"/>
      <c r="JGE95" s="499"/>
      <c r="JGF95" s="499"/>
      <c r="JGG95" s="499"/>
      <c r="JGH95" s="499"/>
      <c r="JGI95" s="499"/>
      <c r="JGJ95" s="499"/>
      <c r="JGK95" s="499"/>
      <c r="JGL95" s="499"/>
      <c r="JGM95" s="499"/>
      <c r="JGN95" s="499"/>
      <c r="JGO95" s="499"/>
      <c r="JGP95" s="499"/>
      <c r="JGQ95" s="499"/>
      <c r="JGR95" s="499"/>
      <c r="JGS95" s="499"/>
      <c r="JGT95" s="499"/>
      <c r="JGU95" s="499"/>
      <c r="JGV95" s="499"/>
      <c r="JGW95" s="499"/>
      <c r="JGX95" s="499"/>
      <c r="JGY95" s="499"/>
      <c r="JGZ95" s="499"/>
      <c r="JHA95" s="499"/>
      <c r="JHB95" s="499"/>
      <c r="JHC95" s="499"/>
      <c r="JHD95" s="499"/>
      <c r="JHE95" s="499"/>
      <c r="JHF95" s="499"/>
      <c r="JHG95" s="499"/>
      <c r="JHH95" s="499"/>
      <c r="JHI95" s="499"/>
      <c r="JHJ95" s="499"/>
      <c r="JHK95" s="499"/>
      <c r="JHL95" s="499"/>
      <c r="JHM95" s="499"/>
      <c r="JHN95" s="499"/>
      <c r="JHO95" s="499"/>
      <c r="JHP95" s="499"/>
      <c r="JHQ95" s="499"/>
      <c r="JHR95" s="499"/>
      <c r="JHS95" s="499"/>
      <c r="JHT95" s="499"/>
      <c r="JHU95" s="499"/>
      <c r="JHV95" s="499"/>
      <c r="JHW95" s="499"/>
      <c r="JHX95" s="499"/>
      <c r="JHY95" s="499"/>
      <c r="JHZ95" s="499"/>
      <c r="JIA95" s="499"/>
      <c r="JIB95" s="499"/>
      <c r="JIC95" s="499"/>
      <c r="JID95" s="499"/>
      <c r="JIE95" s="499"/>
      <c r="JIF95" s="499"/>
      <c r="JIG95" s="499"/>
      <c r="JIH95" s="499"/>
      <c r="JII95" s="499"/>
      <c r="JIJ95" s="499"/>
      <c r="JIK95" s="499"/>
      <c r="JIL95" s="499"/>
      <c r="JIM95" s="499"/>
      <c r="JIN95" s="499"/>
      <c r="JIO95" s="499"/>
      <c r="JIP95" s="499"/>
      <c r="JIQ95" s="499"/>
      <c r="JIR95" s="499"/>
      <c r="JIS95" s="499"/>
      <c r="JIT95" s="499"/>
      <c r="JIU95" s="499"/>
      <c r="JIV95" s="499"/>
      <c r="JIW95" s="499"/>
      <c r="JIX95" s="499"/>
      <c r="JIY95" s="499"/>
      <c r="JIZ95" s="499"/>
      <c r="JJA95" s="499"/>
      <c r="JJB95" s="499"/>
      <c r="JJC95" s="499"/>
      <c r="JJD95" s="499"/>
      <c r="JJE95" s="499"/>
      <c r="JJF95" s="499"/>
      <c r="JJG95" s="499"/>
      <c r="JJH95" s="499"/>
      <c r="JJI95" s="499"/>
      <c r="JJJ95" s="499"/>
      <c r="JJK95" s="499"/>
      <c r="JJL95" s="499"/>
      <c r="JJM95" s="499"/>
      <c r="JJN95" s="499"/>
      <c r="JJO95" s="499"/>
      <c r="JJP95" s="499"/>
      <c r="JJQ95" s="499"/>
      <c r="JJR95" s="499"/>
      <c r="JJS95" s="499"/>
      <c r="JJT95" s="499"/>
      <c r="JJU95" s="499"/>
      <c r="JJV95" s="499"/>
      <c r="JJW95" s="499"/>
      <c r="JJX95" s="499"/>
      <c r="JJY95" s="499"/>
      <c r="JJZ95" s="499"/>
      <c r="JKA95" s="499"/>
      <c r="JKB95" s="499"/>
      <c r="JKC95" s="499"/>
      <c r="JKD95" s="499"/>
      <c r="JKE95" s="499"/>
      <c r="JKF95" s="499"/>
      <c r="JKG95" s="499"/>
      <c r="JKH95" s="499"/>
      <c r="JKI95" s="499"/>
      <c r="JKJ95" s="499"/>
      <c r="JKK95" s="499"/>
      <c r="JKL95" s="499"/>
      <c r="JKM95" s="499"/>
      <c r="JKN95" s="499"/>
      <c r="JKO95" s="499"/>
      <c r="JKP95" s="499"/>
      <c r="JKQ95" s="499"/>
      <c r="JKR95" s="499"/>
      <c r="JKS95" s="499"/>
      <c r="JKT95" s="499"/>
      <c r="JKU95" s="499"/>
      <c r="JKV95" s="499"/>
      <c r="JKW95" s="499"/>
      <c r="JKX95" s="499"/>
      <c r="JKY95" s="499"/>
      <c r="JKZ95" s="499"/>
      <c r="JLA95" s="499"/>
      <c r="JLB95" s="499"/>
      <c r="JLC95" s="499"/>
      <c r="JLD95" s="499"/>
      <c r="JLE95" s="499"/>
      <c r="JLF95" s="499"/>
      <c r="JLG95" s="499"/>
      <c r="JLH95" s="499"/>
      <c r="JLI95" s="499"/>
      <c r="JLJ95" s="499"/>
      <c r="JLK95" s="499"/>
      <c r="JLL95" s="499"/>
      <c r="JLM95" s="499"/>
      <c r="JLN95" s="499"/>
      <c r="JLO95" s="499"/>
      <c r="JLP95" s="499"/>
      <c r="JLQ95" s="499"/>
      <c r="JLR95" s="499"/>
      <c r="JLS95" s="499"/>
      <c r="JLT95" s="499"/>
      <c r="JLU95" s="499"/>
      <c r="JLV95" s="499"/>
      <c r="JLW95" s="499"/>
      <c r="JLX95" s="499"/>
      <c r="JLY95" s="499"/>
      <c r="JLZ95" s="499"/>
      <c r="JMA95" s="499"/>
      <c r="JMB95" s="499"/>
      <c r="JMC95" s="499"/>
      <c r="JMD95" s="499"/>
      <c r="JME95" s="499"/>
      <c r="JMF95" s="499"/>
      <c r="JMG95" s="499"/>
      <c r="JMH95" s="499"/>
      <c r="JMI95" s="499"/>
      <c r="JMJ95" s="499"/>
      <c r="JMK95" s="499"/>
      <c r="JML95" s="499"/>
      <c r="JMM95" s="499"/>
      <c r="JMN95" s="499"/>
      <c r="JMO95" s="499"/>
      <c r="JMP95" s="499"/>
      <c r="JMQ95" s="499"/>
      <c r="JMR95" s="499"/>
      <c r="JMS95" s="499"/>
      <c r="JMT95" s="499"/>
      <c r="JMU95" s="499"/>
      <c r="JMV95" s="499"/>
      <c r="JMW95" s="499"/>
      <c r="JMX95" s="499"/>
      <c r="JMY95" s="499"/>
      <c r="JMZ95" s="499"/>
      <c r="JNA95" s="499"/>
      <c r="JNB95" s="499"/>
      <c r="JNC95" s="499"/>
      <c r="JND95" s="499"/>
      <c r="JNE95" s="499"/>
      <c r="JNF95" s="499"/>
      <c r="JNG95" s="499"/>
      <c r="JNH95" s="499"/>
      <c r="JNI95" s="499"/>
      <c r="JNJ95" s="499"/>
      <c r="JNK95" s="499"/>
      <c r="JNL95" s="499"/>
      <c r="JNM95" s="499"/>
      <c r="JNN95" s="499"/>
      <c r="JNO95" s="499"/>
      <c r="JNP95" s="499"/>
      <c r="JNQ95" s="499"/>
      <c r="JNR95" s="499"/>
      <c r="JNS95" s="499"/>
      <c r="JNT95" s="499"/>
      <c r="JNU95" s="499"/>
      <c r="JNV95" s="499"/>
      <c r="JNW95" s="499"/>
      <c r="JNX95" s="499"/>
      <c r="JNY95" s="499"/>
      <c r="JNZ95" s="499"/>
      <c r="JOA95" s="499"/>
      <c r="JOB95" s="499"/>
      <c r="JOC95" s="499"/>
      <c r="JOD95" s="499"/>
      <c r="JOE95" s="499"/>
      <c r="JOF95" s="499"/>
      <c r="JOG95" s="499"/>
      <c r="JOH95" s="499"/>
      <c r="JOI95" s="499"/>
      <c r="JOJ95" s="499"/>
      <c r="JOK95" s="499"/>
      <c r="JOL95" s="499"/>
      <c r="JOM95" s="499"/>
      <c r="JON95" s="499"/>
      <c r="JOO95" s="499"/>
      <c r="JOP95" s="499"/>
      <c r="JOQ95" s="499"/>
      <c r="JOR95" s="499"/>
      <c r="JOS95" s="499"/>
      <c r="JOT95" s="499"/>
      <c r="JOU95" s="499"/>
      <c r="JOV95" s="499"/>
      <c r="JOW95" s="499"/>
      <c r="JOX95" s="499"/>
      <c r="JOY95" s="499"/>
      <c r="JOZ95" s="499"/>
      <c r="JPA95" s="499"/>
      <c r="JPB95" s="499"/>
      <c r="JPC95" s="499"/>
      <c r="JPD95" s="499"/>
      <c r="JPE95" s="499"/>
      <c r="JPF95" s="499"/>
      <c r="JPG95" s="499"/>
      <c r="JPH95" s="499"/>
      <c r="JPI95" s="499"/>
      <c r="JPJ95" s="499"/>
      <c r="JPK95" s="499"/>
      <c r="JPL95" s="499"/>
      <c r="JPM95" s="499"/>
      <c r="JPN95" s="499"/>
      <c r="JPO95" s="499"/>
      <c r="JPP95" s="499"/>
      <c r="JPQ95" s="499"/>
      <c r="JPR95" s="499"/>
      <c r="JPS95" s="499"/>
      <c r="JPT95" s="499"/>
      <c r="JPU95" s="499"/>
      <c r="JPV95" s="499"/>
      <c r="JPW95" s="499"/>
      <c r="JPX95" s="499"/>
      <c r="JPY95" s="499"/>
      <c r="JPZ95" s="499"/>
      <c r="JQA95" s="499"/>
      <c r="JQB95" s="499"/>
      <c r="JQC95" s="499"/>
      <c r="JQD95" s="499"/>
      <c r="JQE95" s="499"/>
      <c r="JQF95" s="499"/>
      <c r="JQG95" s="499"/>
      <c r="JQH95" s="499"/>
      <c r="JQI95" s="499"/>
      <c r="JQJ95" s="499"/>
      <c r="JQK95" s="499"/>
      <c r="JQL95" s="499"/>
      <c r="JQM95" s="499"/>
      <c r="JQN95" s="499"/>
      <c r="JQO95" s="499"/>
      <c r="JQP95" s="499"/>
      <c r="JQQ95" s="499"/>
      <c r="JQR95" s="499"/>
      <c r="JQS95" s="499"/>
      <c r="JQT95" s="499"/>
      <c r="JQU95" s="499"/>
      <c r="JQV95" s="499"/>
      <c r="JQW95" s="499"/>
      <c r="JQX95" s="499"/>
      <c r="JQY95" s="499"/>
      <c r="JQZ95" s="499"/>
      <c r="JRA95" s="499"/>
      <c r="JRB95" s="499"/>
      <c r="JRC95" s="499"/>
      <c r="JRD95" s="499"/>
      <c r="JRE95" s="499"/>
      <c r="JRF95" s="499"/>
      <c r="JRG95" s="499"/>
      <c r="JRH95" s="499"/>
      <c r="JRI95" s="499"/>
      <c r="JRJ95" s="499"/>
      <c r="JRK95" s="499"/>
      <c r="JRL95" s="499"/>
      <c r="JRM95" s="499"/>
      <c r="JRN95" s="499"/>
      <c r="JRO95" s="499"/>
      <c r="JRP95" s="499"/>
      <c r="JRQ95" s="499"/>
      <c r="JRR95" s="499"/>
      <c r="JRS95" s="499"/>
      <c r="JRT95" s="499"/>
      <c r="JRU95" s="499"/>
      <c r="JRV95" s="499"/>
      <c r="JRW95" s="499"/>
      <c r="JRX95" s="499"/>
      <c r="JRY95" s="499"/>
      <c r="JRZ95" s="499"/>
      <c r="JSA95" s="499"/>
      <c r="JSB95" s="499"/>
      <c r="JSC95" s="499"/>
      <c r="JSD95" s="499"/>
      <c r="JSE95" s="499"/>
      <c r="JSF95" s="499"/>
      <c r="JSG95" s="499"/>
      <c r="JSH95" s="499"/>
      <c r="JSI95" s="499"/>
      <c r="JSJ95" s="499"/>
      <c r="JSK95" s="499"/>
      <c r="JSL95" s="499"/>
      <c r="JSM95" s="499"/>
      <c r="JSN95" s="499"/>
      <c r="JSO95" s="499"/>
      <c r="JSP95" s="499"/>
      <c r="JSQ95" s="499"/>
      <c r="JSR95" s="499"/>
      <c r="JSS95" s="499"/>
      <c r="JST95" s="499"/>
      <c r="JSU95" s="499"/>
      <c r="JSV95" s="499"/>
      <c r="JSW95" s="499"/>
      <c r="JSX95" s="499"/>
      <c r="JSY95" s="499"/>
      <c r="JSZ95" s="499"/>
      <c r="JTA95" s="499"/>
      <c r="JTB95" s="499"/>
      <c r="JTC95" s="499"/>
      <c r="JTD95" s="499"/>
      <c r="JTE95" s="499"/>
      <c r="JTF95" s="499"/>
      <c r="JTG95" s="499"/>
      <c r="JTH95" s="499"/>
      <c r="JTI95" s="499"/>
      <c r="JTJ95" s="499"/>
      <c r="JTK95" s="499"/>
      <c r="JTL95" s="499"/>
      <c r="JTM95" s="499"/>
      <c r="JTN95" s="499"/>
      <c r="JTO95" s="499"/>
      <c r="JTP95" s="499"/>
      <c r="JTQ95" s="499"/>
      <c r="JTR95" s="499"/>
      <c r="JTS95" s="499"/>
      <c r="JTT95" s="499"/>
      <c r="JTU95" s="499"/>
      <c r="JTV95" s="499"/>
      <c r="JTW95" s="499"/>
      <c r="JTX95" s="499"/>
      <c r="JTY95" s="499"/>
      <c r="JTZ95" s="499"/>
      <c r="JUA95" s="499"/>
      <c r="JUB95" s="499"/>
      <c r="JUC95" s="499"/>
      <c r="JUD95" s="499"/>
      <c r="JUE95" s="499"/>
      <c r="JUF95" s="499"/>
      <c r="JUG95" s="499"/>
      <c r="JUH95" s="499"/>
      <c r="JUI95" s="499"/>
      <c r="JUJ95" s="499"/>
      <c r="JUK95" s="499"/>
      <c r="JUL95" s="499"/>
      <c r="JUM95" s="499"/>
      <c r="JUN95" s="499"/>
      <c r="JUO95" s="499"/>
      <c r="JUP95" s="499"/>
      <c r="JUQ95" s="499"/>
      <c r="JUR95" s="499"/>
      <c r="JUS95" s="499"/>
      <c r="JUT95" s="499"/>
      <c r="JUU95" s="499"/>
      <c r="JUV95" s="499"/>
      <c r="JUW95" s="499"/>
      <c r="JUX95" s="499"/>
      <c r="JUY95" s="499"/>
      <c r="JUZ95" s="499"/>
      <c r="JVA95" s="499"/>
      <c r="JVB95" s="499"/>
      <c r="JVC95" s="499"/>
      <c r="JVD95" s="499"/>
      <c r="JVE95" s="499"/>
      <c r="JVF95" s="499"/>
      <c r="JVG95" s="499"/>
      <c r="JVH95" s="499"/>
      <c r="JVI95" s="499"/>
      <c r="JVJ95" s="499"/>
      <c r="JVK95" s="499"/>
      <c r="JVL95" s="499"/>
      <c r="JVM95" s="499"/>
      <c r="JVN95" s="499"/>
      <c r="JVO95" s="499"/>
      <c r="JVP95" s="499"/>
      <c r="JVQ95" s="499"/>
      <c r="JVR95" s="499"/>
      <c r="JVS95" s="499"/>
      <c r="JVT95" s="499"/>
      <c r="JVU95" s="499"/>
      <c r="JVV95" s="499"/>
      <c r="JVW95" s="499"/>
      <c r="JVX95" s="499"/>
      <c r="JVY95" s="499"/>
      <c r="JVZ95" s="499"/>
      <c r="JWA95" s="499"/>
      <c r="JWB95" s="499"/>
      <c r="JWC95" s="499"/>
      <c r="JWD95" s="499"/>
      <c r="JWE95" s="499"/>
      <c r="JWF95" s="499"/>
      <c r="JWG95" s="499"/>
      <c r="JWH95" s="499"/>
      <c r="JWI95" s="499"/>
      <c r="JWJ95" s="499"/>
      <c r="JWK95" s="499"/>
      <c r="JWL95" s="499"/>
      <c r="JWM95" s="499"/>
      <c r="JWN95" s="499"/>
      <c r="JWO95" s="499"/>
      <c r="JWP95" s="499"/>
      <c r="JWQ95" s="499"/>
      <c r="JWR95" s="499"/>
      <c r="JWS95" s="499"/>
      <c r="JWT95" s="499"/>
      <c r="JWU95" s="499"/>
      <c r="JWV95" s="499"/>
      <c r="JWW95" s="499"/>
      <c r="JWX95" s="499"/>
      <c r="JWY95" s="499"/>
      <c r="JWZ95" s="499"/>
      <c r="JXA95" s="499"/>
      <c r="JXB95" s="499"/>
      <c r="JXC95" s="499"/>
      <c r="JXD95" s="499"/>
      <c r="JXE95" s="499"/>
      <c r="JXF95" s="499"/>
      <c r="JXG95" s="499"/>
      <c r="JXH95" s="499"/>
      <c r="JXI95" s="499"/>
      <c r="JXJ95" s="499"/>
      <c r="JXK95" s="499"/>
      <c r="JXL95" s="499"/>
      <c r="JXM95" s="499"/>
      <c r="JXN95" s="499"/>
      <c r="JXO95" s="499"/>
      <c r="JXP95" s="499"/>
      <c r="JXQ95" s="499"/>
      <c r="JXR95" s="499"/>
      <c r="JXS95" s="499"/>
      <c r="JXT95" s="499"/>
      <c r="JXU95" s="499"/>
      <c r="JXV95" s="499"/>
      <c r="JXW95" s="499"/>
      <c r="JXX95" s="499"/>
      <c r="JXY95" s="499"/>
      <c r="JXZ95" s="499"/>
      <c r="JYA95" s="499"/>
      <c r="JYB95" s="499"/>
      <c r="JYC95" s="499"/>
      <c r="JYD95" s="499"/>
      <c r="JYE95" s="499"/>
      <c r="JYF95" s="499"/>
      <c r="JYG95" s="499"/>
      <c r="JYH95" s="499"/>
      <c r="JYI95" s="499"/>
      <c r="JYJ95" s="499"/>
      <c r="JYK95" s="499"/>
      <c r="JYL95" s="499"/>
      <c r="JYM95" s="499"/>
      <c r="JYN95" s="499"/>
      <c r="JYO95" s="499"/>
      <c r="JYP95" s="499"/>
      <c r="JYQ95" s="499"/>
      <c r="JYR95" s="499"/>
      <c r="JYS95" s="499"/>
      <c r="JYT95" s="499"/>
      <c r="JYU95" s="499"/>
      <c r="JYV95" s="499"/>
      <c r="JYW95" s="499"/>
      <c r="JYX95" s="499"/>
      <c r="JYY95" s="499"/>
      <c r="JYZ95" s="499"/>
      <c r="JZA95" s="499"/>
      <c r="JZB95" s="499"/>
      <c r="JZC95" s="499"/>
      <c r="JZD95" s="499"/>
      <c r="JZE95" s="499"/>
      <c r="JZF95" s="499"/>
      <c r="JZG95" s="499"/>
      <c r="JZH95" s="499"/>
      <c r="JZI95" s="499"/>
      <c r="JZJ95" s="499"/>
      <c r="JZK95" s="499"/>
      <c r="JZL95" s="499"/>
      <c r="JZM95" s="499"/>
      <c r="JZN95" s="499"/>
      <c r="JZO95" s="499"/>
      <c r="JZP95" s="499"/>
      <c r="JZQ95" s="499"/>
      <c r="JZR95" s="499"/>
      <c r="JZS95" s="499"/>
      <c r="JZT95" s="499"/>
      <c r="JZU95" s="499"/>
      <c r="JZV95" s="499"/>
      <c r="JZW95" s="499"/>
      <c r="JZX95" s="499"/>
      <c r="JZY95" s="499"/>
      <c r="JZZ95" s="499"/>
      <c r="KAA95" s="499"/>
      <c r="KAB95" s="499"/>
      <c r="KAC95" s="499"/>
      <c r="KAD95" s="499"/>
      <c r="KAE95" s="499"/>
      <c r="KAF95" s="499"/>
      <c r="KAG95" s="499"/>
      <c r="KAH95" s="499"/>
      <c r="KAI95" s="499"/>
      <c r="KAJ95" s="499"/>
      <c r="KAK95" s="499"/>
      <c r="KAL95" s="499"/>
      <c r="KAM95" s="499"/>
      <c r="KAN95" s="499"/>
      <c r="KAO95" s="499"/>
      <c r="KAP95" s="499"/>
      <c r="KAQ95" s="499"/>
      <c r="KAR95" s="499"/>
      <c r="KAS95" s="499"/>
      <c r="KAT95" s="499"/>
      <c r="KAU95" s="499"/>
      <c r="KAV95" s="499"/>
      <c r="KAW95" s="499"/>
      <c r="KAX95" s="499"/>
      <c r="KAY95" s="499"/>
      <c r="KAZ95" s="499"/>
      <c r="KBA95" s="499"/>
      <c r="KBB95" s="499"/>
      <c r="KBC95" s="499"/>
      <c r="KBD95" s="499"/>
      <c r="KBE95" s="499"/>
      <c r="KBF95" s="499"/>
      <c r="KBG95" s="499"/>
      <c r="KBH95" s="499"/>
      <c r="KBI95" s="499"/>
      <c r="KBJ95" s="499"/>
      <c r="KBK95" s="499"/>
      <c r="KBL95" s="499"/>
      <c r="KBM95" s="499"/>
      <c r="KBN95" s="499"/>
      <c r="KBO95" s="499"/>
      <c r="KBP95" s="499"/>
      <c r="KBQ95" s="499"/>
      <c r="KBR95" s="499"/>
      <c r="KBS95" s="499"/>
      <c r="KBT95" s="499"/>
      <c r="KBU95" s="499"/>
      <c r="KBV95" s="499"/>
      <c r="KBW95" s="499"/>
      <c r="KBX95" s="499"/>
      <c r="KBY95" s="499"/>
      <c r="KBZ95" s="499"/>
      <c r="KCA95" s="499"/>
      <c r="KCB95" s="499"/>
      <c r="KCC95" s="499"/>
      <c r="KCD95" s="499"/>
      <c r="KCE95" s="499"/>
      <c r="KCF95" s="499"/>
      <c r="KCG95" s="499"/>
      <c r="KCH95" s="499"/>
      <c r="KCI95" s="499"/>
      <c r="KCJ95" s="499"/>
      <c r="KCK95" s="499"/>
      <c r="KCL95" s="499"/>
      <c r="KCM95" s="499"/>
      <c r="KCN95" s="499"/>
      <c r="KCO95" s="499"/>
      <c r="KCP95" s="499"/>
      <c r="KCQ95" s="499"/>
      <c r="KCR95" s="499"/>
      <c r="KCS95" s="499"/>
      <c r="KCT95" s="499"/>
      <c r="KCU95" s="499"/>
      <c r="KCV95" s="499"/>
      <c r="KCW95" s="499"/>
      <c r="KCX95" s="499"/>
      <c r="KCY95" s="499"/>
      <c r="KCZ95" s="499"/>
      <c r="KDA95" s="499"/>
      <c r="KDB95" s="499"/>
      <c r="KDC95" s="499"/>
      <c r="KDD95" s="499"/>
      <c r="KDE95" s="499"/>
      <c r="KDF95" s="499"/>
      <c r="KDG95" s="499"/>
      <c r="KDH95" s="499"/>
      <c r="KDI95" s="499"/>
      <c r="KDJ95" s="499"/>
      <c r="KDK95" s="499"/>
      <c r="KDL95" s="499"/>
      <c r="KDM95" s="499"/>
      <c r="KDN95" s="499"/>
      <c r="KDO95" s="499"/>
      <c r="KDP95" s="499"/>
      <c r="KDQ95" s="499"/>
      <c r="KDR95" s="499"/>
      <c r="KDS95" s="499"/>
      <c r="KDT95" s="499"/>
      <c r="KDU95" s="499"/>
      <c r="KDV95" s="499"/>
      <c r="KDW95" s="499"/>
      <c r="KDX95" s="499"/>
      <c r="KDY95" s="499"/>
      <c r="KDZ95" s="499"/>
      <c r="KEA95" s="499"/>
      <c r="KEB95" s="499"/>
      <c r="KEC95" s="499"/>
      <c r="KED95" s="499"/>
      <c r="KEE95" s="499"/>
      <c r="KEF95" s="499"/>
      <c r="KEG95" s="499"/>
      <c r="KEH95" s="499"/>
      <c r="KEI95" s="499"/>
      <c r="KEJ95" s="499"/>
      <c r="KEK95" s="499"/>
      <c r="KEL95" s="499"/>
      <c r="KEM95" s="499"/>
      <c r="KEN95" s="499"/>
      <c r="KEO95" s="499"/>
      <c r="KEP95" s="499"/>
      <c r="KEQ95" s="499"/>
      <c r="KER95" s="499"/>
      <c r="KES95" s="499"/>
      <c r="KET95" s="499"/>
      <c r="KEU95" s="499"/>
      <c r="KEV95" s="499"/>
      <c r="KEW95" s="499"/>
      <c r="KEX95" s="499"/>
      <c r="KEY95" s="499"/>
      <c r="KEZ95" s="499"/>
      <c r="KFA95" s="499"/>
      <c r="KFB95" s="499"/>
      <c r="KFC95" s="499"/>
      <c r="KFD95" s="499"/>
      <c r="KFE95" s="499"/>
      <c r="KFF95" s="499"/>
      <c r="KFG95" s="499"/>
      <c r="KFH95" s="499"/>
      <c r="KFI95" s="499"/>
      <c r="KFJ95" s="499"/>
      <c r="KFK95" s="499"/>
      <c r="KFL95" s="499"/>
      <c r="KFM95" s="499"/>
      <c r="KFN95" s="499"/>
      <c r="KFO95" s="499"/>
      <c r="KFP95" s="499"/>
      <c r="KFQ95" s="499"/>
      <c r="KFR95" s="499"/>
      <c r="KFS95" s="499"/>
      <c r="KFT95" s="499"/>
      <c r="KFU95" s="499"/>
      <c r="KFV95" s="499"/>
      <c r="KFW95" s="499"/>
      <c r="KFX95" s="499"/>
      <c r="KFY95" s="499"/>
      <c r="KFZ95" s="499"/>
      <c r="KGA95" s="499"/>
      <c r="KGB95" s="499"/>
      <c r="KGC95" s="499"/>
      <c r="KGD95" s="499"/>
      <c r="KGE95" s="499"/>
      <c r="KGF95" s="499"/>
      <c r="KGG95" s="499"/>
      <c r="KGH95" s="499"/>
      <c r="KGI95" s="499"/>
      <c r="KGJ95" s="499"/>
      <c r="KGK95" s="499"/>
      <c r="KGL95" s="499"/>
      <c r="KGM95" s="499"/>
      <c r="KGN95" s="499"/>
      <c r="KGO95" s="499"/>
      <c r="KGP95" s="499"/>
      <c r="KGQ95" s="499"/>
      <c r="KGR95" s="499"/>
      <c r="KGS95" s="499"/>
      <c r="KGT95" s="499"/>
      <c r="KGU95" s="499"/>
      <c r="KGV95" s="499"/>
      <c r="KGW95" s="499"/>
      <c r="KGX95" s="499"/>
      <c r="KGY95" s="499"/>
      <c r="KGZ95" s="499"/>
      <c r="KHA95" s="499"/>
      <c r="KHB95" s="499"/>
      <c r="KHC95" s="499"/>
      <c r="KHD95" s="499"/>
      <c r="KHE95" s="499"/>
      <c r="KHF95" s="499"/>
      <c r="KHG95" s="499"/>
      <c r="KHH95" s="499"/>
      <c r="KHI95" s="499"/>
      <c r="KHJ95" s="499"/>
      <c r="KHK95" s="499"/>
      <c r="KHL95" s="499"/>
      <c r="KHM95" s="499"/>
      <c r="KHN95" s="499"/>
      <c r="KHO95" s="499"/>
      <c r="KHP95" s="499"/>
      <c r="KHQ95" s="499"/>
      <c r="KHR95" s="499"/>
      <c r="KHS95" s="499"/>
      <c r="KHT95" s="499"/>
      <c r="KHU95" s="499"/>
      <c r="KHV95" s="499"/>
      <c r="KHW95" s="499"/>
      <c r="KHX95" s="499"/>
      <c r="KHY95" s="499"/>
      <c r="KHZ95" s="499"/>
      <c r="KIA95" s="499"/>
      <c r="KIB95" s="499"/>
      <c r="KIC95" s="499"/>
      <c r="KID95" s="499"/>
      <c r="KIE95" s="499"/>
      <c r="KIF95" s="499"/>
      <c r="KIG95" s="499"/>
      <c r="KIH95" s="499"/>
      <c r="KII95" s="499"/>
      <c r="KIJ95" s="499"/>
      <c r="KIK95" s="499"/>
      <c r="KIL95" s="499"/>
      <c r="KIM95" s="499"/>
      <c r="KIN95" s="499"/>
      <c r="KIO95" s="499"/>
      <c r="KIP95" s="499"/>
      <c r="KIQ95" s="499"/>
      <c r="KIR95" s="499"/>
      <c r="KIS95" s="499"/>
      <c r="KIT95" s="499"/>
      <c r="KIU95" s="499"/>
      <c r="KIV95" s="499"/>
      <c r="KIW95" s="499"/>
      <c r="KIX95" s="499"/>
      <c r="KIY95" s="499"/>
      <c r="KIZ95" s="499"/>
      <c r="KJA95" s="499"/>
      <c r="KJB95" s="499"/>
      <c r="KJC95" s="499"/>
      <c r="KJD95" s="499"/>
      <c r="KJE95" s="499"/>
      <c r="KJF95" s="499"/>
      <c r="KJG95" s="499"/>
      <c r="KJH95" s="499"/>
      <c r="KJI95" s="499"/>
      <c r="KJJ95" s="499"/>
      <c r="KJK95" s="499"/>
      <c r="KJL95" s="499"/>
      <c r="KJM95" s="499"/>
      <c r="KJN95" s="499"/>
      <c r="KJO95" s="499"/>
      <c r="KJP95" s="499"/>
      <c r="KJQ95" s="499"/>
      <c r="KJR95" s="499"/>
      <c r="KJS95" s="499"/>
      <c r="KJT95" s="499"/>
      <c r="KJU95" s="499"/>
      <c r="KJV95" s="499"/>
      <c r="KJW95" s="499"/>
      <c r="KJX95" s="499"/>
      <c r="KJY95" s="499"/>
      <c r="KJZ95" s="499"/>
      <c r="KKA95" s="499"/>
      <c r="KKB95" s="499"/>
      <c r="KKC95" s="499"/>
      <c r="KKD95" s="499"/>
      <c r="KKE95" s="499"/>
      <c r="KKF95" s="499"/>
      <c r="KKG95" s="499"/>
      <c r="KKH95" s="499"/>
      <c r="KKI95" s="499"/>
      <c r="KKJ95" s="499"/>
      <c r="KKK95" s="499"/>
      <c r="KKL95" s="499"/>
      <c r="KKM95" s="499"/>
      <c r="KKN95" s="499"/>
      <c r="KKO95" s="499"/>
      <c r="KKP95" s="499"/>
      <c r="KKQ95" s="499"/>
      <c r="KKR95" s="499"/>
      <c r="KKS95" s="499"/>
      <c r="KKT95" s="499"/>
      <c r="KKU95" s="499"/>
      <c r="KKV95" s="499"/>
      <c r="KKW95" s="499"/>
      <c r="KKX95" s="499"/>
      <c r="KKY95" s="499"/>
      <c r="KKZ95" s="499"/>
      <c r="KLA95" s="499"/>
      <c r="KLB95" s="499"/>
      <c r="KLC95" s="499"/>
      <c r="KLD95" s="499"/>
      <c r="KLE95" s="499"/>
      <c r="KLF95" s="499"/>
      <c r="KLG95" s="499"/>
      <c r="KLH95" s="499"/>
      <c r="KLI95" s="499"/>
      <c r="KLJ95" s="499"/>
      <c r="KLK95" s="499"/>
      <c r="KLL95" s="499"/>
      <c r="KLM95" s="499"/>
      <c r="KLN95" s="499"/>
      <c r="KLO95" s="499"/>
      <c r="KLP95" s="499"/>
      <c r="KLQ95" s="499"/>
      <c r="KLR95" s="499"/>
      <c r="KLS95" s="499"/>
      <c r="KLT95" s="499"/>
      <c r="KLU95" s="499"/>
      <c r="KLV95" s="499"/>
      <c r="KLW95" s="499"/>
      <c r="KLX95" s="499"/>
      <c r="KLY95" s="499"/>
      <c r="KLZ95" s="499"/>
      <c r="KMA95" s="499"/>
      <c r="KMB95" s="499"/>
      <c r="KMC95" s="499"/>
      <c r="KMD95" s="499"/>
      <c r="KME95" s="499"/>
      <c r="KMF95" s="499"/>
      <c r="KMG95" s="499"/>
      <c r="KMH95" s="499"/>
      <c r="KMI95" s="499"/>
      <c r="KMJ95" s="499"/>
      <c r="KMK95" s="499"/>
      <c r="KML95" s="499"/>
      <c r="KMM95" s="499"/>
      <c r="KMN95" s="499"/>
      <c r="KMO95" s="499"/>
      <c r="KMP95" s="499"/>
      <c r="KMQ95" s="499"/>
      <c r="KMR95" s="499"/>
      <c r="KMS95" s="499"/>
      <c r="KMT95" s="499"/>
      <c r="KMU95" s="499"/>
      <c r="KMV95" s="499"/>
      <c r="KMW95" s="499"/>
      <c r="KMX95" s="499"/>
      <c r="KMY95" s="499"/>
      <c r="KMZ95" s="499"/>
      <c r="KNA95" s="499"/>
      <c r="KNB95" s="499"/>
      <c r="KNC95" s="499"/>
      <c r="KND95" s="499"/>
      <c r="KNE95" s="499"/>
      <c r="KNF95" s="499"/>
      <c r="KNG95" s="499"/>
      <c r="KNH95" s="499"/>
      <c r="KNI95" s="499"/>
      <c r="KNJ95" s="499"/>
      <c r="KNK95" s="499"/>
      <c r="KNL95" s="499"/>
      <c r="KNM95" s="499"/>
      <c r="KNN95" s="499"/>
      <c r="KNO95" s="499"/>
      <c r="KNP95" s="499"/>
      <c r="KNQ95" s="499"/>
      <c r="KNR95" s="499"/>
      <c r="KNS95" s="499"/>
      <c r="KNT95" s="499"/>
      <c r="KNU95" s="499"/>
      <c r="KNV95" s="499"/>
      <c r="KNW95" s="499"/>
      <c r="KNX95" s="499"/>
      <c r="KNY95" s="499"/>
      <c r="KNZ95" s="499"/>
      <c r="KOA95" s="499"/>
      <c r="KOB95" s="499"/>
      <c r="KOC95" s="499"/>
      <c r="KOD95" s="499"/>
      <c r="KOE95" s="499"/>
      <c r="KOF95" s="499"/>
      <c r="KOG95" s="499"/>
      <c r="KOH95" s="499"/>
      <c r="KOI95" s="499"/>
      <c r="KOJ95" s="499"/>
      <c r="KOK95" s="499"/>
      <c r="KOL95" s="499"/>
      <c r="KOM95" s="499"/>
      <c r="KON95" s="499"/>
      <c r="KOO95" s="499"/>
      <c r="KOP95" s="499"/>
      <c r="KOQ95" s="499"/>
      <c r="KOR95" s="499"/>
      <c r="KOS95" s="499"/>
      <c r="KOT95" s="499"/>
      <c r="KOU95" s="499"/>
      <c r="KOV95" s="499"/>
      <c r="KOW95" s="499"/>
      <c r="KOX95" s="499"/>
      <c r="KOY95" s="499"/>
      <c r="KOZ95" s="499"/>
      <c r="KPA95" s="499"/>
      <c r="KPB95" s="499"/>
      <c r="KPC95" s="499"/>
      <c r="KPD95" s="499"/>
      <c r="KPE95" s="499"/>
      <c r="KPF95" s="499"/>
      <c r="KPG95" s="499"/>
      <c r="KPH95" s="499"/>
      <c r="KPI95" s="499"/>
      <c r="KPJ95" s="499"/>
      <c r="KPK95" s="499"/>
      <c r="KPL95" s="499"/>
      <c r="KPM95" s="499"/>
      <c r="KPN95" s="499"/>
      <c r="KPO95" s="499"/>
      <c r="KPP95" s="499"/>
      <c r="KPQ95" s="499"/>
      <c r="KPR95" s="499"/>
      <c r="KPS95" s="499"/>
      <c r="KPT95" s="499"/>
      <c r="KPU95" s="499"/>
      <c r="KPV95" s="499"/>
      <c r="KPW95" s="499"/>
      <c r="KPX95" s="499"/>
      <c r="KPY95" s="499"/>
      <c r="KPZ95" s="499"/>
      <c r="KQA95" s="499"/>
      <c r="KQB95" s="499"/>
      <c r="KQC95" s="499"/>
      <c r="KQD95" s="499"/>
      <c r="KQE95" s="499"/>
      <c r="KQF95" s="499"/>
      <c r="KQG95" s="499"/>
      <c r="KQH95" s="499"/>
      <c r="KQI95" s="499"/>
      <c r="KQJ95" s="499"/>
      <c r="KQK95" s="499"/>
      <c r="KQL95" s="499"/>
      <c r="KQM95" s="499"/>
      <c r="KQN95" s="499"/>
      <c r="KQO95" s="499"/>
      <c r="KQP95" s="499"/>
      <c r="KQQ95" s="499"/>
      <c r="KQR95" s="499"/>
      <c r="KQS95" s="499"/>
      <c r="KQT95" s="499"/>
      <c r="KQU95" s="499"/>
      <c r="KQV95" s="499"/>
      <c r="KQW95" s="499"/>
      <c r="KQX95" s="499"/>
      <c r="KQY95" s="499"/>
      <c r="KQZ95" s="499"/>
      <c r="KRA95" s="499"/>
      <c r="KRB95" s="499"/>
      <c r="KRC95" s="499"/>
      <c r="KRD95" s="499"/>
      <c r="KRE95" s="499"/>
      <c r="KRF95" s="499"/>
      <c r="KRG95" s="499"/>
      <c r="KRH95" s="499"/>
      <c r="KRI95" s="499"/>
      <c r="KRJ95" s="499"/>
      <c r="KRK95" s="499"/>
      <c r="KRL95" s="499"/>
      <c r="KRM95" s="499"/>
      <c r="KRN95" s="499"/>
      <c r="KRO95" s="499"/>
      <c r="KRP95" s="499"/>
      <c r="KRQ95" s="499"/>
      <c r="KRR95" s="499"/>
      <c r="KRS95" s="499"/>
      <c r="KRT95" s="499"/>
      <c r="KRU95" s="499"/>
      <c r="KRV95" s="499"/>
      <c r="KRW95" s="499"/>
      <c r="KRX95" s="499"/>
      <c r="KRY95" s="499"/>
      <c r="KRZ95" s="499"/>
      <c r="KSA95" s="499"/>
      <c r="KSB95" s="499"/>
      <c r="KSC95" s="499"/>
      <c r="KSD95" s="499"/>
      <c r="KSE95" s="499"/>
      <c r="KSF95" s="499"/>
      <c r="KSG95" s="499"/>
      <c r="KSH95" s="499"/>
      <c r="KSI95" s="499"/>
      <c r="KSJ95" s="499"/>
      <c r="KSK95" s="499"/>
      <c r="KSL95" s="499"/>
      <c r="KSM95" s="499"/>
      <c r="KSN95" s="499"/>
      <c r="KSO95" s="499"/>
      <c r="KSP95" s="499"/>
      <c r="KSQ95" s="499"/>
      <c r="KSR95" s="499"/>
      <c r="KSS95" s="499"/>
      <c r="KST95" s="499"/>
      <c r="KSU95" s="499"/>
      <c r="KSV95" s="499"/>
      <c r="KSW95" s="499"/>
      <c r="KSX95" s="499"/>
      <c r="KSY95" s="499"/>
      <c r="KSZ95" s="499"/>
      <c r="KTA95" s="499"/>
      <c r="KTB95" s="499"/>
      <c r="KTC95" s="499"/>
      <c r="KTD95" s="499"/>
      <c r="KTE95" s="499"/>
      <c r="KTF95" s="499"/>
      <c r="KTG95" s="499"/>
      <c r="KTH95" s="499"/>
      <c r="KTI95" s="499"/>
      <c r="KTJ95" s="499"/>
      <c r="KTK95" s="499"/>
      <c r="KTL95" s="499"/>
      <c r="KTM95" s="499"/>
      <c r="KTN95" s="499"/>
      <c r="KTO95" s="499"/>
      <c r="KTP95" s="499"/>
      <c r="KTQ95" s="499"/>
      <c r="KTR95" s="499"/>
      <c r="KTS95" s="499"/>
      <c r="KTT95" s="499"/>
      <c r="KTU95" s="499"/>
      <c r="KTV95" s="499"/>
      <c r="KTW95" s="499"/>
      <c r="KTX95" s="499"/>
      <c r="KTY95" s="499"/>
      <c r="KTZ95" s="499"/>
      <c r="KUA95" s="499"/>
      <c r="KUB95" s="499"/>
      <c r="KUC95" s="499"/>
      <c r="KUD95" s="499"/>
      <c r="KUE95" s="499"/>
      <c r="KUF95" s="499"/>
      <c r="KUG95" s="499"/>
      <c r="KUH95" s="499"/>
      <c r="KUI95" s="499"/>
      <c r="KUJ95" s="499"/>
      <c r="KUK95" s="499"/>
      <c r="KUL95" s="499"/>
      <c r="KUM95" s="499"/>
      <c r="KUN95" s="499"/>
      <c r="KUO95" s="499"/>
      <c r="KUP95" s="499"/>
      <c r="KUQ95" s="499"/>
      <c r="KUR95" s="499"/>
      <c r="KUS95" s="499"/>
      <c r="KUT95" s="499"/>
      <c r="KUU95" s="499"/>
      <c r="KUV95" s="499"/>
      <c r="KUW95" s="499"/>
      <c r="KUX95" s="499"/>
      <c r="KUY95" s="499"/>
      <c r="KUZ95" s="499"/>
      <c r="KVA95" s="499"/>
      <c r="KVB95" s="499"/>
      <c r="KVC95" s="499"/>
      <c r="KVD95" s="499"/>
      <c r="KVE95" s="499"/>
      <c r="KVF95" s="499"/>
      <c r="KVG95" s="499"/>
      <c r="KVH95" s="499"/>
      <c r="KVI95" s="499"/>
      <c r="KVJ95" s="499"/>
      <c r="KVK95" s="499"/>
      <c r="KVL95" s="499"/>
      <c r="KVM95" s="499"/>
      <c r="KVN95" s="499"/>
      <c r="KVO95" s="499"/>
      <c r="KVP95" s="499"/>
      <c r="KVQ95" s="499"/>
      <c r="KVR95" s="499"/>
      <c r="KVS95" s="499"/>
      <c r="KVT95" s="499"/>
      <c r="KVU95" s="499"/>
      <c r="KVV95" s="499"/>
      <c r="KVW95" s="499"/>
      <c r="KVX95" s="499"/>
      <c r="KVY95" s="499"/>
      <c r="KVZ95" s="499"/>
      <c r="KWA95" s="499"/>
      <c r="KWB95" s="499"/>
      <c r="KWC95" s="499"/>
      <c r="KWD95" s="499"/>
      <c r="KWE95" s="499"/>
      <c r="KWF95" s="499"/>
      <c r="KWG95" s="499"/>
      <c r="KWH95" s="499"/>
      <c r="KWI95" s="499"/>
      <c r="KWJ95" s="499"/>
      <c r="KWK95" s="499"/>
      <c r="KWL95" s="499"/>
      <c r="KWM95" s="499"/>
      <c r="KWN95" s="499"/>
      <c r="KWO95" s="499"/>
      <c r="KWP95" s="499"/>
      <c r="KWQ95" s="499"/>
      <c r="KWR95" s="499"/>
      <c r="KWS95" s="499"/>
      <c r="KWT95" s="499"/>
      <c r="KWU95" s="499"/>
      <c r="KWV95" s="499"/>
      <c r="KWW95" s="499"/>
      <c r="KWX95" s="499"/>
      <c r="KWY95" s="499"/>
      <c r="KWZ95" s="499"/>
      <c r="KXA95" s="499"/>
      <c r="KXB95" s="499"/>
      <c r="KXC95" s="499"/>
      <c r="KXD95" s="499"/>
      <c r="KXE95" s="499"/>
      <c r="KXF95" s="499"/>
      <c r="KXG95" s="499"/>
      <c r="KXH95" s="499"/>
      <c r="KXI95" s="499"/>
      <c r="KXJ95" s="499"/>
      <c r="KXK95" s="499"/>
      <c r="KXL95" s="499"/>
      <c r="KXM95" s="499"/>
      <c r="KXN95" s="499"/>
      <c r="KXO95" s="499"/>
      <c r="KXP95" s="499"/>
      <c r="KXQ95" s="499"/>
      <c r="KXR95" s="499"/>
      <c r="KXS95" s="499"/>
      <c r="KXT95" s="499"/>
      <c r="KXU95" s="499"/>
      <c r="KXV95" s="499"/>
      <c r="KXW95" s="499"/>
      <c r="KXX95" s="499"/>
      <c r="KXY95" s="499"/>
      <c r="KXZ95" s="499"/>
      <c r="KYA95" s="499"/>
      <c r="KYB95" s="499"/>
      <c r="KYC95" s="499"/>
      <c r="KYD95" s="499"/>
      <c r="KYE95" s="499"/>
      <c r="KYF95" s="499"/>
      <c r="KYG95" s="499"/>
      <c r="KYH95" s="499"/>
      <c r="KYI95" s="499"/>
      <c r="KYJ95" s="499"/>
      <c r="KYK95" s="499"/>
      <c r="KYL95" s="499"/>
      <c r="KYM95" s="499"/>
      <c r="KYN95" s="499"/>
      <c r="KYO95" s="499"/>
      <c r="KYP95" s="499"/>
      <c r="KYQ95" s="499"/>
      <c r="KYR95" s="499"/>
      <c r="KYS95" s="499"/>
      <c r="KYT95" s="499"/>
      <c r="KYU95" s="499"/>
      <c r="KYV95" s="499"/>
      <c r="KYW95" s="499"/>
      <c r="KYX95" s="499"/>
      <c r="KYY95" s="499"/>
      <c r="KYZ95" s="499"/>
      <c r="KZA95" s="499"/>
      <c r="KZB95" s="499"/>
      <c r="KZC95" s="499"/>
      <c r="KZD95" s="499"/>
      <c r="KZE95" s="499"/>
      <c r="KZF95" s="499"/>
      <c r="KZG95" s="499"/>
      <c r="KZH95" s="499"/>
      <c r="KZI95" s="499"/>
      <c r="KZJ95" s="499"/>
      <c r="KZK95" s="499"/>
      <c r="KZL95" s="499"/>
      <c r="KZM95" s="499"/>
      <c r="KZN95" s="499"/>
      <c r="KZO95" s="499"/>
      <c r="KZP95" s="499"/>
      <c r="KZQ95" s="499"/>
      <c r="KZR95" s="499"/>
      <c r="KZS95" s="499"/>
      <c r="KZT95" s="499"/>
      <c r="KZU95" s="499"/>
      <c r="KZV95" s="499"/>
      <c r="KZW95" s="499"/>
      <c r="KZX95" s="499"/>
      <c r="KZY95" s="499"/>
      <c r="KZZ95" s="499"/>
      <c r="LAA95" s="499"/>
      <c r="LAB95" s="499"/>
      <c r="LAC95" s="499"/>
      <c r="LAD95" s="499"/>
      <c r="LAE95" s="499"/>
      <c r="LAF95" s="499"/>
      <c r="LAG95" s="499"/>
      <c r="LAH95" s="499"/>
      <c r="LAI95" s="499"/>
      <c r="LAJ95" s="499"/>
      <c r="LAK95" s="499"/>
      <c r="LAL95" s="499"/>
      <c r="LAM95" s="499"/>
      <c r="LAN95" s="499"/>
      <c r="LAO95" s="499"/>
      <c r="LAP95" s="499"/>
      <c r="LAQ95" s="499"/>
      <c r="LAR95" s="499"/>
      <c r="LAS95" s="499"/>
      <c r="LAT95" s="499"/>
      <c r="LAU95" s="499"/>
      <c r="LAV95" s="499"/>
      <c r="LAW95" s="499"/>
      <c r="LAX95" s="499"/>
      <c r="LAY95" s="499"/>
      <c r="LAZ95" s="499"/>
      <c r="LBA95" s="499"/>
      <c r="LBB95" s="499"/>
      <c r="LBC95" s="499"/>
      <c r="LBD95" s="499"/>
      <c r="LBE95" s="499"/>
      <c r="LBF95" s="499"/>
      <c r="LBG95" s="499"/>
      <c r="LBH95" s="499"/>
      <c r="LBI95" s="499"/>
      <c r="LBJ95" s="499"/>
      <c r="LBK95" s="499"/>
      <c r="LBL95" s="499"/>
      <c r="LBM95" s="499"/>
      <c r="LBN95" s="499"/>
      <c r="LBO95" s="499"/>
      <c r="LBP95" s="499"/>
      <c r="LBQ95" s="499"/>
      <c r="LBR95" s="499"/>
      <c r="LBS95" s="499"/>
      <c r="LBT95" s="499"/>
      <c r="LBU95" s="499"/>
      <c r="LBV95" s="499"/>
      <c r="LBW95" s="499"/>
      <c r="LBX95" s="499"/>
      <c r="LBY95" s="499"/>
      <c r="LBZ95" s="499"/>
      <c r="LCA95" s="499"/>
      <c r="LCB95" s="499"/>
      <c r="LCC95" s="499"/>
      <c r="LCD95" s="499"/>
      <c r="LCE95" s="499"/>
      <c r="LCF95" s="499"/>
      <c r="LCG95" s="499"/>
      <c r="LCH95" s="499"/>
      <c r="LCI95" s="499"/>
      <c r="LCJ95" s="499"/>
      <c r="LCK95" s="499"/>
      <c r="LCL95" s="499"/>
      <c r="LCM95" s="499"/>
      <c r="LCN95" s="499"/>
      <c r="LCO95" s="499"/>
      <c r="LCP95" s="499"/>
      <c r="LCQ95" s="499"/>
      <c r="LCR95" s="499"/>
      <c r="LCS95" s="499"/>
      <c r="LCT95" s="499"/>
      <c r="LCU95" s="499"/>
      <c r="LCV95" s="499"/>
      <c r="LCW95" s="499"/>
      <c r="LCX95" s="499"/>
      <c r="LCY95" s="499"/>
      <c r="LCZ95" s="499"/>
      <c r="LDA95" s="499"/>
      <c r="LDB95" s="499"/>
      <c r="LDC95" s="499"/>
      <c r="LDD95" s="499"/>
      <c r="LDE95" s="499"/>
      <c r="LDF95" s="499"/>
      <c r="LDG95" s="499"/>
      <c r="LDH95" s="499"/>
      <c r="LDI95" s="499"/>
      <c r="LDJ95" s="499"/>
      <c r="LDK95" s="499"/>
      <c r="LDL95" s="499"/>
      <c r="LDM95" s="499"/>
      <c r="LDN95" s="499"/>
      <c r="LDO95" s="499"/>
      <c r="LDP95" s="499"/>
      <c r="LDQ95" s="499"/>
      <c r="LDR95" s="499"/>
      <c r="LDS95" s="499"/>
      <c r="LDT95" s="499"/>
      <c r="LDU95" s="499"/>
      <c r="LDV95" s="499"/>
      <c r="LDW95" s="499"/>
      <c r="LDX95" s="499"/>
      <c r="LDY95" s="499"/>
      <c r="LDZ95" s="499"/>
      <c r="LEA95" s="499"/>
      <c r="LEB95" s="499"/>
      <c r="LEC95" s="499"/>
      <c r="LED95" s="499"/>
      <c r="LEE95" s="499"/>
      <c r="LEF95" s="499"/>
      <c r="LEG95" s="499"/>
      <c r="LEH95" s="499"/>
      <c r="LEI95" s="499"/>
      <c r="LEJ95" s="499"/>
      <c r="LEK95" s="499"/>
      <c r="LEL95" s="499"/>
      <c r="LEM95" s="499"/>
      <c r="LEN95" s="499"/>
      <c r="LEO95" s="499"/>
      <c r="LEP95" s="499"/>
      <c r="LEQ95" s="499"/>
      <c r="LER95" s="499"/>
      <c r="LES95" s="499"/>
      <c r="LET95" s="499"/>
      <c r="LEU95" s="499"/>
      <c r="LEV95" s="499"/>
      <c r="LEW95" s="499"/>
      <c r="LEX95" s="499"/>
      <c r="LEY95" s="499"/>
      <c r="LEZ95" s="499"/>
      <c r="LFA95" s="499"/>
      <c r="LFB95" s="499"/>
      <c r="LFC95" s="499"/>
      <c r="LFD95" s="499"/>
      <c r="LFE95" s="499"/>
      <c r="LFF95" s="499"/>
      <c r="LFG95" s="499"/>
      <c r="LFH95" s="499"/>
      <c r="LFI95" s="499"/>
      <c r="LFJ95" s="499"/>
      <c r="LFK95" s="499"/>
      <c r="LFL95" s="499"/>
      <c r="LFM95" s="499"/>
      <c r="LFN95" s="499"/>
      <c r="LFO95" s="499"/>
      <c r="LFP95" s="499"/>
      <c r="LFQ95" s="499"/>
      <c r="LFR95" s="499"/>
      <c r="LFS95" s="499"/>
      <c r="LFT95" s="499"/>
      <c r="LFU95" s="499"/>
      <c r="LFV95" s="499"/>
      <c r="LFW95" s="499"/>
      <c r="LFX95" s="499"/>
      <c r="LFY95" s="499"/>
      <c r="LFZ95" s="499"/>
      <c r="LGA95" s="499"/>
      <c r="LGB95" s="499"/>
      <c r="LGC95" s="499"/>
      <c r="LGD95" s="499"/>
      <c r="LGE95" s="499"/>
      <c r="LGF95" s="499"/>
      <c r="LGG95" s="499"/>
      <c r="LGH95" s="499"/>
      <c r="LGI95" s="499"/>
      <c r="LGJ95" s="499"/>
      <c r="LGK95" s="499"/>
      <c r="LGL95" s="499"/>
      <c r="LGM95" s="499"/>
      <c r="LGN95" s="499"/>
      <c r="LGO95" s="499"/>
      <c r="LGP95" s="499"/>
      <c r="LGQ95" s="499"/>
      <c r="LGR95" s="499"/>
      <c r="LGS95" s="499"/>
      <c r="LGT95" s="499"/>
      <c r="LGU95" s="499"/>
      <c r="LGV95" s="499"/>
      <c r="LGW95" s="499"/>
      <c r="LGX95" s="499"/>
      <c r="LGY95" s="499"/>
      <c r="LGZ95" s="499"/>
      <c r="LHA95" s="499"/>
      <c r="LHB95" s="499"/>
      <c r="LHC95" s="499"/>
      <c r="LHD95" s="499"/>
      <c r="LHE95" s="499"/>
      <c r="LHF95" s="499"/>
      <c r="LHG95" s="499"/>
      <c r="LHH95" s="499"/>
      <c r="LHI95" s="499"/>
      <c r="LHJ95" s="499"/>
      <c r="LHK95" s="499"/>
      <c r="LHL95" s="499"/>
      <c r="LHM95" s="499"/>
      <c r="LHN95" s="499"/>
      <c r="LHO95" s="499"/>
      <c r="LHP95" s="499"/>
      <c r="LHQ95" s="499"/>
      <c r="LHR95" s="499"/>
      <c r="LHS95" s="499"/>
      <c r="LHT95" s="499"/>
      <c r="LHU95" s="499"/>
      <c r="LHV95" s="499"/>
      <c r="LHW95" s="499"/>
      <c r="LHX95" s="499"/>
      <c r="LHY95" s="499"/>
      <c r="LHZ95" s="499"/>
      <c r="LIA95" s="499"/>
      <c r="LIB95" s="499"/>
      <c r="LIC95" s="499"/>
      <c r="LID95" s="499"/>
      <c r="LIE95" s="499"/>
      <c r="LIF95" s="499"/>
      <c r="LIG95" s="499"/>
      <c r="LIH95" s="499"/>
      <c r="LII95" s="499"/>
      <c r="LIJ95" s="499"/>
      <c r="LIK95" s="499"/>
      <c r="LIL95" s="499"/>
      <c r="LIM95" s="499"/>
      <c r="LIN95" s="499"/>
      <c r="LIO95" s="499"/>
      <c r="LIP95" s="499"/>
      <c r="LIQ95" s="499"/>
      <c r="LIR95" s="499"/>
      <c r="LIS95" s="499"/>
      <c r="LIT95" s="499"/>
      <c r="LIU95" s="499"/>
      <c r="LIV95" s="499"/>
      <c r="LIW95" s="499"/>
      <c r="LIX95" s="499"/>
      <c r="LIY95" s="499"/>
      <c r="LIZ95" s="499"/>
      <c r="LJA95" s="499"/>
      <c r="LJB95" s="499"/>
      <c r="LJC95" s="499"/>
      <c r="LJD95" s="499"/>
      <c r="LJE95" s="499"/>
      <c r="LJF95" s="499"/>
      <c r="LJG95" s="499"/>
      <c r="LJH95" s="499"/>
      <c r="LJI95" s="499"/>
      <c r="LJJ95" s="499"/>
      <c r="LJK95" s="499"/>
      <c r="LJL95" s="499"/>
      <c r="LJM95" s="499"/>
      <c r="LJN95" s="499"/>
      <c r="LJO95" s="499"/>
      <c r="LJP95" s="499"/>
      <c r="LJQ95" s="499"/>
      <c r="LJR95" s="499"/>
      <c r="LJS95" s="499"/>
      <c r="LJT95" s="499"/>
      <c r="LJU95" s="499"/>
      <c r="LJV95" s="499"/>
      <c r="LJW95" s="499"/>
      <c r="LJX95" s="499"/>
      <c r="LJY95" s="499"/>
      <c r="LJZ95" s="499"/>
      <c r="LKA95" s="499"/>
      <c r="LKB95" s="499"/>
      <c r="LKC95" s="499"/>
      <c r="LKD95" s="499"/>
      <c r="LKE95" s="499"/>
      <c r="LKF95" s="499"/>
      <c r="LKG95" s="499"/>
      <c r="LKH95" s="499"/>
      <c r="LKI95" s="499"/>
      <c r="LKJ95" s="499"/>
      <c r="LKK95" s="499"/>
      <c r="LKL95" s="499"/>
      <c r="LKM95" s="499"/>
      <c r="LKN95" s="499"/>
      <c r="LKO95" s="499"/>
      <c r="LKP95" s="499"/>
      <c r="LKQ95" s="499"/>
      <c r="LKR95" s="499"/>
      <c r="LKS95" s="499"/>
      <c r="LKT95" s="499"/>
      <c r="LKU95" s="499"/>
      <c r="LKV95" s="499"/>
      <c r="LKW95" s="499"/>
      <c r="LKX95" s="499"/>
      <c r="LKY95" s="499"/>
      <c r="LKZ95" s="499"/>
      <c r="LLA95" s="499"/>
      <c r="LLB95" s="499"/>
      <c r="LLC95" s="499"/>
      <c r="LLD95" s="499"/>
      <c r="LLE95" s="499"/>
      <c r="LLF95" s="499"/>
      <c r="LLG95" s="499"/>
      <c r="LLH95" s="499"/>
      <c r="LLI95" s="499"/>
      <c r="LLJ95" s="499"/>
      <c r="LLK95" s="499"/>
      <c r="LLL95" s="499"/>
      <c r="LLM95" s="499"/>
      <c r="LLN95" s="499"/>
      <c r="LLO95" s="499"/>
      <c r="LLP95" s="499"/>
      <c r="LLQ95" s="499"/>
      <c r="LLR95" s="499"/>
      <c r="LLS95" s="499"/>
      <c r="LLT95" s="499"/>
      <c r="LLU95" s="499"/>
      <c r="LLV95" s="499"/>
      <c r="LLW95" s="499"/>
      <c r="LLX95" s="499"/>
      <c r="LLY95" s="499"/>
      <c r="LLZ95" s="499"/>
      <c r="LMA95" s="499"/>
      <c r="LMB95" s="499"/>
      <c r="LMC95" s="499"/>
      <c r="LMD95" s="499"/>
      <c r="LME95" s="499"/>
      <c r="LMF95" s="499"/>
      <c r="LMG95" s="499"/>
      <c r="LMH95" s="499"/>
      <c r="LMI95" s="499"/>
      <c r="LMJ95" s="499"/>
      <c r="LMK95" s="499"/>
      <c r="LML95" s="499"/>
      <c r="LMM95" s="499"/>
      <c r="LMN95" s="499"/>
      <c r="LMO95" s="499"/>
      <c r="LMP95" s="499"/>
      <c r="LMQ95" s="499"/>
      <c r="LMR95" s="499"/>
      <c r="LMS95" s="499"/>
      <c r="LMT95" s="499"/>
      <c r="LMU95" s="499"/>
      <c r="LMV95" s="499"/>
      <c r="LMW95" s="499"/>
      <c r="LMX95" s="499"/>
      <c r="LMY95" s="499"/>
      <c r="LMZ95" s="499"/>
      <c r="LNA95" s="499"/>
      <c r="LNB95" s="499"/>
      <c r="LNC95" s="499"/>
      <c r="LND95" s="499"/>
      <c r="LNE95" s="499"/>
      <c r="LNF95" s="499"/>
      <c r="LNG95" s="499"/>
      <c r="LNH95" s="499"/>
      <c r="LNI95" s="499"/>
      <c r="LNJ95" s="499"/>
      <c r="LNK95" s="499"/>
      <c r="LNL95" s="499"/>
      <c r="LNM95" s="499"/>
      <c r="LNN95" s="499"/>
      <c r="LNO95" s="499"/>
      <c r="LNP95" s="499"/>
      <c r="LNQ95" s="499"/>
      <c r="LNR95" s="499"/>
      <c r="LNS95" s="499"/>
      <c r="LNT95" s="499"/>
      <c r="LNU95" s="499"/>
      <c r="LNV95" s="499"/>
      <c r="LNW95" s="499"/>
      <c r="LNX95" s="499"/>
      <c r="LNY95" s="499"/>
      <c r="LNZ95" s="499"/>
      <c r="LOA95" s="499"/>
      <c r="LOB95" s="499"/>
      <c r="LOC95" s="499"/>
      <c r="LOD95" s="499"/>
      <c r="LOE95" s="499"/>
      <c r="LOF95" s="499"/>
      <c r="LOG95" s="499"/>
      <c r="LOH95" s="499"/>
      <c r="LOI95" s="499"/>
      <c r="LOJ95" s="499"/>
      <c r="LOK95" s="499"/>
      <c r="LOL95" s="499"/>
      <c r="LOM95" s="499"/>
      <c r="LON95" s="499"/>
      <c r="LOO95" s="499"/>
      <c r="LOP95" s="499"/>
      <c r="LOQ95" s="499"/>
      <c r="LOR95" s="499"/>
      <c r="LOS95" s="499"/>
      <c r="LOT95" s="499"/>
      <c r="LOU95" s="499"/>
      <c r="LOV95" s="499"/>
      <c r="LOW95" s="499"/>
      <c r="LOX95" s="499"/>
      <c r="LOY95" s="499"/>
      <c r="LOZ95" s="499"/>
      <c r="LPA95" s="499"/>
      <c r="LPB95" s="499"/>
      <c r="LPC95" s="499"/>
      <c r="LPD95" s="499"/>
      <c r="LPE95" s="499"/>
      <c r="LPF95" s="499"/>
      <c r="LPG95" s="499"/>
      <c r="LPH95" s="499"/>
      <c r="LPI95" s="499"/>
      <c r="LPJ95" s="499"/>
      <c r="LPK95" s="499"/>
      <c r="LPL95" s="499"/>
      <c r="LPM95" s="499"/>
      <c r="LPN95" s="499"/>
      <c r="LPO95" s="499"/>
      <c r="LPP95" s="499"/>
      <c r="LPQ95" s="499"/>
      <c r="LPR95" s="499"/>
      <c r="LPS95" s="499"/>
      <c r="LPT95" s="499"/>
      <c r="LPU95" s="499"/>
      <c r="LPV95" s="499"/>
      <c r="LPW95" s="499"/>
      <c r="LPX95" s="499"/>
      <c r="LPY95" s="499"/>
      <c r="LPZ95" s="499"/>
      <c r="LQA95" s="499"/>
      <c r="LQB95" s="499"/>
      <c r="LQC95" s="499"/>
      <c r="LQD95" s="499"/>
      <c r="LQE95" s="499"/>
      <c r="LQF95" s="499"/>
      <c r="LQG95" s="499"/>
      <c r="LQH95" s="499"/>
      <c r="LQI95" s="499"/>
      <c r="LQJ95" s="499"/>
      <c r="LQK95" s="499"/>
      <c r="LQL95" s="499"/>
      <c r="LQM95" s="499"/>
      <c r="LQN95" s="499"/>
      <c r="LQO95" s="499"/>
      <c r="LQP95" s="499"/>
      <c r="LQQ95" s="499"/>
      <c r="LQR95" s="499"/>
      <c r="LQS95" s="499"/>
      <c r="LQT95" s="499"/>
      <c r="LQU95" s="499"/>
      <c r="LQV95" s="499"/>
      <c r="LQW95" s="499"/>
      <c r="LQX95" s="499"/>
      <c r="LQY95" s="499"/>
      <c r="LQZ95" s="499"/>
      <c r="LRA95" s="499"/>
      <c r="LRB95" s="499"/>
      <c r="LRC95" s="499"/>
      <c r="LRD95" s="499"/>
      <c r="LRE95" s="499"/>
      <c r="LRF95" s="499"/>
      <c r="LRG95" s="499"/>
      <c r="LRH95" s="499"/>
      <c r="LRI95" s="499"/>
      <c r="LRJ95" s="499"/>
      <c r="LRK95" s="499"/>
      <c r="LRL95" s="499"/>
      <c r="LRM95" s="499"/>
      <c r="LRN95" s="499"/>
      <c r="LRO95" s="499"/>
      <c r="LRP95" s="499"/>
      <c r="LRQ95" s="499"/>
      <c r="LRR95" s="499"/>
      <c r="LRS95" s="499"/>
      <c r="LRT95" s="499"/>
      <c r="LRU95" s="499"/>
      <c r="LRV95" s="499"/>
      <c r="LRW95" s="499"/>
      <c r="LRX95" s="499"/>
      <c r="LRY95" s="499"/>
      <c r="LRZ95" s="499"/>
      <c r="LSA95" s="499"/>
      <c r="LSB95" s="499"/>
      <c r="LSC95" s="499"/>
      <c r="LSD95" s="499"/>
      <c r="LSE95" s="499"/>
      <c r="LSF95" s="499"/>
      <c r="LSG95" s="499"/>
      <c r="LSH95" s="499"/>
      <c r="LSI95" s="499"/>
      <c r="LSJ95" s="499"/>
      <c r="LSK95" s="499"/>
      <c r="LSL95" s="499"/>
      <c r="LSM95" s="499"/>
      <c r="LSN95" s="499"/>
      <c r="LSO95" s="499"/>
      <c r="LSP95" s="499"/>
      <c r="LSQ95" s="499"/>
      <c r="LSR95" s="499"/>
      <c r="LSS95" s="499"/>
      <c r="LST95" s="499"/>
      <c r="LSU95" s="499"/>
      <c r="LSV95" s="499"/>
      <c r="LSW95" s="499"/>
      <c r="LSX95" s="499"/>
      <c r="LSY95" s="499"/>
      <c r="LSZ95" s="499"/>
      <c r="LTA95" s="499"/>
      <c r="LTB95" s="499"/>
      <c r="LTC95" s="499"/>
      <c r="LTD95" s="499"/>
      <c r="LTE95" s="499"/>
      <c r="LTF95" s="499"/>
      <c r="LTG95" s="499"/>
      <c r="LTH95" s="499"/>
      <c r="LTI95" s="499"/>
      <c r="LTJ95" s="499"/>
      <c r="LTK95" s="499"/>
      <c r="LTL95" s="499"/>
      <c r="LTM95" s="499"/>
      <c r="LTN95" s="499"/>
      <c r="LTO95" s="499"/>
      <c r="LTP95" s="499"/>
      <c r="LTQ95" s="499"/>
      <c r="LTR95" s="499"/>
      <c r="LTS95" s="499"/>
      <c r="LTT95" s="499"/>
      <c r="LTU95" s="499"/>
      <c r="LTV95" s="499"/>
      <c r="LTW95" s="499"/>
      <c r="LTX95" s="499"/>
      <c r="LTY95" s="499"/>
      <c r="LTZ95" s="499"/>
      <c r="LUA95" s="499"/>
      <c r="LUB95" s="499"/>
      <c r="LUC95" s="499"/>
      <c r="LUD95" s="499"/>
      <c r="LUE95" s="499"/>
      <c r="LUF95" s="499"/>
      <c r="LUG95" s="499"/>
      <c r="LUH95" s="499"/>
      <c r="LUI95" s="499"/>
      <c r="LUJ95" s="499"/>
      <c r="LUK95" s="499"/>
      <c r="LUL95" s="499"/>
      <c r="LUM95" s="499"/>
      <c r="LUN95" s="499"/>
      <c r="LUO95" s="499"/>
      <c r="LUP95" s="499"/>
      <c r="LUQ95" s="499"/>
      <c r="LUR95" s="499"/>
      <c r="LUS95" s="499"/>
      <c r="LUT95" s="499"/>
      <c r="LUU95" s="499"/>
      <c r="LUV95" s="499"/>
      <c r="LUW95" s="499"/>
      <c r="LUX95" s="499"/>
      <c r="LUY95" s="499"/>
      <c r="LUZ95" s="499"/>
      <c r="LVA95" s="499"/>
      <c r="LVB95" s="499"/>
      <c r="LVC95" s="499"/>
      <c r="LVD95" s="499"/>
      <c r="LVE95" s="499"/>
      <c r="LVF95" s="499"/>
      <c r="LVG95" s="499"/>
      <c r="LVH95" s="499"/>
      <c r="LVI95" s="499"/>
      <c r="LVJ95" s="499"/>
      <c r="LVK95" s="499"/>
      <c r="LVL95" s="499"/>
      <c r="LVM95" s="499"/>
      <c r="LVN95" s="499"/>
      <c r="LVO95" s="499"/>
      <c r="LVP95" s="499"/>
      <c r="LVQ95" s="499"/>
      <c r="LVR95" s="499"/>
      <c r="LVS95" s="499"/>
      <c r="LVT95" s="499"/>
      <c r="LVU95" s="499"/>
      <c r="LVV95" s="499"/>
      <c r="LVW95" s="499"/>
      <c r="LVX95" s="499"/>
      <c r="LVY95" s="499"/>
      <c r="LVZ95" s="499"/>
      <c r="LWA95" s="499"/>
      <c r="LWB95" s="499"/>
      <c r="LWC95" s="499"/>
      <c r="LWD95" s="499"/>
      <c r="LWE95" s="499"/>
      <c r="LWF95" s="499"/>
      <c r="LWG95" s="499"/>
      <c r="LWH95" s="499"/>
      <c r="LWI95" s="499"/>
      <c r="LWJ95" s="499"/>
      <c r="LWK95" s="499"/>
      <c r="LWL95" s="499"/>
      <c r="LWM95" s="499"/>
      <c r="LWN95" s="499"/>
      <c r="LWO95" s="499"/>
      <c r="LWP95" s="499"/>
      <c r="LWQ95" s="499"/>
      <c r="LWR95" s="499"/>
      <c r="LWS95" s="499"/>
      <c r="LWT95" s="499"/>
      <c r="LWU95" s="499"/>
      <c r="LWV95" s="499"/>
      <c r="LWW95" s="499"/>
      <c r="LWX95" s="499"/>
      <c r="LWY95" s="499"/>
      <c r="LWZ95" s="499"/>
      <c r="LXA95" s="499"/>
      <c r="LXB95" s="499"/>
      <c r="LXC95" s="499"/>
      <c r="LXD95" s="499"/>
      <c r="LXE95" s="499"/>
      <c r="LXF95" s="499"/>
      <c r="LXG95" s="499"/>
      <c r="LXH95" s="499"/>
      <c r="LXI95" s="499"/>
      <c r="LXJ95" s="499"/>
      <c r="LXK95" s="499"/>
      <c r="LXL95" s="499"/>
      <c r="LXM95" s="499"/>
      <c r="LXN95" s="499"/>
      <c r="LXO95" s="499"/>
      <c r="LXP95" s="499"/>
      <c r="LXQ95" s="499"/>
      <c r="LXR95" s="499"/>
      <c r="LXS95" s="499"/>
      <c r="LXT95" s="499"/>
      <c r="LXU95" s="499"/>
      <c r="LXV95" s="499"/>
      <c r="LXW95" s="499"/>
      <c r="LXX95" s="499"/>
      <c r="LXY95" s="499"/>
      <c r="LXZ95" s="499"/>
      <c r="LYA95" s="499"/>
      <c r="LYB95" s="499"/>
      <c r="LYC95" s="499"/>
      <c r="LYD95" s="499"/>
      <c r="LYE95" s="499"/>
      <c r="LYF95" s="499"/>
      <c r="LYG95" s="499"/>
      <c r="LYH95" s="499"/>
      <c r="LYI95" s="499"/>
      <c r="LYJ95" s="499"/>
      <c r="LYK95" s="499"/>
      <c r="LYL95" s="499"/>
      <c r="LYM95" s="499"/>
      <c r="LYN95" s="499"/>
      <c r="LYO95" s="499"/>
      <c r="LYP95" s="499"/>
      <c r="LYQ95" s="499"/>
      <c r="LYR95" s="499"/>
      <c r="LYS95" s="499"/>
      <c r="LYT95" s="499"/>
      <c r="LYU95" s="499"/>
      <c r="LYV95" s="499"/>
      <c r="LYW95" s="499"/>
      <c r="LYX95" s="499"/>
      <c r="LYY95" s="499"/>
      <c r="LYZ95" s="499"/>
      <c r="LZA95" s="499"/>
      <c r="LZB95" s="499"/>
      <c r="LZC95" s="499"/>
      <c r="LZD95" s="499"/>
      <c r="LZE95" s="499"/>
      <c r="LZF95" s="499"/>
      <c r="LZG95" s="499"/>
      <c r="LZH95" s="499"/>
      <c r="LZI95" s="499"/>
      <c r="LZJ95" s="499"/>
      <c r="LZK95" s="499"/>
      <c r="LZL95" s="499"/>
      <c r="LZM95" s="499"/>
      <c r="LZN95" s="499"/>
      <c r="LZO95" s="499"/>
      <c r="LZP95" s="499"/>
      <c r="LZQ95" s="499"/>
      <c r="LZR95" s="499"/>
      <c r="LZS95" s="499"/>
      <c r="LZT95" s="499"/>
      <c r="LZU95" s="499"/>
      <c r="LZV95" s="499"/>
      <c r="LZW95" s="499"/>
      <c r="LZX95" s="499"/>
      <c r="LZY95" s="499"/>
      <c r="LZZ95" s="499"/>
      <c r="MAA95" s="499"/>
      <c r="MAB95" s="499"/>
      <c r="MAC95" s="499"/>
      <c r="MAD95" s="499"/>
      <c r="MAE95" s="499"/>
      <c r="MAF95" s="499"/>
      <c r="MAG95" s="499"/>
      <c r="MAH95" s="499"/>
      <c r="MAI95" s="499"/>
      <c r="MAJ95" s="499"/>
      <c r="MAK95" s="499"/>
      <c r="MAL95" s="499"/>
      <c r="MAM95" s="499"/>
      <c r="MAN95" s="499"/>
      <c r="MAO95" s="499"/>
      <c r="MAP95" s="499"/>
      <c r="MAQ95" s="499"/>
      <c r="MAR95" s="499"/>
      <c r="MAS95" s="499"/>
      <c r="MAT95" s="499"/>
      <c r="MAU95" s="499"/>
      <c r="MAV95" s="499"/>
      <c r="MAW95" s="499"/>
      <c r="MAX95" s="499"/>
      <c r="MAY95" s="499"/>
      <c r="MAZ95" s="499"/>
      <c r="MBA95" s="499"/>
      <c r="MBB95" s="499"/>
      <c r="MBC95" s="499"/>
      <c r="MBD95" s="499"/>
      <c r="MBE95" s="499"/>
      <c r="MBF95" s="499"/>
      <c r="MBG95" s="499"/>
      <c r="MBH95" s="499"/>
      <c r="MBI95" s="499"/>
      <c r="MBJ95" s="499"/>
      <c r="MBK95" s="499"/>
      <c r="MBL95" s="499"/>
      <c r="MBM95" s="499"/>
      <c r="MBN95" s="499"/>
      <c r="MBO95" s="499"/>
      <c r="MBP95" s="499"/>
      <c r="MBQ95" s="499"/>
      <c r="MBR95" s="499"/>
      <c r="MBS95" s="499"/>
      <c r="MBT95" s="499"/>
      <c r="MBU95" s="499"/>
      <c r="MBV95" s="499"/>
      <c r="MBW95" s="499"/>
      <c r="MBX95" s="499"/>
      <c r="MBY95" s="499"/>
      <c r="MBZ95" s="499"/>
      <c r="MCA95" s="499"/>
      <c r="MCB95" s="499"/>
      <c r="MCC95" s="499"/>
      <c r="MCD95" s="499"/>
      <c r="MCE95" s="499"/>
      <c r="MCF95" s="499"/>
      <c r="MCG95" s="499"/>
      <c r="MCH95" s="499"/>
      <c r="MCI95" s="499"/>
      <c r="MCJ95" s="499"/>
      <c r="MCK95" s="499"/>
      <c r="MCL95" s="499"/>
      <c r="MCM95" s="499"/>
      <c r="MCN95" s="499"/>
      <c r="MCO95" s="499"/>
      <c r="MCP95" s="499"/>
      <c r="MCQ95" s="499"/>
      <c r="MCR95" s="499"/>
      <c r="MCS95" s="499"/>
      <c r="MCT95" s="499"/>
      <c r="MCU95" s="499"/>
      <c r="MCV95" s="499"/>
      <c r="MCW95" s="499"/>
      <c r="MCX95" s="499"/>
      <c r="MCY95" s="499"/>
      <c r="MCZ95" s="499"/>
      <c r="MDA95" s="499"/>
      <c r="MDB95" s="499"/>
      <c r="MDC95" s="499"/>
      <c r="MDD95" s="499"/>
      <c r="MDE95" s="499"/>
      <c r="MDF95" s="499"/>
      <c r="MDG95" s="499"/>
      <c r="MDH95" s="499"/>
      <c r="MDI95" s="499"/>
      <c r="MDJ95" s="499"/>
      <c r="MDK95" s="499"/>
      <c r="MDL95" s="499"/>
      <c r="MDM95" s="499"/>
      <c r="MDN95" s="499"/>
      <c r="MDO95" s="499"/>
      <c r="MDP95" s="499"/>
      <c r="MDQ95" s="499"/>
      <c r="MDR95" s="499"/>
      <c r="MDS95" s="499"/>
      <c r="MDT95" s="499"/>
      <c r="MDU95" s="499"/>
      <c r="MDV95" s="499"/>
      <c r="MDW95" s="499"/>
      <c r="MDX95" s="499"/>
      <c r="MDY95" s="499"/>
      <c r="MDZ95" s="499"/>
      <c r="MEA95" s="499"/>
      <c r="MEB95" s="499"/>
      <c r="MEC95" s="499"/>
      <c r="MED95" s="499"/>
      <c r="MEE95" s="499"/>
      <c r="MEF95" s="499"/>
      <c r="MEG95" s="499"/>
      <c r="MEH95" s="499"/>
      <c r="MEI95" s="499"/>
      <c r="MEJ95" s="499"/>
      <c r="MEK95" s="499"/>
      <c r="MEL95" s="499"/>
      <c r="MEM95" s="499"/>
      <c r="MEN95" s="499"/>
      <c r="MEO95" s="499"/>
      <c r="MEP95" s="499"/>
      <c r="MEQ95" s="499"/>
      <c r="MER95" s="499"/>
      <c r="MES95" s="499"/>
      <c r="MET95" s="499"/>
      <c r="MEU95" s="499"/>
      <c r="MEV95" s="499"/>
      <c r="MEW95" s="499"/>
      <c r="MEX95" s="499"/>
      <c r="MEY95" s="499"/>
      <c r="MEZ95" s="499"/>
      <c r="MFA95" s="499"/>
      <c r="MFB95" s="499"/>
      <c r="MFC95" s="499"/>
      <c r="MFD95" s="499"/>
      <c r="MFE95" s="499"/>
      <c r="MFF95" s="499"/>
      <c r="MFG95" s="499"/>
      <c r="MFH95" s="499"/>
      <c r="MFI95" s="499"/>
      <c r="MFJ95" s="499"/>
      <c r="MFK95" s="499"/>
      <c r="MFL95" s="499"/>
      <c r="MFM95" s="499"/>
      <c r="MFN95" s="499"/>
      <c r="MFO95" s="499"/>
      <c r="MFP95" s="499"/>
      <c r="MFQ95" s="499"/>
      <c r="MFR95" s="499"/>
      <c r="MFS95" s="499"/>
      <c r="MFT95" s="499"/>
      <c r="MFU95" s="499"/>
      <c r="MFV95" s="499"/>
      <c r="MFW95" s="499"/>
      <c r="MFX95" s="499"/>
      <c r="MFY95" s="499"/>
      <c r="MFZ95" s="499"/>
      <c r="MGA95" s="499"/>
      <c r="MGB95" s="499"/>
      <c r="MGC95" s="499"/>
      <c r="MGD95" s="499"/>
      <c r="MGE95" s="499"/>
      <c r="MGF95" s="499"/>
      <c r="MGG95" s="499"/>
      <c r="MGH95" s="499"/>
      <c r="MGI95" s="499"/>
      <c r="MGJ95" s="499"/>
      <c r="MGK95" s="499"/>
      <c r="MGL95" s="499"/>
      <c r="MGM95" s="499"/>
      <c r="MGN95" s="499"/>
      <c r="MGO95" s="499"/>
      <c r="MGP95" s="499"/>
      <c r="MGQ95" s="499"/>
      <c r="MGR95" s="499"/>
      <c r="MGS95" s="499"/>
      <c r="MGT95" s="499"/>
      <c r="MGU95" s="499"/>
      <c r="MGV95" s="499"/>
      <c r="MGW95" s="499"/>
      <c r="MGX95" s="499"/>
      <c r="MGY95" s="499"/>
      <c r="MGZ95" s="499"/>
      <c r="MHA95" s="499"/>
      <c r="MHB95" s="499"/>
      <c r="MHC95" s="499"/>
      <c r="MHD95" s="499"/>
      <c r="MHE95" s="499"/>
      <c r="MHF95" s="499"/>
      <c r="MHG95" s="499"/>
      <c r="MHH95" s="499"/>
      <c r="MHI95" s="499"/>
      <c r="MHJ95" s="499"/>
      <c r="MHK95" s="499"/>
      <c r="MHL95" s="499"/>
      <c r="MHM95" s="499"/>
      <c r="MHN95" s="499"/>
      <c r="MHO95" s="499"/>
      <c r="MHP95" s="499"/>
      <c r="MHQ95" s="499"/>
      <c r="MHR95" s="499"/>
      <c r="MHS95" s="499"/>
      <c r="MHT95" s="499"/>
      <c r="MHU95" s="499"/>
      <c r="MHV95" s="499"/>
      <c r="MHW95" s="499"/>
      <c r="MHX95" s="499"/>
      <c r="MHY95" s="499"/>
      <c r="MHZ95" s="499"/>
      <c r="MIA95" s="499"/>
      <c r="MIB95" s="499"/>
      <c r="MIC95" s="499"/>
      <c r="MID95" s="499"/>
      <c r="MIE95" s="499"/>
      <c r="MIF95" s="499"/>
      <c r="MIG95" s="499"/>
      <c r="MIH95" s="499"/>
      <c r="MII95" s="499"/>
      <c r="MIJ95" s="499"/>
      <c r="MIK95" s="499"/>
      <c r="MIL95" s="499"/>
      <c r="MIM95" s="499"/>
      <c r="MIN95" s="499"/>
      <c r="MIO95" s="499"/>
      <c r="MIP95" s="499"/>
      <c r="MIQ95" s="499"/>
      <c r="MIR95" s="499"/>
      <c r="MIS95" s="499"/>
      <c r="MIT95" s="499"/>
      <c r="MIU95" s="499"/>
      <c r="MIV95" s="499"/>
      <c r="MIW95" s="499"/>
      <c r="MIX95" s="499"/>
      <c r="MIY95" s="499"/>
      <c r="MIZ95" s="499"/>
      <c r="MJA95" s="499"/>
      <c r="MJB95" s="499"/>
      <c r="MJC95" s="499"/>
      <c r="MJD95" s="499"/>
      <c r="MJE95" s="499"/>
      <c r="MJF95" s="499"/>
      <c r="MJG95" s="499"/>
      <c r="MJH95" s="499"/>
      <c r="MJI95" s="499"/>
      <c r="MJJ95" s="499"/>
      <c r="MJK95" s="499"/>
      <c r="MJL95" s="499"/>
      <c r="MJM95" s="499"/>
      <c r="MJN95" s="499"/>
      <c r="MJO95" s="499"/>
      <c r="MJP95" s="499"/>
      <c r="MJQ95" s="499"/>
      <c r="MJR95" s="499"/>
      <c r="MJS95" s="499"/>
      <c r="MJT95" s="499"/>
      <c r="MJU95" s="499"/>
      <c r="MJV95" s="499"/>
      <c r="MJW95" s="499"/>
      <c r="MJX95" s="499"/>
      <c r="MJY95" s="499"/>
      <c r="MJZ95" s="499"/>
      <c r="MKA95" s="499"/>
      <c r="MKB95" s="499"/>
      <c r="MKC95" s="499"/>
      <c r="MKD95" s="499"/>
      <c r="MKE95" s="499"/>
      <c r="MKF95" s="499"/>
      <c r="MKG95" s="499"/>
      <c r="MKH95" s="499"/>
      <c r="MKI95" s="499"/>
      <c r="MKJ95" s="499"/>
      <c r="MKK95" s="499"/>
      <c r="MKL95" s="499"/>
      <c r="MKM95" s="499"/>
      <c r="MKN95" s="499"/>
      <c r="MKO95" s="499"/>
      <c r="MKP95" s="499"/>
      <c r="MKQ95" s="499"/>
      <c r="MKR95" s="499"/>
      <c r="MKS95" s="499"/>
      <c r="MKT95" s="499"/>
      <c r="MKU95" s="499"/>
      <c r="MKV95" s="499"/>
      <c r="MKW95" s="499"/>
      <c r="MKX95" s="499"/>
      <c r="MKY95" s="499"/>
      <c r="MKZ95" s="499"/>
      <c r="MLA95" s="499"/>
      <c r="MLB95" s="499"/>
      <c r="MLC95" s="499"/>
      <c r="MLD95" s="499"/>
      <c r="MLE95" s="499"/>
      <c r="MLF95" s="499"/>
      <c r="MLG95" s="499"/>
      <c r="MLH95" s="499"/>
      <c r="MLI95" s="499"/>
      <c r="MLJ95" s="499"/>
      <c r="MLK95" s="499"/>
      <c r="MLL95" s="499"/>
      <c r="MLM95" s="499"/>
      <c r="MLN95" s="499"/>
      <c r="MLO95" s="499"/>
      <c r="MLP95" s="499"/>
      <c r="MLQ95" s="499"/>
      <c r="MLR95" s="499"/>
      <c r="MLS95" s="499"/>
      <c r="MLT95" s="499"/>
      <c r="MLU95" s="499"/>
      <c r="MLV95" s="499"/>
      <c r="MLW95" s="499"/>
      <c r="MLX95" s="499"/>
      <c r="MLY95" s="499"/>
      <c r="MLZ95" s="499"/>
      <c r="MMA95" s="499"/>
      <c r="MMB95" s="499"/>
      <c r="MMC95" s="499"/>
      <c r="MMD95" s="499"/>
      <c r="MME95" s="499"/>
      <c r="MMF95" s="499"/>
      <c r="MMG95" s="499"/>
      <c r="MMH95" s="499"/>
      <c r="MMI95" s="499"/>
      <c r="MMJ95" s="499"/>
      <c r="MMK95" s="499"/>
      <c r="MML95" s="499"/>
      <c r="MMM95" s="499"/>
      <c r="MMN95" s="499"/>
      <c r="MMO95" s="499"/>
      <c r="MMP95" s="499"/>
      <c r="MMQ95" s="499"/>
      <c r="MMR95" s="499"/>
      <c r="MMS95" s="499"/>
      <c r="MMT95" s="499"/>
      <c r="MMU95" s="499"/>
      <c r="MMV95" s="499"/>
      <c r="MMW95" s="499"/>
      <c r="MMX95" s="499"/>
      <c r="MMY95" s="499"/>
      <c r="MMZ95" s="499"/>
      <c r="MNA95" s="499"/>
      <c r="MNB95" s="499"/>
      <c r="MNC95" s="499"/>
      <c r="MND95" s="499"/>
      <c r="MNE95" s="499"/>
      <c r="MNF95" s="499"/>
      <c r="MNG95" s="499"/>
      <c r="MNH95" s="499"/>
      <c r="MNI95" s="499"/>
      <c r="MNJ95" s="499"/>
      <c r="MNK95" s="499"/>
      <c r="MNL95" s="499"/>
      <c r="MNM95" s="499"/>
      <c r="MNN95" s="499"/>
      <c r="MNO95" s="499"/>
      <c r="MNP95" s="499"/>
      <c r="MNQ95" s="499"/>
      <c r="MNR95" s="499"/>
      <c r="MNS95" s="499"/>
      <c r="MNT95" s="499"/>
      <c r="MNU95" s="499"/>
      <c r="MNV95" s="499"/>
      <c r="MNW95" s="499"/>
      <c r="MNX95" s="499"/>
      <c r="MNY95" s="499"/>
      <c r="MNZ95" s="499"/>
      <c r="MOA95" s="499"/>
      <c r="MOB95" s="499"/>
      <c r="MOC95" s="499"/>
      <c r="MOD95" s="499"/>
      <c r="MOE95" s="499"/>
      <c r="MOF95" s="499"/>
      <c r="MOG95" s="499"/>
      <c r="MOH95" s="499"/>
      <c r="MOI95" s="499"/>
      <c r="MOJ95" s="499"/>
      <c r="MOK95" s="499"/>
      <c r="MOL95" s="499"/>
      <c r="MOM95" s="499"/>
      <c r="MON95" s="499"/>
      <c r="MOO95" s="499"/>
      <c r="MOP95" s="499"/>
      <c r="MOQ95" s="499"/>
      <c r="MOR95" s="499"/>
      <c r="MOS95" s="499"/>
      <c r="MOT95" s="499"/>
      <c r="MOU95" s="499"/>
      <c r="MOV95" s="499"/>
      <c r="MOW95" s="499"/>
      <c r="MOX95" s="499"/>
      <c r="MOY95" s="499"/>
      <c r="MOZ95" s="499"/>
      <c r="MPA95" s="499"/>
      <c r="MPB95" s="499"/>
      <c r="MPC95" s="499"/>
      <c r="MPD95" s="499"/>
      <c r="MPE95" s="499"/>
      <c r="MPF95" s="499"/>
      <c r="MPG95" s="499"/>
      <c r="MPH95" s="499"/>
      <c r="MPI95" s="499"/>
      <c r="MPJ95" s="499"/>
      <c r="MPK95" s="499"/>
      <c r="MPL95" s="499"/>
      <c r="MPM95" s="499"/>
      <c r="MPN95" s="499"/>
      <c r="MPO95" s="499"/>
      <c r="MPP95" s="499"/>
      <c r="MPQ95" s="499"/>
      <c r="MPR95" s="499"/>
      <c r="MPS95" s="499"/>
      <c r="MPT95" s="499"/>
      <c r="MPU95" s="499"/>
      <c r="MPV95" s="499"/>
      <c r="MPW95" s="499"/>
      <c r="MPX95" s="499"/>
      <c r="MPY95" s="499"/>
      <c r="MPZ95" s="499"/>
      <c r="MQA95" s="499"/>
      <c r="MQB95" s="499"/>
      <c r="MQC95" s="499"/>
      <c r="MQD95" s="499"/>
      <c r="MQE95" s="499"/>
      <c r="MQF95" s="499"/>
      <c r="MQG95" s="499"/>
      <c r="MQH95" s="499"/>
      <c r="MQI95" s="499"/>
      <c r="MQJ95" s="499"/>
      <c r="MQK95" s="499"/>
      <c r="MQL95" s="499"/>
      <c r="MQM95" s="499"/>
      <c r="MQN95" s="499"/>
      <c r="MQO95" s="499"/>
      <c r="MQP95" s="499"/>
      <c r="MQQ95" s="499"/>
      <c r="MQR95" s="499"/>
      <c r="MQS95" s="499"/>
      <c r="MQT95" s="499"/>
      <c r="MQU95" s="499"/>
      <c r="MQV95" s="499"/>
      <c r="MQW95" s="499"/>
      <c r="MQX95" s="499"/>
      <c r="MQY95" s="499"/>
      <c r="MQZ95" s="499"/>
      <c r="MRA95" s="499"/>
      <c r="MRB95" s="499"/>
      <c r="MRC95" s="499"/>
      <c r="MRD95" s="499"/>
      <c r="MRE95" s="499"/>
      <c r="MRF95" s="499"/>
      <c r="MRG95" s="499"/>
      <c r="MRH95" s="499"/>
      <c r="MRI95" s="499"/>
      <c r="MRJ95" s="499"/>
      <c r="MRK95" s="499"/>
      <c r="MRL95" s="499"/>
      <c r="MRM95" s="499"/>
      <c r="MRN95" s="499"/>
      <c r="MRO95" s="499"/>
      <c r="MRP95" s="499"/>
      <c r="MRQ95" s="499"/>
      <c r="MRR95" s="499"/>
      <c r="MRS95" s="499"/>
      <c r="MRT95" s="499"/>
      <c r="MRU95" s="499"/>
      <c r="MRV95" s="499"/>
      <c r="MRW95" s="499"/>
      <c r="MRX95" s="499"/>
      <c r="MRY95" s="499"/>
      <c r="MRZ95" s="499"/>
      <c r="MSA95" s="499"/>
      <c r="MSB95" s="499"/>
      <c r="MSC95" s="499"/>
      <c r="MSD95" s="499"/>
      <c r="MSE95" s="499"/>
      <c r="MSF95" s="499"/>
      <c r="MSG95" s="499"/>
      <c r="MSH95" s="499"/>
      <c r="MSI95" s="499"/>
      <c r="MSJ95" s="499"/>
      <c r="MSK95" s="499"/>
      <c r="MSL95" s="499"/>
      <c r="MSM95" s="499"/>
      <c r="MSN95" s="499"/>
      <c r="MSO95" s="499"/>
      <c r="MSP95" s="499"/>
      <c r="MSQ95" s="499"/>
      <c r="MSR95" s="499"/>
      <c r="MSS95" s="499"/>
      <c r="MST95" s="499"/>
      <c r="MSU95" s="499"/>
      <c r="MSV95" s="499"/>
      <c r="MSW95" s="499"/>
      <c r="MSX95" s="499"/>
      <c r="MSY95" s="499"/>
      <c r="MSZ95" s="499"/>
      <c r="MTA95" s="499"/>
      <c r="MTB95" s="499"/>
      <c r="MTC95" s="499"/>
      <c r="MTD95" s="499"/>
      <c r="MTE95" s="499"/>
      <c r="MTF95" s="499"/>
      <c r="MTG95" s="499"/>
      <c r="MTH95" s="499"/>
      <c r="MTI95" s="499"/>
      <c r="MTJ95" s="499"/>
      <c r="MTK95" s="499"/>
      <c r="MTL95" s="499"/>
      <c r="MTM95" s="499"/>
      <c r="MTN95" s="499"/>
      <c r="MTO95" s="499"/>
      <c r="MTP95" s="499"/>
      <c r="MTQ95" s="499"/>
      <c r="MTR95" s="499"/>
      <c r="MTS95" s="499"/>
      <c r="MTT95" s="499"/>
      <c r="MTU95" s="499"/>
      <c r="MTV95" s="499"/>
      <c r="MTW95" s="499"/>
      <c r="MTX95" s="499"/>
      <c r="MTY95" s="499"/>
      <c r="MTZ95" s="499"/>
      <c r="MUA95" s="499"/>
      <c r="MUB95" s="499"/>
      <c r="MUC95" s="499"/>
      <c r="MUD95" s="499"/>
      <c r="MUE95" s="499"/>
      <c r="MUF95" s="499"/>
      <c r="MUG95" s="499"/>
      <c r="MUH95" s="499"/>
      <c r="MUI95" s="499"/>
      <c r="MUJ95" s="499"/>
      <c r="MUK95" s="499"/>
      <c r="MUL95" s="499"/>
      <c r="MUM95" s="499"/>
      <c r="MUN95" s="499"/>
      <c r="MUO95" s="499"/>
      <c r="MUP95" s="499"/>
      <c r="MUQ95" s="499"/>
      <c r="MUR95" s="499"/>
      <c r="MUS95" s="499"/>
      <c r="MUT95" s="499"/>
      <c r="MUU95" s="499"/>
      <c r="MUV95" s="499"/>
      <c r="MUW95" s="499"/>
      <c r="MUX95" s="499"/>
      <c r="MUY95" s="499"/>
      <c r="MUZ95" s="499"/>
      <c r="MVA95" s="499"/>
      <c r="MVB95" s="499"/>
      <c r="MVC95" s="499"/>
      <c r="MVD95" s="499"/>
      <c r="MVE95" s="499"/>
      <c r="MVF95" s="499"/>
      <c r="MVG95" s="499"/>
      <c r="MVH95" s="499"/>
      <c r="MVI95" s="499"/>
      <c r="MVJ95" s="499"/>
      <c r="MVK95" s="499"/>
      <c r="MVL95" s="499"/>
      <c r="MVM95" s="499"/>
      <c r="MVN95" s="499"/>
      <c r="MVO95" s="499"/>
      <c r="MVP95" s="499"/>
      <c r="MVQ95" s="499"/>
      <c r="MVR95" s="499"/>
      <c r="MVS95" s="499"/>
      <c r="MVT95" s="499"/>
      <c r="MVU95" s="499"/>
      <c r="MVV95" s="499"/>
      <c r="MVW95" s="499"/>
      <c r="MVX95" s="499"/>
      <c r="MVY95" s="499"/>
      <c r="MVZ95" s="499"/>
      <c r="MWA95" s="499"/>
      <c r="MWB95" s="499"/>
      <c r="MWC95" s="499"/>
      <c r="MWD95" s="499"/>
      <c r="MWE95" s="499"/>
      <c r="MWF95" s="499"/>
      <c r="MWG95" s="499"/>
      <c r="MWH95" s="499"/>
      <c r="MWI95" s="499"/>
      <c r="MWJ95" s="499"/>
      <c r="MWK95" s="499"/>
      <c r="MWL95" s="499"/>
      <c r="MWM95" s="499"/>
      <c r="MWN95" s="499"/>
      <c r="MWO95" s="499"/>
      <c r="MWP95" s="499"/>
      <c r="MWQ95" s="499"/>
      <c r="MWR95" s="499"/>
      <c r="MWS95" s="499"/>
      <c r="MWT95" s="499"/>
      <c r="MWU95" s="499"/>
      <c r="MWV95" s="499"/>
      <c r="MWW95" s="499"/>
      <c r="MWX95" s="499"/>
      <c r="MWY95" s="499"/>
      <c r="MWZ95" s="499"/>
      <c r="MXA95" s="499"/>
      <c r="MXB95" s="499"/>
      <c r="MXC95" s="499"/>
      <c r="MXD95" s="499"/>
      <c r="MXE95" s="499"/>
      <c r="MXF95" s="499"/>
      <c r="MXG95" s="499"/>
      <c r="MXH95" s="499"/>
      <c r="MXI95" s="499"/>
      <c r="MXJ95" s="499"/>
      <c r="MXK95" s="499"/>
      <c r="MXL95" s="499"/>
      <c r="MXM95" s="499"/>
      <c r="MXN95" s="499"/>
      <c r="MXO95" s="499"/>
      <c r="MXP95" s="499"/>
      <c r="MXQ95" s="499"/>
      <c r="MXR95" s="499"/>
      <c r="MXS95" s="499"/>
      <c r="MXT95" s="499"/>
      <c r="MXU95" s="499"/>
      <c r="MXV95" s="499"/>
      <c r="MXW95" s="499"/>
      <c r="MXX95" s="499"/>
      <c r="MXY95" s="499"/>
      <c r="MXZ95" s="499"/>
      <c r="MYA95" s="499"/>
      <c r="MYB95" s="499"/>
      <c r="MYC95" s="499"/>
      <c r="MYD95" s="499"/>
      <c r="MYE95" s="499"/>
      <c r="MYF95" s="499"/>
      <c r="MYG95" s="499"/>
      <c r="MYH95" s="499"/>
      <c r="MYI95" s="499"/>
      <c r="MYJ95" s="499"/>
      <c r="MYK95" s="499"/>
      <c r="MYL95" s="499"/>
      <c r="MYM95" s="499"/>
      <c r="MYN95" s="499"/>
      <c r="MYO95" s="499"/>
      <c r="MYP95" s="499"/>
      <c r="MYQ95" s="499"/>
      <c r="MYR95" s="499"/>
      <c r="MYS95" s="499"/>
      <c r="MYT95" s="499"/>
      <c r="MYU95" s="499"/>
      <c r="MYV95" s="499"/>
      <c r="MYW95" s="499"/>
      <c r="MYX95" s="499"/>
      <c r="MYY95" s="499"/>
      <c r="MYZ95" s="499"/>
      <c r="MZA95" s="499"/>
      <c r="MZB95" s="499"/>
      <c r="MZC95" s="499"/>
      <c r="MZD95" s="499"/>
      <c r="MZE95" s="499"/>
      <c r="MZF95" s="499"/>
      <c r="MZG95" s="499"/>
      <c r="MZH95" s="499"/>
      <c r="MZI95" s="499"/>
      <c r="MZJ95" s="499"/>
      <c r="MZK95" s="499"/>
      <c r="MZL95" s="499"/>
      <c r="MZM95" s="499"/>
      <c r="MZN95" s="499"/>
      <c r="MZO95" s="499"/>
      <c r="MZP95" s="499"/>
      <c r="MZQ95" s="499"/>
      <c r="MZR95" s="499"/>
      <c r="MZS95" s="499"/>
      <c r="MZT95" s="499"/>
      <c r="MZU95" s="499"/>
      <c r="MZV95" s="499"/>
      <c r="MZW95" s="499"/>
      <c r="MZX95" s="499"/>
      <c r="MZY95" s="499"/>
      <c r="MZZ95" s="499"/>
      <c r="NAA95" s="499"/>
      <c r="NAB95" s="499"/>
      <c r="NAC95" s="499"/>
      <c r="NAD95" s="499"/>
      <c r="NAE95" s="499"/>
      <c r="NAF95" s="499"/>
      <c r="NAG95" s="499"/>
      <c r="NAH95" s="499"/>
      <c r="NAI95" s="499"/>
      <c r="NAJ95" s="499"/>
      <c r="NAK95" s="499"/>
      <c r="NAL95" s="499"/>
      <c r="NAM95" s="499"/>
      <c r="NAN95" s="499"/>
      <c r="NAO95" s="499"/>
      <c r="NAP95" s="499"/>
      <c r="NAQ95" s="499"/>
      <c r="NAR95" s="499"/>
      <c r="NAS95" s="499"/>
      <c r="NAT95" s="499"/>
      <c r="NAU95" s="499"/>
      <c r="NAV95" s="499"/>
      <c r="NAW95" s="499"/>
      <c r="NAX95" s="499"/>
      <c r="NAY95" s="499"/>
      <c r="NAZ95" s="499"/>
      <c r="NBA95" s="499"/>
      <c r="NBB95" s="499"/>
      <c r="NBC95" s="499"/>
      <c r="NBD95" s="499"/>
      <c r="NBE95" s="499"/>
      <c r="NBF95" s="499"/>
      <c r="NBG95" s="499"/>
      <c r="NBH95" s="499"/>
      <c r="NBI95" s="499"/>
      <c r="NBJ95" s="499"/>
      <c r="NBK95" s="499"/>
      <c r="NBL95" s="499"/>
      <c r="NBM95" s="499"/>
      <c r="NBN95" s="499"/>
      <c r="NBO95" s="499"/>
      <c r="NBP95" s="499"/>
      <c r="NBQ95" s="499"/>
      <c r="NBR95" s="499"/>
      <c r="NBS95" s="499"/>
      <c r="NBT95" s="499"/>
      <c r="NBU95" s="499"/>
      <c r="NBV95" s="499"/>
      <c r="NBW95" s="499"/>
      <c r="NBX95" s="499"/>
      <c r="NBY95" s="499"/>
      <c r="NBZ95" s="499"/>
      <c r="NCA95" s="499"/>
      <c r="NCB95" s="499"/>
      <c r="NCC95" s="499"/>
      <c r="NCD95" s="499"/>
      <c r="NCE95" s="499"/>
      <c r="NCF95" s="499"/>
      <c r="NCG95" s="499"/>
      <c r="NCH95" s="499"/>
      <c r="NCI95" s="499"/>
      <c r="NCJ95" s="499"/>
      <c r="NCK95" s="499"/>
      <c r="NCL95" s="499"/>
      <c r="NCM95" s="499"/>
      <c r="NCN95" s="499"/>
      <c r="NCO95" s="499"/>
      <c r="NCP95" s="499"/>
      <c r="NCQ95" s="499"/>
      <c r="NCR95" s="499"/>
      <c r="NCS95" s="499"/>
      <c r="NCT95" s="499"/>
      <c r="NCU95" s="499"/>
      <c r="NCV95" s="499"/>
      <c r="NCW95" s="499"/>
      <c r="NCX95" s="499"/>
      <c r="NCY95" s="499"/>
      <c r="NCZ95" s="499"/>
      <c r="NDA95" s="499"/>
      <c r="NDB95" s="499"/>
      <c r="NDC95" s="499"/>
      <c r="NDD95" s="499"/>
      <c r="NDE95" s="499"/>
      <c r="NDF95" s="499"/>
      <c r="NDG95" s="499"/>
      <c r="NDH95" s="499"/>
      <c r="NDI95" s="499"/>
      <c r="NDJ95" s="499"/>
      <c r="NDK95" s="499"/>
      <c r="NDL95" s="499"/>
      <c r="NDM95" s="499"/>
      <c r="NDN95" s="499"/>
      <c r="NDO95" s="499"/>
      <c r="NDP95" s="499"/>
      <c r="NDQ95" s="499"/>
      <c r="NDR95" s="499"/>
      <c r="NDS95" s="499"/>
      <c r="NDT95" s="499"/>
      <c r="NDU95" s="499"/>
      <c r="NDV95" s="499"/>
      <c r="NDW95" s="499"/>
      <c r="NDX95" s="499"/>
      <c r="NDY95" s="499"/>
      <c r="NDZ95" s="499"/>
      <c r="NEA95" s="499"/>
      <c r="NEB95" s="499"/>
      <c r="NEC95" s="499"/>
      <c r="NED95" s="499"/>
      <c r="NEE95" s="499"/>
      <c r="NEF95" s="499"/>
      <c r="NEG95" s="499"/>
      <c r="NEH95" s="499"/>
      <c r="NEI95" s="499"/>
      <c r="NEJ95" s="499"/>
      <c r="NEK95" s="499"/>
      <c r="NEL95" s="499"/>
      <c r="NEM95" s="499"/>
      <c r="NEN95" s="499"/>
      <c r="NEO95" s="499"/>
      <c r="NEP95" s="499"/>
      <c r="NEQ95" s="499"/>
      <c r="NER95" s="499"/>
      <c r="NES95" s="499"/>
      <c r="NET95" s="499"/>
      <c r="NEU95" s="499"/>
      <c r="NEV95" s="499"/>
      <c r="NEW95" s="499"/>
      <c r="NEX95" s="499"/>
      <c r="NEY95" s="499"/>
      <c r="NEZ95" s="499"/>
      <c r="NFA95" s="499"/>
      <c r="NFB95" s="499"/>
      <c r="NFC95" s="499"/>
      <c r="NFD95" s="499"/>
      <c r="NFE95" s="499"/>
      <c r="NFF95" s="499"/>
      <c r="NFG95" s="499"/>
      <c r="NFH95" s="499"/>
      <c r="NFI95" s="499"/>
      <c r="NFJ95" s="499"/>
      <c r="NFK95" s="499"/>
      <c r="NFL95" s="499"/>
      <c r="NFM95" s="499"/>
      <c r="NFN95" s="499"/>
      <c r="NFO95" s="499"/>
      <c r="NFP95" s="499"/>
      <c r="NFQ95" s="499"/>
      <c r="NFR95" s="499"/>
      <c r="NFS95" s="499"/>
      <c r="NFT95" s="499"/>
      <c r="NFU95" s="499"/>
      <c r="NFV95" s="499"/>
      <c r="NFW95" s="499"/>
      <c r="NFX95" s="499"/>
      <c r="NFY95" s="499"/>
      <c r="NFZ95" s="499"/>
      <c r="NGA95" s="499"/>
      <c r="NGB95" s="499"/>
      <c r="NGC95" s="499"/>
      <c r="NGD95" s="499"/>
      <c r="NGE95" s="499"/>
      <c r="NGF95" s="499"/>
      <c r="NGG95" s="499"/>
      <c r="NGH95" s="499"/>
      <c r="NGI95" s="499"/>
      <c r="NGJ95" s="499"/>
      <c r="NGK95" s="499"/>
      <c r="NGL95" s="499"/>
      <c r="NGM95" s="499"/>
      <c r="NGN95" s="499"/>
      <c r="NGO95" s="499"/>
      <c r="NGP95" s="499"/>
      <c r="NGQ95" s="499"/>
      <c r="NGR95" s="499"/>
      <c r="NGS95" s="499"/>
      <c r="NGT95" s="499"/>
      <c r="NGU95" s="499"/>
      <c r="NGV95" s="499"/>
      <c r="NGW95" s="499"/>
      <c r="NGX95" s="499"/>
      <c r="NGY95" s="499"/>
      <c r="NGZ95" s="499"/>
      <c r="NHA95" s="499"/>
      <c r="NHB95" s="499"/>
      <c r="NHC95" s="499"/>
      <c r="NHD95" s="499"/>
      <c r="NHE95" s="499"/>
      <c r="NHF95" s="499"/>
      <c r="NHG95" s="499"/>
      <c r="NHH95" s="499"/>
      <c r="NHI95" s="499"/>
      <c r="NHJ95" s="499"/>
      <c r="NHK95" s="499"/>
      <c r="NHL95" s="499"/>
      <c r="NHM95" s="499"/>
      <c r="NHN95" s="499"/>
      <c r="NHO95" s="499"/>
      <c r="NHP95" s="499"/>
      <c r="NHQ95" s="499"/>
      <c r="NHR95" s="499"/>
      <c r="NHS95" s="499"/>
      <c r="NHT95" s="499"/>
      <c r="NHU95" s="499"/>
      <c r="NHV95" s="499"/>
      <c r="NHW95" s="499"/>
      <c r="NHX95" s="499"/>
      <c r="NHY95" s="499"/>
      <c r="NHZ95" s="499"/>
      <c r="NIA95" s="499"/>
      <c r="NIB95" s="499"/>
      <c r="NIC95" s="499"/>
      <c r="NID95" s="499"/>
      <c r="NIE95" s="499"/>
      <c r="NIF95" s="499"/>
      <c r="NIG95" s="499"/>
      <c r="NIH95" s="499"/>
      <c r="NII95" s="499"/>
      <c r="NIJ95" s="499"/>
      <c r="NIK95" s="499"/>
      <c r="NIL95" s="499"/>
      <c r="NIM95" s="499"/>
      <c r="NIN95" s="499"/>
      <c r="NIO95" s="499"/>
      <c r="NIP95" s="499"/>
      <c r="NIQ95" s="499"/>
      <c r="NIR95" s="499"/>
      <c r="NIS95" s="499"/>
      <c r="NIT95" s="499"/>
      <c r="NIU95" s="499"/>
      <c r="NIV95" s="499"/>
      <c r="NIW95" s="499"/>
      <c r="NIX95" s="499"/>
      <c r="NIY95" s="499"/>
      <c r="NIZ95" s="499"/>
      <c r="NJA95" s="499"/>
      <c r="NJB95" s="499"/>
      <c r="NJC95" s="499"/>
      <c r="NJD95" s="499"/>
      <c r="NJE95" s="499"/>
      <c r="NJF95" s="499"/>
      <c r="NJG95" s="499"/>
      <c r="NJH95" s="499"/>
      <c r="NJI95" s="499"/>
      <c r="NJJ95" s="499"/>
      <c r="NJK95" s="499"/>
      <c r="NJL95" s="499"/>
      <c r="NJM95" s="499"/>
      <c r="NJN95" s="499"/>
      <c r="NJO95" s="499"/>
      <c r="NJP95" s="499"/>
      <c r="NJQ95" s="499"/>
      <c r="NJR95" s="499"/>
      <c r="NJS95" s="499"/>
      <c r="NJT95" s="499"/>
      <c r="NJU95" s="499"/>
      <c r="NJV95" s="499"/>
      <c r="NJW95" s="499"/>
      <c r="NJX95" s="499"/>
      <c r="NJY95" s="499"/>
      <c r="NJZ95" s="499"/>
      <c r="NKA95" s="499"/>
      <c r="NKB95" s="499"/>
      <c r="NKC95" s="499"/>
      <c r="NKD95" s="499"/>
      <c r="NKE95" s="499"/>
      <c r="NKF95" s="499"/>
      <c r="NKG95" s="499"/>
      <c r="NKH95" s="499"/>
      <c r="NKI95" s="499"/>
      <c r="NKJ95" s="499"/>
      <c r="NKK95" s="499"/>
      <c r="NKL95" s="499"/>
      <c r="NKM95" s="499"/>
      <c r="NKN95" s="499"/>
      <c r="NKO95" s="499"/>
      <c r="NKP95" s="499"/>
      <c r="NKQ95" s="499"/>
      <c r="NKR95" s="499"/>
      <c r="NKS95" s="499"/>
      <c r="NKT95" s="499"/>
      <c r="NKU95" s="499"/>
      <c r="NKV95" s="499"/>
      <c r="NKW95" s="499"/>
      <c r="NKX95" s="499"/>
      <c r="NKY95" s="499"/>
      <c r="NKZ95" s="499"/>
      <c r="NLA95" s="499"/>
      <c r="NLB95" s="499"/>
      <c r="NLC95" s="499"/>
      <c r="NLD95" s="499"/>
      <c r="NLE95" s="499"/>
      <c r="NLF95" s="499"/>
      <c r="NLG95" s="499"/>
      <c r="NLH95" s="499"/>
      <c r="NLI95" s="499"/>
      <c r="NLJ95" s="499"/>
      <c r="NLK95" s="499"/>
      <c r="NLL95" s="499"/>
      <c r="NLM95" s="499"/>
      <c r="NLN95" s="499"/>
      <c r="NLO95" s="499"/>
      <c r="NLP95" s="499"/>
      <c r="NLQ95" s="499"/>
      <c r="NLR95" s="499"/>
      <c r="NLS95" s="499"/>
      <c r="NLT95" s="499"/>
      <c r="NLU95" s="499"/>
      <c r="NLV95" s="499"/>
      <c r="NLW95" s="499"/>
      <c r="NLX95" s="499"/>
      <c r="NLY95" s="499"/>
      <c r="NLZ95" s="499"/>
      <c r="NMA95" s="499"/>
      <c r="NMB95" s="499"/>
      <c r="NMC95" s="499"/>
      <c r="NMD95" s="499"/>
      <c r="NME95" s="499"/>
      <c r="NMF95" s="499"/>
      <c r="NMG95" s="499"/>
      <c r="NMH95" s="499"/>
      <c r="NMI95" s="499"/>
      <c r="NMJ95" s="499"/>
      <c r="NMK95" s="499"/>
      <c r="NML95" s="499"/>
      <c r="NMM95" s="499"/>
      <c r="NMN95" s="499"/>
      <c r="NMO95" s="499"/>
      <c r="NMP95" s="499"/>
      <c r="NMQ95" s="499"/>
      <c r="NMR95" s="499"/>
      <c r="NMS95" s="499"/>
      <c r="NMT95" s="499"/>
      <c r="NMU95" s="499"/>
      <c r="NMV95" s="499"/>
      <c r="NMW95" s="499"/>
      <c r="NMX95" s="499"/>
      <c r="NMY95" s="499"/>
      <c r="NMZ95" s="499"/>
      <c r="NNA95" s="499"/>
      <c r="NNB95" s="499"/>
      <c r="NNC95" s="499"/>
      <c r="NND95" s="499"/>
      <c r="NNE95" s="499"/>
      <c r="NNF95" s="499"/>
      <c r="NNG95" s="499"/>
      <c r="NNH95" s="499"/>
      <c r="NNI95" s="499"/>
      <c r="NNJ95" s="499"/>
      <c r="NNK95" s="499"/>
      <c r="NNL95" s="499"/>
      <c r="NNM95" s="499"/>
      <c r="NNN95" s="499"/>
      <c r="NNO95" s="499"/>
      <c r="NNP95" s="499"/>
      <c r="NNQ95" s="499"/>
      <c r="NNR95" s="499"/>
      <c r="NNS95" s="499"/>
      <c r="NNT95" s="499"/>
      <c r="NNU95" s="499"/>
      <c r="NNV95" s="499"/>
      <c r="NNW95" s="499"/>
      <c r="NNX95" s="499"/>
      <c r="NNY95" s="499"/>
      <c r="NNZ95" s="499"/>
      <c r="NOA95" s="499"/>
      <c r="NOB95" s="499"/>
      <c r="NOC95" s="499"/>
      <c r="NOD95" s="499"/>
      <c r="NOE95" s="499"/>
      <c r="NOF95" s="499"/>
      <c r="NOG95" s="499"/>
      <c r="NOH95" s="499"/>
      <c r="NOI95" s="499"/>
      <c r="NOJ95" s="499"/>
      <c r="NOK95" s="499"/>
      <c r="NOL95" s="499"/>
      <c r="NOM95" s="499"/>
      <c r="NON95" s="499"/>
      <c r="NOO95" s="499"/>
      <c r="NOP95" s="499"/>
      <c r="NOQ95" s="499"/>
      <c r="NOR95" s="499"/>
      <c r="NOS95" s="499"/>
      <c r="NOT95" s="499"/>
      <c r="NOU95" s="499"/>
      <c r="NOV95" s="499"/>
      <c r="NOW95" s="499"/>
      <c r="NOX95" s="499"/>
      <c r="NOY95" s="499"/>
      <c r="NOZ95" s="499"/>
      <c r="NPA95" s="499"/>
      <c r="NPB95" s="499"/>
      <c r="NPC95" s="499"/>
      <c r="NPD95" s="499"/>
      <c r="NPE95" s="499"/>
      <c r="NPF95" s="499"/>
      <c r="NPG95" s="499"/>
      <c r="NPH95" s="499"/>
      <c r="NPI95" s="499"/>
      <c r="NPJ95" s="499"/>
      <c r="NPK95" s="499"/>
      <c r="NPL95" s="499"/>
      <c r="NPM95" s="499"/>
      <c r="NPN95" s="499"/>
      <c r="NPO95" s="499"/>
      <c r="NPP95" s="499"/>
      <c r="NPQ95" s="499"/>
      <c r="NPR95" s="499"/>
      <c r="NPS95" s="499"/>
      <c r="NPT95" s="499"/>
      <c r="NPU95" s="499"/>
      <c r="NPV95" s="499"/>
      <c r="NPW95" s="499"/>
      <c r="NPX95" s="499"/>
      <c r="NPY95" s="499"/>
      <c r="NPZ95" s="499"/>
      <c r="NQA95" s="499"/>
      <c r="NQB95" s="499"/>
      <c r="NQC95" s="499"/>
      <c r="NQD95" s="499"/>
      <c r="NQE95" s="499"/>
      <c r="NQF95" s="499"/>
      <c r="NQG95" s="499"/>
      <c r="NQH95" s="499"/>
      <c r="NQI95" s="499"/>
      <c r="NQJ95" s="499"/>
      <c r="NQK95" s="499"/>
      <c r="NQL95" s="499"/>
      <c r="NQM95" s="499"/>
      <c r="NQN95" s="499"/>
      <c r="NQO95" s="499"/>
      <c r="NQP95" s="499"/>
      <c r="NQQ95" s="499"/>
      <c r="NQR95" s="499"/>
      <c r="NQS95" s="499"/>
      <c r="NQT95" s="499"/>
      <c r="NQU95" s="499"/>
      <c r="NQV95" s="499"/>
      <c r="NQW95" s="499"/>
      <c r="NQX95" s="499"/>
      <c r="NQY95" s="499"/>
      <c r="NQZ95" s="499"/>
      <c r="NRA95" s="499"/>
      <c r="NRB95" s="499"/>
      <c r="NRC95" s="499"/>
      <c r="NRD95" s="499"/>
      <c r="NRE95" s="499"/>
      <c r="NRF95" s="499"/>
      <c r="NRG95" s="499"/>
      <c r="NRH95" s="499"/>
      <c r="NRI95" s="499"/>
      <c r="NRJ95" s="499"/>
      <c r="NRK95" s="499"/>
      <c r="NRL95" s="499"/>
      <c r="NRM95" s="499"/>
      <c r="NRN95" s="499"/>
      <c r="NRO95" s="499"/>
      <c r="NRP95" s="499"/>
      <c r="NRQ95" s="499"/>
      <c r="NRR95" s="499"/>
      <c r="NRS95" s="499"/>
      <c r="NRT95" s="499"/>
      <c r="NRU95" s="499"/>
      <c r="NRV95" s="499"/>
      <c r="NRW95" s="499"/>
      <c r="NRX95" s="499"/>
      <c r="NRY95" s="499"/>
      <c r="NRZ95" s="499"/>
      <c r="NSA95" s="499"/>
      <c r="NSB95" s="499"/>
      <c r="NSC95" s="499"/>
      <c r="NSD95" s="499"/>
      <c r="NSE95" s="499"/>
      <c r="NSF95" s="499"/>
      <c r="NSG95" s="499"/>
      <c r="NSH95" s="499"/>
      <c r="NSI95" s="499"/>
      <c r="NSJ95" s="499"/>
      <c r="NSK95" s="499"/>
      <c r="NSL95" s="499"/>
      <c r="NSM95" s="499"/>
      <c r="NSN95" s="499"/>
      <c r="NSO95" s="499"/>
      <c r="NSP95" s="499"/>
      <c r="NSQ95" s="499"/>
      <c r="NSR95" s="499"/>
      <c r="NSS95" s="499"/>
      <c r="NST95" s="499"/>
      <c r="NSU95" s="499"/>
      <c r="NSV95" s="499"/>
      <c r="NSW95" s="499"/>
      <c r="NSX95" s="499"/>
      <c r="NSY95" s="499"/>
      <c r="NSZ95" s="499"/>
      <c r="NTA95" s="499"/>
      <c r="NTB95" s="499"/>
      <c r="NTC95" s="499"/>
      <c r="NTD95" s="499"/>
      <c r="NTE95" s="499"/>
      <c r="NTF95" s="499"/>
      <c r="NTG95" s="499"/>
      <c r="NTH95" s="499"/>
      <c r="NTI95" s="499"/>
      <c r="NTJ95" s="499"/>
      <c r="NTK95" s="499"/>
      <c r="NTL95" s="499"/>
      <c r="NTM95" s="499"/>
      <c r="NTN95" s="499"/>
      <c r="NTO95" s="499"/>
      <c r="NTP95" s="499"/>
      <c r="NTQ95" s="499"/>
      <c r="NTR95" s="499"/>
      <c r="NTS95" s="499"/>
      <c r="NTT95" s="499"/>
      <c r="NTU95" s="499"/>
      <c r="NTV95" s="499"/>
      <c r="NTW95" s="499"/>
      <c r="NTX95" s="499"/>
      <c r="NTY95" s="499"/>
      <c r="NTZ95" s="499"/>
      <c r="NUA95" s="499"/>
      <c r="NUB95" s="499"/>
      <c r="NUC95" s="499"/>
      <c r="NUD95" s="499"/>
      <c r="NUE95" s="499"/>
      <c r="NUF95" s="499"/>
      <c r="NUG95" s="499"/>
      <c r="NUH95" s="499"/>
      <c r="NUI95" s="499"/>
      <c r="NUJ95" s="499"/>
      <c r="NUK95" s="499"/>
      <c r="NUL95" s="499"/>
      <c r="NUM95" s="499"/>
      <c r="NUN95" s="499"/>
      <c r="NUO95" s="499"/>
      <c r="NUP95" s="499"/>
      <c r="NUQ95" s="499"/>
      <c r="NUR95" s="499"/>
      <c r="NUS95" s="499"/>
      <c r="NUT95" s="499"/>
      <c r="NUU95" s="499"/>
      <c r="NUV95" s="499"/>
      <c r="NUW95" s="499"/>
      <c r="NUX95" s="499"/>
      <c r="NUY95" s="499"/>
      <c r="NUZ95" s="499"/>
      <c r="NVA95" s="499"/>
      <c r="NVB95" s="499"/>
      <c r="NVC95" s="499"/>
      <c r="NVD95" s="499"/>
      <c r="NVE95" s="499"/>
      <c r="NVF95" s="499"/>
      <c r="NVG95" s="499"/>
      <c r="NVH95" s="499"/>
      <c r="NVI95" s="499"/>
      <c r="NVJ95" s="499"/>
      <c r="NVK95" s="499"/>
      <c r="NVL95" s="499"/>
      <c r="NVM95" s="499"/>
      <c r="NVN95" s="499"/>
      <c r="NVO95" s="499"/>
      <c r="NVP95" s="499"/>
      <c r="NVQ95" s="499"/>
      <c r="NVR95" s="499"/>
      <c r="NVS95" s="499"/>
      <c r="NVT95" s="499"/>
      <c r="NVU95" s="499"/>
      <c r="NVV95" s="499"/>
      <c r="NVW95" s="499"/>
      <c r="NVX95" s="499"/>
      <c r="NVY95" s="499"/>
      <c r="NVZ95" s="499"/>
      <c r="NWA95" s="499"/>
      <c r="NWB95" s="499"/>
      <c r="NWC95" s="499"/>
      <c r="NWD95" s="499"/>
      <c r="NWE95" s="499"/>
      <c r="NWF95" s="499"/>
      <c r="NWG95" s="499"/>
      <c r="NWH95" s="499"/>
      <c r="NWI95" s="499"/>
      <c r="NWJ95" s="499"/>
      <c r="NWK95" s="499"/>
      <c r="NWL95" s="499"/>
      <c r="NWM95" s="499"/>
      <c r="NWN95" s="499"/>
      <c r="NWO95" s="499"/>
      <c r="NWP95" s="499"/>
      <c r="NWQ95" s="499"/>
      <c r="NWR95" s="499"/>
      <c r="NWS95" s="499"/>
      <c r="NWT95" s="499"/>
      <c r="NWU95" s="499"/>
      <c r="NWV95" s="499"/>
      <c r="NWW95" s="499"/>
      <c r="NWX95" s="499"/>
      <c r="NWY95" s="499"/>
      <c r="NWZ95" s="499"/>
      <c r="NXA95" s="499"/>
      <c r="NXB95" s="499"/>
      <c r="NXC95" s="499"/>
      <c r="NXD95" s="499"/>
      <c r="NXE95" s="499"/>
      <c r="NXF95" s="499"/>
      <c r="NXG95" s="499"/>
      <c r="NXH95" s="499"/>
      <c r="NXI95" s="499"/>
      <c r="NXJ95" s="499"/>
      <c r="NXK95" s="499"/>
      <c r="NXL95" s="499"/>
      <c r="NXM95" s="499"/>
      <c r="NXN95" s="499"/>
      <c r="NXO95" s="499"/>
      <c r="NXP95" s="499"/>
      <c r="NXQ95" s="499"/>
      <c r="NXR95" s="499"/>
      <c r="NXS95" s="499"/>
      <c r="NXT95" s="499"/>
      <c r="NXU95" s="499"/>
      <c r="NXV95" s="499"/>
      <c r="NXW95" s="499"/>
      <c r="NXX95" s="499"/>
      <c r="NXY95" s="499"/>
      <c r="NXZ95" s="499"/>
      <c r="NYA95" s="499"/>
      <c r="NYB95" s="499"/>
      <c r="NYC95" s="499"/>
      <c r="NYD95" s="499"/>
      <c r="NYE95" s="499"/>
      <c r="NYF95" s="499"/>
      <c r="NYG95" s="499"/>
      <c r="NYH95" s="499"/>
      <c r="NYI95" s="499"/>
      <c r="NYJ95" s="499"/>
      <c r="NYK95" s="499"/>
      <c r="NYL95" s="499"/>
      <c r="NYM95" s="499"/>
      <c r="NYN95" s="499"/>
      <c r="NYO95" s="499"/>
      <c r="NYP95" s="499"/>
      <c r="NYQ95" s="499"/>
      <c r="NYR95" s="499"/>
      <c r="NYS95" s="499"/>
      <c r="NYT95" s="499"/>
      <c r="NYU95" s="499"/>
      <c r="NYV95" s="499"/>
      <c r="NYW95" s="499"/>
      <c r="NYX95" s="499"/>
      <c r="NYY95" s="499"/>
      <c r="NYZ95" s="499"/>
      <c r="NZA95" s="499"/>
      <c r="NZB95" s="499"/>
      <c r="NZC95" s="499"/>
      <c r="NZD95" s="499"/>
      <c r="NZE95" s="499"/>
      <c r="NZF95" s="499"/>
      <c r="NZG95" s="499"/>
      <c r="NZH95" s="499"/>
      <c r="NZI95" s="499"/>
      <c r="NZJ95" s="499"/>
      <c r="NZK95" s="499"/>
      <c r="NZL95" s="499"/>
      <c r="NZM95" s="499"/>
      <c r="NZN95" s="499"/>
      <c r="NZO95" s="499"/>
      <c r="NZP95" s="499"/>
      <c r="NZQ95" s="499"/>
      <c r="NZR95" s="499"/>
      <c r="NZS95" s="499"/>
      <c r="NZT95" s="499"/>
      <c r="NZU95" s="499"/>
      <c r="NZV95" s="499"/>
      <c r="NZW95" s="499"/>
      <c r="NZX95" s="499"/>
      <c r="NZY95" s="499"/>
      <c r="NZZ95" s="499"/>
      <c r="OAA95" s="499"/>
      <c r="OAB95" s="499"/>
      <c r="OAC95" s="499"/>
      <c r="OAD95" s="499"/>
      <c r="OAE95" s="499"/>
      <c r="OAF95" s="499"/>
      <c r="OAG95" s="499"/>
      <c r="OAH95" s="499"/>
      <c r="OAI95" s="499"/>
      <c r="OAJ95" s="499"/>
      <c r="OAK95" s="499"/>
      <c r="OAL95" s="499"/>
      <c r="OAM95" s="499"/>
      <c r="OAN95" s="499"/>
      <c r="OAO95" s="499"/>
      <c r="OAP95" s="499"/>
      <c r="OAQ95" s="499"/>
      <c r="OAR95" s="499"/>
      <c r="OAS95" s="499"/>
      <c r="OAT95" s="499"/>
      <c r="OAU95" s="499"/>
      <c r="OAV95" s="499"/>
      <c r="OAW95" s="499"/>
      <c r="OAX95" s="499"/>
      <c r="OAY95" s="499"/>
      <c r="OAZ95" s="499"/>
      <c r="OBA95" s="499"/>
      <c r="OBB95" s="499"/>
      <c r="OBC95" s="499"/>
      <c r="OBD95" s="499"/>
      <c r="OBE95" s="499"/>
      <c r="OBF95" s="499"/>
      <c r="OBG95" s="499"/>
      <c r="OBH95" s="499"/>
      <c r="OBI95" s="499"/>
      <c r="OBJ95" s="499"/>
      <c r="OBK95" s="499"/>
      <c r="OBL95" s="499"/>
      <c r="OBM95" s="499"/>
      <c r="OBN95" s="499"/>
      <c r="OBO95" s="499"/>
      <c r="OBP95" s="499"/>
      <c r="OBQ95" s="499"/>
      <c r="OBR95" s="499"/>
      <c r="OBS95" s="499"/>
      <c r="OBT95" s="499"/>
      <c r="OBU95" s="499"/>
      <c r="OBV95" s="499"/>
      <c r="OBW95" s="499"/>
      <c r="OBX95" s="499"/>
      <c r="OBY95" s="499"/>
      <c r="OBZ95" s="499"/>
      <c r="OCA95" s="499"/>
      <c r="OCB95" s="499"/>
      <c r="OCC95" s="499"/>
      <c r="OCD95" s="499"/>
      <c r="OCE95" s="499"/>
      <c r="OCF95" s="499"/>
      <c r="OCG95" s="499"/>
      <c r="OCH95" s="499"/>
      <c r="OCI95" s="499"/>
      <c r="OCJ95" s="499"/>
      <c r="OCK95" s="499"/>
      <c r="OCL95" s="499"/>
      <c r="OCM95" s="499"/>
      <c r="OCN95" s="499"/>
      <c r="OCO95" s="499"/>
      <c r="OCP95" s="499"/>
      <c r="OCQ95" s="499"/>
      <c r="OCR95" s="499"/>
      <c r="OCS95" s="499"/>
      <c r="OCT95" s="499"/>
      <c r="OCU95" s="499"/>
      <c r="OCV95" s="499"/>
      <c r="OCW95" s="499"/>
      <c r="OCX95" s="499"/>
      <c r="OCY95" s="499"/>
      <c r="OCZ95" s="499"/>
      <c r="ODA95" s="499"/>
      <c r="ODB95" s="499"/>
      <c r="ODC95" s="499"/>
      <c r="ODD95" s="499"/>
      <c r="ODE95" s="499"/>
      <c r="ODF95" s="499"/>
      <c r="ODG95" s="499"/>
      <c r="ODH95" s="499"/>
      <c r="ODI95" s="499"/>
      <c r="ODJ95" s="499"/>
      <c r="ODK95" s="499"/>
      <c r="ODL95" s="499"/>
      <c r="ODM95" s="499"/>
      <c r="ODN95" s="499"/>
      <c r="ODO95" s="499"/>
      <c r="ODP95" s="499"/>
      <c r="ODQ95" s="499"/>
      <c r="ODR95" s="499"/>
      <c r="ODS95" s="499"/>
      <c r="ODT95" s="499"/>
      <c r="ODU95" s="499"/>
      <c r="ODV95" s="499"/>
      <c r="ODW95" s="499"/>
      <c r="ODX95" s="499"/>
      <c r="ODY95" s="499"/>
      <c r="ODZ95" s="499"/>
      <c r="OEA95" s="499"/>
      <c r="OEB95" s="499"/>
      <c r="OEC95" s="499"/>
      <c r="OED95" s="499"/>
      <c r="OEE95" s="499"/>
      <c r="OEF95" s="499"/>
      <c r="OEG95" s="499"/>
      <c r="OEH95" s="499"/>
      <c r="OEI95" s="499"/>
      <c r="OEJ95" s="499"/>
      <c r="OEK95" s="499"/>
      <c r="OEL95" s="499"/>
      <c r="OEM95" s="499"/>
      <c r="OEN95" s="499"/>
      <c r="OEO95" s="499"/>
      <c r="OEP95" s="499"/>
      <c r="OEQ95" s="499"/>
      <c r="OER95" s="499"/>
      <c r="OES95" s="499"/>
      <c r="OET95" s="499"/>
      <c r="OEU95" s="499"/>
      <c r="OEV95" s="499"/>
      <c r="OEW95" s="499"/>
      <c r="OEX95" s="499"/>
      <c r="OEY95" s="499"/>
      <c r="OEZ95" s="499"/>
      <c r="OFA95" s="499"/>
      <c r="OFB95" s="499"/>
      <c r="OFC95" s="499"/>
      <c r="OFD95" s="499"/>
      <c r="OFE95" s="499"/>
      <c r="OFF95" s="499"/>
      <c r="OFG95" s="499"/>
      <c r="OFH95" s="499"/>
      <c r="OFI95" s="499"/>
      <c r="OFJ95" s="499"/>
      <c r="OFK95" s="499"/>
      <c r="OFL95" s="499"/>
      <c r="OFM95" s="499"/>
      <c r="OFN95" s="499"/>
      <c r="OFO95" s="499"/>
      <c r="OFP95" s="499"/>
      <c r="OFQ95" s="499"/>
      <c r="OFR95" s="499"/>
      <c r="OFS95" s="499"/>
      <c r="OFT95" s="499"/>
      <c r="OFU95" s="499"/>
      <c r="OFV95" s="499"/>
      <c r="OFW95" s="499"/>
      <c r="OFX95" s="499"/>
      <c r="OFY95" s="499"/>
      <c r="OFZ95" s="499"/>
      <c r="OGA95" s="499"/>
      <c r="OGB95" s="499"/>
      <c r="OGC95" s="499"/>
      <c r="OGD95" s="499"/>
      <c r="OGE95" s="499"/>
      <c r="OGF95" s="499"/>
      <c r="OGG95" s="499"/>
      <c r="OGH95" s="499"/>
      <c r="OGI95" s="499"/>
      <c r="OGJ95" s="499"/>
      <c r="OGK95" s="499"/>
      <c r="OGL95" s="499"/>
      <c r="OGM95" s="499"/>
      <c r="OGN95" s="499"/>
      <c r="OGO95" s="499"/>
      <c r="OGP95" s="499"/>
      <c r="OGQ95" s="499"/>
      <c r="OGR95" s="499"/>
      <c r="OGS95" s="499"/>
      <c r="OGT95" s="499"/>
      <c r="OGU95" s="499"/>
      <c r="OGV95" s="499"/>
      <c r="OGW95" s="499"/>
      <c r="OGX95" s="499"/>
      <c r="OGY95" s="499"/>
      <c r="OGZ95" s="499"/>
      <c r="OHA95" s="499"/>
      <c r="OHB95" s="499"/>
      <c r="OHC95" s="499"/>
      <c r="OHD95" s="499"/>
      <c r="OHE95" s="499"/>
      <c r="OHF95" s="499"/>
      <c r="OHG95" s="499"/>
      <c r="OHH95" s="499"/>
      <c r="OHI95" s="499"/>
      <c r="OHJ95" s="499"/>
      <c r="OHK95" s="499"/>
      <c r="OHL95" s="499"/>
      <c r="OHM95" s="499"/>
      <c r="OHN95" s="499"/>
      <c r="OHO95" s="499"/>
      <c r="OHP95" s="499"/>
      <c r="OHQ95" s="499"/>
      <c r="OHR95" s="499"/>
      <c r="OHS95" s="499"/>
      <c r="OHT95" s="499"/>
      <c r="OHU95" s="499"/>
      <c r="OHV95" s="499"/>
      <c r="OHW95" s="499"/>
      <c r="OHX95" s="499"/>
      <c r="OHY95" s="499"/>
      <c r="OHZ95" s="499"/>
      <c r="OIA95" s="499"/>
      <c r="OIB95" s="499"/>
      <c r="OIC95" s="499"/>
      <c r="OID95" s="499"/>
      <c r="OIE95" s="499"/>
      <c r="OIF95" s="499"/>
      <c r="OIG95" s="499"/>
      <c r="OIH95" s="499"/>
      <c r="OII95" s="499"/>
      <c r="OIJ95" s="499"/>
      <c r="OIK95" s="499"/>
      <c r="OIL95" s="499"/>
      <c r="OIM95" s="499"/>
      <c r="OIN95" s="499"/>
      <c r="OIO95" s="499"/>
      <c r="OIP95" s="499"/>
      <c r="OIQ95" s="499"/>
      <c r="OIR95" s="499"/>
      <c r="OIS95" s="499"/>
      <c r="OIT95" s="499"/>
      <c r="OIU95" s="499"/>
      <c r="OIV95" s="499"/>
      <c r="OIW95" s="499"/>
      <c r="OIX95" s="499"/>
      <c r="OIY95" s="499"/>
      <c r="OIZ95" s="499"/>
      <c r="OJA95" s="499"/>
      <c r="OJB95" s="499"/>
      <c r="OJC95" s="499"/>
      <c r="OJD95" s="499"/>
      <c r="OJE95" s="499"/>
      <c r="OJF95" s="499"/>
      <c r="OJG95" s="499"/>
      <c r="OJH95" s="499"/>
      <c r="OJI95" s="499"/>
      <c r="OJJ95" s="499"/>
      <c r="OJK95" s="499"/>
      <c r="OJL95" s="499"/>
      <c r="OJM95" s="499"/>
      <c r="OJN95" s="499"/>
      <c r="OJO95" s="499"/>
      <c r="OJP95" s="499"/>
      <c r="OJQ95" s="499"/>
      <c r="OJR95" s="499"/>
      <c r="OJS95" s="499"/>
      <c r="OJT95" s="499"/>
      <c r="OJU95" s="499"/>
      <c r="OJV95" s="499"/>
      <c r="OJW95" s="499"/>
      <c r="OJX95" s="499"/>
      <c r="OJY95" s="499"/>
      <c r="OJZ95" s="499"/>
      <c r="OKA95" s="499"/>
      <c r="OKB95" s="499"/>
      <c r="OKC95" s="499"/>
      <c r="OKD95" s="499"/>
      <c r="OKE95" s="499"/>
      <c r="OKF95" s="499"/>
      <c r="OKG95" s="499"/>
      <c r="OKH95" s="499"/>
      <c r="OKI95" s="499"/>
      <c r="OKJ95" s="499"/>
      <c r="OKK95" s="499"/>
      <c r="OKL95" s="499"/>
      <c r="OKM95" s="499"/>
      <c r="OKN95" s="499"/>
      <c r="OKO95" s="499"/>
      <c r="OKP95" s="499"/>
      <c r="OKQ95" s="499"/>
      <c r="OKR95" s="499"/>
      <c r="OKS95" s="499"/>
      <c r="OKT95" s="499"/>
      <c r="OKU95" s="499"/>
      <c r="OKV95" s="499"/>
      <c r="OKW95" s="499"/>
      <c r="OKX95" s="499"/>
      <c r="OKY95" s="499"/>
      <c r="OKZ95" s="499"/>
      <c r="OLA95" s="499"/>
      <c r="OLB95" s="499"/>
      <c r="OLC95" s="499"/>
      <c r="OLD95" s="499"/>
      <c r="OLE95" s="499"/>
      <c r="OLF95" s="499"/>
      <c r="OLG95" s="499"/>
      <c r="OLH95" s="499"/>
      <c r="OLI95" s="499"/>
      <c r="OLJ95" s="499"/>
      <c r="OLK95" s="499"/>
      <c r="OLL95" s="499"/>
      <c r="OLM95" s="499"/>
      <c r="OLN95" s="499"/>
      <c r="OLO95" s="499"/>
      <c r="OLP95" s="499"/>
      <c r="OLQ95" s="499"/>
      <c r="OLR95" s="499"/>
      <c r="OLS95" s="499"/>
      <c r="OLT95" s="499"/>
      <c r="OLU95" s="499"/>
      <c r="OLV95" s="499"/>
      <c r="OLW95" s="499"/>
      <c r="OLX95" s="499"/>
      <c r="OLY95" s="499"/>
      <c r="OLZ95" s="499"/>
      <c r="OMA95" s="499"/>
      <c r="OMB95" s="499"/>
      <c r="OMC95" s="499"/>
      <c r="OMD95" s="499"/>
      <c r="OME95" s="499"/>
      <c r="OMF95" s="499"/>
      <c r="OMG95" s="499"/>
      <c r="OMH95" s="499"/>
      <c r="OMI95" s="499"/>
      <c r="OMJ95" s="499"/>
      <c r="OMK95" s="499"/>
      <c r="OML95" s="499"/>
      <c r="OMM95" s="499"/>
      <c r="OMN95" s="499"/>
      <c r="OMO95" s="499"/>
      <c r="OMP95" s="499"/>
      <c r="OMQ95" s="499"/>
      <c r="OMR95" s="499"/>
      <c r="OMS95" s="499"/>
      <c r="OMT95" s="499"/>
      <c r="OMU95" s="499"/>
      <c r="OMV95" s="499"/>
      <c r="OMW95" s="499"/>
      <c r="OMX95" s="499"/>
      <c r="OMY95" s="499"/>
      <c r="OMZ95" s="499"/>
      <c r="ONA95" s="499"/>
      <c r="ONB95" s="499"/>
      <c r="ONC95" s="499"/>
      <c r="OND95" s="499"/>
      <c r="ONE95" s="499"/>
      <c r="ONF95" s="499"/>
      <c r="ONG95" s="499"/>
      <c r="ONH95" s="499"/>
      <c r="ONI95" s="499"/>
      <c r="ONJ95" s="499"/>
      <c r="ONK95" s="499"/>
      <c r="ONL95" s="499"/>
      <c r="ONM95" s="499"/>
      <c r="ONN95" s="499"/>
      <c r="ONO95" s="499"/>
      <c r="ONP95" s="499"/>
      <c r="ONQ95" s="499"/>
      <c r="ONR95" s="499"/>
      <c r="ONS95" s="499"/>
      <c r="ONT95" s="499"/>
      <c r="ONU95" s="499"/>
      <c r="ONV95" s="499"/>
      <c r="ONW95" s="499"/>
      <c r="ONX95" s="499"/>
      <c r="ONY95" s="499"/>
      <c r="ONZ95" s="499"/>
      <c r="OOA95" s="499"/>
      <c r="OOB95" s="499"/>
      <c r="OOC95" s="499"/>
      <c r="OOD95" s="499"/>
      <c r="OOE95" s="499"/>
      <c r="OOF95" s="499"/>
      <c r="OOG95" s="499"/>
      <c r="OOH95" s="499"/>
      <c r="OOI95" s="499"/>
      <c r="OOJ95" s="499"/>
      <c r="OOK95" s="499"/>
      <c r="OOL95" s="499"/>
      <c r="OOM95" s="499"/>
      <c r="OON95" s="499"/>
      <c r="OOO95" s="499"/>
      <c r="OOP95" s="499"/>
      <c r="OOQ95" s="499"/>
      <c r="OOR95" s="499"/>
      <c r="OOS95" s="499"/>
      <c r="OOT95" s="499"/>
      <c r="OOU95" s="499"/>
      <c r="OOV95" s="499"/>
      <c r="OOW95" s="499"/>
      <c r="OOX95" s="499"/>
      <c r="OOY95" s="499"/>
      <c r="OOZ95" s="499"/>
      <c r="OPA95" s="499"/>
      <c r="OPB95" s="499"/>
      <c r="OPC95" s="499"/>
      <c r="OPD95" s="499"/>
      <c r="OPE95" s="499"/>
      <c r="OPF95" s="499"/>
      <c r="OPG95" s="499"/>
      <c r="OPH95" s="499"/>
      <c r="OPI95" s="499"/>
      <c r="OPJ95" s="499"/>
      <c r="OPK95" s="499"/>
      <c r="OPL95" s="499"/>
      <c r="OPM95" s="499"/>
      <c r="OPN95" s="499"/>
      <c r="OPO95" s="499"/>
      <c r="OPP95" s="499"/>
      <c r="OPQ95" s="499"/>
      <c r="OPR95" s="499"/>
      <c r="OPS95" s="499"/>
      <c r="OPT95" s="499"/>
      <c r="OPU95" s="499"/>
      <c r="OPV95" s="499"/>
      <c r="OPW95" s="499"/>
      <c r="OPX95" s="499"/>
      <c r="OPY95" s="499"/>
      <c r="OPZ95" s="499"/>
      <c r="OQA95" s="499"/>
      <c r="OQB95" s="499"/>
      <c r="OQC95" s="499"/>
      <c r="OQD95" s="499"/>
      <c r="OQE95" s="499"/>
      <c r="OQF95" s="499"/>
      <c r="OQG95" s="499"/>
      <c r="OQH95" s="499"/>
      <c r="OQI95" s="499"/>
      <c r="OQJ95" s="499"/>
      <c r="OQK95" s="499"/>
      <c r="OQL95" s="499"/>
      <c r="OQM95" s="499"/>
      <c r="OQN95" s="499"/>
      <c r="OQO95" s="499"/>
      <c r="OQP95" s="499"/>
      <c r="OQQ95" s="499"/>
      <c r="OQR95" s="499"/>
      <c r="OQS95" s="499"/>
      <c r="OQT95" s="499"/>
      <c r="OQU95" s="499"/>
      <c r="OQV95" s="499"/>
      <c r="OQW95" s="499"/>
      <c r="OQX95" s="499"/>
      <c r="OQY95" s="499"/>
      <c r="OQZ95" s="499"/>
      <c r="ORA95" s="499"/>
      <c r="ORB95" s="499"/>
      <c r="ORC95" s="499"/>
      <c r="ORD95" s="499"/>
      <c r="ORE95" s="499"/>
      <c r="ORF95" s="499"/>
      <c r="ORG95" s="499"/>
      <c r="ORH95" s="499"/>
      <c r="ORI95" s="499"/>
      <c r="ORJ95" s="499"/>
      <c r="ORK95" s="499"/>
      <c r="ORL95" s="499"/>
      <c r="ORM95" s="499"/>
      <c r="ORN95" s="499"/>
      <c r="ORO95" s="499"/>
      <c r="ORP95" s="499"/>
      <c r="ORQ95" s="499"/>
      <c r="ORR95" s="499"/>
      <c r="ORS95" s="499"/>
      <c r="ORT95" s="499"/>
      <c r="ORU95" s="499"/>
      <c r="ORV95" s="499"/>
      <c r="ORW95" s="499"/>
      <c r="ORX95" s="499"/>
      <c r="ORY95" s="499"/>
      <c r="ORZ95" s="499"/>
      <c r="OSA95" s="499"/>
      <c r="OSB95" s="499"/>
      <c r="OSC95" s="499"/>
      <c r="OSD95" s="499"/>
      <c r="OSE95" s="499"/>
      <c r="OSF95" s="499"/>
      <c r="OSG95" s="499"/>
      <c r="OSH95" s="499"/>
      <c r="OSI95" s="499"/>
      <c r="OSJ95" s="499"/>
      <c r="OSK95" s="499"/>
      <c r="OSL95" s="499"/>
      <c r="OSM95" s="499"/>
      <c r="OSN95" s="499"/>
      <c r="OSO95" s="499"/>
      <c r="OSP95" s="499"/>
      <c r="OSQ95" s="499"/>
      <c r="OSR95" s="499"/>
      <c r="OSS95" s="499"/>
      <c r="OST95" s="499"/>
      <c r="OSU95" s="499"/>
      <c r="OSV95" s="499"/>
      <c r="OSW95" s="499"/>
      <c r="OSX95" s="499"/>
      <c r="OSY95" s="499"/>
      <c r="OSZ95" s="499"/>
      <c r="OTA95" s="499"/>
      <c r="OTB95" s="499"/>
      <c r="OTC95" s="499"/>
      <c r="OTD95" s="499"/>
      <c r="OTE95" s="499"/>
      <c r="OTF95" s="499"/>
      <c r="OTG95" s="499"/>
      <c r="OTH95" s="499"/>
      <c r="OTI95" s="499"/>
      <c r="OTJ95" s="499"/>
      <c r="OTK95" s="499"/>
      <c r="OTL95" s="499"/>
      <c r="OTM95" s="499"/>
      <c r="OTN95" s="499"/>
      <c r="OTO95" s="499"/>
      <c r="OTP95" s="499"/>
      <c r="OTQ95" s="499"/>
      <c r="OTR95" s="499"/>
      <c r="OTS95" s="499"/>
      <c r="OTT95" s="499"/>
      <c r="OTU95" s="499"/>
      <c r="OTV95" s="499"/>
      <c r="OTW95" s="499"/>
      <c r="OTX95" s="499"/>
      <c r="OTY95" s="499"/>
      <c r="OTZ95" s="499"/>
      <c r="OUA95" s="499"/>
      <c r="OUB95" s="499"/>
      <c r="OUC95" s="499"/>
      <c r="OUD95" s="499"/>
      <c r="OUE95" s="499"/>
      <c r="OUF95" s="499"/>
      <c r="OUG95" s="499"/>
      <c r="OUH95" s="499"/>
      <c r="OUI95" s="499"/>
      <c r="OUJ95" s="499"/>
      <c r="OUK95" s="499"/>
      <c r="OUL95" s="499"/>
      <c r="OUM95" s="499"/>
      <c r="OUN95" s="499"/>
      <c r="OUO95" s="499"/>
      <c r="OUP95" s="499"/>
      <c r="OUQ95" s="499"/>
      <c r="OUR95" s="499"/>
      <c r="OUS95" s="499"/>
      <c r="OUT95" s="499"/>
      <c r="OUU95" s="499"/>
      <c r="OUV95" s="499"/>
      <c r="OUW95" s="499"/>
      <c r="OUX95" s="499"/>
      <c r="OUY95" s="499"/>
      <c r="OUZ95" s="499"/>
      <c r="OVA95" s="499"/>
      <c r="OVB95" s="499"/>
      <c r="OVC95" s="499"/>
      <c r="OVD95" s="499"/>
      <c r="OVE95" s="499"/>
      <c r="OVF95" s="499"/>
      <c r="OVG95" s="499"/>
      <c r="OVH95" s="499"/>
      <c r="OVI95" s="499"/>
      <c r="OVJ95" s="499"/>
      <c r="OVK95" s="499"/>
      <c r="OVL95" s="499"/>
      <c r="OVM95" s="499"/>
      <c r="OVN95" s="499"/>
      <c r="OVO95" s="499"/>
      <c r="OVP95" s="499"/>
      <c r="OVQ95" s="499"/>
      <c r="OVR95" s="499"/>
      <c r="OVS95" s="499"/>
      <c r="OVT95" s="499"/>
      <c r="OVU95" s="499"/>
      <c r="OVV95" s="499"/>
      <c r="OVW95" s="499"/>
      <c r="OVX95" s="499"/>
      <c r="OVY95" s="499"/>
      <c r="OVZ95" s="499"/>
      <c r="OWA95" s="499"/>
      <c r="OWB95" s="499"/>
      <c r="OWC95" s="499"/>
      <c r="OWD95" s="499"/>
      <c r="OWE95" s="499"/>
      <c r="OWF95" s="499"/>
      <c r="OWG95" s="499"/>
      <c r="OWH95" s="499"/>
      <c r="OWI95" s="499"/>
      <c r="OWJ95" s="499"/>
      <c r="OWK95" s="499"/>
      <c r="OWL95" s="499"/>
      <c r="OWM95" s="499"/>
      <c r="OWN95" s="499"/>
      <c r="OWO95" s="499"/>
      <c r="OWP95" s="499"/>
      <c r="OWQ95" s="499"/>
      <c r="OWR95" s="499"/>
      <c r="OWS95" s="499"/>
      <c r="OWT95" s="499"/>
      <c r="OWU95" s="499"/>
      <c r="OWV95" s="499"/>
      <c r="OWW95" s="499"/>
      <c r="OWX95" s="499"/>
      <c r="OWY95" s="499"/>
      <c r="OWZ95" s="499"/>
      <c r="OXA95" s="499"/>
      <c r="OXB95" s="499"/>
      <c r="OXC95" s="499"/>
      <c r="OXD95" s="499"/>
      <c r="OXE95" s="499"/>
      <c r="OXF95" s="499"/>
      <c r="OXG95" s="499"/>
      <c r="OXH95" s="499"/>
      <c r="OXI95" s="499"/>
      <c r="OXJ95" s="499"/>
      <c r="OXK95" s="499"/>
      <c r="OXL95" s="499"/>
      <c r="OXM95" s="499"/>
      <c r="OXN95" s="499"/>
      <c r="OXO95" s="499"/>
      <c r="OXP95" s="499"/>
      <c r="OXQ95" s="499"/>
      <c r="OXR95" s="499"/>
      <c r="OXS95" s="499"/>
      <c r="OXT95" s="499"/>
      <c r="OXU95" s="499"/>
      <c r="OXV95" s="499"/>
      <c r="OXW95" s="499"/>
      <c r="OXX95" s="499"/>
      <c r="OXY95" s="499"/>
      <c r="OXZ95" s="499"/>
      <c r="OYA95" s="499"/>
      <c r="OYB95" s="499"/>
      <c r="OYC95" s="499"/>
      <c r="OYD95" s="499"/>
      <c r="OYE95" s="499"/>
      <c r="OYF95" s="499"/>
      <c r="OYG95" s="499"/>
      <c r="OYH95" s="499"/>
      <c r="OYI95" s="499"/>
      <c r="OYJ95" s="499"/>
      <c r="OYK95" s="499"/>
      <c r="OYL95" s="499"/>
      <c r="OYM95" s="499"/>
      <c r="OYN95" s="499"/>
      <c r="OYO95" s="499"/>
      <c r="OYP95" s="499"/>
      <c r="OYQ95" s="499"/>
      <c r="OYR95" s="499"/>
      <c r="OYS95" s="499"/>
      <c r="OYT95" s="499"/>
      <c r="OYU95" s="499"/>
      <c r="OYV95" s="499"/>
      <c r="OYW95" s="499"/>
      <c r="OYX95" s="499"/>
      <c r="OYY95" s="499"/>
      <c r="OYZ95" s="499"/>
      <c r="OZA95" s="499"/>
      <c r="OZB95" s="499"/>
      <c r="OZC95" s="499"/>
      <c r="OZD95" s="499"/>
      <c r="OZE95" s="499"/>
      <c r="OZF95" s="499"/>
      <c r="OZG95" s="499"/>
      <c r="OZH95" s="499"/>
      <c r="OZI95" s="499"/>
      <c r="OZJ95" s="499"/>
      <c r="OZK95" s="499"/>
      <c r="OZL95" s="499"/>
      <c r="OZM95" s="499"/>
      <c r="OZN95" s="499"/>
      <c r="OZO95" s="499"/>
      <c r="OZP95" s="499"/>
      <c r="OZQ95" s="499"/>
      <c r="OZR95" s="499"/>
      <c r="OZS95" s="499"/>
      <c r="OZT95" s="499"/>
      <c r="OZU95" s="499"/>
      <c r="OZV95" s="499"/>
      <c r="OZW95" s="499"/>
      <c r="OZX95" s="499"/>
      <c r="OZY95" s="499"/>
      <c r="OZZ95" s="499"/>
      <c r="PAA95" s="499"/>
      <c r="PAB95" s="499"/>
      <c r="PAC95" s="499"/>
      <c r="PAD95" s="499"/>
      <c r="PAE95" s="499"/>
      <c r="PAF95" s="499"/>
      <c r="PAG95" s="499"/>
      <c r="PAH95" s="499"/>
      <c r="PAI95" s="499"/>
      <c r="PAJ95" s="499"/>
      <c r="PAK95" s="499"/>
      <c r="PAL95" s="499"/>
      <c r="PAM95" s="499"/>
      <c r="PAN95" s="499"/>
      <c r="PAO95" s="499"/>
      <c r="PAP95" s="499"/>
      <c r="PAQ95" s="499"/>
      <c r="PAR95" s="499"/>
      <c r="PAS95" s="499"/>
      <c r="PAT95" s="499"/>
      <c r="PAU95" s="499"/>
      <c r="PAV95" s="499"/>
      <c r="PAW95" s="499"/>
      <c r="PAX95" s="499"/>
      <c r="PAY95" s="499"/>
      <c r="PAZ95" s="499"/>
      <c r="PBA95" s="499"/>
      <c r="PBB95" s="499"/>
      <c r="PBC95" s="499"/>
      <c r="PBD95" s="499"/>
      <c r="PBE95" s="499"/>
      <c r="PBF95" s="499"/>
      <c r="PBG95" s="499"/>
      <c r="PBH95" s="499"/>
      <c r="PBI95" s="499"/>
      <c r="PBJ95" s="499"/>
      <c r="PBK95" s="499"/>
      <c r="PBL95" s="499"/>
      <c r="PBM95" s="499"/>
      <c r="PBN95" s="499"/>
      <c r="PBO95" s="499"/>
      <c r="PBP95" s="499"/>
      <c r="PBQ95" s="499"/>
      <c r="PBR95" s="499"/>
      <c r="PBS95" s="499"/>
      <c r="PBT95" s="499"/>
      <c r="PBU95" s="499"/>
      <c r="PBV95" s="499"/>
      <c r="PBW95" s="499"/>
      <c r="PBX95" s="499"/>
      <c r="PBY95" s="499"/>
      <c r="PBZ95" s="499"/>
      <c r="PCA95" s="499"/>
      <c r="PCB95" s="499"/>
      <c r="PCC95" s="499"/>
      <c r="PCD95" s="499"/>
      <c r="PCE95" s="499"/>
      <c r="PCF95" s="499"/>
      <c r="PCG95" s="499"/>
      <c r="PCH95" s="499"/>
      <c r="PCI95" s="499"/>
      <c r="PCJ95" s="499"/>
      <c r="PCK95" s="499"/>
      <c r="PCL95" s="499"/>
      <c r="PCM95" s="499"/>
      <c r="PCN95" s="499"/>
      <c r="PCO95" s="499"/>
      <c r="PCP95" s="499"/>
      <c r="PCQ95" s="499"/>
      <c r="PCR95" s="499"/>
      <c r="PCS95" s="499"/>
      <c r="PCT95" s="499"/>
      <c r="PCU95" s="499"/>
      <c r="PCV95" s="499"/>
      <c r="PCW95" s="499"/>
      <c r="PCX95" s="499"/>
      <c r="PCY95" s="499"/>
      <c r="PCZ95" s="499"/>
      <c r="PDA95" s="499"/>
      <c r="PDB95" s="499"/>
      <c r="PDC95" s="499"/>
      <c r="PDD95" s="499"/>
      <c r="PDE95" s="499"/>
      <c r="PDF95" s="499"/>
      <c r="PDG95" s="499"/>
      <c r="PDH95" s="499"/>
      <c r="PDI95" s="499"/>
      <c r="PDJ95" s="499"/>
      <c r="PDK95" s="499"/>
      <c r="PDL95" s="499"/>
      <c r="PDM95" s="499"/>
      <c r="PDN95" s="499"/>
      <c r="PDO95" s="499"/>
      <c r="PDP95" s="499"/>
      <c r="PDQ95" s="499"/>
      <c r="PDR95" s="499"/>
      <c r="PDS95" s="499"/>
      <c r="PDT95" s="499"/>
      <c r="PDU95" s="499"/>
      <c r="PDV95" s="499"/>
      <c r="PDW95" s="499"/>
      <c r="PDX95" s="499"/>
      <c r="PDY95" s="499"/>
      <c r="PDZ95" s="499"/>
      <c r="PEA95" s="499"/>
      <c r="PEB95" s="499"/>
      <c r="PEC95" s="499"/>
      <c r="PED95" s="499"/>
      <c r="PEE95" s="499"/>
      <c r="PEF95" s="499"/>
      <c r="PEG95" s="499"/>
      <c r="PEH95" s="499"/>
      <c r="PEI95" s="499"/>
      <c r="PEJ95" s="499"/>
      <c r="PEK95" s="499"/>
      <c r="PEL95" s="499"/>
      <c r="PEM95" s="499"/>
      <c r="PEN95" s="499"/>
      <c r="PEO95" s="499"/>
      <c r="PEP95" s="499"/>
      <c r="PEQ95" s="499"/>
      <c r="PER95" s="499"/>
      <c r="PES95" s="499"/>
      <c r="PET95" s="499"/>
      <c r="PEU95" s="499"/>
      <c r="PEV95" s="499"/>
      <c r="PEW95" s="499"/>
      <c r="PEX95" s="499"/>
      <c r="PEY95" s="499"/>
      <c r="PEZ95" s="499"/>
      <c r="PFA95" s="499"/>
      <c r="PFB95" s="499"/>
      <c r="PFC95" s="499"/>
      <c r="PFD95" s="499"/>
      <c r="PFE95" s="499"/>
      <c r="PFF95" s="499"/>
      <c r="PFG95" s="499"/>
      <c r="PFH95" s="499"/>
      <c r="PFI95" s="499"/>
      <c r="PFJ95" s="499"/>
      <c r="PFK95" s="499"/>
      <c r="PFL95" s="499"/>
      <c r="PFM95" s="499"/>
      <c r="PFN95" s="499"/>
      <c r="PFO95" s="499"/>
      <c r="PFP95" s="499"/>
      <c r="PFQ95" s="499"/>
      <c r="PFR95" s="499"/>
      <c r="PFS95" s="499"/>
      <c r="PFT95" s="499"/>
      <c r="PFU95" s="499"/>
      <c r="PFV95" s="499"/>
      <c r="PFW95" s="499"/>
      <c r="PFX95" s="499"/>
      <c r="PFY95" s="499"/>
      <c r="PFZ95" s="499"/>
      <c r="PGA95" s="499"/>
      <c r="PGB95" s="499"/>
      <c r="PGC95" s="499"/>
      <c r="PGD95" s="499"/>
      <c r="PGE95" s="499"/>
      <c r="PGF95" s="499"/>
      <c r="PGG95" s="499"/>
      <c r="PGH95" s="499"/>
      <c r="PGI95" s="499"/>
      <c r="PGJ95" s="499"/>
      <c r="PGK95" s="499"/>
      <c r="PGL95" s="499"/>
      <c r="PGM95" s="499"/>
      <c r="PGN95" s="499"/>
      <c r="PGO95" s="499"/>
      <c r="PGP95" s="499"/>
      <c r="PGQ95" s="499"/>
      <c r="PGR95" s="499"/>
      <c r="PGS95" s="499"/>
      <c r="PGT95" s="499"/>
      <c r="PGU95" s="499"/>
      <c r="PGV95" s="499"/>
      <c r="PGW95" s="499"/>
      <c r="PGX95" s="499"/>
      <c r="PGY95" s="499"/>
      <c r="PGZ95" s="499"/>
      <c r="PHA95" s="499"/>
      <c r="PHB95" s="499"/>
      <c r="PHC95" s="499"/>
      <c r="PHD95" s="499"/>
      <c r="PHE95" s="499"/>
      <c r="PHF95" s="499"/>
      <c r="PHG95" s="499"/>
      <c r="PHH95" s="499"/>
      <c r="PHI95" s="499"/>
      <c r="PHJ95" s="499"/>
      <c r="PHK95" s="499"/>
      <c r="PHL95" s="499"/>
      <c r="PHM95" s="499"/>
      <c r="PHN95" s="499"/>
      <c r="PHO95" s="499"/>
      <c r="PHP95" s="499"/>
      <c r="PHQ95" s="499"/>
      <c r="PHR95" s="499"/>
      <c r="PHS95" s="499"/>
      <c r="PHT95" s="499"/>
      <c r="PHU95" s="499"/>
      <c r="PHV95" s="499"/>
      <c r="PHW95" s="499"/>
      <c r="PHX95" s="499"/>
      <c r="PHY95" s="499"/>
      <c r="PHZ95" s="499"/>
      <c r="PIA95" s="499"/>
      <c r="PIB95" s="499"/>
      <c r="PIC95" s="499"/>
      <c r="PID95" s="499"/>
      <c r="PIE95" s="499"/>
      <c r="PIF95" s="499"/>
      <c r="PIG95" s="499"/>
      <c r="PIH95" s="499"/>
      <c r="PII95" s="499"/>
      <c r="PIJ95" s="499"/>
      <c r="PIK95" s="499"/>
      <c r="PIL95" s="499"/>
      <c r="PIM95" s="499"/>
      <c r="PIN95" s="499"/>
      <c r="PIO95" s="499"/>
      <c r="PIP95" s="499"/>
      <c r="PIQ95" s="499"/>
      <c r="PIR95" s="499"/>
      <c r="PIS95" s="499"/>
      <c r="PIT95" s="499"/>
      <c r="PIU95" s="499"/>
      <c r="PIV95" s="499"/>
      <c r="PIW95" s="499"/>
      <c r="PIX95" s="499"/>
      <c r="PIY95" s="499"/>
      <c r="PIZ95" s="499"/>
      <c r="PJA95" s="499"/>
      <c r="PJB95" s="499"/>
      <c r="PJC95" s="499"/>
      <c r="PJD95" s="499"/>
      <c r="PJE95" s="499"/>
      <c r="PJF95" s="499"/>
      <c r="PJG95" s="499"/>
      <c r="PJH95" s="499"/>
      <c r="PJI95" s="499"/>
      <c r="PJJ95" s="499"/>
      <c r="PJK95" s="499"/>
      <c r="PJL95" s="499"/>
      <c r="PJM95" s="499"/>
      <c r="PJN95" s="499"/>
      <c r="PJO95" s="499"/>
      <c r="PJP95" s="499"/>
      <c r="PJQ95" s="499"/>
      <c r="PJR95" s="499"/>
      <c r="PJS95" s="499"/>
      <c r="PJT95" s="499"/>
      <c r="PJU95" s="499"/>
      <c r="PJV95" s="499"/>
      <c r="PJW95" s="499"/>
      <c r="PJX95" s="499"/>
      <c r="PJY95" s="499"/>
      <c r="PJZ95" s="499"/>
      <c r="PKA95" s="499"/>
      <c r="PKB95" s="499"/>
      <c r="PKC95" s="499"/>
      <c r="PKD95" s="499"/>
      <c r="PKE95" s="499"/>
      <c r="PKF95" s="499"/>
      <c r="PKG95" s="499"/>
      <c r="PKH95" s="499"/>
      <c r="PKI95" s="499"/>
      <c r="PKJ95" s="499"/>
      <c r="PKK95" s="499"/>
      <c r="PKL95" s="499"/>
      <c r="PKM95" s="499"/>
      <c r="PKN95" s="499"/>
      <c r="PKO95" s="499"/>
      <c r="PKP95" s="499"/>
      <c r="PKQ95" s="499"/>
      <c r="PKR95" s="499"/>
      <c r="PKS95" s="499"/>
      <c r="PKT95" s="499"/>
      <c r="PKU95" s="499"/>
      <c r="PKV95" s="499"/>
      <c r="PKW95" s="499"/>
      <c r="PKX95" s="499"/>
      <c r="PKY95" s="499"/>
      <c r="PKZ95" s="499"/>
      <c r="PLA95" s="499"/>
      <c r="PLB95" s="499"/>
      <c r="PLC95" s="499"/>
      <c r="PLD95" s="499"/>
      <c r="PLE95" s="499"/>
      <c r="PLF95" s="499"/>
      <c r="PLG95" s="499"/>
      <c r="PLH95" s="499"/>
      <c r="PLI95" s="499"/>
      <c r="PLJ95" s="499"/>
      <c r="PLK95" s="499"/>
      <c r="PLL95" s="499"/>
      <c r="PLM95" s="499"/>
      <c r="PLN95" s="499"/>
      <c r="PLO95" s="499"/>
      <c r="PLP95" s="499"/>
      <c r="PLQ95" s="499"/>
      <c r="PLR95" s="499"/>
      <c r="PLS95" s="499"/>
      <c r="PLT95" s="499"/>
      <c r="PLU95" s="499"/>
      <c r="PLV95" s="499"/>
      <c r="PLW95" s="499"/>
      <c r="PLX95" s="499"/>
      <c r="PLY95" s="499"/>
      <c r="PLZ95" s="499"/>
      <c r="PMA95" s="499"/>
      <c r="PMB95" s="499"/>
      <c r="PMC95" s="499"/>
      <c r="PMD95" s="499"/>
      <c r="PME95" s="499"/>
      <c r="PMF95" s="499"/>
      <c r="PMG95" s="499"/>
      <c r="PMH95" s="499"/>
      <c r="PMI95" s="499"/>
      <c r="PMJ95" s="499"/>
      <c r="PMK95" s="499"/>
      <c r="PML95" s="499"/>
      <c r="PMM95" s="499"/>
      <c r="PMN95" s="499"/>
      <c r="PMO95" s="499"/>
      <c r="PMP95" s="499"/>
      <c r="PMQ95" s="499"/>
      <c r="PMR95" s="499"/>
      <c r="PMS95" s="499"/>
      <c r="PMT95" s="499"/>
      <c r="PMU95" s="499"/>
      <c r="PMV95" s="499"/>
      <c r="PMW95" s="499"/>
      <c r="PMX95" s="499"/>
      <c r="PMY95" s="499"/>
      <c r="PMZ95" s="499"/>
      <c r="PNA95" s="499"/>
      <c r="PNB95" s="499"/>
      <c r="PNC95" s="499"/>
      <c r="PND95" s="499"/>
      <c r="PNE95" s="499"/>
      <c r="PNF95" s="499"/>
      <c r="PNG95" s="499"/>
      <c r="PNH95" s="499"/>
      <c r="PNI95" s="499"/>
      <c r="PNJ95" s="499"/>
      <c r="PNK95" s="499"/>
      <c r="PNL95" s="499"/>
      <c r="PNM95" s="499"/>
      <c r="PNN95" s="499"/>
      <c r="PNO95" s="499"/>
      <c r="PNP95" s="499"/>
      <c r="PNQ95" s="499"/>
      <c r="PNR95" s="499"/>
      <c r="PNS95" s="499"/>
      <c r="PNT95" s="499"/>
      <c r="PNU95" s="499"/>
      <c r="PNV95" s="499"/>
      <c r="PNW95" s="499"/>
      <c r="PNX95" s="499"/>
      <c r="PNY95" s="499"/>
      <c r="PNZ95" s="499"/>
      <c r="POA95" s="499"/>
      <c r="POB95" s="499"/>
      <c r="POC95" s="499"/>
      <c r="POD95" s="499"/>
      <c r="POE95" s="499"/>
      <c r="POF95" s="499"/>
      <c r="POG95" s="499"/>
      <c r="POH95" s="499"/>
      <c r="POI95" s="499"/>
      <c r="POJ95" s="499"/>
      <c r="POK95" s="499"/>
      <c r="POL95" s="499"/>
      <c r="POM95" s="499"/>
      <c r="PON95" s="499"/>
      <c r="POO95" s="499"/>
      <c r="POP95" s="499"/>
      <c r="POQ95" s="499"/>
      <c r="POR95" s="499"/>
      <c r="POS95" s="499"/>
      <c r="POT95" s="499"/>
      <c r="POU95" s="499"/>
      <c r="POV95" s="499"/>
      <c r="POW95" s="499"/>
      <c r="POX95" s="499"/>
      <c r="POY95" s="499"/>
      <c r="POZ95" s="499"/>
      <c r="PPA95" s="499"/>
      <c r="PPB95" s="499"/>
      <c r="PPC95" s="499"/>
      <c r="PPD95" s="499"/>
      <c r="PPE95" s="499"/>
      <c r="PPF95" s="499"/>
      <c r="PPG95" s="499"/>
      <c r="PPH95" s="499"/>
      <c r="PPI95" s="499"/>
      <c r="PPJ95" s="499"/>
      <c r="PPK95" s="499"/>
      <c r="PPL95" s="499"/>
      <c r="PPM95" s="499"/>
      <c r="PPN95" s="499"/>
      <c r="PPO95" s="499"/>
      <c r="PPP95" s="499"/>
      <c r="PPQ95" s="499"/>
      <c r="PPR95" s="499"/>
      <c r="PPS95" s="499"/>
      <c r="PPT95" s="499"/>
      <c r="PPU95" s="499"/>
      <c r="PPV95" s="499"/>
      <c r="PPW95" s="499"/>
      <c r="PPX95" s="499"/>
      <c r="PPY95" s="499"/>
      <c r="PPZ95" s="499"/>
      <c r="PQA95" s="499"/>
      <c r="PQB95" s="499"/>
      <c r="PQC95" s="499"/>
      <c r="PQD95" s="499"/>
      <c r="PQE95" s="499"/>
      <c r="PQF95" s="499"/>
      <c r="PQG95" s="499"/>
      <c r="PQH95" s="499"/>
      <c r="PQI95" s="499"/>
      <c r="PQJ95" s="499"/>
      <c r="PQK95" s="499"/>
      <c r="PQL95" s="499"/>
      <c r="PQM95" s="499"/>
      <c r="PQN95" s="499"/>
      <c r="PQO95" s="499"/>
      <c r="PQP95" s="499"/>
      <c r="PQQ95" s="499"/>
      <c r="PQR95" s="499"/>
      <c r="PQS95" s="499"/>
      <c r="PQT95" s="499"/>
      <c r="PQU95" s="499"/>
      <c r="PQV95" s="499"/>
      <c r="PQW95" s="499"/>
      <c r="PQX95" s="499"/>
      <c r="PQY95" s="499"/>
      <c r="PQZ95" s="499"/>
      <c r="PRA95" s="499"/>
      <c r="PRB95" s="499"/>
      <c r="PRC95" s="499"/>
      <c r="PRD95" s="499"/>
      <c r="PRE95" s="499"/>
      <c r="PRF95" s="499"/>
      <c r="PRG95" s="499"/>
      <c r="PRH95" s="499"/>
      <c r="PRI95" s="499"/>
      <c r="PRJ95" s="499"/>
      <c r="PRK95" s="499"/>
      <c r="PRL95" s="499"/>
      <c r="PRM95" s="499"/>
      <c r="PRN95" s="499"/>
      <c r="PRO95" s="499"/>
      <c r="PRP95" s="499"/>
      <c r="PRQ95" s="499"/>
      <c r="PRR95" s="499"/>
      <c r="PRS95" s="499"/>
      <c r="PRT95" s="499"/>
      <c r="PRU95" s="499"/>
      <c r="PRV95" s="499"/>
      <c r="PRW95" s="499"/>
      <c r="PRX95" s="499"/>
      <c r="PRY95" s="499"/>
      <c r="PRZ95" s="499"/>
      <c r="PSA95" s="499"/>
      <c r="PSB95" s="499"/>
      <c r="PSC95" s="499"/>
      <c r="PSD95" s="499"/>
      <c r="PSE95" s="499"/>
      <c r="PSF95" s="499"/>
      <c r="PSG95" s="499"/>
      <c r="PSH95" s="499"/>
      <c r="PSI95" s="499"/>
      <c r="PSJ95" s="499"/>
      <c r="PSK95" s="499"/>
      <c r="PSL95" s="499"/>
      <c r="PSM95" s="499"/>
      <c r="PSN95" s="499"/>
      <c r="PSO95" s="499"/>
      <c r="PSP95" s="499"/>
      <c r="PSQ95" s="499"/>
      <c r="PSR95" s="499"/>
      <c r="PSS95" s="499"/>
      <c r="PST95" s="499"/>
      <c r="PSU95" s="499"/>
      <c r="PSV95" s="499"/>
      <c r="PSW95" s="499"/>
      <c r="PSX95" s="499"/>
      <c r="PSY95" s="499"/>
      <c r="PSZ95" s="499"/>
      <c r="PTA95" s="499"/>
      <c r="PTB95" s="499"/>
      <c r="PTC95" s="499"/>
      <c r="PTD95" s="499"/>
      <c r="PTE95" s="499"/>
      <c r="PTF95" s="499"/>
      <c r="PTG95" s="499"/>
      <c r="PTH95" s="499"/>
      <c r="PTI95" s="499"/>
      <c r="PTJ95" s="499"/>
      <c r="PTK95" s="499"/>
      <c r="PTL95" s="499"/>
      <c r="PTM95" s="499"/>
      <c r="PTN95" s="499"/>
      <c r="PTO95" s="499"/>
      <c r="PTP95" s="499"/>
      <c r="PTQ95" s="499"/>
      <c r="PTR95" s="499"/>
      <c r="PTS95" s="499"/>
      <c r="PTT95" s="499"/>
      <c r="PTU95" s="499"/>
      <c r="PTV95" s="499"/>
      <c r="PTW95" s="499"/>
      <c r="PTX95" s="499"/>
      <c r="PTY95" s="499"/>
      <c r="PTZ95" s="499"/>
      <c r="PUA95" s="499"/>
      <c r="PUB95" s="499"/>
      <c r="PUC95" s="499"/>
      <c r="PUD95" s="499"/>
      <c r="PUE95" s="499"/>
      <c r="PUF95" s="499"/>
      <c r="PUG95" s="499"/>
      <c r="PUH95" s="499"/>
      <c r="PUI95" s="499"/>
      <c r="PUJ95" s="499"/>
      <c r="PUK95" s="499"/>
      <c r="PUL95" s="499"/>
      <c r="PUM95" s="499"/>
      <c r="PUN95" s="499"/>
      <c r="PUO95" s="499"/>
      <c r="PUP95" s="499"/>
      <c r="PUQ95" s="499"/>
      <c r="PUR95" s="499"/>
      <c r="PUS95" s="499"/>
      <c r="PUT95" s="499"/>
      <c r="PUU95" s="499"/>
      <c r="PUV95" s="499"/>
      <c r="PUW95" s="499"/>
      <c r="PUX95" s="499"/>
      <c r="PUY95" s="499"/>
      <c r="PUZ95" s="499"/>
      <c r="PVA95" s="499"/>
      <c r="PVB95" s="499"/>
      <c r="PVC95" s="499"/>
      <c r="PVD95" s="499"/>
      <c r="PVE95" s="499"/>
      <c r="PVF95" s="499"/>
      <c r="PVG95" s="499"/>
      <c r="PVH95" s="499"/>
      <c r="PVI95" s="499"/>
      <c r="PVJ95" s="499"/>
      <c r="PVK95" s="499"/>
      <c r="PVL95" s="499"/>
      <c r="PVM95" s="499"/>
      <c r="PVN95" s="499"/>
      <c r="PVO95" s="499"/>
      <c r="PVP95" s="499"/>
      <c r="PVQ95" s="499"/>
      <c r="PVR95" s="499"/>
      <c r="PVS95" s="499"/>
      <c r="PVT95" s="499"/>
      <c r="PVU95" s="499"/>
      <c r="PVV95" s="499"/>
      <c r="PVW95" s="499"/>
      <c r="PVX95" s="499"/>
      <c r="PVY95" s="499"/>
      <c r="PVZ95" s="499"/>
      <c r="PWA95" s="499"/>
      <c r="PWB95" s="499"/>
      <c r="PWC95" s="499"/>
      <c r="PWD95" s="499"/>
      <c r="PWE95" s="499"/>
      <c r="PWF95" s="499"/>
      <c r="PWG95" s="499"/>
      <c r="PWH95" s="499"/>
      <c r="PWI95" s="499"/>
      <c r="PWJ95" s="499"/>
      <c r="PWK95" s="499"/>
      <c r="PWL95" s="499"/>
      <c r="PWM95" s="499"/>
      <c r="PWN95" s="499"/>
      <c r="PWO95" s="499"/>
      <c r="PWP95" s="499"/>
      <c r="PWQ95" s="499"/>
      <c r="PWR95" s="499"/>
      <c r="PWS95" s="499"/>
      <c r="PWT95" s="499"/>
      <c r="PWU95" s="499"/>
      <c r="PWV95" s="499"/>
      <c r="PWW95" s="499"/>
      <c r="PWX95" s="499"/>
      <c r="PWY95" s="499"/>
      <c r="PWZ95" s="499"/>
      <c r="PXA95" s="499"/>
      <c r="PXB95" s="499"/>
      <c r="PXC95" s="499"/>
      <c r="PXD95" s="499"/>
      <c r="PXE95" s="499"/>
      <c r="PXF95" s="499"/>
      <c r="PXG95" s="499"/>
      <c r="PXH95" s="499"/>
      <c r="PXI95" s="499"/>
      <c r="PXJ95" s="499"/>
      <c r="PXK95" s="499"/>
      <c r="PXL95" s="499"/>
      <c r="PXM95" s="499"/>
      <c r="PXN95" s="499"/>
      <c r="PXO95" s="499"/>
      <c r="PXP95" s="499"/>
      <c r="PXQ95" s="499"/>
      <c r="PXR95" s="499"/>
      <c r="PXS95" s="499"/>
      <c r="PXT95" s="499"/>
      <c r="PXU95" s="499"/>
      <c r="PXV95" s="499"/>
      <c r="PXW95" s="499"/>
      <c r="PXX95" s="499"/>
      <c r="PXY95" s="499"/>
      <c r="PXZ95" s="499"/>
      <c r="PYA95" s="499"/>
      <c r="PYB95" s="499"/>
      <c r="PYC95" s="499"/>
      <c r="PYD95" s="499"/>
      <c r="PYE95" s="499"/>
      <c r="PYF95" s="499"/>
      <c r="PYG95" s="499"/>
      <c r="PYH95" s="499"/>
      <c r="PYI95" s="499"/>
      <c r="PYJ95" s="499"/>
      <c r="PYK95" s="499"/>
      <c r="PYL95" s="499"/>
      <c r="PYM95" s="499"/>
      <c r="PYN95" s="499"/>
      <c r="PYO95" s="499"/>
      <c r="PYP95" s="499"/>
      <c r="PYQ95" s="499"/>
      <c r="PYR95" s="499"/>
      <c r="PYS95" s="499"/>
      <c r="PYT95" s="499"/>
      <c r="PYU95" s="499"/>
      <c r="PYV95" s="499"/>
      <c r="PYW95" s="499"/>
      <c r="PYX95" s="499"/>
      <c r="PYY95" s="499"/>
      <c r="PYZ95" s="499"/>
      <c r="PZA95" s="499"/>
      <c r="PZB95" s="499"/>
      <c r="PZC95" s="499"/>
      <c r="PZD95" s="499"/>
      <c r="PZE95" s="499"/>
      <c r="PZF95" s="499"/>
      <c r="PZG95" s="499"/>
      <c r="PZH95" s="499"/>
      <c r="PZI95" s="499"/>
      <c r="PZJ95" s="499"/>
      <c r="PZK95" s="499"/>
      <c r="PZL95" s="499"/>
      <c r="PZM95" s="499"/>
      <c r="PZN95" s="499"/>
      <c r="PZO95" s="499"/>
      <c r="PZP95" s="499"/>
      <c r="PZQ95" s="499"/>
      <c r="PZR95" s="499"/>
      <c r="PZS95" s="499"/>
      <c r="PZT95" s="499"/>
      <c r="PZU95" s="499"/>
      <c r="PZV95" s="499"/>
      <c r="PZW95" s="499"/>
      <c r="PZX95" s="499"/>
      <c r="PZY95" s="499"/>
      <c r="PZZ95" s="499"/>
      <c r="QAA95" s="499"/>
      <c r="QAB95" s="499"/>
      <c r="QAC95" s="499"/>
      <c r="QAD95" s="499"/>
      <c r="QAE95" s="499"/>
      <c r="QAF95" s="499"/>
      <c r="QAG95" s="499"/>
      <c r="QAH95" s="499"/>
      <c r="QAI95" s="499"/>
      <c r="QAJ95" s="499"/>
      <c r="QAK95" s="499"/>
      <c r="QAL95" s="499"/>
      <c r="QAM95" s="499"/>
      <c r="QAN95" s="499"/>
      <c r="QAO95" s="499"/>
      <c r="QAP95" s="499"/>
      <c r="QAQ95" s="499"/>
      <c r="QAR95" s="499"/>
      <c r="QAS95" s="499"/>
      <c r="QAT95" s="499"/>
      <c r="QAU95" s="499"/>
      <c r="QAV95" s="499"/>
      <c r="QAW95" s="499"/>
      <c r="QAX95" s="499"/>
      <c r="QAY95" s="499"/>
      <c r="QAZ95" s="499"/>
      <c r="QBA95" s="499"/>
      <c r="QBB95" s="499"/>
      <c r="QBC95" s="499"/>
      <c r="QBD95" s="499"/>
      <c r="QBE95" s="499"/>
      <c r="QBF95" s="499"/>
      <c r="QBG95" s="499"/>
      <c r="QBH95" s="499"/>
      <c r="QBI95" s="499"/>
      <c r="QBJ95" s="499"/>
      <c r="QBK95" s="499"/>
      <c r="QBL95" s="499"/>
      <c r="QBM95" s="499"/>
      <c r="QBN95" s="499"/>
      <c r="QBO95" s="499"/>
      <c r="QBP95" s="499"/>
      <c r="QBQ95" s="499"/>
      <c r="QBR95" s="499"/>
      <c r="QBS95" s="499"/>
      <c r="QBT95" s="499"/>
      <c r="QBU95" s="499"/>
      <c r="QBV95" s="499"/>
      <c r="QBW95" s="499"/>
      <c r="QBX95" s="499"/>
      <c r="QBY95" s="499"/>
      <c r="QBZ95" s="499"/>
      <c r="QCA95" s="499"/>
      <c r="QCB95" s="499"/>
      <c r="QCC95" s="499"/>
      <c r="QCD95" s="499"/>
      <c r="QCE95" s="499"/>
      <c r="QCF95" s="499"/>
      <c r="QCG95" s="499"/>
      <c r="QCH95" s="499"/>
      <c r="QCI95" s="499"/>
      <c r="QCJ95" s="499"/>
      <c r="QCK95" s="499"/>
      <c r="QCL95" s="499"/>
      <c r="QCM95" s="499"/>
      <c r="QCN95" s="499"/>
      <c r="QCO95" s="499"/>
      <c r="QCP95" s="499"/>
      <c r="QCQ95" s="499"/>
      <c r="QCR95" s="499"/>
      <c r="QCS95" s="499"/>
      <c r="QCT95" s="499"/>
      <c r="QCU95" s="499"/>
      <c r="QCV95" s="499"/>
      <c r="QCW95" s="499"/>
      <c r="QCX95" s="499"/>
      <c r="QCY95" s="499"/>
      <c r="QCZ95" s="499"/>
      <c r="QDA95" s="499"/>
      <c r="QDB95" s="499"/>
      <c r="QDC95" s="499"/>
      <c r="QDD95" s="499"/>
      <c r="QDE95" s="499"/>
      <c r="QDF95" s="499"/>
      <c r="QDG95" s="499"/>
      <c r="QDH95" s="499"/>
      <c r="QDI95" s="499"/>
      <c r="QDJ95" s="499"/>
      <c r="QDK95" s="499"/>
      <c r="QDL95" s="499"/>
      <c r="QDM95" s="499"/>
      <c r="QDN95" s="499"/>
      <c r="QDO95" s="499"/>
      <c r="QDP95" s="499"/>
      <c r="QDQ95" s="499"/>
      <c r="QDR95" s="499"/>
      <c r="QDS95" s="499"/>
      <c r="QDT95" s="499"/>
      <c r="QDU95" s="499"/>
      <c r="QDV95" s="499"/>
      <c r="QDW95" s="499"/>
      <c r="QDX95" s="499"/>
      <c r="QDY95" s="499"/>
      <c r="QDZ95" s="499"/>
      <c r="QEA95" s="499"/>
      <c r="QEB95" s="499"/>
      <c r="QEC95" s="499"/>
      <c r="QED95" s="499"/>
      <c r="QEE95" s="499"/>
      <c r="QEF95" s="499"/>
      <c r="QEG95" s="499"/>
      <c r="QEH95" s="499"/>
      <c r="QEI95" s="499"/>
      <c r="QEJ95" s="499"/>
      <c r="QEK95" s="499"/>
      <c r="QEL95" s="499"/>
      <c r="QEM95" s="499"/>
      <c r="QEN95" s="499"/>
      <c r="QEO95" s="499"/>
      <c r="QEP95" s="499"/>
      <c r="QEQ95" s="499"/>
      <c r="QER95" s="499"/>
      <c r="QES95" s="499"/>
      <c r="QET95" s="499"/>
      <c r="QEU95" s="499"/>
      <c r="QEV95" s="499"/>
      <c r="QEW95" s="499"/>
      <c r="QEX95" s="499"/>
      <c r="QEY95" s="499"/>
      <c r="QEZ95" s="499"/>
      <c r="QFA95" s="499"/>
      <c r="QFB95" s="499"/>
      <c r="QFC95" s="499"/>
      <c r="QFD95" s="499"/>
      <c r="QFE95" s="499"/>
      <c r="QFF95" s="499"/>
      <c r="QFG95" s="499"/>
      <c r="QFH95" s="499"/>
      <c r="QFI95" s="499"/>
      <c r="QFJ95" s="499"/>
      <c r="QFK95" s="499"/>
      <c r="QFL95" s="499"/>
      <c r="QFM95" s="499"/>
      <c r="QFN95" s="499"/>
      <c r="QFO95" s="499"/>
      <c r="QFP95" s="499"/>
      <c r="QFQ95" s="499"/>
      <c r="QFR95" s="499"/>
      <c r="QFS95" s="499"/>
      <c r="QFT95" s="499"/>
      <c r="QFU95" s="499"/>
      <c r="QFV95" s="499"/>
      <c r="QFW95" s="499"/>
      <c r="QFX95" s="499"/>
      <c r="QFY95" s="499"/>
      <c r="QFZ95" s="499"/>
      <c r="QGA95" s="499"/>
      <c r="QGB95" s="499"/>
      <c r="QGC95" s="499"/>
      <c r="QGD95" s="499"/>
      <c r="QGE95" s="499"/>
      <c r="QGF95" s="499"/>
      <c r="QGG95" s="499"/>
      <c r="QGH95" s="499"/>
      <c r="QGI95" s="499"/>
      <c r="QGJ95" s="499"/>
      <c r="QGK95" s="499"/>
      <c r="QGL95" s="499"/>
      <c r="QGM95" s="499"/>
      <c r="QGN95" s="499"/>
      <c r="QGO95" s="499"/>
      <c r="QGP95" s="499"/>
      <c r="QGQ95" s="499"/>
      <c r="QGR95" s="499"/>
      <c r="QGS95" s="499"/>
      <c r="QGT95" s="499"/>
      <c r="QGU95" s="499"/>
      <c r="QGV95" s="499"/>
      <c r="QGW95" s="499"/>
      <c r="QGX95" s="499"/>
      <c r="QGY95" s="499"/>
      <c r="QGZ95" s="499"/>
      <c r="QHA95" s="499"/>
      <c r="QHB95" s="499"/>
      <c r="QHC95" s="499"/>
      <c r="QHD95" s="499"/>
      <c r="QHE95" s="499"/>
      <c r="QHF95" s="499"/>
      <c r="QHG95" s="499"/>
      <c r="QHH95" s="499"/>
      <c r="QHI95" s="499"/>
      <c r="QHJ95" s="499"/>
      <c r="QHK95" s="499"/>
      <c r="QHL95" s="499"/>
      <c r="QHM95" s="499"/>
      <c r="QHN95" s="499"/>
      <c r="QHO95" s="499"/>
      <c r="QHP95" s="499"/>
      <c r="QHQ95" s="499"/>
      <c r="QHR95" s="499"/>
      <c r="QHS95" s="499"/>
      <c r="QHT95" s="499"/>
      <c r="QHU95" s="499"/>
      <c r="QHV95" s="499"/>
      <c r="QHW95" s="499"/>
      <c r="QHX95" s="499"/>
      <c r="QHY95" s="499"/>
      <c r="QHZ95" s="499"/>
      <c r="QIA95" s="499"/>
      <c r="QIB95" s="499"/>
      <c r="QIC95" s="499"/>
      <c r="QID95" s="499"/>
      <c r="QIE95" s="499"/>
      <c r="QIF95" s="499"/>
      <c r="QIG95" s="499"/>
      <c r="QIH95" s="499"/>
      <c r="QII95" s="499"/>
      <c r="QIJ95" s="499"/>
      <c r="QIK95" s="499"/>
      <c r="QIL95" s="499"/>
      <c r="QIM95" s="499"/>
      <c r="QIN95" s="499"/>
      <c r="QIO95" s="499"/>
      <c r="QIP95" s="499"/>
      <c r="QIQ95" s="499"/>
      <c r="QIR95" s="499"/>
      <c r="QIS95" s="499"/>
      <c r="QIT95" s="499"/>
      <c r="QIU95" s="499"/>
      <c r="QIV95" s="499"/>
      <c r="QIW95" s="499"/>
      <c r="QIX95" s="499"/>
      <c r="QIY95" s="499"/>
      <c r="QIZ95" s="499"/>
      <c r="QJA95" s="499"/>
      <c r="QJB95" s="499"/>
      <c r="QJC95" s="499"/>
      <c r="QJD95" s="499"/>
      <c r="QJE95" s="499"/>
      <c r="QJF95" s="499"/>
      <c r="QJG95" s="499"/>
      <c r="QJH95" s="499"/>
      <c r="QJI95" s="499"/>
      <c r="QJJ95" s="499"/>
      <c r="QJK95" s="499"/>
      <c r="QJL95" s="499"/>
      <c r="QJM95" s="499"/>
      <c r="QJN95" s="499"/>
      <c r="QJO95" s="499"/>
      <c r="QJP95" s="499"/>
      <c r="QJQ95" s="499"/>
      <c r="QJR95" s="499"/>
      <c r="QJS95" s="499"/>
      <c r="QJT95" s="499"/>
      <c r="QJU95" s="499"/>
      <c r="QJV95" s="499"/>
      <c r="QJW95" s="499"/>
      <c r="QJX95" s="499"/>
      <c r="QJY95" s="499"/>
      <c r="QJZ95" s="499"/>
      <c r="QKA95" s="499"/>
      <c r="QKB95" s="499"/>
      <c r="QKC95" s="499"/>
      <c r="QKD95" s="499"/>
      <c r="QKE95" s="499"/>
      <c r="QKF95" s="499"/>
      <c r="QKG95" s="499"/>
      <c r="QKH95" s="499"/>
      <c r="QKI95" s="499"/>
      <c r="QKJ95" s="499"/>
      <c r="QKK95" s="499"/>
      <c r="QKL95" s="499"/>
      <c r="QKM95" s="499"/>
      <c r="QKN95" s="499"/>
      <c r="QKO95" s="499"/>
      <c r="QKP95" s="499"/>
      <c r="QKQ95" s="499"/>
      <c r="QKR95" s="499"/>
      <c r="QKS95" s="499"/>
      <c r="QKT95" s="499"/>
      <c r="QKU95" s="499"/>
      <c r="QKV95" s="499"/>
      <c r="QKW95" s="499"/>
      <c r="QKX95" s="499"/>
      <c r="QKY95" s="499"/>
      <c r="QKZ95" s="499"/>
      <c r="QLA95" s="499"/>
      <c r="QLB95" s="499"/>
      <c r="QLC95" s="499"/>
      <c r="QLD95" s="499"/>
      <c r="QLE95" s="499"/>
      <c r="QLF95" s="499"/>
      <c r="QLG95" s="499"/>
      <c r="QLH95" s="499"/>
      <c r="QLI95" s="499"/>
      <c r="QLJ95" s="499"/>
      <c r="QLK95" s="499"/>
      <c r="QLL95" s="499"/>
      <c r="QLM95" s="499"/>
      <c r="QLN95" s="499"/>
      <c r="QLO95" s="499"/>
      <c r="QLP95" s="499"/>
      <c r="QLQ95" s="499"/>
      <c r="QLR95" s="499"/>
      <c r="QLS95" s="499"/>
      <c r="QLT95" s="499"/>
      <c r="QLU95" s="499"/>
      <c r="QLV95" s="499"/>
      <c r="QLW95" s="499"/>
      <c r="QLX95" s="499"/>
      <c r="QLY95" s="499"/>
      <c r="QLZ95" s="499"/>
      <c r="QMA95" s="499"/>
      <c r="QMB95" s="499"/>
      <c r="QMC95" s="499"/>
      <c r="QMD95" s="499"/>
      <c r="QME95" s="499"/>
      <c r="QMF95" s="499"/>
      <c r="QMG95" s="499"/>
      <c r="QMH95" s="499"/>
      <c r="QMI95" s="499"/>
      <c r="QMJ95" s="499"/>
      <c r="QMK95" s="499"/>
      <c r="QML95" s="499"/>
      <c r="QMM95" s="499"/>
      <c r="QMN95" s="499"/>
      <c r="QMO95" s="499"/>
      <c r="QMP95" s="499"/>
      <c r="QMQ95" s="499"/>
      <c r="QMR95" s="499"/>
      <c r="QMS95" s="499"/>
      <c r="QMT95" s="499"/>
      <c r="QMU95" s="499"/>
      <c r="QMV95" s="499"/>
      <c r="QMW95" s="499"/>
      <c r="QMX95" s="499"/>
      <c r="QMY95" s="499"/>
      <c r="QMZ95" s="499"/>
      <c r="QNA95" s="499"/>
      <c r="QNB95" s="499"/>
      <c r="QNC95" s="499"/>
      <c r="QND95" s="499"/>
      <c r="QNE95" s="499"/>
      <c r="QNF95" s="499"/>
      <c r="QNG95" s="499"/>
      <c r="QNH95" s="499"/>
      <c r="QNI95" s="499"/>
      <c r="QNJ95" s="499"/>
      <c r="QNK95" s="499"/>
      <c r="QNL95" s="499"/>
      <c r="QNM95" s="499"/>
      <c r="QNN95" s="499"/>
      <c r="QNO95" s="499"/>
      <c r="QNP95" s="499"/>
      <c r="QNQ95" s="499"/>
      <c r="QNR95" s="499"/>
      <c r="QNS95" s="499"/>
      <c r="QNT95" s="499"/>
      <c r="QNU95" s="499"/>
      <c r="QNV95" s="499"/>
      <c r="QNW95" s="499"/>
      <c r="QNX95" s="499"/>
      <c r="QNY95" s="499"/>
      <c r="QNZ95" s="499"/>
      <c r="QOA95" s="499"/>
      <c r="QOB95" s="499"/>
      <c r="QOC95" s="499"/>
      <c r="QOD95" s="499"/>
      <c r="QOE95" s="499"/>
      <c r="QOF95" s="499"/>
      <c r="QOG95" s="499"/>
      <c r="QOH95" s="499"/>
      <c r="QOI95" s="499"/>
      <c r="QOJ95" s="499"/>
      <c r="QOK95" s="499"/>
      <c r="QOL95" s="499"/>
      <c r="QOM95" s="499"/>
      <c r="QON95" s="499"/>
      <c r="QOO95" s="499"/>
      <c r="QOP95" s="499"/>
      <c r="QOQ95" s="499"/>
      <c r="QOR95" s="499"/>
      <c r="QOS95" s="499"/>
      <c r="QOT95" s="499"/>
      <c r="QOU95" s="499"/>
      <c r="QOV95" s="499"/>
      <c r="QOW95" s="499"/>
      <c r="QOX95" s="499"/>
      <c r="QOY95" s="499"/>
      <c r="QOZ95" s="499"/>
      <c r="QPA95" s="499"/>
      <c r="QPB95" s="499"/>
      <c r="QPC95" s="499"/>
      <c r="QPD95" s="499"/>
      <c r="QPE95" s="499"/>
      <c r="QPF95" s="499"/>
      <c r="QPG95" s="499"/>
      <c r="QPH95" s="499"/>
      <c r="QPI95" s="499"/>
      <c r="QPJ95" s="499"/>
      <c r="QPK95" s="499"/>
      <c r="QPL95" s="499"/>
      <c r="QPM95" s="499"/>
      <c r="QPN95" s="499"/>
      <c r="QPO95" s="499"/>
      <c r="QPP95" s="499"/>
      <c r="QPQ95" s="499"/>
      <c r="QPR95" s="499"/>
      <c r="QPS95" s="499"/>
      <c r="QPT95" s="499"/>
      <c r="QPU95" s="499"/>
      <c r="QPV95" s="499"/>
      <c r="QPW95" s="499"/>
      <c r="QPX95" s="499"/>
      <c r="QPY95" s="499"/>
      <c r="QPZ95" s="499"/>
      <c r="QQA95" s="499"/>
      <c r="QQB95" s="499"/>
      <c r="QQC95" s="499"/>
      <c r="QQD95" s="499"/>
      <c r="QQE95" s="499"/>
      <c r="QQF95" s="499"/>
      <c r="QQG95" s="499"/>
      <c r="QQH95" s="499"/>
      <c r="QQI95" s="499"/>
      <c r="QQJ95" s="499"/>
      <c r="QQK95" s="499"/>
      <c r="QQL95" s="499"/>
      <c r="QQM95" s="499"/>
      <c r="QQN95" s="499"/>
      <c r="QQO95" s="499"/>
      <c r="QQP95" s="499"/>
      <c r="QQQ95" s="499"/>
      <c r="QQR95" s="499"/>
      <c r="QQS95" s="499"/>
      <c r="QQT95" s="499"/>
      <c r="QQU95" s="499"/>
      <c r="QQV95" s="499"/>
      <c r="QQW95" s="499"/>
      <c r="QQX95" s="499"/>
      <c r="QQY95" s="499"/>
      <c r="QQZ95" s="499"/>
      <c r="QRA95" s="499"/>
      <c r="QRB95" s="499"/>
      <c r="QRC95" s="499"/>
      <c r="QRD95" s="499"/>
      <c r="QRE95" s="499"/>
      <c r="QRF95" s="499"/>
      <c r="QRG95" s="499"/>
      <c r="QRH95" s="499"/>
      <c r="QRI95" s="499"/>
      <c r="QRJ95" s="499"/>
      <c r="QRK95" s="499"/>
      <c r="QRL95" s="499"/>
      <c r="QRM95" s="499"/>
      <c r="QRN95" s="499"/>
      <c r="QRO95" s="499"/>
      <c r="QRP95" s="499"/>
      <c r="QRQ95" s="499"/>
      <c r="QRR95" s="499"/>
      <c r="QRS95" s="499"/>
      <c r="QRT95" s="499"/>
      <c r="QRU95" s="499"/>
      <c r="QRV95" s="499"/>
      <c r="QRW95" s="499"/>
      <c r="QRX95" s="499"/>
      <c r="QRY95" s="499"/>
      <c r="QRZ95" s="499"/>
      <c r="QSA95" s="499"/>
      <c r="QSB95" s="499"/>
      <c r="QSC95" s="499"/>
      <c r="QSD95" s="499"/>
      <c r="QSE95" s="499"/>
      <c r="QSF95" s="499"/>
      <c r="QSG95" s="499"/>
      <c r="QSH95" s="499"/>
      <c r="QSI95" s="499"/>
      <c r="QSJ95" s="499"/>
      <c r="QSK95" s="499"/>
      <c r="QSL95" s="499"/>
      <c r="QSM95" s="499"/>
      <c r="QSN95" s="499"/>
      <c r="QSO95" s="499"/>
      <c r="QSP95" s="499"/>
      <c r="QSQ95" s="499"/>
      <c r="QSR95" s="499"/>
      <c r="QSS95" s="499"/>
      <c r="QST95" s="499"/>
      <c r="QSU95" s="499"/>
      <c r="QSV95" s="499"/>
      <c r="QSW95" s="499"/>
      <c r="QSX95" s="499"/>
      <c r="QSY95" s="499"/>
      <c r="QSZ95" s="499"/>
      <c r="QTA95" s="499"/>
      <c r="QTB95" s="499"/>
      <c r="QTC95" s="499"/>
      <c r="QTD95" s="499"/>
      <c r="QTE95" s="499"/>
      <c r="QTF95" s="499"/>
      <c r="QTG95" s="499"/>
      <c r="QTH95" s="499"/>
      <c r="QTI95" s="499"/>
      <c r="QTJ95" s="499"/>
      <c r="QTK95" s="499"/>
      <c r="QTL95" s="499"/>
      <c r="QTM95" s="499"/>
      <c r="QTN95" s="499"/>
      <c r="QTO95" s="499"/>
      <c r="QTP95" s="499"/>
      <c r="QTQ95" s="499"/>
      <c r="QTR95" s="499"/>
      <c r="QTS95" s="499"/>
      <c r="QTT95" s="499"/>
      <c r="QTU95" s="499"/>
      <c r="QTV95" s="499"/>
      <c r="QTW95" s="499"/>
      <c r="QTX95" s="499"/>
      <c r="QTY95" s="499"/>
      <c r="QTZ95" s="499"/>
      <c r="QUA95" s="499"/>
      <c r="QUB95" s="499"/>
      <c r="QUC95" s="499"/>
      <c r="QUD95" s="499"/>
      <c r="QUE95" s="499"/>
      <c r="QUF95" s="499"/>
      <c r="QUG95" s="499"/>
      <c r="QUH95" s="499"/>
      <c r="QUI95" s="499"/>
      <c r="QUJ95" s="499"/>
      <c r="QUK95" s="499"/>
      <c r="QUL95" s="499"/>
      <c r="QUM95" s="499"/>
      <c r="QUN95" s="499"/>
      <c r="QUO95" s="499"/>
      <c r="QUP95" s="499"/>
      <c r="QUQ95" s="499"/>
      <c r="QUR95" s="499"/>
      <c r="QUS95" s="499"/>
      <c r="QUT95" s="499"/>
      <c r="QUU95" s="499"/>
      <c r="QUV95" s="499"/>
      <c r="QUW95" s="499"/>
      <c r="QUX95" s="499"/>
      <c r="QUY95" s="499"/>
      <c r="QUZ95" s="499"/>
      <c r="QVA95" s="499"/>
      <c r="QVB95" s="499"/>
      <c r="QVC95" s="499"/>
      <c r="QVD95" s="499"/>
      <c r="QVE95" s="499"/>
      <c r="QVF95" s="499"/>
      <c r="QVG95" s="499"/>
      <c r="QVH95" s="499"/>
      <c r="QVI95" s="499"/>
      <c r="QVJ95" s="499"/>
      <c r="QVK95" s="499"/>
      <c r="QVL95" s="499"/>
      <c r="QVM95" s="499"/>
      <c r="QVN95" s="499"/>
      <c r="QVO95" s="499"/>
      <c r="QVP95" s="499"/>
      <c r="QVQ95" s="499"/>
      <c r="QVR95" s="499"/>
      <c r="QVS95" s="499"/>
      <c r="QVT95" s="499"/>
      <c r="QVU95" s="499"/>
      <c r="QVV95" s="499"/>
      <c r="QVW95" s="499"/>
      <c r="QVX95" s="499"/>
      <c r="QVY95" s="499"/>
      <c r="QVZ95" s="499"/>
      <c r="QWA95" s="499"/>
      <c r="QWB95" s="499"/>
      <c r="QWC95" s="499"/>
      <c r="QWD95" s="499"/>
      <c r="QWE95" s="499"/>
      <c r="QWF95" s="499"/>
      <c r="QWG95" s="499"/>
      <c r="QWH95" s="499"/>
      <c r="QWI95" s="499"/>
      <c r="QWJ95" s="499"/>
      <c r="QWK95" s="499"/>
      <c r="QWL95" s="499"/>
      <c r="QWM95" s="499"/>
      <c r="QWN95" s="499"/>
      <c r="QWO95" s="499"/>
      <c r="QWP95" s="499"/>
      <c r="QWQ95" s="499"/>
      <c r="QWR95" s="499"/>
      <c r="QWS95" s="499"/>
      <c r="QWT95" s="499"/>
      <c r="QWU95" s="499"/>
      <c r="QWV95" s="499"/>
      <c r="QWW95" s="499"/>
      <c r="QWX95" s="499"/>
      <c r="QWY95" s="499"/>
      <c r="QWZ95" s="499"/>
      <c r="QXA95" s="499"/>
      <c r="QXB95" s="499"/>
      <c r="QXC95" s="499"/>
      <c r="QXD95" s="499"/>
      <c r="QXE95" s="499"/>
      <c r="QXF95" s="499"/>
      <c r="QXG95" s="499"/>
      <c r="QXH95" s="499"/>
      <c r="QXI95" s="499"/>
      <c r="QXJ95" s="499"/>
      <c r="QXK95" s="499"/>
      <c r="QXL95" s="499"/>
      <c r="QXM95" s="499"/>
      <c r="QXN95" s="499"/>
      <c r="QXO95" s="499"/>
      <c r="QXP95" s="499"/>
      <c r="QXQ95" s="499"/>
      <c r="QXR95" s="499"/>
      <c r="QXS95" s="499"/>
      <c r="QXT95" s="499"/>
      <c r="QXU95" s="499"/>
      <c r="QXV95" s="499"/>
      <c r="QXW95" s="499"/>
      <c r="QXX95" s="499"/>
      <c r="QXY95" s="499"/>
      <c r="QXZ95" s="499"/>
      <c r="QYA95" s="499"/>
      <c r="QYB95" s="499"/>
      <c r="QYC95" s="499"/>
      <c r="QYD95" s="499"/>
      <c r="QYE95" s="499"/>
      <c r="QYF95" s="499"/>
      <c r="QYG95" s="499"/>
      <c r="QYH95" s="499"/>
      <c r="QYI95" s="499"/>
      <c r="QYJ95" s="499"/>
      <c r="QYK95" s="499"/>
      <c r="QYL95" s="499"/>
      <c r="QYM95" s="499"/>
      <c r="QYN95" s="499"/>
      <c r="QYO95" s="499"/>
      <c r="QYP95" s="499"/>
      <c r="QYQ95" s="499"/>
      <c r="QYR95" s="499"/>
      <c r="QYS95" s="499"/>
      <c r="QYT95" s="499"/>
      <c r="QYU95" s="499"/>
      <c r="QYV95" s="499"/>
      <c r="QYW95" s="499"/>
      <c r="QYX95" s="499"/>
      <c r="QYY95" s="499"/>
      <c r="QYZ95" s="499"/>
      <c r="QZA95" s="499"/>
      <c r="QZB95" s="499"/>
      <c r="QZC95" s="499"/>
      <c r="QZD95" s="499"/>
      <c r="QZE95" s="499"/>
      <c r="QZF95" s="499"/>
      <c r="QZG95" s="499"/>
      <c r="QZH95" s="499"/>
      <c r="QZI95" s="499"/>
      <c r="QZJ95" s="499"/>
      <c r="QZK95" s="499"/>
      <c r="QZL95" s="499"/>
      <c r="QZM95" s="499"/>
      <c r="QZN95" s="499"/>
      <c r="QZO95" s="499"/>
      <c r="QZP95" s="499"/>
      <c r="QZQ95" s="499"/>
      <c r="QZR95" s="499"/>
      <c r="QZS95" s="499"/>
      <c r="QZT95" s="499"/>
      <c r="QZU95" s="499"/>
      <c r="QZV95" s="499"/>
      <c r="QZW95" s="499"/>
      <c r="QZX95" s="499"/>
      <c r="QZY95" s="499"/>
      <c r="QZZ95" s="499"/>
      <c r="RAA95" s="499"/>
      <c r="RAB95" s="499"/>
      <c r="RAC95" s="499"/>
      <c r="RAD95" s="499"/>
      <c r="RAE95" s="499"/>
      <c r="RAF95" s="499"/>
      <c r="RAG95" s="499"/>
      <c r="RAH95" s="499"/>
      <c r="RAI95" s="499"/>
      <c r="RAJ95" s="499"/>
      <c r="RAK95" s="499"/>
      <c r="RAL95" s="499"/>
      <c r="RAM95" s="499"/>
      <c r="RAN95" s="499"/>
      <c r="RAO95" s="499"/>
      <c r="RAP95" s="499"/>
      <c r="RAQ95" s="499"/>
      <c r="RAR95" s="499"/>
      <c r="RAS95" s="499"/>
      <c r="RAT95" s="499"/>
      <c r="RAU95" s="499"/>
      <c r="RAV95" s="499"/>
      <c r="RAW95" s="499"/>
      <c r="RAX95" s="499"/>
      <c r="RAY95" s="499"/>
      <c r="RAZ95" s="499"/>
      <c r="RBA95" s="499"/>
      <c r="RBB95" s="499"/>
      <c r="RBC95" s="499"/>
      <c r="RBD95" s="499"/>
      <c r="RBE95" s="499"/>
      <c r="RBF95" s="499"/>
      <c r="RBG95" s="499"/>
      <c r="RBH95" s="499"/>
      <c r="RBI95" s="499"/>
      <c r="RBJ95" s="499"/>
      <c r="RBK95" s="499"/>
      <c r="RBL95" s="499"/>
      <c r="RBM95" s="499"/>
      <c r="RBN95" s="499"/>
      <c r="RBO95" s="499"/>
      <c r="RBP95" s="499"/>
      <c r="RBQ95" s="499"/>
      <c r="RBR95" s="499"/>
      <c r="RBS95" s="499"/>
      <c r="RBT95" s="499"/>
      <c r="RBU95" s="499"/>
      <c r="RBV95" s="499"/>
      <c r="RBW95" s="499"/>
      <c r="RBX95" s="499"/>
      <c r="RBY95" s="499"/>
      <c r="RBZ95" s="499"/>
      <c r="RCA95" s="499"/>
      <c r="RCB95" s="499"/>
      <c r="RCC95" s="499"/>
      <c r="RCD95" s="499"/>
      <c r="RCE95" s="499"/>
      <c r="RCF95" s="499"/>
      <c r="RCG95" s="499"/>
      <c r="RCH95" s="499"/>
      <c r="RCI95" s="499"/>
      <c r="RCJ95" s="499"/>
      <c r="RCK95" s="499"/>
      <c r="RCL95" s="499"/>
      <c r="RCM95" s="499"/>
      <c r="RCN95" s="499"/>
      <c r="RCO95" s="499"/>
      <c r="RCP95" s="499"/>
      <c r="RCQ95" s="499"/>
      <c r="RCR95" s="499"/>
      <c r="RCS95" s="499"/>
      <c r="RCT95" s="499"/>
      <c r="RCU95" s="499"/>
      <c r="RCV95" s="499"/>
      <c r="RCW95" s="499"/>
      <c r="RCX95" s="499"/>
      <c r="RCY95" s="499"/>
      <c r="RCZ95" s="499"/>
      <c r="RDA95" s="499"/>
      <c r="RDB95" s="499"/>
      <c r="RDC95" s="499"/>
      <c r="RDD95" s="499"/>
      <c r="RDE95" s="499"/>
      <c r="RDF95" s="499"/>
      <c r="RDG95" s="499"/>
      <c r="RDH95" s="499"/>
      <c r="RDI95" s="499"/>
      <c r="RDJ95" s="499"/>
      <c r="RDK95" s="499"/>
      <c r="RDL95" s="499"/>
      <c r="RDM95" s="499"/>
      <c r="RDN95" s="499"/>
      <c r="RDO95" s="499"/>
      <c r="RDP95" s="499"/>
      <c r="RDQ95" s="499"/>
      <c r="RDR95" s="499"/>
      <c r="RDS95" s="499"/>
      <c r="RDT95" s="499"/>
      <c r="RDU95" s="499"/>
      <c r="RDV95" s="499"/>
      <c r="RDW95" s="499"/>
      <c r="RDX95" s="499"/>
      <c r="RDY95" s="499"/>
      <c r="RDZ95" s="499"/>
      <c r="REA95" s="499"/>
      <c r="REB95" s="499"/>
      <c r="REC95" s="499"/>
      <c r="RED95" s="499"/>
      <c r="REE95" s="499"/>
      <c r="REF95" s="499"/>
      <c r="REG95" s="499"/>
      <c r="REH95" s="499"/>
      <c r="REI95" s="499"/>
      <c r="REJ95" s="499"/>
      <c r="REK95" s="499"/>
      <c r="REL95" s="499"/>
      <c r="REM95" s="499"/>
      <c r="REN95" s="499"/>
      <c r="REO95" s="499"/>
      <c r="REP95" s="499"/>
      <c r="REQ95" s="499"/>
      <c r="RER95" s="499"/>
      <c r="RES95" s="499"/>
      <c r="RET95" s="499"/>
      <c r="REU95" s="499"/>
      <c r="REV95" s="499"/>
      <c r="REW95" s="499"/>
      <c r="REX95" s="499"/>
      <c r="REY95" s="499"/>
      <c r="REZ95" s="499"/>
      <c r="RFA95" s="499"/>
      <c r="RFB95" s="499"/>
      <c r="RFC95" s="499"/>
      <c r="RFD95" s="499"/>
      <c r="RFE95" s="499"/>
      <c r="RFF95" s="499"/>
      <c r="RFG95" s="499"/>
      <c r="RFH95" s="499"/>
      <c r="RFI95" s="499"/>
      <c r="RFJ95" s="499"/>
      <c r="RFK95" s="499"/>
      <c r="RFL95" s="499"/>
      <c r="RFM95" s="499"/>
      <c r="RFN95" s="499"/>
      <c r="RFO95" s="499"/>
      <c r="RFP95" s="499"/>
      <c r="RFQ95" s="499"/>
      <c r="RFR95" s="499"/>
      <c r="RFS95" s="499"/>
      <c r="RFT95" s="499"/>
      <c r="RFU95" s="499"/>
      <c r="RFV95" s="499"/>
      <c r="RFW95" s="499"/>
      <c r="RFX95" s="499"/>
      <c r="RFY95" s="499"/>
      <c r="RFZ95" s="499"/>
      <c r="RGA95" s="499"/>
      <c r="RGB95" s="499"/>
      <c r="RGC95" s="499"/>
      <c r="RGD95" s="499"/>
      <c r="RGE95" s="499"/>
      <c r="RGF95" s="499"/>
      <c r="RGG95" s="499"/>
      <c r="RGH95" s="499"/>
      <c r="RGI95" s="499"/>
      <c r="RGJ95" s="499"/>
      <c r="RGK95" s="499"/>
      <c r="RGL95" s="499"/>
      <c r="RGM95" s="499"/>
      <c r="RGN95" s="499"/>
      <c r="RGO95" s="499"/>
      <c r="RGP95" s="499"/>
      <c r="RGQ95" s="499"/>
      <c r="RGR95" s="499"/>
      <c r="RGS95" s="499"/>
      <c r="RGT95" s="499"/>
      <c r="RGU95" s="499"/>
      <c r="RGV95" s="499"/>
      <c r="RGW95" s="499"/>
      <c r="RGX95" s="499"/>
      <c r="RGY95" s="499"/>
      <c r="RGZ95" s="499"/>
      <c r="RHA95" s="499"/>
      <c r="RHB95" s="499"/>
      <c r="RHC95" s="499"/>
      <c r="RHD95" s="499"/>
      <c r="RHE95" s="499"/>
      <c r="RHF95" s="499"/>
      <c r="RHG95" s="499"/>
      <c r="RHH95" s="499"/>
      <c r="RHI95" s="499"/>
      <c r="RHJ95" s="499"/>
      <c r="RHK95" s="499"/>
      <c r="RHL95" s="499"/>
      <c r="RHM95" s="499"/>
      <c r="RHN95" s="499"/>
      <c r="RHO95" s="499"/>
      <c r="RHP95" s="499"/>
      <c r="RHQ95" s="499"/>
      <c r="RHR95" s="499"/>
      <c r="RHS95" s="499"/>
      <c r="RHT95" s="499"/>
      <c r="RHU95" s="499"/>
      <c r="RHV95" s="499"/>
      <c r="RHW95" s="499"/>
      <c r="RHX95" s="499"/>
      <c r="RHY95" s="499"/>
      <c r="RHZ95" s="499"/>
      <c r="RIA95" s="499"/>
      <c r="RIB95" s="499"/>
      <c r="RIC95" s="499"/>
      <c r="RID95" s="499"/>
      <c r="RIE95" s="499"/>
      <c r="RIF95" s="499"/>
      <c r="RIG95" s="499"/>
      <c r="RIH95" s="499"/>
      <c r="RII95" s="499"/>
      <c r="RIJ95" s="499"/>
      <c r="RIK95" s="499"/>
      <c r="RIL95" s="499"/>
      <c r="RIM95" s="499"/>
      <c r="RIN95" s="499"/>
      <c r="RIO95" s="499"/>
      <c r="RIP95" s="499"/>
      <c r="RIQ95" s="499"/>
      <c r="RIR95" s="499"/>
      <c r="RIS95" s="499"/>
      <c r="RIT95" s="499"/>
      <c r="RIU95" s="499"/>
      <c r="RIV95" s="499"/>
      <c r="RIW95" s="499"/>
      <c r="RIX95" s="499"/>
      <c r="RIY95" s="499"/>
      <c r="RIZ95" s="499"/>
      <c r="RJA95" s="499"/>
      <c r="RJB95" s="499"/>
      <c r="RJC95" s="499"/>
      <c r="RJD95" s="499"/>
      <c r="RJE95" s="499"/>
      <c r="RJF95" s="499"/>
      <c r="RJG95" s="499"/>
      <c r="RJH95" s="499"/>
      <c r="RJI95" s="499"/>
      <c r="RJJ95" s="499"/>
      <c r="RJK95" s="499"/>
      <c r="RJL95" s="499"/>
      <c r="RJM95" s="499"/>
      <c r="RJN95" s="499"/>
      <c r="RJO95" s="499"/>
      <c r="RJP95" s="499"/>
      <c r="RJQ95" s="499"/>
      <c r="RJR95" s="499"/>
      <c r="RJS95" s="499"/>
      <c r="RJT95" s="499"/>
      <c r="RJU95" s="499"/>
      <c r="RJV95" s="499"/>
      <c r="RJW95" s="499"/>
      <c r="RJX95" s="499"/>
      <c r="RJY95" s="499"/>
      <c r="RJZ95" s="499"/>
      <c r="RKA95" s="499"/>
      <c r="RKB95" s="499"/>
      <c r="RKC95" s="499"/>
      <c r="RKD95" s="499"/>
      <c r="RKE95" s="499"/>
      <c r="RKF95" s="499"/>
      <c r="RKG95" s="499"/>
      <c r="RKH95" s="499"/>
      <c r="RKI95" s="499"/>
      <c r="RKJ95" s="499"/>
      <c r="RKK95" s="499"/>
      <c r="RKL95" s="499"/>
      <c r="RKM95" s="499"/>
      <c r="RKN95" s="499"/>
      <c r="RKO95" s="499"/>
      <c r="RKP95" s="499"/>
      <c r="RKQ95" s="499"/>
      <c r="RKR95" s="499"/>
      <c r="RKS95" s="499"/>
      <c r="RKT95" s="499"/>
      <c r="RKU95" s="499"/>
      <c r="RKV95" s="499"/>
      <c r="RKW95" s="499"/>
      <c r="RKX95" s="499"/>
      <c r="RKY95" s="499"/>
      <c r="RKZ95" s="499"/>
      <c r="RLA95" s="499"/>
      <c r="RLB95" s="499"/>
      <c r="RLC95" s="499"/>
      <c r="RLD95" s="499"/>
      <c r="RLE95" s="499"/>
      <c r="RLF95" s="499"/>
      <c r="RLG95" s="499"/>
      <c r="RLH95" s="499"/>
      <c r="RLI95" s="499"/>
      <c r="RLJ95" s="499"/>
      <c r="RLK95" s="499"/>
      <c r="RLL95" s="499"/>
      <c r="RLM95" s="499"/>
      <c r="RLN95" s="499"/>
      <c r="RLO95" s="499"/>
      <c r="RLP95" s="499"/>
      <c r="RLQ95" s="499"/>
      <c r="RLR95" s="499"/>
      <c r="RLS95" s="499"/>
      <c r="RLT95" s="499"/>
      <c r="RLU95" s="499"/>
      <c r="RLV95" s="499"/>
      <c r="RLW95" s="499"/>
      <c r="RLX95" s="499"/>
      <c r="RLY95" s="499"/>
      <c r="RLZ95" s="499"/>
      <c r="RMA95" s="499"/>
      <c r="RMB95" s="499"/>
      <c r="RMC95" s="499"/>
      <c r="RMD95" s="499"/>
      <c r="RME95" s="499"/>
      <c r="RMF95" s="499"/>
      <c r="RMG95" s="499"/>
      <c r="RMH95" s="499"/>
      <c r="RMI95" s="499"/>
      <c r="RMJ95" s="499"/>
      <c r="RMK95" s="499"/>
      <c r="RML95" s="499"/>
      <c r="RMM95" s="499"/>
      <c r="RMN95" s="499"/>
      <c r="RMO95" s="499"/>
      <c r="RMP95" s="499"/>
      <c r="RMQ95" s="499"/>
      <c r="RMR95" s="499"/>
      <c r="RMS95" s="499"/>
      <c r="RMT95" s="499"/>
      <c r="RMU95" s="499"/>
      <c r="RMV95" s="499"/>
      <c r="RMW95" s="499"/>
      <c r="RMX95" s="499"/>
      <c r="RMY95" s="499"/>
      <c r="RMZ95" s="499"/>
      <c r="RNA95" s="499"/>
      <c r="RNB95" s="499"/>
      <c r="RNC95" s="499"/>
      <c r="RND95" s="499"/>
      <c r="RNE95" s="499"/>
      <c r="RNF95" s="499"/>
      <c r="RNG95" s="499"/>
      <c r="RNH95" s="499"/>
      <c r="RNI95" s="499"/>
      <c r="RNJ95" s="499"/>
      <c r="RNK95" s="499"/>
      <c r="RNL95" s="499"/>
      <c r="RNM95" s="499"/>
      <c r="RNN95" s="499"/>
      <c r="RNO95" s="499"/>
      <c r="RNP95" s="499"/>
      <c r="RNQ95" s="499"/>
      <c r="RNR95" s="499"/>
      <c r="RNS95" s="499"/>
      <c r="RNT95" s="499"/>
      <c r="RNU95" s="499"/>
      <c r="RNV95" s="499"/>
      <c r="RNW95" s="499"/>
      <c r="RNX95" s="499"/>
      <c r="RNY95" s="499"/>
      <c r="RNZ95" s="499"/>
      <c r="ROA95" s="499"/>
      <c r="ROB95" s="499"/>
      <c r="ROC95" s="499"/>
      <c r="ROD95" s="499"/>
      <c r="ROE95" s="499"/>
      <c r="ROF95" s="499"/>
      <c r="ROG95" s="499"/>
      <c r="ROH95" s="499"/>
      <c r="ROI95" s="499"/>
      <c r="ROJ95" s="499"/>
      <c r="ROK95" s="499"/>
      <c r="ROL95" s="499"/>
      <c r="ROM95" s="499"/>
      <c r="RON95" s="499"/>
      <c r="ROO95" s="499"/>
      <c r="ROP95" s="499"/>
      <c r="ROQ95" s="499"/>
      <c r="ROR95" s="499"/>
      <c r="ROS95" s="499"/>
      <c r="ROT95" s="499"/>
      <c r="ROU95" s="499"/>
      <c r="ROV95" s="499"/>
      <c r="ROW95" s="499"/>
      <c r="ROX95" s="499"/>
      <c r="ROY95" s="499"/>
      <c r="ROZ95" s="499"/>
      <c r="RPA95" s="499"/>
      <c r="RPB95" s="499"/>
      <c r="RPC95" s="499"/>
      <c r="RPD95" s="499"/>
      <c r="RPE95" s="499"/>
      <c r="RPF95" s="499"/>
      <c r="RPG95" s="499"/>
      <c r="RPH95" s="499"/>
      <c r="RPI95" s="499"/>
      <c r="RPJ95" s="499"/>
      <c r="RPK95" s="499"/>
      <c r="RPL95" s="499"/>
      <c r="RPM95" s="499"/>
      <c r="RPN95" s="499"/>
      <c r="RPO95" s="499"/>
      <c r="RPP95" s="499"/>
      <c r="RPQ95" s="499"/>
      <c r="RPR95" s="499"/>
      <c r="RPS95" s="499"/>
      <c r="RPT95" s="499"/>
      <c r="RPU95" s="499"/>
      <c r="RPV95" s="499"/>
      <c r="RPW95" s="499"/>
      <c r="RPX95" s="499"/>
      <c r="RPY95" s="499"/>
      <c r="RPZ95" s="499"/>
      <c r="RQA95" s="499"/>
      <c r="RQB95" s="499"/>
      <c r="RQC95" s="499"/>
      <c r="RQD95" s="499"/>
      <c r="RQE95" s="499"/>
      <c r="RQF95" s="499"/>
      <c r="RQG95" s="499"/>
      <c r="RQH95" s="499"/>
      <c r="RQI95" s="499"/>
      <c r="RQJ95" s="499"/>
      <c r="RQK95" s="499"/>
      <c r="RQL95" s="499"/>
      <c r="RQM95" s="499"/>
      <c r="RQN95" s="499"/>
      <c r="RQO95" s="499"/>
      <c r="RQP95" s="499"/>
      <c r="RQQ95" s="499"/>
      <c r="RQR95" s="499"/>
      <c r="RQS95" s="499"/>
      <c r="RQT95" s="499"/>
      <c r="RQU95" s="499"/>
      <c r="RQV95" s="499"/>
      <c r="RQW95" s="499"/>
      <c r="RQX95" s="499"/>
      <c r="RQY95" s="499"/>
      <c r="RQZ95" s="499"/>
      <c r="RRA95" s="499"/>
      <c r="RRB95" s="499"/>
      <c r="RRC95" s="499"/>
      <c r="RRD95" s="499"/>
      <c r="RRE95" s="499"/>
      <c r="RRF95" s="499"/>
      <c r="RRG95" s="499"/>
      <c r="RRH95" s="499"/>
      <c r="RRI95" s="499"/>
      <c r="RRJ95" s="499"/>
      <c r="RRK95" s="499"/>
      <c r="RRL95" s="499"/>
      <c r="RRM95" s="499"/>
      <c r="RRN95" s="499"/>
      <c r="RRO95" s="499"/>
      <c r="RRP95" s="499"/>
      <c r="RRQ95" s="499"/>
      <c r="RRR95" s="499"/>
      <c r="RRS95" s="499"/>
      <c r="RRT95" s="499"/>
      <c r="RRU95" s="499"/>
      <c r="RRV95" s="499"/>
      <c r="RRW95" s="499"/>
      <c r="RRX95" s="499"/>
      <c r="RRY95" s="499"/>
      <c r="RRZ95" s="499"/>
      <c r="RSA95" s="499"/>
      <c r="RSB95" s="499"/>
      <c r="RSC95" s="499"/>
      <c r="RSD95" s="499"/>
      <c r="RSE95" s="499"/>
      <c r="RSF95" s="499"/>
      <c r="RSG95" s="499"/>
      <c r="RSH95" s="499"/>
      <c r="RSI95" s="499"/>
      <c r="RSJ95" s="499"/>
      <c r="RSK95" s="499"/>
      <c r="RSL95" s="499"/>
      <c r="RSM95" s="499"/>
      <c r="RSN95" s="499"/>
      <c r="RSO95" s="499"/>
      <c r="RSP95" s="499"/>
      <c r="RSQ95" s="499"/>
      <c r="RSR95" s="499"/>
      <c r="RSS95" s="499"/>
      <c r="RST95" s="499"/>
      <c r="RSU95" s="499"/>
      <c r="RSV95" s="499"/>
      <c r="RSW95" s="499"/>
      <c r="RSX95" s="499"/>
      <c r="RSY95" s="499"/>
      <c r="RSZ95" s="499"/>
      <c r="RTA95" s="499"/>
      <c r="RTB95" s="499"/>
      <c r="RTC95" s="499"/>
      <c r="RTD95" s="499"/>
      <c r="RTE95" s="499"/>
      <c r="RTF95" s="499"/>
      <c r="RTG95" s="499"/>
      <c r="RTH95" s="499"/>
      <c r="RTI95" s="499"/>
      <c r="RTJ95" s="499"/>
      <c r="RTK95" s="499"/>
      <c r="RTL95" s="499"/>
      <c r="RTM95" s="499"/>
      <c r="RTN95" s="499"/>
      <c r="RTO95" s="499"/>
      <c r="RTP95" s="499"/>
      <c r="RTQ95" s="499"/>
      <c r="RTR95" s="499"/>
      <c r="RTS95" s="499"/>
      <c r="RTT95" s="499"/>
      <c r="RTU95" s="499"/>
      <c r="RTV95" s="499"/>
      <c r="RTW95" s="499"/>
      <c r="RTX95" s="499"/>
      <c r="RTY95" s="499"/>
      <c r="RTZ95" s="499"/>
      <c r="RUA95" s="499"/>
      <c r="RUB95" s="499"/>
      <c r="RUC95" s="499"/>
      <c r="RUD95" s="499"/>
      <c r="RUE95" s="499"/>
      <c r="RUF95" s="499"/>
      <c r="RUG95" s="499"/>
      <c r="RUH95" s="499"/>
      <c r="RUI95" s="499"/>
      <c r="RUJ95" s="499"/>
      <c r="RUK95" s="499"/>
      <c r="RUL95" s="499"/>
      <c r="RUM95" s="499"/>
      <c r="RUN95" s="499"/>
      <c r="RUO95" s="499"/>
      <c r="RUP95" s="499"/>
      <c r="RUQ95" s="499"/>
      <c r="RUR95" s="499"/>
      <c r="RUS95" s="499"/>
      <c r="RUT95" s="499"/>
      <c r="RUU95" s="499"/>
      <c r="RUV95" s="499"/>
      <c r="RUW95" s="499"/>
      <c r="RUX95" s="499"/>
      <c r="RUY95" s="499"/>
      <c r="RUZ95" s="499"/>
      <c r="RVA95" s="499"/>
      <c r="RVB95" s="499"/>
      <c r="RVC95" s="499"/>
      <c r="RVD95" s="499"/>
      <c r="RVE95" s="499"/>
      <c r="RVF95" s="499"/>
      <c r="RVG95" s="499"/>
      <c r="RVH95" s="499"/>
      <c r="RVI95" s="499"/>
      <c r="RVJ95" s="499"/>
      <c r="RVK95" s="499"/>
      <c r="RVL95" s="499"/>
      <c r="RVM95" s="499"/>
      <c r="RVN95" s="499"/>
      <c r="RVO95" s="499"/>
      <c r="RVP95" s="499"/>
      <c r="RVQ95" s="499"/>
      <c r="RVR95" s="499"/>
      <c r="RVS95" s="499"/>
      <c r="RVT95" s="499"/>
      <c r="RVU95" s="499"/>
      <c r="RVV95" s="499"/>
      <c r="RVW95" s="499"/>
      <c r="RVX95" s="499"/>
      <c r="RVY95" s="499"/>
      <c r="RVZ95" s="499"/>
      <c r="RWA95" s="499"/>
      <c r="RWB95" s="499"/>
      <c r="RWC95" s="499"/>
      <c r="RWD95" s="499"/>
      <c r="RWE95" s="499"/>
      <c r="RWF95" s="499"/>
      <c r="RWG95" s="499"/>
      <c r="RWH95" s="499"/>
      <c r="RWI95" s="499"/>
      <c r="RWJ95" s="499"/>
      <c r="RWK95" s="499"/>
      <c r="RWL95" s="499"/>
      <c r="RWM95" s="499"/>
      <c r="RWN95" s="499"/>
      <c r="RWO95" s="499"/>
      <c r="RWP95" s="499"/>
      <c r="RWQ95" s="499"/>
      <c r="RWR95" s="499"/>
      <c r="RWS95" s="499"/>
      <c r="RWT95" s="499"/>
      <c r="RWU95" s="499"/>
      <c r="RWV95" s="499"/>
      <c r="RWW95" s="499"/>
      <c r="RWX95" s="499"/>
      <c r="RWY95" s="499"/>
      <c r="RWZ95" s="499"/>
      <c r="RXA95" s="499"/>
      <c r="RXB95" s="499"/>
      <c r="RXC95" s="499"/>
      <c r="RXD95" s="499"/>
      <c r="RXE95" s="499"/>
      <c r="RXF95" s="499"/>
      <c r="RXG95" s="499"/>
      <c r="RXH95" s="499"/>
      <c r="RXI95" s="499"/>
      <c r="RXJ95" s="499"/>
      <c r="RXK95" s="499"/>
      <c r="RXL95" s="499"/>
      <c r="RXM95" s="499"/>
      <c r="RXN95" s="499"/>
      <c r="RXO95" s="499"/>
      <c r="RXP95" s="499"/>
      <c r="RXQ95" s="499"/>
      <c r="RXR95" s="499"/>
      <c r="RXS95" s="499"/>
      <c r="RXT95" s="499"/>
      <c r="RXU95" s="499"/>
      <c r="RXV95" s="499"/>
      <c r="RXW95" s="499"/>
      <c r="RXX95" s="499"/>
      <c r="RXY95" s="499"/>
      <c r="RXZ95" s="499"/>
      <c r="RYA95" s="499"/>
      <c r="RYB95" s="499"/>
      <c r="RYC95" s="499"/>
      <c r="RYD95" s="499"/>
      <c r="RYE95" s="499"/>
      <c r="RYF95" s="499"/>
      <c r="RYG95" s="499"/>
      <c r="RYH95" s="499"/>
      <c r="RYI95" s="499"/>
      <c r="RYJ95" s="499"/>
      <c r="RYK95" s="499"/>
      <c r="RYL95" s="499"/>
      <c r="RYM95" s="499"/>
      <c r="RYN95" s="499"/>
      <c r="RYO95" s="499"/>
      <c r="RYP95" s="499"/>
      <c r="RYQ95" s="499"/>
      <c r="RYR95" s="499"/>
      <c r="RYS95" s="499"/>
      <c r="RYT95" s="499"/>
      <c r="RYU95" s="499"/>
      <c r="RYV95" s="499"/>
      <c r="RYW95" s="499"/>
      <c r="RYX95" s="499"/>
      <c r="RYY95" s="499"/>
      <c r="RYZ95" s="499"/>
      <c r="RZA95" s="499"/>
      <c r="RZB95" s="499"/>
      <c r="RZC95" s="499"/>
      <c r="RZD95" s="499"/>
      <c r="RZE95" s="499"/>
      <c r="RZF95" s="499"/>
      <c r="RZG95" s="499"/>
      <c r="RZH95" s="499"/>
      <c r="RZI95" s="499"/>
      <c r="RZJ95" s="499"/>
      <c r="RZK95" s="499"/>
      <c r="RZL95" s="499"/>
      <c r="RZM95" s="499"/>
      <c r="RZN95" s="499"/>
      <c r="RZO95" s="499"/>
      <c r="RZP95" s="499"/>
      <c r="RZQ95" s="499"/>
      <c r="RZR95" s="499"/>
      <c r="RZS95" s="499"/>
      <c r="RZT95" s="499"/>
      <c r="RZU95" s="499"/>
      <c r="RZV95" s="499"/>
      <c r="RZW95" s="499"/>
      <c r="RZX95" s="499"/>
      <c r="RZY95" s="499"/>
      <c r="RZZ95" s="499"/>
      <c r="SAA95" s="499"/>
      <c r="SAB95" s="499"/>
      <c r="SAC95" s="499"/>
      <c r="SAD95" s="499"/>
      <c r="SAE95" s="499"/>
      <c r="SAF95" s="499"/>
      <c r="SAG95" s="499"/>
      <c r="SAH95" s="499"/>
      <c r="SAI95" s="499"/>
      <c r="SAJ95" s="499"/>
      <c r="SAK95" s="499"/>
      <c r="SAL95" s="499"/>
      <c r="SAM95" s="499"/>
      <c r="SAN95" s="499"/>
      <c r="SAO95" s="499"/>
      <c r="SAP95" s="499"/>
      <c r="SAQ95" s="499"/>
      <c r="SAR95" s="499"/>
      <c r="SAS95" s="499"/>
      <c r="SAT95" s="499"/>
      <c r="SAU95" s="499"/>
      <c r="SAV95" s="499"/>
      <c r="SAW95" s="499"/>
      <c r="SAX95" s="499"/>
      <c r="SAY95" s="499"/>
      <c r="SAZ95" s="499"/>
      <c r="SBA95" s="499"/>
      <c r="SBB95" s="499"/>
      <c r="SBC95" s="499"/>
      <c r="SBD95" s="499"/>
      <c r="SBE95" s="499"/>
      <c r="SBF95" s="499"/>
      <c r="SBG95" s="499"/>
      <c r="SBH95" s="499"/>
      <c r="SBI95" s="499"/>
      <c r="SBJ95" s="499"/>
      <c r="SBK95" s="499"/>
      <c r="SBL95" s="499"/>
      <c r="SBM95" s="499"/>
      <c r="SBN95" s="499"/>
      <c r="SBO95" s="499"/>
      <c r="SBP95" s="499"/>
      <c r="SBQ95" s="499"/>
      <c r="SBR95" s="499"/>
      <c r="SBS95" s="499"/>
      <c r="SBT95" s="499"/>
      <c r="SBU95" s="499"/>
      <c r="SBV95" s="499"/>
      <c r="SBW95" s="499"/>
      <c r="SBX95" s="499"/>
      <c r="SBY95" s="499"/>
      <c r="SBZ95" s="499"/>
      <c r="SCA95" s="499"/>
      <c r="SCB95" s="499"/>
      <c r="SCC95" s="499"/>
      <c r="SCD95" s="499"/>
      <c r="SCE95" s="499"/>
      <c r="SCF95" s="499"/>
      <c r="SCG95" s="499"/>
      <c r="SCH95" s="499"/>
      <c r="SCI95" s="499"/>
      <c r="SCJ95" s="499"/>
      <c r="SCK95" s="499"/>
      <c r="SCL95" s="499"/>
      <c r="SCM95" s="499"/>
      <c r="SCN95" s="499"/>
      <c r="SCO95" s="499"/>
      <c r="SCP95" s="499"/>
      <c r="SCQ95" s="499"/>
      <c r="SCR95" s="499"/>
      <c r="SCS95" s="499"/>
      <c r="SCT95" s="499"/>
      <c r="SCU95" s="499"/>
      <c r="SCV95" s="499"/>
      <c r="SCW95" s="499"/>
      <c r="SCX95" s="499"/>
      <c r="SCY95" s="499"/>
      <c r="SCZ95" s="499"/>
      <c r="SDA95" s="499"/>
      <c r="SDB95" s="499"/>
      <c r="SDC95" s="499"/>
      <c r="SDD95" s="499"/>
      <c r="SDE95" s="499"/>
      <c r="SDF95" s="499"/>
      <c r="SDG95" s="499"/>
      <c r="SDH95" s="499"/>
      <c r="SDI95" s="499"/>
      <c r="SDJ95" s="499"/>
      <c r="SDK95" s="499"/>
      <c r="SDL95" s="499"/>
      <c r="SDM95" s="499"/>
      <c r="SDN95" s="499"/>
      <c r="SDO95" s="499"/>
      <c r="SDP95" s="499"/>
      <c r="SDQ95" s="499"/>
      <c r="SDR95" s="499"/>
      <c r="SDS95" s="499"/>
      <c r="SDT95" s="499"/>
      <c r="SDU95" s="499"/>
      <c r="SDV95" s="499"/>
      <c r="SDW95" s="499"/>
      <c r="SDX95" s="499"/>
      <c r="SDY95" s="499"/>
      <c r="SDZ95" s="499"/>
      <c r="SEA95" s="499"/>
      <c r="SEB95" s="499"/>
      <c r="SEC95" s="499"/>
      <c r="SED95" s="499"/>
      <c r="SEE95" s="499"/>
      <c r="SEF95" s="499"/>
      <c r="SEG95" s="499"/>
      <c r="SEH95" s="499"/>
      <c r="SEI95" s="499"/>
      <c r="SEJ95" s="499"/>
      <c r="SEK95" s="499"/>
      <c r="SEL95" s="499"/>
      <c r="SEM95" s="499"/>
      <c r="SEN95" s="499"/>
      <c r="SEO95" s="499"/>
      <c r="SEP95" s="499"/>
      <c r="SEQ95" s="499"/>
      <c r="SER95" s="499"/>
      <c r="SES95" s="499"/>
      <c r="SET95" s="499"/>
      <c r="SEU95" s="499"/>
      <c r="SEV95" s="499"/>
      <c r="SEW95" s="499"/>
      <c r="SEX95" s="499"/>
      <c r="SEY95" s="499"/>
      <c r="SEZ95" s="499"/>
      <c r="SFA95" s="499"/>
      <c r="SFB95" s="499"/>
      <c r="SFC95" s="499"/>
      <c r="SFD95" s="499"/>
      <c r="SFE95" s="499"/>
      <c r="SFF95" s="499"/>
      <c r="SFG95" s="499"/>
      <c r="SFH95" s="499"/>
      <c r="SFI95" s="499"/>
      <c r="SFJ95" s="499"/>
      <c r="SFK95" s="499"/>
      <c r="SFL95" s="499"/>
      <c r="SFM95" s="499"/>
      <c r="SFN95" s="499"/>
      <c r="SFO95" s="499"/>
      <c r="SFP95" s="499"/>
      <c r="SFQ95" s="499"/>
      <c r="SFR95" s="499"/>
      <c r="SFS95" s="499"/>
      <c r="SFT95" s="499"/>
      <c r="SFU95" s="499"/>
      <c r="SFV95" s="499"/>
      <c r="SFW95" s="499"/>
      <c r="SFX95" s="499"/>
      <c r="SFY95" s="499"/>
      <c r="SFZ95" s="499"/>
      <c r="SGA95" s="499"/>
      <c r="SGB95" s="499"/>
      <c r="SGC95" s="499"/>
      <c r="SGD95" s="499"/>
      <c r="SGE95" s="499"/>
      <c r="SGF95" s="499"/>
      <c r="SGG95" s="499"/>
      <c r="SGH95" s="499"/>
      <c r="SGI95" s="499"/>
      <c r="SGJ95" s="499"/>
      <c r="SGK95" s="499"/>
      <c r="SGL95" s="499"/>
      <c r="SGM95" s="499"/>
      <c r="SGN95" s="499"/>
      <c r="SGO95" s="499"/>
      <c r="SGP95" s="499"/>
      <c r="SGQ95" s="499"/>
      <c r="SGR95" s="499"/>
      <c r="SGS95" s="499"/>
      <c r="SGT95" s="499"/>
      <c r="SGU95" s="499"/>
      <c r="SGV95" s="499"/>
      <c r="SGW95" s="499"/>
      <c r="SGX95" s="499"/>
      <c r="SGY95" s="499"/>
      <c r="SGZ95" s="499"/>
      <c r="SHA95" s="499"/>
      <c r="SHB95" s="499"/>
      <c r="SHC95" s="499"/>
      <c r="SHD95" s="499"/>
      <c r="SHE95" s="499"/>
      <c r="SHF95" s="499"/>
      <c r="SHG95" s="499"/>
      <c r="SHH95" s="499"/>
      <c r="SHI95" s="499"/>
      <c r="SHJ95" s="499"/>
      <c r="SHK95" s="499"/>
      <c r="SHL95" s="499"/>
      <c r="SHM95" s="499"/>
      <c r="SHN95" s="499"/>
      <c r="SHO95" s="499"/>
      <c r="SHP95" s="499"/>
      <c r="SHQ95" s="499"/>
      <c r="SHR95" s="499"/>
      <c r="SHS95" s="499"/>
      <c r="SHT95" s="499"/>
      <c r="SHU95" s="499"/>
      <c r="SHV95" s="499"/>
      <c r="SHW95" s="499"/>
      <c r="SHX95" s="499"/>
      <c r="SHY95" s="499"/>
      <c r="SHZ95" s="499"/>
      <c r="SIA95" s="499"/>
      <c r="SIB95" s="499"/>
      <c r="SIC95" s="499"/>
      <c r="SID95" s="499"/>
      <c r="SIE95" s="499"/>
      <c r="SIF95" s="499"/>
      <c r="SIG95" s="499"/>
      <c r="SIH95" s="499"/>
      <c r="SII95" s="499"/>
      <c r="SIJ95" s="499"/>
      <c r="SIK95" s="499"/>
      <c r="SIL95" s="499"/>
      <c r="SIM95" s="499"/>
      <c r="SIN95" s="499"/>
      <c r="SIO95" s="499"/>
      <c r="SIP95" s="499"/>
      <c r="SIQ95" s="499"/>
      <c r="SIR95" s="499"/>
      <c r="SIS95" s="499"/>
      <c r="SIT95" s="499"/>
      <c r="SIU95" s="499"/>
      <c r="SIV95" s="499"/>
      <c r="SIW95" s="499"/>
      <c r="SIX95" s="499"/>
      <c r="SIY95" s="499"/>
      <c r="SIZ95" s="499"/>
      <c r="SJA95" s="499"/>
      <c r="SJB95" s="499"/>
      <c r="SJC95" s="499"/>
      <c r="SJD95" s="499"/>
      <c r="SJE95" s="499"/>
      <c r="SJF95" s="499"/>
      <c r="SJG95" s="499"/>
      <c r="SJH95" s="499"/>
      <c r="SJI95" s="499"/>
      <c r="SJJ95" s="499"/>
      <c r="SJK95" s="499"/>
      <c r="SJL95" s="499"/>
      <c r="SJM95" s="499"/>
      <c r="SJN95" s="499"/>
      <c r="SJO95" s="499"/>
      <c r="SJP95" s="499"/>
      <c r="SJQ95" s="499"/>
      <c r="SJR95" s="499"/>
      <c r="SJS95" s="499"/>
      <c r="SJT95" s="499"/>
      <c r="SJU95" s="499"/>
      <c r="SJV95" s="499"/>
      <c r="SJW95" s="499"/>
      <c r="SJX95" s="499"/>
      <c r="SJY95" s="499"/>
      <c r="SJZ95" s="499"/>
      <c r="SKA95" s="499"/>
      <c r="SKB95" s="499"/>
      <c r="SKC95" s="499"/>
      <c r="SKD95" s="499"/>
      <c r="SKE95" s="499"/>
      <c r="SKF95" s="499"/>
      <c r="SKG95" s="499"/>
      <c r="SKH95" s="499"/>
      <c r="SKI95" s="499"/>
      <c r="SKJ95" s="499"/>
      <c r="SKK95" s="499"/>
      <c r="SKL95" s="499"/>
      <c r="SKM95" s="499"/>
      <c r="SKN95" s="499"/>
      <c r="SKO95" s="499"/>
      <c r="SKP95" s="499"/>
      <c r="SKQ95" s="499"/>
      <c r="SKR95" s="499"/>
      <c r="SKS95" s="499"/>
      <c r="SKT95" s="499"/>
      <c r="SKU95" s="499"/>
      <c r="SKV95" s="499"/>
      <c r="SKW95" s="499"/>
      <c r="SKX95" s="499"/>
      <c r="SKY95" s="499"/>
      <c r="SKZ95" s="499"/>
      <c r="SLA95" s="499"/>
      <c r="SLB95" s="499"/>
      <c r="SLC95" s="499"/>
      <c r="SLD95" s="499"/>
      <c r="SLE95" s="499"/>
      <c r="SLF95" s="499"/>
      <c r="SLG95" s="499"/>
      <c r="SLH95" s="499"/>
      <c r="SLI95" s="499"/>
      <c r="SLJ95" s="499"/>
      <c r="SLK95" s="499"/>
      <c r="SLL95" s="499"/>
      <c r="SLM95" s="499"/>
      <c r="SLN95" s="499"/>
      <c r="SLO95" s="499"/>
      <c r="SLP95" s="499"/>
      <c r="SLQ95" s="499"/>
      <c r="SLR95" s="499"/>
      <c r="SLS95" s="499"/>
      <c r="SLT95" s="499"/>
      <c r="SLU95" s="499"/>
      <c r="SLV95" s="499"/>
      <c r="SLW95" s="499"/>
      <c r="SLX95" s="499"/>
      <c r="SLY95" s="499"/>
      <c r="SLZ95" s="499"/>
      <c r="SMA95" s="499"/>
      <c r="SMB95" s="499"/>
      <c r="SMC95" s="499"/>
      <c r="SMD95" s="499"/>
      <c r="SME95" s="499"/>
      <c r="SMF95" s="499"/>
      <c r="SMG95" s="499"/>
      <c r="SMH95" s="499"/>
      <c r="SMI95" s="499"/>
      <c r="SMJ95" s="499"/>
      <c r="SMK95" s="499"/>
      <c r="SML95" s="499"/>
      <c r="SMM95" s="499"/>
      <c r="SMN95" s="499"/>
      <c r="SMO95" s="499"/>
      <c r="SMP95" s="499"/>
      <c r="SMQ95" s="499"/>
      <c r="SMR95" s="499"/>
      <c r="SMS95" s="499"/>
      <c r="SMT95" s="499"/>
      <c r="SMU95" s="499"/>
      <c r="SMV95" s="499"/>
      <c r="SMW95" s="499"/>
      <c r="SMX95" s="499"/>
      <c r="SMY95" s="499"/>
      <c r="SMZ95" s="499"/>
      <c r="SNA95" s="499"/>
      <c r="SNB95" s="499"/>
      <c r="SNC95" s="499"/>
      <c r="SND95" s="499"/>
      <c r="SNE95" s="499"/>
      <c r="SNF95" s="499"/>
      <c r="SNG95" s="499"/>
      <c r="SNH95" s="499"/>
      <c r="SNI95" s="499"/>
      <c r="SNJ95" s="499"/>
      <c r="SNK95" s="499"/>
      <c r="SNL95" s="499"/>
      <c r="SNM95" s="499"/>
      <c r="SNN95" s="499"/>
      <c r="SNO95" s="499"/>
      <c r="SNP95" s="499"/>
      <c r="SNQ95" s="499"/>
      <c r="SNR95" s="499"/>
      <c r="SNS95" s="499"/>
      <c r="SNT95" s="499"/>
      <c r="SNU95" s="499"/>
      <c r="SNV95" s="499"/>
      <c r="SNW95" s="499"/>
      <c r="SNX95" s="499"/>
      <c r="SNY95" s="499"/>
      <c r="SNZ95" s="499"/>
      <c r="SOA95" s="499"/>
      <c r="SOB95" s="499"/>
      <c r="SOC95" s="499"/>
      <c r="SOD95" s="499"/>
      <c r="SOE95" s="499"/>
      <c r="SOF95" s="499"/>
      <c r="SOG95" s="499"/>
      <c r="SOH95" s="499"/>
      <c r="SOI95" s="499"/>
      <c r="SOJ95" s="499"/>
      <c r="SOK95" s="499"/>
      <c r="SOL95" s="499"/>
      <c r="SOM95" s="499"/>
      <c r="SON95" s="499"/>
      <c r="SOO95" s="499"/>
      <c r="SOP95" s="499"/>
      <c r="SOQ95" s="499"/>
      <c r="SOR95" s="499"/>
      <c r="SOS95" s="499"/>
      <c r="SOT95" s="499"/>
      <c r="SOU95" s="499"/>
      <c r="SOV95" s="499"/>
      <c r="SOW95" s="499"/>
      <c r="SOX95" s="499"/>
      <c r="SOY95" s="499"/>
      <c r="SOZ95" s="499"/>
      <c r="SPA95" s="499"/>
      <c r="SPB95" s="499"/>
      <c r="SPC95" s="499"/>
      <c r="SPD95" s="499"/>
      <c r="SPE95" s="499"/>
      <c r="SPF95" s="499"/>
      <c r="SPG95" s="499"/>
      <c r="SPH95" s="499"/>
      <c r="SPI95" s="499"/>
      <c r="SPJ95" s="499"/>
      <c r="SPK95" s="499"/>
      <c r="SPL95" s="499"/>
      <c r="SPM95" s="499"/>
      <c r="SPN95" s="499"/>
      <c r="SPO95" s="499"/>
      <c r="SPP95" s="499"/>
      <c r="SPQ95" s="499"/>
      <c r="SPR95" s="499"/>
      <c r="SPS95" s="499"/>
      <c r="SPT95" s="499"/>
      <c r="SPU95" s="499"/>
      <c r="SPV95" s="499"/>
      <c r="SPW95" s="499"/>
      <c r="SPX95" s="499"/>
      <c r="SPY95" s="499"/>
      <c r="SPZ95" s="499"/>
      <c r="SQA95" s="499"/>
      <c r="SQB95" s="499"/>
      <c r="SQC95" s="499"/>
      <c r="SQD95" s="499"/>
      <c r="SQE95" s="499"/>
      <c r="SQF95" s="499"/>
      <c r="SQG95" s="499"/>
      <c r="SQH95" s="499"/>
      <c r="SQI95" s="499"/>
      <c r="SQJ95" s="499"/>
      <c r="SQK95" s="499"/>
      <c r="SQL95" s="499"/>
      <c r="SQM95" s="499"/>
      <c r="SQN95" s="499"/>
      <c r="SQO95" s="499"/>
      <c r="SQP95" s="499"/>
      <c r="SQQ95" s="499"/>
      <c r="SQR95" s="499"/>
      <c r="SQS95" s="499"/>
      <c r="SQT95" s="499"/>
      <c r="SQU95" s="499"/>
      <c r="SQV95" s="499"/>
      <c r="SQW95" s="499"/>
      <c r="SQX95" s="499"/>
      <c r="SQY95" s="499"/>
      <c r="SQZ95" s="499"/>
      <c r="SRA95" s="499"/>
      <c r="SRB95" s="499"/>
      <c r="SRC95" s="499"/>
      <c r="SRD95" s="499"/>
      <c r="SRE95" s="499"/>
      <c r="SRF95" s="499"/>
      <c r="SRG95" s="499"/>
      <c r="SRH95" s="499"/>
      <c r="SRI95" s="499"/>
      <c r="SRJ95" s="499"/>
      <c r="SRK95" s="499"/>
      <c r="SRL95" s="499"/>
      <c r="SRM95" s="499"/>
      <c r="SRN95" s="499"/>
      <c r="SRO95" s="499"/>
      <c r="SRP95" s="499"/>
      <c r="SRQ95" s="499"/>
      <c r="SRR95" s="499"/>
      <c r="SRS95" s="499"/>
      <c r="SRT95" s="499"/>
      <c r="SRU95" s="499"/>
      <c r="SRV95" s="499"/>
      <c r="SRW95" s="499"/>
      <c r="SRX95" s="499"/>
      <c r="SRY95" s="499"/>
      <c r="SRZ95" s="499"/>
      <c r="SSA95" s="499"/>
      <c r="SSB95" s="499"/>
      <c r="SSC95" s="499"/>
      <c r="SSD95" s="499"/>
      <c r="SSE95" s="499"/>
      <c r="SSF95" s="499"/>
      <c r="SSG95" s="499"/>
      <c r="SSH95" s="499"/>
      <c r="SSI95" s="499"/>
      <c r="SSJ95" s="499"/>
      <c r="SSK95" s="499"/>
      <c r="SSL95" s="499"/>
      <c r="SSM95" s="499"/>
      <c r="SSN95" s="499"/>
      <c r="SSO95" s="499"/>
      <c r="SSP95" s="499"/>
      <c r="SSQ95" s="499"/>
      <c r="SSR95" s="499"/>
      <c r="SSS95" s="499"/>
      <c r="SST95" s="499"/>
      <c r="SSU95" s="499"/>
      <c r="SSV95" s="499"/>
      <c r="SSW95" s="499"/>
      <c r="SSX95" s="499"/>
      <c r="SSY95" s="499"/>
      <c r="SSZ95" s="499"/>
      <c r="STA95" s="499"/>
      <c r="STB95" s="499"/>
      <c r="STC95" s="499"/>
      <c r="STD95" s="499"/>
      <c r="STE95" s="499"/>
      <c r="STF95" s="499"/>
      <c r="STG95" s="499"/>
      <c r="STH95" s="499"/>
      <c r="STI95" s="499"/>
      <c r="STJ95" s="499"/>
      <c r="STK95" s="499"/>
      <c r="STL95" s="499"/>
      <c r="STM95" s="499"/>
      <c r="STN95" s="499"/>
      <c r="STO95" s="499"/>
      <c r="STP95" s="499"/>
      <c r="STQ95" s="499"/>
      <c r="STR95" s="499"/>
      <c r="STS95" s="499"/>
      <c r="STT95" s="499"/>
      <c r="STU95" s="499"/>
      <c r="STV95" s="499"/>
      <c r="STW95" s="499"/>
      <c r="STX95" s="499"/>
      <c r="STY95" s="499"/>
      <c r="STZ95" s="499"/>
      <c r="SUA95" s="499"/>
      <c r="SUB95" s="499"/>
      <c r="SUC95" s="499"/>
      <c r="SUD95" s="499"/>
      <c r="SUE95" s="499"/>
      <c r="SUF95" s="499"/>
      <c r="SUG95" s="499"/>
      <c r="SUH95" s="499"/>
      <c r="SUI95" s="499"/>
      <c r="SUJ95" s="499"/>
      <c r="SUK95" s="499"/>
      <c r="SUL95" s="499"/>
      <c r="SUM95" s="499"/>
      <c r="SUN95" s="499"/>
      <c r="SUO95" s="499"/>
      <c r="SUP95" s="499"/>
      <c r="SUQ95" s="499"/>
      <c r="SUR95" s="499"/>
      <c r="SUS95" s="499"/>
      <c r="SUT95" s="499"/>
      <c r="SUU95" s="499"/>
      <c r="SUV95" s="499"/>
      <c r="SUW95" s="499"/>
      <c r="SUX95" s="499"/>
      <c r="SUY95" s="499"/>
      <c r="SUZ95" s="499"/>
      <c r="SVA95" s="499"/>
      <c r="SVB95" s="499"/>
      <c r="SVC95" s="499"/>
      <c r="SVD95" s="499"/>
      <c r="SVE95" s="499"/>
      <c r="SVF95" s="499"/>
      <c r="SVG95" s="499"/>
      <c r="SVH95" s="499"/>
      <c r="SVI95" s="499"/>
      <c r="SVJ95" s="499"/>
      <c r="SVK95" s="499"/>
      <c r="SVL95" s="499"/>
      <c r="SVM95" s="499"/>
      <c r="SVN95" s="499"/>
      <c r="SVO95" s="499"/>
      <c r="SVP95" s="499"/>
      <c r="SVQ95" s="499"/>
      <c r="SVR95" s="499"/>
      <c r="SVS95" s="499"/>
      <c r="SVT95" s="499"/>
      <c r="SVU95" s="499"/>
      <c r="SVV95" s="499"/>
      <c r="SVW95" s="499"/>
      <c r="SVX95" s="499"/>
      <c r="SVY95" s="499"/>
      <c r="SVZ95" s="499"/>
      <c r="SWA95" s="499"/>
      <c r="SWB95" s="499"/>
      <c r="SWC95" s="499"/>
      <c r="SWD95" s="499"/>
      <c r="SWE95" s="499"/>
      <c r="SWF95" s="499"/>
      <c r="SWG95" s="499"/>
      <c r="SWH95" s="499"/>
      <c r="SWI95" s="499"/>
      <c r="SWJ95" s="499"/>
      <c r="SWK95" s="499"/>
      <c r="SWL95" s="499"/>
      <c r="SWM95" s="499"/>
      <c r="SWN95" s="499"/>
      <c r="SWO95" s="499"/>
      <c r="SWP95" s="499"/>
      <c r="SWQ95" s="499"/>
      <c r="SWR95" s="499"/>
      <c r="SWS95" s="499"/>
      <c r="SWT95" s="499"/>
      <c r="SWU95" s="499"/>
      <c r="SWV95" s="499"/>
      <c r="SWW95" s="499"/>
      <c r="SWX95" s="499"/>
      <c r="SWY95" s="499"/>
      <c r="SWZ95" s="499"/>
      <c r="SXA95" s="499"/>
      <c r="SXB95" s="499"/>
      <c r="SXC95" s="499"/>
      <c r="SXD95" s="499"/>
      <c r="SXE95" s="499"/>
      <c r="SXF95" s="499"/>
      <c r="SXG95" s="499"/>
      <c r="SXH95" s="499"/>
      <c r="SXI95" s="499"/>
      <c r="SXJ95" s="499"/>
      <c r="SXK95" s="499"/>
      <c r="SXL95" s="499"/>
      <c r="SXM95" s="499"/>
      <c r="SXN95" s="499"/>
      <c r="SXO95" s="499"/>
      <c r="SXP95" s="499"/>
      <c r="SXQ95" s="499"/>
      <c r="SXR95" s="499"/>
      <c r="SXS95" s="499"/>
      <c r="SXT95" s="499"/>
      <c r="SXU95" s="499"/>
      <c r="SXV95" s="499"/>
      <c r="SXW95" s="499"/>
      <c r="SXX95" s="499"/>
      <c r="SXY95" s="499"/>
      <c r="SXZ95" s="499"/>
      <c r="SYA95" s="499"/>
      <c r="SYB95" s="499"/>
      <c r="SYC95" s="499"/>
      <c r="SYD95" s="499"/>
      <c r="SYE95" s="499"/>
      <c r="SYF95" s="499"/>
      <c r="SYG95" s="499"/>
      <c r="SYH95" s="499"/>
      <c r="SYI95" s="499"/>
      <c r="SYJ95" s="499"/>
      <c r="SYK95" s="499"/>
      <c r="SYL95" s="499"/>
      <c r="SYM95" s="499"/>
      <c r="SYN95" s="499"/>
      <c r="SYO95" s="499"/>
      <c r="SYP95" s="499"/>
      <c r="SYQ95" s="499"/>
      <c r="SYR95" s="499"/>
      <c r="SYS95" s="499"/>
      <c r="SYT95" s="499"/>
      <c r="SYU95" s="499"/>
      <c r="SYV95" s="499"/>
      <c r="SYW95" s="499"/>
      <c r="SYX95" s="499"/>
      <c r="SYY95" s="499"/>
      <c r="SYZ95" s="499"/>
      <c r="SZA95" s="499"/>
      <c r="SZB95" s="499"/>
      <c r="SZC95" s="499"/>
      <c r="SZD95" s="499"/>
      <c r="SZE95" s="499"/>
      <c r="SZF95" s="499"/>
      <c r="SZG95" s="499"/>
      <c r="SZH95" s="499"/>
      <c r="SZI95" s="499"/>
      <c r="SZJ95" s="499"/>
      <c r="SZK95" s="499"/>
      <c r="SZL95" s="499"/>
      <c r="SZM95" s="499"/>
      <c r="SZN95" s="499"/>
      <c r="SZO95" s="499"/>
      <c r="SZP95" s="499"/>
      <c r="SZQ95" s="499"/>
      <c r="SZR95" s="499"/>
      <c r="SZS95" s="499"/>
      <c r="SZT95" s="499"/>
      <c r="SZU95" s="499"/>
      <c r="SZV95" s="499"/>
      <c r="SZW95" s="499"/>
      <c r="SZX95" s="499"/>
      <c r="SZY95" s="499"/>
      <c r="SZZ95" s="499"/>
      <c r="TAA95" s="499"/>
      <c r="TAB95" s="499"/>
      <c r="TAC95" s="499"/>
      <c r="TAD95" s="499"/>
      <c r="TAE95" s="499"/>
      <c r="TAF95" s="499"/>
      <c r="TAG95" s="499"/>
      <c r="TAH95" s="499"/>
      <c r="TAI95" s="499"/>
      <c r="TAJ95" s="499"/>
      <c r="TAK95" s="499"/>
      <c r="TAL95" s="499"/>
      <c r="TAM95" s="499"/>
      <c r="TAN95" s="499"/>
      <c r="TAO95" s="499"/>
      <c r="TAP95" s="499"/>
      <c r="TAQ95" s="499"/>
      <c r="TAR95" s="499"/>
      <c r="TAS95" s="499"/>
      <c r="TAT95" s="499"/>
      <c r="TAU95" s="499"/>
      <c r="TAV95" s="499"/>
      <c r="TAW95" s="499"/>
      <c r="TAX95" s="499"/>
      <c r="TAY95" s="499"/>
      <c r="TAZ95" s="499"/>
      <c r="TBA95" s="499"/>
      <c r="TBB95" s="499"/>
      <c r="TBC95" s="499"/>
      <c r="TBD95" s="499"/>
      <c r="TBE95" s="499"/>
      <c r="TBF95" s="499"/>
      <c r="TBG95" s="499"/>
      <c r="TBH95" s="499"/>
      <c r="TBI95" s="499"/>
      <c r="TBJ95" s="499"/>
      <c r="TBK95" s="499"/>
      <c r="TBL95" s="499"/>
      <c r="TBM95" s="499"/>
      <c r="TBN95" s="499"/>
      <c r="TBO95" s="499"/>
      <c r="TBP95" s="499"/>
      <c r="TBQ95" s="499"/>
      <c r="TBR95" s="499"/>
      <c r="TBS95" s="499"/>
      <c r="TBT95" s="499"/>
      <c r="TBU95" s="499"/>
      <c r="TBV95" s="499"/>
      <c r="TBW95" s="499"/>
      <c r="TBX95" s="499"/>
      <c r="TBY95" s="499"/>
      <c r="TBZ95" s="499"/>
      <c r="TCA95" s="499"/>
      <c r="TCB95" s="499"/>
      <c r="TCC95" s="499"/>
      <c r="TCD95" s="499"/>
      <c r="TCE95" s="499"/>
      <c r="TCF95" s="499"/>
      <c r="TCG95" s="499"/>
      <c r="TCH95" s="499"/>
      <c r="TCI95" s="499"/>
      <c r="TCJ95" s="499"/>
      <c r="TCK95" s="499"/>
      <c r="TCL95" s="499"/>
      <c r="TCM95" s="499"/>
      <c r="TCN95" s="499"/>
      <c r="TCO95" s="499"/>
      <c r="TCP95" s="499"/>
      <c r="TCQ95" s="499"/>
      <c r="TCR95" s="499"/>
      <c r="TCS95" s="499"/>
      <c r="TCT95" s="499"/>
      <c r="TCU95" s="499"/>
      <c r="TCV95" s="499"/>
      <c r="TCW95" s="499"/>
      <c r="TCX95" s="499"/>
      <c r="TCY95" s="499"/>
      <c r="TCZ95" s="499"/>
      <c r="TDA95" s="499"/>
      <c r="TDB95" s="499"/>
      <c r="TDC95" s="499"/>
      <c r="TDD95" s="499"/>
      <c r="TDE95" s="499"/>
      <c r="TDF95" s="499"/>
      <c r="TDG95" s="499"/>
      <c r="TDH95" s="499"/>
      <c r="TDI95" s="499"/>
      <c r="TDJ95" s="499"/>
      <c r="TDK95" s="499"/>
      <c r="TDL95" s="499"/>
      <c r="TDM95" s="499"/>
      <c r="TDN95" s="499"/>
      <c r="TDO95" s="499"/>
      <c r="TDP95" s="499"/>
      <c r="TDQ95" s="499"/>
      <c r="TDR95" s="499"/>
      <c r="TDS95" s="499"/>
      <c r="TDT95" s="499"/>
      <c r="TDU95" s="499"/>
      <c r="TDV95" s="499"/>
      <c r="TDW95" s="499"/>
      <c r="TDX95" s="499"/>
      <c r="TDY95" s="499"/>
      <c r="TDZ95" s="499"/>
      <c r="TEA95" s="499"/>
      <c r="TEB95" s="499"/>
      <c r="TEC95" s="499"/>
      <c r="TED95" s="499"/>
      <c r="TEE95" s="499"/>
      <c r="TEF95" s="499"/>
      <c r="TEG95" s="499"/>
      <c r="TEH95" s="499"/>
      <c r="TEI95" s="499"/>
      <c r="TEJ95" s="499"/>
      <c r="TEK95" s="499"/>
      <c r="TEL95" s="499"/>
      <c r="TEM95" s="499"/>
      <c r="TEN95" s="499"/>
      <c r="TEO95" s="499"/>
      <c r="TEP95" s="499"/>
      <c r="TEQ95" s="499"/>
      <c r="TER95" s="499"/>
      <c r="TES95" s="499"/>
      <c r="TET95" s="499"/>
      <c r="TEU95" s="499"/>
      <c r="TEV95" s="499"/>
      <c r="TEW95" s="499"/>
      <c r="TEX95" s="499"/>
      <c r="TEY95" s="499"/>
      <c r="TEZ95" s="499"/>
      <c r="TFA95" s="499"/>
      <c r="TFB95" s="499"/>
      <c r="TFC95" s="499"/>
      <c r="TFD95" s="499"/>
      <c r="TFE95" s="499"/>
      <c r="TFF95" s="499"/>
      <c r="TFG95" s="499"/>
      <c r="TFH95" s="499"/>
      <c r="TFI95" s="499"/>
      <c r="TFJ95" s="499"/>
      <c r="TFK95" s="499"/>
      <c r="TFL95" s="499"/>
      <c r="TFM95" s="499"/>
      <c r="TFN95" s="499"/>
      <c r="TFO95" s="499"/>
      <c r="TFP95" s="499"/>
      <c r="TFQ95" s="499"/>
      <c r="TFR95" s="499"/>
      <c r="TFS95" s="499"/>
      <c r="TFT95" s="499"/>
      <c r="TFU95" s="499"/>
      <c r="TFV95" s="499"/>
      <c r="TFW95" s="499"/>
      <c r="TFX95" s="499"/>
      <c r="TFY95" s="499"/>
      <c r="TFZ95" s="499"/>
      <c r="TGA95" s="499"/>
      <c r="TGB95" s="499"/>
      <c r="TGC95" s="499"/>
      <c r="TGD95" s="499"/>
      <c r="TGE95" s="499"/>
      <c r="TGF95" s="499"/>
      <c r="TGG95" s="499"/>
      <c r="TGH95" s="499"/>
      <c r="TGI95" s="499"/>
      <c r="TGJ95" s="499"/>
      <c r="TGK95" s="499"/>
      <c r="TGL95" s="499"/>
      <c r="TGM95" s="499"/>
      <c r="TGN95" s="499"/>
      <c r="TGO95" s="499"/>
      <c r="TGP95" s="499"/>
      <c r="TGQ95" s="499"/>
      <c r="TGR95" s="499"/>
      <c r="TGS95" s="499"/>
      <c r="TGT95" s="499"/>
      <c r="TGU95" s="499"/>
      <c r="TGV95" s="499"/>
      <c r="TGW95" s="499"/>
      <c r="TGX95" s="499"/>
      <c r="TGY95" s="499"/>
      <c r="TGZ95" s="499"/>
      <c r="THA95" s="499"/>
      <c r="THB95" s="499"/>
      <c r="THC95" s="499"/>
      <c r="THD95" s="499"/>
      <c r="THE95" s="499"/>
      <c r="THF95" s="499"/>
      <c r="THG95" s="499"/>
      <c r="THH95" s="499"/>
      <c r="THI95" s="499"/>
      <c r="THJ95" s="499"/>
      <c r="THK95" s="499"/>
      <c r="THL95" s="499"/>
      <c r="THM95" s="499"/>
      <c r="THN95" s="499"/>
      <c r="THO95" s="499"/>
      <c r="THP95" s="499"/>
      <c r="THQ95" s="499"/>
      <c r="THR95" s="499"/>
      <c r="THS95" s="499"/>
      <c r="THT95" s="499"/>
      <c r="THU95" s="499"/>
      <c r="THV95" s="499"/>
      <c r="THW95" s="499"/>
      <c r="THX95" s="499"/>
      <c r="THY95" s="499"/>
      <c r="THZ95" s="499"/>
      <c r="TIA95" s="499"/>
      <c r="TIB95" s="499"/>
      <c r="TIC95" s="499"/>
      <c r="TID95" s="499"/>
      <c r="TIE95" s="499"/>
      <c r="TIF95" s="499"/>
      <c r="TIG95" s="499"/>
      <c r="TIH95" s="499"/>
      <c r="TII95" s="499"/>
      <c r="TIJ95" s="499"/>
      <c r="TIK95" s="499"/>
      <c r="TIL95" s="499"/>
      <c r="TIM95" s="499"/>
      <c r="TIN95" s="499"/>
      <c r="TIO95" s="499"/>
      <c r="TIP95" s="499"/>
      <c r="TIQ95" s="499"/>
      <c r="TIR95" s="499"/>
      <c r="TIS95" s="499"/>
      <c r="TIT95" s="499"/>
      <c r="TIU95" s="499"/>
      <c r="TIV95" s="499"/>
      <c r="TIW95" s="499"/>
      <c r="TIX95" s="499"/>
      <c r="TIY95" s="499"/>
      <c r="TIZ95" s="499"/>
      <c r="TJA95" s="499"/>
      <c r="TJB95" s="499"/>
      <c r="TJC95" s="499"/>
      <c r="TJD95" s="499"/>
      <c r="TJE95" s="499"/>
      <c r="TJF95" s="499"/>
      <c r="TJG95" s="499"/>
      <c r="TJH95" s="499"/>
      <c r="TJI95" s="499"/>
      <c r="TJJ95" s="499"/>
      <c r="TJK95" s="499"/>
      <c r="TJL95" s="499"/>
      <c r="TJM95" s="499"/>
      <c r="TJN95" s="499"/>
      <c r="TJO95" s="499"/>
      <c r="TJP95" s="499"/>
      <c r="TJQ95" s="499"/>
      <c r="TJR95" s="499"/>
      <c r="TJS95" s="499"/>
      <c r="TJT95" s="499"/>
      <c r="TJU95" s="499"/>
      <c r="TJV95" s="499"/>
      <c r="TJW95" s="499"/>
      <c r="TJX95" s="499"/>
      <c r="TJY95" s="499"/>
      <c r="TJZ95" s="499"/>
      <c r="TKA95" s="499"/>
      <c r="TKB95" s="499"/>
      <c r="TKC95" s="499"/>
      <c r="TKD95" s="499"/>
      <c r="TKE95" s="499"/>
      <c r="TKF95" s="499"/>
      <c r="TKG95" s="499"/>
      <c r="TKH95" s="499"/>
      <c r="TKI95" s="499"/>
      <c r="TKJ95" s="499"/>
      <c r="TKK95" s="499"/>
      <c r="TKL95" s="499"/>
      <c r="TKM95" s="499"/>
      <c r="TKN95" s="499"/>
      <c r="TKO95" s="499"/>
      <c r="TKP95" s="499"/>
      <c r="TKQ95" s="499"/>
      <c r="TKR95" s="499"/>
      <c r="TKS95" s="499"/>
      <c r="TKT95" s="499"/>
      <c r="TKU95" s="499"/>
      <c r="TKV95" s="499"/>
      <c r="TKW95" s="499"/>
      <c r="TKX95" s="499"/>
      <c r="TKY95" s="499"/>
      <c r="TKZ95" s="499"/>
      <c r="TLA95" s="499"/>
      <c r="TLB95" s="499"/>
      <c r="TLC95" s="499"/>
      <c r="TLD95" s="499"/>
      <c r="TLE95" s="499"/>
      <c r="TLF95" s="499"/>
      <c r="TLG95" s="499"/>
      <c r="TLH95" s="499"/>
      <c r="TLI95" s="499"/>
      <c r="TLJ95" s="499"/>
      <c r="TLK95" s="499"/>
      <c r="TLL95" s="499"/>
      <c r="TLM95" s="499"/>
      <c r="TLN95" s="499"/>
      <c r="TLO95" s="499"/>
      <c r="TLP95" s="499"/>
      <c r="TLQ95" s="499"/>
      <c r="TLR95" s="499"/>
      <c r="TLS95" s="499"/>
      <c r="TLT95" s="499"/>
      <c r="TLU95" s="499"/>
      <c r="TLV95" s="499"/>
      <c r="TLW95" s="499"/>
      <c r="TLX95" s="499"/>
      <c r="TLY95" s="499"/>
      <c r="TLZ95" s="499"/>
      <c r="TMA95" s="499"/>
      <c r="TMB95" s="499"/>
      <c r="TMC95" s="499"/>
      <c r="TMD95" s="499"/>
      <c r="TME95" s="499"/>
      <c r="TMF95" s="499"/>
      <c r="TMG95" s="499"/>
      <c r="TMH95" s="499"/>
      <c r="TMI95" s="499"/>
      <c r="TMJ95" s="499"/>
      <c r="TMK95" s="499"/>
      <c r="TML95" s="499"/>
      <c r="TMM95" s="499"/>
      <c r="TMN95" s="499"/>
      <c r="TMO95" s="499"/>
      <c r="TMP95" s="499"/>
      <c r="TMQ95" s="499"/>
      <c r="TMR95" s="499"/>
      <c r="TMS95" s="499"/>
      <c r="TMT95" s="499"/>
      <c r="TMU95" s="499"/>
      <c r="TMV95" s="499"/>
      <c r="TMW95" s="499"/>
      <c r="TMX95" s="499"/>
      <c r="TMY95" s="499"/>
      <c r="TMZ95" s="499"/>
      <c r="TNA95" s="499"/>
      <c r="TNB95" s="499"/>
      <c r="TNC95" s="499"/>
      <c r="TND95" s="499"/>
      <c r="TNE95" s="499"/>
      <c r="TNF95" s="499"/>
      <c r="TNG95" s="499"/>
      <c r="TNH95" s="499"/>
      <c r="TNI95" s="499"/>
      <c r="TNJ95" s="499"/>
      <c r="TNK95" s="499"/>
      <c r="TNL95" s="499"/>
      <c r="TNM95" s="499"/>
      <c r="TNN95" s="499"/>
      <c r="TNO95" s="499"/>
      <c r="TNP95" s="499"/>
      <c r="TNQ95" s="499"/>
      <c r="TNR95" s="499"/>
      <c r="TNS95" s="499"/>
      <c r="TNT95" s="499"/>
      <c r="TNU95" s="499"/>
      <c r="TNV95" s="499"/>
      <c r="TNW95" s="499"/>
      <c r="TNX95" s="499"/>
      <c r="TNY95" s="499"/>
      <c r="TNZ95" s="499"/>
      <c r="TOA95" s="499"/>
      <c r="TOB95" s="499"/>
      <c r="TOC95" s="499"/>
      <c r="TOD95" s="499"/>
      <c r="TOE95" s="499"/>
      <c r="TOF95" s="499"/>
      <c r="TOG95" s="499"/>
      <c r="TOH95" s="499"/>
      <c r="TOI95" s="499"/>
      <c r="TOJ95" s="499"/>
      <c r="TOK95" s="499"/>
      <c r="TOL95" s="499"/>
      <c r="TOM95" s="499"/>
      <c r="TON95" s="499"/>
      <c r="TOO95" s="499"/>
      <c r="TOP95" s="499"/>
      <c r="TOQ95" s="499"/>
      <c r="TOR95" s="499"/>
      <c r="TOS95" s="499"/>
      <c r="TOT95" s="499"/>
      <c r="TOU95" s="499"/>
      <c r="TOV95" s="499"/>
      <c r="TOW95" s="499"/>
      <c r="TOX95" s="499"/>
      <c r="TOY95" s="499"/>
      <c r="TOZ95" s="499"/>
      <c r="TPA95" s="499"/>
      <c r="TPB95" s="499"/>
      <c r="TPC95" s="499"/>
      <c r="TPD95" s="499"/>
      <c r="TPE95" s="499"/>
      <c r="TPF95" s="499"/>
      <c r="TPG95" s="499"/>
      <c r="TPH95" s="499"/>
      <c r="TPI95" s="499"/>
      <c r="TPJ95" s="499"/>
      <c r="TPK95" s="499"/>
      <c r="TPL95" s="499"/>
      <c r="TPM95" s="499"/>
      <c r="TPN95" s="499"/>
      <c r="TPO95" s="499"/>
      <c r="TPP95" s="499"/>
      <c r="TPQ95" s="499"/>
      <c r="TPR95" s="499"/>
      <c r="TPS95" s="499"/>
      <c r="TPT95" s="499"/>
      <c r="TPU95" s="499"/>
      <c r="TPV95" s="499"/>
      <c r="TPW95" s="499"/>
      <c r="TPX95" s="499"/>
      <c r="TPY95" s="499"/>
      <c r="TPZ95" s="499"/>
      <c r="TQA95" s="499"/>
      <c r="TQB95" s="499"/>
      <c r="TQC95" s="499"/>
      <c r="TQD95" s="499"/>
      <c r="TQE95" s="499"/>
      <c r="TQF95" s="499"/>
      <c r="TQG95" s="499"/>
      <c r="TQH95" s="499"/>
      <c r="TQI95" s="499"/>
      <c r="TQJ95" s="499"/>
      <c r="TQK95" s="499"/>
      <c r="TQL95" s="499"/>
      <c r="TQM95" s="499"/>
      <c r="TQN95" s="499"/>
      <c r="TQO95" s="499"/>
      <c r="TQP95" s="499"/>
      <c r="TQQ95" s="499"/>
      <c r="TQR95" s="499"/>
      <c r="TQS95" s="499"/>
      <c r="TQT95" s="499"/>
      <c r="TQU95" s="499"/>
      <c r="TQV95" s="499"/>
      <c r="TQW95" s="499"/>
      <c r="TQX95" s="499"/>
      <c r="TQY95" s="499"/>
      <c r="TQZ95" s="499"/>
      <c r="TRA95" s="499"/>
      <c r="TRB95" s="499"/>
      <c r="TRC95" s="499"/>
      <c r="TRD95" s="499"/>
      <c r="TRE95" s="499"/>
      <c r="TRF95" s="499"/>
      <c r="TRG95" s="499"/>
      <c r="TRH95" s="499"/>
      <c r="TRI95" s="499"/>
      <c r="TRJ95" s="499"/>
      <c r="TRK95" s="499"/>
      <c r="TRL95" s="499"/>
      <c r="TRM95" s="499"/>
      <c r="TRN95" s="499"/>
      <c r="TRO95" s="499"/>
      <c r="TRP95" s="499"/>
      <c r="TRQ95" s="499"/>
      <c r="TRR95" s="499"/>
      <c r="TRS95" s="499"/>
      <c r="TRT95" s="499"/>
      <c r="TRU95" s="499"/>
      <c r="TRV95" s="499"/>
      <c r="TRW95" s="499"/>
      <c r="TRX95" s="499"/>
      <c r="TRY95" s="499"/>
      <c r="TRZ95" s="499"/>
      <c r="TSA95" s="499"/>
      <c r="TSB95" s="499"/>
      <c r="TSC95" s="499"/>
      <c r="TSD95" s="499"/>
      <c r="TSE95" s="499"/>
      <c r="TSF95" s="499"/>
      <c r="TSG95" s="499"/>
      <c r="TSH95" s="499"/>
      <c r="TSI95" s="499"/>
      <c r="TSJ95" s="499"/>
      <c r="TSK95" s="499"/>
      <c r="TSL95" s="499"/>
      <c r="TSM95" s="499"/>
      <c r="TSN95" s="499"/>
      <c r="TSO95" s="499"/>
      <c r="TSP95" s="499"/>
      <c r="TSQ95" s="499"/>
      <c r="TSR95" s="499"/>
      <c r="TSS95" s="499"/>
      <c r="TST95" s="499"/>
      <c r="TSU95" s="499"/>
      <c r="TSV95" s="499"/>
      <c r="TSW95" s="499"/>
      <c r="TSX95" s="499"/>
      <c r="TSY95" s="499"/>
      <c r="TSZ95" s="499"/>
      <c r="TTA95" s="499"/>
      <c r="TTB95" s="499"/>
      <c r="TTC95" s="499"/>
      <c r="TTD95" s="499"/>
      <c r="TTE95" s="499"/>
      <c r="TTF95" s="499"/>
      <c r="TTG95" s="499"/>
      <c r="TTH95" s="499"/>
      <c r="TTI95" s="499"/>
      <c r="TTJ95" s="499"/>
      <c r="TTK95" s="499"/>
      <c r="TTL95" s="499"/>
      <c r="TTM95" s="499"/>
      <c r="TTN95" s="499"/>
      <c r="TTO95" s="499"/>
      <c r="TTP95" s="499"/>
      <c r="TTQ95" s="499"/>
      <c r="TTR95" s="499"/>
      <c r="TTS95" s="499"/>
      <c r="TTT95" s="499"/>
      <c r="TTU95" s="499"/>
      <c r="TTV95" s="499"/>
      <c r="TTW95" s="499"/>
      <c r="TTX95" s="499"/>
      <c r="TTY95" s="499"/>
      <c r="TTZ95" s="499"/>
      <c r="TUA95" s="499"/>
      <c r="TUB95" s="499"/>
      <c r="TUC95" s="499"/>
      <c r="TUD95" s="499"/>
      <c r="TUE95" s="499"/>
      <c r="TUF95" s="499"/>
      <c r="TUG95" s="499"/>
      <c r="TUH95" s="499"/>
      <c r="TUI95" s="499"/>
      <c r="TUJ95" s="499"/>
      <c r="TUK95" s="499"/>
      <c r="TUL95" s="499"/>
      <c r="TUM95" s="499"/>
      <c r="TUN95" s="499"/>
      <c r="TUO95" s="499"/>
      <c r="TUP95" s="499"/>
      <c r="TUQ95" s="499"/>
      <c r="TUR95" s="499"/>
      <c r="TUS95" s="499"/>
      <c r="TUT95" s="499"/>
      <c r="TUU95" s="499"/>
      <c r="TUV95" s="499"/>
      <c r="TUW95" s="499"/>
      <c r="TUX95" s="499"/>
      <c r="TUY95" s="499"/>
      <c r="TUZ95" s="499"/>
      <c r="TVA95" s="499"/>
      <c r="TVB95" s="499"/>
      <c r="TVC95" s="499"/>
      <c r="TVD95" s="499"/>
      <c r="TVE95" s="499"/>
      <c r="TVF95" s="499"/>
      <c r="TVG95" s="499"/>
      <c r="TVH95" s="499"/>
      <c r="TVI95" s="499"/>
      <c r="TVJ95" s="499"/>
      <c r="TVK95" s="499"/>
      <c r="TVL95" s="499"/>
      <c r="TVM95" s="499"/>
      <c r="TVN95" s="499"/>
      <c r="TVO95" s="499"/>
      <c r="TVP95" s="499"/>
      <c r="TVQ95" s="499"/>
      <c r="TVR95" s="499"/>
      <c r="TVS95" s="499"/>
      <c r="TVT95" s="499"/>
      <c r="TVU95" s="499"/>
      <c r="TVV95" s="499"/>
      <c r="TVW95" s="499"/>
      <c r="TVX95" s="499"/>
      <c r="TVY95" s="499"/>
      <c r="TVZ95" s="499"/>
      <c r="TWA95" s="499"/>
      <c r="TWB95" s="499"/>
      <c r="TWC95" s="499"/>
      <c r="TWD95" s="499"/>
      <c r="TWE95" s="499"/>
      <c r="TWF95" s="499"/>
      <c r="TWG95" s="499"/>
      <c r="TWH95" s="499"/>
      <c r="TWI95" s="499"/>
      <c r="TWJ95" s="499"/>
      <c r="TWK95" s="499"/>
      <c r="TWL95" s="499"/>
      <c r="TWM95" s="499"/>
      <c r="TWN95" s="499"/>
      <c r="TWO95" s="499"/>
      <c r="TWP95" s="499"/>
      <c r="TWQ95" s="499"/>
      <c r="TWR95" s="499"/>
      <c r="TWS95" s="499"/>
      <c r="TWT95" s="499"/>
      <c r="TWU95" s="499"/>
      <c r="TWV95" s="499"/>
      <c r="TWW95" s="499"/>
      <c r="TWX95" s="499"/>
      <c r="TWY95" s="499"/>
      <c r="TWZ95" s="499"/>
      <c r="TXA95" s="499"/>
      <c r="TXB95" s="499"/>
      <c r="TXC95" s="499"/>
      <c r="TXD95" s="499"/>
      <c r="TXE95" s="499"/>
      <c r="TXF95" s="499"/>
      <c r="TXG95" s="499"/>
      <c r="TXH95" s="499"/>
      <c r="TXI95" s="499"/>
      <c r="TXJ95" s="499"/>
      <c r="TXK95" s="499"/>
      <c r="TXL95" s="499"/>
      <c r="TXM95" s="499"/>
      <c r="TXN95" s="499"/>
      <c r="TXO95" s="499"/>
      <c r="TXP95" s="499"/>
      <c r="TXQ95" s="499"/>
      <c r="TXR95" s="499"/>
      <c r="TXS95" s="499"/>
      <c r="TXT95" s="499"/>
      <c r="TXU95" s="499"/>
      <c r="TXV95" s="499"/>
      <c r="TXW95" s="499"/>
      <c r="TXX95" s="499"/>
      <c r="TXY95" s="499"/>
      <c r="TXZ95" s="499"/>
      <c r="TYA95" s="499"/>
      <c r="TYB95" s="499"/>
      <c r="TYC95" s="499"/>
      <c r="TYD95" s="499"/>
      <c r="TYE95" s="499"/>
      <c r="TYF95" s="499"/>
      <c r="TYG95" s="499"/>
      <c r="TYH95" s="499"/>
      <c r="TYI95" s="499"/>
      <c r="TYJ95" s="499"/>
      <c r="TYK95" s="499"/>
      <c r="TYL95" s="499"/>
      <c r="TYM95" s="499"/>
      <c r="TYN95" s="499"/>
      <c r="TYO95" s="499"/>
      <c r="TYP95" s="499"/>
      <c r="TYQ95" s="499"/>
      <c r="TYR95" s="499"/>
      <c r="TYS95" s="499"/>
      <c r="TYT95" s="499"/>
      <c r="TYU95" s="499"/>
      <c r="TYV95" s="499"/>
      <c r="TYW95" s="499"/>
      <c r="TYX95" s="499"/>
      <c r="TYY95" s="499"/>
      <c r="TYZ95" s="499"/>
      <c r="TZA95" s="499"/>
      <c r="TZB95" s="499"/>
      <c r="TZC95" s="499"/>
      <c r="TZD95" s="499"/>
      <c r="TZE95" s="499"/>
      <c r="TZF95" s="499"/>
      <c r="TZG95" s="499"/>
      <c r="TZH95" s="499"/>
      <c r="TZI95" s="499"/>
      <c r="TZJ95" s="499"/>
      <c r="TZK95" s="499"/>
      <c r="TZL95" s="499"/>
      <c r="TZM95" s="499"/>
      <c r="TZN95" s="499"/>
      <c r="TZO95" s="499"/>
      <c r="TZP95" s="499"/>
      <c r="TZQ95" s="499"/>
      <c r="TZR95" s="499"/>
      <c r="TZS95" s="499"/>
      <c r="TZT95" s="499"/>
      <c r="TZU95" s="499"/>
      <c r="TZV95" s="499"/>
      <c r="TZW95" s="499"/>
      <c r="TZX95" s="499"/>
      <c r="TZY95" s="499"/>
      <c r="TZZ95" s="499"/>
      <c r="UAA95" s="499"/>
      <c r="UAB95" s="499"/>
      <c r="UAC95" s="499"/>
      <c r="UAD95" s="499"/>
      <c r="UAE95" s="499"/>
      <c r="UAF95" s="499"/>
      <c r="UAG95" s="499"/>
      <c r="UAH95" s="499"/>
      <c r="UAI95" s="499"/>
      <c r="UAJ95" s="499"/>
      <c r="UAK95" s="499"/>
      <c r="UAL95" s="499"/>
      <c r="UAM95" s="499"/>
      <c r="UAN95" s="499"/>
      <c r="UAO95" s="499"/>
      <c r="UAP95" s="499"/>
      <c r="UAQ95" s="499"/>
      <c r="UAR95" s="499"/>
      <c r="UAS95" s="499"/>
      <c r="UAT95" s="499"/>
      <c r="UAU95" s="499"/>
      <c r="UAV95" s="499"/>
      <c r="UAW95" s="499"/>
      <c r="UAX95" s="499"/>
      <c r="UAY95" s="499"/>
      <c r="UAZ95" s="499"/>
      <c r="UBA95" s="499"/>
      <c r="UBB95" s="499"/>
      <c r="UBC95" s="499"/>
      <c r="UBD95" s="499"/>
      <c r="UBE95" s="499"/>
      <c r="UBF95" s="499"/>
      <c r="UBG95" s="499"/>
      <c r="UBH95" s="499"/>
      <c r="UBI95" s="499"/>
      <c r="UBJ95" s="499"/>
      <c r="UBK95" s="499"/>
      <c r="UBL95" s="499"/>
      <c r="UBM95" s="499"/>
      <c r="UBN95" s="499"/>
      <c r="UBO95" s="499"/>
      <c r="UBP95" s="499"/>
      <c r="UBQ95" s="499"/>
      <c r="UBR95" s="499"/>
      <c r="UBS95" s="499"/>
      <c r="UBT95" s="499"/>
      <c r="UBU95" s="499"/>
      <c r="UBV95" s="499"/>
      <c r="UBW95" s="499"/>
      <c r="UBX95" s="499"/>
      <c r="UBY95" s="499"/>
      <c r="UBZ95" s="499"/>
      <c r="UCA95" s="499"/>
      <c r="UCB95" s="499"/>
      <c r="UCC95" s="499"/>
      <c r="UCD95" s="499"/>
      <c r="UCE95" s="499"/>
      <c r="UCF95" s="499"/>
      <c r="UCG95" s="499"/>
      <c r="UCH95" s="499"/>
      <c r="UCI95" s="499"/>
      <c r="UCJ95" s="499"/>
      <c r="UCK95" s="499"/>
      <c r="UCL95" s="499"/>
      <c r="UCM95" s="499"/>
      <c r="UCN95" s="499"/>
      <c r="UCO95" s="499"/>
      <c r="UCP95" s="499"/>
      <c r="UCQ95" s="499"/>
      <c r="UCR95" s="499"/>
      <c r="UCS95" s="499"/>
      <c r="UCT95" s="499"/>
      <c r="UCU95" s="499"/>
      <c r="UCV95" s="499"/>
      <c r="UCW95" s="499"/>
      <c r="UCX95" s="499"/>
      <c r="UCY95" s="499"/>
      <c r="UCZ95" s="499"/>
      <c r="UDA95" s="499"/>
      <c r="UDB95" s="499"/>
      <c r="UDC95" s="499"/>
      <c r="UDD95" s="499"/>
      <c r="UDE95" s="499"/>
      <c r="UDF95" s="499"/>
      <c r="UDG95" s="499"/>
      <c r="UDH95" s="499"/>
      <c r="UDI95" s="499"/>
      <c r="UDJ95" s="499"/>
      <c r="UDK95" s="499"/>
      <c r="UDL95" s="499"/>
      <c r="UDM95" s="499"/>
      <c r="UDN95" s="499"/>
      <c r="UDO95" s="499"/>
      <c r="UDP95" s="499"/>
      <c r="UDQ95" s="499"/>
      <c r="UDR95" s="499"/>
      <c r="UDS95" s="499"/>
      <c r="UDT95" s="499"/>
      <c r="UDU95" s="499"/>
      <c r="UDV95" s="499"/>
      <c r="UDW95" s="499"/>
      <c r="UDX95" s="499"/>
      <c r="UDY95" s="499"/>
      <c r="UDZ95" s="499"/>
      <c r="UEA95" s="499"/>
      <c r="UEB95" s="499"/>
      <c r="UEC95" s="499"/>
      <c r="UED95" s="499"/>
      <c r="UEE95" s="499"/>
      <c r="UEF95" s="499"/>
      <c r="UEG95" s="499"/>
      <c r="UEH95" s="499"/>
      <c r="UEI95" s="499"/>
      <c r="UEJ95" s="499"/>
      <c r="UEK95" s="499"/>
      <c r="UEL95" s="499"/>
      <c r="UEM95" s="499"/>
      <c r="UEN95" s="499"/>
      <c r="UEO95" s="499"/>
      <c r="UEP95" s="499"/>
      <c r="UEQ95" s="499"/>
      <c r="UER95" s="499"/>
      <c r="UES95" s="499"/>
      <c r="UET95" s="499"/>
      <c r="UEU95" s="499"/>
      <c r="UEV95" s="499"/>
      <c r="UEW95" s="499"/>
      <c r="UEX95" s="499"/>
      <c r="UEY95" s="499"/>
      <c r="UEZ95" s="499"/>
      <c r="UFA95" s="499"/>
      <c r="UFB95" s="499"/>
      <c r="UFC95" s="499"/>
      <c r="UFD95" s="499"/>
      <c r="UFE95" s="499"/>
      <c r="UFF95" s="499"/>
      <c r="UFG95" s="499"/>
      <c r="UFH95" s="499"/>
      <c r="UFI95" s="499"/>
      <c r="UFJ95" s="499"/>
      <c r="UFK95" s="499"/>
      <c r="UFL95" s="499"/>
      <c r="UFM95" s="499"/>
      <c r="UFN95" s="499"/>
      <c r="UFO95" s="499"/>
      <c r="UFP95" s="499"/>
      <c r="UFQ95" s="499"/>
      <c r="UFR95" s="499"/>
      <c r="UFS95" s="499"/>
      <c r="UFT95" s="499"/>
      <c r="UFU95" s="499"/>
      <c r="UFV95" s="499"/>
      <c r="UFW95" s="499"/>
      <c r="UFX95" s="499"/>
      <c r="UFY95" s="499"/>
      <c r="UFZ95" s="499"/>
      <c r="UGA95" s="499"/>
      <c r="UGB95" s="499"/>
      <c r="UGC95" s="499"/>
      <c r="UGD95" s="499"/>
      <c r="UGE95" s="499"/>
      <c r="UGF95" s="499"/>
      <c r="UGG95" s="499"/>
      <c r="UGH95" s="499"/>
      <c r="UGI95" s="499"/>
      <c r="UGJ95" s="499"/>
      <c r="UGK95" s="499"/>
      <c r="UGL95" s="499"/>
      <c r="UGM95" s="499"/>
      <c r="UGN95" s="499"/>
      <c r="UGO95" s="499"/>
      <c r="UGP95" s="499"/>
      <c r="UGQ95" s="499"/>
      <c r="UGR95" s="499"/>
      <c r="UGS95" s="499"/>
      <c r="UGT95" s="499"/>
      <c r="UGU95" s="499"/>
      <c r="UGV95" s="499"/>
      <c r="UGW95" s="499"/>
      <c r="UGX95" s="499"/>
      <c r="UGY95" s="499"/>
      <c r="UGZ95" s="499"/>
      <c r="UHA95" s="499"/>
      <c r="UHB95" s="499"/>
      <c r="UHC95" s="499"/>
      <c r="UHD95" s="499"/>
      <c r="UHE95" s="499"/>
      <c r="UHF95" s="499"/>
      <c r="UHG95" s="499"/>
      <c r="UHH95" s="499"/>
      <c r="UHI95" s="499"/>
      <c r="UHJ95" s="499"/>
      <c r="UHK95" s="499"/>
      <c r="UHL95" s="499"/>
      <c r="UHM95" s="499"/>
      <c r="UHN95" s="499"/>
      <c r="UHO95" s="499"/>
      <c r="UHP95" s="499"/>
      <c r="UHQ95" s="499"/>
      <c r="UHR95" s="499"/>
      <c r="UHS95" s="499"/>
      <c r="UHT95" s="499"/>
      <c r="UHU95" s="499"/>
      <c r="UHV95" s="499"/>
      <c r="UHW95" s="499"/>
      <c r="UHX95" s="499"/>
      <c r="UHY95" s="499"/>
      <c r="UHZ95" s="499"/>
      <c r="UIA95" s="499"/>
      <c r="UIB95" s="499"/>
      <c r="UIC95" s="499"/>
      <c r="UID95" s="499"/>
      <c r="UIE95" s="499"/>
      <c r="UIF95" s="499"/>
      <c r="UIG95" s="499"/>
      <c r="UIH95" s="499"/>
      <c r="UII95" s="499"/>
      <c r="UIJ95" s="499"/>
      <c r="UIK95" s="499"/>
      <c r="UIL95" s="499"/>
      <c r="UIM95" s="499"/>
      <c r="UIN95" s="499"/>
      <c r="UIO95" s="499"/>
      <c r="UIP95" s="499"/>
      <c r="UIQ95" s="499"/>
      <c r="UIR95" s="499"/>
      <c r="UIS95" s="499"/>
      <c r="UIT95" s="499"/>
      <c r="UIU95" s="499"/>
      <c r="UIV95" s="499"/>
      <c r="UIW95" s="499"/>
      <c r="UIX95" s="499"/>
      <c r="UIY95" s="499"/>
      <c r="UIZ95" s="499"/>
      <c r="UJA95" s="499"/>
      <c r="UJB95" s="499"/>
      <c r="UJC95" s="499"/>
      <c r="UJD95" s="499"/>
      <c r="UJE95" s="499"/>
      <c r="UJF95" s="499"/>
      <c r="UJG95" s="499"/>
      <c r="UJH95" s="499"/>
      <c r="UJI95" s="499"/>
      <c r="UJJ95" s="499"/>
      <c r="UJK95" s="499"/>
      <c r="UJL95" s="499"/>
      <c r="UJM95" s="499"/>
      <c r="UJN95" s="499"/>
      <c r="UJO95" s="499"/>
      <c r="UJP95" s="499"/>
      <c r="UJQ95" s="499"/>
      <c r="UJR95" s="499"/>
      <c r="UJS95" s="499"/>
      <c r="UJT95" s="499"/>
      <c r="UJU95" s="499"/>
      <c r="UJV95" s="499"/>
      <c r="UJW95" s="499"/>
      <c r="UJX95" s="499"/>
      <c r="UJY95" s="499"/>
      <c r="UJZ95" s="499"/>
      <c r="UKA95" s="499"/>
      <c r="UKB95" s="499"/>
      <c r="UKC95" s="499"/>
      <c r="UKD95" s="499"/>
      <c r="UKE95" s="499"/>
      <c r="UKF95" s="499"/>
      <c r="UKG95" s="499"/>
      <c r="UKH95" s="499"/>
      <c r="UKI95" s="499"/>
      <c r="UKJ95" s="499"/>
      <c r="UKK95" s="499"/>
      <c r="UKL95" s="499"/>
      <c r="UKM95" s="499"/>
      <c r="UKN95" s="499"/>
      <c r="UKO95" s="499"/>
      <c r="UKP95" s="499"/>
      <c r="UKQ95" s="499"/>
      <c r="UKR95" s="499"/>
      <c r="UKS95" s="499"/>
      <c r="UKT95" s="499"/>
      <c r="UKU95" s="499"/>
      <c r="UKV95" s="499"/>
      <c r="UKW95" s="499"/>
      <c r="UKX95" s="499"/>
      <c r="UKY95" s="499"/>
      <c r="UKZ95" s="499"/>
      <c r="ULA95" s="499"/>
      <c r="ULB95" s="499"/>
      <c r="ULC95" s="499"/>
      <c r="ULD95" s="499"/>
      <c r="ULE95" s="499"/>
      <c r="ULF95" s="499"/>
      <c r="ULG95" s="499"/>
      <c r="ULH95" s="499"/>
      <c r="ULI95" s="499"/>
      <c r="ULJ95" s="499"/>
      <c r="ULK95" s="499"/>
      <c r="ULL95" s="499"/>
      <c r="ULM95" s="499"/>
      <c r="ULN95" s="499"/>
      <c r="ULO95" s="499"/>
      <c r="ULP95" s="499"/>
      <c r="ULQ95" s="499"/>
      <c r="ULR95" s="499"/>
      <c r="ULS95" s="499"/>
      <c r="ULT95" s="499"/>
      <c r="ULU95" s="499"/>
      <c r="ULV95" s="499"/>
      <c r="ULW95" s="499"/>
      <c r="ULX95" s="499"/>
      <c r="ULY95" s="499"/>
      <c r="ULZ95" s="499"/>
      <c r="UMA95" s="499"/>
      <c r="UMB95" s="499"/>
      <c r="UMC95" s="499"/>
      <c r="UMD95" s="499"/>
      <c r="UME95" s="499"/>
      <c r="UMF95" s="499"/>
      <c r="UMG95" s="499"/>
      <c r="UMH95" s="499"/>
      <c r="UMI95" s="499"/>
      <c r="UMJ95" s="499"/>
      <c r="UMK95" s="499"/>
      <c r="UML95" s="499"/>
      <c r="UMM95" s="499"/>
      <c r="UMN95" s="499"/>
      <c r="UMO95" s="499"/>
      <c r="UMP95" s="499"/>
      <c r="UMQ95" s="499"/>
      <c r="UMR95" s="499"/>
      <c r="UMS95" s="499"/>
      <c r="UMT95" s="499"/>
      <c r="UMU95" s="499"/>
      <c r="UMV95" s="499"/>
      <c r="UMW95" s="499"/>
      <c r="UMX95" s="499"/>
      <c r="UMY95" s="499"/>
      <c r="UMZ95" s="499"/>
      <c r="UNA95" s="499"/>
      <c r="UNB95" s="499"/>
      <c r="UNC95" s="499"/>
      <c r="UND95" s="499"/>
      <c r="UNE95" s="499"/>
      <c r="UNF95" s="499"/>
      <c r="UNG95" s="499"/>
      <c r="UNH95" s="499"/>
      <c r="UNI95" s="499"/>
      <c r="UNJ95" s="499"/>
      <c r="UNK95" s="499"/>
      <c r="UNL95" s="499"/>
      <c r="UNM95" s="499"/>
      <c r="UNN95" s="499"/>
      <c r="UNO95" s="499"/>
      <c r="UNP95" s="499"/>
      <c r="UNQ95" s="499"/>
      <c r="UNR95" s="499"/>
      <c r="UNS95" s="499"/>
      <c r="UNT95" s="499"/>
      <c r="UNU95" s="499"/>
      <c r="UNV95" s="499"/>
      <c r="UNW95" s="499"/>
      <c r="UNX95" s="499"/>
      <c r="UNY95" s="499"/>
      <c r="UNZ95" s="499"/>
      <c r="UOA95" s="499"/>
      <c r="UOB95" s="499"/>
      <c r="UOC95" s="499"/>
      <c r="UOD95" s="499"/>
      <c r="UOE95" s="499"/>
      <c r="UOF95" s="499"/>
      <c r="UOG95" s="499"/>
      <c r="UOH95" s="499"/>
      <c r="UOI95" s="499"/>
      <c r="UOJ95" s="499"/>
      <c r="UOK95" s="499"/>
      <c r="UOL95" s="499"/>
      <c r="UOM95" s="499"/>
      <c r="UON95" s="499"/>
      <c r="UOO95" s="499"/>
      <c r="UOP95" s="499"/>
      <c r="UOQ95" s="499"/>
      <c r="UOR95" s="499"/>
      <c r="UOS95" s="499"/>
      <c r="UOT95" s="499"/>
      <c r="UOU95" s="499"/>
      <c r="UOV95" s="499"/>
      <c r="UOW95" s="499"/>
      <c r="UOX95" s="499"/>
      <c r="UOY95" s="499"/>
      <c r="UOZ95" s="499"/>
      <c r="UPA95" s="499"/>
      <c r="UPB95" s="499"/>
      <c r="UPC95" s="499"/>
      <c r="UPD95" s="499"/>
      <c r="UPE95" s="499"/>
      <c r="UPF95" s="499"/>
      <c r="UPG95" s="499"/>
      <c r="UPH95" s="499"/>
      <c r="UPI95" s="499"/>
      <c r="UPJ95" s="499"/>
      <c r="UPK95" s="499"/>
      <c r="UPL95" s="499"/>
      <c r="UPM95" s="499"/>
      <c r="UPN95" s="499"/>
      <c r="UPO95" s="499"/>
      <c r="UPP95" s="499"/>
      <c r="UPQ95" s="499"/>
      <c r="UPR95" s="499"/>
      <c r="UPS95" s="499"/>
      <c r="UPT95" s="499"/>
      <c r="UPU95" s="499"/>
      <c r="UPV95" s="499"/>
      <c r="UPW95" s="499"/>
      <c r="UPX95" s="499"/>
      <c r="UPY95" s="499"/>
      <c r="UPZ95" s="499"/>
      <c r="UQA95" s="499"/>
      <c r="UQB95" s="499"/>
      <c r="UQC95" s="499"/>
      <c r="UQD95" s="499"/>
      <c r="UQE95" s="499"/>
      <c r="UQF95" s="499"/>
      <c r="UQG95" s="499"/>
      <c r="UQH95" s="499"/>
      <c r="UQI95" s="499"/>
      <c r="UQJ95" s="499"/>
      <c r="UQK95" s="499"/>
      <c r="UQL95" s="499"/>
      <c r="UQM95" s="499"/>
      <c r="UQN95" s="499"/>
      <c r="UQO95" s="499"/>
      <c r="UQP95" s="499"/>
      <c r="UQQ95" s="499"/>
      <c r="UQR95" s="499"/>
      <c r="UQS95" s="499"/>
      <c r="UQT95" s="499"/>
      <c r="UQU95" s="499"/>
      <c r="UQV95" s="499"/>
      <c r="UQW95" s="499"/>
      <c r="UQX95" s="499"/>
      <c r="UQY95" s="499"/>
      <c r="UQZ95" s="499"/>
      <c r="URA95" s="499"/>
      <c r="URB95" s="499"/>
      <c r="URC95" s="499"/>
      <c r="URD95" s="499"/>
      <c r="URE95" s="499"/>
      <c r="URF95" s="499"/>
      <c r="URG95" s="499"/>
      <c r="URH95" s="499"/>
      <c r="URI95" s="499"/>
      <c r="URJ95" s="499"/>
      <c r="URK95" s="499"/>
      <c r="URL95" s="499"/>
      <c r="URM95" s="499"/>
      <c r="URN95" s="499"/>
      <c r="URO95" s="499"/>
      <c r="URP95" s="499"/>
      <c r="URQ95" s="499"/>
      <c r="URR95" s="499"/>
      <c r="URS95" s="499"/>
      <c r="URT95" s="499"/>
      <c r="URU95" s="499"/>
      <c r="URV95" s="499"/>
      <c r="URW95" s="499"/>
      <c r="URX95" s="499"/>
      <c r="URY95" s="499"/>
      <c r="URZ95" s="499"/>
      <c r="USA95" s="499"/>
      <c r="USB95" s="499"/>
      <c r="USC95" s="499"/>
      <c r="USD95" s="499"/>
      <c r="USE95" s="499"/>
      <c r="USF95" s="499"/>
      <c r="USG95" s="499"/>
      <c r="USH95" s="499"/>
      <c r="USI95" s="499"/>
      <c r="USJ95" s="499"/>
      <c r="USK95" s="499"/>
      <c r="USL95" s="499"/>
      <c r="USM95" s="499"/>
      <c r="USN95" s="499"/>
      <c r="USO95" s="499"/>
      <c r="USP95" s="499"/>
      <c r="USQ95" s="499"/>
      <c r="USR95" s="499"/>
      <c r="USS95" s="499"/>
      <c r="UST95" s="499"/>
      <c r="USU95" s="499"/>
      <c r="USV95" s="499"/>
      <c r="USW95" s="499"/>
      <c r="USX95" s="499"/>
      <c r="USY95" s="499"/>
      <c r="USZ95" s="499"/>
      <c r="UTA95" s="499"/>
      <c r="UTB95" s="499"/>
      <c r="UTC95" s="499"/>
      <c r="UTD95" s="499"/>
      <c r="UTE95" s="499"/>
      <c r="UTF95" s="499"/>
      <c r="UTG95" s="499"/>
      <c r="UTH95" s="499"/>
      <c r="UTI95" s="499"/>
      <c r="UTJ95" s="499"/>
      <c r="UTK95" s="499"/>
      <c r="UTL95" s="499"/>
      <c r="UTM95" s="499"/>
      <c r="UTN95" s="499"/>
      <c r="UTO95" s="499"/>
      <c r="UTP95" s="499"/>
      <c r="UTQ95" s="499"/>
      <c r="UTR95" s="499"/>
      <c r="UTS95" s="499"/>
      <c r="UTT95" s="499"/>
      <c r="UTU95" s="499"/>
      <c r="UTV95" s="499"/>
      <c r="UTW95" s="499"/>
      <c r="UTX95" s="499"/>
      <c r="UTY95" s="499"/>
      <c r="UTZ95" s="499"/>
      <c r="UUA95" s="499"/>
      <c r="UUB95" s="499"/>
      <c r="UUC95" s="499"/>
      <c r="UUD95" s="499"/>
      <c r="UUE95" s="499"/>
      <c r="UUF95" s="499"/>
      <c r="UUG95" s="499"/>
      <c r="UUH95" s="499"/>
      <c r="UUI95" s="499"/>
      <c r="UUJ95" s="499"/>
      <c r="UUK95" s="499"/>
      <c r="UUL95" s="499"/>
      <c r="UUM95" s="499"/>
      <c r="UUN95" s="499"/>
      <c r="UUO95" s="499"/>
      <c r="UUP95" s="499"/>
      <c r="UUQ95" s="499"/>
      <c r="UUR95" s="499"/>
      <c r="UUS95" s="499"/>
      <c r="UUT95" s="499"/>
      <c r="UUU95" s="499"/>
      <c r="UUV95" s="499"/>
      <c r="UUW95" s="499"/>
      <c r="UUX95" s="499"/>
      <c r="UUY95" s="499"/>
      <c r="UUZ95" s="499"/>
      <c r="UVA95" s="499"/>
      <c r="UVB95" s="499"/>
      <c r="UVC95" s="499"/>
      <c r="UVD95" s="499"/>
      <c r="UVE95" s="499"/>
      <c r="UVF95" s="499"/>
      <c r="UVG95" s="499"/>
      <c r="UVH95" s="499"/>
      <c r="UVI95" s="499"/>
      <c r="UVJ95" s="499"/>
      <c r="UVK95" s="499"/>
      <c r="UVL95" s="499"/>
      <c r="UVM95" s="499"/>
      <c r="UVN95" s="499"/>
      <c r="UVO95" s="499"/>
      <c r="UVP95" s="499"/>
      <c r="UVQ95" s="499"/>
      <c r="UVR95" s="499"/>
      <c r="UVS95" s="499"/>
      <c r="UVT95" s="499"/>
      <c r="UVU95" s="499"/>
      <c r="UVV95" s="499"/>
      <c r="UVW95" s="499"/>
      <c r="UVX95" s="499"/>
      <c r="UVY95" s="499"/>
      <c r="UVZ95" s="499"/>
      <c r="UWA95" s="499"/>
      <c r="UWB95" s="499"/>
      <c r="UWC95" s="499"/>
      <c r="UWD95" s="499"/>
      <c r="UWE95" s="499"/>
      <c r="UWF95" s="499"/>
      <c r="UWG95" s="499"/>
      <c r="UWH95" s="499"/>
      <c r="UWI95" s="499"/>
      <c r="UWJ95" s="499"/>
      <c r="UWK95" s="499"/>
      <c r="UWL95" s="499"/>
      <c r="UWM95" s="499"/>
      <c r="UWN95" s="499"/>
      <c r="UWO95" s="499"/>
      <c r="UWP95" s="499"/>
      <c r="UWQ95" s="499"/>
      <c r="UWR95" s="499"/>
      <c r="UWS95" s="499"/>
      <c r="UWT95" s="499"/>
      <c r="UWU95" s="499"/>
      <c r="UWV95" s="499"/>
      <c r="UWW95" s="499"/>
      <c r="UWX95" s="499"/>
      <c r="UWY95" s="499"/>
      <c r="UWZ95" s="499"/>
      <c r="UXA95" s="499"/>
      <c r="UXB95" s="499"/>
      <c r="UXC95" s="499"/>
      <c r="UXD95" s="499"/>
      <c r="UXE95" s="499"/>
      <c r="UXF95" s="499"/>
      <c r="UXG95" s="499"/>
      <c r="UXH95" s="499"/>
      <c r="UXI95" s="499"/>
      <c r="UXJ95" s="499"/>
      <c r="UXK95" s="499"/>
      <c r="UXL95" s="499"/>
      <c r="UXM95" s="499"/>
      <c r="UXN95" s="499"/>
      <c r="UXO95" s="499"/>
      <c r="UXP95" s="499"/>
      <c r="UXQ95" s="499"/>
      <c r="UXR95" s="499"/>
      <c r="UXS95" s="499"/>
      <c r="UXT95" s="499"/>
      <c r="UXU95" s="499"/>
      <c r="UXV95" s="499"/>
      <c r="UXW95" s="499"/>
      <c r="UXX95" s="499"/>
      <c r="UXY95" s="499"/>
      <c r="UXZ95" s="499"/>
      <c r="UYA95" s="499"/>
      <c r="UYB95" s="499"/>
      <c r="UYC95" s="499"/>
      <c r="UYD95" s="499"/>
      <c r="UYE95" s="499"/>
      <c r="UYF95" s="499"/>
      <c r="UYG95" s="499"/>
      <c r="UYH95" s="499"/>
      <c r="UYI95" s="499"/>
      <c r="UYJ95" s="499"/>
      <c r="UYK95" s="499"/>
      <c r="UYL95" s="499"/>
      <c r="UYM95" s="499"/>
      <c r="UYN95" s="499"/>
      <c r="UYO95" s="499"/>
      <c r="UYP95" s="499"/>
      <c r="UYQ95" s="499"/>
      <c r="UYR95" s="499"/>
      <c r="UYS95" s="499"/>
      <c r="UYT95" s="499"/>
      <c r="UYU95" s="499"/>
      <c r="UYV95" s="499"/>
      <c r="UYW95" s="499"/>
      <c r="UYX95" s="499"/>
      <c r="UYY95" s="499"/>
      <c r="UYZ95" s="499"/>
      <c r="UZA95" s="499"/>
      <c r="UZB95" s="499"/>
      <c r="UZC95" s="499"/>
      <c r="UZD95" s="499"/>
      <c r="UZE95" s="499"/>
      <c r="UZF95" s="499"/>
      <c r="UZG95" s="499"/>
      <c r="UZH95" s="499"/>
      <c r="UZI95" s="499"/>
      <c r="UZJ95" s="499"/>
      <c r="UZK95" s="499"/>
      <c r="UZL95" s="499"/>
      <c r="UZM95" s="499"/>
      <c r="UZN95" s="499"/>
      <c r="UZO95" s="499"/>
      <c r="UZP95" s="499"/>
      <c r="UZQ95" s="499"/>
      <c r="UZR95" s="499"/>
      <c r="UZS95" s="499"/>
      <c r="UZT95" s="499"/>
      <c r="UZU95" s="499"/>
      <c r="UZV95" s="499"/>
      <c r="UZW95" s="499"/>
      <c r="UZX95" s="499"/>
      <c r="UZY95" s="499"/>
      <c r="UZZ95" s="499"/>
      <c r="VAA95" s="499"/>
      <c r="VAB95" s="499"/>
      <c r="VAC95" s="499"/>
      <c r="VAD95" s="499"/>
      <c r="VAE95" s="499"/>
      <c r="VAF95" s="499"/>
      <c r="VAG95" s="499"/>
      <c r="VAH95" s="499"/>
      <c r="VAI95" s="499"/>
      <c r="VAJ95" s="499"/>
      <c r="VAK95" s="499"/>
      <c r="VAL95" s="499"/>
      <c r="VAM95" s="499"/>
      <c r="VAN95" s="499"/>
      <c r="VAO95" s="499"/>
      <c r="VAP95" s="499"/>
      <c r="VAQ95" s="499"/>
      <c r="VAR95" s="499"/>
      <c r="VAS95" s="499"/>
      <c r="VAT95" s="499"/>
      <c r="VAU95" s="499"/>
      <c r="VAV95" s="499"/>
      <c r="VAW95" s="499"/>
      <c r="VAX95" s="499"/>
      <c r="VAY95" s="499"/>
      <c r="VAZ95" s="499"/>
      <c r="VBA95" s="499"/>
      <c r="VBB95" s="499"/>
      <c r="VBC95" s="499"/>
      <c r="VBD95" s="499"/>
      <c r="VBE95" s="499"/>
      <c r="VBF95" s="499"/>
      <c r="VBG95" s="499"/>
      <c r="VBH95" s="499"/>
      <c r="VBI95" s="499"/>
      <c r="VBJ95" s="499"/>
      <c r="VBK95" s="499"/>
      <c r="VBL95" s="499"/>
      <c r="VBM95" s="499"/>
      <c r="VBN95" s="499"/>
      <c r="VBO95" s="499"/>
      <c r="VBP95" s="499"/>
      <c r="VBQ95" s="499"/>
      <c r="VBR95" s="499"/>
      <c r="VBS95" s="499"/>
      <c r="VBT95" s="499"/>
      <c r="VBU95" s="499"/>
      <c r="VBV95" s="499"/>
      <c r="VBW95" s="499"/>
      <c r="VBX95" s="499"/>
      <c r="VBY95" s="499"/>
      <c r="VBZ95" s="499"/>
      <c r="VCA95" s="499"/>
      <c r="VCB95" s="499"/>
      <c r="VCC95" s="499"/>
      <c r="VCD95" s="499"/>
      <c r="VCE95" s="499"/>
      <c r="VCF95" s="499"/>
      <c r="VCG95" s="499"/>
      <c r="VCH95" s="499"/>
      <c r="VCI95" s="499"/>
      <c r="VCJ95" s="499"/>
      <c r="VCK95" s="499"/>
      <c r="VCL95" s="499"/>
      <c r="VCM95" s="499"/>
      <c r="VCN95" s="499"/>
      <c r="VCO95" s="499"/>
      <c r="VCP95" s="499"/>
      <c r="VCQ95" s="499"/>
      <c r="VCR95" s="499"/>
      <c r="VCS95" s="499"/>
      <c r="VCT95" s="499"/>
      <c r="VCU95" s="499"/>
      <c r="VCV95" s="499"/>
      <c r="VCW95" s="499"/>
      <c r="VCX95" s="499"/>
      <c r="VCY95" s="499"/>
      <c r="VCZ95" s="499"/>
      <c r="VDA95" s="499"/>
      <c r="VDB95" s="499"/>
      <c r="VDC95" s="499"/>
      <c r="VDD95" s="499"/>
      <c r="VDE95" s="499"/>
      <c r="VDF95" s="499"/>
      <c r="VDG95" s="499"/>
      <c r="VDH95" s="499"/>
      <c r="VDI95" s="499"/>
      <c r="VDJ95" s="499"/>
      <c r="VDK95" s="499"/>
      <c r="VDL95" s="499"/>
      <c r="VDM95" s="499"/>
      <c r="VDN95" s="499"/>
      <c r="VDO95" s="499"/>
      <c r="VDP95" s="499"/>
      <c r="VDQ95" s="499"/>
      <c r="VDR95" s="499"/>
      <c r="VDS95" s="499"/>
      <c r="VDT95" s="499"/>
      <c r="VDU95" s="499"/>
      <c r="VDV95" s="499"/>
      <c r="VDW95" s="499"/>
      <c r="VDX95" s="499"/>
      <c r="VDY95" s="499"/>
      <c r="VDZ95" s="499"/>
      <c r="VEA95" s="499"/>
      <c r="VEB95" s="499"/>
      <c r="VEC95" s="499"/>
      <c r="VED95" s="499"/>
      <c r="VEE95" s="499"/>
      <c r="VEF95" s="499"/>
      <c r="VEG95" s="499"/>
      <c r="VEH95" s="499"/>
      <c r="VEI95" s="499"/>
      <c r="VEJ95" s="499"/>
      <c r="VEK95" s="499"/>
      <c r="VEL95" s="499"/>
      <c r="VEM95" s="499"/>
      <c r="VEN95" s="499"/>
      <c r="VEO95" s="499"/>
      <c r="VEP95" s="499"/>
      <c r="VEQ95" s="499"/>
      <c r="VER95" s="499"/>
      <c r="VES95" s="499"/>
      <c r="VET95" s="499"/>
      <c r="VEU95" s="499"/>
      <c r="VEV95" s="499"/>
      <c r="VEW95" s="499"/>
      <c r="VEX95" s="499"/>
      <c r="VEY95" s="499"/>
      <c r="VEZ95" s="499"/>
      <c r="VFA95" s="499"/>
      <c r="VFB95" s="499"/>
      <c r="VFC95" s="499"/>
      <c r="VFD95" s="499"/>
      <c r="VFE95" s="499"/>
      <c r="VFF95" s="499"/>
      <c r="VFG95" s="499"/>
      <c r="VFH95" s="499"/>
      <c r="VFI95" s="499"/>
      <c r="VFJ95" s="499"/>
      <c r="VFK95" s="499"/>
      <c r="VFL95" s="499"/>
      <c r="VFM95" s="499"/>
      <c r="VFN95" s="499"/>
      <c r="VFO95" s="499"/>
      <c r="VFP95" s="499"/>
      <c r="VFQ95" s="499"/>
      <c r="VFR95" s="499"/>
      <c r="VFS95" s="499"/>
      <c r="VFT95" s="499"/>
      <c r="VFU95" s="499"/>
      <c r="VFV95" s="499"/>
      <c r="VFW95" s="499"/>
      <c r="VFX95" s="499"/>
      <c r="VFY95" s="499"/>
      <c r="VFZ95" s="499"/>
      <c r="VGA95" s="499"/>
      <c r="VGB95" s="499"/>
      <c r="VGC95" s="499"/>
      <c r="VGD95" s="499"/>
      <c r="VGE95" s="499"/>
      <c r="VGF95" s="499"/>
      <c r="VGG95" s="499"/>
      <c r="VGH95" s="499"/>
      <c r="VGI95" s="499"/>
      <c r="VGJ95" s="499"/>
      <c r="VGK95" s="499"/>
      <c r="VGL95" s="499"/>
      <c r="VGM95" s="499"/>
      <c r="VGN95" s="499"/>
      <c r="VGO95" s="499"/>
      <c r="VGP95" s="499"/>
      <c r="VGQ95" s="499"/>
      <c r="VGR95" s="499"/>
      <c r="VGS95" s="499"/>
      <c r="VGT95" s="499"/>
      <c r="VGU95" s="499"/>
      <c r="VGV95" s="499"/>
      <c r="VGW95" s="499"/>
      <c r="VGX95" s="499"/>
      <c r="VGY95" s="499"/>
      <c r="VGZ95" s="499"/>
      <c r="VHA95" s="499"/>
      <c r="VHB95" s="499"/>
      <c r="VHC95" s="499"/>
      <c r="VHD95" s="499"/>
      <c r="VHE95" s="499"/>
      <c r="VHF95" s="499"/>
      <c r="VHG95" s="499"/>
      <c r="VHH95" s="499"/>
      <c r="VHI95" s="499"/>
      <c r="VHJ95" s="499"/>
      <c r="VHK95" s="499"/>
      <c r="VHL95" s="499"/>
      <c r="VHM95" s="499"/>
      <c r="VHN95" s="499"/>
      <c r="VHO95" s="499"/>
      <c r="VHP95" s="499"/>
      <c r="VHQ95" s="499"/>
      <c r="VHR95" s="499"/>
      <c r="VHS95" s="499"/>
      <c r="VHT95" s="499"/>
      <c r="VHU95" s="499"/>
      <c r="VHV95" s="499"/>
      <c r="VHW95" s="499"/>
      <c r="VHX95" s="499"/>
      <c r="VHY95" s="499"/>
      <c r="VHZ95" s="499"/>
      <c r="VIA95" s="499"/>
      <c r="VIB95" s="499"/>
      <c r="VIC95" s="499"/>
      <c r="VID95" s="499"/>
      <c r="VIE95" s="499"/>
      <c r="VIF95" s="499"/>
      <c r="VIG95" s="499"/>
      <c r="VIH95" s="499"/>
      <c r="VII95" s="499"/>
      <c r="VIJ95" s="499"/>
      <c r="VIK95" s="499"/>
      <c r="VIL95" s="499"/>
      <c r="VIM95" s="499"/>
      <c r="VIN95" s="499"/>
      <c r="VIO95" s="499"/>
      <c r="VIP95" s="499"/>
      <c r="VIQ95" s="499"/>
      <c r="VIR95" s="499"/>
      <c r="VIS95" s="499"/>
      <c r="VIT95" s="499"/>
      <c r="VIU95" s="499"/>
      <c r="VIV95" s="499"/>
      <c r="VIW95" s="499"/>
      <c r="VIX95" s="499"/>
      <c r="VIY95" s="499"/>
      <c r="VIZ95" s="499"/>
      <c r="VJA95" s="499"/>
      <c r="VJB95" s="499"/>
      <c r="VJC95" s="499"/>
      <c r="VJD95" s="499"/>
      <c r="VJE95" s="499"/>
      <c r="VJF95" s="499"/>
      <c r="VJG95" s="499"/>
      <c r="VJH95" s="499"/>
      <c r="VJI95" s="499"/>
      <c r="VJJ95" s="499"/>
      <c r="VJK95" s="499"/>
      <c r="VJL95" s="499"/>
      <c r="VJM95" s="499"/>
      <c r="VJN95" s="499"/>
      <c r="VJO95" s="499"/>
      <c r="VJP95" s="499"/>
      <c r="VJQ95" s="499"/>
      <c r="VJR95" s="499"/>
      <c r="VJS95" s="499"/>
      <c r="VJT95" s="499"/>
      <c r="VJU95" s="499"/>
      <c r="VJV95" s="499"/>
      <c r="VJW95" s="499"/>
      <c r="VJX95" s="499"/>
      <c r="VJY95" s="499"/>
      <c r="VJZ95" s="499"/>
      <c r="VKA95" s="499"/>
      <c r="VKB95" s="499"/>
      <c r="VKC95" s="499"/>
      <c r="VKD95" s="499"/>
      <c r="VKE95" s="499"/>
      <c r="VKF95" s="499"/>
      <c r="VKG95" s="499"/>
      <c r="VKH95" s="499"/>
      <c r="VKI95" s="499"/>
      <c r="VKJ95" s="499"/>
      <c r="VKK95" s="499"/>
      <c r="VKL95" s="499"/>
      <c r="VKM95" s="499"/>
      <c r="VKN95" s="499"/>
      <c r="VKO95" s="499"/>
      <c r="VKP95" s="499"/>
      <c r="VKQ95" s="499"/>
      <c r="VKR95" s="499"/>
      <c r="VKS95" s="499"/>
      <c r="VKT95" s="499"/>
      <c r="VKU95" s="499"/>
      <c r="VKV95" s="499"/>
      <c r="VKW95" s="499"/>
      <c r="VKX95" s="499"/>
      <c r="VKY95" s="499"/>
      <c r="VKZ95" s="499"/>
      <c r="VLA95" s="499"/>
      <c r="VLB95" s="499"/>
      <c r="VLC95" s="499"/>
      <c r="VLD95" s="499"/>
      <c r="VLE95" s="499"/>
      <c r="VLF95" s="499"/>
      <c r="VLG95" s="499"/>
      <c r="VLH95" s="499"/>
      <c r="VLI95" s="499"/>
      <c r="VLJ95" s="499"/>
      <c r="VLK95" s="499"/>
      <c r="VLL95" s="499"/>
      <c r="VLM95" s="499"/>
      <c r="VLN95" s="499"/>
      <c r="VLO95" s="499"/>
      <c r="VLP95" s="499"/>
      <c r="VLQ95" s="499"/>
      <c r="VLR95" s="499"/>
      <c r="VLS95" s="499"/>
      <c r="VLT95" s="499"/>
      <c r="VLU95" s="499"/>
      <c r="VLV95" s="499"/>
      <c r="VLW95" s="499"/>
      <c r="VLX95" s="499"/>
      <c r="VLY95" s="499"/>
      <c r="VLZ95" s="499"/>
      <c r="VMA95" s="499"/>
      <c r="VMB95" s="499"/>
      <c r="VMC95" s="499"/>
      <c r="VMD95" s="499"/>
      <c r="VME95" s="499"/>
      <c r="VMF95" s="499"/>
      <c r="VMG95" s="499"/>
      <c r="VMH95" s="499"/>
      <c r="VMI95" s="499"/>
      <c r="VMJ95" s="499"/>
      <c r="VMK95" s="499"/>
      <c r="VML95" s="499"/>
      <c r="VMM95" s="499"/>
      <c r="VMN95" s="499"/>
      <c r="VMO95" s="499"/>
      <c r="VMP95" s="499"/>
      <c r="VMQ95" s="499"/>
      <c r="VMR95" s="499"/>
      <c r="VMS95" s="499"/>
      <c r="VMT95" s="499"/>
      <c r="VMU95" s="499"/>
      <c r="VMV95" s="499"/>
      <c r="VMW95" s="499"/>
      <c r="VMX95" s="499"/>
      <c r="VMY95" s="499"/>
      <c r="VMZ95" s="499"/>
      <c r="VNA95" s="499"/>
      <c r="VNB95" s="499"/>
      <c r="VNC95" s="499"/>
      <c r="VND95" s="499"/>
      <c r="VNE95" s="499"/>
      <c r="VNF95" s="499"/>
      <c r="VNG95" s="499"/>
      <c r="VNH95" s="499"/>
      <c r="VNI95" s="499"/>
      <c r="VNJ95" s="499"/>
      <c r="VNK95" s="499"/>
      <c r="VNL95" s="499"/>
      <c r="VNM95" s="499"/>
      <c r="VNN95" s="499"/>
      <c r="VNO95" s="499"/>
      <c r="VNP95" s="499"/>
      <c r="VNQ95" s="499"/>
      <c r="VNR95" s="499"/>
      <c r="VNS95" s="499"/>
      <c r="VNT95" s="499"/>
      <c r="VNU95" s="499"/>
      <c r="VNV95" s="499"/>
      <c r="VNW95" s="499"/>
      <c r="VNX95" s="499"/>
      <c r="VNY95" s="499"/>
      <c r="VNZ95" s="499"/>
      <c r="VOA95" s="499"/>
      <c r="VOB95" s="499"/>
      <c r="VOC95" s="499"/>
      <c r="VOD95" s="499"/>
      <c r="VOE95" s="499"/>
      <c r="VOF95" s="499"/>
      <c r="VOG95" s="499"/>
      <c r="VOH95" s="499"/>
      <c r="VOI95" s="499"/>
      <c r="VOJ95" s="499"/>
      <c r="VOK95" s="499"/>
      <c r="VOL95" s="499"/>
      <c r="VOM95" s="499"/>
      <c r="VON95" s="499"/>
      <c r="VOO95" s="499"/>
      <c r="VOP95" s="499"/>
      <c r="VOQ95" s="499"/>
      <c r="VOR95" s="499"/>
      <c r="VOS95" s="499"/>
      <c r="VOT95" s="499"/>
      <c r="VOU95" s="499"/>
      <c r="VOV95" s="499"/>
      <c r="VOW95" s="499"/>
      <c r="VOX95" s="499"/>
      <c r="VOY95" s="499"/>
      <c r="VOZ95" s="499"/>
      <c r="VPA95" s="499"/>
      <c r="VPB95" s="499"/>
      <c r="VPC95" s="499"/>
      <c r="VPD95" s="499"/>
      <c r="VPE95" s="499"/>
      <c r="VPF95" s="499"/>
      <c r="VPG95" s="499"/>
      <c r="VPH95" s="499"/>
      <c r="VPI95" s="499"/>
      <c r="VPJ95" s="499"/>
      <c r="VPK95" s="499"/>
      <c r="VPL95" s="499"/>
      <c r="VPM95" s="499"/>
      <c r="VPN95" s="499"/>
      <c r="VPO95" s="499"/>
      <c r="VPP95" s="499"/>
      <c r="VPQ95" s="499"/>
      <c r="VPR95" s="499"/>
      <c r="VPS95" s="499"/>
      <c r="VPT95" s="499"/>
      <c r="VPU95" s="499"/>
      <c r="VPV95" s="499"/>
      <c r="VPW95" s="499"/>
      <c r="VPX95" s="499"/>
      <c r="VPY95" s="499"/>
      <c r="VPZ95" s="499"/>
      <c r="VQA95" s="499"/>
      <c r="VQB95" s="499"/>
      <c r="VQC95" s="499"/>
      <c r="VQD95" s="499"/>
      <c r="VQE95" s="499"/>
      <c r="VQF95" s="499"/>
      <c r="VQG95" s="499"/>
      <c r="VQH95" s="499"/>
      <c r="VQI95" s="499"/>
      <c r="VQJ95" s="499"/>
      <c r="VQK95" s="499"/>
      <c r="VQL95" s="499"/>
      <c r="VQM95" s="499"/>
      <c r="VQN95" s="499"/>
      <c r="VQO95" s="499"/>
      <c r="VQP95" s="499"/>
      <c r="VQQ95" s="499"/>
      <c r="VQR95" s="499"/>
      <c r="VQS95" s="499"/>
      <c r="VQT95" s="499"/>
      <c r="VQU95" s="499"/>
      <c r="VQV95" s="499"/>
      <c r="VQW95" s="499"/>
      <c r="VQX95" s="499"/>
      <c r="VQY95" s="499"/>
      <c r="VQZ95" s="499"/>
      <c r="VRA95" s="499"/>
      <c r="VRB95" s="499"/>
      <c r="VRC95" s="499"/>
      <c r="VRD95" s="499"/>
      <c r="VRE95" s="499"/>
      <c r="VRF95" s="499"/>
      <c r="VRG95" s="499"/>
      <c r="VRH95" s="499"/>
      <c r="VRI95" s="499"/>
      <c r="VRJ95" s="499"/>
      <c r="VRK95" s="499"/>
      <c r="VRL95" s="499"/>
      <c r="VRM95" s="499"/>
      <c r="VRN95" s="499"/>
      <c r="VRO95" s="499"/>
      <c r="VRP95" s="499"/>
      <c r="VRQ95" s="499"/>
      <c r="VRR95" s="499"/>
      <c r="VRS95" s="499"/>
      <c r="VRT95" s="499"/>
      <c r="VRU95" s="499"/>
      <c r="VRV95" s="499"/>
      <c r="VRW95" s="499"/>
      <c r="VRX95" s="499"/>
      <c r="VRY95" s="499"/>
      <c r="VRZ95" s="499"/>
      <c r="VSA95" s="499"/>
      <c r="VSB95" s="499"/>
      <c r="VSC95" s="499"/>
      <c r="VSD95" s="499"/>
      <c r="VSE95" s="499"/>
      <c r="VSF95" s="499"/>
      <c r="VSG95" s="499"/>
      <c r="VSH95" s="499"/>
      <c r="VSI95" s="499"/>
      <c r="VSJ95" s="499"/>
      <c r="VSK95" s="499"/>
      <c r="VSL95" s="499"/>
      <c r="VSM95" s="499"/>
      <c r="VSN95" s="499"/>
      <c r="VSO95" s="499"/>
      <c r="VSP95" s="499"/>
      <c r="VSQ95" s="499"/>
      <c r="VSR95" s="499"/>
      <c r="VSS95" s="499"/>
      <c r="VST95" s="499"/>
      <c r="VSU95" s="499"/>
      <c r="VSV95" s="499"/>
      <c r="VSW95" s="499"/>
      <c r="VSX95" s="499"/>
      <c r="VSY95" s="499"/>
      <c r="VSZ95" s="499"/>
      <c r="VTA95" s="499"/>
      <c r="VTB95" s="499"/>
      <c r="VTC95" s="499"/>
      <c r="VTD95" s="499"/>
      <c r="VTE95" s="499"/>
      <c r="VTF95" s="499"/>
      <c r="VTG95" s="499"/>
      <c r="VTH95" s="499"/>
      <c r="VTI95" s="499"/>
      <c r="VTJ95" s="499"/>
      <c r="VTK95" s="499"/>
      <c r="VTL95" s="499"/>
      <c r="VTM95" s="499"/>
      <c r="VTN95" s="499"/>
      <c r="VTO95" s="499"/>
      <c r="VTP95" s="499"/>
      <c r="VTQ95" s="499"/>
      <c r="VTR95" s="499"/>
      <c r="VTS95" s="499"/>
      <c r="VTT95" s="499"/>
      <c r="VTU95" s="499"/>
      <c r="VTV95" s="499"/>
      <c r="VTW95" s="499"/>
      <c r="VTX95" s="499"/>
      <c r="VTY95" s="499"/>
      <c r="VTZ95" s="499"/>
      <c r="VUA95" s="499"/>
      <c r="VUB95" s="499"/>
      <c r="VUC95" s="499"/>
      <c r="VUD95" s="499"/>
      <c r="VUE95" s="499"/>
      <c r="VUF95" s="499"/>
      <c r="VUG95" s="499"/>
      <c r="VUH95" s="499"/>
      <c r="VUI95" s="499"/>
      <c r="VUJ95" s="499"/>
      <c r="VUK95" s="499"/>
      <c r="VUL95" s="499"/>
      <c r="VUM95" s="499"/>
      <c r="VUN95" s="499"/>
      <c r="VUO95" s="499"/>
      <c r="VUP95" s="499"/>
      <c r="VUQ95" s="499"/>
      <c r="VUR95" s="499"/>
      <c r="VUS95" s="499"/>
      <c r="VUT95" s="499"/>
      <c r="VUU95" s="499"/>
      <c r="VUV95" s="499"/>
      <c r="VUW95" s="499"/>
      <c r="VUX95" s="499"/>
      <c r="VUY95" s="499"/>
      <c r="VUZ95" s="499"/>
      <c r="VVA95" s="499"/>
      <c r="VVB95" s="499"/>
      <c r="VVC95" s="499"/>
      <c r="VVD95" s="499"/>
      <c r="VVE95" s="499"/>
      <c r="VVF95" s="499"/>
      <c r="VVG95" s="499"/>
      <c r="VVH95" s="499"/>
      <c r="VVI95" s="499"/>
      <c r="VVJ95" s="499"/>
      <c r="VVK95" s="499"/>
      <c r="VVL95" s="499"/>
      <c r="VVM95" s="499"/>
      <c r="VVN95" s="499"/>
      <c r="VVO95" s="499"/>
      <c r="VVP95" s="499"/>
      <c r="VVQ95" s="499"/>
      <c r="VVR95" s="499"/>
      <c r="VVS95" s="499"/>
      <c r="VVT95" s="499"/>
      <c r="VVU95" s="499"/>
      <c r="VVV95" s="499"/>
      <c r="VVW95" s="499"/>
      <c r="VVX95" s="499"/>
      <c r="VVY95" s="499"/>
      <c r="VVZ95" s="499"/>
      <c r="VWA95" s="499"/>
      <c r="VWB95" s="499"/>
      <c r="VWC95" s="499"/>
      <c r="VWD95" s="499"/>
      <c r="VWE95" s="499"/>
      <c r="VWF95" s="499"/>
      <c r="VWG95" s="499"/>
      <c r="VWH95" s="499"/>
      <c r="VWI95" s="499"/>
      <c r="VWJ95" s="499"/>
      <c r="VWK95" s="499"/>
      <c r="VWL95" s="499"/>
      <c r="VWM95" s="499"/>
      <c r="VWN95" s="499"/>
      <c r="VWO95" s="499"/>
      <c r="VWP95" s="499"/>
      <c r="VWQ95" s="499"/>
      <c r="VWR95" s="499"/>
      <c r="VWS95" s="499"/>
      <c r="VWT95" s="499"/>
      <c r="VWU95" s="499"/>
      <c r="VWV95" s="499"/>
      <c r="VWW95" s="499"/>
      <c r="VWX95" s="499"/>
      <c r="VWY95" s="499"/>
      <c r="VWZ95" s="499"/>
      <c r="VXA95" s="499"/>
      <c r="VXB95" s="499"/>
      <c r="VXC95" s="499"/>
      <c r="VXD95" s="499"/>
      <c r="VXE95" s="499"/>
      <c r="VXF95" s="499"/>
      <c r="VXG95" s="499"/>
      <c r="VXH95" s="499"/>
      <c r="VXI95" s="499"/>
      <c r="VXJ95" s="499"/>
      <c r="VXK95" s="499"/>
      <c r="VXL95" s="499"/>
      <c r="VXM95" s="499"/>
      <c r="VXN95" s="499"/>
      <c r="VXO95" s="499"/>
      <c r="VXP95" s="499"/>
      <c r="VXQ95" s="499"/>
      <c r="VXR95" s="499"/>
      <c r="VXS95" s="499"/>
      <c r="VXT95" s="499"/>
      <c r="VXU95" s="499"/>
      <c r="VXV95" s="499"/>
      <c r="VXW95" s="499"/>
      <c r="VXX95" s="499"/>
      <c r="VXY95" s="499"/>
      <c r="VXZ95" s="499"/>
      <c r="VYA95" s="499"/>
      <c r="VYB95" s="499"/>
      <c r="VYC95" s="499"/>
      <c r="VYD95" s="499"/>
      <c r="VYE95" s="499"/>
      <c r="VYF95" s="499"/>
      <c r="VYG95" s="499"/>
      <c r="VYH95" s="499"/>
      <c r="VYI95" s="499"/>
      <c r="VYJ95" s="499"/>
      <c r="VYK95" s="499"/>
      <c r="VYL95" s="499"/>
      <c r="VYM95" s="499"/>
      <c r="VYN95" s="499"/>
      <c r="VYO95" s="499"/>
      <c r="VYP95" s="499"/>
      <c r="VYQ95" s="499"/>
      <c r="VYR95" s="499"/>
      <c r="VYS95" s="499"/>
      <c r="VYT95" s="499"/>
      <c r="VYU95" s="499"/>
      <c r="VYV95" s="499"/>
      <c r="VYW95" s="499"/>
      <c r="VYX95" s="499"/>
      <c r="VYY95" s="499"/>
      <c r="VYZ95" s="499"/>
      <c r="VZA95" s="499"/>
      <c r="VZB95" s="499"/>
      <c r="VZC95" s="499"/>
      <c r="VZD95" s="499"/>
      <c r="VZE95" s="499"/>
      <c r="VZF95" s="499"/>
      <c r="VZG95" s="499"/>
      <c r="VZH95" s="499"/>
      <c r="VZI95" s="499"/>
      <c r="VZJ95" s="499"/>
      <c r="VZK95" s="499"/>
      <c r="VZL95" s="499"/>
      <c r="VZM95" s="499"/>
      <c r="VZN95" s="499"/>
      <c r="VZO95" s="499"/>
      <c r="VZP95" s="499"/>
      <c r="VZQ95" s="499"/>
      <c r="VZR95" s="499"/>
      <c r="VZS95" s="499"/>
      <c r="VZT95" s="499"/>
      <c r="VZU95" s="499"/>
      <c r="VZV95" s="499"/>
      <c r="VZW95" s="499"/>
      <c r="VZX95" s="499"/>
      <c r="VZY95" s="499"/>
      <c r="VZZ95" s="499"/>
      <c r="WAA95" s="499"/>
      <c r="WAB95" s="499"/>
      <c r="WAC95" s="499"/>
      <c r="WAD95" s="499"/>
      <c r="WAE95" s="499"/>
      <c r="WAF95" s="499"/>
      <c r="WAG95" s="499"/>
      <c r="WAH95" s="499"/>
      <c r="WAI95" s="499"/>
      <c r="WAJ95" s="499"/>
      <c r="WAK95" s="499"/>
      <c r="WAL95" s="499"/>
      <c r="WAM95" s="499"/>
      <c r="WAN95" s="499"/>
      <c r="WAO95" s="499"/>
      <c r="WAP95" s="499"/>
      <c r="WAQ95" s="499"/>
      <c r="WAR95" s="499"/>
      <c r="WAS95" s="499"/>
      <c r="WAT95" s="499"/>
      <c r="WAU95" s="499"/>
      <c r="WAV95" s="499"/>
      <c r="WAW95" s="499"/>
      <c r="WAX95" s="499"/>
      <c r="WAY95" s="499"/>
      <c r="WAZ95" s="499"/>
      <c r="WBA95" s="499"/>
      <c r="WBB95" s="499"/>
      <c r="WBC95" s="499"/>
      <c r="WBD95" s="499"/>
      <c r="WBE95" s="499"/>
      <c r="WBF95" s="499"/>
      <c r="WBG95" s="499"/>
      <c r="WBH95" s="499"/>
      <c r="WBI95" s="499"/>
      <c r="WBJ95" s="499"/>
      <c r="WBK95" s="499"/>
      <c r="WBL95" s="499"/>
      <c r="WBM95" s="499"/>
      <c r="WBN95" s="499"/>
      <c r="WBO95" s="499"/>
      <c r="WBP95" s="499"/>
      <c r="WBQ95" s="499"/>
      <c r="WBR95" s="499"/>
      <c r="WBS95" s="499"/>
      <c r="WBT95" s="499"/>
      <c r="WBU95" s="499"/>
      <c r="WBV95" s="499"/>
      <c r="WBW95" s="499"/>
      <c r="WBX95" s="499"/>
      <c r="WBY95" s="499"/>
      <c r="WBZ95" s="499"/>
      <c r="WCA95" s="499"/>
      <c r="WCB95" s="499"/>
      <c r="WCC95" s="499"/>
      <c r="WCD95" s="499"/>
      <c r="WCE95" s="499"/>
      <c r="WCF95" s="499"/>
      <c r="WCG95" s="499"/>
      <c r="WCH95" s="499"/>
      <c r="WCI95" s="499"/>
      <c r="WCJ95" s="499"/>
      <c r="WCK95" s="499"/>
      <c r="WCL95" s="499"/>
      <c r="WCM95" s="499"/>
      <c r="WCN95" s="499"/>
      <c r="WCO95" s="499"/>
      <c r="WCP95" s="499"/>
      <c r="WCQ95" s="499"/>
      <c r="WCR95" s="499"/>
      <c r="WCS95" s="499"/>
      <c r="WCT95" s="499"/>
      <c r="WCU95" s="499"/>
      <c r="WCV95" s="499"/>
      <c r="WCW95" s="499"/>
      <c r="WCX95" s="499"/>
      <c r="WCY95" s="499"/>
      <c r="WCZ95" s="499"/>
      <c r="WDA95" s="499"/>
      <c r="WDB95" s="499"/>
      <c r="WDC95" s="499"/>
      <c r="WDD95" s="499"/>
      <c r="WDE95" s="499"/>
      <c r="WDF95" s="499"/>
      <c r="WDG95" s="499"/>
      <c r="WDH95" s="499"/>
      <c r="WDI95" s="499"/>
      <c r="WDJ95" s="499"/>
      <c r="WDK95" s="499"/>
      <c r="WDL95" s="499"/>
      <c r="WDM95" s="499"/>
      <c r="WDN95" s="499"/>
      <c r="WDO95" s="499"/>
      <c r="WDP95" s="499"/>
      <c r="WDQ95" s="499"/>
      <c r="WDR95" s="499"/>
      <c r="WDS95" s="499"/>
      <c r="WDT95" s="499"/>
      <c r="WDU95" s="499"/>
      <c r="WDV95" s="499"/>
      <c r="WDW95" s="499"/>
      <c r="WDX95" s="499"/>
      <c r="WDY95" s="499"/>
      <c r="WDZ95" s="499"/>
      <c r="WEA95" s="499"/>
      <c r="WEB95" s="499"/>
      <c r="WEC95" s="499"/>
      <c r="WED95" s="499"/>
      <c r="WEE95" s="499"/>
      <c r="WEF95" s="499"/>
      <c r="WEG95" s="499"/>
      <c r="WEH95" s="499"/>
      <c r="WEI95" s="499"/>
      <c r="WEJ95" s="499"/>
      <c r="WEK95" s="499"/>
      <c r="WEL95" s="499"/>
      <c r="WEM95" s="499"/>
      <c r="WEN95" s="499"/>
      <c r="WEO95" s="499"/>
      <c r="WEP95" s="499"/>
      <c r="WEQ95" s="499"/>
      <c r="WER95" s="499"/>
      <c r="WES95" s="499"/>
      <c r="WET95" s="499"/>
      <c r="WEU95" s="499"/>
      <c r="WEV95" s="499"/>
      <c r="WEW95" s="499"/>
      <c r="WEX95" s="499"/>
      <c r="WEY95" s="499"/>
      <c r="WEZ95" s="499"/>
      <c r="WFA95" s="499"/>
      <c r="WFB95" s="499"/>
      <c r="WFC95" s="499"/>
      <c r="WFD95" s="499"/>
      <c r="WFE95" s="499"/>
      <c r="WFF95" s="499"/>
      <c r="WFG95" s="499"/>
      <c r="WFH95" s="499"/>
      <c r="WFI95" s="499"/>
      <c r="WFJ95" s="499"/>
      <c r="WFK95" s="499"/>
      <c r="WFL95" s="499"/>
      <c r="WFM95" s="499"/>
      <c r="WFN95" s="499"/>
      <c r="WFO95" s="499"/>
      <c r="WFP95" s="499"/>
      <c r="WFQ95" s="499"/>
      <c r="WFR95" s="499"/>
      <c r="WFS95" s="499"/>
      <c r="WFT95" s="499"/>
      <c r="WFU95" s="499"/>
      <c r="WFV95" s="499"/>
      <c r="WFW95" s="499"/>
      <c r="WFX95" s="499"/>
      <c r="WFY95" s="499"/>
      <c r="WFZ95" s="499"/>
      <c r="WGA95" s="499"/>
      <c r="WGB95" s="499"/>
      <c r="WGC95" s="499"/>
      <c r="WGD95" s="499"/>
      <c r="WGE95" s="499"/>
      <c r="WGF95" s="499"/>
      <c r="WGG95" s="499"/>
      <c r="WGH95" s="499"/>
      <c r="WGI95" s="499"/>
      <c r="WGJ95" s="499"/>
      <c r="WGK95" s="499"/>
      <c r="WGL95" s="499"/>
      <c r="WGM95" s="499"/>
      <c r="WGN95" s="499"/>
      <c r="WGO95" s="499"/>
      <c r="WGP95" s="499"/>
      <c r="WGQ95" s="499"/>
      <c r="WGR95" s="499"/>
      <c r="WGS95" s="499"/>
      <c r="WGT95" s="499"/>
      <c r="WGU95" s="499"/>
      <c r="WGV95" s="499"/>
      <c r="WGW95" s="499"/>
      <c r="WGX95" s="499"/>
      <c r="WGY95" s="499"/>
      <c r="WGZ95" s="499"/>
      <c r="WHA95" s="499"/>
      <c r="WHB95" s="499"/>
      <c r="WHC95" s="499"/>
      <c r="WHD95" s="499"/>
      <c r="WHE95" s="499"/>
      <c r="WHF95" s="499"/>
      <c r="WHG95" s="499"/>
      <c r="WHH95" s="499"/>
      <c r="WHI95" s="499"/>
      <c r="WHJ95" s="499"/>
      <c r="WHK95" s="499"/>
      <c r="WHL95" s="499"/>
      <c r="WHM95" s="499"/>
      <c r="WHN95" s="499"/>
      <c r="WHO95" s="499"/>
      <c r="WHP95" s="499"/>
      <c r="WHQ95" s="499"/>
      <c r="WHR95" s="499"/>
      <c r="WHS95" s="499"/>
      <c r="WHT95" s="499"/>
      <c r="WHU95" s="499"/>
      <c r="WHV95" s="499"/>
      <c r="WHW95" s="499"/>
      <c r="WHX95" s="499"/>
      <c r="WHY95" s="499"/>
      <c r="WHZ95" s="499"/>
      <c r="WIA95" s="499"/>
      <c r="WIB95" s="499"/>
      <c r="WIC95" s="499"/>
      <c r="WID95" s="499"/>
      <c r="WIE95" s="499"/>
      <c r="WIF95" s="499"/>
      <c r="WIG95" s="499"/>
      <c r="WIH95" s="499"/>
      <c r="WII95" s="499"/>
      <c r="WIJ95" s="499"/>
      <c r="WIK95" s="499"/>
      <c r="WIL95" s="499"/>
      <c r="WIM95" s="499"/>
      <c r="WIN95" s="499"/>
      <c r="WIO95" s="499"/>
      <c r="WIP95" s="499"/>
      <c r="WIQ95" s="499"/>
      <c r="WIR95" s="499"/>
      <c r="WIS95" s="499"/>
      <c r="WIT95" s="499"/>
      <c r="WIU95" s="499"/>
      <c r="WIV95" s="499"/>
      <c r="WIW95" s="499"/>
      <c r="WIX95" s="499"/>
      <c r="WIY95" s="499"/>
      <c r="WIZ95" s="499"/>
      <c r="WJA95" s="499"/>
      <c r="WJB95" s="499"/>
      <c r="WJC95" s="499"/>
      <c r="WJD95" s="499"/>
      <c r="WJE95" s="499"/>
      <c r="WJF95" s="499"/>
      <c r="WJG95" s="499"/>
      <c r="WJH95" s="499"/>
      <c r="WJI95" s="499"/>
      <c r="WJJ95" s="499"/>
      <c r="WJK95" s="499"/>
      <c r="WJL95" s="499"/>
      <c r="WJM95" s="499"/>
      <c r="WJN95" s="499"/>
      <c r="WJO95" s="499"/>
      <c r="WJP95" s="499"/>
      <c r="WJQ95" s="499"/>
      <c r="WJR95" s="499"/>
      <c r="WJS95" s="499"/>
      <c r="WJT95" s="499"/>
      <c r="WJU95" s="499"/>
      <c r="WJV95" s="499"/>
      <c r="WJW95" s="499"/>
      <c r="WJX95" s="499"/>
      <c r="WJY95" s="499"/>
      <c r="WJZ95" s="499"/>
      <c r="WKA95" s="499"/>
      <c r="WKB95" s="499"/>
      <c r="WKC95" s="499"/>
      <c r="WKD95" s="499"/>
      <c r="WKE95" s="499"/>
      <c r="WKF95" s="499"/>
      <c r="WKG95" s="499"/>
      <c r="WKH95" s="499"/>
      <c r="WKI95" s="499"/>
      <c r="WKJ95" s="499"/>
      <c r="WKK95" s="499"/>
      <c r="WKL95" s="499"/>
      <c r="WKM95" s="499"/>
      <c r="WKN95" s="499"/>
      <c r="WKO95" s="499"/>
      <c r="WKP95" s="499"/>
      <c r="WKQ95" s="499"/>
      <c r="WKR95" s="499"/>
      <c r="WKS95" s="499"/>
      <c r="WKT95" s="499"/>
      <c r="WKU95" s="499"/>
      <c r="WKV95" s="499"/>
      <c r="WKW95" s="499"/>
      <c r="WKX95" s="499"/>
      <c r="WKY95" s="499"/>
      <c r="WKZ95" s="499"/>
      <c r="WLA95" s="499"/>
      <c r="WLB95" s="499"/>
      <c r="WLC95" s="499"/>
      <c r="WLD95" s="499"/>
      <c r="WLE95" s="499"/>
      <c r="WLF95" s="499"/>
      <c r="WLG95" s="499"/>
      <c r="WLH95" s="499"/>
      <c r="WLI95" s="499"/>
      <c r="WLJ95" s="499"/>
      <c r="WLK95" s="499"/>
      <c r="WLL95" s="499"/>
      <c r="WLM95" s="499"/>
      <c r="WLN95" s="499"/>
      <c r="WLO95" s="499"/>
      <c r="WLP95" s="499"/>
      <c r="WLQ95" s="499"/>
      <c r="WLR95" s="499"/>
      <c r="WLS95" s="499"/>
      <c r="WLT95" s="499"/>
      <c r="WLU95" s="499"/>
      <c r="WLV95" s="499"/>
      <c r="WLW95" s="499"/>
      <c r="WLX95" s="499"/>
      <c r="WLY95" s="499"/>
      <c r="WLZ95" s="499"/>
      <c r="WMA95" s="499"/>
      <c r="WMB95" s="499"/>
      <c r="WMC95" s="499"/>
      <c r="WMD95" s="499"/>
      <c r="WME95" s="499"/>
      <c r="WMF95" s="499"/>
      <c r="WMG95" s="499"/>
      <c r="WMH95" s="499"/>
      <c r="WMI95" s="499"/>
      <c r="WMJ95" s="499"/>
      <c r="WMK95" s="499"/>
      <c r="WML95" s="499"/>
      <c r="WMM95" s="499"/>
      <c r="WMN95" s="499"/>
      <c r="WMO95" s="499"/>
      <c r="WMP95" s="499"/>
      <c r="WMQ95" s="499"/>
      <c r="WMR95" s="499"/>
      <c r="WMS95" s="499"/>
      <c r="WMT95" s="499"/>
      <c r="WMU95" s="499"/>
      <c r="WMV95" s="499"/>
      <c r="WMW95" s="499"/>
      <c r="WMX95" s="499"/>
      <c r="WMY95" s="499"/>
      <c r="WMZ95" s="499"/>
      <c r="WNA95" s="499"/>
      <c r="WNB95" s="499"/>
      <c r="WNC95" s="499"/>
      <c r="WND95" s="499"/>
      <c r="WNE95" s="499"/>
      <c r="WNF95" s="499"/>
      <c r="WNG95" s="499"/>
      <c r="WNH95" s="499"/>
      <c r="WNI95" s="499"/>
      <c r="WNJ95" s="499"/>
      <c r="WNK95" s="499"/>
      <c r="WNL95" s="499"/>
      <c r="WNM95" s="499"/>
      <c r="WNN95" s="499"/>
      <c r="WNO95" s="499"/>
      <c r="WNP95" s="499"/>
      <c r="WNQ95" s="499"/>
      <c r="WNR95" s="499"/>
      <c r="WNS95" s="499"/>
      <c r="WNT95" s="499"/>
      <c r="WNU95" s="499"/>
      <c r="WNV95" s="499"/>
      <c r="WNW95" s="499"/>
      <c r="WNX95" s="499"/>
      <c r="WNY95" s="499"/>
      <c r="WNZ95" s="499"/>
      <c r="WOA95" s="499"/>
      <c r="WOB95" s="499"/>
      <c r="WOC95" s="499"/>
      <c r="WOD95" s="499"/>
      <c r="WOE95" s="499"/>
      <c r="WOF95" s="499"/>
      <c r="WOG95" s="499"/>
      <c r="WOH95" s="499"/>
      <c r="WOI95" s="499"/>
      <c r="WOJ95" s="499"/>
      <c r="WOK95" s="499"/>
      <c r="WOL95" s="499"/>
      <c r="WOM95" s="499"/>
      <c r="WON95" s="499"/>
      <c r="WOO95" s="499"/>
      <c r="WOP95" s="499"/>
      <c r="WOQ95" s="499"/>
      <c r="WOR95" s="499"/>
      <c r="WOS95" s="499"/>
      <c r="WOT95" s="499"/>
      <c r="WOU95" s="499"/>
      <c r="WOV95" s="499"/>
      <c r="WOW95" s="499"/>
      <c r="WOX95" s="499"/>
      <c r="WOY95" s="499"/>
      <c r="WOZ95" s="499"/>
      <c r="WPA95" s="499"/>
      <c r="WPB95" s="499"/>
      <c r="WPC95" s="499"/>
      <c r="WPD95" s="499"/>
      <c r="WPE95" s="499"/>
      <c r="WPF95" s="499"/>
      <c r="WPG95" s="499"/>
      <c r="WPH95" s="499"/>
      <c r="WPI95" s="499"/>
      <c r="WPJ95" s="499"/>
      <c r="WPK95" s="499"/>
      <c r="WPL95" s="499"/>
      <c r="WPM95" s="499"/>
      <c r="WPN95" s="499"/>
      <c r="WPO95" s="499"/>
      <c r="WPP95" s="499"/>
      <c r="WPQ95" s="499"/>
      <c r="WPR95" s="499"/>
      <c r="WPS95" s="499"/>
      <c r="WPT95" s="499"/>
      <c r="WPU95" s="499"/>
      <c r="WPV95" s="499"/>
      <c r="WPW95" s="499"/>
      <c r="WPX95" s="499"/>
      <c r="WPY95" s="499"/>
      <c r="WPZ95" s="499"/>
      <c r="WQA95" s="499"/>
      <c r="WQB95" s="499"/>
      <c r="WQC95" s="499"/>
      <c r="WQD95" s="499"/>
      <c r="WQE95" s="499"/>
      <c r="WQF95" s="499"/>
      <c r="WQG95" s="499"/>
      <c r="WQH95" s="499"/>
      <c r="WQI95" s="499"/>
      <c r="WQJ95" s="499"/>
      <c r="WQK95" s="499"/>
      <c r="WQL95" s="499"/>
      <c r="WQM95" s="499"/>
      <c r="WQN95" s="499"/>
      <c r="WQO95" s="499"/>
      <c r="WQP95" s="499"/>
      <c r="WQQ95" s="499"/>
      <c r="WQR95" s="499"/>
      <c r="WQS95" s="499"/>
      <c r="WQT95" s="499"/>
      <c r="WQU95" s="499"/>
      <c r="WQV95" s="499"/>
      <c r="WQW95" s="499"/>
      <c r="WQX95" s="499"/>
      <c r="WQY95" s="499"/>
      <c r="WQZ95" s="499"/>
      <c r="WRA95" s="499"/>
      <c r="WRB95" s="499"/>
      <c r="WRC95" s="499"/>
      <c r="WRD95" s="499"/>
      <c r="WRE95" s="499"/>
      <c r="WRF95" s="499"/>
      <c r="WRG95" s="499"/>
      <c r="WRH95" s="499"/>
      <c r="WRI95" s="499"/>
      <c r="WRJ95" s="499"/>
      <c r="WRK95" s="499"/>
      <c r="WRL95" s="499"/>
      <c r="WRM95" s="499"/>
      <c r="WRN95" s="499"/>
      <c r="WRO95" s="499"/>
      <c r="WRP95" s="499"/>
      <c r="WRQ95" s="499"/>
      <c r="WRR95" s="499"/>
      <c r="WRS95" s="499"/>
      <c r="WRT95" s="499"/>
      <c r="WRU95" s="499"/>
      <c r="WRV95" s="499"/>
      <c r="WRW95" s="499"/>
      <c r="WRX95" s="499"/>
      <c r="WRY95" s="499"/>
      <c r="WRZ95" s="499"/>
      <c r="WSA95" s="499"/>
      <c r="WSB95" s="499"/>
      <c r="WSC95" s="499"/>
      <c r="WSD95" s="499"/>
      <c r="WSE95" s="499"/>
      <c r="WSF95" s="499"/>
      <c r="WSG95" s="499"/>
      <c r="WSH95" s="499"/>
      <c r="WSI95" s="499"/>
      <c r="WSJ95" s="499"/>
      <c r="WSK95" s="499"/>
      <c r="WSL95" s="499"/>
      <c r="WSM95" s="499"/>
      <c r="WSN95" s="499"/>
      <c r="WSO95" s="499"/>
      <c r="WSP95" s="499"/>
      <c r="WSQ95" s="499"/>
      <c r="WSR95" s="499"/>
      <c r="WSS95" s="499"/>
      <c r="WST95" s="499"/>
      <c r="WSU95" s="499"/>
      <c r="WSV95" s="499"/>
      <c r="WSW95" s="499"/>
      <c r="WSX95" s="499"/>
      <c r="WSY95" s="499"/>
      <c r="WSZ95" s="499"/>
      <c r="WTA95" s="499"/>
      <c r="WTB95" s="499"/>
      <c r="WTC95" s="499"/>
      <c r="WTD95" s="499"/>
      <c r="WTE95" s="499"/>
      <c r="WTF95" s="499"/>
      <c r="WTG95" s="499"/>
      <c r="WTH95" s="499"/>
      <c r="WTI95" s="499"/>
      <c r="WTJ95" s="499"/>
      <c r="WTK95" s="499"/>
      <c r="WTL95" s="499"/>
      <c r="WTM95" s="499"/>
      <c r="WTN95" s="499"/>
      <c r="WTO95" s="499"/>
      <c r="WTP95" s="499"/>
      <c r="WTQ95" s="499"/>
      <c r="WTR95" s="499"/>
      <c r="WTS95" s="499"/>
      <c r="WTT95" s="499"/>
      <c r="WTU95" s="499"/>
      <c r="WTV95" s="499"/>
      <c r="WTW95" s="499"/>
      <c r="WTX95" s="499"/>
      <c r="WTY95" s="499"/>
      <c r="WTZ95" s="499"/>
      <c r="WUA95" s="499"/>
      <c r="WUB95" s="499"/>
      <c r="WUC95" s="499"/>
      <c r="WUD95" s="499"/>
      <c r="WUE95" s="499"/>
      <c r="WUF95" s="499"/>
      <c r="WUG95" s="499"/>
      <c r="WUH95" s="499"/>
      <c r="WUI95" s="499"/>
      <c r="WUJ95" s="499"/>
      <c r="WUK95" s="499"/>
      <c r="WUL95" s="499"/>
      <c r="WUM95" s="499"/>
      <c r="WUN95" s="499"/>
      <c r="WUO95" s="499"/>
      <c r="WUP95" s="499"/>
      <c r="WUQ95" s="499"/>
      <c r="WUR95" s="499"/>
      <c r="WUS95" s="499"/>
      <c r="WUT95" s="499"/>
      <c r="WUU95" s="499"/>
      <c r="WUV95" s="499"/>
      <c r="WUW95" s="499"/>
      <c r="WUX95" s="499"/>
      <c r="WUY95" s="499"/>
      <c r="WUZ95" s="499"/>
      <c r="WVA95" s="499"/>
      <c r="WVB95" s="499"/>
      <c r="WVC95" s="499"/>
      <c r="WVD95" s="499"/>
      <c r="WVE95" s="499"/>
      <c r="WVF95" s="499"/>
      <c r="WVG95" s="499"/>
      <c r="WVH95" s="499"/>
      <c r="WVI95" s="499"/>
      <c r="WVJ95" s="499"/>
      <c r="WVK95" s="499"/>
      <c r="WVL95" s="499"/>
      <c r="WVM95" s="499"/>
      <c r="WVN95" s="499"/>
      <c r="WVO95" s="499"/>
      <c r="WVP95" s="499"/>
      <c r="WVQ95" s="499"/>
      <c r="WVR95" s="499"/>
      <c r="WVS95" s="499"/>
      <c r="WVT95" s="499"/>
      <c r="WVU95" s="499"/>
      <c r="WVV95" s="499"/>
      <c r="WVW95" s="499"/>
      <c r="WVX95" s="499"/>
      <c r="WVY95" s="499"/>
      <c r="WVZ95" s="499"/>
      <c r="WWA95" s="499"/>
      <c r="WWB95" s="499"/>
      <c r="WWC95" s="499"/>
      <c r="WWD95" s="499"/>
      <c r="WWE95" s="499"/>
      <c r="WWF95" s="499"/>
      <c r="WWG95" s="499"/>
      <c r="WWH95" s="499"/>
      <c r="WWI95" s="499"/>
      <c r="WWJ95" s="499"/>
      <c r="WWK95" s="499"/>
      <c r="WWL95" s="499"/>
      <c r="WWM95" s="499"/>
      <c r="WWN95" s="499"/>
      <c r="WWO95" s="499"/>
      <c r="WWP95" s="499"/>
      <c r="WWQ95" s="499"/>
      <c r="WWR95" s="499"/>
      <c r="WWS95" s="499"/>
      <c r="WWT95" s="499"/>
      <c r="WWU95" s="499"/>
      <c r="WWV95" s="499"/>
      <c r="WWW95" s="499"/>
      <c r="WWX95" s="499"/>
      <c r="WWY95" s="499"/>
      <c r="WWZ95" s="499"/>
      <c r="WXA95" s="499"/>
      <c r="WXB95" s="499"/>
      <c r="WXC95" s="499"/>
      <c r="WXD95" s="499"/>
      <c r="WXE95" s="499"/>
      <c r="WXF95" s="499"/>
      <c r="WXG95" s="499"/>
      <c r="WXH95" s="499"/>
      <c r="WXI95" s="499"/>
      <c r="WXJ95" s="499"/>
      <c r="WXK95" s="499"/>
      <c r="WXL95" s="499"/>
      <c r="WXM95" s="499"/>
      <c r="WXN95" s="499"/>
      <c r="WXO95" s="499"/>
      <c r="WXP95" s="499"/>
      <c r="WXQ95" s="499"/>
      <c r="WXR95" s="499"/>
      <c r="WXS95" s="499"/>
      <c r="WXT95" s="499"/>
      <c r="WXU95" s="499"/>
      <c r="WXV95" s="499"/>
      <c r="WXW95" s="499"/>
      <c r="WXX95" s="499"/>
      <c r="WXY95" s="499"/>
      <c r="WXZ95" s="499"/>
      <c r="WYA95" s="499"/>
      <c r="WYB95" s="499"/>
      <c r="WYC95" s="499"/>
      <c r="WYD95" s="499"/>
      <c r="WYE95" s="499"/>
      <c r="WYF95" s="499"/>
      <c r="WYG95" s="499"/>
      <c r="WYH95" s="499"/>
      <c r="WYI95" s="499"/>
      <c r="WYJ95" s="499"/>
      <c r="WYK95" s="499"/>
      <c r="WYL95" s="499"/>
      <c r="WYM95" s="499"/>
      <c r="WYN95" s="499"/>
      <c r="WYO95" s="499"/>
      <c r="WYP95" s="499"/>
      <c r="WYQ95" s="499"/>
      <c r="WYR95" s="499"/>
      <c r="WYS95" s="499"/>
      <c r="WYT95" s="499"/>
      <c r="WYU95" s="499"/>
      <c r="WYV95" s="499"/>
      <c r="WYW95" s="499"/>
      <c r="WYX95" s="499"/>
      <c r="WYY95" s="499"/>
      <c r="WYZ95" s="499"/>
      <c r="WZA95" s="499"/>
      <c r="WZB95" s="499"/>
      <c r="WZC95" s="499"/>
      <c r="WZD95" s="499"/>
      <c r="WZE95" s="499"/>
      <c r="WZF95" s="499"/>
      <c r="WZG95" s="499"/>
      <c r="WZH95" s="499"/>
      <c r="WZI95" s="499"/>
      <c r="WZJ95" s="499"/>
      <c r="WZK95" s="499"/>
      <c r="WZL95" s="499"/>
      <c r="WZM95" s="499"/>
      <c r="WZN95" s="499"/>
      <c r="WZO95" s="499"/>
      <c r="WZP95" s="499"/>
      <c r="WZQ95" s="499"/>
      <c r="WZR95" s="499"/>
      <c r="WZS95" s="499"/>
      <c r="WZT95" s="499"/>
      <c r="WZU95" s="499"/>
      <c r="WZV95" s="499"/>
      <c r="WZW95" s="499"/>
      <c r="WZX95" s="499"/>
      <c r="WZY95" s="499"/>
      <c r="WZZ95" s="499"/>
      <c r="XAA95" s="499"/>
      <c r="XAB95" s="499"/>
      <c r="XAC95" s="499"/>
      <c r="XAD95" s="499"/>
      <c r="XAE95" s="499"/>
      <c r="XAF95" s="499"/>
      <c r="XAG95" s="499"/>
      <c r="XAH95" s="499"/>
      <c r="XAI95" s="499"/>
      <c r="XAJ95" s="499"/>
      <c r="XAK95" s="499"/>
      <c r="XAL95" s="499"/>
      <c r="XAM95" s="499"/>
      <c r="XAN95" s="499"/>
      <c r="XAO95" s="499"/>
      <c r="XAP95" s="499"/>
      <c r="XAQ95" s="499"/>
      <c r="XAR95" s="499"/>
      <c r="XAS95" s="499"/>
      <c r="XAT95" s="499"/>
      <c r="XAU95" s="499"/>
      <c r="XAV95" s="499"/>
      <c r="XAW95" s="499"/>
      <c r="XAX95" s="499"/>
      <c r="XAY95" s="499"/>
      <c r="XAZ95" s="499"/>
      <c r="XBA95" s="499"/>
      <c r="XBB95" s="499"/>
      <c r="XBC95" s="499"/>
      <c r="XBD95" s="499"/>
      <c r="XBE95" s="499"/>
      <c r="XBF95" s="499"/>
      <c r="XBG95" s="499"/>
      <c r="XBH95" s="499"/>
      <c r="XBI95" s="499"/>
      <c r="XBJ95" s="499"/>
      <c r="XBK95" s="499"/>
      <c r="XBL95" s="499"/>
      <c r="XBM95" s="499"/>
      <c r="XBN95" s="499"/>
      <c r="XBO95" s="499"/>
      <c r="XBP95" s="499"/>
      <c r="XBQ95" s="499"/>
      <c r="XBR95" s="499"/>
      <c r="XBS95" s="499"/>
      <c r="XBT95" s="499"/>
      <c r="XBU95" s="499"/>
      <c r="XBV95" s="499"/>
      <c r="XBW95" s="499"/>
      <c r="XBX95" s="499"/>
      <c r="XBY95" s="499"/>
      <c r="XBZ95" s="499"/>
      <c r="XCA95" s="499"/>
      <c r="XCB95" s="499"/>
      <c r="XCC95" s="499"/>
      <c r="XCD95" s="499"/>
      <c r="XCE95" s="499"/>
      <c r="XCF95" s="499"/>
      <c r="XCG95" s="499"/>
      <c r="XCH95" s="499"/>
      <c r="XCI95" s="499"/>
      <c r="XCJ95" s="499"/>
      <c r="XCK95" s="499"/>
      <c r="XCL95" s="499"/>
      <c r="XCM95" s="499"/>
      <c r="XCN95" s="499"/>
      <c r="XCO95" s="499"/>
      <c r="XCP95" s="499"/>
      <c r="XCQ95" s="499"/>
      <c r="XCR95" s="499"/>
      <c r="XCS95" s="499"/>
      <c r="XCT95" s="499"/>
      <c r="XCU95" s="499"/>
      <c r="XCV95" s="499"/>
      <c r="XCW95" s="499"/>
      <c r="XCX95" s="499"/>
      <c r="XCY95" s="499"/>
      <c r="XCZ95" s="499"/>
      <c r="XDA95" s="499"/>
      <c r="XDB95" s="499"/>
      <c r="XDC95" s="499"/>
      <c r="XDD95" s="499"/>
      <c r="XDE95" s="499"/>
      <c r="XDF95" s="499"/>
      <c r="XDG95" s="499"/>
      <c r="XDH95" s="499"/>
      <c r="XDI95" s="499"/>
      <c r="XDJ95" s="499"/>
      <c r="XDK95" s="499"/>
      <c r="XDL95" s="499"/>
      <c r="XDM95" s="499"/>
      <c r="XDN95" s="499"/>
      <c r="XDO95" s="499"/>
      <c r="XDP95" s="499"/>
      <c r="XDQ95" s="499"/>
      <c r="XDR95" s="499"/>
      <c r="XDS95" s="499"/>
      <c r="XDT95" s="499"/>
      <c r="XDU95" s="499"/>
      <c r="XDV95" s="499"/>
      <c r="XDW95" s="499"/>
      <c r="XDX95" s="499"/>
      <c r="XDY95" s="499"/>
      <c r="XDZ95" s="499"/>
      <c r="XEA95" s="499"/>
      <c r="XEB95" s="499"/>
      <c r="XEC95" s="499"/>
      <c r="XED95" s="499"/>
      <c r="XEE95" s="499"/>
      <c r="XEF95" s="499"/>
      <c r="XEG95" s="499"/>
      <c r="XEH95" s="499"/>
      <c r="XEI95" s="499"/>
      <c r="XEJ95" s="499"/>
      <c r="XEK95" s="499"/>
      <c r="XEL95" s="499"/>
      <c r="XEM95" s="499"/>
      <c r="XEN95" s="499"/>
      <c r="XEO95" s="499"/>
      <c r="XEP95" s="499"/>
    </row>
    <row r="96" spans="1:16370" s="144" customFormat="1">
      <c r="A96" s="46"/>
      <c r="B96" s="181"/>
      <c r="C96" s="267"/>
      <c r="D96" s="77"/>
      <c r="E96" s="48"/>
      <c r="F96" s="103"/>
      <c r="G96" s="48"/>
      <c r="H96" s="106"/>
      <c r="I96" s="103"/>
      <c r="J96" s="103"/>
      <c r="K96" s="103"/>
      <c r="L96" s="84"/>
      <c r="M96" s="60"/>
      <c r="N96" s="84"/>
      <c r="O96" s="84"/>
      <c r="P96" s="514"/>
      <c r="Q96" s="276">
        <f>1</f>
        <v>1</v>
      </c>
      <c r="R96" s="138"/>
      <c r="T96" s="146"/>
      <c r="U96" s="145"/>
      <c r="X96" s="275"/>
      <c r="Y96" s="275" t="str">
        <f t="shared" si="14"/>
        <v/>
      </c>
      <c r="Z96" s="138" t="str">
        <f t="shared" si="15"/>
        <v/>
      </c>
    </row>
    <row r="97" spans="1:26" s="144" customFormat="1" ht="204" customHeight="1">
      <c r="A97" s="46">
        <f>A95+1</f>
        <v>1</v>
      </c>
      <c r="B97" s="183" t="s">
        <v>390</v>
      </c>
      <c r="C97" s="143" t="s">
        <v>390</v>
      </c>
      <c r="D97" s="192" t="s">
        <v>391</v>
      </c>
      <c r="E97" s="149">
        <f>LEN(D97)</f>
        <v>291</v>
      </c>
      <c r="F97" s="192" t="s">
        <v>392</v>
      </c>
      <c r="G97" s="149" t="e">
        <f>LEN(#REF!)</f>
        <v>#REF!</v>
      </c>
      <c r="H97" s="158" t="s">
        <v>37</v>
      </c>
      <c r="I97" s="149" t="s">
        <v>24</v>
      </c>
      <c r="J97" s="149" t="s">
        <v>24</v>
      </c>
      <c r="K97" s="149" t="s">
        <v>38</v>
      </c>
      <c r="L97" s="173" t="s">
        <v>393</v>
      </c>
      <c r="M97" s="219" t="s">
        <v>24</v>
      </c>
      <c r="N97" s="173" t="s">
        <v>394</v>
      </c>
      <c r="O97" s="87" t="s">
        <v>395</v>
      </c>
      <c r="P97" s="10"/>
      <c r="Q97" s="271">
        <f>1</f>
        <v>1</v>
      </c>
      <c r="R97" s="138"/>
      <c r="T97" s="437" t="s">
        <v>33</v>
      </c>
      <c r="U97" s="145"/>
      <c r="X97" s="274">
        <v>15.87650299072266</v>
      </c>
      <c r="Y97" s="274">
        <f t="shared" si="14"/>
        <v>15.87650299072266</v>
      </c>
      <c r="Z97" s="138">
        <f t="shared" si="15"/>
        <v>15.87650299072266</v>
      </c>
    </row>
    <row r="98" spans="1:26" s="144" customFormat="1">
      <c r="A98" s="46"/>
      <c r="B98" s="181"/>
      <c r="C98" s="97"/>
      <c r="D98" s="266"/>
      <c r="E98" s="48"/>
      <c r="F98" s="48"/>
      <c r="G98" s="48"/>
      <c r="H98" s="98"/>
      <c r="I98" s="48"/>
      <c r="J98" s="48"/>
      <c r="K98" s="48"/>
      <c r="L98" s="60"/>
      <c r="M98" s="60"/>
      <c r="N98" s="60"/>
      <c r="O98" s="60"/>
      <c r="P98" s="10"/>
      <c r="Q98" s="276">
        <f>1</f>
        <v>1</v>
      </c>
      <c r="R98" s="138"/>
      <c r="T98" s="146"/>
      <c r="U98" s="145"/>
      <c r="X98" s="275"/>
      <c r="Y98" s="275" t="str">
        <f t="shared" si="14"/>
        <v/>
      </c>
      <c r="Z98" s="138" t="str">
        <f t="shared" si="15"/>
        <v/>
      </c>
    </row>
    <row r="99" spans="1:26" s="144" customFormat="1" ht="155.5" customHeight="1">
      <c r="A99" s="46"/>
      <c r="B99" s="533" t="s">
        <v>396</v>
      </c>
      <c r="C99" s="97" t="s">
        <v>397</v>
      </c>
      <c r="D99" s="553" t="s">
        <v>397</v>
      </c>
      <c r="E99" s="539"/>
      <c r="F99" s="554" t="s">
        <v>398</v>
      </c>
      <c r="G99" s="48"/>
      <c r="H99" s="98" t="s">
        <v>37</v>
      </c>
      <c r="I99" s="48"/>
      <c r="J99" s="48"/>
      <c r="K99" s="48"/>
      <c r="L99" s="60" t="s">
        <v>399</v>
      </c>
      <c r="M99" s="60"/>
      <c r="N99" s="60"/>
      <c r="O99" s="60"/>
      <c r="P99" s="10"/>
      <c r="Q99" s="276">
        <f>1</f>
        <v>1</v>
      </c>
      <c r="R99" s="138"/>
      <c r="T99" s="146"/>
      <c r="U99" s="145"/>
      <c r="X99" s="275"/>
      <c r="Y99" s="275" t="str">
        <f t="shared" si="14"/>
        <v/>
      </c>
      <c r="Z99" s="138" t="str">
        <f t="shared" si="15"/>
        <v/>
      </c>
    </row>
    <row r="100" spans="1:26" s="144" customFormat="1" ht="155.5" customHeight="1">
      <c r="A100" s="46"/>
      <c r="B100" s="533" t="s">
        <v>400</v>
      </c>
      <c r="C100" s="97"/>
      <c r="D100" s="534" t="s">
        <v>401</v>
      </c>
      <c r="E100" s="539"/>
      <c r="F100" s="555" t="s">
        <v>402</v>
      </c>
      <c r="G100" s="48"/>
      <c r="H100" s="98" t="s">
        <v>128</v>
      </c>
      <c r="I100" s="48"/>
      <c r="J100" s="48"/>
      <c r="K100" s="48"/>
      <c r="L100" s="60" t="s">
        <v>403</v>
      </c>
      <c r="M100" s="88"/>
      <c r="N100" s="60" t="s">
        <v>404</v>
      </c>
      <c r="O100" s="60"/>
      <c r="P100" s="543" t="s">
        <v>405</v>
      </c>
      <c r="Q100" s="276"/>
      <c r="R100" s="138"/>
      <c r="T100" s="146"/>
      <c r="U100" s="145"/>
      <c r="X100" s="275"/>
      <c r="Y100" s="275"/>
      <c r="Z100" s="138"/>
    </row>
    <row r="101" spans="1:26" s="144" customFormat="1" ht="409.25" customHeight="1">
      <c r="A101" s="46">
        <f>A103+1</f>
        <v>2</v>
      </c>
      <c r="B101" s="183" t="s">
        <v>406</v>
      </c>
      <c r="C101" s="381" t="s">
        <v>407</v>
      </c>
      <c r="D101" s="382" t="s">
        <v>408</v>
      </c>
      <c r="E101" s="149">
        <f>LEN(D101)</f>
        <v>1440</v>
      </c>
      <c r="F101" s="192" t="s">
        <v>409</v>
      </c>
      <c r="G101" s="149" t="e">
        <f>LEN(#REF!)</f>
        <v>#REF!</v>
      </c>
      <c r="H101" s="158" t="s">
        <v>247</v>
      </c>
      <c r="I101" s="149" t="s">
        <v>24</v>
      </c>
      <c r="J101" s="149" t="s">
        <v>24</v>
      </c>
      <c r="K101" s="359" t="s">
        <v>410</v>
      </c>
      <c r="L101" s="173" t="s">
        <v>411</v>
      </c>
      <c r="M101" s="219" t="s">
        <v>412</v>
      </c>
      <c r="N101" s="173" t="s">
        <v>413</v>
      </c>
      <c r="O101" s="87" t="s">
        <v>414</v>
      </c>
      <c r="P101" s="10"/>
      <c r="Q101" s="271">
        <f>1</f>
        <v>1</v>
      </c>
      <c r="R101" s="138"/>
      <c r="T101" s="437" t="s">
        <v>33</v>
      </c>
      <c r="U101" s="145"/>
      <c r="X101" s="274">
        <v>37.853630065917969</v>
      </c>
      <c r="Y101" s="274">
        <f t="shared" ref="Y101:Y115" si="16">IF(X101="","",X101*Q101)</f>
        <v>37.853630065917969</v>
      </c>
      <c r="Z101" s="138">
        <f t="shared" ref="Z101:Z115" si="17">IF(T101="yes",Y101,"")</f>
        <v>37.853630065917969</v>
      </c>
    </row>
    <row r="102" spans="1:26" s="144" customFormat="1" ht="102" hidden="1" customHeight="1">
      <c r="A102" s="26">
        <v>28</v>
      </c>
      <c r="B102" s="240" t="s">
        <v>415</v>
      </c>
      <c r="C102" s="244" t="s">
        <v>415</v>
      </c>
      <c r="D102" s="37" t="s">
        <v>416</v>
      </c>
      <c r="E102" s="24">
        <f>LEN(D102)</f>
        <v>331</v>
      </c>
      <c r="F102" s="480" t="s">
        <v>417</v>
      </c>
      <c r="G102" s="24" t="e">
        <f>LEN(#REF!)</f>
        <v>#REF!</v>
      </c>
      <c r="H102" s="36" t="s">
        <v>26</v>
      </c>
      <c r="I102" s="20" t="s">
        <v>24</v>
      </c>
      <c r="J102" s="20" t="s">
        <v>24</v>
      </c>
      <c r="K102" s="20" t="s">
        <v>27</v>
      </c>
      <c r="L102" s="29" t="s">
        <v>418</v>
      </c>
      <c r="M102" s="78" t="s">
        <v>24</v>
      </c>
      <c r="N102" s="29" t="s">
        <v>419</v>
      </c>
      <c r="O102" s="22"/>
      <c r="P102" s="10"/>
      <c r="Q102" s="276">
        <f>1</f>
        <v>1</v>
      </c>
      <c r="R102" s="138"/>
      <c r="T102" s="146" t="s">
        <v>23</v>
      </c>
      <c r="U102" s="145"/>
      <c r="X102" s="275"/>
      <c r="Y102" s="275" t="str">
        <f t="shared" si="16"/>
        <v/>
      </c>
      <c r="Z102" s="138" t="str">
        <f t="shared" si="17"/>
        <v/>
      </c>
    </row>
    <row r="103" spans="1:26" s="144" customFormat="1" ht="323" hidden="1" customHeight="1">
      <c r="A103" s="14">
        <f>A95+1</f>
        <v>1</v>
      </c>
      <c r="B103" s="235" t="s">
        <v>420</v>
      </c>
      <c r="C103" s="17" t="s">
        <v>421</v>
      </c>
      <c r="D103" s="22" t="s">
        <v>422</v>
      </c>
      <c r="E103" s="20">
        <f>LEN(D103)</f>
        <v>685</v>
      </c>
      <c r="F103" s="479" t="s">
        <v>423</v>
      </c>
      <c r="G103" s="20" t="e">
        <f>LEN(#REF!)</f>
        <v>#REF!</v>
      </c>
      <c r="H103" s="36" t="s">
        <v>424</v>
      </c>
      <c r="I103" s="20" t="s">
        <v>24</v>
      </c>
      <c r="J103" s="383" t="s">
        <v>425</v>
      </c>
      <c r="K103" s="20" t="s">
        <v>426</v>
      </c>
      <c r="L103" s="384" t="s">
        <v>427</v>
      </c>
      <c r="M103" s="78" t="s">
        <v>428</v>
      </c>
      <c r="N103" s="384" t="s">
        <v>429</v>
      </c>
      <c r="O103" s="123"/>
      <c r="P103" s="51"/>
      <c r="Q103" s="276">
        <f>1</f>
        <v>1</v>
      </c>
      <c r="R103" s="138"/>
      <c r="T103" s="146" t="s">
        <v>23</v>
      </c>
      <c r="U103" s="145"/>
      <c r="X103" s="275">
        <v>24.773489999999999</v>
      </c>
      <c r="Y103" s="275">
        <f t="shared" si="16"/>
        <v>24.773489999999999</v>
      </c>
      <c r="Z103" s="138" t="str">
        <f t="shared" si="17"/>
        <v/>
      </c>
    </row>
    <row r="104" spans="1:26" s="144" customFormat="1" ht="17" customHeight="1" thickBot="1">
      <c r="A104" s="46"/>
      <c r="B104" s="181"/>
      <c r="C104" s="97"/>
      <c r="D104" s="77"/>
      <c r="E104" s="48"/>
      <c r="F104" s="77"/>
      <c r="G104" s="48"/>
      <c r="H104" s="98"/>
      <c r="I104" s="48"/>
      <c r="J104" s="48"/>
      <c r="K104" s="48"/>
      <c r="L104" s="60"/>
      <c r="M104" s="60"/>
      <c r="N104" s="60"/>
      <c r="O104" s="88"/>
      <c r="P104" s="51"/>
      <c r="Q104" s="276">
        <f>1</f>
        <v>1</v>
      </c>
      <c r="R104" s="138"/>
      <c r="T104" s="146"/>
      <c r="U104" s="145"/>
      <c r="X104" s="275"/>
      <c r="Y104" s="275" t="str">
        <f t="shared" si="16"/>
        <v/>
      </c>
      <c r="Z104" s="138" t="str">
        <f t="shared" si="17"/>
        <v/>
      </c>
    </row>
    <row r="105" spans="1:26" s="428" customFormat="1" ht="17" customHeight="1" thickBot="1">
      <c r="A105" s="663" t="s">
        <v>430</v>
      </c>
      <c r="B105" s="664"/>
      <c r="C105" s="664"/>
      <c r="D105" s="664"/>
      <c r="E105" s="664"/>
      <c r="F105" s="664"/>
      <c r="G105" s="664"/>
      <c r="H105" s="664"/>
      <c r="I105" s="664"/>
      <c r="J105" s="664"/>
      <c r="K105" s="664"/>
      <c r="L105" s="664"/>
      <c r="M105" s="664"/>
      <c r="N105" s="664"/>
      <c r="O105" s="664"/>
      <c r="P105" s="665"/>
      <c r="Q105" s="271"/>
      <c r="R105" s="439"/>
      <c r="T105" s="437"/>
      <c r="U105" s="440"/>
      <c r="X105" s="274"/>
      <c r="Y105" s="274" t="str">
        <f t="shared" si="16"/>
        <v/>
      </c>
      <c r="Z105" s="439" t="str">
        <f t="shared" si="17"/>
        <v/>
      </c>
    </row>
    <row r="106" spans="1:26" s="144" customFormat="1" ht="153" customHeight="1">
      <c r="A106" s="96">
        <f>A102+1</f>
        <v>29</v>
      </c>
      <c r="B106" s="191" t="s">
        <v>431</v>
      </c>
      <c r="C106" s="143" t="s">
        <v>431</v>
      </c>
      <c r="D106" s="167" t="s">
        <v>432</v>
      </c>
      <c r="E106" s="141">
        <f>LEN(D106)</f>
        <v>224</v>
      </c>
      <c r="F106" s="167" t="s">
        <v>433</v>
      </c>
      <c r="G106" s="141">
        <f>LEN(F106)</f>
        <v>187</v>
      </c>
      <c r="H106" s="151" t="s">
        <v>37</v>
      </c>
      <c r="I106" s="141" t="s">
        <v>24</v>
      </c>
      <c r="J106" s="141" t="s">
        <v>434</v>
      </c>
      <c r="K106" s="149" t="s">
        <v>38</v>
      </c>
      <c r="L106" s="166" t="s">
        <v>435</v>
      </c>
      <c r="M106" s="219" t="s">
        <v>24</v>
      </c>
      <c r="N106" s="147" t="s">
        <v>436</v>
      </c>
      <c r="O106" s="172"/>
      <c r="P106" s="190"/>
      <c r="Q106" s="276" t="e">
        <f>#REF!</f>
        <v>#REF!</v>
      </c>
      <c r="R106" s="138"/>
      <c r="T106" s="437" t="s">
        <v>33</v>
      </c>
      <c r="U106" s="145"/>
      <c r="X106" s="274">
        <v>7.3040728569030762</v>
      </c>
      <c r="Y106" s="274" t="e">
        <f t="shared" si="16"/>
        <v>#REF!</v>
      </c>
      <c r="Z106" s="138" t="e">
        <f t="shared" si="17"/>
        <v>#REF!</v>
      </c>
    </row>
    <row r="107" spans="1:26" s="144" customFormat="1">
      <c r="A107" s="96"/>
      <c r="B107" s="104"/>
      <c r="C107" s="97"/>
      <c r="D107" s="105"/>
      <c r="E107" s="103"/>
      <c r="F107" s="105"/>
      <c r="G107" s="103"/>
      <c r="H107" s="106"/>
      <c r="I107" s="103"/>
      <c r="J107" s="103"/>
      <c r="K107" s="48"/>
      <c r="L107" s="88"/>
      <c r="M107" s="77"/>
      <c r="N107" s="172"/>
      <c r="O107" s="172"/>
      <c r="P107" s="190"/>
      <c r="Q107" s="276" t="e">
        <f>#REF!</f>
        <v>#REF!</v>
      </c>
      <c r="R107" s="138"/>
      <c r="T107" s="146"/>
      <c r="U107" s="145"/>
      <c r="X107" s="275"/>
      <c r="Y107" s="275" t="str">
        <f t="shared" si="16"/>
        <v/>
      </c>
      <c r="Z107" s="138" t="str">
        <f t="shared" si="17"/>
        <v/>
      </c>
    </row>
    <row r="108" spans="1:26" s="242" customFormat="1" ht="85" customHeight="1">
      <c r="A108" s="329"/>
      <c r="B108" s="165" t="s">
        <v>437</v>
      </c>
      <c r="C108" s="149" t="s">
        <v>437</v>
      </c>
      <c r="D108" s="163" t="s">
        <v>438</v>
      </c>
      <c r="E108" s="149">
        <f>LEN(D108)</f>
        <v>237</v>
      </c>
      <c r="F108" s="163" t="s">
        <v>439</v>
      </c>
      <c r="G108" s="149">
        <f>LEN(F108)</f>
        <v>185</v>
      </c>
      <c r="H108" s="150" t="s">
        <v>128</v>
      </c>
      <c r="I108" s="149" t="s">
        <v>24</v>
      </c>
      <c r="J108" s="149" t="s">
        <v>24</v>
      </c>
      <c r="K108" s="149" t="s">
        <v>27</v>
      </c>
      <c r="L108" s="173" t="s">
        <v>440</v>
      </c>
      <c r="M108" s="219" t="s">
        <v>24</v>
      </c>
      <c r="N108" s="147" t="s">
        <v>441</v>
      </c>
      <c r="O108" s="189"/>
      <c r="P108" s="188"/>
      <c r="Q108" s="276" t="e">
        <f>#REF!</f>
        <v>#REF!</v>
      </c>
      <c r="R108" s="138"/>
      <c r="T108" s="437" t="s">
        <v>33</v>
      </c>
      <c r="U108" s="145"/>
      <c r="X108" s="274">
        <v>23.93990516662598</v>
      </c>
      <c r="Y108" s="274" t="e">
        <f t="shared" si="16"/>
        <v>#REF!</v>
      </c>
      <c r="Z108" s="138" t="e">
        <f t="shared" si="17"/>
        <v>#REF!</v>
      </c>
    </row>
    <row r="109" spans="1:26" s="242" customFormat="1" ht="187" customHeight="1">
      <c r="A109" s="329"/>
      <c r="B109" s="165" t="s">
        <v>442</v>
      </c>
      <c r="C109" s="149" t="s">
        <v>442</v>
      </c>
      <c r="D109" s="163" t="s">
        <v>443</v>
      </c>
      <c r="E109" s="149">
        <f>LEN(D109)</f>
        <v>312</v>
      </c>
      <c r="F109" s="163" t="s">
        <v>444</v>
      </c>
      <c r="G109" s="149">
        <f>LEN(F109)</f>
        <v>270</v>
      </c>
      <c r="H109" s="150" t="s">
        <v>37</v>
      </c>
      <c r="I109" s="149" t="s">
        <v>24</v>
      </c>
      <c r="J109" s="149" t="s">
        <v>24</v>
      </c>
      <c r="K109" s="149" t="s">
        <v>38</v>
      </c>
      <c r="L109" s="173" t="s">
        <v>445</v>
      </c>
      <c r="M109" s="219" t="s">
        <v>24</v>
      </c>
      <c r="N109" s="147" t="s">
        <v>446</v>
      </c>
      <c r="O109" s="172"/>
      <c r="P109" s="186"/>
      <c r="Q109" s="276" t="e">
        <f>#REF!</f>
        <v>#REF!</v>
      </c>
      <c r="R109" s="138"/>
      <c r="T109" s="437" t="s">
        <v>33</v>
      </c>
      <c r="U109" s="145"/>
      <c r="X109" s="274">
        <v>2.2494626045227051</v>
      </c>
      <c r="Y109" s="274" t="e">
        <f t="shared" si="16"/>
        <v>#REF!</v>
      </c>
      <c r="Z109" s="138" t="e">
        <f t="shared" si="17"/>
        <v>#REF!</v>
      </c>
    </row>
    <row r="110" spans="1:26" s="242" customFormat="1">
      <c r="A110" s="122"/>
      <c r="B110" s="265"/>
      <c r="C110" s="103"/>
      <c r="D110" s="105"/>
      <c r="E110" s="103"/>
      <c r="F110" s="105"/>
      <c r="G110" s="103"/>
      <c r="H110" s="97"/>
      <c r="I110" s="103"/>
      <c r="J110" s="103"/>
      <c r="K110" s="103"/>
      <c r="L110" s="88"/>
      <c r="M110" s="77"/>
      <c r="N110" s="243"/>
      <c r="O110" s="187"/>
      <c r="P110" s="186"/>
      <c r="Q110" s="276" t="e">
        <f>#REF!</f>
        <v>#REF!</v>
      </c>
      <c r="R110" s="138"/>
      <c r="T110" s="146"/>
      <c r="U110" s="145"/>
      <c r="X110" s="275"/>
      <c r="Y110" s="275" t="str">
        <f t="shared" si="16"/>
        <v/>
      </c>
      <c r="Z110" s="138" t="str">
        <f t="shared" si="17"/>
        <v/>
      </c>
    </row>
    <row r="111" spans="1:26" s="144" customFormat="1" ht="409" customHeight="1">
      <c r="A111" s="96">
        <f>A106+1</f>
        <v>30</v>
      </c>
      <c r="B111" s="234" t="s">
        <v>447</v>
      </c>
      <c r="C111" s="143" t="s">
        <v>447</v>
      </c>
      <c r="D111" s="167" t="s">
        <v>448</v>
      </c>
      <c r="E111" s="141">
        <f>LEN(D111)</f>
        <v>1432</v>
      </c>
      <c r="F111" s="167" t="s">
        <v>449</v>
      </c>
      <c r="G111" s="141">
        <f>LEN(F111)</f>
        <v>1420</v>
      </c>
      <c r="H111" s="151" t="s">
        <v>37</v>
      </c>
      <c r="I111" s="141" t="s">
        <v>24</v>
      </c>
      <c r="J111" s="141" t="s">
        <v>24</v>
      </c>
      <c r="K111" s="143" t="s">
        <v>450</v>
      </c>
      <c r="L111" s="166" t="s">
        <v>451</v>
      </c>
      <c r="M111" s="167" t="s">
        <v>2452</v>
      </c>
      <c r="N111" s="390" t="s">
        <v>452</v>
      </c>
      <c r="O111" s="184"/>
      <c r="P111" s="51"/>
      <c r="Q111" s="276" t="e">
        <f>#REF!</f>
        <v>#REF!</v>
      </c>
      <c r="R111" s="138"/>
      <c r="T111" s="437" t="s">
        <v>33</v>
      </c>
      <c r="U111" s="145"/>
      <c r="X111" s="274">
        <v>23.440116882324219</v>
      </c>
      <c r="Y111" s="274" t="e">
        <f t="shared" si="16"/>
        <v>#REF!</v>
      </c>
      <c r="Z111" s="138" t="e">
        <f t="shared" si="17"/>
        <v>#REF!</v>
      </c>
    </row>
    <row r="112" spans="1:26" s="144" customFormat="1" ht="102" customHeight="1">
      <c r="A112" s="96"/>
      <c r="B112" s="234" t="s">
        <v>453</v>
      </c>
      <c r="C112" s="143" t="s">
        <v>453</v>
      </c>
      <c r="D112" s="167" t="s">
        <v>454</v>
      </c>
      <c r="E112" s="141">
        <f>LEN(D112)</f>
        <v>179</v>
      </c>
      <c r="F112" s="167" t="s">
        <v>455</v>
      </c>
      <c r="G112" s="141">
        <f>LEN(F112)</f>
        <v>169</v>
      </c>
      <c r="H112" s="151" t="s">
        <v>37</v>
      </c>
      <c r="I112" s="141" t="s">
        <v>24</v>
      </c>
      <c r="J112" s="141" t="s">
        <v>24</v>
      </c>
      <c r="K112" s="143" t="s">
        <v>38</v>
      </c>
      <c r="L112" s="166" t="s">
        <v>456</v>
      </c>
      <c r="M112" s="219" t="s">
        <v>24</v>
      </c>
      <c r="N112" s="185" t="s">
        <v>457</v>
      </c>
      <c r="O112" s="184"/>
      <c r="P112" s="51"/>
      <c r="Q112" s="276" t="e">
        <f>#REF!</f>
        <v>#REF!</v>
      </c>
      <c r="R112" s="138"/>
      <c r="T112" s="437" t="s">
        <v>33</v>
      </c>
      <c r="U112" s="145"/>
      <c r="X112" s="274">
        <v>7.7659573554992676</v>
      </c>
      <c r="Y112" s="274" t="e">
        <f t="shared" si="16"/>
        <v>#REF!</v>
      </c>
      <c r="Z112" s="138" t="e">
        <f t="shared" si="17"/>
        <v>#REF!</v>
      </c>
    </row>
    <row r="113" spans="1:26" s="144" customFormat="1">
      <c r="A113" s="96"/>
      <c r="B113" s="262"/>
      <c r="C113" s="97"/>
      <c r="D113" s="105"/>
      <c r="E113" s="103"/>
      <c r="F113" s="103"/>
      <c r="G113" s="103"/>
      <c r="H113" s="106"/>
      <c r="I113" s="103"/>
      <c r="J113" s="103"/>
      <c r="K113" s="97"/>
      <c r="L113" s="88"/>
      <c r="M113" s="77"/>
      <c r="N113" s="322"/>
      <c r="O113" s="184"/>
      <c r="P113" s="51"/>
      <c r="Q113" s="276" t="e">
        <f>#REF!</f>
        <v>#REF!</v>
      </c>
      <c r="R113" s="138"/>
      <c r="T113" s="146"/>
      <c r="U113" s="145"/>
      <c r="X113" s="275"/>
      <c r="Y113" s="275" t="str">
        <f t="shared" si="16"/>
        <v/>
      </c>
      <c r="Z113" s="138" t="str">
        <f t="shared" si="17"/>
        <v/>
      </c>
    </row>
    <row r="114" spans="1:26" s="144" customFormat="1" ht="204" customHeight="1">
      <c r="A114" s="46">
        <f>A111+1</f>
        <v>31</v>
      </c>
      <c r="B114" s="165" t="s">
        <v>458</v>
      </c>
      <c r="C114" s="149" t="s">
        <v>458</v>
      </c>
      <c r="D114" s="163" t="s">
        <v>459</v>
      </c>
      <c r="E114" s="149">
        <f>LEN(D114)</f>
        <v>331</v>
      </c>
      <c r="F114" s="167" t="s">
        <v>460</v>
      </c>
      <c r="G114" s="149">
        <f>LEN(F114)</f>
        <v>306</v>
      </c>
      <c r="H114" s="150" t="s">
        <v>89</v>
      </c>
      <c r="I114" s="149" t="s">
        <v>24</v>
      </c>
      <c r="J114" s="149" t="s">
        <v>24</v>
      </c>
      <c r="K114" s="149" t="s">
        <v>90</v>
      </c>
      <c r="L114" s="173" t="s">
        <v>461</v>
      </c>
      <c r="M114" s="219" t="s">
        <v>24</v>
      </c>
      <c r="N114" s="185" t="s">
        <v>462</v>
      </c>
      <c r="O114" s="657" t="s">
        <v>463</v>
      </c>
      <c r="P114" s="10"/>
      <c r="Q114" s="276" t="e">
        <f>#REF!</f>
        <v>#REF!</v>
      </c>
      <c r="R114" s="138"/>
      <c r="T114" s="437" t="s">
        <v>33</v>
      </c>
      <c r="U114" s="145"/>
      <c r="X114" s="274">
        <v>16.481756210327148</v>
      </c>
      <c r="Y114" s="274" t="e">
        <f t="shared" si="16"/>
        <v>#REF!</v>
      </c>
      <c r="Z114" s="138" t="e">
        <f t="shared" si="17"/>
        <v>#REF!</v>
      </c>
    </row>
    <row r="115" spans="1:26" s="144" customFormat="1" ht="14" customHeight="1">
      <c r="A115" s="46"/>
      <c r="B115" s="181"/>
      <c r="C115" s="180"/>
      <c r="D115" s="179"/>
      <c r="E115" s="48"/>
      <c r="F115" s="48"/>
      <c r="G115" s="48"/>
      <c r="H115" s="98"/>
      <c r="I115" s="48"/>
      <c r="J115" s="48"/>
      <c r="K115" s="48"/>
      <c r="L115" s="177"/>
      <c r="M115" s="77"/>
      <c r="N115" s="264"/>
      <c r="O115" s="177"/>
      <c r="P115" s="10"/>
      <c r="Q115" s="276" t="e">
        <f>#REF!</f>
        <v>#REF!</v>
      </c>
      <c r="R115" s="138"/>
      <c r="T115" s="146"/>
      <c r="U115" s="145"/>
      <c r="X115" s="275"/>
      <c r="Y115" s="275" t="str">
        <f t="shared" si="16"/>
        <v/>
      </c>
      <c r="Z115" s="138" t="str">
        <f t="shared" si="17"/>
        <v/>
      </c>
    </row>
    <row r="116" spans="1:26" s="144" customFormat="1" ht="204" customHeight="1">
      <c r="A116" s="14"/>
      <c r="B116" s="39" t="s">
        <v>464</v>
      </c>
      <c r="C116" s="20" t="s">
        <v>464</v>
      </c>
      <c r="D116" s="38" t="s">
        <v>465</v>
      </c>
      <c r="E116" s="20">
        <f>LEN(D116)</f>
        <v>335</v>
      </c>
      <c r="F116" s="38" t="s">
        <v>466</v>
      </c>
      <c r="G116" s="20">
        <f>LEN(F116)</f>
        <v>309</v>
      </c>
      <c r="H116" s="17" t="s">
        <v>37</v>
      </c>
      <c r="I116" s="16" t="s">
        <v>24</v>
      </c>
      <c r="J116" s="374" t="s">
        <v>467</v>
      </c>
      <c r="K116" s="16" t="s">
        <v>38</v>
      </c>
      <c r="L116" s="384" t="s">
        <v>468</v>
      </c>
      <c r="M116" s="78" t="s">
        <v>24</v>
      </c>
      <c r="N116" s="408" t="s">
        <v>469</v>
      </c>
      <c r="O116" s="658" t="s">
        <v>470</v>
      </c>
      <c r="P116" s="10"/>
      <c r="Q116" s="276"/>
      <c r="R116" s="138"/>
      <c r="T116" s="146" t="s">
        <v>23</v>
      </c>
      <c r="U116" s="145"/>
      <c r="X116" s="275"/>
      <c r="Y116" s="275"/>
      <c r="Z116" s="138"/>
    </row>
    <row r="117" spans="1:26" s="144" customFormat="1" ht="153" hidden="1" customHeight="1">
      <c r="A117" s="14"/>
      <c r="B117" s="39" t="s">
        <v>471</v>
      </c>
      <c r="C117" s="20" t="s">
        <v>471</v>
      </c>
      <c r="D117" s="38" t="s">
        <v>472</v>
      </c>
      <c r="E117" s="20">
        <f>LEN(D117)</f>
        <v>188</v>
      </c>
      <c r="F117" s="38" t="s">
        <v>473</v>
      </c>
      <c r="G117" s="20">
        <f>LEN(F117)</f>
        <v>212</v>
      </c>
      <c r="H117" s="17" t="s">
        <v>37</v>
      </c>
      <c r="I117" s="16" t="s">
        <v>24</v>
      </c>
      <c r="J117" s="16" t="s">
        <v>24</v>
      </c>
      <c r="K117" s="16" t="s">
        <v>38</v>
      </c>
      <c r="L117" s="384" t="s">
        <v>474</v>
      </c>
      <c r="M117" s="78" t="s">
        <v>24</v>
      </c>
      <c r="N117" s="408" t="s">
        <v>475</v>
      </c>
      <c r="O117" s="62"/>
      <c r="P117" s="10"/>
      <c r="Q117" s="276"/>
      <c r="R117" s="138"/>
      <c r="T117" s="146" t="s">
        <v>23</v>
      </c>
      <c r="U117" s="145"/>
      <c r="X117" s="275"/>
      <c r="Y117" s="275"/>
      <c r="Z117" s="138"/>
    </row>
    <row r="118" spans="1:26" s="144" customFormat="1" ht="238" customHeight="1">
      <c r="A118" s="14">
        <f>A114+1</f>
        <v>32</v>
      </c>
      <c r="B118" s="39" t="s">
        <v>476</v>
      </c>
      <c r="C118" s="20" t="s">
        <v>477</v>
      </c>
      <c r="D118" s="38" t="s">
        <v>478</v>
      </c>
      <c r="E118" s="20">
        <f>LEN(D118)</f>
        <v>326</v>
      </c>
      <c r="F118" s="38" t="s">
        <v>479</v>
      </c>
      <c r="G118" s="20">
        <f>LEN(F118)</f>
        <v>336</v>
      </c>
      <c r="H118" s="17" t="s">
        <v>480</v>
      </c>
      <c r="I118" s="16" t="s">
        <v>24</v>
      </c>
      <c r="J118" s="16" t="s">
        <v>24</v>
      </c>
      <c r="K118" s="16" t="s">
        <v>481</v>
      </c>
      <c r="L118" s="123" t="s">
        <v>482</v>
      </c>
      <c r="M118" s="78" t="s">
        <v>483</v>
      </c>
      <c r="N118" s="121" t="s">
        <v>484</v>
      </c>
      <c r="O118" s="62"/>
      <c r="P118" s="10"/>
      <c r="Q118" s="276" t="e">
        <f>#REF!</f>
        <v>#REF!</v>
      </c>
      <c r="R118" s="138"/>
      <c r="T118" s="146" t="s">
        <v>23</v>
      </c>
      <c r="U118" s="145"/>
      <c r="X118" s="275">
        <v>18.511110305786129</v>
      </c>
      <c r="Y118" s="275" t="e">
        <f t="shared" ref="Y118:Y149" si="18">IF(X118="","",X118*Q118)</f>
        <v>#REF!</v>
      </c>
      <c r="Z118" s="138" t="str">
        <f t="shared" ref="Z118:Z149" si="19">IF(T118="yes",Y118,"")</f>
        <v/>
      </c>
    </row>
    <row r="119" spans="1:26" s="144" customFormat="1">
      <c r="A119" s="46"/>
      <c r="B119" s="181"/>
      <c r="C119" s="180"/>
      <c r="D119" s="179"/>
      <c r="E119" s="48"/>
      <c r="F119" s="48"/>
      <c r="G119" s="48"/>
      <c r="H119" s="98"/>
      <c r="I119" s="48"/>
      <c r="J119" s="48"/>
      <c r="K119" s="48"/>
      <c r="L119" s="177"/>
      <c r="M119" s="77"/>
      <c r="N119" s="178"/>
      <c r="O119" s="177"/>
      <c r="P119" s="10"/>
      <c r="Q119" s="276" t="e">
        <f>#REF!</f>
        <v>#REF!</v>
      </c>
      <c r="R119" s="138"/>
      <c r="T119" s="146"/>
      <c r="U119" s="145"/>
      <c r="X119" s="275"/>
      <c r="Y119" s="275" t="str">
        <f t="shared" si="18"/>
        <v/>
      </c>
      <c r="Z119" s="138" t="str">
        <f t="shared" si="19"/>
        <v/>
      </c>
    </row>
    <row r="120" spans="1:26" s="144" customFormat="1" ht="204" customHeight="1">
      <c r="A120" s="46">
        <f>A118+1</f>
        <v>33</v>
      </c>
      <c r="B120" s="183" t="s">
        <v>485</v>
      </c>
      <c r="C120" s="182" t="s">
        <v>485</v>
      </c>
      <c r="D120" s="163" t="s">
        <v>486</v>
      </c>
      <c r="E120" s="149">
        <f>LEN(D120)</f>
        <v>254</v>
      </c>
      <c r="F120" s="163" t="s">
        <v>487</v>
      </c>
      <c r="G120" s="149">
        <f>LEN(F120)</f>
        <v>250</v>
      </c>
      <c r="H120" s="158" t="s">
        <v>37</v>
      </c>
      <c r="I120" s="149" t="s">
        <v>24</v>
      </c>
      <c r="J120" s="149" t="s">
        <v>24</v>
      </c>
      <c r="K120" s="149" t="s">
        <v>38</v>
      </c>
      <c r="L120" s="173" t="s">
        <v>488</v>
      </c>
      <c r="M120" s="219" t="s">
        <v>24</v>
      </c>
      <c r="N120" s="173" t="s">
        <v>489</v>
      </c>
      <c r="O120" s="60"/>
      <c r="P120" s="10"/>
      <c r="Q120" s="276" t="e">
        <f>#REF!</f>
        <v>#REF!</v>
      </c>
      <c r="R120" s="138"/>
      <c r="T120" s="437" t="s">
        <v>33</v>
      </c>
      <c r="U120" s="145"/>
      <c r="X120" s="274">
        <v>20.308681488037109</v>
      </c>
      <c r="Y120" s="274" t="e">
        <f t="shared" si="18"/>
        <v>#REF!</v>
      </c>
      <c r="Z120" s="138" t="e">
        <f t="shared" si="19"/>
        <v>#REF!</v>
      </c>
    </row>
    <row r="121" spans="1:26" s="144" customFormat="1">
      <c r="A121" s="46"/>
      <c r="B121" s="181"/>
      <c r="C121" s="180"/>
      <c r="D121" s="179"/>
      <c r="E121" s="48"/>
      <c r="F121" s="179"/>
      <c r="G121" s="48"/>
      <c r="H121" s="98"/>
      <c r="I121" s="48"/>
      <c r="J121" s="48"/>
      <c r="K121" s="48"/>
      <c r="L121" s="177"/>
      <c r="M121" s="77"/>
      <c r="N121" s="178"/>
      <c r="O121" s="177"/>
      <c r="P121" s="10"/>
      <c r="Q121" s="276" t="e">
        <f>#REF!</f>
        <v>#REF!</v>
      </c>
      <c r="R121" s="138"/>
      <c r="T121" s="146"/>
      <c r="U121" s="145"/>
      <c r="X121" s="275"/>
      <c r="Y121" s="275" t="str">
        <f t="shared" si="18"/>
        <v/>
      </c>
      <c r="Z121" s="138" t="str">
        <f t="shared" si="19"/>
        <v/>
      </c>
    </row>
    <row r="122" spans="1:26" s="144" customFormat="1" ht="204" customHeight="1">
      <c r="A122" s="46">
        <f>A120+1</f>
        <v>34</v>
      </c>
      <c r="B122" s="165" t="s">
        <v>490</v>
      </c>
      <c r="C122" s="149" t="s">
        <v>490</v>
      </c>
      <c r="D122" s="163" t="s">
        <v>491</v>
      </c>
      <c r="E122" s="149">
        <f>LEN(D122)</f>
        <v>253</v>
      </c>
      <c r="F122" s="163" t="s">
        <v>492</v>
      </c>
      <c r="G122" s="149">
        <f>LEN(F122)</f>
        <v>243</v>
      </c>
      <c r="H122" s="158" t="s">
        <v>37</v>
      </c>
      <c r="I122" s="149" t="s">
        <v>24</v>
      </c>
      <c r="J122" s="149" t="s">
        <v>24</v>
      </c>
      <c r="K122" s="149" t="s">
        <v>38</v>
      </c>
      <c r="L122" s="148" t="s">
        <v>493</v>
      </c>
      <c r="M122" s="219" t="s">
        <v>24</v>
      </c>
      <c r="N122" s="176" t="s">
        <v>494</v>
      </c>
      <c r="O122" s="175"/>
      <c r="P122" s="124"/>
      <c r="Q122" s="276" t="e">
        <f>#REF!</f>
        <v>#REF!</v>
      </c>
      <c r="R122" s="138"/>
      <c r="T122" s="437" t="s">
        <v>33</v>
      </c>
      <c r="U122" s="145"/>
      <c r="X122" s="274">
        <v>15.448612213134769</v>
      </c>
      <c r="Y122" s="274" t="e">
        <f t="shared" si="18"/>
        <v>#REF!</v>
      </c>
      <c r="Z122" s="138" t="e">
        <f t="shared" si="19"/>
        <v>#REF!</v>
      </c>
    </row>
    <row r="123" spans="1:26" s="144" customFormat="1" ht="85" hidden="1" customHeight="1">
      <c r="A123" s="14">
        <f>A122+1</f>
        <v>35</v>
      </c>
      <c r="B123" s="53" t="s">
        <v>495</v>
      </c>
      <c r="C123" s="54" t="s">
        <v>495</v>
      </c>
      <c r="D123" s="19" t="s">
        <v>496</v>
      </c>
      <c r="E123" s="20">
        <f>LEN(D123)</f>
        <v>240</v>
      </c>
      <c r="F123" s="477" t="s">
        <v>497</v>
      </c>
      <c r="G123" s="20">
        <f>LEN(F123)</f>
        <v>240</v>
      </c>
      <c r="H123" s="55" t="s">
        <v>128</v>
      </c>
      <c r="I123" s="20" t="s">
        <v>24</v>
      </c>
      <c r="J123" s="20" t="s">
        <v>24</v>
      </c>
      <c r="K123" s="20" t="s">
        <v>27</v>
      </c>
      <c r="L123" s="22" t="s">
        <v>498</v>
      </c>
      <c r="M123" s="78" t="s">
        <v>24</v>
      </c>
      <c r="N123" s="56" t="s">
        <v>499</v>
      </c>
      <c r="O123" s="65"/>
      <c r="P123" s="666" t="s">
        <v>500</v>
      </c>
      <c r="Q123" s="276" t="e">
        <f>#REF!</f>
        <v>#REF!</v>
      </c>
      <c r="R123" s="138"/>
      <c r="T123" s="146" t="s">
        <v>23</v>
      </c>
      <c r="U123" s="145"/>
      <c r="X123" s="275">
        <v>30.343915939331051</v>
      </c>
      <c r="Y123" s="275" t="e">
        <f t="shared" si="18"/>
        <v>#REF!</v>
      </c>
      <c r="Z123" s="138" t="str">
        <f t="shared" si="19"/>
        <v/>
      </c>
    </row>
    <row r="124" spans="1:26" s="144" customFormat="1" ht="221" hidden="1" customHeight="1">
      <c r="A124" s="14">
        <f>A123+1</f>
        <v>36</v>
      </c>
      <c r="B124" s="53" t="s">
        <v>501</v>
      </c>
      <c r="C124" s="54" t="s">
        <v>501</v>
      </c>
      <c r="D124" s="59" t="s">
        <v>502</v>
      </c>
      <c r="E124" s="20">
        <f>LEN(D124)</f>
        <v>175</v>
      </c>
      <c r="F124" s="481" t="s">
        <v>503</v>
      </c>
      <c r="G124" s="20">
        <f>LEN(F124)</f>
        <v>145</v>
      </c>
      <c r="H124" s="55" t="s">
        <v>89</v>
      </c>
      <c r="I124" s="20" t="s">
        <v>24</v>
      </c>
      <c r="J124" s="20" t="s">
        <v>24</v>
      </c>
      <c r="K124" s="20" t="s">
        <v>504</v>
      </c>
      <c r="L124" s="22" t="s">
        <v>505</v>
      </c>
      <c r="M124" s="78" t="s">
        <v>24</v>
      </c>
      <c r="N124" s="56" t="s">
        <v>506</v>
      </c>
      <c r="O124" s="65"/>
      <c r="P124" s="667"/>
      <c r="Q124" s="276" t="e">
        <f>#REF!</f>
        <v>#REF!</v>
      </c>
      <c r="R124" s="138"/>
      <c r="T124" s="146" t="s">
        <v>23</v>
      </c>
      <c r="U124" s="145"/>
      <c r="X124" s="275">
        <v>5.4708995819091797</v>
      </c>
      <c r="Y124" s="275" t="e">
        <f t="shared" si="18"/>
        <v>#REF!</v>
      </c>
      <c r="Z124" s="138" t="str">
        <f t="shared" si="19"/>
        <v/>
      </c>
    </row>
    <row r="125" spans="1:26" s="144" customFormat="1" ht="68" hidden="1" customHeight="1">
      <c r="A125" s="14">
        <f>A124+1</f>
        <v>37</v>
      </c>
      <c r="B125" s="53" t="s">
        <v>507</v>
      </c>
      <c r="C125" s="54" t="s">
        <v>507</v>
      </c>
      <c r="D125" s="59" t="s">
        <v>508</v>
      </c>
      <c r="E125" s="20">
        <f>LEN(D125)</f>
        <v>123</v>
      </c>
      <c r="F125" s="481" t="s">
        <v>509</v>
      </c>
      <c r="G125" s="20">
        <f>LEN(F125)</f>
        <v>103</v>
      </c>
      <c r="H125" s="55" t="s">
        <v>128</v>
      </c>
      <c r="I125" s="20" t="s">
        <v>24</v>
      </c>
      <c r="J125" s="20" t="s">
        <v>24</v>
      </c>
      <c r="K125" s="20" t="s">
        <v>27</v>
      </c>
      <c r="L125" s="22" t="s">
        <v>510</v>
      </c>
      <c r="M125" s="78" t="s">
        <v>24</v>
      </c>
      <c r="N125" s="56" t="s">
        <v>511</v>
      </c>
      <c r="O125" s="65"/>
      <c r="P125" s="667"/>
      <c r="Q125" s="276" t="e">
        <f>#REF!</f>
        <v>#REF!</v>
      </c>
      <c r="R125" s="138"/>
      <c r="T125" s="146" t="s">
        <v>23</v>
      </c>
      <c r="U125" s="145"/>
      <c r="X125" s="275">
        <v>7.9054727554321289</v>
      </c>
      <c r="Y125" s="275" t="e">
        <f t="shared" si="18"/>
        <v>#REF!</v>
      </c>
      <c r="Z125" s="138" t="str">
        <f t="shared" si="19"/>
        <v/>
      </c>
    </row>
    <row r="126" spans="1:26" s="144" customFormat="1" ht="85" hidden="1" customHeight="1">
      <c r="A126" s="14">
        <f>A125+1</f>
        <v>38</v>
      </c>
      <c r="B126" s="53" t="s">
        <v>512</v>
      </c>
      <c r="C126" s="54" t="s">
        <v>512</v>
      </c>
      <c r="D126" s="57" t="s">
        <v>513</v>
      </c>
      <c r="E126" s="20">
        <f>LEN(D126)</f>
        <v>218</v>
      </c>
      <c r="F126" s="57" t="s">
        <v>514</v>
      </c>
      <c r="G126" s="20">
        <f>LEN(F126)</f>
        <v>208</v>
      </c>
      <c r="H126" s="55" t="s">
        <v>128</v>
      </c>
      <c r="I126" s="20" t="s">
        <v>24</v>
      </c>
      <c r="J126" s="20" t="s">
        <v>24</v>
      </c>
      <c r="K126" s="20" t="s">
        <v>27</v>
      </c>
      <c r="L126" s="22" t="s">
        <v>515</v>
      </c>
      <c r="M126" s="78" t="s">
        <v>24</v>
      </c>
      <c r="N126" s="56" t="s">
        <v>516</v>
      </c>
      <c r="O126" s="65"/>
      <c r="P126" s="668"/>
      <c r="Q126" s="276" t="e">
        <f>#REF!</f>
        <v>#REF!</v>
      </c>
      <c r="R126" s="138"/>
      <c r="T126" s="146" t="s">
        <v>23</v>
      </c>
      <c r="U126" s="145"/>
      <c r="X126" s="275">
        <v>16.435977935791019</v>
      </c>
      <c r="Y126" s="275" t="e">
        <f t="shared" si="18"/>
        <v>#REF!</v>
      </c>
      <c r="Z126" s="138" t="str">
        <f t="shared" si="19"/>
        <v/>
      </c>
    </row>
    <row r="127" spans="1:26" s="144" customFormat="1">
      <c r="A127" s="46"/>
      <c r="B127" s="241"/>
      <c r="C127" s="97"/>
      <c r="D127" s="77"/>
      <c r="E127" s="48"/>
      <c r="F127" s="48"/>
      <c r="G127" s="48"/>
      <c r="H127" s="98"/>
      <c r="I127" s="48"/>
      <c r="J127" s="48"/>
      <c r="K127" s="48"/>
      <c r="L127" s="82"/>
      <c r="M127" s="82"/>
      <c r="N127" s="82"/>
      <c r="O127" s="82"/>
      <c r="P127" s="10"/>
      <c r="Q127" s="276" t="e">
        <f>#REF!</f>
        <v>#REF!</v>
      </c>
      <c r="R127" s="138"/>
      <c r="T127" s="146"/>
      <c r="U127" s="145"/>
      <c r="X127" s="275"/>
      <c r="Y127" s="275" t="str">
        <f t="shared" si="18"/>
        <v/>
      </c>
      <c r="Z127" s="138" t="str">
        <f t="shared" si="19"/>
        <v/>
      </c>
    </row>
    <row r="128" spans="1:26" s="144" customFormat="1" ht="153" customHeight="1">
      <c r="A128" s="46">
        <f>A126+1</f>
        <v>39</v>
      </c>
      <c r="B128" s="165" t="s">
        <v>517</v>
      </c>
      <c r="C128" s="143" t="s">
        <v>517</v>
      </c>
      <c r="D128" s="164" t="s">
        <v>518</v>
      </c>
      <c r="E128" s="149">
        <f>LEN(D128)</f>
        <v>163</v>
      </c>
      <c r="F128" s="500" t="s">
        <v>519</v>
      </c>
      <c r="G128" s="149">
        <f>LEN(F128)</f>
        <v>125</v>
      </c>
      <c r="H128" s="158" t="s">
        <v>37</v>
      </c>
      <c r="I128" s="149" t="s">
        <v>24</v>
      </c>
      <c r="J128" s="149" t="s">
        <v>24</v>
      </c>
      <c r="K128" s="149" t="s">
        <v>38</v>
      </c>
      <c r="L128" s="148" t="s">
        <v>520</v>
      </c>
      <c r="M128" s="219" t="s">
        <v>24</v>
      </c>
      <c r="N128" s="148" t="s">
        <v>521</v>
      </c>
      <c r="O128" s="61"/>
      <c r="P128" s="10"/>
      <c r="Q128" s="276" t="e">
        <f>#REF!</f>
        <v>#REF!</v>
      </c>
      <c r="R128" s="138"/>
      <c r="T128" s="437" t="s">
        <v>33</v>
      </c>
      <c r="U128" s="145"/>
      <c r="X128" s="274">
        <v>11.37532997131348</v>
      </c>
      <c r="Y128" s="274" t="e">
        <f t="shared" si="18"/>
        <v>#REF!</v>
      </c>
      <c r="Z128" s="138" t="e">
        <f t="shared" si="19"/>
        <v>#REF!</v>
      </c>
    </row>
    <row r="129" spans="1:26" s="144" customFormat="1" ht="388" customHeight="1">
      <c r="A129" s="110">
        <f>A128+1</f>
        <v>40</v>
      </c>
      <c r="B129" s="236" t="s">
        <v>522</v>
      </c>
      <c r="C129" s="150" t="s">
        <v>523</v>
      </c>
      <c r="D129" s="409" t="s">
        <v>524</v>
      </c>
      <c r="E129" s="132">
        <f>LEN(D129)</f>
        <v>779</v>
      </c>
      <c r="F129" s="464" t="s">
        <v>525</v>
      </c>
      <c r="G129" s="132">
        <f>LEN(F129)</f>
        <v>756</v>
      </c>
      <c r="H129" s="143" t="s">
        <v>480</v>
      </c>
      <c r="I129" s="132" t="s">
        <v>24</v>
      </c>
      <c r="J129" s="132" t="s">
        <v>24</v>
      </c>
      <c r="K129" s="132" t="s">
        <v>526</v>
      </c>
      <c r="L129" s="405" t="s">
        <v>527</v>
      </c>
      <c r="M129" s="219" t="s">
        <v>528</v>
      </c>
      <c r="N129" s="164" t="s">
        <v>529</v>
      </c>
      <c r="O129" s="61"/>
      <c r="P129" s="10"/>
      <c r="Q129" s="276" t="e">
        <f>#REF!</f>
        <v>#REF!</v>
      </c>
      <c r="R129" s="138"/>
      <c r="T129" s="437" t="s">
        <v>33</v>
      </c>
      <c r="U129" s="145"/>
      <c r="X129" s="274">
        <v>25.844999313354489</v>
      </c>
      <c r="Y129" s="274" t="e">
        <f t="shared" si="18"/>
        <v>#REF!</v>
      </c>
      <c r="Z129" s="138" t="e">
        <f t="shared" si="19"/>
        <v>#REF!</v>
      </c>
    </row>
    <row r="130" spans="1:26" s="144" customFormat="1">
      <c r="A130" s="46"/>
      <c r="B130" s="241"/>
      <c r="C130" s="97"/>
      <c r="D130" s="77"/>
      <c r="E130" s="48"/>
      <c r="F130" s="48"/>
      <c r="G130" s="48"/>
      <c r="H130" s="98"/>
      <c r="I130" s="48"/>
      <c r="J130" s="48"/>
      <c r="K130" s="48"/>
      <c r="L130" s="82"/>
      <c r="M130" s="82"/>
      <c r="N130" s="82"/>
      <c r="O130" s="82"/>
      <c r="P130" s="10"/>
      <c r="Q130" s="276" t="e">
        <f>#REF!</f>
        <v>#REF!</v>
      </c>
      <c r="R130" s="138"/>
      <c r="T130" s="146"/>
      <c r="U130" s="145"/>
      <c r="X130" s="275"/>
      <c r="Y130" s="275" t="str">
        <f t="shared" si="18"/>
        <v/>
      </c>
      <c r="Z130" s="138" t="str">
        <f t="shared" si="19"/>
        <v/>
      </c>
    </row>
    <row r="131" spans="1:26" s="144" customFormat="1" ht="221" hidden="1" customHeight="1">
      <c r="A131" s="107">
        <f>A129+1</f>
        <v>41</v>
      </c>
      <c r="B131" s="235" t="s">
        <v>530</v>
      </c>
      <c r="C131" s="244" t="s">
        <v>530</v>
      </c>
      <c r="D131" s="22" t="s">
        <v>531</v>
      </c>
      <c r="E131" s="20">
        <f>LEN(D131)</f>
        <v>296</v>
      </c>
      <c r="F131" s="479" t="s">
        <v>532</v>
      </c>
      <c r="G131" s="20">
        <f>LEN(F131)</f>
        <v>279</v>
      </c>
      <c r="H131" s="21" t="s">
        <v>37</v>
      </c>
      <c r="I131" s="20" t="s">
        <v>24</v>
      </c>
      <c r="J131" s="406" t="s">
        <v>533</v>
      </c>
      <c r="K131" s="20" t="s">
        <v>38</v>
      </c>
      <c r="L131" s="22" t="s">
        <v>534</v>
      </c>
      <c r="M131" s="78" t="s">
        <v>24</v>
      </c>
      <c r="N131" s="22" t="s">
        <v>535</v>
      </c>
      <c r="O131" s="31"/>
      <c r="P131" s="10"/>
      <c r="Q131" s="276" t="e">
        <f>#REF!</f>
        <v>#REF!</v>
      </c>
      <c r="R131" s="138"/>
      <c r="T131" s="146" t="s">
        <v>23</v>
      </c>
      <c r="U131" s="145"/>
      <c r="X131" s="275">
        <v>12.186037063598629</v>
      </c>
      <c r="Y131" s="275" t="e">
        <f t="shared" si="18"/>
        <v>#REF!</v>
      </c>
      <c r="Z131" s="138" t="str">
        <f t="shared" si="19"/>
        <v/>
      </c>
    </row>
    <row r="132" spans="1:26" s="144" customFormat="1" ht="136" hidden="1" customHeight="1">
      <c r="A132" s="58"/>
      <c r="B132" s="240" t="s">
        <v>536</v>
      </c>
      <c r="C132" s="239" t="s">
        <v>537</v>
      </c>
      <c r="D132" s="15" t="s">
        <v>538</v>
      </c>
      <c r="E132" s="24">
        <f>LEN(D132)</f>
        <v>233</v>
      </c>
      <c r="F132" s="476" t="s">
        <v>539</v>
      </c>
      <c r="G132" s="24">
        <f>LEN(F132)</f>
        <v>208</v>
      </c>
      <c r="H132" s="28" t="s">
        <v>247</v>
      </c>
      <c r="I132" s="24" t="s">
        <v>24</v>
      </c>
      <c r="J132" s="407" t="s">
        <v>24</v>
      </c>
      <c r="K132" s="24" t="s">
        <v>540</v>
      </c>
      <c r="L132" s="29" t="s">
        <v>541</v>
      </c>
      <c r="M132" s="78" t="s">
        <v>24</v>
      </c>
      <c r="N132" s="63" t="s">
        <v>542</v>
      </c>
      <c r="O132" s="63"/>
      <c r="P132" s="124"/>
      <c r="Q132" s="276" t="e">
        <f>#REF!</f>
        <v>#REF!</v>
      </c>
      <c r="R132" s="138"/>
      <c r="T132" s="146" t="s">
        <v>23</v>
      </c>
      <c r="U132" s="145"/>
      <c r="X132" s="275">
        <v>18.744722366333011</v>
      </c>
      <c r="Y132" s="275" t="e">
        <f t="shared" si="18"/>
        <v>#REF!</v>
      </c>
      <c r="Z132" s="138" t="str">
        <f t="shared" si="19"/>
        <v/>
      </c>
    </row>
    <row r="133" spans="1:26" s="144" customFormat="1" ht="17" customHeight="1" thickBot="1">
      <c r="A133" s="110"/>
      <c r="B133" s="263"/>
      <c r="C133" s="111"/>
      <c r="D133" s="86"/>
      <c r="E133" s="100"/>
      <c r="F133" s="100"/>
      <c r="G133" s="100"/>
      <c r="H133" s="111"/>
      <c r="I133" s="100"/>
      <c r="J133" s="100"/>
      <c r="K133" s="100"/>
      <c r="L133" s="92"/>
      <c r="M133" s="82"/>
      <c r="N133" s="86"/>
      <c r="O133" s="92"/>
      <c r="P133" s="69"/>
      <c r="Q133" s="276" t="e">
        <f>#REF!</f>
        <v>#REF!</v>
      </c>
      <c r="R133" s="138"/>
      <c r="T133" s="146"/>
      <c r="U133" s="145"/>
      <c r="X133" s="275"/>
      <c r="Y133" s="275" t="str">
        <f t="shared" si="18"/>
        <v/>
      </c>
      <c r="Z133" s="138" t="str">
        <f t="shared" si="19"/>
        <v/>
      </c>
    </row>
    <row r="134" spans="1:26" s="428" customFormat="1" ht="17" customHeight="1" thickBot="1">
      <c r="A134" s="663" t="s">
        <v>543</v>
      </c>
      <c r="B134" s="664"/>
      <c r="C134" s="664"/>
      <c r="D134" s="664"/>
      <c r="E134" s="664"/>
      <c r="F134" s="664"/>
      <c r="G134" s="664"/>
      <c r="H134" s="664"/>
      <c r="I134" s="664"/>
      <c r="J134" s="664"/>
      <c r="K134" s="664"/>
      <c r="L134" s="664"/>
      <c r="M134" s="664"/>
      <c r="N134" s="664"/>
      <c r="O134" s="664"/>
      <c r="P134" s="665"/>
      <c r="Q134" s="271"/>
      <c r="R134" s="439"/>
      <c r="T134" s="437"/>
      <c r="U134" s="440"/>
      <c r="X134" s="274"/>
      <c r="Y134" s="274" t="str">
        <f t="shared" si="18"/>
        <v/>
      </c>
      <c r="Z134" s="439" t="str">
        <f t="shared" si="19"/>
        <v/>
      </c>
    </row>
    <row r="135" spans="1:26" s="144" customFormat="1" ht="255" customHeight="1">
      <c r="A135" s="46"/>
      <c r="B135" s="183" t="s">
        <v>544</v>
      </c>
      <c r="C135" s="182" t="s">
        <v>544</v>
      </c>
      <c r="D135" s="501" t="s">
        <v>545</v>
      </c>
      <c r="E135" s="141">
        <f>LEN(D135)</f>
        <v>1382</v>
      </c>
      <c r="F135" s="471" t="s">
        <v>546</v>
      </c>
      <c r="G135" s="141">
        <f>LEN(F135)</f>
        <v>1380</v>
      </c>
      <c r="H135" s="151" t="s">
        <v>37</v>
      </c>
      <c r="I135" s="149" t="s">
        <v>24</v>
      </c>
      <c r="J135" s="143" t="s">
        <v>547</v>
      </c>
      <c r="K135" s="141" t="s">
        <v>38</v>
      </c>
      <c r="L135" s="148" t="s">
        <v>548</v>
      </c>
      <c r="M135" s="394" t="s">
        <v>549</v>
      </c>
      <c r="N135" s="148" t="s">
        <v>550</v>
      </c>
      <c r="O135" s="82"/>
      <c r="P135" s="10"/>
      <c r="Q135" s="276" t="e">
        <f>#REF!</f>
        <v>#REF!</v>
      </c>
      <c r="R135" s="138"/>
      <c r="T135" s="437" t="s">
        <v>33</v>
      </c>
      <c r="U135" s="145"/>
      <c r="X135" s="274">
        <v>17.612014770507809</v>
      </c>
      <c r="Y135" s="274" t="e">
        <f t="shared" si="18"/>
        <v>#REF!</v>
      </c>
      <c r="Z135" s="138" t="e">
        <f t="shared" si="19"/>
        <v>#REF!</v>
      </c>
    </row>
    <row r="136" spans="1:26" s="144" customFormat="1">
      <c r="A136" s="46"/>
      <c r="B136" s="181"/>
      <c r="C136" s="97"/>
      <c r="D136" s="502"/>
      <c r="E136" s="103"/>
      <c r="F136" s="502"/>
      <c r="G136" s="103"/>
      <c r="H136" s="49"/>
      <c r="I136" s="48"/>
      <c r="J136" s="109"/>
      <c r="K136" s="48"/>
      <c r="L136" s="82"/>
      <c r="M136" s="82"/>
      <c r="N136" s="84"/>
      <c r="O136" s="84"/>
      <c r="P136" s="10"/>
      <c r="Q136" s="276" t="e">
        <f>#REF!</f>
        <v>#REF!</v>
      </c>
      <c r="R136" s="146"/>
      <c r="S136" s="145"/>
      <c r="V136" s="152"/>
      <c r="W136" s="197"/>
      <c r="X136" s="275"/>
      <c r="Y136" s="275" t="str">
        <f t="shared" si="18"/>
        <v/>
      </c>
      <c r="Z136" s="138" t="str">
        <f t="shared" si="19"/>
        <v/>
      </c>
    </row>
    <row r="137" spans="1:26" s="144" customFormat="1" ht="222" customHeight="1">
      <c r="A137" s="96">
        <f>A129+1</f>
        <v>41</v>
      </c>
      <c r="B137" s="410" t="s">
        <v>551</v>
      </c>
      <c r="C137" s="143" t="s">
        <v>551</v>
      </c>
      <c r="D137" s="142" t="s">
        <v>552</v>
      </c>
      <c r="E137" s="141">
        <f>LEN(D137)</f>
        <v>167</v>
      </c>
      <c r="F137" s="471" t="s">
        <v>553</v>
      </c>
      <c r="G137" s="141">
        <f>LEN(F137)</f>
        <v>141</v>
      </c>
      <c r="H137" s="151" t="s">
        <v>37</v>
      </c>
      <c r="I137" s="141" t="s">
        <v>24</v>
      </c>
      <c r="J137" s="143" t="s">
        <v>24</v>
      </c>
      <c r="K137" s="141" t="s">
        <v>38</v>
      </c>
      <c r="L137" s="140" t="s">
        <v>554</v>
      </c>
      <c r="M137" s="219" t="s">
        <v>24</v>
      </c>
      <c r="N137" s="140" t="s">
        <v>555</v>
      </c>
      <c r="O137" s="84"/>
      <c r="P137" s="51"/>
      <c r="Q137" s="276" t="e">
        <f>#REF!</f>
        <v>#REF!</v>
      </c>
      <c r="R137" s="138"/>
      <c r="T137" s="437" t="s">
        <v>33</v>
      </c>
      <c r="U137" s="145"/>
      <c r="X137" s="274">
        <v>10.457156181335449</v>
      </c>
      <c r="Y137" s="274" t="e">
        <f t="shared" si="18"/>
        <v>#REF!</v>
      </c>
      <c r="Z137" s="138" t="e">
        <f t="shared" si="19"/>
        <v>#REF!</v>
      </c>
    </row>
    <row r="138" spans="1:26" s="144" customFormat="1" ht="289" customHeight="1">
      <c r="A138" s="46">
        <f>A137+1</f>
        <v>42</v>
      </c>
      <c r="B138" s="183" t="s">
        <v>556</v>
      </c>
      <c r="C138" s="143" t="s">
        <v>557</v>
      </c>
      <c r="D138" s="409" t="s">
        <v>558</v>
      </c>
      <c r="E138" s="141">
        <f>LEN(D138)</f>
        <v>684</v>
      </c>
      <c r="F138" s="471" t="s">
        <v>559</v>
      </c>
      <c r="G138" s="141">
        <f>LEN(F138)</f>
        <v>622</v>
      </c>
      <c r="H138" s="143" t="s">
        <v>480</v>
      </c>
      <c r="I138" s="149" t="s">
        <v>24</v>
      </c>
      <c r="J138" s="174" t="s">
        <v>24</v>
      </c>
      <c r="K138" s="149" t="s">
        <v>481</v>
      </c>
      <c r="L138" s="148" t="s">
        <v>560</v>
      </c>
      <c r="M138" s="219" t="s">
        <v>561</v>
      </c>
      <c r="N138" s="148" t="s">
        <v>562</v>
      </c>
      <c r="O138" s="82"/>
      <c r="P138" s="10"/>
      <c r="Q138" s="276" t="e">
        <f>#REF!</f>
        <v>#REF!</v>
      </c>
      <c r="R138" s="138"/>
      <c r="T138" s="437" t="s">
        <v>33</v>
      </c>
      <c r="U138" s="145"/>
      <c r="X138" s="274">
        <v>20.769962310791019</v>
      </c>
      <c r="Y138" s="274" t="e">
        <f t="shared" si="18"/>
        <v>#REF!</v>
      </c>
      <c r="Z138" s="138" t="e">
        <f t="shared" si="19"/>
        <v>#REF!</v>
      </c>
    </row>
    <row r="139" spans="1:26" s="144" customFormat="1">
      <c r="A139" s="46"/>
      <c r="B139" s="181"/>
      <c r="C139" s="97"/>
      <c r="D139" s="502"/>
      <c r="E139" s="103"/>
      <c r="F139" s="450"/>
      <c r="G139" s="103"/>
      <c r="H139" s="49"/>
      <c r="I139" s="48"/>
      <c r="J139" s="108"/>
      <c r="K139" s="48"/>
      <c r="L139" s="82"/>
      <c r="M139" s="82"/>
      <c r="N139" s="84"/>
      <c r="O139" s="84"/>
      <c r="P139" s="10"/>
      <c r="Q139" s="276" t="e">
        <f>#REF!</f>
        <v>#REF!</v>
      </c>
      <c r="R139" s="138"/>
      <c r="T139" s="146"/>
      <c r="U139" s="145"/>
      <c r="X139" s="275"/>
      <c r="Y139" s="275" t="str">
        <f t="shared" si="18"/>
        <v/>
      </c>
      <c r="Z139" s="138" t="str">
        <f t="shared" si="19"/>
        <v/>
      </c>
    </row>
    <row r="140" spans="1:26" s="144" customFormat="1" ht="261" customHeight="1">
      <c r="A140" s="46">
        <f>A138+1</f>
        <v>43</v>
      </c>
      <c r="B140" s="183" t="s">
        <v>563</v>
      </c>
      <c r="C140" s="143" t="s">
        <v>563</v>
      </c>
      <c r="D140" s="164" t="s">
        <v>564</v>
      </c>
      <c r="E140" s="149">
        <f>LEN(D140)</f>
        <v>336</v>
      </c>
      <c r="F140" s="503" t="s">
        <v>565</v>
      </c>
      <c r="G140" s="149">
        <f>LEN(F140)</f>
        <v>299</v>
      </c>
      <c r="H140" s="158" t="s">
        <v>37</v>
      </c>
      <c r="I140" s="149" t="s">
        <v>24</v>
      </c>
      <c r="J140" s="149" t="s">
        <v>24</v>
      </c>
      <c r="K140" s="149" t="s">
        <v>38</v>
      </c>
      <c r="L140" s="173" t="s">
        <v>566</v>
      </c>
      <c r="M140" s="219" t="s">
        <v>24</v>
      </c>
      <c r="N140" s="147" t="s">
        <v>567</v>
      </c>
      <c r="O140" s="172"/>
      <c r="P140" s="10"/>
      <c r="Q140" s="276" t="e">
        <f>#REF!</f>
        <v>#REF!</v>
      </c>
      <c r="R140" s="138"/>
      <c r="T140" s="437" t="s">
        <v>33</v>
      </c>
      <c r="U140" s="145"/>
      <c r="X140" s="274">
        <v>23.569721221923832</v>
      </c>
      <c r="Y140" s="274" t="e">
        <f t="shared" si="18"/>
        <v>#REF!</v>
      </c>
      <c r="Z140" s="138" t="e">
        <f t="shared" si="19"/>
        <v>#REF!</v>
      </c>
    </row>
    <row r="141" spans="1:26" s="144" customFormat="1" ht="17" customHeight="1" thickBot="1">
      <c r="A141" s="46"/>
      <c r="B141" s="181"/>
      <c r="C141" s="97"/>
      <c r="D141" s="502"/>
      <c r="E141" s="103"/>
      <c r="F141" s="502"/>
      <c r="G141" s="103"/>
      <c r="H141" s="49"/>
      <c r="I141" s="48"/>
      <c r="J141" s="108"/>
      <c r="K141" s="48"/>
      <c r="L141" s="82"/>
      <c r="M141" s="82"/>
      <c r="N141" s="84"/>
      <c r="O141" s="84"/>
      <c r="P141" s="10"/>
      <c r="Q141" s="276" t="e">
        <f>#REF!</f>
        <v>#REF!</v>
      </c>
      <c r="R141" s="138"/>
      <c r="T141" s="146"/>
      <c r="U141" s="145"/>
      <c r="X141" s="275"/>
      <c r="Y141" s="275" t="str">
        <f t="shared" si="18"/>
        <v/>
      </c>
      <c r="Z141" s="138" t="str">
        <f t="shared" si="19"/>
        <v/>
      </c>
    </row>
    <row r="142" spans="1:26" s="428" customFormat="1" ht="17" customHeight="1" thickBot="1">
      <c r="A142" s="663" t="s">
        <v>568</v>
      </c>
      <c r="B142" s="664"/>
      <c r="C142" s="664"/>
      <c r="D142" s="664"/>
      <c r="E142" s="664"/>
      <c r="F142" s="664"/>
      <c r="G142" s="664"/>
      <c r="H142" s="664"/>
      <c r="I142" s="664"/>
      <c r="J142" s="664"/>
      <c r="K142" s="664"/>
      <c r="L142" s="664"/>
      <c r="M142" s="664"/>
      <c r="N142" s="664"/>
      <c r="O142" s="664"/>
      <c r="P142" s="665"/>
      <c r="Q142" s="271"/>
      <c r="R142" s="439"/>
      <c r="T142" s="437"/>
      <c r="U142" s="440"/>
      <c r="X142" s="274"/>
      <c r="Y142" s="274" t="str">
        <f t="shared" si="18"/>
        <v/>
      </c>
      <c r="Z142" s="439" t="str">
        <f t="shared" si="19"/>
        <v/>
      </c>
    </row>
    <row r="143" spans="1:26" s="144" customFormat="1" ht="136" customHeight="1">
      <c r="A143" s="96">
        <f>A140+1</f>
        <v>44</v>
      </c>
      <c r="B143" s="412" t="s">
        <v>569</v>
      </c>
      <c r="C143" s="504" t="s">
        <v>569</v>
      </c>
      <c r="D143" s="505" t="s">
        <v>570</v>
      </c>
      <c r="E143" s="141">
        <f>LEN(D143)</f>
        <v>173</v>
      </c>
      <c r="F143" s="505" t="s">
        <v>571</v>
      </c>
      <c r="G143" s="141">
        <f>LEN(F143)</f>
        <v>124</v>
      </c>
      <c r="H143" s="141" t="s">
        <v>37</v>
      </c>
      <c r="I143" s="141" t="s">
        <v>24</v>
      </c>
      <c r="J143" s="141" t="s">
        <v>572</v>
      </c>
      <c r="K143" s="141" t="s">
        <v>38</v>
      </c>
      <c r="L143" s="140" t="s">
        <v>573</v>
      </c>
      <c r="M143" s="219" t="s">
        <v>24</v>
      </c>
      <c r="N143" s="147" t="s">
        <v>574</v>
      </c>
      <c r="O143" s="172"/>
      <c r="P143" s="9"/>
      <c r="Q143" s="271" t="e">
        <f>#REF!</f>
        <v>#REF!</v>
      </c>
      <c r="R143" s="138"/>
      <c r="T143" s="437" t="s">
        <v>33</v>
      </c>
      <c r="U143" s="145"/>
      <c r="X143" s="274">
        <v>4.5019583702087402</v>
      </c>
      <c r="Y143" s="274" t="e">
        <f t="shared" si="18"/>
        <v>#REF!</v>
      </c>
      <c r="Z143" s="138" t="e">
        <f t="shared" si="19"/>
        <v>#REF!</v>
      </c>
    </row>
    <row r="144" spans="1:26" s="144" customFormat="1">
      <c r="A144" s="46"/>
      <c r="B144" s="181"/>
      <c r="C144" s="97"/>
      <c r="D144" s="502"/>
      <c r="E144" s="103"/>
      <c r="F144" s="453"/>
      <c r="G144" s="103"/>
      <c r="H144" s="49"/>
      <c r="I144" s="48"/>
      <c r="J144" s="109"/>
      <c r="K144" s="48"/>
      <c r="L144" s="82"/>
      <c r="M144" s="82"/>
      <c r="N144" s="84"/>
      <c r="O144" s="84"/>
      <c r="P144" s="10"/>
      <c r="Q144" s="276" t="e">
        <f>#REF!</f>
        <v>#REF!</v>
      </c>
      <c r="R144" s="138"/>
      <c r="T144" s="146"/>
      <c r="U144" s="145"/>
      <c r="X144" s="275"/>
      <c r="Y144" s="275" t="str">
        <f t="shared" si="18"/>
        <v/>
      </c>
      <c r="Z144" s="138" t="str">
        <f t="shared" si="19"/>
        <v/>
      </c>
    </row>
    <row r="145" spans="1:26" s="144" customFormat="1" ht="306" customHeight="1">
      <c r="A145" s="96">
        <f>A143+1</f>
        <v>45</v>
      </c>
      <c r="B145" s="234" t="s">
        <v>575</v>
      </c>
      <c r="C145" s="143" t="s">
        <v>575</v>
      </c>
      <c r="D145" s="142" t="s">
        <v>576</v>
      </c>
      <c r="E145" s="141">
        <f>LEN(D145)</f>
        <v>579</v>
      </c>
      <c r="F145" s="471" t="s">
        <v>577</v>
      </c>
      <c r="G145" s="141">
        <f>LEN(F145)</f>
        <v>542</v>
      </c>
      <c r="H145" s="141" t="s">
        <v>37</v>
      </c>
      <c r="I145" s="141" t="s">
        <v>24</v>
      </c>
      <c r="J145" s="141" t="s">
        <v>24</v>
      </c>
      <c r="K145" s="143" t="s">
        <v>578</v>
      </c>
      <c r="L145" s="140" t="s">
        <v>579</v>
      </c>
      <c r="M145" s="219" t="s">
        <v>24</v>
      </c>
      <c r="N145" s="147" t="s">
        <v>580</v>
      </c>
      <c r="O145" s="172"/>
      <c r="P145" s="51"/>
      <c r="Q145" s="271" t="e">
        <f>#REF!</f>
        <v>#REF!</v>
      </c>
      <c r="R145" s="138"/>
      <c r="T145" s="437" t="s">
        <v>33</v>
      </c>
      <c r="U145" s="145"/>
      <c r="X145" s="274">
        <v>17.402484893798832</v>
      </c>
      <c r="Y145" s="274" t="e">
        <f t="shared" si="18"/>
        <v>#REF!</v>
      </c>
      <c r="Z145" s="138" t="e">
        <f t="shared" si="19"/>
        <v>#REF!</v>
      </c>
    </row>
    <row r="146" spans="1:26" s="144" customFormat="1">
      <c r="A146" s="96"/>
      <c r="B146" s="262"/>
      <c r="C146" s="97"/>
      <c r="D146" s="170"/>
      <c r="E146" s="103"/>
      <c r="F146" s="102"/>
      <c r="G146" s="103"/>
      <c r="H146" s="103"/>
      <c r="I146" s="103"/>
      <c r="J146" s="103"/>
      <c r="K146" s="97"/>
      <c r="L146" s="84"/>
      <c r="M146" s="82"/>
      <c r="N146" s="172"/>
      <c r="O146" s="172"/>
      <c r="P146" s="51"/>
      <c r="Q146" s="276" t="e">
        <f>#REF!</f>
        <v>#REF!</v>
      </c>
      <c r="R146" s="138"/>
      <c r="T146" s="146"/>
      <c r="U146" s="145"/>
      <c r="X146" s="275"/>
      <c r="Y146" s="275" t="str">
        <f t="shared" si="18"/>
        <v/>
      </c>
      <c r="Z146" s="138" t="str">
        <f t="shared" si="19"/>
        <v/>
      </c>
    </row>
    <row r="147" spans="1:26" s="144" customFormat="1" ht="68" customHeight="1">
      <c r="A147" s="46">
        <f>A145+1</f>
        <v>46</v>
      </c>
      <c r="B147" s="183" t="s">
        <v>581</v>
      </c>
      <c r="C147" s="143" t="s">
        <v>581</v>
      </c>
      <c r="D147" s="164" t="s">
        <v>582</v>
      </c>
      <c r="E147" s="149">
        <f>LEN(D147)</f>
        <v>152</v>
      </c>
      <c r="F147" s="464" t="s">
        <v>583</v>
      </c>
      <c r="G147" s="149">
        <f>LEN(F147)</f>
        <v>125</v>
      </c>
      <c r="H147" s="158" t="s">
        <v>128</v>
      </c>
      <c r="I147" s="149" t="s">
        <v>24</v>
      </c>
      <c r="J147" s="149" t="s">
        <v>24</v>
      </c>
      <c r="K147" s="149" t="s">
        <v>27</v>
      </c>
      <c r="L147" s="148" t="s">
        <v>584</v>
      </c>
      <c r="M147" s="219" t="s">
        <v>24</v>
      </c>
      <c r="N147" s="148" t="s">
        <v>585</v>
      </c>
      <c r="O147" s="84"/>
      <c r="P147" s="10"/>
      <c r="Q147" s="271" t="e">
        <f>#REF!</f>
        <v>#REF!</v>
      </c>
      <c r="R147" s="138"/>
      <c r="T147" s="437" t="s">
        <v>33</v>
      </c>
      <c r="U147" s="145"/>
      <c r="X147" s="274">
        <v>16.332881927490231</v>
      </c>
      <c r="Y147" s="274" t="e">
        <f t="shared" si="18"/>
        <v>#REF!</v>
      </c>
      <c r="Z147" s="138" t="e">
        <f t="shared" si="19"/>
        <v>#REF!</v>
      </c>
    </row>
    <row r="148" spans="1:26" s="144" customFormat="1" ht="68" customHeight="1">
      <c r="A148" s="46">
        <f>A147+1</f>
        <v>47</v>
      </c>
      <c r="B148" s="183" t="s">
        <v>586</v>
      </c>
      <c r="C148" s="143" t="s">
        <v>586</v>
      </c>
      <c r="D148" s="163" t="s">
        <v>587</v>
      </c>
      <c r="E148" s="149">
        <f>LEN(D148)</f>
        <v>128</v>
      </c>
      <c r="F148" s="163" t="s">
        <v>588</v>
      </c>
      <c r="G148" s="149">
        <f>LEN(F148)</f>
        <v>97</v>
      </c>
      <c r="H148" s="158" t="s">
        <v>128</v>
      </c>
      <c r="I148" s="149" t="s">
        <v>24</v>
      </c>
      <c r="J148" s="149" t="s">
        <v>24</v>
      </c>
      <c r="K148" s="149" t="s">
        <v>27</v>
      </c>
      <c r="L148" s="148" t="s">
        <v>589</v>
      </c>
      <c r="M148" s="219" t="s">
        <v>24</v>
      </c>
      <c r="N148" s="148" t="s">
        <v>590</v>
      </c>
      <c r="O148" s="84"/>
      <c r="P148" s="10"/>
      <c r="Q148" s="271" t="e">
        <f>#REF!</f>
        <v>#REF!</v>
      </c>
      <c r="R148" s="138"/>
      <c r="T148" s="437" t="s">
        <v>33</v>
      </c>
      <c r="U148" s="145"/>
      <c r="X148" s="274">
        <v>7.4144525527954102</v>
      </c>
      <c r="Y148" s="274" t="e">
        <f t="shared" si="18"/>
        <v>#REF!</v>
      </c>
      <c r="Z148" s="138" t="e">
        <f t="shared" si="19"/>
        <v>#REF!</v>
      </c>
    </row>
    <row r="149" spans="1:26" s="144" customFormat="1" ht="400.25" customHeight="1">
      <c r="A149" s="46">
        <v>44</v>
      </c>
      <c r="B149" s="183" t="s">
        <v>591</v>
      </c>
      <c r="C149" s="143" t="s">
        <v>592</v>
      </c>
      <c r="D149" s="409" t="s">
        <v>593</v>
      </c>
      <c r="E149" s="149">
        <f>LEN(D149)</f>
        <v>787</v>
      </c>
      <c r="F149" s="163" t="s">
        <v>594</v>
      </c>
      <c r="G149" s="149">
        <f>LEN(F149)</f>
        <v>774</v>
      </c>
      <c r="H149" s="143" t="s">
        <v>480</v>
      </c>
      <c r="I149" s="149" t="s">
        <v>24</v>
      </c>
      <c r="J149" s="149" t="s">
        <v>24</v>
      </c>
      <c r="K149" s="149" t="s">
        <v>595</v>
      </c>
      <c r="L149" s="148" t="s">
        <v>596</v>
      </c>
      <c r="M149" s="219" t="s">
        <v>597</v>
      </c>
      <c r="N149" s="147" t="s">
        <v>598</v>
      </c>
      <c r="O149" s="30" t="s">
        <v>599</v>
      </c>
      <c r="P149" s="10"/>
      <c r="Q149" s="271" t="e">
        <f>#REF!</f>
        <v>#REF!</v>
      </c>
      <c r="R149" s="138"/>
      <c r="T149" s="437" t="s">
        <v>33</v>
      </c>
      <c r="U149" s="145"/>
      <c r="X149" s="274">
        <v>17.791135787963871</v>
      </c>
      <c r="Y149" s="274" t="e">
        <f t="shared" si="18"/>
        <v>#REF!</v>
      </c>
      <c r="Z149" s="138" t="e">
        <f t="shared" si="19"/>
        <v>#REF!</v>
      </c>
    </row>
    <row r="150" spans="1:26" s="144" customFormat="1" ht="238.25" customHeight="1">
      <c r="A150" s="14">
        <v>45</v>
      </c>
      <c r="B150" s="235" t="s">
        <v>600</v>
      </c>
      <c r="C150" s="17" t="s">
        <v>601</v>
      </c>
      <c r="D150" s="22" t="s">
        <v>602</v>
      </c>
      <c r="E150" s="20">
        <f>LEN(D150)</f>
        <v>285</v>
      </c>
      <c r="F150" s="479" t="s">
        <v>603</v>
      </c>
      <c r="G150" s="20">
        <f>LEN(F150)</f>
        <v>262</v>
      </c>
      <c r="H150" s="385" t="s">
        <v>480</v>
      </c>
      <c r="I150" s="20" t="s">
        <v>24</v>
      </c>
      <c r="J150" s="20" t="s">
        <v>24</v>
      </c>
      <c r="K150" s="20" t="s">
        <v>604</v>
      </c>
      <c r="L150" s="31" t="s">
        <v>605</v>
      </c>
      <c r="M150" s="78" t="s">
        <v>606</v>
      </c>
      <c r="N150" s="121" t="s">
        <v>607</v>
      </c>
      <c r="O150" s="62"/>
      <c r="P150" s="10"/>
      <c r="Q150" s="276" t="e">
        <f>#REF!</f>
        <v>#REF!</v>
      </c>
      <c r="R150" s="138"/>
      <c r="T150" s="146" t="s">
        <v>23</v>
      </c>
      <c r="U150" s="145"/>
      <c r="X150" s="275">
        <v>18.08681678771973</v>
      </c>
      <c r="Y150" s="275" t="e">
        <f t="shared" ref="Y150:Y181" si="20">IF(X150="","",X150*Q150)</f>
        <v>#REF!</v>
      </c>
      <c r="Z150" s="138" t="str">
        <f t="shared" ref="Z150:Z181" si="21">IF(T150="yes",Y150,"")</f>
        <v/>
      </c>
    </row>
    <row r="151" spans="1:26" s="144" customFormat="1">
      <c r="A151" s="46"/>
      <c r="B151" s="181"/>
      <c r="C151" s="97"/>
      <c r="D151" s="77"/>
      <c r="E151" s="48"/>
      <c r="G151" s="48"/>
      <c r="H151" s="98"/>
      <c r="I151" s="48"/>
      <c r="J151" s="48"/>
      <c r="K151" s="48"/>
      <c r="L151" s="82"/>
      <c r="M151" s="82"/>
      <c r="N151" s="82"/>
      <c r="O151" s="84"/>
      <c r="P151" s="10"/>
      <c r="Q151" s="276" t="e">
        <f>#REF!</f>
        <v>#REF!</v>
      </c>
      <c r="R151" s="138"/>
      <c r="T151" s="146"/>
      <c r="U151" s="145"/>
      <c r="X151" s="275"/>
      <c r="Y151" s="275" t="str">
        <f t="shared" si="20"/>
        <v/>
      </c>
      <c r="Z151" s="138" t="str">
        <f t="shared" si="21"/>
        <v/>
      </c>
    </row>
    <row r="152" spans="1:26" s="144" customFormat="1" ht="153" customHeight="1">
      <c r="A152" s="46">
        <f>A150+1</f>
        <v>46</v>
      </c>
      <c r="B152" s="183" t="s">
        <v>608</v>
      </c>
      <c r="C152" s="143" t="s">
        <v>608</v>
      </c>
      <c r="D152" s="164" t="s">
        <v>609</v>
      </c>
      <c r="E152" s="149">
        <f>LEN(D152)</f>
        <v>167</v>
      </c>
      <c r="F152" s="464" t="s">
        <v>610</v>
      </c>
      <c r="G152" s="149">
        <f>LEN(F152)</f>
        <v>135</v>
      </c>
      <c r="H152" s="158" t="s">
        <v>37</v>
      </c>
      <c r="I152" s="149" t="s">
        <v>24</v>
      </c>
      <c r="J152" s="149" t="s">
        <v>24</v>
      </c>
      <c r="K152" s="149" t="s">
        <v>38</v>
      </c>
      <c r="L152" s="148" t="s">
        <v>611</v>
      </c>
      <c r="M152" s="219" t="s">
        <v>24</v>
      </c>
      <c r="N152" s="148" t="s">
        <v>612</v>
      </c>
      <c r="O152" s="44"/>
      <c r="P152" s="10"/>
      <c r="Q152" s="271" t="e">
        <f>#REF!</f>
        <v>#REF!</v>
      </c>
      <c r="R152" s="138"/>
      <c r="T152" s="437" t="s">
        <v>33</v>
      </c>
      <c r="U152" s="145"/>
      <c r="X152" s="274">
        <v>10.37455940246582</v>
      </c>
      <c r="Y152" s="274" t="e">
        <f t="shared" si="20"/>
        <v>#REF!</v>
      </c>
      <c r="Z152" s="138" t="e">
        <f t="shared" si="21"/>
        <v>#REF!</v>
      </c>
    </row>
    <row r="153" spans="1:26" s="144" customFormat="1" ht="323" customHeight="1">
      <c r="A153" s="110">
        <f>A152+1</f>
        <v>47</v>
      </c>
      <c r="B153" s="236" t="s">
        <v>613</v>
      </c>
      <c r="C153" s="134" t="s">
        <v>614</v>
      </c>
      <c r="D153" s="164" t="s">
        <v>615</v>
      </c>
      <c r="E153" s="149">
        <f>LEN(D153)</f>
        <v>662</v>
      </c>
      <c r="F153" s="464" t="s">
        <v>616</v>
      </c>
      <c r="G153" s="149">
        <f>LEN(F153)</f>
        <v>596</v>
      </c>
      <c r="H153" s="143" t="s">
        <v>480</v>
      </c>
      <c r="I153" s="149" t="s">
        <v>24</v>
      </c>
      <c r="J153" s="149" t="s">
        <v>24</v>
      </c>
      <c r="K153" s="149" t="s">
        <v>617</v>
      </c>
      <c r="L153" s="411" t="s">
        <v>618</v>
      </c>
      <c r="M153" s="219" t="s">
        <v>619</v>
      </c>
      <c r="N153" s="164" t="s">
        <v>620</v>
      </c>
      <c r="O153" s="61"/>
      <c r="P153" s="10"/>
      <c r="Q153" s="271" t="e">
        <f>#REF!</f>
        <v>#REF!</v>
      </c>
      <c r="R153" s="138"/>
      <c r="T153" s="437" t="s">
        <v>33</v>
      </c>
      <c r="U153" s="145"/>
      <c r="X153" s="274">
        <v>19.616762161254879</v>
      </c>
      <c r="Y153" s="274" t="e">
        <f t="shared" si="20"/>
        <v>#REF!</v>
      </c>
      <c r="Z153" s="138" t="e">
        <f t="shared" si="21"/>
        <v>#REF!</v>
      </c>
    </row>
    <row r="154" spans="1:26" s="144" customFormat="1" ht="238" hidden="1" customHeight="1">
      <c r="A154" s="14"/>
      <c r="B154" s="237" t="s">
        <v>621</v>
      </c>
      <c r="C154" s="244" t="s">
        <v>622</v>
      </c>
      <c r="D154" s="15" t="s">
        <v>623</v>
      </c>
      <c r="E154" s="24">
        <f>LEN(D154)</f>
        <v>241</v>
      </c>
      <c r="F154" s="476" t="s">
        <v>624</v>
      </c>
      <c r="G154" s="24">
        <f>LEN(F154)</f>
        <v>197</v>
      </c>
      <c r="H154" s="28" t="s">
        <v>247</v>
      </c>
      <c r="I154" s="24" t="s">
        <v>24</v>
      </c>
      <c r="J154" s="24" t="s">
        <v>625</v>
      </c>
      <c r="K154" s="24" t="s">
        <v>626</v>
      </c>
      <c r="L154" s="29" t="s">
        <v>627</v>
      </c>
      <c r="M154" s="78" t="s">
        <v>628</v>
      </c>
      <c r="N154" s="63" t="s">
        <v>629</v>
      </c>
      <c r="O154" s="63"/>
      <c r="P154" s="124"/>
      <c r="Q154" s="276" t="e">
        <f>#REF!</f>
        <v>#REF!</v>
      </c>
      <c r="R154" s="138"/>
      <c r="T154" s="146" t="s">
        <v>23</v>
      </c>
      <c r="U154" s="145"/>
      <c r="X154" s="275">
        <v>7.2497549057006836</v>
      </c>
      <c r="Y154" s="275" t="e">
        <f t="shared" si="20"/>
        <v>#REF!</v>
      </c>
      <c r="Z154" s="138" t="str">
        <f t="shared" si="21"/>
        <v/>
      </c>
    </row>
    <row r="155" spans="1:26" s="144" customFormat="1" ht="17" customHeight="1" thickBot="1">
      <c r="A155" s="46"/>
      <c r="B155" s="181"/>
      <c r="C155" s="97"/>
      <c r="D155" s="77"/>
      <c r="E155" s="48"/>
      <c r="F155" s="48"/>
      <c r="G155" s="48"/>
      <c r="H155" s="98"/>
      <c r="I155" s="48"/>
      <c r="J155" s="48"/>
      <c r="K155" s="48"/>
      <c r="L155" s="82"/>
      <c r="M155" s="82"/>
      <c r="N155" s="82"/>
      <c r="O155" s="84"/>
      <c r="P155" s="51"/>
      <c r="Q155" s="276" t="e">
        <f>#REF!</f>
        <v>#REF!</v>
      </c>
      <c r="R155" s="138"/>
      <c r="T155" s="146"/>
      <c r="U155" s="145"/>
      <c r="X155" s="275"/>
      <c r="Y155" s="275" t="str">
        <f t="shared" si="20"/>
        <v/>
      </c>
      <c r="Z155" s="138" t="str">
        <f t="shared" si="21"/>
        <v/>
      </c>
    </row>
    <row r="156" spans="1:26" s="428" customFormat="1" ht="17" customHeight="1" thickBot="1">
      <c r="A156" s="663" t="s">
        <v>630</v>
      </c>
      <c r="B156" s="664"/>
      <c r="C156" s="664"/>
      <c r="D156" s="664"/>
      <c r="E156" s="664"/>
      <c r="F156" s="664"/>
      <c r="G156" s="664"/>
      <c r="H156" s="664"/>
      <c r="I156" s="664"/>
      <c r="J156" s="664"/>
      <c r="K156" s="664"/>
      <c r="L156" s="664"/>
      <c r="M156" s="664"/>
      <c r="N156" s="664"/>
      <c r="O156" s="664"/>
      <c r="P156" s="665"/>
      <c r="Q156" s="271"/>
      <c r="R156" s="439"/>
      <c r="T156" s="437"/>
      <c r="U156" s="440"/>
      <c r="X156" s="274"/>
      <c r="Y156" s="274" t="str">
        <f t="shared" si="20"/>
        <v/>
      </c>
      <c r="Z156" s="439" t="str">
        <f t="shared" si="21"/>
        <v/>
      </c>
    </row>
    <row r="157" spans="1:26" s="144" customFormat="1" ht="306" customHeight="1">
      <c r="A157" s="96">
        <f>A153+1</f>
        <v>48</v>
      </c>
      <c r="B157" s="234" t="s">
        <v>631</v>
      </c>
      <c r="C157" s="143" t="s">
        <v>631</v>
      </c>
      <c r="D157" s="167" t="s">
        <v>632</v>
      </c>
      <c r="E157" s="141">
        <f>LEN(D157)</f>
        <v>503</v>
      </c>
      <c r="F157" s="167" t="s">
        <v>633</v>
      </c>
      <c r="G157" s="141">
        <f>LEN(F157)</f>
        <v>491</v>
      </c>
      <c r="H157" s="151" t="s">
        <v>37</v>
      </c>
      <c r="I157" s="141" t="s">
        <v>24</v>
      </c>
      <c r="J157" s="141" t="s">
        <v>634</v>
      </c>
      <c r="K157" s="143" t="s">
        <v>635</v>
      </c>
      <c r="L157" s="140" t="s">
        <v>636</v>
      </c>
      <c r="M157" s="219" t="s">
        <v>24</v>
      </c>
      <c r="N157" s="140" t="s">
        <v>637</v>
      </c>
      <c r="O157" s="84"/>
      <c r="P157" s="9"/>
      <c r="Q157" s="271" t="e">
        <f>#REF!</f>
        <v>#REF!</v>
      </c>
      <c r="R157" s="138"/>
      <c r="T157" s="437" t="s">
        <v>33</v>
      </c>
      <c r="U157" s="145"/>
      <c r="X157" s="274">
        <v>12.992362976074221</v>
      </c>
      <c r="Y157" s="274" t="e">
        <f t="shared" si="20"/>
        <v>#REF!</v>
      </c>
      <c r="Z157" s="138" t="e">
        <f t="shared" si="21"/>
        <v>#REF!</v>
      </c>
    </row>
    <row r="158" spans="1:26" s="144" customFormat="1">
      <c r="A158" s="96"/>
      <c r="B158" s="262"/>
      <c r="C158" s="97"/>
      <c r="D158" s="105"/>
      <c r="E158" s="103"/>
      <c r="F158" s="103"/>
      <c r="G158" s="103"/>
      <c r="H158" s="106"/>
      <c r="I158" s="103"/>
      <c r="J158" s="103"/>
      <c r="K158" s="97"/>
      <c r="L158" s="84"/>
      <c r="M158" s="82"/>
      <c r="N158" s="84"/>
      <c r="O158" s="84"/>
      <c r="P158" s="51"/>
      <c r="Q158" s="276" t="e">
        <f>#REF!</f>
        <v>#REF!</v>
      </c>
      <c r="R158" s="138"/>
      <c r="T158" s="146"/>
      <c r="U158" s="145"/>
      <c r="X158" s="275"/>
      <c r="Y158" s="275" t="str">
        <f t="shared" si="20"/>
        <v/>
      </c>
      <c r="Z158" s="138" t="str">
        <f t="shared" si="21"/>
        <v/>
      </c>
    </row>
    <row r="159" spans="1:26" s="144" customFormat="1" ht="153" customHeight="1">
      <c r="A159" s="46">
        <f>A157+1</f>
        <v>49</v>
      </c>
      <c r="B159" s="165" t="s">
        <v>638</v>
      </c>
      <c r="C159" s="143" t="s">
        <v>638</v>
      </c>
      <c r="D159" s="164" t="s">
        <v>639</v>
      </c>
      <c r="E159" s="149">
        <f>LEN(D159)</f>
        <v>166</v>
      </c>
      <c r="F159" s="464" t="s">
        <v>640</v>
      </c>
      <c r="G159" s="149">
        <f>LEN(F159)</f>
        <v>140</v>
      </c>
      <c r="H159" s="158" t="s">
        <v>37</v>
      </c>
      <c r="I159" s="149" t="s">
        <v>24</v>
      </c>
      <c r="J159" s="149" t="s">
        <v>24</v>
      </c>
      <c r="K159" s="149" t="s">
        <v>38</v>
      </c>
      <c r="L159" s="148" t="s">
        <v>641</v>
      </c>
      <c r="M159" s="219" t="s">
        <v>24</v>
      </c>
      <c r="N159" s="148" t="s">
        <v>642</v>
      </c>
      <c r="O159" s="82"/>
      <c r="P159" s="10"/>
      <c r="Q159" s="271" t="e">
        <f>#REF!</f>
        <v>#REF!</v>
      </c>
      <c r="R159" s="138"/>
      <c r="T159" s="437" t="s">
        <v>33</v>
      </c>
      <c r="U159" s="145"/>
      <c r="X159" s="274">
        <v>8.6295709609985352</v>
      </c>
      <c r="Y159" s="274" t="e">
        <f t="shared" si="20"/>
        <v>#REF!</v>
      </c>
      <c r="Z159" s="138" t="e">
        <f t="shared" si="21"/>
        <v>#REF!</v>
      </c>
    </row>
    <row r="160" spans="1:26" s="144" customFormat="1" ht="306" customHeight="1">
      <c r="A160" s="46">
        <f>A159+1</f>
        <v>50</v>
      </c>
      <c r="B160" s="183" t="s">
        <v>643</v>
      </c>
      <c r="C160" s="143" t="s">
        <v>644</v>
      </c>
      <c r="D160" s="409" t="s">
        <v>645</v>
      </c>
      <c r="E160" s="149">
        <f>LEN(D160)</f>
        <v>751</v>
      </c>
      <c r="F160" s="488" t="s">
        <v>646</v>
      </c>
      <c r="G160" s="149">
        <f>LEN(F160)</f>
        <v>636</v>
      </c>
      <c r="H160" s="143" t="s">
        <v>480</v>
      </c>
      <c r="I160" s="149" t="s">
        <v>24</v>
      </c>
      <c r="J160" s="149" t="s">
        <v>24</v>
      </c>
      <c r="K160" s="149" t="s">
        <v>647</v>
      </c>
      <c r="L160" s="148" t="s">
        <v>648</v>
      </c>
      <c r="M160" s="219" t="s">
        <v>649</v>
      </c>
      <c r="N160" s="148" t="s">
        <v>650</v>
      </c>
      <c r="O160" s="82"/>
      <c r="P160" s="10"/>
      <c r="Q160" s="271" t="e">
        <f>#REF!</f>
        <v>#REF!</v>
      </c>
      <c r="R160" s="138"/>
      <c r="T160" s="437" t="s">
        <v>33</v>
      </c>
      <c r="U160" s="145"/>
      <c r="X160" s="274">
        <v>18.256172180175781</v>
      </c>
      <c r="Y160" s="274" t="e">
        <f t="shared" si="20"/>
        <v>#REF!</v>
      </c>
      <c r="Z160" s="138" t="e">
        <f t="shared" si="21"/>
        <v>#REF!</v>
      </c>
    </row>
    <row r="161" spans="1:26" s="144" customFormat="1">
      <c r="A161" s="46"/>
      <c r="B161" s="181"/>
      <c r="C161" s="97"/>
      <c r="D161" s="126"/>
      <c r="E161" s="48"/>
      <c r="F161" s="48"/>
      <c r="G161" s="48"/>
      <c r="H161" s="49"/>
      <c r="I161" s="48"/>
      <c r="J161" s="48"/>
      <c r="K161" s="48"/>
      <c r="L161" s="82"/>
      <c r="M161" s="82"/>
      <c r="N161" s="82"/>
      <c r="O161" s="82"/>
      <c r="P161" s="10"/>
      <c r="Q161" s="276" t="e">
        <f>#REF!</f>
        <v>#REF!</v>
      </c>
      <c r="R161" s="138"/>
      <c r="T161" s="146"/>
      <c r="U161" s="145"/>
      <c r="X161" s="275"/>
      <c r="Y161" s="275" t="str">
        <f t="shared" si="20"/>
        <v/>
      </c>
      <c r="Z161" s="138" t="str">
        <f t="shared" si="21"/>
        <v/>
      </c>
    </row>
    <row r="162" spans="1:26" s="144" customFormat="1" ht="204" customHeight="1">
      <c r="A162" s="46">
        <f>A160+1</f>
        <v>51</v>
      </c>
      <c r="B162" s="183" t="s">
        <v>651</v>
      </c>
      <c r="C162" s="143" t="s">
        <v>651</v>
      </c>
      <c r="D162" s="164" t="s">
        <v>652</v>
      </c>
      <c r="E162" s="149">
        <f>LEN(D162)</f>
        <v>334</v>
      </c>
      <c r="F162" s="464" t="s">
        <v>653</v>
      </c>
      <c r="G162" s="149">
        <f>LEN(F162)</f>
        <v>299</v>
      </c>
      <c r="H162" s="158" t="s">
        <v>37</v>
      </c>
      <c r="I162" s="149" t="s">
        <v>24</v>
      </c>
      <c r="J162" s="149" t="s">
        <v>24</v>
      </c>
      <c r="K162" s="149" t="s">
        <v>38</v>
      </c>
      <c r="L162" s="173" t="s">
        <v>654</v>
      </c>
      <c r="M162" s="219" t="s">
        <v>24</v>
      </c>
      <c r="N162" s="173" t="s">
        <v>655</v>
      </c>
      <c r="O162" s="60"/>
      <c r="P162" s="10"/>
      <c r="Q162" s="271" t="e">
        <f>#REF!</f>
        <v>#REF!</v>
      </c>
      <c r="R162" s="138"/>
      <c r="T162" s="437" t="s">
        <v>33</v>
      </c>
      <c r="U162" s="145"/>
      <c r="X162" s="274">
        <v>15.45627975463867</v>
      </c>
      <c r="Y162" s="274" t="e">
        <f t="shared" si="20"/>
        <v>#REF!</v>
      </c>
      <c r="Z162" s="138" t="e">
        <f t="shared" si="21"/>
        <v>#REF!</v>
      </c>
    </row>
    <row r="163" spans="1:26" s="144" customFormat="1" ht="17" customHeight="1" thickBot="1">
      <c r="A163" s="46"/>
      <c r="B163" s="181"/>
      <c r="C163" s="97"/>
      <c r="D163" s="77"/>
      <c r="E163" s="48"/>
      <c r="F163" s="48"/>
      <c r="G163" s="48"/>
      <c r="H163" s="98"/>
      <c r="I163" s="48"/>
      <c r="J163" s="48"/>
      <c r="K163" s="48"/>
      <c r="L163" s="60"/>
      <c r="M163" s="82"/>
      <c r="N163" s="60"/>
      <c r="O163" s="60"/>
      <c r="P163" s="10"/>
      <c r="Q163" s="276" t="e">
        <f>#REF!</f>
        <v>#REF!</v>
      </c>
      <c r="R163" s="138"/>
      <c r="T163" s="146"/>
      <c r="U163" s="145"/>
      <c r="X163" s="275"/>
      <c r="Y163" s="275" t="str">
        <f t="shared" si="20"/>
        <v/>
      </c>
      <c r="Z163" s="138" t="str">
        <f t="shared" si="21"/>
        <v/>
      </c>
    </row>
    <row r="164" spans="1:26" s="428" customFormat="1" ht="17" customHeight="1" thickBot="1">
      <c r="A164" s="663" t="s">
        <v>656</v>
      </c>
      <c r="B164" s="664"/>
      <c r="C164" s="664"/>
      <c r="D164" s="664"/>
      <c r="E164" s="664"/>
      <c r="F164" s="664"/>
      <c r="G164" s="664"/>
      <c r="H164" s="664"/>
      <c r="I164" s="664"/>
      <c r="J164" s="664"/>
      <c r="K164" s="664"/>
      <c r="L164" s="664"/>
      <c r="M164" s="664"/>
      <c r="N164" s="664"/>
      <c r="O164" s="664"/>
      <c r="P164" s="665"/>
      <c r="Q164" s="271"/>
      <c r="R164" s="439"/>
      <c r="T164" s="437"/>
      <c r="U164" s="440"/>
      <c r="X164" s="274"/>
      <c r="Y164" s="274" t="str">
        <f t="shared" si="20"/>
        <v/>
      </c>
      <c r="Z164" s="439" t="str">
        <f t="shared" si="21"/>
        <v/>
      </c>
    </row>
    <row r="165" spans="1:26" s="144" customFormat="1" ht="120" customHeight="1">
      <c r="A165" s="96">
        <f>A162+1</f>
        <v>52</v>
      </c>
      <c r="B165" s="234" t="s">
        <v>657</v>
      </c>
      <c r="C165" s="143" t="s">
        <v>657</v>
      </c>
      <c r="D165" s="413" t="s">
        <v>658</v>
      </c>
      <c r="E165" s="141">
        <f>LEN(D165)</f>
        <v>206</v>
      </c>
      <c r="F165" s="506" t="s">
        <v>659</v>
      </c>
      <c r="G165" s="141">
        <f>LEN(F165)</f>
        <v>188</v>
      </c>
      <c r="H165" s="141" t="s">
        <v>37</v>
      </c>
      <c r="I165" s="141" t="s">
        <v>24</v>
      </c>
      <c r="J165" s="141" t="s">
        <v>660</v>
      </c>
      <c r="K165" s="149" t="s">
        <v>38</v>
      </c>
      <c r="L165" s="140" t="s">
        <v>661</v>
      </c>
      <c r="M165" s="219" t="s">
        <v>24</v>
      </c>
      <c r="N165" s="147" t="s">
        <v>662</v>
      </c>
      <c r="O165" s="172"/>
      <c r="P165" s="9"/>
      <c r="Q165" s="271" t="e">
        <f>#REF!</f>
        <v>#REF!</v>
      </c>
      <c r="R165" s="138"/>
      <c r="T165" s="437" t="s">
        <v>33</v>
      </c>
      <c r="U165" s="145"/>
      <c r="X165" s="274">
        <v>2.4801323413848881</v>
      </c>
      <c r="Y165" s="274" t="e">
        <f t="shared" si="20"/>
        <v>#REF!</v>
      </c>
      <c r="Z165" s="138" t="e">
        <f t="shared" si="21"/>
        <v>#REF!</v>
      </c>
    </row>
    <row r="166" spans="1:26" s="144" customFormat="1">
      <c r="A166" s="46"/>
      <c r="B166" s="181"/>
      <c r="C166" s="97"/>
      <c r="D166" s="77"/>
      <c r="E166" s="48"/>
      <c r="F166" s="77"/>
      <c r="G166" s="48"/>
      <c r="H166" s="98"/>
      <c r="I166" s="48"/>
      <c r="J166" s="48"/>
      <c r="K166" s="48"/>
      <c r="L166" s="60"/>
      <c r="M166" s="89"/>
      <c r="N166" s="60"/>
      <c r="O166" s="60"/>
      <c r="P166" s="10"/>
      <c r="Q166" s="276" t="e">
        <f>#REF!</f>
        <v>#REF!</v>
      </c>
      <c r="R166" s="138"/>
      <c r="T166" s="146"/>
      <c r="U166" s="145"/>
      <c r="X166" s="275"/>
      <c r="Y166" s="275" t="str">
        <f t="shared" si="20"/>
        <v/>
      </c>
      <c r="Z166" s="138" t="str">
        <f t="shared" si="21"/>
        <v/>
      </c>
    </row>
    <row r="167" spans="1:26" s="144" customFormat="1" ht="170" customHeight="1">
      <c r="A167" s="96">
        <f>A165+1</f>
        <v>53</v>
      </c>
      <c r="B167" s="234" t="s">
        <v>663</v>
      </c>
      <c r="C167" s="414" t="s">
        <v>664</v>
      </c>
      <c r="D167" s="409" t="s">
        <v>665</v>
      </c>
      <c r="E167" s="141">
        <f>LEN(D167)</f>
        <v>282</v>
      </c>
      <c r="F167" s="506" t="s">
        <v>666</v>
      </c>
      <c r="G167" s="141">
        <f>LEN(F167)</f>
        <v>288</v>
      </c>
      <c r="H167" s="143" t="s">
        <v>247</v>
      </c>
      <c r="I167" s="141" t="s">
        <v>24</v>
      </c>
      <c r="J167" s="141" t="s">
        <v>24</v>
      </c>
      <c r="K167" s="141" t="s">
        <v>667</v>
      </c>
      <c r="L167" s="140" t="s">
        <v>668</v>
      </c>
      <c r="M167" s="219" t="s">
        <v>669</v>
      </c>
      <c r="N167" s="140" t="s">
        <v>670</v>
      </c>
      <c r="O167" s="84"/>
      <c r="P167" s="51"/>
      <c r="Q167" s="271" t="e">
        <f>#REF!</f>
        <v>#REF!</v>
      </c>
      <c r="R167" s="138"/>
      <c r="T167" s="437" t="s">
        <v>33</v>
      </c>
      <c r="U167" s="145"/>
      <c r="X167" s="274">
        <v>12.71689510345459</v>
      </c>
      <c r="Y167" s="274" t="e">
        <f t="shared" si="20"/>
        <v>#REF!</v>
      </c>
      <c r="Z167" s="138" t="e">
        <f t="shared" si="21"/>
        <v>#REF!</v>
      </c>
    </row>
    <row r="168" spans="1:26" s="144" customFormat="1">
      <c r="A168" s="96"/>
      <c r="B168" s="262"/>
      <c r="C168" s="97"/>
      <c r="D168" s="507"/>
      <c r="E168" s="103"/>
      <c r="F168" s="507"/>
      <c r="G168" s="103"/>
      <c r="H168" s="97"/>
      <c r="I168" s="103"/>
      <c r="J168" s="103"/>
      <c r="K168" s="103"/>
      <c r="L168" s="84"/>
      <c r="M168" s="89"/>
      <c r="N168" s="84"/>
      <c r="O168" s="84"/>
      <c r="P168" s="51"/>
      <c r="Q168" s="276" t="e">
        <f>#REF!</f>
        <v>#REF!</v>
      </c>
      <c r="R168" s="138"/>
      <c r="T168" s="146"/>
      <c r="U168" s="145"/>
      <c r="X168" s="275"/>
      <c r="Y168" s="275" t="str">
        <f t="shared" si="20"/>
        <v/>
      </c>
      <c r="Z168" s="138" t="str">
        <f t="shared" si="21"/>
        <v/>
      </c>
    </row>
    <row r="169" spans="1:26" ht="204" customHeight="1">
      <c r="A169" s="96">
        <f>A167+1</f>
        <v>54</v>
      </c>
      <c r="B169" s="415" t="s">
        <v>671</v>
      </c>
      <c r="C169" s="416" t="s">
        <v>671</v>
      </c>
      <c r="D169" s="409" t="s">
        <v>672</v>
      </c>
      <c r="E169" s="141">
        <f>LEN(D169)</f>
        <v>302</v>
      </c>
      <c r="F169" s="464" t="s">
        <v>673</v>
      </c>
      <c r="G169" s="141">
        <f>LEN(F169)</f>
        <v>278</v>
      </c>
      <c r="H169" s="416" t="s">
        <v>37</v>
      </c>
      <c r="I169" s="416" t="s">
        <v>24</v>
      </c>
      <c r="J169" s="416" t="s">
        <v>24</v>
      </c>
      <c r="K169" s="416" t="s">
        <v>38</v>
      </c>
      <c r="L169" s="417" t="s">
        <v>674</v>
      </c>
      <c r="M169" s="219" t="s">
        <v>24</v>
      </c>
      <c r="N169" s="417" t="s">
        <v>675</v>
      </c>
      <c r="O169" s="89"/>
      <c r="P169" s="10"/>
      <c r="Q169" s="271" t="e">
        <f>#REF!</f>
        <v>#REF!</v>
      </c>
      <c r="R169" s="138"/>
      <c r="T169" s="437" t="s">
        <v>33</v>
      </c>
      <c r="X169" s="274">
        <v>10.51750373840332</v>
      </c>
      <c r="Y169" s="274" t="e">
        <f t="shared" si="20"/>
        <v>#REF!</v>
      </c>
      <c r="Z169" s="138" t="e">
        <f t="shared" si="21"/>
        <v>#REF!</v>
      </c>
    </row>
    <row r="170" spans="1:26">
      <c r="A170" s="96"/>
      <c r="B170" s="171"/>
      <c r="C170" s="169"/>
      <c r="D170" s="170"/>
      <c r="E170" s="103"/>
      <c r="F170" s="170"/>
      <c r="G170" s="103"/>
      <c r="H170" s="169"/>
      <c r="I170" s="169"/>
      <c r="J170" s="169"/>
      <c r="K170" s="169"/>
      <c r="L170" s="89"/>
      <c r="M170" s="89"/>
      <c r="N170" s="168"/>
      <c r="O170" s="89"/>
      <c r="P170" s="10"/>
      <c r="Q170" s="276" t="e">
        <f>#REF!</f>
        <v>#REF!</v>
      </c>
      <c r="R170" s="138"/>
      <c r="T170" s="146"/>
      <c r="X170" s="275"/>
      <c r="Y170" s="275" t="str">
        <f t="shared" si="20"/>
        <v/>
      </c>
      <c r="Z170" s="138" t="str">
        <f t="shared" si="21"/>
        <v/>
      </c>
    </row>
    <row r="171" spans="1:26" s="144" customFormat="1" ht="153" customHeight="1">
      <c r="A171" s="96">
        <f>A169+1</f>
        <v>55</v>
      </c>
      <c r="B171" s="234" t="s">
        <v>676</v>
      </c>
      <c r="C171" s="143" t="s">
        <v>676</v>
      </c>
      <c r="D171" s="409" t="s">
        <v>677</v>
      </c>
      <c r="E171" s="141">
        <f>LEN(D171)</f>
        <v>169</v>
      </c>
      <c r="F171" s="471" t="s">
        <v>678</v>
      </c>
      <c r="G171" s="141">
        <f>LEN(F171)</f>
        <v>145</v>
      </c>
      <c r="H171" s="151" t="s">
        <v>37</v>
      </c>
      <c r="I171" s="141" t="s">
        <v>24</v>
      </c>
      <c r="J171" s="141" t="s">
        <v>24</v>
      </c>
      <c r="K171" s="141" t="s">
        <v>38</v>
      </c>
      <c r="L171" s="140" t="s">
        <v>679</v>
      </c>
      <c r="M171" s="219" t="s">
        <v>24</v>
      </c>
      <c r="N171" s="148" t="s">
        <v>680</v>
      </c>
      <c r="O171" s="44"/>
      <c r="P171" s="10"/>
      <c r="Q171" s="271" t="e">
        <f>#REF!</f>
        <v>#REF!</v>
      </c>
      <c r="R171" s="138"/>
      <c r="T171" s="437" t="s">
        <v>33</v>
      </c>
      <c r="U171" s="145"/>
      <c r="X171" s="274">
        <v>6.4824962615966797</v>
      </c>
      <c r="Y171" s="274" t="e">
        <f t="shared" si="20"/>
        <v>#REF!</v>
      </c>
      <c r="Z171" s="138" t="e">
        <f t="shared" si="21"/>
        <v>#REF!</v>
      </c>
    </row>
    <row r="172" spans="1:26" s="144" customFormat="1" ht="289" customHeight="1">
      <c r="A172" s="46">
        <f>A171+1</f>
        <v>56</v>
      </c>
      <c r="B172" s="234" t="s">
        <v>681</v>
      </c>
      <c r="C172" s="143" t="s">
        <v>682</v>
      </c>
      <c r="D172" s="409" t="s">
        <v>683</v>
      </c>
      <c r="E172" s="149">
        <f>LEN(D172)</f>
        <v>762</v>
      </c>
      <c r="F172" s="471" t="s">
        <v>684</v>
      </c>
      <c r="G172" s="149">
        <f>LEN(F172)</f>
        <v>728</v>
      </c>
      <c r="H172" s="143" t="s">
        <v>480</v>
      </c>
      <c r="I172" s="149" t="s">
        <v>24</v>
      </c>
      <c r="J172" s="149" t="s">
        <v>24</v>
      </c>
      <c r="K172" s="149" t="s">
        <v>647</v>
      </c>
      <c r="L172" s="418" t="s">
        <v>685</v>
      </c>
      <c r="M172" s="219" t="s">
        <v>686</v>
      </c>
      <c r="N172" s="148" t="s">
        <v>687</v>
      </c>
      <c r="O172" s="61" t="s">
        <v>688</v>
      </c>
      <c r="P172" s="10"/>
      <c r="Q172" s="271" t="e">
        <f>#REF!</f>
        <v>#REF!</v>
      </c>
      <c r="R172" s="138"/>
      <c r="T172" s="437" t="s">
        <v>33</v>
      </c>
      <c r="U172" s="145"/>
      <c r="X172" s="274">
        <v>23.642156600952148</v>
      </c>
      <c r="Y172" s="274" t="e">
        <f t="shared" si="20"/>
        <v>#REF!</v>
      </c>
      <c r="Z172" s="138" t="e">
        <f t="shared" si="21"/>
        <v>#REF!</v>
      </c>
    </row>
    <row r="173" spans="1:26" s="144" customFormat="1" ht="255" customHeight="1">
      <c r="A173" s="14">
        <f>A172+1</f>
        <v>57</v>
      </c>
      <c r="B173" s="235" t="s">
        <v>689</v>
      </c>
      <c r="C173" s="21" t="s">
        <v>690</v>
      </c>
      <c r="D173" s="386" t="s">
        <v>691</v>
      </c>
      <c r="E173" s="20">
        <f>LEN(D173)</f>
        <v>334</v>
      </c>
      <c r="F173" s="487" t="s">
        <v>692</v>
      </c>
      <c r="G173" s="20">
        <f>LEN(F173)</f>
        <v>374</v>
      </c>
      <c r="H173" s="21" t="s">
        <v>424</v>
      </c>
      <c r="I173" s="20" t="s">
        <v>24</v>
      </c>
      <c r="J173" s="20" t="s">
        <v>693</v>
      </c>
      <c r="K173" s="20" t="s">
        <v>694</v>
      </c>
      <c r="L173" s="31" t="s">
        <v>695</v>
      </c>
      <c r="M173" s="78" t="s">
        <v>696</v>
      </c>
      <c r="N173" s="31" t="s">
        <v>697</v>
      </c>
      <c r="O173" s="31"/>
      <c r="P173" s="393"/>
      <c r="Q173" s="276" t="e">
        <f>#REF!</f>
        <v>#REF!</v>
      </c>
      <c r="R173" s="138"/>
      <c r="T173" s="146" t="s">
        <v>23</v>
      </c>
      <c r="U173" s="145"/>
      <c r="X173" s="275">
        <v>19.20000076293945</v>
      </c>
      <c r="Y173" s="275" t="e">
        <f t="shared" si="20"/>
        <v>#REF!</v>
      </c>
      <c r="Z173" s="138" t="str">
        <f t="shared" si="21"/>
        <v/>
      </c>
    </row>
    <row r="174" spans="1:26" s="144" customFormat="1" ht="17" customHeight="1" thickBot="1">
      <c r="A174" s="96"/>
      <c r="B174" s="262"/>
      <c r="C174" s="97"/>
      <c r="D174" s="170"/>
      <c r="E174" s="103"/>
      <c r="F174" s="103"/>
      <c r="G174" s="103"/>
      <c r="H174" s="106"/>
      <c r="I174" s="103"/>
      <c r="J174" s="103"/>
      <c r="K174" s="103"/>
      <c r="L174" s="84"/>
      <c r="M174" s="89"/>
      <c r="N174" s="84"/>
      <c r="O174" s="84"/>
      <c r="P174" s="51"/>
      <c r="Q174" s="276" t="e">
        <f>#REF!</f>
        <v>#REF!</v>
      </c>
      <c r="R174" s="138"/>
      <c r="T174" s="146"/>
      <c r="U174" s="145"/>
      <c r="X174" s="275"/>
      <c r="Y174" s="275" t="str">
        <f t="shared" si="20"/>
        <v/>
      </c>
      <c r="Z174" s="138" t="str">
        <f t="shared" si="21"/>
        <v/>
      </c>
    </row>
    <row r="175" spans="1:26" s="428" customFormat="1" ht="17" customHeight="1" thickBot="1">
      <c r="A175" s="663" t="s">
        <v>698</v>
      </c>
      <c r="B175" s="664"/>
      <c r="C175" s="664"/>
      <c r="D175" s="664"/>
      <c r="E175" s="664"/>
      <c r="F175" s="664"/>
      <c r="G175" s="664"/>
      <c r="H175" s="664"/>
      <c r="I175" s="664"/>
      <c r="J175" s="664"/>
      <c r="K175" s="664"/>
      <c r="L175" s="664"/>
      <c r="M175" s="664"/>
      <c r="N175" s="664"/>
      <c r="O175" s="664"/>
      <c r="P175" s="665"/>
      <c r="Q175" s="271"/>
      <c r="R175" s="439"/>
      <c r="T175" s="437"/>
      <c r="U175" s="440"/>
      <c r="X175" s="274"/>
      <c r="Y175" s="274" t="str">
        <f t="shared" si="20"/>
        <v/>
      </c>
      <c r="Z175" s="439" t="str">
        <f t="shared" si="21"/>
        <v/>
      </c>
    </row>
    <row r="176" spans="1:26" s="144" customFormat="1" ht="187" customHeight="1">
      <c r="A176" s="96">
        <f>A173+1</f>
        <v>58</v>
      </c>
      <c r="B176" s="234" t="s">
        <v>699</v>
      </c>
      <c r="C176" s="143" t="s">
        <v>699</v>
      </c>
      <c r="D176" s="419" t="s">
        <v>700</v>
      </c>
      <c r="E176" s="141">
        <f>LEN(D176)</f>
        <v>302</v>
      </c>
      <c r="F176" s="464" t="s">
        <v>701</v>
      </c>
      <c r="G176" s="141">
        <f>LEN(F176)</f>
        <v>307</v>
      </c>
      <c r="H176" s="151" t="s">
        <v>89</v>
      </c>
      <c r="I176" s="141" t="s">
        <v>24</v>
      </c>
      <c r="J176" s="141" t="s">
        <v>24</v>
      </c>
      <c r="K176" s="141" t="s">
        <v>504</v>
      </c>
      <c r="L176" s="166" t="s">
        <v>702</v>
      </c>
      <c r="M176" s="219" t="s">
        <v>24</v>
      </c>
      <c r="N176" s="420" t="s">
        <v>703</v>
      </c>
      <c r="O176" s="90"/>
      <c r="P176" s="9"/>
      <c r="Q176" s="271" t="e">
        <f>#REF!</f>
        <v>#REF!</v>
      </c>
      <c r="R176" s="138"/>
      <c r="T176" s="437" t="s">
        <v>33</v>
      </c>
      <c r="U176" s="145"/>
      <c r="X176" s="274">
        <v>9.2754945755004883</v>
      </c>
      <c r="Y176" s="274" t="e">
        <f t="shared" si="20"/>
        <v>#REF!</v>
      </c>
      <c r="Z176" s="138" t="e">
        <f t="shared" si="21"/>
        <v>#REF!</v>
      </c>
    </row>
    <row r="177" spans="1:26" s="144" customFormat="1">
      <c r="A177" s="96"/>
      <c r="B177" s="262"/>
      <c r="C177" s="97"/>
      <c r="D177" s="105"/>
      <c r="E177" s="103"/>
      <c r="F177" s="105"/>
      <c r="G177" s="103"/>
      <c r="H177" s="106"/>
      <c r="I177" s="103"/>
      <c r="J177" s="103"/>
      <c r="K177" s="103"/>
      <c r="L177" s="88"/>
      <c r="M177" s="77"/>
      <c r="N177" s="85"/>
      <c r="O177" s="85"/>
      <c r="P177" s="51"/>
      <c r="Q177" s="276" t="e">
        <f>#REF!</f>
        <v>#REF!</v>
      </c>
      <c r="R177" s="138"/>
      <c r="T177" s="146"/>
      <c r="U177" s="145"/>
      <c r="X177" s="275"/>
      <c r="Y177" s="275" t="str">
        <f t="shared" si="20"/>
        <v/>
      </c>
      <c r="Z177" s="138" t="str">
        <f t="shared" si="21"/>
        <v/>
      </c>
    </row>
    <row r="178" spans="1:26" s="144" customFormat="1" ht="153" customHeight="1">
      <c r="A178" s="46">
        <f>A176+1</f>
        <v>59</v>
      </c>
      <c r="B178" s="165" t="s">
        <v>704</v>
      </c>
      <c r="C178" s="149" t="s">
        <v>704</v>
      </c>
      <c r="D178" s="409" t="s">
        <v>705</v>
      </c>
      <c r="E178" s="149">
        <f>LEN(D178)</f>
        <v>179</v>
      </c>
      <c r="F178" s="464" t="s">
        <v>706</v>
      </c>
      <c r="G178" s="149">
        <f>LEN(F178)</f>
        <v>151</v>
      </c>
      <c r="H178" s="158" t="s">
        <v>37</v>
      </c>
      <c r="I178" s="149" t="s">
        <v>24</v>
      </c>
      <c r="J178" s="149" t="s">
        <v>24</v>
      </c>
      <c r="K178" s="149" t="s">
        <v>38</v>
      </c>
      <c r="L178" s="148" t="s">
        <v>707</v>
      </c>
      <c r="M178" s="219" t="s">
        <v>24</v>
      </c>
      <c r="N178" s="421" t="s">
        <v>708</v>
      </c>
      <c r="O178" s="91"/>
      <c r="P178" s="10"/>
      <c r="Q178" s="271" t="e">
        <f>#REF!</f>
        <v>#REF!</v>
      </c>
      <c r="R178" s="138"/>
      <c r="T178" s="437" t="s">
        <v>33</v>
      </c>
      <c r="U178" s="145"/>
      <c r="X178" s="274">
        <v>6.4158415794372559</v>
      </c>
      <c r="Y178" s="274" t="e">
        <f t="shared" si="20"/>
        <v>#REF!</v>
      </c>
      <c r="Z178" s="138" t="e">
        <f t="shared" si="21"/>
        <v>#REF!</v>
      </c>
    </row>
    <row r="179" spans="1:26" s="144" customFormat="1" ht="306" customHeight="1">
      <c r="A179" s="46">
        <f>A178+1</f>
        <v>60</v>
      </c>
      <c r="B179" s="183" t="s">
        <v>709</v>
      </c>
      <c r="C179" s="143" t="s">
        <v>710</v>
      </c>
      <c r="D179" s="409" t="s">
        <v>711</v>
      </c>
      <c r="E179" s="149">
        <f>LEN(D179)</f>
        <v>666</v>
      </c>
      <c r="F179" s="464" t="s">
        <v>712</v>
      </c>
      <c r="G179" s="149">
        <f>LEN(F179)</f>
        <v>609</v>
      </c>
      <c r="H179" s="143" t="s">
        <v>480</v>
      </c>
      <c r="I179" s="149" t="s">
        <v>24</v>
      </c>
      <c r="J179" s="149" t="s">
        <v>24</v>
      </c>
      <c r="K179" s="149" t="s">
        <v>481</v>
      </c>
      <c r="L179" s="148" t="s">
        <v>713</v>
      </c>
      <c r="M179" s="219" t="s">
        <v>714</v>
      </c>
      <c r="N179" s="405" t="s">
        <v>715</v>
      </c>
      <c r="O179" s="92"/>
      <c r="P179" s="10"/>
      <c r="Q179" s="271" t="e">
        <f>#REF!</f>
        <v>#REF!</v>
      </c>
      <c r="R179" s="138"/>
      <c r="T179" s="437" t="s">
        <v>33</v>
      </c>
      <c r="U179" s="145"/>
      <c r="X179" s="274">
        <v>20.53435134887695</v>
      </c>
      <c r="Y179" s="274" t="e">
        <f t="shared" si="20"/>
        <v>#REF!</v>
      </c>
      <c r="Z179" s="138" t="e">
        <f t="shared" si="21"/>
        <v>#REF!</v>
      </c>
    </row>
    <row r="180" spans="1:26" s="144" customFormat="1">
      <c r="A180" s="110"/>
      <c r="B180" s="263"/>
      <c r="C180" s="49"/>
      <c r="D180" s="508"/>
      <c r="E180" s="100"/>
      <c r="F180" s="100"/>
      <c r="G180" s="100"/>
      <c r="H180" s="111"/>
      <c r="I180" s="100"/>
      <c r="J180" s="100"/>
      <c r="K180" s="100"/>
      <c r="L180" s="92"/>
      <c r="M180" s="77"/>
      <c r="N180" s="92"/>
      <c r="O180" s="92"/>
      <c r="P180" s="25"/>
      <c r="Q180" s="276" t="e">
        <f>#REF!</f>
        <v>#REF!</v>
      </c>
      <c r="R180" s="138"/>
      <c r="T180" s="146"/>
      <c r="U180" s="145"/>
      <c r="X180" s="275"/>
      <c r="Y180" s="275" t="str">
        <f t="shared" si="20"/>
        <v/>
      </c>
      <c r="Z180" s="138" t="str">
        <f t="shared" si="21"/>
        <v/>
      </c>
    </row>
    <row r="181" spans="1:26" s="144" customFormat="1" ht="204" customHeight="1">
      <c r="A181" s="110">
        <f>A179+1</f>
        <v>61</v>
      </c>
      <c r="B181" s="236" t="s">
        <v>716</v>
      </c>
      <c r="C181" s="150" t="s">
        <v>716</v>
      </c>
      <c r="D181" s="422" t="s">
        <v>717</v>
      </c>
      <c r="E181" s="132">
        <f>LEN(D181)</f>
        <v>350</v>
      </c>
      <c r="F181" s="482" t="s">
        <v>718</v>
      </c>
      <c r="G181" s="132">
        <f>LEN(F181)</f>
        <v>305</v>
      </c>
      <c r="H181" s="404" t="s">
        <v>37</v>
      </c>
      <c r="I181" s="132" t="s">
        <v>24</v>
      </c>
      <c r="J181" s="132" t="s">
        <v>24</v>
      </c>
      <c r="K181" s="132" t="s">
        <v>38</v>
      </c>
      <c r="L181" s="405" t="s">
        <v>719</v>
      </c>
      <c r="M181" s="219" t="s">
        <v>24</v>
      </c>
      <c r="N181" s="405" t="s">
        <v>720</v>
      </c>
      <c r="O181" s="92"/>
      <c r="P181" s="10"/>
      <c r="Q181" s="271" t="e">
        <f>#REF!</f>
        <v>#REF!</v>
      </c>
      <c r="R181" s="138"/>
      <c r="T181" s="437" t="s">
        <v>33</v>
      </c>
      <c r="U181" s="145"/>
      <c r="X181" s="274">
        <v>8.3069305419921875</v>
      </c>
      <c r="Y181" s="274" t="e">
        <f t="shared" si="20"/>
        <v>#REF!</v>
      </c>
      <c r="Z181" s="138" t="e">
        <f t="shared" si="21"/>
        <v>#REF!</v>
      </c>
    </row>
    <row r="182" spans="1:26" s="144" customFormat="1" ht="17" customHeight="1" thickBot="1">
      <c r="A182" s="110"/>
      <c r="B182" s="263"/>
      <c r="C182" s="112"/>
      <c r="D182" s="508"/>
      <c r="E182" s="100"/>
      <c r="F182" s="100"/>
      <c r="G182" s="100"/>
      <c r="H182" s="111"/>
      <c r="I182" s="100"/>
      <c r="J182" s="100"/>
      <c r="K182" s="100"/>
      <c r="L182" s="92"/>
      <c r="M182" s="92"/>
      <c r="N182" s="92"/>
      <c r="O182" s="92"/>
      <c r="P182" s="69"/>
      <c r="Q182" s="276" t="e">
        <f>#REF!</f>
        <v>#REF!</v>
      </c>
      <c r="R182" s="138"/>
      <c r="T182" s="146"/>
      <c r="U182" s="145"/>
      <c r="X182" s="275"/>
      <c r="Y182" s="275" t="str">
        <f t="shared" ref="Y182:Y213" si="22">IF(X182="","",X182*Q182)</f>
        <v/>
      </c>
      <c r="Z182" s="138" t="str">
        <f t="shared" ref="Z182:Z213" si="23">IF(T182="yes",Y182,"")</f>
        <v/>
      </c>
    </row>
    <row r="183" spans="1:26" s="428" customFormat="1" ht="17" customHeight="1" thickBot="1">
      <c r="A183" s="663" t="s">
        <v>721</v>
      </c>
      <c r="B183" s="664"/>
      <c r="C183" s="664"/>
      <c r="D183" s="664"/>
      <c r="E183" s="664"/>
      <c r="F183" s="664"/>
      <c r="G183" s="664"/>
      <c r="H183" s="664"/>
      <c r="I183" s="664"/>
      <c r="J183" s="664"/>
      <c r="K183" s="664"/>
      <c r="L183" s="664"/>
      <c r="M183" s="664"/>
      <c r="N183" s="664"/>
      <c r="O183" s="664"/>
      <c r="P183" s="665"/>
      <c r="Q183" s="271"/>
      <c r="R183" s="439"/>
      <c r="T183" s="437"/>
      <c r="U183" s="440"/>
      <c r="X183" s="274"/>
      <c r="Y183" s="274" t="str">
        <f t="shared" si="22"/>
        <v/>
      </c>
      <c r="Z183" s="439" t="str">
        <f t="shared" si="23"/>
        <v/>
      </c>
    </row>
    <row r="184" spans="1:26" s="144" customFormat="1" ht="136" customHeight="1">
      <c r="A184" s="96">
        <f>A181+1</f>
        <v>62</v>
      </c>
      <c r="B184" s="234" t="s">
        <v>722</v>
      </c>
      <c r="C184" s="245" t="s">
        <v>722</v>
      </c>
      <c r="D184" s="142" t="s">
        <v>723</v>
      </c>
      <c r="E184" s="141">
        <f t="shared" ref="E184:E215" si="24">LEN(D184)</f>
        <v>335</v>
      </c>
      <c r="F184" s="471" t="s">
        <v>724</v>
      </c>
      <c r="G184" s="141">
        <f t="shared" ref="G184:G215" si="25">LEN(F184)</f>
        <v>310</v>
      </c>
      <c r="H184" s="151" t="s">
        <v>37</v>
      </c>
      <c r="I184" s="141" t="s">
        <v>24</v>
      </c>
      <c r="J184" s="141" t="s">
        <v>24</v>
      </c>
      <c r="K184" s="141" t="s">
        <v>38</v>
      </c>
      <c r="L184" s="140" t="s">
        <v>725</v>
      </c>
      <c r="M184" s="219" t="s">
        <v>24</v>
      </c>
      <c r="N184" s="140" t="s">
        <v>726</v>
      </c>
      <c r="O184" s="84"/>
      <c r="P184" s="387" t="s">
        <v>727</v>
      </c>
      <c r="Q184" s="271">
        <v>1</v>
      </c>
      <c r="R184" s="138"/>
      <c r="T184" s="437" t="s">
        <v>33</v>
      </c>
      <c r="U184" s="145"/>
      <c r="X184" s="274">
        <v>8.0881662368774414</v>
      </c>
      <c r="Y184" s="274">
        <f t="shared" si="22"/>
        <v>8.0881662368774414</v>
      </c>
      <c r="Z184" s="138">
        <f t="shared" si="23"/>
        <v>8.0881662368774414</v>
      </c>
    </row>
    <row r="185" spans="1:26" s="144" customFormat="1" ht="170" customHeight="1">
      <c r="A185" s="46">
        <f t="shared" ref="A185:A226" si="26">A184+1</f>
        <v>63</v>
      </c>
      <c r="B185" s="183" t="s">
        <v>728</v>
      </c>
      <c r="C185" s="143" t="s">
        <v>728</v>
      </c>
      <c r="D185" s="163" t="s">
        <v>729</v>
      </c>
      <c r="E185" s="149">
        <f t="shared" si="24"/>
        <v>236</v>
      </c>
      <c r="F185" s="493" t="s">
        <v>730</v>
      </c>
      <c r="G185" s="149">
        <f t="shared" si="25"/>
        <v>213</v>
      </c>
      <c r="H185" s="158" t="s">
        <v>37</v>
      </c>
      <c r="I185" s="149" t="s">
        <v>24</v>
      </c>
      <c r="J185" s="149" t="s">
        <v>24</v>
      </c>
      <c r="K185" s="149" t="s">
        <v>38</v>
      </c>
      <c r="L185" s="148" t="s">
        <v>731</v>
      </c>
      <c r="M185" s="219" t="s">
        <v>24</v>
      </c>
      <c r="N185" s="160" t="s">
        <v>732</v>
      </c>
      <c r="O185" s="93"/>
      <c r="P185" s="10"/>
      <c r="Q185" s="271">
        <v>1</v>
      </c>
      <c r="R185" s="138"/>
      <c r="T185" s="437" t="s">
        <v>33</v>
      </c>
      <c r="U185" s="145"/>
      <c r="X185" s="274">
        <v>20.224567413330082</v>
      </c>
      <c r="Y185" s="274">
        <f t="shared" si="22"/>
        <v>20.224567413330082</v>
      </c>
      <c r="Z185" s="138">
        <f t="shared" si="23"/>
        <v>20.224567413330082</v>
      </c>
    </row>
    <row r="186" spans="1:26" s="144" customFormat="1" ht="170" customHeight="1">
      <c r="A186" s="46">
        <f t="shared" si="26"/>
        <v>64</v>
      </c>
      <c r="B186" s="183" t="s">
        <v>733</v>
      </c>
      <c r="C186" s="143" t="s">
        <v>733</v>
      </c>
      <c r="D186" s="163" t="s">
        <v>734</v>
      </c>
      <c r="E186" s="149">
        <f t="shared" si="24"/>
        <v>234</v>
      </c>
      <c r="F186" s="493" t="s">
        <v>735</v>
      </c>
      <c r="G186" s="149">
        <f t="shared" si="25"/>
        <v>199</v>
      </c>
      <c r="H186" s="158" t="s">
        <v>37</v>
      </c>
      <c r="I186" s="149" t="s">
        <v>24</v>
      </c>
      <c r="J186" s="149" t="s">
        <v>24</v>
      </c>
      <c r="K186" s="149" t="s">
        <v>38</v>
      </c>
      <c r="L186" s="148" t="s">
        <v>736</v>
      </c>
      <c r="M186" s="219" t="s">
        <v>24</v>
      </c>
      <c r="N186" s="160" t="s">
        <v>737</v>
      </c>
      <c r="O186" s="93"/>
      <c r="P186" s="10"/>
      <c r="Q186" s="271">
        <v>1</v>
      </c>
      <c r="R186" s="138"/>
      <c r="T186" s="437" t="s">
        <v>33</v>
      </c>
      <c r="U186" s="145"/>
      <c r="X186" s="274">
        <v>14.02606105804443</v>
      </c>
      <c r="Y186" s="274">
        <f t="shared" si="22"/>
        <v>14.02606105804443</v>
      </c>
      <c r="Z186" s="138">
        <f t="shared" si="23"/>
        <v>14.02606105804443</v>
      </c>
    </row>
    <row r="187" spans="1:26" s="144" customFormat="1" ht="153" customHeight="1">
      <c r="A187" s="46">
        <f t="shared" si="26"/>
        <v>65</v>
      </c>
      <c r="B187" s="183" t="s">
        <v>738</v>
      </c>
      <c r="C187" s="143" t="s">
        <v>738</v>
      </c>
      <c r="D187" s="163" t="s">
        <v>739</v>
      </c>
      <c r="E187" s="149">
        <f t="shared" si="24"/>
        <v>217</v>
      </c>
      <c r="F187" s="493" t="s">
        <v>740</v>
      </c>
      <c r="G187" s="149">
        <f t="shared" si="25"/>
        <v>197</v>
      </c>
      <c r="H187" s="158" t="s">
        <v>37</v>
      </c>
      <c r="I187" s="149" t="s">
        <v>24</v>
      </c>
      <c r="J187" s="149" t="s">
        <v>24</v>
      </c>
      <c r="K187" s="149" t="s">
        <v>38</v>
      </c>
      <c r="L187" s="148" t="s">
        <v>741</v>
      </c>
      <c r="M187" s="219" t="s">
        <v>24</v>
      </c>
      <c r="N187" s="160" t="s">
        <v>742</v>
      </c>
      <c r="O187" s="93"/>
      <c r="P187" s="10"/>
      <c r="Q187" s="271">
        <v>1</v>
      </c>
      <c r="R187" s="138"/>
      <c r="T187" s="437" t="s">
        <v>33</v>
      </c>
      <c r="U187" s="145"/>
      <c r="X187" s="274">
        <v>11.558505058288571</v>
      </c>
      <c r="Y187" s="274">
        <f t="shared" si="22"/>
        <v>11.558505058288571</v>
      </c>
      <c r="Z187" s="138">
        <f t="shared" si="23"/>
        <v>11.558505058288571</v>
      </c>
    </row>
    <row r="188" spans="1:26" s="144" customFormat="1" ht="153" customHeight="1">
      <c r="A188" s="46">
        <f t="shared" si="26"/>
        <v>66</v>
      </c>
      <c r="B188" s="183" t="s">
        <v>743</v>
      </c>
      <c r="C188" s="143" t="s">
        <v>743</v>
      </c>
      <c r="D188" s="163" t="s">
        <v>744</v>
      </c>
      <c r="E188" s="149">
        <f t="shared" si="24"/>
        <v>218</v>
      </c>
      <c r="F188" s="493" t="s">
        <v>745</v>
      </c>
      <c r="G188" s="149">
        <f t="shared" si="25"/>
        <v>207</v>
      </c>
      <c r="H188" s="158" t="s">
        <v>37</v>
      </c>
      <c r="I188" s="149" t="s">
        <v>24</v>
      </c>
      <c r="J188" s="149" t="s">
        <v>24</v>
      </c>
      <c r="K188" s="149" t="s">
        <v>38</v>
      </c>
      <c r="L188" s="148" t="s">
        <v>746</v>
      </c>
      <c r="M188" s="219" t="s">
        <v>24</v>
      </c>
      <c r="N188" s="148" t="s">
        <v>747</v>
      </c>
      <c r="O188" s="82"/>
      <c r="P188" s="10"/>
      <c r="Q188" s="271">
        <v>1</v>
      </c>
      <c r="R188" s="138"/>
      <c r="T188" s="437" t="s">
        <v>33</v>
      </c>
      <c r="U188" s="145"/>
      <c r="X188" s="274">
        <v>11.379257202148439</v>
      </c>
      <c r="Y188" s="274">
        <f t="shared" si="22"/>
        <v>11.379257202148439</v>
      </c>
      <c r="Z188" s="138">
        <f t="shared" si="23"/>
        <v>11.379257202148439</v>
      </c>
    </row>
    <row r="189" spans="1:26" s="144" customFormat="1" ht="153" customHeight="1">
      <c r="A189" s="46">
        <f t="shared" si="26"/>
        <v>67</v>
      </c>
      <c r="B189" s="183" t="s">
        <v>748</v>
      </c>
      <c r="C189" s="143" t="s">
        <v>748</v>
      </c>
      <c r="D189" s="163" t="s">
        <v>749</v>
      </c>
      <c r="E189" s="149">
        <f t="shared" si="24"/>
        <v>224</v>
      </c>
      <c r="F189" s="493" t="s">
        <v>750</v>
      </c>
      <c r="G189" s="149">
        <f t="shared" si="25"/>
        <v>203</v>
      </c>
      <c r="H189" s="158" t="s">
        <v>37</v>
      </c>
      <c r="I189" s="149" t="s">
        <v>24</v>
      </c>
      <c r="J189" s="149" t="s">
        <v>24</v>
      </c>
      <c r="K189" s="149" t="s">
        <v>38</v>
      </c>
      <c r="L189" s="148" t="s">
        <v>751</v>
      </c>
      <c r="M189" s="219" t="s">
        <v>24</v>
      </c>
      <c r="N189" s="148" t="s">
        <v>752</v>
      </c>
      <c r="O189" s="82"/>
      <c r="P189" s="10"/>
      <c r="Q189" s="271">
        <v>1</v>
      </c>
      <c r="R189" s="138"/>
      <c r="T189" s="437" t="s">
        <v>33</v>
      </c>
      <c r="U189" s="145"/>
      <c r="X189" s="274">
        <v>10.443217277526861</v>
      </c>
      <c r="Y189" s="274">
        <f t="shared" si="22"/>
        <v>10.443217277526861</v>
      </c>
      <c r="Z189" s="138">
        <f t="shared" si="23"/>
        <v>10.443217277526861</v>
      </c>
    </row>
    <row r="190" spans="1:26" s="144" customFormat="1" ht="146" customHeight="1">
      <c r="A190" s="46">
        <f t="shared" si="26"/>
        <v>68</v>
      </c>
      <c r="B190" s="183" t="s">
        <v>753</v>
      </c>
      <c r="C190" s="182" t="s">
        <v>753</v>
      </c>
      <c r="D190" s="162" t="s">
        <v>754</v>
      </c>
      <c r="E190" s="149">
        <f t="shared" si="24"/>
        <v>182</v>
      </c>
      <c r="F190" s="494" t="s">
        <v>755</v>
      </c>
      <c r="G190" s="149">
        <f t="shared" si="25"/>
        <v>211</v>
      </c>
      <c r="H190" s="158" t="s">
        <v>37</v>
      </c>
      <c r="I190" s="149" t="s">
        <v>24</v>
      </c>
      <c r="J190" s="149" t="s">
        <v>24</v>
      </c>
      <c r="K190" s="149" t="s">
        <v>38</v>
      </c>
      <c r="L190" s="148" t="s">
        <v>756</v>
      </c>
      <c r="M190" s="219" t="s">
        <v>24</v>
      </c>
      <c r="N190" s="160" t="s">
        <v>757</v>
      </c>
      <c r="O190" s="93"/>
      <c r="P190" s="10"/>
      <c r="Q190" s="271">
        <v>1</v>
      </c>
      <c r="R190" s="138"/>
      <c r="T190" s="437" t="s">
        <v>33</v>
      </c>
      <c r="U190" s="145"/>
      <c r="X190" s="274">
        <v>10.732010841369631</v>
      </c>
      <c r="Y190" s="274">
        <f t="shared" si="22"/>
        <v>10.732010841369631</v>
      </c>
      <c r="Z190" s="138">
        <f t="shared" si="23"/>
        <v>10.732010841369631</v>
      </c>
    </row>
    <row r="191" spans="1:26" s="345" customFormat="1" ht="147" customHeight="1">
      <c r="A191" s="46">
        <f t="shared" si="26"/>
        <v>69</v>
      </c>
      <c r="B191" s="183" t="s">
        <v>758</v>
      </c>
      <c r="C191" s="182" t="s">
        <v>758</v>
      </c>
      <c r="D191" s="161" t="s">
        <v>759</v>
      </c>
      <c r="E191" s="149">
        <f t="shared" si="24"/>
        <v>214</v>
      </c>
      <c r="F191" s="161" t="s">
        <v>760</v>
      </c>
      <c r="G191" s="149">
        <f t="shared" si="25"/>
        <v>231</v>
      </c>
      <c r="H191" s="158" t="s">
        <v>37</v>
      </c>
      <c r="I191" s="149" t="s">
        <v>24</v>
      </c>
      <c r="J191" s="149" t="s">
        <v>24</v>
      </c>
      <c r="K191" s="149" t="s">
        <v>38</v>
      </c>
      <c r="L191" s="148" t="s">
        <v>761</v>
      </c>
      <c r="M191" s="219" t="s">
        <v>24</v>
      </c>
      <c r="N191" s="148" t="s">
        <v>762</v>
      </c>
      <c r="O191" s="82"/>
      <c r="P191" s="10"/>
      <c r="Q191" s="271">
        <v>1</v>
      </c>
      <c r="R191" s="138"/>
      <c r="T191" s="437" t="s">
        <v>33</v>
      </c>
      <c r="U191" s="145"/>
      <c r="X191" s="274">
        <v>11.58613967895508</v>
      </c>
      <c r="Y191" s="274">
        <f t="shared" si="22"/>
        <v>11.58613967895508</v>
      </c>
      <c r="Z191" s="138">
        <f t="shared" si="23"/>
        <v>11.58613967895508</v>
      </c>
    </row>
    <row r="192" spans="1:26" s="144" customFormat="1" ht="146" customHeight="1">
      <c r="A192" s="46">
        <f t="shared" si="26"/>
        <v>70</v>
      </c>
      <c r="B192" s="183" t="s">
        <v>763</v>
      </c>
      <c r="C192" s="143" t="s">
        <v>763</v>
      </c>
      <c r="D192" s="162" t="s">
        <v>764</v>
      </c>
      <c r="E192" s="149">
        <f t="shared" si="24"/>
        <v>184</v>
      </c>
      <c r="F192" s="494" t="s">
        <v>765</v>
      </c>
      <c r="G192" s="149">
        <f t="shared" si="25"/>
        <v>190</v>
      </c>
      <c r="H192" s="158" t="s">
        <v>37</v>
      </c>
      <c r="I192" s="149" t="s">
        <v>24</v>
      </c>
      <c r="J192" s="149" t="s">
        <v>24</v>
      </c>
      <c r="K192" s="149" t="s">
        <v>38</v>
      </c>
      <c r="L192" s="148" t="s">
        <v>766</v>
      </c>
      <c r="M192" s="219" t="s">
        <v>24</v>
      </c>
      <c r="N192" s="160" t="s">
        <v>767</v>
      </c>
      <c r="O192" s="93"/>
      <c r="P192" s="10"/>
      <c r="Q192" s="271">
        <v>1</v>
      </c>
      <c r="R192" s="138"/>
      <c r="T192" s="437" t="s">
        <v>33</v>
      </c>
      <c r="U192" s="145"/>
      <c r="X192" s="274">
        <v>9.7552013397216797</v>
      </c>
      <c r="Y192" s="274">
        <f t="shared" si="22"/>
        <v>9.7552013397216797</v>
      </c>
      <c r="Z192" s="138">
        <f t="shared" si="23"/>
        <v>9.7552013397216797</v>
      </c>
    </row>
    <row r="193" spans="1:26" s="144" customFormat="1" ht="147" customHeight="1">
      <c r="A193" s="46">
        <f t="shared" si="26"/>
        <v>71</v>
      </c>
      <c r="B193" s="183" t="s">
        <v>768</v>
      </c>
      <c r="C193" s="182" t="s">
        <v>768</v>
      </c>
      <c r="D193" s="161" t="s">
        <v>759</v>
      </c>
      <c r="E193" s="149">
        <f t="shared" si="24"/>
        <v>214</v>
      </c>
      <c r="F193" s="161" t="s">
        <v>760</v>
      </c>
      <c r="G193" s="149">
        <f t="shared" si="25"/>
        <v>231</v>
      </c>
      <c r="H193" s="158" t="s">
        <v>37</v>
      </c>
      <c r="I193" s="149" t="s">
        <v>24</v>
      </c>
      <c r="J193" s="149" t="s">
        <v>24</v>
      </c>
      <c r="K193" s="149" t="s">
        <v>38</v>
      </c>
      <c r="L193" s="148" t="s">
        <v>769</v>
      </c>
      <c r="M193" s="219" t="s">
        <v>24</v>
      </c>
      <c r="N193" s="148" t="s">
        <v>770</v>
      </c>
      <c r="O193" s="82"/>
      <c r="P193" s="10"/>
      <c r="Q193" s="271">
        <v>1</v>
      </c>
      <c r="R193" s="138"/>
      <c r="T193" s="437" t="s">
        <v>33</v>
      </c>
      <c r="U193" s="145"/>
      <c r="X193" s="274">
        <v>7.9447951316833496</v>
      </c>
      <c r="Y193" s="274">
        <f t="shared" si="22"/>
        <v>7.9447951316833496</v>
      </c>
      <c r="Z193" s="138">
        <f t="shared" si="23"/>
        <v>7.9447951316833496</v>
      </c>
    </row>
    <row r="194" spans="1:26" s="144" customFormat="1" ht="146" customHeight="1">
      <c r="A194" s="46">
        <f t="shared" si="26"/>
        <v>72</v>
      </c>
      <c r="B194" s="183" t="s">
        <v>771</v>
      </c>
      <c r="C194" s="143" t="s">
        <v>771</v>
      </c>
      <c r="D194" s="162" t="s">
        <v>772</v>
      </c>
      <c r="E194" s="149">
        <f t="shared" si="24"/>
        <v>212</v>
      </c>
      <c r="F194" s="494" t="s">
        <v>773</v>
      </c>
      <c r="G194" s="149">
        <f t="shared" si="25"/>
        <v>221</v>
      </c>
      <c r="H194" s="158" t="s">
        <v>37</v>
      </c>
      <c r="I194" s="149" t="s">
        <v>24</v>
      </c>
      <c r="J194" s="149" t="s">
        <v>24</v>
      </c>
      <c r="K194" s="149" t="s">
        <v>38</v>
      </c>
      <c r="L194" s="148" t="s">
        <v>774</v>
      </c>
      <c r="M194" s="219" t="s">
        <v>24</v>
      </c>
      <c r="N194" s="160" t="s">
        <v>775</v>
      </c>
      <c r="O194" s="43" t="s">
        <v>776</v>
      </c>
      <c r="P194" s="10"/>
      <c r="Q194" s="271">
        <v>1</v>
      </c>
      <c r="R194" s="138"/>
      <c r="T194" s="437" t="s">
        <v>33</v>
      </c>
      <c r="U194" s="145"/>
      <c r="X194" s="274">
        <v>7.9312248229980469</v>
      </c>
      <c r="Y194" s="274">
        <f t="shared" si="22"/>
        <v>7.9312248229980469</v>
      </c>
      <c r="Z194" s="138">
        <f t="shared" si="23"/>
        <v>7.9312248229980469</v>
      </c>
    </row>
    <row r="195" spans="1:26" s="144" customFormat="1" ht="147" customHeight="1">
      <c r="A195" s="46">
        <f t="shared" si="26"/>
        <v>73</v>
      </c>
      <c r="B195" s="183" t="s">
        <v>777</v>
      </c>
      <c r="C195" s="182" t="s">
        <v>777</v>
      </c>
      <c r="D195" s="161" t="s">
        <v>759</v>
      </c>
      <c r="E195" s="149">
        <f t="shared" si="24"/>
        <v>214</v>
      </c>
      <c r="F195" s="161" t="s">
        <v>760</v>
      </c>
      <c r="G195" s="149">
        <f t="shared" si="25"/>
        <v>231</v>
      </c>
      <c r="H195" s="158" t="s">
        <v>37</v>
      </c>
      <c r="I195" s="149" t="s">
        <v>24</v>
      </c>
      <c r="J195" s="149" t="s">
        <v>24</v>
      </c>
      <c r="K195" s="149" t="s">
        <v>38</v>
      </c>
      <c r="L195" s="148" t="s">
        <v>778</v>
      </c>
      <c r="M195" s="219" t="s">
        <v>24</v>
      </c>
      <c r="N195" s="160" t="s">
        <v>779</v>
      </c>
      <c r="O195" s="43" t="s">
        <v>780</v>
      </c>
      <c r="P195" s="10"/>
      <c r="Q195" s="271">
        <v>1</v>
      </c>
      <c r="R195" s="138"/>
      <c r="T195" s="437" t="s">
        <v>33</v>
      </c>
      <c r="U195" s="145"/>
      <c r="X195" s="274">
        <v>5.3390059471130371</v>
      </c>
      <c r="Y195" s="274">
        <f t="shared" si="22"/>
        <v>5.3390059471130371</v>
      </c>
      <c r="Z195" s="138">
        <f t="shared" si="23"/>
        <v>5.3390059471130371</v>
      </c>
    </row>
    <row r="196" spans="1:26" s="144" customFormat="1" ht="153" customHeight="1">
      <c r="A196" s="14">
        <f t="shared" si="26"/>
        <v>74</v>
      </c>
      <c r="B196" s="235" t="s">
        <v>781</v>
      </c>
      <c r="C196" s="17" t="s">
        <v>781</v>
      </c>
      <c r="D196" s="38" t="s">
        <v>782</v>
      </c>
      <c r="E196" s="20">
        <f t="shared" si="24"/>
        <v>142</v>
      </c>
      <c r="F196" s="38" t="s">
        <v>783</v>
      </c>
      <c r="G196" s="20">
        <f t="shared" si="25"/>
        <v>148</v>
      </c>
      <c r="H196" s="36" t="s">
        <v>37</v>
      </c>
      <c r="I196" s="20" t="s">
        <v>24</v>
      </c>
      <c r="J196" s="20" t="s">
        <v>24</v>
      </c>
      <c r="K196" s="20" t="s">
        <v>38</v>
      </c>
      <c r="L196" s="31" t="s">
        <v>784</v>
      </c>
      <c r="M196" s="78" t="s">
        <v>24</v>
      </c>
      <c r="N196" s="350"/>
      <c r="O196" s="351"/>
      <c r="P196" s="120" t="s">
        <v>785</v>
      </c>
      <c r="Q196" s="276">
        <v>1</v>
      </c>
      <c r="R196" s="138"/>
      <c r="T196" s="146" t="s">
        <v>23</v>
      </c>
      <c r="U196" s="145"/>
      <c r="X196" s="275">
        <v>3.816555500030518</v>
      </c>
      <c r="Y196" s="275">
        <f t="shared" si="22"/>
        <v>3.816555500030518</v>
      </c>
      <c r="Z196" s="138" t="str">
        <f t="shared" si="23"/>
        <v/>
      </c>
    </row>
    <row r="197" spans="1:26" s="144" customFormat="1" ht="204" customHeight="1">
      <c r="A197" s="14">
        <f t="shared" si="26"/>
        <v>75</v>
      </c>
      <c r="B197" s="352" t="s">
        <v>786</v>
      </c>
      <c r="C197" s="17" t="s">
        <v>787</v>
      </c>
      <c r="D197" s="22" t="s">
        <v>788</v>
      </c>
      <c r="E197" s="20">
        <f t="shared" si="24"/>
        <v>406</v>
      </c>
      <c r="F197" s="479" t="s">
        <v>789</v>
      </c>
      <c r="G197" s="20">
        <f t="shared" si="25"/>
        <v>375</v>
      </c>
      <c r="H197" s="36" t="s">
        <v>37</v>
      </c>
      <c r="I197" s="20" t="s">
        <v>24</v>
      </c>
      <c r="J197" s="20" t="s">
        <v>24</v>
      </c>
      <c r="K197" s="20" t="s">
        <v>38</v>
      </c>
      <c r="L197" s="31" t="s">
        <v>790</v>
      </c>
      <c r="M197" s="78" t="s">
        <v>24</v>
      </c>
      <c r="N197" s="42"/>
      <c r="O197" s="42"/>
      <c r="P197" s="10"/>
      <c r="Q197" s="276">
        <v>1</v>
      </c>
      <c r="R197" s="138"/>
      <c r="T197" s="146" t="s">
        <v>23</v>
      </c>
      <c r="U197" s="145"/>
      <c r="X197" s="275">
        <v>16.827030181884769</v>
      </c>
      <c r="Y197" s="275">
        <f t="shared" si="22"/>
        <v>16.827030181884769</v>
      </c>
      <c r="Z197" s="138" t="str">
        <f t="shared" si="23"/>
        <v/>
      </c>
    </row>
    <row r="198" spans="1:26" s="144" customFormat="1" ht="204" customHeight="1">
      <c r="A198" s="14">
        <f t="shared" si="26"/>
        <v>76</v>
      </c>
      <c r="B198" s="352" t="s">
        <v>791</v>
      </c>
      <c r="C198" s="17" t="s">
        <v>792</v>
      </c>
      <c r="D198" s="22" t="s">
        <v>793</v>
      </c>
      <c r="E198" s="20">
        <f t="shared" si="24"/>
        <v>344</v>
      </c>
      <c r="F198" s="479" t="s">
        <v>794</v>
      </c>
      <c r="G198" s="20">
        <f t="shared" si="25"/>
        <v>328</v>
      </c>
      <c r="H198" s="36" t="s">
        <v>37</v>
      </c>
      <c r="I198" s="20" t="s">
        <v>24</v>
      </c>
      <c r="J198" s="20" t="s">
        <v>24</v>
      </c>
      <c r="K198" s="20" t="s">
        <v>38</v>
      </c>
      <c r="L198" s="31" t="s">
        <v>795</v>
      </c>
      <c r="M198" s="78" t="s">
        <v>24</v>
      </c>
      <c r="N198" s="42"/>
      <c r="O198" s="42"/>
      <c r="P198" s="10"/>
      <c r="Q198" s="276">
        <v>1</v>
      </c>
      <c r="R198" s="138"/>
      <c r="T198" s="146" t="s">
        <v>23</v>
      </c>
      <c r="U198" s="145"/>
      <c r="X198" s="275">
        <v>12.211404800415041</v>
      </c>
      <c r="Y198" s="275">
        <f t="shared" si="22"/>
        <v>12.211404800415041</v>
      </c>
      <c r="Z198" s="138" t="str">
        <f t="shared" si="23"/>
        <v/>
      </c>
    </row>
    <row r="199" spans="1:26" s="144" customFormat="1" ht="204" hidden="1" customHeight="1">
      <c r="A199" s="14">
        <f t="shared" si="26"/>
        <v>77</v>
      </c>
      <c r="B199" s="352" t="s">
        <v>796</v>
      </c>
      <c r="C199" s="17" t="s">
        <v>796</v>
      </c>
      <c r="D199" s="22" t="s">
        <v>797</v>
      </c>
      <c r="E199" s="20">
        <f t="shared" si="24"/>
        <v>378</v>
      </c>
      <c r="F199" s="479" t="s">
        <v>798</v>
      </c>
      <c r="G199" s="20">
        <f t="shared" si="25"/>
        <v>354</v>
      </c>
      <c r="H199" s="36" t="s">
        <v>37</v>
      </c>
      <c r="I199" s="20" t="s">
        <v>24</v>
      </c>
      <c r="J199" s="20" t="s">
        <v>24</v>
      </c>
      <c r="K199" s="20" t="s">
        <v>38</v>
      </c>
      <c r="L199" s="31" t="s">
        <v>799</v>
      </c>
      <c r="M199" s="78" t="s">
        <v>24</v>
      </c>
      <c r="N199" s="42"/>
      <c r="O199" s="42"/>
      <c r="P199" s="10"/>
      <c r="Q199" s="276">
        <v>1</v>
      </c>
      <c r="R199" s="138"/>
      <c r="T199" s="146" t="s">
        <v>23</v>
      </c>
      <c r="U199" s="145"/>
      <c r="X199" s="275">
        <v>10.39294910430908</v>
      </c>
      <c r="Y199" s="275">
        <f t="shared" si="22"/>
        <v>10.39294910430908</v>
      </c>
      <c r="Z199" s="138" t="str">
        <f t="shared" si="23"/>
        <v/>
      </c>
    </row>
    <row r="200" spans="1:26" s="144" customFormat="1" ht="204" hidden="1" customHeight="1">
      <c r="A200" s="14">
        <f t="shared" si="26"/>
        <v>78</v>
      </c>
      <c r="B200" s="352" t="s">
        <v>800</v>
      </c>
      <c r="C200" s="17" t="s">
        <v>800</v>
      </c>
      <c r="D200" s="22" t="s">
        <v>801</v>
      </c>
      <c r="E200" s="20">
        <f t="shared" si="24"/>
        <v>370</v>
      </c>
      <c r="F200" s="479" t="s">
        <v>802</v>
      </c>
      <c r="G200" s="20">
        <f t="shared" si="25"/>
        <v>360</v>
      </c>
      <c r="H200" s="36" t="s">
        <v>37</v>
      </c>
      <c r="I200" s="20" t="s">
        <v>24</v>
      </c>
      <c r="J200" s="20" t="s">
        <v>24</v>
      </c>
      <c r="K200" s="20" t="s">
        <v>38</v>
      </c>
      <c r="L200" s="31" t="s">
        <v>799</v>
      </c>
      <c r="M200" s="78" t="s">
        <v>24</v>
      </c>
      <c r="N200" s="42"/>
      <c r="O200" s="42"/>
      <c r="P200" s="10"/>
      <c r="Q200" s="276">
        <v>1</v>
      </c>
      <c r="R200" s="138"/>
      <c r="T200" s="146" t="s">
        <v>23</v>
      </c>
      <c r="U200" s="145"/>
      <c r="X200" s="275">
        <v>11.91341400146484</v>
      </c>
      <c r="Y200" s="275">
        <f t="shared" si="22"/>
        <v>11.91341400146484</v>
      </c>
      <c r="Z200" s="138" t="str">
        <f t="shared" si="23"/>
        <v/>
      </c>
    </row>
    <row r="201" spans="1:26" s="144" customFormat="1" ht="204" hidden="1" customHeight="1">
      <c r="A201" s="14">
        <f t="shared" si="26"/>
        <v>79</v>
      </c>
      <c r="B201" s="352" t="s">
        <v>803</v>
      </c>
      <c r="C201" s="17" t="s">
        <v>803</v>
      </c>
      <c r="D201" s="22" t="s">
        <v>804</v>
      </c>
      <c r="E201" s="20">
        <f t="shared" si="24"/>
        <v>384</v>
      </c>
      <c r="F201" s="479" t="s">
        <v>805</v>
      </c>
      <c r="G201" s="20">
        <f t="shared" si="25"/>
        <v>372</v>
      </c>
      <c r="H201" s="36" t="s">
        <v>37</v>
      </c>
      <c r="I201" s="20" t="s">
        <v>24</v>
      </c>
      <c r="J201" s="20" t="s">
        <v>24</v>
      </c>
      <c r="K201" s="20" t="s">
        <v>38</v>
      </c>
      <c r="L201" s="31" t="s">
        <v>799</v>
      </c>
      <c r="M201" s="78" t="s">
        <v>24</v>
      </c>
      <c r="N201" s="42"/>
      <c r="O201" s="42"/>
      <c r="P201" s="10"/>
      <c r="Q201" s="276">
        <v>1</v>
      </c>
      <c r="R201" s="138"/>
      <c r="T201" s="146" t="s">
        <v>23</v>
      </c>
      <c r="U201" s="145"/>
      <c r="X201" s="275">
        <v>11.45889282226562</v>
      </c>
      <c r="Y201" s="275">
        <f t="shared" si="22"/>
        <v>11.45889282226562</v>
      </c>
      <c r="Z201" s="138" t="str">
        <f t="shared" si="23"/>
        <v/>
      </c>
    </row>
    <row r="202" spans="1:26" s="144" customFormat="1" ht="204" customHeight="1">
      <c r="A202" s="14">
        <f t="shared" si="26"/>
        <v>80</v>
      </c>
      <c r="B202" s="352" t="s">
        <v>806</v>
      </c>
      <c r="C202" s="17" t="s">
        <v>806</v>
      </c>
      <c r="D202" s="22" t="s">
        <v>807</v>
      </c>
      <c r="E202" s="20">
        <f t="shared" si="24"/>
        <v>371</v>
      </c>
      <c r="F202" s="479" t="s">
        <v>808</v>
      </c>
      <c r="G202" s="20">
        <f t="shared" si="25"/>
        <v>361</v>
      </c>
      <c r="H202" s="36" t="s">
        <v>37</v>
      </c>
      <c r="I202" s="20" t="s">
        <v>24</v>
      </c>
      <c r="J202" s="20" t="s">
        <v>24</v>
      </c>
      <c r="K202" s="20" t="s">
        <v>38</v>
      </c>
      <c r="L202" s="31" t="s">
        <v>809</v>
      </c>
      <c r="M202" s="78" t="s">
        <v>24</v>
      </c>
      <c r="N202" s="42"/>
      <c r="O202" s="42"/>
      <c r="P202" s="10"/>
      <c r="Q202" s="276">
        <v>1</v>
      </c>
      <c r="R202" s="138"/>
      <c r="T202" s="146" t="s">
        <v>23</v>
      </c>
      <c r="U202" s="145"/>
      <c r="X202" s="275">
        <v>10.84387874603271</v>
      </c>
      <c r="Y202" s="275">
        <f t="shared" si="22"/>
        <v>10.84387874603271</v>
      </c>
      <c r="Z202" s="138" t="str">
        <f t="shared" si="23"/>
        <v/>
      </c>
    </row>
    <row r="203" spans="1:26" s="144" customFormat="1" ht="204" customHeight="1">
      <c r="A203" s="14">
        <f t="shared" si="26"/>
        <v>81</v>
      </c>
      <c r="B203" s="352" t="s">
        <v>810</v>
      </c>
      <c r="C203" s="17" t="s">
        <v>810</v>
      </c>
      <c r="D203" s="22" t="s">
        <v>811</v>
      </c>
      <c r="E203" s="20">
        <f t="shared" si="24"/>
        <v>345</v>
      </c>
      <c r="F203" s="479" t="s">
        <v>812</v>
      </c>
      <c r="G203" s="20">
        <f t="shared" si="25"/>
        <v>328</v>
      </c>
      <c r="H203" s="36" t="s">
        <v>37</v>
      </c>
      <c r="I203" s="20" t="s">
        <v>24</v>
      </c>
      <c r="J203" s="20" t="s">
        <v>24</v>
      </c>
      <c r="K203" s="20" t="s">
        <v>38</v>
      </c>
      <c r="L203" s="31" t="s">
        <v>813</v>
      </c>
      <c r="M203" s="78" t="s">
        <v>24</v>
      </c>
      <c r="N203" s="42"/>
      <c r="O203" s="42"/>
      <c r="P203" s="10"/>
      <c r="Q203" s="276">
        <v>1</v>
      </c>
      <c r="R203" s="138"/>
      <c r="T203" s="146" t="s">
        <v>23</v>
      </c>
      <c r="U203" s="145"/>
      <c r="X203" s="275">
        <v>8.2318143844604492</v>
      </c>
      <c r="Y203" s="275">
        <f t="shared" si="22"/>
        <v>8.2318143844604492</v>
      </c>
      <c r="Z203" s="138" t="str">
        <f t="shared" si="23"/>
        <v/>
      </c>
    </row>
    <row r="204" spans="1:26" s="144" customFormat="1" ht="204" hidden="1" customHeight="1">
      <c r="A204" s="14">
        <f t="shared" si="26"/>
        <v>82</v>
      </c>
      <c r="B204" s="352" t="s">
        <v>814</v>
      </c>
      <c r="C204" s="17" t="s">
        <v>814</v>
      </c>
      <c r="D204" s="22" t="s">
        <v>815</v>
      </c>
      <c r="E204" s="20">
        <f t="shared" si="24"/>
        <v>370</v>
      </c>
      <c r="F204" s="479" t="s">
        <v>816</v>
      </c>
      <c r="G204" s="20">
        <f t="shared" si="25"/>
        <v>346</v>
      </c>
      <c r="H204" s="36" t="s">
        <v>37</v>
      </c>
      <c r="I204" s="20" t="s">
        <v>24</v>
      </c>
      <c r="J204" s="20" t="s">
        <v>24</v>
      </c>
      <c r="K204" s="20" t="s">
        <v>38</v>
      </c>
      <c r="L204" s="31" t="s">
        <v>799</v>
      </c>
      <c r="M204" s="78" t="s">
        <v>24</v>
      </c>
      <c r="N204" s="42"/>
      <c r="O204" s="42"/>
      <c r="P204" s="10"/>
      <c r="Q204" s="276">
        <v>1</v>
      </c>
      <c r="R204" s="138"/>
      <c r="T204" s="146" t="s">
        <v>23</v>
      </c>
      <c r="U204" s="145"/>
      <c r="X204" s="275">
        <v>12.454976081848139</v>
      </c>
      <c r="Y204" s="275">
        <f t="shared" si="22"/>
        <v>12.454976081848139</v>
      </c>
      <c r="Z204" s="138" t="str">
        <f t="shared" si="23"/>
        <v/>
      </c>
    </row>
    <row r="205" spans="1:26" s="144" customFormat="1" ht="221" hidden="1" customHeight="1">
      <c r="A205" s="14">
        <f t="shared" si="26"/>
        <v>83</v>
      </c>
      <c r="B205" s="352" t="s">
        <v>817</v>
      </c>
      <c r="C205" s="17" t="s">
        <v>817</v>
      </c>
      <c r="D205" s="22" t="s">
        <v>818</v>
      </c>
      <c r="E205" s="20">
        <f t="shared" si="24"/>
        <v>425</v>
      </c>
      <c r="F205" s="479" t="s">
        <v>819</v>
      </c>
      <c r="G205" s="20">
        <f t="shared" si="25"/>
        <v>390</v>
      </c>
      <c r="H205" s="36" t="s">
        <v>37</v>
      </c>
      <c r="I205" s="20" t="s">
        <v>24</v>
      </c>
      <c r="J205" s="20" t="s">
        <v>24</v>
      </c>
      <c r="K205" s="20" t="s">
        <v>38</v>
      </c>
      <c r="L205" s="31" t="s">
        <v>799</v>
      </c>
      <c r="M205" s="78" t="s">
        <v>24</v>
      </c>
      <c r="N205" s="42"/>
      <c r="O205" s="42"/>
      <c r="P205" s="10"/>
      <c r="Q205" s="276">
        <v>1</v>
      </c>
      <c r="R205" s="138"/>
      <c r="T205" s="146" t="s">
        <v>23</v>
      </c>
      <c r="U205" s="145"/>
      <c r="X205" s="275">
        <v>11.934056282043461</v>
      </c>
      <c r="Y205" s="275">
        <f t="shared" si="22"/>
        <v>11.934056282043461</v>
      </c>
      <c r="Z205" s="138" t="str">
        <f t="shared" si="23"/>
        <v/>
      </c>
    </row>
    <row r="206" spans="1:26" s="144" customFormat="1" ht="204" customHeight="1">
      <c r="A206" s="14">
        <f t="shared" si="26"/>
        <v>84</v>
      </c>
      <c r="B206" s="352" t="s">
        <v>820</v>
      </c>
      <c r="C206" s="17" t="s">
        <v>820</v>
      </c>
      <c r="D206" s="22" t="s">
        <v>821</v>
      </c>
      <c r="E206" s="20">
        <f t="shared" si="24"/>
        <v>360</v>
      </c>
      <c r="F206" s="479" t="s">
        <v>822</v>
      </c>
      <c r="G206" s="20">
        <f t="shared" si="25"/>
        <v>337</v>
      </c>
      <c r="H206" s="36" t="s">
        <v>37</v>
      </c>
      <c r="I206" s="20" t="s">
        <v>24</v>
      </c>
      <c r="J206" s="20" t="s">
        <v>24</v>
      </c>
      <c r="K206" s="20" t="s">
        <v>38</v>
      </c>
      <c r="L206" s="31" t="s">
        <v>823</v>
      </c>
      <c r="M206" s="78" t="s">
        <v>24</v>
      </c>
      <c r="N206" s="22"/>
      <c r="O206" s="31"/>
      <c r="P206" s="10"/>
      <c r="Q206" s="276">
        <v>1</v>
      </c>
      <c r="R206" s="138"/>
      <c r="T206" s="146" t="s">
        <v>23</v>
      </c>
      <c r="U206" s="145"/>
      <c r="X206" s="275">
        <v>11.36098480224609</v>
      </c>
      <c r="Y206" s="275">
        <f t="shared" si="22"/>
        <v>11.36098480224609</v>
      </c>
      <c r="Z206" s="138" t="str">
        <f t="shared" si="23"/>
        <v/>
      </c>
    </row>
    <row r="207" spans="1:26" s="144" customFormat="1" ht="204" customHeight="1">
      <c r="A207" s="14">
        <f t="shared" si="26"/>
        <v>85</v>
      </c>
      <c r="B207" s="352" t="s">
        <v>824</v>
      </c>
      <c r="C207" s="17" t="s">
        <v>824</v>
      </c>
      <c r="D207" s="22" t="s">
        <v>825</v>
      </c>
      <c r="E207" s="20">
        <f t="shared" si="24"/>
        <v>374</v>
      </c>
      <c r="F207" s="479" t="s">
        <v>826</v>
      </c>
      <c r="G207" s="20">
        <f t="shared" si="25"/>
        <v>360</v>
      </c>
      <c r="H207" s="36" t="s">
        <v>37</v>
      </c>
      <c r="I207" s="20" t="s">
        <v>24</v>
      </c>
      <c r="J207" s="20" t="s">
        <v>24</v>
      </c>
      <c r="K207" s="20" t="s">
        <v>38</v>
      </c>
      <c r="L207" s="31" t="s">
        <v>827</v>
      </c>
      <c r="M207" s="78" t="s">
        <v>24</v>
      </c>
      <c r="N207" s="353"/>
      <c r="O207" s="354"/>
      <c r="P207" s="10"/>
      <c r="Q207" s="276">
        <v>1</v>
      </c>
      <c r="R207" s="138"/>
      <c r="T207" s="146" t="s">
        <v>23</v>
      </c>
      <c r="U207" s="145"/>
      <c r="X207" s="275">
        <v>12.7567195892334</v>
      </c>
      <c r="Y207" s="275">
        <f t="shared" si="22"/>
        <v>12.7567195892334</v>
      </c>
      <c r="Z207" s="138" t="str">
        <f t="shared" si="23"/>
        <v/>
      </c>
    </row>
    <row r="208" spans="1:26" s="144" customFormat="1" ht="204" hidden="1" customHeight="1">
      <c r="A208" s="14">
        <f t="shared" si="26"/>
        <v>86</v>
      </c>
      <c r="B208" s="352" t="s">
        <v>828</v>
      </c>
      <c r="C208" s="17" t="s">
        <v>828</v>
      </c>
      <c r="D208" s="22" t="s">
        <v>829</v>
      </c>
      <c r="E208" s="20">
        <f t="shared" si="24"/>
        <v>379</v>
      </c>
      <c r="F208" s="479" t="s">
        <v>830</v>
      </c>
      <c r="G208" s="20">
        <f t="shared" si="25"/>
        <v>370</v>
      </c>
      <c r="H208" s="36" t="s">
        <v>37</v>
      </c>
      <c r="I208" s="20" t="s">
        <v>24</v>
      </c>
      <c r="J208" s="20" t="s">
        <v>24</v>
      </c>
      <c r="K208" s="20" t="s">
        <v>38</v>
      </c>
      <c r="L208" s="31" t="s">
        <v>799</v>
      </c>
      <c r="M208" s="78" t="s">
        <v>24</v>
      </c>
      <c r="N208" s="355"/>
      <c r="O208" s="356"/>
      <c r="P208" s="10"/>
      <c r="Q208" s="276">
        <v>1</v>
      </c>
      <c r="R208" s="138"/>
      <c r="T208" s="146" t="s">
        <v>23</v>
      </c>
      <c r="U208" s="145"/>
      <c r="X208" s="275">
        <v>7.8922214508056641</v>
      </c>
      <c r="Y208" s="275">
        <f t="shared" si="22"/>
        <v>7.8922214508056641</v>
      </c>
      <c r="Z208" s="138" t="str">
        <f t="shared" si="23"/>
        <v/>
      </c>
    </row>
    <row r="209" spans="1:26" s="144" customFormat="1" ht="204" hidden="1" customHeight="1">
      <c r="A209" s="14">
        <f t="shared" si="26"/>
        <v>87</v>
      </c>
      <c r="B209" s="352" t="s">
        <v>831</v>
      </c>
      <c r="C209" s="17" t="s">
        <v>831</v>
      </c>
      <c r="D209" s="22" t="s">
        <v>832</v>
      </c>
      <c r="E209" s="20">
        <f t="shared" si="24"/>
        <v>398</v>
      </c>
      <c r="F209" s="479" t="s">
        <v>833</v>
      </c>
      <c r="G209" s="20">
        <f t="shared" si="25"/>
        <v>385</v>
      </c>
      <c r="H209" s="36" t="s">
        <v>37</v>
      </c>
      <c r="I209" s="20" t="s">
        <v>24</v>
      </c>
      <c r="J209" s="20" t="s">
        <v>24</v>
      </c>
      <c r="K209" s="20" t="s">
        <v>38</v>
      </c>
      <c r="L209" s="31" t="s">
        <v>799</v>
      </c>
      <c r="M209" s="78" t="s">
        <v>24</v>
      </c>
      <c r="N209" s="355"/>
      <c r="O209" s="356"/>
      <c r="P209" s="10"/>
      <c r="Q209" s="276">
        <v>1</v>
      </c>
      <c r="R209" s="138"/>
      <c r="T209" s="146" t="s">
        <v>23</v>
      </c>
      <c r="U209" s="145"/>
      <c r="X209" s="275">
        <v>9.5187292098999023</v>
      </c>
      <c r="Y209" s="275">
        <f t="shared" si="22"/>
        <v>9.5187292098999023</v>
      </c>
      <c r="Z209" s="138" t="str">
        <f t="shared" si="23"/>
        <v/>
      </c>
    </row>
    <row r="210" spans="1:26" s="144" customFormat="1" ht="221" customHeight="1">
      <c r="A210" s="14">
        <f t="shared" si="26"/>
        <v>88</v>
      </c>
      <c r="B210" s="352" t="s">
        <v>834</v>
      </c>
      <c r="C210" s="17" t="s">
        <v>834</v>
      </c>
      <c r="D210" s="22" t="s">
        <v>835</v>
      </c>
      <c r="E210" s="20">
        <f t="shared" si="24"/>
        <v>421</v>
      </c>
      <c r="F210" s="479" t="s">
        <v>836</v>
      </c>
      <c r="G210" s="20">
        <f t="shared" si="25"/>
        <v>414</v>
      </c>
      <c r="H210" s="36" t="s">
        <v>37</v>
      </c>
      <c r="I210" s="20" t="s">
        <v>24</v>
      </c>
      <c r="J210" s="20" t="s">
        <v>24</v>
      </c>
      <c r="K210" s="20" t="s">
        <v>38</v>
      </c>
      <c r="L210" s="31" t="s">
        <v>837</v>
      </c>
      <c r="M210" s="78" t="s">
        <v>24</v>
      </c>
      <c r="N210" s="355"/>
      <c r="O210" s="356"/>
      <c r="P210" s="10"/>
      <c r="Q210" s="276">
        <v>1</v>
      </c>
      <c r="R210" s="138"/>
      <c r="T210" s="146" t="s">
        <v>23</v>
      </c>
      <c r="U210" s="145"/>
      <c r="X210" s="275">
        <v>9.0232686996459961</v>
      </c>
      <c r="Y210" s="275">
        <f t="shared" si="22"/>
        <v>9.0232686996459961</v>
      </c>
      <c r="Z210" s="138" t="str">
        <f t="shared" si="23"/>
        <v/>
      </c>
    </row>
    <row r="211" spans="1:26" s="144" customFormat="1" ht="204" customHeight="1">
      <c r="A211" s="14">
        <f t="shared" si="26"/>
        <v>89</v>
      </c>
      <c r="B211" s="352" t="s">
        <v>838</v>
      </c>
      <c r="C211" s="17" t="s">
        <v>838</v>
      </c>
      <c r="D211" s="22" t="s">
        <v>839</v>
      </c>
      <c r="E211" s="20">
        <f t="shared" si="24"/>
        <v>351</v>
      </c>
      <c r="F211" s="479" t="s">
        <v>840</v>
      </c>
      <c r="G211" s="20">
        <f t="shared" si="25"/>
        <v>331</v>
      </c>
      <c r="H211" s="36" t="s">
        <v>37</v>
      </c>
      <c r="I211" s="20" t="s">
        <v>24</v>
      </c>
      <c r="J211" s="20" t="s">
        <v>24</v>
      </c>
      <c r="K211" s="20" t="s">
        <v>38</v>
      </c>
      <c r="L211" s="31" t="s">
        <v>841</v>
      </c>
      <c r="M211" s="78" t="s">
        <v>24</v>
      </c>
      <c r="N211" s="355"/>
      <c r="O211" s="356"/>
      <c r="P211" s="10"/>
      <c r="Q211" s="276">
        <v>1</v>
      </c>
      <c r="R211" s="138"/>
      <c r="T211" s="146" t="s">
        <v>23</v>
      </c>
      <c r="U211" s="145"/>
      <c r="X211" s="275">
        <v>9.0632390975952148</v>
      </c>
      <c r="Y211" s="275">
        <f t="shared" si="22"/>
        <v>9.0632390975952148</v>
      </c>
      <c r="Z211" s="138" t="str">
        <f t="shared" si="23"/>
        <v/>
      </c>
    </row>
    <row r="212" spans="1:26" s="144" customFormat="1" ht="204" customHeight="1">
      <c r="A212" s="14">
        <f t="shared" si="26"/>
        <v>90</v>
      </c>
      <c r="B212" s="352" t="s">
        <v>842</v>
      </c>
      <c r="C212" s="17" t="s">
        <v>842</v>
      </c>
      <c r="D212" s="22" t="s">
        <v>843</v>
      </c>
      <c r="E212" s="20">
        <f t="shared" si="24"/>
        <v>334</v>
      </c>
      <c r="F212" s="479" t="s">
        <v>844</v>
      </c>
      <c r="G212" s="20">
        <f t="shared" si="25"/>
        <v>322</v>
      </c>
      <c r="H212" s="36" t="s">
        <v>37</v>
      </c>
      <c r="I212" s="20" t="s">
        <v>24</v>
      </c>
      <c r="J212" s="20" t="s">
        <v>24</v>
      </c>
      <c r="K212" s="20" t="s">
        <v>38</v>
      </c>
      <c r="L212" s="31" t="s">
        <v>845</v>
      </c>
      <c r="M212" s="78" t="s">
        <v>24</v>
      </c>
      <c r="N212" s="355"/>
      <c r="O212" s="356"/>
      <c r="P212" s="10"/>
      <c r="Q212" s="276">
        <v>1</v>
      </c>
      <c r="R212" s="138"/>
      <c r="T212" s="146" t="s">
        <v>23</v>
      </c>
      <c r="U212" s="145"/>
      <c r="X212" s="275">
        <v>9.1058073043823242</v>
      </c>
      <c r="Y212" s="275">
        <f t="shared" si="22"/>
        <v>9.1058073043823242</v>
      </c>
      <c r="Z212" s="138" t="str">
        <f t="shared" si="23"/>
        <v/>
      </c>
    </row>
    <row r="213" spans="1:26" s="144" customFormat="1" ht="204" hidden="1" customHeight="1">
      <c r="A213" s="14">
        <f t="shared" si="26"/>
        <v>91</v>
      </c>
      <c r="B213" s="352" t="s">
        <v>846</v>
      </c>
      <c r="C213" s="17" t="s">
        <v>846</v>
      </c>
      <c r="D213" s="22" t="s">
        <v>847</v>
      </c>
      <c r="E213" s="20">
        <f t="shared" si="24"/>
        <v>401</v>
      </c>
      <c r="F213" s="479" t="s">
        <v>848</v>
      </c>
      <c r="G213" s="20">
        <f t="shared" si="25"/>
        <v>373</v>
      </c>
      <c r="H213" s="36" t="s">
        <v>37</v>
      </c>
      <c r="I213" s="20" t="s">
        <v>24</v>
      </c>
      <c r="J213" s="20" t="s">
        <v>24</v>
      </c>
      <c r="K213" s="20" t="s">
        <v>38</v>
      </c>
      <c r="L213" s="31" t="s">
        <v>799</v>
      </c>
      <c r="M213" s="78" t="s">
        <v>24</v>
      </c>
      <c r="N213" s="355"/>
      <c r="O213" s="356"/>
      <c r="P213" s="10"/>
      <c r="Q213" s="276">
        <v>1</v>
      </c>
      <c r="R213" s="138"/>
      <c r="T213" s="146" t="s">
        <v>23</v>
      </c>
      <c r="U213" s="145"/>
      <c r="X213" s="275">
        <v>11.21794319152832</v>
      </c>
      <c r="Y213" s="275">
        <f t="shared" si="22"/>
        <v>11.21794319152832</v>
      </c>
      <c r="Z213" s="138" t="str">
        <f t="shared" si="23"/>
        <v/>
      </c>
    </row>
    <row r="214" spans="1:26" s="144" customFormat="1" ht="220.25" customHeight="1">
      <c r="A214" s="14">
        <f t="shared" si="26"/>
        <v>92</v>
      </c>
      <c r="B214" s="352" t="s">
        <v>849</v>
      </c>
      <c r="C214" s="17" t="s">
        <v>849</v>
      </c>
      <c r="D214" s="22" t="s">
        <v>850</v>
      </c>
      <c r="E214" s="20">
        <f t="shared" si="24"/>
        <v>360</v>
      </c>
      <c r="F214" s="479" t="s">
        <v>851</v>
      </c>
      <c r="G214" s="20">
        <f t="shared" si="25"/>
        <v>335</v>
      </c>
      <c r="H214" s="36" t="s">
        <v>37</v>
      </c>
      <c r="I214" s="20" t="s">
        <v>24</v>
      </c>
      <c r="J214" s="20" t="s">
        <v>24</v>
      </c>
      <c r="K214" s="20" t="s">
        <v>38</v>
      </c>
      <c r="L214" s="31" t="s">
        <v>852</v>
      </c>
      <c r="M214" s="78" t="s">
        <v>24</v>
      </c>
      <c r="N214" s="355"/>
      <c r="O214" s="356"/>
      <c r="P214" s="10"/>
      <c r="Q214" s="276">
        <v>1</v>
      </c>
      <c r="R214" s="138"/>
      <c r="T214" s="146" t="s">
        <v>23</v>
      </c>
      <c r="U214" s="145"/>
      <c r="W214" s="159"/>
      <c r="X214" s="275">
        <v>6.2936897277832031</v>
      </c>
      <c r="Y214" s="275">
        <f t="shared" ref="Y214:Y245" si="27">IF(X214="","",X214*Q214)</f>
        <v>6.2936897277832031</v>
      </c>
      <c r="Z214" s="138" t="str">
        <f t="shared" ref="Z214:Z245" si="28">IF(T214="yes",Y214,"")</f>
        <v/>
      </c>
    </row>
    <row r="215" spans="1:26" s="144" customFormat="1" ht="204" hidden="1" customHeight="1">
      <c r="A215" s="14">
        <f t="shared" si="26"/>
        <v>93</v>
      </c>
      <c r="B215" s="352" t="s">
        <v>853</v>
      </c>
      <c r="C215" s="17" t="s">
        <v>853</v>
      </c>
      <c r="D215" s="22" t="s">
        <v>854</v>
      </c>
      <c r="E215" s="20">
        <f t="shared" si="24"/>
        <v>335</v>
      </c>
      <c r="F215" s="479" t="s">
        <v>855</v>
      </c>
      <c r="G215" s="20">
        <f t="shared" si="25"/>
        <v>321</v>
      </c>
      <c r="H215" s="36" t="s">
        <v>37</v>
      </c>
      <c r="I215" s="20" t="s">
        <v>24</v>
      </c>
      <c r="J215" s="20" t="s">
        <v>24</v>
      </c>
      <c r="K215" s="20" t="s">
        <v>38</v>
      </c>
      <c r="L215" s="31" t="s">
        <v>799</v>
      </c>
      <c r="M215" s="78" t="s">
        <v>24</v>
      </c>
      <c r="N215" s="355"/>
      <c r="O215" s="356"/>
      <c r="P215" s="10"/>
      <c r="Q215" s="276">
        <v>1</v>
      </c>
      <c r="R215" s="138"/>
      <c r="T215" s="146" t="s">
        <v>23</v>
      </c>
      <c r="U215" s="145"/>
      <c r="X215" s="275">
        <v>9.0649547576904297</v>
      </c>
      <c r="Y215" s="275">
        <f t="shared" si="27"/>
        <v>9.0649547576904297</v>
      </c>
      <c r="Z215" s="138" t="str">
        <f t="shared" si="28"/>
        <v/>
      </c>
    </row>
    <row r="216" spans="1:26" s="144" customFormat="1" ht="409.5" customHeight="1">
      <c r="A216" s="46">
        <f t="shared" si="26"/>
        <v>94</v>
      </c>
      <c r="B216" s="183" t="s">
        <v>856</v>
      </c>
      <c r="C216" s="143" t="s">
        <v>857</v>
      </c>
      <c r="D216" s="509" t="s">
        <v>858</v>
      </c>
      <c r="E216" s="149">
        <f t="shared" ref="E216:E247" si="29">LEN(D216)</f>
        <v>1361</v>
      </c>
      <c r="F216" s="509" t="s">
        <v>859</v>
      </c>
      <c r="G216" s="149">
        <f t="shared" ref="G216:G247" si="30">LEN(F216)</f>
        <v>1385</v>
      </c>
      <c r="H216" s="158" t="s">
        <v>247</v>
      </c>
      <c r="I216" s="149" t="s">
        <v>24</v>
      </c>
      <c r="J216" s="149" t="s">
        <v>24</v>
      </c>
      <c r="K216" s="149" t="s">
        <v>860</v>
      </c>
      <c r="L216" s="148" t="s">
        <v>861</v>
      </c>
      <c r="M216" s="219" t="s">
        <v>862</v>
      </c>
      <c r="N216" s="148" t="s">
        <v>863</v>
      </c>
      <c r="O216" s="82"/>
      <c r="P216" s="157"/>
      <c r="Q216" s="271">
        <v>1</v>
      </c>
      <c r="R216" s="138"/>
      <c r="T216" s="437" t="s">
        <v>33</v>
      </c>
      <c r="U216" s="145"/>
      <c r="X216" s="274">
        <v>52.174358367919922</v>
      </c>
      <c r="Y216" s="274">
        <f t="shared" si="27"/>
        <v>52.174358367919922</v>
      </c>
      <c r="Z216" s="138">
        <f t="shared" si="28"/>
        <v>52.174358367919922</v>
      </c>
    </row>
    <row r="217" spans="1:26" s="144" customFormat="1" ht="153" customHeight="1">
      <c r="A217" s="344">
        <f t="shared" si="26"/>
        <v>95</v>
      </c>
      <c r="B217" s="236" t="s">
        <v>864</v>
      </c>
      <c r="C217" s="182" t="s">
        <v>864</v>
      </c>
      <c r="D217" s="156" t="s">
        <v>865</v>
      </c>
      <c r="E217" s="132">
        <f t="shared" si="29"/>
        <v>327</v>
      </c>
      <c r="F217" s="482" t="s">
        <v>866</v>
      </c>
      <c r="G217" s="132">
        <f t="shared" si="30"/>
        <v>326</v>
      </c>
      <c r="H217" s="155" t="s">
        <v>37</v>
      </c>
      <c r="I217" s="133" t="s">
        <v>24</v>
      </c>
      <c r="J217" s="133" t="s">
        <v>24</v>
      </c>
      <c r="K217" s="133" t="s">
        <v>38</v>
      </c>
      <c r="L217" s="154" t="s">
        <v>867</v>
      </c>
      <c r="M217" s="219" t="s">
        <v>24</v>
      </c>
      <c r="N217" s="154" t="s">
        <v>868</v>
      </c>
      <c r="O217" s="45" t="s">
        <v>869</v>
      </c>
      <c r="P217" s="153"/>
      <c r="Q217" s="271">
        <v>1</v>
      </c>
      <c r="R217" s="138"/>
      <c r="T217" s="437" t="s">
        <v>33</v>
      </c>
      <c r="U217" s="145"/>
      <c r="X217" s="274">
        <v>1.2871023416519169</v>
      </c>
      <c r="Y217" s="274">
        <f t="shared" si="27"/>
        <v>1.2871023416519169</v>
      </c>
      <c r="Z217" s="138">
        <f t="shared" si="28"/>
        <v>1.2871023416519169</v>
      </c>
    </row>
    <row r="218" spans="1:26" s="144" customFormat="1" ht="85" customHeight="1">
      <c r="A218" s="14">
        <f t="shared" si="26"/>
        <v>96</v>
      </c>
      <c r="B218" s="235" t="s">
        <v>870</v>
      </c>
      <c r="C218" s="244" t="s">
        <v>870</v>
      </c>
      <c r="D218" s="510" t="s">
        <v>871</v>
      </c>
      <c r="E218" s="20">
        <f t="shared" si="29"/>
        <v>179</v>
      </c>
      <c r="F218" s="510" t="s">
        <v>872</v>
      </c>
      <c r="G218" s="20">
        <f t="shared" si="30"/>
        <v>158</v>
      </c>
      <c r="H218" s="36" t="s">
        <v>37</v>
      </c>
      <c r="I218" s="20" t="s">
        <v>24</v>
      </c>
      <c r="J218" s="20" t="s">
        <v>24</v>
      </c>
      <c r="K218" s="20" t="s">
        <v>38</v>
      </c>
      <c r="L218" s="31" t="s">
        <v>873</v>
      </c>
      <c r="M218" s="78" t="s">
        <v>24</v>
      </c>
      <c r="N218" s="31" t="s">
        <v>874</v>
      </c>
      <c r="O218" s="31"/>
      <c r="P218" s="125"/>
      <c r="Q218" s="276">
        <v>1</v>
      </c>
      <c r="R218" s="138"/>
      <c r="T218" s="146" t="s">
        <v>23</v>
      </c>
      <c r="U218" s="145"/>
      <c r="X218" s="275">
        <v>5.6449732780456543</v>
      </c>
      <c r="Y218" s="275">
        <f t="shared" si="27"/>
        <v>5.6449732780456543</v>
      </c>
      <c r="Z218" s="138" t="str">
        <f t="shared" si="28"/>
        <v/>
      </c>
    </row>
    <row r="219" spans="1:26" s="144" customFormat="1" ht="102" customHeight="1">
      <c r="A219" s="14">
        <f t="shared" si="26"/>
        <v>97</v>
      </c>
      <c r="B219" s="235" t="s">
        <v>875</v>
      </c>
      <c r="C219" s="244" t="s">
        <v>875</v>
      </c>
      <c r="D219" s="510" t="s">
        <v>876</v>
      </c>
      <c r="E219" s="20">
        <f t="shared" si="29"/>
        <v>292</v>
      </c>
      <c r="F219" s="510" t="s">
        <v>877</v>
      </c>
      <c r="G219" s="20">
        <f t="shared" si="30"/>
        <v>291</v>
      </c>
      <c r="H219" s="36" t="s">
        <v>128</v>
      </c>
      <c r="I219" s="20" t="s">
        <v>24</v>
      </c>
      <c r="J219" s="20" t="s">
        <v>24</v>
      </c>
      <c r="K219" s="20" t="s">
        <v>27</v>
      </c>
      <c r="L219" s="31" t="s">
        <v>878</v>
      </c>
      <c r="M219" s="78" t="s">
        <v>24</v>
      </c>
      <c r="N219" s="31" t="s">
        <v>879</v>
      </c>
      <c r="O219" s="31"/>
      <c r="P219" s="124"/>
      <c r="Q219" s="276">
        <v>1</v>
      </c>
      <c r="R219" s="138"/>
      <c r="T219" s="146" t="s">
        <v>23</v>
      </c>
      <c r="U219" s="145"/>
      <c r="X219" s="275">
        <v>26.998960494995121</v>
      </c>
      <c r="Y219" s="275">
        <f t="shared" si="27"/>
        <v>26.998960494995121</v>
      </c>
      <c r="Z219" s="138" t="str">
        <f t="shared" si="28"/>
        <v/>
      </c>
    </row>
    <row r="220" spans="1:26" s="144" customFormat="1" ht="102" customHeight="1">
      <c r="A220" s="14">
        <f t="shared" si="26"/>
        <v>98</v>
      </c>
      <c r="B220" s="235" t="s">
        <v>880</v>
      </c>
      <c r="C220" s="244" t="s">
        <v>880</v>
      </c>
      <c r="D220" s="491" t="s">
        <v>881</v>
      </c>
      <c r="E220" s="20">
        <f t="shared" si="29"/>
        <v>267</v>
      </c>
      <c r="F220" s="491" t="s">
        <v>882</v>
      </c>
      <c r="G220" s="20">
        <f t="shared" si="30"/>
        <v>269</v>
      </c>
      <c r="H220" s="36" t="s">
        <v>128</v>
      </c>
      <c r="I220" s="20" t="s">
        <v>24</v>
      </c>
      <c r="J220" s="20" t="s">
        <v>24</v>
      </c>
      <c r="K220" s="20" t="s">
        <v>27</v>
      </c>
      <c r="L220" s="31" t="s">
        <v>883</v>
      </c>
      <c r="M220" s="78" t="s">
        <v>24</v>
      </c>
      <c r="N220" s="31" t="s">
        <v>884</v>
      </c>
      <c r="O220" s="31"/>
      <c r="P220" s="124"/>
      <c r="Q220" s="276">
        <v>1</v>
      </c>
      <c r="R220" s="138"/>
      <c r="T220" s="146" t="s">
        <v>23</v>
      </c>
      <c r="U220" s="145"/>
      <c r="X220" s="275">
        <v>18.273832321166989</v>
      </c>
      <c r="Y220" s="275">
        <f t="shared" si="27"/>
        <v>18.273832321166989</v>
      </c>
      <c r="Z220" s="138" t="str">
        <f t="shared" si="28"/>
        <v/>
      </c>
    </row>
    <row r="221" spans="1:26" s="144" customFormat="1" ht="85" customHeight="1">
      <c r="A221" s="14">
        <f t="shared" si="26"/>
        <v>99</v>
      </c>
      <c r="B221" s="235" t="s">
        <v>885</v>
      </c>
      <c r="C221" s="244" t="s">
        <v>885</v>
      </c>
      <c r="D221" s="510" t="s">
        <v>886</v>
      </c>
      <c r="E221" s="20">
        <f t="shared" si="29"/>
        <v>288</v>
      </c>
      <c r="F221" s="492" t="s">
        <v>887</v>
      </c>
      <c r="G221" s="20">
        <f t="shared" si="30"/>
        <v>272</v>
      </c>
      <c r="H221" s="36" t="s">
        <v>128</v>
      </c>
      <c r="I221" s="20" t="s">
        <v>24</v>
      </c>
      <c r="J221" s="20" t="s">
        <v>24</v>
      </c>
      <c r="K221" s="20" t="s">
        <v>27</v>
      </c>
      <c r="L221" s="31" t="s">
        <v>888</v>
      </c>
      <c r="M221" s="78" t="s">
        <v>24</v>
      </c>
      <c r="N221" s="31" t="s">
        <v>889</v>
      </c>
      <c r="O221" s="31"/>
      <c r="P221" s="124"/>
      <c r="Q221" s="276">
        <v>1</v>
      </c>
      <c r="R221" s="138"/>
      <c r="T221" s="146" t="s">
        <v>23</v>
      </c>
      <c r="U221" s="145"/>
      <c r="X221" s="275">
        <v>16.352115631103519</v>
      </c>
      <c r="Y221" s="275">
        <f t="shared" si="27"/>
        <v>16.352115631103519</v>
      </c>
      <c r="Z221" s="138" t="str">
        <f t="shared" si="28"/>
        <v/>
      </c>
    </row>
    <row r="222" spans="1:26" s="144" customFormat="1" ht="85" customHeight="1">
      <c r="A222" s="14">
        <f t="shared" si="26"/>
        <v>100</v>
      </c>
      <c r="B222" s="235" t="s">
        <v>890</v>
      </c>
      <c r="C222" s="244" t="s">
        <v>890</v>
      </c>
      <c r="D222" s="510" t="s">
        <v>891</v>
      </c>
      <c r="E222" s="20">
        <f t="shared" si="29"/>
        <v>289</v>
      </c>
      <c r="F222" s="492" t="s">
        <v>892</v>
      </c>
      <c r="G222" s="20">
        <f t="shared" si="30"/>
        <v>296</v>
      </c>
      <c r="H222" s="36" t="s">
        <v>128</v>
      </c>
      <c r="I222" s="20" t="s">
        <v>24</v>
      </c>
      <c r="J222" s="20" t="s">
        <v>24</v>
      </c>
      <c r="K222" s="20" t="s">
        <v>27</v>
      </c>
      <c r="L222" s="31" t="s">
        <v>893</v>
      </c>
      <c r="M222" s="78" t="s">
        <v>24</v>
      </c>
      <c r="N222" s="31" t="s">
        <v>894</v>
      </c>
      <c r="O222" s="31"/>
      <c r="P222" s="124"/>
      <c r="Q222" s="276">
        <v>1</v>
      </c>
      <c r="R222" s="138"/>
      <c r="T222" s="146" t="s">
        <v>23</v>
      </c>
      <c r="U222" s="145"/>
      <c r="X222" s="275">
        <v>14.01507568359375</v>
      </c>
      <c r="Y222" s="275">
        <f t="shared" si="27"/>
        <v>14.01507568359375</v>
      </c>
      <c r="Z222" s="138" t="str">
        <f t="shared" si="28"/>
        <v/>
      </c>
    </row>
    <row r="223" spans="1:26" s="144" customFormat="1" ht="102" customHeight="1">
      <c r="A223" s="14">
        <f t="shared" si="26"/>
        <v>101</v>
      </c>
      <c r="B223" s="235" t="s">
        <v>895</v>
      </c>
      <c r="C223" s="244" t="s">
        <v>895</v>
      </c>
      <c r="D223" s="491" t="s">
        <v>896</v>
      </c>
      <c r="E223" s="20">
        <f t="shared" si="29"/>
        <v>273</v>
      </c>
      <c r="F223" s="510" t="s">
        <v>897</v>
      </c>
      <c r="G223" s="20">
        <f t="shared" si="30"/>
        <v>315</v>
      </c>
      <c r="H223" s="36" t="s">
        <v>128</v>
      </c>
      <c r="I223" s="20" t="s">
        <v>24</v>
      </c>
      <c r="J223" s="20" t="s">
        <v>24</v>
      </c>
      <c r="K223" s="20" t="s">
        <v>27</v>
      </c>
      <c r="L223" s="31" t="s">
        <v>898</v>
      </c>
      <c r="M223" s="78" t="s">
        <v>24</v>
      </c>
      <c r="N223" s="31" t="s">
        <v>899</v>
      </c>
      <c r="O223" s="31"/>
      <c r="P223" s="124"/>
      <c r="Q223" s="276">
        <v>1</v>
      </c>
      <c r="R223" s="138"/>
      <c r="T223" s="146" t="s">
        <v>23</v>
      </c>
      <c r="U223" s="145"/>
      <c r="X223" s="275">
        <v>17.22746658325195</v>
      </c>
      <c r="Y223" s="275">
        <f t="shared" si="27"/>
        <v>17.22746658325195</v>
      </c>
      <c r="Z223" s="138" t="str">
        <f t="shared" si="28"/>
        <v/>
      </c>
    </row>
    <row r="224" spans="1:26" s="144" customFormat="1" ht="102" customHeight="1">
      <c r="A224" s="14">
        <f t="shared" si="26"/>
        <v>102</v>
      </c>
      <c r="B224" s="235" t="s">
        <v>900</v>
      </c>
      <c r="C224" s="244" t="s">
        <v>900</v>
      </c>
      <c r="D224" s="510" t="s">
        <v>901</v>
      </c>
      <c r="E224" s="20">
        <f t="shared" si="29"/>
        <v>307</v>
      </c>
      <c r="F224" s="510" t="s">
        <v>902</v>
      </c>
      <c r="G224" s="20">
        <f t="shared" si="30"/>
        <v>312</v>
      </c>
      <c r="H224" s="36" t="s">
        <v>128</v>
      </c>
      <c r="I224" s="20" t="s">
        <v>24</v>
      </c>
      <c r="J224" s="20" t="s">
        <v>24</v>
      </c>
      <c r="K224" s="20" t="s">
        <v>27</v>
      </c>
      <c r="L224" s="31" t="s">
        <v>903</v>
      </c>
      <c r="M224" s="78" t="s">
        <v>24</v>
      </c>
      <c r="N224" s="31" t="s">
        <v>904</v>
      </c>
      <c r="O224" s="31"/>
      <c r="P224" s="124"/>
      <c r="Q224" s="276">
        <v>1</v>
      </c>
      <c r="R224" s="138"/>
      <c r="T224" s="146" t="s">
        <v>23</v>
      </c>
      <c r="U224" s="145"/>
      <c r="X224" s="275">
        <v>19.492774716706521</v>
      </c>
      <c r="Y224" s="275">
        <f t="shared" si="27"/>
        <v>19.492774716706521</v>
      </c>
      <c r="Z224" s="138" t="str">
        <f t="shared" si="28"/>
        <v/>
      </c>
    </row>
    <row r="225" spans="1:26" s="144" customFormat="1" ht="102" customHeight="1">
      <c r="A225" s="14">
        <f t="shared" si="26"/>
        <v>103</v>
      </c>
      <c r="B225" s="235" t="s">
        <v>905</v>
      </c>
      <c r="C225" s="244" t="s">
        <v>905</v>
      </c>
      <c r="D225" s="510" t="s">
        <v>906</v>
      </c>
      <c r="E225" s="20">
        <f t="shared" si="29"/>
        <v>292</v>
      </c>
      <c r="F225" s="510" t="s">
        <v>907</v>
      </c>
      <c r="G225" s="20">
        <f t="shared" si="30"/>
        <v>268</v>
      </c>
      <c r="H225" s="36" t="s">
        <v>128</v>
      </c>
      <c r="I225" s="20" t="s">
        <v>24</v>
      </c>
      <c r="J225" s="20" t="s">
        <v>24</v>
      </c>
      <c r="K225" s="20" t="s">
        <v>27</v>
      </c>
      <c r="L225" s="31" t="s">
        <v>908</v>
      </c>
      <c r="M225" s="78" t="s">
        <v>24</v>
      </c>
      <c r="N225" s="31" t="s">
        <v>909</v>
      </c>
      <c r="O225" s="31"/>
      <c r="P225" s="124"/>
      <c r="Q225" s="276">
        <v>1</v>
      </c>
      <c r="R225" s="138"/>
      <c r="T225" s="146" t="s">
        <v>23</v>
      </c>
      <c r="U225" s="145"/>
      <c r="X225" s="275">
        <v>14.17413425445557</v>
      </c>
      <c r="Y225" s="275">
        <f t="shared" si="27"/>
        <v>14.17413425445557</v>
      </c>
      <c r="Z225" s="138" t="str">
        <f t="shared" si="28"/>
        <v/>
      </c>
    </row>
    <row r="226" spans="1:26" s="144" customFormat="1" ht="102" customHeight="1">
      <c r="A226" s="14">
        <f t="shared" si="26"/>
        <v>104</v>
      </c>
      <c r="B226" s="235" t="s">
        <v>910</v>
      </c>
      <c r="C226" s="244" t="s">
        <v>910</v>
      </c>
      <c r="D226" s="510" t="s">
        <v>911</v>
      </c>
      <c r="E226" s="20">
        <f t="shared" si="29"/>
        <v>262</v>
      </c>
      <c r="F226" s="510" t="s">
        <v>912</v>
      </c>
      <c r="G226" s="20">
        <f t="shared" si="30"/>
        <v>279</v>
      </c>
      <c r="H226" s="36" t="s">
        <v>128</v>
      </c>
      <c r="I226" s="20" t="s">
        <v>24</v>
      </c>
      <c r="J226" s="20" t="s">
        <v>24</v>
      </c>
      <c r="K226" s="20" t="s">
        <v>27</v>
      </c>
      <c r="L226" s="31" t="s">
        <v>913</v>
      </c>
      <c r="M226" s="78" t="s">
        <v>24</v>
      </c>
      <c r="N226" s="31" t="s">
        <v>914</v>
      </c>
      <c r="O226" s="31"/>
      <c r="P226" s="124"/>
      <c r="Q226" s="276">
        <v>1</v>
      </c>
      <c r="R226" s="138"/>
      <c r="T226" s="146" t="s">
        <v>23</v>
      </c>
      <c r="U226" s="145"/>
      <c r="X226" s="275">
        <v>13.37862586975098</v>
      </c>
      <c r="Y226" s="275">
        <f t="shared" si="27"/>
        <v>13.37862586975098</v>
      </c>
      <c r="Z226" s="138" t="str">
        <f t="shared" si="28"/>
        <v/>
      </c>
    </row>
    <row r="227" spans="1:26" s="144" customFormat="1" ht="102" customHeight="1">
      <c r="A227" s="14"/>
      <c r="B227" s="235" t="s">
        <v>915</v>
      </c>
      <c r="C227" s="244" t="s">
        <v>915</v>
      </c>
      <c r="D227" s="510" t="s">
        <v>916</v>
      </c>
      <c r="E227" s="20">
        <f t="shared" si="29"/>
        <v>257</v>
      </c>
      <c r="F227" s="510" t="s">
        <v>917</v>
      </c>
      <c r="G227" s="20">
        <f t="shared" si="30"/>
        <v>325</v>
      </c>
      <c r="H227" s="36" t="s">
        <v>128</v>
      </c>
      <c r="I227" s="20" t="s">
        <v>24</v>
      </c>
      <c r="J227" s="20" t="s">
        <v>24</v>
      </c>
      <c r="K227" s="20" t="s">
        <v>27</v>
      </c>
      <c r="L227" s="31" t="s">
        <v>918</v>
      </c>
      <c r="M227" s="78" t="s">
        <v>24</v>
      </c>
      <c r="N227" s="31" t="s">
        <v>919</v>
      </c>
      <c r="O227" s="31"/>
      <c r="P227" s="124"/>
      <c r="Q227" s="276">
        <v>1</v>
      </c>
      <c r="R227" s="138"/>
      <c r="T227" s="146" t="s">
        <v>23</v>
      </c>
      <c r="U227" s="145"/>
      <c r="X227" s="275">
        <v>12.756523132324221</v>
      </c>
      <c r="Y227" s="275">
        <f t="shared" si="27"/>
        <v>12.756523132324221</v>
      </c>
      <c r="Z227" s="138" t="str">
        <f t="shared" si="28"/>
        <v/>
      </c>
    </row>
    <row r="228" spans="1:26" s="144" customFormat="1" ht="85" customHeight="1">
      <c r="A228" s="14">
        <f>A226+1</f>
        <v>105</v>
      </c>
      <c r="B228" s="235" t="s">
        <v>920</v>
      </c>
      <c r="C228" s="244" t="s">
        <v>920</v>
      </c>
      <c r="D228" s="510" t="s">
        <v>921</v>
      </c>
      <c r="E228" s="20">
        <f t="shared" si="29"/>
        <v>204</v>
      </c>
      <c r="F228" s="510" t="s">
        <v>922</v>
      </c>
      <c r="G228" s="20">
        <f t="shared" si="30"/>
        <v>164</v>
      </c>
      <c r="H228" s="36" t="s">
        <v>37</v>
      </c>
      <c r="I228" s="20" t="s">
        <v>24</v>
      </c>
      <c r="J228" s="20" t="s">
        <v>24</v>
      </c>
      <c r="K228" s="20" t="s">
        <v>38</v>
      </c>
      <c r="L228" s="31" t="s">
        <v>923</v>
      </c>
      <c r="M228" s="78" t="s">
        <v>24</v>
      </c>
      <c r="N228" s="31" t="s">
        <v>924</v>
      </c>
      <c r="O228" s="31"/>
      <c r="P228" s="124"/>
      <c r="Q228" s="276">
        <v>1</v>
      </c>
      <c r="R228" s="138"/>
      <c r="T228" s="146" t="s">
        <v>23</v>
      </c>
      <c r="U228" s="145"/>
      <c r="X228" s="275">
        <v>5.8349170684814453</v>
      </c>
      <c r="Y228" s="275">
        <f t="shared" si="27"/>
        <v>5.8349170684814453</v>
      </c>
      <c r="Z228" s="138" t="str">
        <f t="shared" si="28"/>
        <v/>
      </c>
    </row>
    <row r="229" spans="1:26" s="144" customFormat="1" ht="68" customHeight="1">
      <c r="A229" s="14">
        <f>A228+1</f>
        <v>106</v>
      </c>
      <c r="B229" s="235" t="s">
        <v>925</v>
      </c>
      <c r="C229" s="244" t="s">
        <v>925</v>
      </c>
      <c r="D229" s="510" t="s">
        <v>926</v>
      </c>
      <c r="E229" s="20">
        <f t="shared" si="29"/>
        <v>169</v>
      </c>
      <c r="F229" s="510" t="s">
        <v>927</v>
      </c>
      <c r="G229" s="20">
        <f t="shared" si="30"/>
        <v>162</v>
      </c>
      <c r="H229" s="113" t="s">
        <v>128</v>
      </c>
      <c r="I229" s="20" t="s">
        <v>24</v>
      </c>
      <c r="J229" s="20" t="s">
        <v>24</v>
      </c>
      <c r="K229" s="20" t="s">
        <v>27</v>
      </c>
      <c r="L229" s="31" t="s">
        <v>928</v>
      </c>
      <c r="M229" s="78" t="s">
        <v>24</v>
      </c>
      <c r="N229" s="31" t="s">
        <v>929</v>
      </c>
      <c r="O229" s="31"/>
      <c r="P229" s="124"/>
      <c r="Q229" s="276">
        <v>1</v>
      </c>
      <c r="R229" s="138"/>
      <c r="T229" s="146" t="s">
        <v>23</v>
      </c>
      <c r="U229" s="145"/>
      <c r="X229" s="275">
        <v>28.608445494708722</v>
      </c>
      <c r="Y229" s="275">
        <f t="shared" si="27"/>
        <v>28.608445494708722</v>
      </c>
      <c r="Z229" s="138" t="str">
        <f t="shared" si="28"/>
        <v/>
      </c>
    </row>
    <row r="230" spans="1:26" s="144" customFormat="1" ht="68" customHeight="1">
      <c r="A230" s="14">
        <f>A229+1</f>
        <v>107</v>
      </c>
      <c r="B230" s="235" t="s">
        <v>930</v>
      </c>
      <c r="C230" s="244" t="s">
        <v>930</v>
      </c>
      <c r="D230" s="510" t="s">
        <v>931</v>
      </c>
      <c r="E230" s="20">
        <f t="shared" si="29"/>
        <v>192</v>
      </c>
      <c r="F230" s="510" t="s">
        <v>932</v>
      </c>
      <c r="G230" s="20">
        <f t="shared" si="30"/>
        <v>191</v>
      </c>
      <c r="H230" s="113" t="s">
        <v>128</v>
      </c>
      <c r="I230" s="20" t="s">
        <v>24</v>
      </c>
      <c r="J230" s="20" t="s">
        <v>24</v>
      </c>
      <c r="K230" s="20" t="s">
        <v>27</v>
      </c>
      <c r="L230" s="31" t="s">
        <v>933</v>
      </c>
      <c r="M230" s="78" t="s">
        <v>24</v>
      </c>
      <c r="N230" s="31" t="s">
        <v>934</v>
      </c>
      <c r="O230" s="31"/>
      <c r="P230" s="124"/>
      <c r="Q230" s="276">
        <v>1</v>
      </c>
      <c r="R230" s="138"/>
      <c r="T230" s="146" t="s">
        <v>23</v>
      </c>
      <c r="U230" s="145"/>
      <c r="X230" s="275">
        <v>14.61820602416992</v>
      </c>
      <c r="Y230" s="275">
        <f t="shared" si="27"/>
        <v>14.61820602416992</v>
      </c>
      <c r="Z230" s="138" t="str">
        <f t="shared" si="28"/>
        <v/>
      </c>
    </row>
    <row r="231" spans="1:26" s="144" customFormat="1" ht="68" customHeight="1">
      <c r="A231" s="14">
        <f>A230+1</f>
        <v>108</v>
      </c>
      <c r="B231" s="237" t="s">
        <v>935</v>
      </c>
      <c r="C231" s="238" t="s">
        <v>935</v>
      </c>
      <c r="D231" s="510" t="s">
        <v>936</v>
      </c>
      <c r="E231" s="20">
        <f t="shared" si="29"/>
        <v>178</v>
      </c>
      <c r="F231" s="510" t="s">
        <v>937</v>
      </c>
      <c r="G231" s="20">
        <f t="shared" si="30"/>
        <v>178</v>
      </c>
      <c r="H231" s="113" t="s">
        <v>128</v>
      </c>
      <c r="I231" s="20" t="s">
        <v>24</v>
      </c>
      <c r="J231" s="20" t="s">
        <v>24</v>
      </c>
      <c r="K231" s="20" t="s">
        <v>27</v>
      </c>
      <c r="L231" s="31" t="s">
        <v>938</v>
      </c>
      <c r="M231" s="78" t="s">
        <v>24</v>
      </c>
      <c r="N231" s="31" t="s">
        <v>939</v>
      </c>
      <c r="O231" s="31"/>
      <c r="P231" s="124"/>
      <c r="Q231" s="276">
        <v>1</v>
      </c>
      <c r="R231" s="138"/>
      <c r="T231" s="146" t="s">
        <v>23</v>
      </c>
      <c r="U231" s="145"/>
      <c r="X231" s="275">
        <v>13.777663230896</v>
      </c>
      <c r="Y231" s="275">
        <f t="shared" si="27"/>
        <v>13.777663230896</v>
      </c>
      <c r="Z231" s="138" t="str">
        <f t="shared" si="28"/>
        <v/>
      </c>
    </row>
    <row r="232" spans="1:26" s="144" customFormat="1" ht="68" customHeight="1">
      <c r="A232" s="14">
        <f>A231+1</f>
        <v>109</v>
      </c>
      <c r="B232" s="235" t="s">
        <v>940</v>
      </c>
      <c r="C232" s="244" t="s">
        <v>940</v>
      </c>
      <c r="D232" s="510" t="s">
        <v>941</v>
      </c>
      <c r="E232" s="20">
        <f t="shared" si="29"/>
        <v>169</v>
      </c>
      <c r="F232" s="510" t="s">
        <v>942</v>
      </c>
      <c r="G232" s="20">
        <f t="shared" si="30"/>
        <v>166</v>
      </c>
      <c r="H232" s="113" t="s">
        <v>128</v>
      </c>
      <c r="I232" s="20" t="s">
        <v>24</v>
      </c>
      <c r="J232" s="20" t="s">
        <v>24</v>
      </c>
      <c r="K232" s="20" t="s">
        <v>27</v>
      </c>
      <c r="L232" s="31" t="s">
        <v>943</v>
      </c>
      <c r="M232" s="78" t="s">
        <v>24</v>
      </c>
      <c r="N232" s="31" t="s">
        <v>944</v>
      </c>
      <c r="O232" s="31"/>
      <c r="P232" s="125"/>
      <c r="Q232" s="276">
        <v>1</v>
      </c>
      <c r="R232" s="138"/>
      <c r="T232" s="146" t="s">
        <v>23</v>
      </c>
      <c r="U232" s="145"/>
      <c r="X232" s="275">
        <v>12.39977359771729</v>
      </c>
      <c r="Y232" s="275">
        <f t="shared" si="27"/>
        <v>12.39977359771729</v>
      </c>
      <c r="Z232" s="138" t="str">
        <f t="shared" si="28"/>
        <v/>
      </c>
    </row>
    <row r="233" spans="1:26" s="144" customFormat="1" ht="69" customHeight="1" thickBot="1">
      <c r="A233" s="14">
        <f>A232+1</f>
        <v>110</v>
      </c>
      <c r="B233" s="235" t="s">
        <v>945</v>
      </c>
      <c r="C233" s="244" t="s">
        <v>945</v>
      </c>
      <c r="D233" s="41" t="s">
        <v>946</v>
      </c>
      <c r="E233" s="20">
        <f t="shared" si="29"/>
        <v>190</v>
      </c>
      <c r="F233" s="483" t="s">
        <v>947</v>
      </c>
      <c r="G233" s="20">
        <f t="shared" si="30"/>
        <v>200</v>
      </c>
      <c r="H233" s="113" t="s">
        <v>128</v>
      </c>
      <c r="I233" s="24" t="s">
        <v>24</v>
      </c>
      <c r="J233" s="24" t="s">
        <v>24</v>
      </c>
      <c r="K233" s="20" t="s">
        <v>27</v>
      </c>
      <c r="L233" s="29" t="s">
        <v>948</v>
      </c>
      <c r="M233" s="78" t="s">
        <v>24</v>
      </c>
      <c r="N233" s="29" t="s">
        <v>949</v>
      </c>
      <c r="O233" s="29"/>
      <c r="P233" s="125"/>
      <c r="Q233" s="276">
        <v>1</v>
      </c>
      <c r="R233" s="138"/>
      <c r="T233" s="146" t="s">
        <v>23</v>
      </c>
      <c r="U233" s="145"/>
      <c r="X233" s="275">
        <v>13.343881607055661</v>
      </c>
      <c r="Y233" s="275">
        <f t="shared" si="27"/>
        <v>13.343881607055661</v>
      </c>
      <c r="Z233" s="138" t="str">
        <f t="shared" si="28"/>
        <v/>
      </c>
    </row>
    <row r="234" spans="1:26" s="428" customFormat="1" ht="17" customHeight="1" thickBot="1">
      <c r="A234" s="663" t="s">
        <v>950</v>
      </c>
      <c r="B234" s="664"/>
      <c r="C234" s="664"/>
      <c r="D234" s="664"/>
      <c r="E234" s="664"/>
      <c r="F234" s="664"/>
      <c r="G234" s="664"/>
      <c r="H234" s="664"/>
      <c r="I234" s="664"/>
      <c r="J234" s="664"/>
      <c r="K234" s="664"/>
      <c r="L234" s="664"/>
      <c r="M234" s="664"/>
      <c r="N234" s="664"/>
      <c r="O234" s="664"/>
      <c r="P234" s="665"/>
      <c r="Q234" s="271"/>
      <c r="R234" s="439"/>
      <c r="T234" s="437"/>
      <c r="U234" s="440"/>
      <c r="X234" s="274"/>
      <c r="Y234" s="274" t="str">
        <f t="shared" si="27"/>
        <v/>
      </c>
      <c r="Z234" s="439" t="str">
        <f t="shared" si="28"/>
        <v/>
      </c>
    </row>
    <row r="235" spans="1:26" s="232" customFormat="1" ht="255" customHeight="1">
      <c r="A235" s="343">
        <f>A233+1</f>
        <v>111</v>
      </c>
      <c r="B235" s="234" t="s">
        <v>951</v>
      </c>
      <c r="C235" s="143" t="s">
        <v>951</v>
      </c>
      <c r="D235" s="142" t="s">
        <v>952</v>
      </c>
      <c r="E235" s="141">
        <f>LEN(D235)</f>
        <v>222</v>
      </c>
      <c r="F235" s="471" t="s">
        <v>953</v>
      </c>
      <c r="G235" s="141">
        <f>LEN(F235)</f>
        <v>241</v>
      </c>
      <c r="H235" s="151" t="s">
        <v>37</v>
      </c>
      <c r="I235" s="141" t="s">
        <v>24</v>
      </c>
      <c r="J235" s="149" t="s">
        <v>954</v>
      </c>
      <c r="K235" s="149" t="s">
        <v>38</v>
      </c>
      <c r="L235" s="140" t="s">
        <v>955</v>
      </c>
      <c r="M235" s="219" t="s">
        <v>24</v>
      </c>
      <c r="N235" s="140" t="s">
        <v>956</v>
      </c>
      <c r="O235" s="84"/>
      <c r="P235" s="9"/>
      <c r="Q235" s="271">
        <v>1</v>
      </c>
      <c r="R235" s="139"/>
      <c r="T235" s="441" t="s">
        <v>33</v>
      </c>
      <c r="U235" s="226"/>
      <c r="X235" s="278">
        <v>14.47277355194092</v>
      </c>
      <c r="Y235" s="274">
        <f t="shared" si="27"/>
        <v>14.47277355194092</v>
      </c>
      <c r="Z235" s="138">
        <f t="shared" si="28"/>
        <v>14.47277355194092</v>
      </c>
    </row>
    <row r="236" spans="1:26" s="144" customFormat="1" ht="409.5" customHeight="1">
      <c r="A236" s="46">
        <f>A235+1</f>
        <v>112</v>
      </c>
      <c r="B236" s="234" t="s">
        <v>957</v>
      </c>
      <c r="C236" s="423" t="s">
        <v>958</v>
      </c>
      <c r="D236" s="409" t="s">
        <v>959</v>
      </c>
      <c r="E236" s="149">
        <f>LEN(D236)</f>
        <v>1207</v>
      </c>
      <c r="F236" s="471" t="s">
        <v>960</v>
      </c>
      <c r="G236" s="149">
        <f>LEN(F236)</f>
        <v>1246</v>
      </c>
      <c r="H236" s="150" t="s">
        <v>424</v>
      </c>
      <c r="I236" s="149" t="s">
        <v>24</v>
      </c>
      <c r="J236" s="149" t="s">
        <v>24</v>
      </c>
      <c r="K236" s="149" t="s">
        <v>961</v>
      </c>
      <c r="L236" s="148" t="s">
        <v>962</v>
      </c>
      <c r="M236" s="219" t="s">
        <v>963</v>
      </c>
      <c r="N236" s="147" t="s">
        <v>964</v>
      </c>
      <c r="O236" s="172"/>
      <c r="P236" s="10"/>
      <c r="Q236" s="271">
        <v>1</v>
      </c>
      <c r="R236" s="138"/>
      <c r="T236" s="437" t="s">
        <v>33</v>
      </c>
      <c r="U236" s="145"/>
      <c r="X236" s="274">
        <v>33.740764617919922</v>
      </c>
      <c r="Y236" s="274">
        <f t="shared" si="27"/>
        <v>33.740764617919922</v>
      </c>
      <c r="Z236" s="138">
        <f t="shared" si="28"/>
        <v>33.740764617919922</v>
      </c>
    </row>
    <row r="237" spans="1:26" s="144" customFormat="1">
      <c r="A237" s="110"/>
      <c r="B237" s="262"/>
      <c r="C237" s="97"/>
      <c r="D237" s="118"/>
      <c r="E237" s="100"/>
      <c r="F237" s="48"/>
      <c r="G237" s="100"/>
      <c r="H237" s="111"/>
      <c r="I237" s="100"/>
      <c r="J237" s="100"/>
      <c r="K237" s="100"/>
      <c r="L237" s="92"/>
      <c r="M237" s="77"/>
      <c r="N237" s="261"/>
      <c r="O237" s="261"/>
      <c r="P237" s="10"/>
      <c r="Q237" s="276">
        <v>1</v>
      </c>
      <c r="R237" s="138"/>
      <c r="T237" s="146"/>
      <c r="U237" s="145"/>
      <c r="X237" s="275"/>
      <c r="Y237" s="275" t="str">
        <f t="shared" si="27"/>
        <v/>
      </c>
      <c r="Z237" s="138" t="str">
        <f t="shared" si="28"/>
        <v/>
      </c>
    </row>
    <row r="238" spans="1:26" s="144" customFormat="1" ht="289" customHeight="1">
      <c r="A238" s="358">
        <f>A236+1</f>
        <v>113</v>
      </c>
      <c r="B238" s="183" t="s">
        <v>965</v>
      </c>
      <c r="C238" s="150" t="s">
        <v>966</v>
      </c>
      <c r="D238" s="409" t="s">
        <v>967</v>
      </c>
      <c r="E238" s="132">
        <f>LEN(D238)</f>
        <v>497</v>
      </c>
      <c r="F238" s="471" t="s">
        <v>968</v>
      </c>
      <c r="G238" s="132">
        <f>LEN(F238)</f>
        <v>482</v>
      </c>
      <c r="H238" s="424" t="s">
        <v>424</v>
      </c>
      <c r="I238" s="132" t="s">
        <v>24</v>
      </c>
      <c r="J238" s="132" t="s">
        <v>24</v>
      </c>
      <c r="K238" s="132" t="s">
        <v>969</v>
      </c>
      <c r="L238" s="405" t="s">
        <v>970</v>
      </c>
      <c r="M238" s="219" t="s">
        <v>971</v>
      </c>
      <c r="N238" s="405" t="s">
        <v>972</v>
      </c>
      <c r="O238" s="92"/>
      <c r="P238" s="10"/>
      <c r="Q238" s="276">
        <v>1</v>
      </c>
      <c r="R238" s="138"/>
      <c r="T238" s="437" t="s">
        <v>33</v>
      </c>
      <c r="U238" s="145"/>
      <c r="X238" s="274">
        <v>14.55059909820557</v>
      </c>
      <c r="Y238" s="274">
        <f t="shared" si="27"/>
        <v>14.55059909820557</v>
      </c>
      <c r="Z238" s="138">
        <f t="shared" si="28"/>
        <v>14.55059909820557</v>
      </c>
    </row>
    <row r="239" spans="1:26" s="144" customFormat="1" ht="255" customHeight="1">
      <c r="A239" s="358">
        <f>A238+1</f>
        <v>114</v>
      </c>
      <c r="B239" s="425" t="s">
        <v>973</v>
      </c>
      <c r="C239" s="426" t="s">
        <v>973</v>
      </c>
      <c r="D239" s="409" t="s">
        <v>974</v>
      </c>
      <c r="E239" s="132">
        <f>LEN(D239)</f>
        <v>460</v>
      </c>
      <c r="F239" s="488" t="s">
        <v>975</v>
      </c>
      <c r="G239" s="132">
        <f>LEN(F239)</f>
        <v>383</v>
      </c>
      <c r="H239" s="424" t="s">
        <v>37</v>
      </c>
      <c r="I239" s="132" t="s">
        <v>24</v>
      </c>
      <c r="J239" s="427" t="s">
        <v>24</v>
      </c>
      <c r="K239" s="132" t="s">
        <v>38</v>
      </c>
      <c r="L239" s="405" t="s">
        <v>976</v>
      </c>
      <c r="M239" s="219" t="s">
        <v>24</v>
      </c>
      <c r="N239" s="148" t="s">
        <v>977</v>
      </c>
      <c r="O239" s="659" t="s">
        <v>978</v>
      </c>
      <c r="P239" s="10"/>
      <c r="Q239" s="276">
        <v>1</v>
      </c>
      <c r="R239" s="138"/>
      <c r="T239" s="437" t="s">
        <v>33</v>
      </c>
      <c r="U239" s="145"/>
      <c r="X239" s="274">
        <v>10.812456130981451</v>
      </c>
      <c r="Y239" s="274">
        <f t="shared" si="27"/>
        <v>10.812456130981451</v>
      </c>
      <c r="Z239" s="138">
        <f t="shared" si="28"/>
        <v>10.812456130981451</v>
      </c>
    </row>
    <row r="240" spans="1:26" s="144" customFormat="1">
      <c r="A240" s="110"/>
      <c r="B240" s="262"/>
      <c r="C240" s="97"/>
      <c r="D240" s="118"/>
      <c r="E240" s="100"/>
      <c r="F240" s="100"/>
      <c r="G240" s="100"/>
      <c r="H240" s="111"/>
      <c r="I240" s="100"/>
      <c r="J240" s="100"/>
      <c r="K240" s="100"/>
      <c r="L240" s="92"/>
      <c r="M240" s="77"/>
      <c r="N240" s="261"/>
      <c r="O240" s="360"/>
      <c r="P240" s="51"/>
      <c r="Q240" s="276">
        <v>1</v>
      </c>
      <c r="R240" s="138"/>
      <c r="T240" s="146"/>
      <c r="U240" s="145"/>
      <c r="X240" s="275"/>
      <c r="Y240" s="275" t="str">
        <f t="shared" si="27"/>
        <v/>
      </c>
      <c r="Z240" s="138" t="str">
        <f t="shared" si="28"/>
        <v/>
      </c>
    </row>
    <row r="241" spans="1:26" s="144" customFormat="1" ht="187" customHeight="1">
      <c r="A241" s="40"/>
      <c r="B241" s="53" t="s">
        <v>979</v>
      </c>
      <c r="C241" s="429" t="s">
        <v>980</v>
      </c>
      <c r="D241" s="386" t="s">
        <v>981</v>
      </c>
      <c r="E241" s="23">
        <f>LEN(D241)</f>
        <v>188</v>
      </c>
      <c r="F241" s="487" t="s">
        <v>982</v>
      </c>
      <c r="G241" s="23">
        <f>LEN(F241)</f>
        <v>247</v>
      </c>
      <c r="H241" s="389" t="s">
        <v>247</v>
      </c>
      <c r="I241" s="23" t="s">
        <v>24</v>
      </c>
      <c r="J241" s="430" t="s">
        <v>24</v>
      </c>
      <c r="K241" s="23" t="s">
        <v>983</v>
      </c>
      <c r="L241" s="42" t="s">
        <v>984</v>
      </c>
      <c r="M241" s="78" t="s">
        <v>985</v>
      </c>
      <c r="N241" s="31" t="s">
        <v>986</v>
      </c>
      <c r="O241" s="361"/>
      <c r="P241" s="69"/>
      <c r="Q241" s="276">
        <v>1</v>
      </c>
      <c r="R241" s="138"/>
      <c r="T241" s="146" t="s">
        <v>23</v>
      </c>
      <c r="U241" s="145"/>
      <c r="X241" s="275">
        <v>10.812456130981451</v>
      </c>
      <c r="Y241" s="275">
        <f t="shared" si="27"/>
        <v>10.812456130981451</v>
      </c>
      <c r="Z241" s="138" t="str">
        <f t="shared" si="28"/>
        <v/>
      </c>
    </row>
    <row r="242" spans="1:26" s="144" customFormat="1" ht="17" customHeight="1" thickBot="1">
      <c r="A242" s="110"/>
      <c r="B242" s="262"/>
      <c r="C242" s="97"/>
      <c r="D242" s="118"/>
      <c r="E242" s="100"/>
      <c r="F242" s="100"/>
      <c r="G242" s="100"/>
      <c r="H242" s="111"/>
      <c r="I242" s="100"/>
      <c r="J242" s="100"/>
      <c r="K242" s="100"/>
      <c r="L242" s="92"/>
      <c r="M242" s="77"/>
      <c r="N242" s="261"/>
      <c r="O242" s="261"/>
      <c r="P242" s="10"/>
      <c r="Q242" s="276">
        <v>1</v>
      </c>
      <c r="R242" s="138"/>
      <c r="T242" s="146"/>
      <c r="U242" s="145"/>
      <c r="X242" s="275"/>
      <c r="Y242" s="275" t="str">
        <f t="shared" si="27"/>
        <v/>
      </c>
      <c r="Z242" s="138" t="str">
        <f t="shared" si="28"/>
        <v/>
      </c>
    </row>
    <row r="243" spans="1:26" s="428" customFormat="1" ht="17" customHeight="1" thickBot="1">
      <c r="A243" s="663" t="s">
        <v>987</v>
      </c>
      <c r="B243" s="664"/>
      <c r="C243" s="664"/>
      <c r="D243" s="664"/>
      <c r="E243" s="664"/>
      <c r="F243" s="664"/>
      <c r="G243" s="664"/>
      <c r="H243" s="664"/>
      <c r="I243" s="664"/>
      <c r="J243" s="664"/>
      <c r="K243" s="664"/>
      <c r="L243" s="664"/>
      <c r="M243" s="664"/>
      <c r="N243" s="664"/>
      <c r="O243" s="664"/>
      <c r="P243" s="665"/>
      <c r="Q243" s="271"/>
      <c r="R243" s="439"/>
      <c r="T243" s="437"/>
      <c r="U243" s="440"/>
      <c r="X243" s="274"/>
      <c r="Y243" s="274" t="str">
        <f t="shared" si="27"/>
        <v/>
      </c>
      <c r="Z243" s="439" t="str">
        <f t="shared" si="28"/>
        <v/>
      </c>
    </row>
    <row r="244" spans="1:26" s="144" customFormat="1" ht="119" customHeight="1">
      <c r="A244" s="96" t="s">
        <v>24</v>
      </c>
      <c r="B244" s="234" t="s">
        <v>988</v>
      </c>
      <c r="C244" s="143" t="s">
        <v>988</v>
      </c>
      <c r="D244" s="142" t="s">
        <v>989</v>
      </c>
      <c r="E244" s="141">
        <f t="shared" ref="E244:E250" si="31">LEN(D244)</f>
        <v>162</v>
      </c>
      <c r="F244" s="484" t="s">
        <v>990</v>
      </c>
      <c r="G244" s="141">
        <f t="shared" ref="G244:G250" si="32">LEN(F244)</f>
        <v>145</v>
      </c>
      <c r="H244" s="141" t="s">
        <v>37</v>
      </c>
      <c r="I244" s="141" t="s">
        <v>24</v>
      </c>
      <c r="J244" s="141" t="s">
        <v>24</v>
      </c>
      <c r="K244" s="141" t="s">
        <v>38</v>
      </c>
      <c r="L244" s="140" t="s">
        <v>991</v>
      </c>
      <c r="M244" s="219" t="s">
        <v>24</v>
      </c>
      <c r="N244" s="140" t="s">
        <v>992</v>
      </c>
      <c r="O244" s="84"/>
      <c r="P244" s="9"/>
      <c r="Q244" s="271">
        <v>1</v>
      </c>
      <c r="R244" s="138"/>
      <c r="T244" s="437" t="s">
        <v>33</v>
      </c>
      <c r="U244" s="145"/>
      <c r="X244" s="274">
        <v>14.946464538574221</v>
      </c>
      <c r="Y244" s="274">
        <f t="shared" si="27"/>
        <v>14.946464538574221</v>
      </c>
      <c r="Z244" s="138">
        <f t="shared" si="28"/>
        <v>14.946464538574221</v>
      </c>
    </row>
    <row r="245" spans="1:26" s="289" customFormat="1" ht="137.25" customHeight="1">
      <c r="A245" s="282"/>
      <c r="B245" s="431" t="s">
        <v>993</v>
      </c>
      <c r="C245" s="432" t="s">
        <v>993</v>
      </c>
      <c r="D245" s="433" t="s">
        <v>994</v>
      </c>
      <c r="E245" s="434">
        <f t="shared" si="31"/>
        <v>144</v>
      </c>
      <c r="F245" s="485" t="s">
        <v>995</v>
      </c>
      <c r="G245" s="434">
        <f t="shared" si="32"/>
        <v>132</v>
      </c>
      <c r="H245" s="434" t="s">
        <v>37</v>
      </c>
      <c r="I245" s="434" t="s">
        <v>24</v>
      </c>
      <c r="J245" s="434" t="s">
        <v>24</v>
      </c>
      <c r="K245" s="434" t="s">
        <v>38</v>
      </c>
      <c r="L245" s="283" t="s">
        <v>996</v>
      </c>
      <c r="M245" s="78" t="s">
        <v>24</v>
      </c>
      <c r="N245" s="283" t="s">
        <v>997</v>
      </c>
      <c r="O245" s="283"/>
      <c r="P245" s="284"/>
      <c r="Q245" s="342">
        <v>1</v>
      </c>
      <c r="R245" s="288"/>
      <c r="T245" s="290" t="s">
        <v>998</v>
      </c>
      <c r="U245" s="291"/>
      <c r="X245" s="285">
        <v>16.684934616088871</v>
      </c>
      <c r="Y245" s="275">
        <f t="shared" si="27"/>
        <v>16.684934616088871</v>
      </c>
      <c r="Z245" s="138" t="str">
        <f t="shared" si="28"/>
        <v/>
      </c>
    </row>
    <row r="246" spans="1:26" s="294" customFormat="1" ht="187" customHeight="1">
      <c r="A246" s="292"/>
      <c r="B246" s="431" t="s">
        <v>999</v>
      </c>
      <c r="C246" s="432" t="s">
        <v>999</v>
      </c>
      <c r="D246" s="433" t="s">
        <v>1000</v>
      </c>
      <c r="E246" s="434">
        <f t="shared" si="31"/>
        <v>235</v>
      </c>
      <c r="F246" s="485" t="s">
        <v>1001</v>
      </c>
      <c r="G246" s="434">
        <f t="shared" si="32"/>
        <v>189</v>
      </c>
      <c r="H246" s="434" t="s">
        <v>89</v>
      </c>
      <c r="I246" s="434" t="s">
        <v>24</v>
      </c>
      <c r="J246" s="434" t="s">
        <v>24</v>
      </c>
      <c r="K246" s="434" t="s">
        <v>90</v>
      </c>
      <c r="L246" s="283" t="s">
        <v>1002</v>
      </c>
      <c r="M246" s="78" t="s">
        <v>24</v>
      </c>
      <c r="N246" s="283" t="s">
        <v>1003</v>
      </c>
      <c r="O246" s="283"/>
      <c r="P246" s="284"/>
      <c r="Q246" s="342">
        <v>1</v>
      </c>
      <c r="R246" s="293"/>
      <c r="T246" s="290" t="s">
        <v>998</v>
      </c>
      <c r="U246" s="295"/>
      <c r="X246" s="285">
        <v>15.116804122924799</v>
      </c>
      <c r="Y246" s="275">
        <f t="shared" ref="Y246:Y277" si="33">IF(X246="","",X246*Q246)</f>
        <v>15.116804122924799</v>
      </c>
      <c r="Z246" s="138" t="str">
        <f t="shared" ref="Z246:Z277" si="34">IF(T246="yes",Y246,"")</f>
        <v/>
      </c>
    </row>
    <row r="247" spans="1:26" s="294" customFormat="1" ht="51" customHeight="1">
      <c r="A247" s="292"/>
      <c r="B247" s="431" t="s">
        <v>1004</v>
      </c>
      <c r="C247" s="432" t="s">
        <v>1004</v>
      </c>
      <c r="D247" s="435" t="s">
        <v>1005</v>
      </c>
      <c r="E247" s="434">
        <f t="shared" si="31"/>
        <v>71</v>
      </c>
      <c r="F247" s="485" t="s">
        <v>1006</v>
      </c>
      <c r="G247" s="434">
        <f t="shared" si="32"/>
        <v>72</v>
      </c>
      <c r="H247" s="434" t="s">
        <v>26</v>
      </c>
      <c r="I247" s="436" t="s">
        <v>24</v>
      </c>
      <c r="J247" s="436" t="s">
        <v>24</v>
      </c>
      <c r="K247" s="436" t="s">
        <v>90</v>
      </c>
      <c r="L247" s="283" t="s">
        <v>1007</v>
      </c>
      <c r="M247" s="78" t="s">
        <v>24</v>
      </c>
      <c r="N247" s="283" t="s">
        <v>1008</v>
      </c>
      <c r="O247" s="283"/>
      <c r="P247" s="284"/>
      <c r="Q247" s="342">
        <v>1</v>
      </c>
      <c r="R247" s="293"/>
      <c r="T247" s="290" t="s">
        <v>998</v>
      </c>
      <c r="U247" s="295"/>
      <c r="X247" s="285">
        <v>25.539003372192379</v>
      </c>
      <c r="Y247" s="275">
        <f t="shared" si="33"/>
        <v>25.539003372192379</v>
      </c>
      <c r="Z247" s="138" t="str">
        <f t="shared" si="34"/>
        <v/>
      </c>
    </row>
    <row r="248" spans="1:26" s="294" customFormat="1" ht="51" customHeight="1">
      <c r="A248" s="292"/>
      <c r="B248" s="431" t="s">
        <v>1009</v>
      </c>
      <c r="C248" s="432" t="s">
        <v>1009</v>
      </c>
      <c r="D248" s="435" t="s">
        <v>1010</v>
      </c>
      <c r="E248" s="434">
        <f t="shared" si="31"/>
        <v>92</v>
      </c>
      <c r="F248" s="485" t="s">
        <v>1011</v>
      </c>
      <c r="G248" s="434">
        <f t="shared" si="32"/>
        <v>74</v>
      </c>
      <c r="H248" s="434" t="s">
        <v>26</v>
      </c>
      <c r="I248" s="434" t="s">
        <v>24</v>
      </c>
      <c r="J248" s="434" t="s">
        <v>24</v>
      </c>
      <c r="K248" s="436" t="s">
        <v>27</v>
      </c>
      <c r="L248" s="283" t="s">
        <v>1012</v>
      </c>
      <c r="M248" s="78" t="s">
        <v>24</v>
      </c>
      <c r="N248" s="283" t="s">
        <v>1013</v>
      </c>
      <c r="O248" s="283"/>
      <c r="P248" s="284"/>
      <c r="Q248" s="342">
        <v>1</v>
      </c>
      <c r="R248" s="293"/>
      <c r="T248" s="290" t="s">
        <v>998</v>
      </c>
      <c r="U248" s="295"/>
      <c r="X248" s="285">
        <v>13.714834213256839</v>
      </c>
      <c r="Y248" s="275">
        <f t="shared" si="33"/>
        <v>13.714834213256839</v>
      </c>
      <c r="Z248" s="138" t="str">
        <f t="shared" si="34"/>
        <v/>
      </c>
    </row>
    <row r="249" spans="1:26" s="295" customFormat="1" ht="187" customHeight="1">
      <c r="A249" s="341"/>
      <c r="B249" s="296" t="s">
        <v>1014</v>
      </c>
      <c r="C249" s="297" t="s">
        <v>1015</v>
      </c>
      <c r="D249" s="388" t="s">
        <v>1016</v>
      </c>
      <c r="E249" s="299">
        <f t="shared" si="31"/>
        <v>166</v>
      </c>
      <c r="F249" s="485" t="s">
        <v>1017</v>
      </c>
      <c r="G249" s="299">
        <f t="shared" si="32"/>
        <v>178</v>
      </c>
      <c r="H249" s="299" t="s">
        <v>247</v>
      </c>
      <c r="I249" s="299" t="s">
        <v>24</v>
      </c>
      <c r="J249" s="299" t="s">
        <v>24</v>
      </c>
      <c r="K249" s="299" t="s">
        <v>860</v>
      </c>
      <c r="L249" s="300" t="s">
        <v>1018</v>
      </c>
      <c r="M249" s="219" t="s">
        <v>24</v>
      </c>
      <c r="N249" s="301" t="s">
        <v>1019</v>
      </c>
      <c r="O249" s="283"/>
      <c r="P249" s="302"/>
      <c r="Q249" s="286">
        <v>1</v>
      </c>
      <c r="R249" s="293"/>
      <c r="T249" s="438" t="s">
        <v>141</v>
      </c>
      <c r="X249" s="448">
        <v>19.354913711547852</v>
      </c>
      <c r="Y249" s="274">
        <f t="shared" si="33"/>
        <v>19.354913711547852</v>
      </c>
      <c r="Z249" s="138" t="str">
        <f t="shared" si="34"/>
        <v/>
      </c>
    </row>
    <row r="250" spans="1:26" s="295" customFormat="1" ht="120" customHeight="1">
      <c r="A250" s="341"/>
      <c r="B250" s="296" t="s">
        <v>1020</v>
      </c>
      <c r="C250" s="297" t="s">
        <v>1021</v>
      </c>
      <c r="D250" s="298" t="s">
        <v>1022</v>
      </c>
      <c r="E250" s="299">
        <f t="shared" si="31"/>
        <v>130</v>
      </c>
      <c r="F250" s="485" t="s">
        <v>1023</v>
      </c>
      <c r="G250" s="299">
        <f t="shared" si="32"/>
        <v>139</v>
      </c>
      <c r="H250" s="299" t="s">
        <v>247</v>
      </c>
      <c r="I250" s="299" t="s">
        <v>24</v>
      </c>
      <c r="J250" s="299" t="s">
        <v>24</v>
      </c>
      <c r="K250" s="299" t="s">
        <v>860</v>
      </c>
      <c r="L250" s="300" t="s">
        <v>1024</v>
      </c>
      <c r="M250" s="219" t="s">
        <v>24</v>
      </c>
      <c r="N250" s="301" t="s">
        <v>1025</v>
      </c>
      <c r="O250" s="283"/>
      <c r="P250" s="302"/>
      <c r="Q250" s="286">
        <v>1</v>
      </c>
      <c r="R250" s="293"/>
      <c r="T250" s="438" t="s">
        <v>141</v>
      </c>
      <c r="X250" s="448">
        <v>15.88939952850342</v>
      </c>
      <c r="Y250" s="274">
        <f t="shared" si="33"/>
        <v>15.88939952850342</v>
      </c>
      <c r="Z250" s="138" t="str">
        <f t="shared" si="34"/>
        <v/>
      </c>
    </row>
    <row r="251" spans="1:26" s="136" customFormat="1">
      <c r="A251" s="260"/>
      <c r="B251" s="259"/>
      <c r="C251" s="258"/>
      <c r="D251" s="257"/>
      <c r="E251" s="256"/>
      <c r="G251" s="256"/>
      <c r="H251" s="256"/>
      <c r="I251" s="255"/>
      <c r="J251" s="255"/>
      <c r="K251" s="255"/>
      <c r="L251" s="254"/>
      <c r="M251" s="82"/>
      <c r="N251" s="254"/>
      <c r="O251" s="253"/>
      <c r="P251" s="252"/>
      <c r="Q251" s="276">
        <v>1</v>
      </c>
      <c r="R251" s="138"/>
      <c r="T251" s="137"/>
      <c r="X251" s="279"/>
      <c r="Y251" s="275" t="str">
        <f t="shared" si="33"/>
        <v/>
      </c>
      <c r="Z251" s="138" t="str">
        <f t="shared" si="34"/>
        <v/>
      </c>
    </row>
    <row r="252" spans="1:26" s="232" customFormat="1" ht="103" customHeight="1" thickBot="1">
      <c r="A252" s="340" t="s">
        <v>24</v>
      </c>
      <c r="B252" s="233" t="s">
        <v>1026</v>
      </c>
      <c r="C252" s="134" t="s">
        <v>1026</v>
      </c>
      <c r="D252" s="511" t="s">
        <v>1027</v>
      </c>
      <c r="E252" s="133">
        <f>LEN(D252)</f>
        <v>158</v>
      </c>
      <c r="F252" s="512" t="s">
        <v>1028</v>
      </c>
      <c r="G252" s="133">
        <f>LEN(F252)</f>
        <v>132</v>
      </c>
      <c r="H252" s="133" t="s">
        <v>37</v>
      </c>
      <c r="I252" s="133" t="s">
        <v>24</v>
      </c>
      <c r="J252" s="133" t="s">
        <v>24</v>
      </c>
      <c r="K252" s="133" t="s">
        <v>38</v>
      </c>
      <c r="L252" s="154" t="s">
        <v>1029</v>
      </c>
      <c r="M252" s="219" t="s">
        <v>24</v>
      </c>
      <c r="N252" s="251" t="s">
        <v>24</v>
      </c>
      <c r="O252" s="119"/>
      <c r="P252" s="250"/>
      <c r="Q252" s="271">
        <v>1</v>
      </c>
      <c r="R252" s="138"/>
      <c r="T252" s="437" t="s">
        <v>33</v>
      </c>
      <c r="U252" s="145"/>
      <c r="X252" s="274">
        <v>17.309154088391789</v>
      </c>
      <c r="Y252" s="274">
        <f t="shared" si="33"/>
        <v>17.309154088391789</v>
      </c>
      <c r="Z252" s="138">
        <f t="shared" si="34"/>
        <v>17.309154088391789</v>
      </c>
    </row>
    <row r="253" spans="1:26" s="144" customFormat="1" ht="35" customHeight="1" thickBot="1">
      <c r="A253" s="339" t="s">
        <v>24</v>
      </c>
      <c r="B253" s="231" t="s">
        <v>1030</v>
      </c>
      <c r="C253" s="131" t="s">
        <v>1030</v>
      </c>
      <c r="D253" s="130" t="s">
        <v>1031</v>
      </c>
      <c r="E253" s="129">
        <f>LEN(D253)</f>
        <v>141</v>
      </c>
      <c r="F253" s="486" t="s">
        <v>1032</v>
      </c>
      <c r="G253" s="129">
        <f>LEN(F253)</f>
        <v>95</v>
      </c>
      <c r="H253" s="129" t="s">
        <v>24</v>
      </c>
      <c r="I253" s="129" t="s">
        <v>24</v>
      </c>
      <c r="J253" s="129" t="s">
        <v>24</v>
      </c>
      <c r="K253" s="129" t="s">
        <v>24</v>
      </c>
      <c r="L253" s="128" t="s">
        <v>24</v>
      </c>
      <c r="M253" s="128"/>
      <c r="N253" s="127" t="s">
        <v>24</v>
      </c>
      <c r="O253" s="94"/>
      <c r="P253" s="95"/>
      <c r="Q253" s="271">
        <v>1</v>
      </c>
      <c r="R253" s="145"/>
      <c r="T253" s="146" t="s">
        <v>23</v>
      </c>
      <c r="U253" s="145"/>
      <c r="X253" s="280"/>
      <c r="Y253" s="274" t="str">
        <f t="shared" si="33"/>
        <v/>
      </c>
      <c r="Z253" s="138" t="str">
        <f t="shared" si="34"/>
        <v/>
      </c>
    </row>
    <row r="254" spans="1:26">
      <c r="X254" s="338"/>
    </row>
    <row r="255" spans="1:26" ht="17" customHeight="1" thickBot="1"/>
    <row r="256" spans="1:26" ht="18" customHeight="1" thickBot="1">
      <c r="D256" s="230" t="s">
        <v>1033</v>
      </c>
      <c r="E256" s="229"/>
      <c r="F256" s="230"/>
      <c r="G256" s="229"/>
      <c r="H256" s="229"/>
      <c r="I256" s="229"/>
      <c r="J256" s="229"/>
      <c r="K256" s="229"/>
      <c r="L256" s="229"/>
      <c r="M256" s="229"/>
      <c r="N256" s="229"/>
      <c r="O256" s="229"/>
      <c r="P256" s="229"/>
      <c r="Q256" s="332"/>
      <c r="X256" s="333"/>
      <c r="Y256" s="445" t="e">
        <f>(SUM(Y5:Y253))/60</f>
        <v>#REF!</v>
      </c>
      <c r="Z256" s="444" t="e">
        <f>SUM(Z2:Z253)/60</f>
        <v>#REF!</v>
      </c>
    </row>
    <row r="257" spans="4:25" ht="18" hidden="1" customHeight="1" thickBot="1">
      <c r="D257" s="337" t="s">
        <v>1034</v>
      </c>
      <c r="E257" s="336"/>
      <c r="F257" s="337"/>
      <c r="G257" s="336"/>
      <c r="H257" s="336"/>
      <c r="I257" s="336"/>
      <c r="J257" s="336"/>
      <c r="K257" s="336"/>
      <c r="L257" s="336"/>
      <c r="M257" s="336"/>
      <c r="N257" s="336"/>
      <c r="O257" s="336"/>
      <c r="P257" s="336"/>
      <c r="Q257" s="334"/>
      <c r="X257" s="335"/>
      <c r="Y257" s="446" t="e">
        <f>(SUM(Y6:Y163)+SUM(Y184:Y254))/60</f>
        <v>#REF!</v>
      </c>
    </row>
    <row r="258" spans="4:25" ht="18" customHeight="1" thickBot="1">
      <c r="D258" s="230" t="s">
        <v>1035</v>
      </c>
      <c r="E258" s="229"/>
      <c r="F258" s="230"/>
      <c r="G258" s="229"/>
      <c r="H258" s="229"/>
      <c r="I258" s="229"/>
      <c r="J258" s="229"/>
      <c r="K258" s="229"/>
      <c r="L258" s="229"/>
      <c r="M258" s="229"/>
      <c r="N258" s="229"/>
      <c r="O258" s="229"/>
      <c r="P258" s="229"/>
      <c r="Q258" s="332"/>
      <c r="X258" s="333"/>
      <c r="Y258" s="447" t="e">
        <f>(SUM(Y6:Y26)+SUM(Y35:Y163)+SUM(Y183:Y244)+SUM(Y251:Y254))/60</f>
        <v>#REF!</v>
      </c>
    </row>
  </sheetData>
  <sheetProtection algorithmName="SHA-512" hashValue="NBGGFBD1RG8qrZQ1r1WulhlqCc7KmhwGoxuDGYxIyAKQg7z9UX28q6BOZ+uPnfHZBIBAryN3RWC3XOBAWdvDbw==" saltValue="XOnwAnah/aEfEKVVy1V4oQ==" spinCount="100000" sheet="1" formatCells="0" formatRows="0" insertRows="0" deleteRows="0"/>
  <mergeCells count="22">
    <mergeCell ref="P92:P93"/>
    <mergeCell ref="A1:P1"/>
    <mergeCell ref="A2:O2"/>
    <mergeCell ref="P2:P3"/>
    <mergeCell ref="A4:P4"/>
    <mergeCell ref="A21:P21"/>
    <mergeCell ref="N36:N37"/>
    <mergeCell ref="A41:P41"/>
    <mergeCell ref="P48:P51"/>
    <mergeCell ref="A60:P60"/>
    <mergeCell ref="P68:P69"/>
    <mergeCell ref="P80:P81"/>
    <mergeCell ref="A175:P175"/>
    <mergeCell ref="A183:P183"/>
    <mergeCell ref="A234:P234"/>
    <mergeCell ref="A243:P243"/>
    <mergeCell ref="A105:P105"/>
    <mergeCell ref="P123:P126"/>
    <mergeCell ref="A134:P134"/>
    <mergeCell ref="A142:P142"/>
    <mergeCell ref="A156:P156"/>
    <mergeCell ref="A164:P164"/>
  </mergeCells>
  <conditionalFormatting sqref="B14 B16:B19">
    <cfRule type="duplicateValues" dxfId="248" priority="190"/>
  </conditionalFormatting>
  <conditionalFormatting sqref="B15">
    <cfRule type="duplicateValues" dxfId="247" priority="95"/>
    <cfRule type="duplicateValues" dxfId="246" priority="96"/>
  </conditionalFormatting>
  <conditionalFormatting sqref="B20">
    <cfRule type="duplicateValues" dxfId="245" priority="189"/>
  </conditionalFormatting>
  <conditionalFormatting sqref="B28">
    <cfRule type="duplicateValues" dxfId="244" priority="136"/>
  </conditionalFormatting>
  <conditionalFormatting sqref="B34:B35">
    <cfRule type="duplicateValues" dxfId="243" priority="131"/>
  </conditionalFormatting>
  <conditionalFormatting sqref="B36:B37">
    <cfRule type="duplicateValues" dxfId="242" priority="110"/>
  </conditionalFormatting>
  <conditionalFormatting sqref="B38">
    <cfRule type="duplicateValues" dxfId="241" priority="99"/>
  </conditionalFormatting>
  <conditionalFormatting sqref="B48">
    <cfRule type="duplicateValues" dxfId="240" priority="199"/>
  </conditionalFormatting>
  <conditionalFormatting sqref="B50">
    <cfRule type="duplicateValues" dxfId="239" priority="200"/>
  </conditionalFormatting>
  <conditionalFormatting sqref="B51:B52">
    <cfRule type="duplicateValues" dxfId="238" priority="176"/>
  </conditionalFormatting>
  <conditionalFormatting sqref="B56:B57">
    <cfRule type="duplicateValues" dxfId="237" priority="174"/>
  </conditionalFormatting>
  <conditionalFormatting sqref="B64:B66">
    <cfRule type="duplicateValues" dxfId="236" priority="109"/>
  </conditionalFormatting>
  <conditionalFormatting sqref="B69 B72">
    <cfRule type="duplicateValues" dxfId="235" priority="188"/>
  </conditionalFormatting>
  <conditionalFormatting sqref="B70">
    <cfRule type="duplicateValues" dxfId="234" priority="118"/>
  </conditionalFormatting>
  <conditionalFormatting sqref="B71">
    <cfRule type="duplicateValues" dxfId="233" priority="119"/>
  </conditionalFormatting>
  <conditionalFormatting sqref="B76:B78">
    <cfRule type="duplicateValues" dxfId="232" priority="105"/>
  </conditionalFormatting>
  <conditionalFormatting sqref="B79">
    <cfRule type="duplicateValues" dxfId="231" priority="202"/>
  </conditionalFormatting>
  <conditionalFormatting sqref="B80">
    <cfRule type="duplicateValues" dxfId="230" priority="173"/>
  </conditionalFormatting>
  <conditionalFormatting sqref="B81 B84">
    <cfRule type="duplicateValues" dxfId="229" priority="187"/>
  </conditionalFormatting>
  <conditionalFormatting sqref="B82">
    <cfRule type="duplicateValues" dxfId="228" priority="116"/>
  </conditionalFormatting>
  <conditionalFormatting sqref="B83">
    <cfRule type="duplicateValues" dxfId="227" priority="117"/>
  </conditionalFormatting>
  <conditionalFormatting sqref="B88:B90">
    <cfRule type="duplicateValues" dxfId="226" priority="101"/>
  </conditionalFormatting>
  <conditionalFormatting sqref="B91">
    <cfRule type="duplicateValues" dxfId="225" priority="203"/>
  </conditionalFormatting>
  <conditionalFormatting sqref="B93">
    <cfRule type="duplicateValues" dxfId="224" priority="186"/>
  </conditionalFormatting>
  <conditionalFormatting sqref="B94">
    <cfRule type="duplicateValues" dxfId="223" priority="114"/>
  </conditionalFormatting>
  <conditionalFormatting sqref="B95">
    <cfRule type="duplicateValues" dxfId="222" priority="115"/>
  </conditionalFormatting>
  <conditionalFormatting sqref="B96">
    <cfRule type="duplicateValues" dxfId="221" priority="112"/>
  </conditionalFormatting>
  <conditionalFormatting sqref="B97">
    <cfRule type="duplicateValues" dxfId="220" priority="113"/>
  </conditionalFormatting>
  <conditionalFormatting sqref="B98">
    <cfRule type="duplicateValues" dxfId="219" priority="130"/>
  </conditionalFormatting>
  <conditionalFormatting sqref="B104">
    <cfRule type="duplicateValues" dxfId="218" priority="169"/>
  </conditionalFormatting>
  <conditionalFormatting sqref="B115">
    <cfRule type="duplicateValues" dxfId="217" priority="111"/>
  </conditionalFormatting>
  <conditionalFormatting sqref="B119">
    <cfRule type="duplicateValues" dxfId="216" priority="123"/>
  </conditionalFormatting>
  <conditionalFormatting sqref="B120:B122">
    <cfRule type="duplicateValues" dxfId="215" priority="185"/>
  </conditionalFormatting>
  <conditionalFormatting sqref="B127">
    <cfRule type="duplicateValues" dxfId="214" priority="129"/>
  </conditionalFormatting>
  <conditionalFormatting sqref="B129">
    <cfRule type="duplicateValues" dxfId="213" priority="193"/>
  </conditionalFormatting>
  <conditionalFormatting sqref="B130">
    <cfRule type="duplicateValues" dxfId="212" priority="122"/>
  </conditionalFormatting>
  <conditionalFormatting sqref="B131">
    <cfRule type="duplicateValues" dxfId="211" priority="172"/>
  </conditionalFormatting>
  <conditionalFormatting sqref="B132">
    <cfRule type="duplicateValues" dxfId="210" priority="197"/>
  </conditionalFormatting>
  <conditionalFormatting sqref="B133">
    <cfRule type="duplicateValues" dxfId="209" priority="128"/>
  </conditionalFormatting>
  <conditionalFormatting sqref="B135:B136">
    <cfRule type="duplicateValues" dxfId="208" priority="201"/>
  </conditionalFormatting>
  <conditionalFormatting sqref="B139">
    <cfRule type="duplicateValues" dxfId="207" priority="135"/>
  </conditionalFormatting>
  <conditionalFormatting sqref="B141">
    <cfRule type="duplicateValues" dxfId="206" priority="98"/>
  </conditionalFormatting>
  <conditionalFormatting sqref="B144">
    <cfRule type="duplicateValues" dxfId="205" priority="134"/>
  </conditionalFormatting>
  <conditionalFormatting sqref="B150">
    <cfRule type="duplicateValues" dxfId="204" priority="194"/>
  </conditionalFormatting>
  <conditionalFormatting sqref="B151">
    <cfRule type="duplicateValues" dxfId="203" priority="127"/>
  </conditionalFormatting>
  <conditionalFormatting sqref="B153">
    <cfRule type="duplicateValues" dxfId="202" priority="191"/>
    <cfRule type="duplicateValues" dxfId="201" priority="192"/>
  </conditionalFormatting>
  <conditionalFormatting sqref="B154">
    <cfRule type="duplicateValues" dxfId="200" priority="196"/>
  </conditionalFormatting>
  <conditionalFormatting sqref="B155">
    <cfRule type="duplicateValues" dxfId="199" priority="126"/>
  </conditionalFormatting>
  <conditionalFormatting sqref="B160:B161">
    <cfRule type="duplicateValues" dxfId="198" priority="184"/>
  </conditionalFormatting>
  <conditionalFormatting sqref="B163">
    <cfRule type="duplicateValues" dxfId="197" priority="170"/>
  </conditionalFormatting>
  <conditionalFormatting sqref="B165">
    <cfRule type="duplicateValues" dxfId="196" priority="171"/>
  </conditionalFormatting>
  <conditionalFormatting sqref="B166">
    <cfRule type="duplicateValues" dxfId="195" priority="133"/>
  </conditionalFormatting>
  <conditionalFormatting sqref="B167:B168">
    <cfRule type="duplicateValues" dxfId="194" priority="183"/>
  </conditionalFormatting>
  <conditionalFormatting sqref="B174">
    <cfRule type="duplicateValues" dxfId="193" priority="125"/>
  </conditionalFormatting>
  <conditionalFormatting sqref="B178:B181">
    <cfRule type="duplicateValues" dxfId="192" priority="182"/>
  </conditionalFormatting>
  <conditionalFormatting sqref="B182">
    <cfRule type="duplicateValues" dxfId="191" priority="132"/>
  </conditionalFormatting>
  <conditionalFormatting sqref="B190">
    <cfRule type="duplicateValues" dxfId="190" priority="181"/>
  </conditionalFormatting>
  <conditionalFormatting sqref="B191">
    <cfRule type="duplicateValues" dxfId="189" priority="180"/>
  </conditionalFormatting>
  <conditionalFormatting sqref="B193">
    <cfRule type="duplicateValues" dxfId="188" priority="179"/>
  </conditionalFormatting>
  <conditionalFormatting sqref="B195">
    <cfRule type="duplicateValues" dxfId="187" priority="178"/>
  </conditionalFormatting>
  <conditionalFormatting sqref="B217">
    <cfRule type="duplicateValues" dxfId="186" priority="177"/>
  </conditionalFormatting>
  <conditionalFormatting sqref="B218:B226 B228:B230">
    <cfRule type="duplicateValues" dxfId="185" priority="198"/>
  </conditionalFormatting>
  <conditionalFormatting sqref="B227">
    <cfRule type="duplicateValues" dxfId="184" priority="139"/>
  </conditionalFormatting>
  <conditionalFormatting sqref="B231">
    <cfRule type="duplicateValues" dxfId="183" priority="137"/>
  </conditionalFormatting>
  <conditionalFormatting sqref="B232 C218:C226 C228:C230">
    <cfRule type="duplicateValues" dxfId="182" priority="221"/>
  </conditionalFormatting>
  <conditionalFormatting sqref="B233">
    <cfRule type="duplicateValues" dxfId="181" priority="138"/>
  </conditionalFormatting>
  <conditionalFormatting sqref="B240">
    <cfRule type="duplicateValues" dxfId="180" priority="120"/>
  </conditionalFormatting>
  <conditionalFormatting sqref="B242">
    <cfRule type="duplicateValues" dxfId="179" priority="124"/>
  </conditionalFormatting>
  <conditionalFormatting sqref="B252:B257 B244 B235:B238 B192 B176:B177 B137:B138 B140 B2:B3 B157:B159 B73:B75 B85:B87 B128 B145:B149 B152:B153 B162 B169:B173 B184:B189 B194 B196 B44 B53:B54 B5 B24:B27 B216 B58:B59 B92 B101:B103 B111:B113 B7:B14 B29:B33 B46:B47 B39:B40 B259:B1048576 B63 B67:B68 B16:B20">
    <cfRule type="duplicateValues" dxfId="178" priority="195"/>
  </conditionalFormatting>
  <conditionalFormatting sqref="B258">
    <cfRule type="duplicateValues" dxfId="177" priority="121"/>
  </conditionalFormatting>
  <conditionalFormatting sqref="C27">
    <cfRule type="duplicateValues" dxfId="176" priority="228"/>
  </conditionalFormatting>
  <conditionalFormatting sqref="C28">
    <cfRule type="duplicateValues" dxfId="175" priority="229"/>
  </conditionalFormatting>
  <conditionalFormatting sqref="C29:C30 C32:C33">
    <cfRule type="duplicateValues" dxfId="174" priority="230"/>
  </conditionalFormatting>
  <conditionalFormatting sqref="C31">
    <cfRule type="duplicateValues" dxfId="173" priority="234"/>
  </conditionalFormatting>
  <conditionalFormatting sqref="C34:C35">
    <cfRule type="duplicateValues" dxfId="172" priority="233"/>
  </conditionalFormatting>
  <conditionalFormatting sqref="C39:C40">
    <cfRule type="duplicateValues" dxfId="171" priority="204"/>
  </conditionalFormatting>
  <conditionalFormatting sqref="C48">
    <cfRule type="duplicateValues" dxfId="170" priority="231"/>
  </conditionalFormatting>
  <conditionalFormatting sqref="C50">
    <cfRule type="duplicateValues" dxfId="169" priority="232"/>
  </conditionalFormatting>
  <conditionalFormatting sqref="C51:C52">
    <cfRule type="duplicateValues" dxfId="168" priority="218"/>
  </conditionalFormatting>
  <conditionalFormatting sqref="C56:C57">
    <cfRule type="duplicateValues" dxfId="167" priority="219"/>
  </conditionalFormatting>
  <conditionalFormatting sqref="C58">
    <cfRule type="duplicateValues" dxfId="166" priority="216"/>
  </conditionalFormatting>
  <conditionalFormatting sqref="C59">
    <cfRule type="duplicateValues" dxfId="165" priority="217"/>
  </conditionalFormatting>
  <conditionalFormatting sqref="C64">
    <cfRule type="duplicateValues" dxfId="164" priority="107"/>
  </conditionalFormatting>
  <conditionalFormatting sqref="C65">
    <cfRule type="duplicateValues" dxfId="163" priority="106"/>
  </conditionalFormatting>
  <conditionalFormatting sqref="C66">
    <cfRule type="duplicateValues" dxfId="162" priority="108"/>
  </conditionalFormatting>
  <conditionalFormatting sqref="C67">
    <cfRule type="duplicateValues" dxfId="161" priority="238"/>
  </conditionalFormatting>
  <conditionalFormatting sqref="C69 C72">
    <cfRule type="duplicateValues" dxfId="160" priority="205"/>
  </conditionalFormatting>
  <conditionalFormatting sqref="C70">
    <cfRule type="duplicateValues" dxfId="159" priority="244"/>
  </conditionalFormatting>
  <conditionalFormatting sqref="C71">
    <cfRule type="duplicateValues" dxfId="158" priority="243"/>
  </conditionalFormatting>
  <conditionalFormatting sqref="C76">
    <cfRule type="duplicateValues" dxfId="157" priority="103"/>
  </conditionalFormatting>
  <conditionalFormatting sqref="C77">
    <cfRule type="duplicateValues" dxfId="156" priority="102"/>
  </conditionalFormatting>
  <conditionalFormatting sqref="C78">
    <cfRule type="duplicateValues" dxfId="155" priority="104"/>
  </conditionalFormatting>
  <conditionalFormatting sqref="C79">
    <cfRule type="duplicateValues" dxfId="154" priority="239"/>
  </conditionalFormatting>
  <conditionalFormatting sqref="C81 C84">
    <cfRule type="duplicateValues" dxfId="153" priority="206"/>
  </conditionalFormatting>
  <conditionalFormatting sqref="C82">
    <cfRule type="duplicateValues" dxfId="152" priority="246"/>
  </conditionalFormatting>
  <conditionalFormatting sqref="C83">
    <cfRule type="duplicateValues" dxfId="151" priority="245"/>
  </conditionalFormatting>
  <conditionalFormatting sqref="C88:C90">
    <cfRule type="duplicateValues" dxfId="150" priority="100"/>
  </conditionalFormatting>
  <conditionalFormatting sqref="C91">
    <cfRule type="duplicateValues" dxfId="149" priority="240"/>
  </conditionalFormatting>
  <conditionalFormatting sqref="C93">
    <cfRule type="duplicateValues" dxfId="148" priority="207"/>
  </conditionalFormatting>
  <conditionalFormatting sqref="C94">
    <cfRule type="duplicateValues" dxfId="147" priority="242"/>
  </conditionalFormatting>
  <conditionalFormatting sqref="C95">
    <cfRule type="duplicateValues" dxfId="146" priority="241"/>
  </conditionalFormatting>
  <conditionalFormatting sqref="C96">
    <cfRule type="duplicateValues" dxfId="145" priority="247"/>
  </conditionalFormatting>
  <conditionalFormatting sqref="C102">
    <cfRule type="duplicateValues" dxfId="144" priority="208"/>
  </conditionalFormatting>
  <conditionalFormatting sqref="C115">
    <cfRule type="duplicateValues" dxfId="143" priority="236"/>
  </conditionalFormatting>
  <conditionalFormatting sqref="C119">
    <cfRule type="duplicateValues" dxfId="142" priority="235"/>
  </conditionalFormatting>
  <conditionalFormatting sqref="C120:C122">
    <cfRule type="duplicateValues" dxfId="141" priority="209"/>
  </conditionalFormatting>
  <conditionalFormatting sqref="C131">
    <cfRule type="duplicateValues" dxfId="140" priority="220"/>
  </conditionalFormatting>
  <conditionalFormatting sqref="C132">
    <cfRule type="duplicateValues" dxfId="139" priority="223"/>
  </conditionalFormatting>
  <conditionalFormatting sqref="C135">
    <cfRule type="duplicateValues" dxfId="138" priority="237"/>
  </conditionalFormatting>
  <conditionalFormatting sqref="C154">
    <cfRule type="duplicateValues" dxfId="137" priority="222"/>
  </conditionalFormatting>
  <conditionalFormatting sqref="C178">
    <cfRule type="duplicateValues" dxfId="136" priority="210"/>
  </conditionalFormatting>
  <conditionalFormatting sqref="C184">
    <cfRule type="duplicateValues" dxfId="135" priority="97"/>
  </conditionalFormatting>
  <conditionalFormatting sqref="C190">
    <cfRule type="duplicateValues" dxfId="134" priority="211"/>
  </conditionalFormatting>
  <conditionalFormatting sqref="C191">
    <cfRule type="duplicateValues" dxfId="133" priority="212"/>
  </conditionalFormatting>
  <conditionalFormatting sqref="C193">
    <cfRule type="duplicateValues" dxfId="132" priority="213"/>
  </conditionalFormatting>
  <conditionalFormatting sqref="C195">
    <cfRule type="duplicateValues" dxfId="131" priority="214"/>
  </conditionalFormatting>
  <conditionalFormatting sqref="C217">
    <cfRule type="duplicateValues" dxfId="130" priority="215"/>
  </conditionalFormatting>
  <conditionalFormatting sqref="C227">
    <cfRule type="duplicateValues" dxfId="129" priority="224"/>
  </conditionalFormatting>
  <conditionalFormatting sqref="C231">
    <cfRule type="duplicateValues" dxfId="128" priority="227"/>
  </conditionalFormatting>
  <conditionalFormatting sqref="C232">
    <cfRule type="duplicateValues" dxfId="127" priority="225"/>
  </conditionalFormatting>
  <conditionalFormatting sqref="C233">
    <cfRule type="duplicateValues" dxfId="126" priority="226"/>
  </conditionalFormatting>
  <conditionalFormatting sqref="D27:D35">
    <cfRule type="expression" dxfId="125" priority="66" stopIfTrue="1">
      <formula>OR($A27="audio", $A27="video")</formula>
    </cfRule>
    <cfRule type="expression" dxfId="124" priority="67" stopIfTrue="1">
      <formula>OR($A27="audio", $A27="video")</formula>
    </cfRule>
    <cfRule type="expression" dxfId="123" priority="68" stopIfTrue="1">
      <formula>$A27="image"</formula>
    </cfRule>
    <cfRule type="expression" dxfId="122" priority="69" stopIfTrue="1">
      <formula>$A27="image"</formula>
    </cfRule>
    <cfRule type="expression" dxfId="121" priority="70" stopIfTrue="1">
      <formula>OR($A27="date", $A27="datetime")</formula>
    </cfRule>
    <cfRule type="expression" dxfId="120" priority="71" stopIfTrue="1">
      <formula>OR($A27="date", $A27="datetime")</formula>
    </cfRule>
    <cfRule type="expression" dxfId="119" priority="72" stopIfTrue="1">
      <formula>OR($A27="calculate", $A27="calculate_here")</formula>
    </cfRule>
    <cfRule type="expression" dxfId="118" priority="73" stopIfTrue="1">
      <formula>$A27="note"</formula>
    </cfRule>
    <cfRule type="expression" dxfId="117" priority="74" stopIfTrue="1">
      <formula>$A27="note"</formula>
    </cfRule>
    <cfRule type="expression" dxfId="116" priority="75" stopIfTrue="1">
      <formula>$A27="barcode"</formula>
    </cfRule>
    <cfRule type="expression" dxfId="115" priority="76" stopIfTrue="1">
      <formula>$A27="barcode"</formula>
    </cfRule>
    <cfRule type="expression" dxfId="114" priority="77" stopIfTrue="1">
      <formula>$A27="geopoint"</formula>
    </cfRule>
    <cfRule type="expression" dxfId="113" priority="78" stopIfTrue="1">
      <formula>$A27="geopoint"</formula>
    </cfRule>
    <cfRule type="expression" dxfId="112" priority="79" stopIfTrue="1">
      <formula>OR($A27="audio audit", $A27="text audit")</formula>
    </cfRule>
    <cfRule type="expression" dxfId="111" priority="80" stopIfTrue="1">
      <formula>OR($A27="username", $A27="phonenumber", $A27="start", $A27="end", $A27="deviceid", $A27="subscriberid", $A27="simserial")</formula>
    </cfRule>
    <cfRule type="expression" dxfId="110" priority="81" stopIfTrue="1">
      <formula>OR(AND(LEFT($A27, 16)="select_multiple ", LEN($A27)&gt;16, NOT(ISNUMBER(SEARCH(" ", $A27, 17)))), AND(LEFT($A27, 11)="select_one ", LEN($A27)&gt;11, NOT(ISNUMBER(SEARCH(" ", $A27, 12)))))</formula>
    </cfRule>
    <cfRule type="expression" dxfId="109" priority="82" stopIfTrue="1">
      <formula>OR(AND(LEFT($A27, 16)="select_multiple ", LEN($A27)&gt;16, NOT(ISNUMBER(SEARCH(" ", $A27, 17)))), AND(LEFT($A27, 11)="select_one ", LEN($A27)&gt;11, NOT(ISNUMBER(SEARCH(" ", $A27, 12)))))</formula>
    </cfRule>
    <cfRule type="expression" dxfId="108" priority="83" stopIfTrue="1">
      <formula>$A27="decimal"</formula>
    </cfRule>
    <cfRule type="expression" dxfId="107" priority="84" stopIfTrue="1">
      <formula>$A27="decimal"</formula>
    </cfRule>
    <cfRule type="expression" dxfId="106" priority="85" stopIfTrue="1">
      <formula>$A27="integer"</formula>
    </cfRule>
    <cfRule type="expression" dxfId="105" priority="86" stopIfTrue="1">
      <formula>$A27="integer"</formula>
    </cfRule>
    <cfRule type="expression" dxfId="104" priority="87" stopIfTrue="1">
      <formula>$A27="text"</formula>
    </cfRule>
    <cfRule type="expression" dxfId="103" priority="88" stopIfTrue="1">
      <formula>$A27="text"</formula>
    </cfRule>
    <cfRule type="expression" dxfId="102" priority="89" stopIfTrue="1">
      <formula>$A27="end repeat"</formula>
    </cfRule>
    <cfRule type="expression" dxfId="101" priority="90" stopIfTrue="1">
      <formula>$A27="begin repeat"</formula>
    </cfRule>
    <cfRule type="expression" dxfId="100" priority="91" stopIfTrue="1">
      <formula>$A27="begin repeat"</formula>
    </cfRule>
    <cfRule type="expression" dxfId="99" priority="92" stopIfTrue="1">
      <formula>$A27="end group"</formula>
    </cfRule>
    <cfRule type="expression" dxfId="98" priority="93" stopIfTrue="1">
      <formula>$A27="begin group"</formula>
    </cfRule>
    <cfRule type="expression" dxfId="97" priority="94" stopIfTrue="1">
      <formula>$A27="begin group"</formula>
    </cfRule>
  </conditionalFormatting>
  <conditionalFormatting sqref="D44">
    <cfRule type="cellIs" dxfId="96" priority="175" operator="notEqual">
      <formula>$D$44</formula>
    </cfRule>
  </conditionalFormatting>
  <conditionalFormatting sqref="D245:D251">
    <cfRule type="expression" dxfId="95" priority="140" stopIfTrue="1">
      <formula>OR($A245="audio", $A245="video")</formula>
    </cfRule>
    <cfRule type="expression" dxfId="94" priority="141" stopIfTrue="1">
      <formula>OR($A245="audio", $A245="video")</formula>
    </cfRule>
    <cfRule type="expression" dxfId="93" priority="142" stopIfTrue="1">
      <formula>$A245="image"</formula>
    </cfRule>
    <cfRule type="expression" dxfId="92" priority="143" stopIfTrue="1">
      <formula>$A245="image"</formula>
    </cfRule>
    <cfRule type="expression" dxfId="91" priority="144" stopIfTrue="1">
      <formula>OR($A245="date", $A245="datetime")</formula>
    </cfRule>
    <cfRule type="expression" dxfId="90" priority="145" stopIfTrue="1">
      <formula>OR($A245="date", $A245="datetime")</formula>
    </cfRule>
    <cfRule type="expression" dxfId="89" priority="146" stopIfTrue="1">
      <formula>OR($A245="calculate", $A245="calculate_here")</formula>
    </cfRule>
    <cfRule type="expression" dxfId="88" priority="147" stopIfTrue="1">
      <formula>$A245="note"</formula>
    </cfRule>
    <cfRule type="expression" dxfId="87" priority="148" stopIfTrue="1">
      <formula>$A245="note"</formula>
    </cfRule>
    <cfRule type="expression" dxfId="86" priority="149" stopIfTrue="1">
      <formula>$A245="barcode"</formula>
    </cfRule>
    <cfRule type="expression" dxfId="85" priority="150" stopIfTrue="1">
      <formula>$A245="barcode"</formula>
    </cfRule>
    <cfRule type="expression" dxfId="84" priority="151" stopIfTrue="1">
      <formula>$A245="geopoint"</formula>
    </cfRule>
    <cfRule type="expression" dxfId="83" priority="152" stopIfTrue="1">
      <formula>$A245="geopoint"</formula>
    </cfRule>
    <cfRule type="expression" dxfId="82" priority="153" stopIfTrue="1">
      <formula>OR($A245="audio audit", $A245="text audit")</formula>
    </cfRule>
    <cfRule type="expression" dxfId="81" priority="154" stopIfTrue="1">
      <formula>OR($A245="username", $A245="phonenumber", $A245="start", $A245="end", $A245="deviceid", $A245="subscriberid", $A245="simserial")</formula>
    </cfRule>
    <cfRule type="expression" dxfId="80" priority="155" stopIfTrue="1">
      <formula>OR(AND(LEFT($A245, 16)="select_multiple ", LEN($A245)&gt;16, NOT(ISNUMBER(SEARCH(" ", $A245, 17)))), AND(LEFT($A245, 11)="select_one ", LEN($A245)&gt;11, NOT(ISNUMBER(SEARCH(" ", $A245, 12)))))</formula>
    </cfRule>
    <cfRule type="expression" dxfId="79" priority="156" stopIfTrue="1">
      <formula>OR(AND(LEFT($A245, 16)="select_multiple ", LEN($A245)&gt;16, NOT(ISNUMBER(SEARCH(" ", $A245, 17)))), AND(LEFT($A245, 11)="select_one ", LEN($A245)&gt;11, NOT(ISNUMBER(SEARCH(" ", $A245, 12)))))</formula>
    </cfRule>
    <cfRule type="expression" dxfId="78" priority="157" stopIfTrue="1">
      <formula>$A245="decimal"</formula>
    </cfRule>
    <cfRule type="expression" dxfId="77" priority="158" stopIfTrue="1">
      <formula>$A245="decimal"</formula>
    </cfRule>
    <cfRule type="expression" dxfId="76" priority="159" stopIfTrue="1">
      <formula>$A245="integer"</formula>
    </cfRule>
    <cfRule type="expression" dxfId="75" priority="160" stopIfTrue="1">
      <formula>$A245="integer"</formula>
    </cfRule>
    <cfRule type="expression" dxfId="74" priority="161" stopIfTrue="1">
      <formula>$A245="text"</formula>
    </cfRule>
    <cfRule type="expression" dxfId="73" priority="162" stopIfTrue="1">
      <formula>$A245="text"</formula>
    </cfRule>
    <cfRule type="expression" dxfId="72" priority="163" stopIfTrue="1">
      <formula>$A245="end repeat"</formula>
    </cfRule>
    <cfRule type="expression" dxfId="71" priority="164" stopIfTrue="1">
      <formula>$A245="begin repeat"</formula>
    </cfRule>
    <cfRule type="expression" dxfId="70" priority="165" stopIfTrue="1">
      <formula>$A245="begin repeat"</formula>
    </cfRule>
    <cfRule type="expression" dxfId="69" priority="166" stopIfTrue="1">
      <formula>$A245="end group"</formula>
    </cfRule>
    <cfRule type="expression" dxfId="68" priority="167" stopIfTrue="1">
      <formula>$A245="begin group"</formula>
    </cfRule>
    <cfRule type="expression" dxfId="67" priority="168" stopIfTrue="1">
      <formula>$A245="begin group"</formula>
    </cfRule>
  </conditionalFormatting>
  <conditionalFormatting sqref="F29">
    <cfRule type="expression" dxfId="66" priority="8" stopIfTrue="1">
      <formula>OR($A29="audio", $A29="video")</formula>
    </cfRule>
    <cfRule type="expression" dxfId="65" priority="9" stopIfTrue="1">
      <formula>OR($A29="audio", $A29="video")</formula>
    </cfRule>
    <cfRule type="expression" dxfId="64" priority="10" stopIfTrue="1">
      <formula>$A29="image"</formula>
    </cfRule>
    <cfRule type="expression" dxfId="63" priority="11" stopIfTrue="1">
      <formula>$A29="image"</formula>
    </cfRule>
    <cfRule type="expression" dxfId="62" priority="12" stopIfTrue="1">
      <formula>OR($A29="date", $A29="datetime")</formula>
    </cfRule>
    <cfRule type="expression" dxfId="61" priority="13" stopIfTrue="1">
      <formula>OR($A29="date", $A29="datetime")</formula>
    </cfRule>
    <cfRule type="expression" dxfId="60" priority="14" stopIfTrue="1">
      <formula>OR($A29="calculate", $A29="calculate_here")</formula>
    </cfRule>
    <cfRule type="expression" dxfId="59" priority="15" stopIfTrue="1">
      <formula>$A29="note"</formula>
    </cfRule>
    <cfRule type="expression" dxfId="58" priority="16" stopIfTrue="1">
      <formula>$A29="note"</formula>
    </cfRule>
    <cfRule type="expression" dxfId="57" priority="17" stopIfTrue="1">
      <formula>$A29="barcode"</formula>
    </cfRule>
    <cfRule type="expression" dxfId="56" priority="18" stopIfTrue="1">
      <formula>$A29="barcode"</formula>
    </cfRule>
    <cfRule type="expression" dxfId="55" priority="19" stopIfTrue="1">
      <formula>$A29="geopoint"</formula>
    </cfRule>
    <cfRule type="expression" dxfId="54" priority="20" stopIfTrue="1">
      <formula>$A29="geopoint"</formula>
    </cfRule>
    <cfRule type="expression" dxfId="53" priority="21" stopIfTrue="1">
      <formula>OR($A29="audio audit", $A29="text audit")</formula>
    </cfRule>
    <cfRule type="expression" dxfId="52" priority="22" stopIfTrue="1">
      <formula>OR($A29="username", $A29="phonenumber", $A29="start", $A29="end", $A29="deviceid", $A29="subscriberid", $A29="simserial")</formula>
    </cfRule>
    <cfRule type="expression" dxfId="51" priority="23" stopIfTrue="1">
      <formula>OR(AND(LEFT($A29, 16)="select_multiple ", LEN($A29)&gt;16, NOT(ISNUMBER(SEARCH(" ", $A29, 17)))), AND(LEFT($A29, 11)="select_one ", LEN($A29)&gt;11, NOT(ISNUMBER(SEARCH(" ", $A29, 12)))))</formula>
    </cfRule>
    <cfRule type="expression" dxfId="50" priority="24" stopIfTrue="1">
      <formula>OR(AND(LEFT($A29, 16)="select_multiple ", LEN($A29)&gt;16, NOT(ISNUMBER(SEARCH(" ", $A29, 17)))), AND(LEFT($A29, 11)="select_one ", LEN($A29)&gt;11, NOT(ISNUMBER(SEARCH(" ", $A29, 12)))))</formula>
    </cfRule>
    <cfRule type="expression" dxfId="49" priority="25" stopIfTrue="1">
      <formula>$A29="decimal"</formula>
    </cfRule>
    <cfRule type="expression" dxfId="48" priority="26" stopIfTrue="1">
      <formula>$A29="decimal"</formula>
    </cfRule>
    <cfRule type="expression" dxfId="47" priority="27" stopIfTrue="1">
      <formula>$A29="integer"</formula>
    </cfRule>
    <cfRule type="expression" dxfId="46" priority="28" stopIfTrue="1">
      <formula>$A29="integer"</formula>
    </cfRule>
    <cfRule type="expression" dxfId="45" priority="29" stopIfTrue="1">
      <formula>$A29="text"</formula>
    </cfRule>
    <cfRule type="expression" dxfId="44" priority="30" stopIfTrue="1">
      <formula>$A29="text"</formula>
    </cfRule>
    <cfRule type="expression" dxfId="43" priority="31" stopIfTrue="1">
      <formula>$A29="end repeat"</formula>
    </cfRule>
    <cfRule type="expression" dxfId="42" priority="32" stopIfTrue="1">
      <formula>$A29="begin repeat"</formula>
    </cfRule>
    <cfRule type="expression" dxfId="41" priority="33" stopIfTrue="1">
      <formula>$A29="begin repeat"</formula>
    </cfRule>
    <cfRule type="expression" dxfId="40" priority="34" stopIfTrue="1">
      <formula>$A29="end group"</formula>
    </cfRule>
    <cfRule type="expression" dxfId="39" priority="35" stopIfTrue="1">
      <formula>$A29="begin group"</formula>
    </cfRule>
    <cfRule type="expression" dxfId="38" priority="36" stopIfTrue="1">
      <formula>$A29="begin group"</formula>
    </cfRule>
  </conditionalFormatting>
  <conditionalFormatting sqref="F32">
    <cfRule type="expression" dxfId="37" priority="37" stopIfTrue="1">
      <formula>OR($A32="audio", $A32="video")</formula>
    </cfRule>
    <cfRule type="expression" dxfId="36" priority="38" stopIfTrue="1">
      <formula>OR($A32="audio", $A32="video")</formula>
    </cfRule>
    <cfRule type="expression" dxfId="35" priority="39" stopIfTrue="1">
      <formula>$A32="image"</formula>
    </cfRule>
    <cfRule type="expression" dxfId="34" priority="40" stopIfTrue="1">
      <formula>$A32="image"</formula>
    </cfRule>
    <cfRule type="expression" dxfId="33" priority="41" stopIfTrue="1">
      <formula>OR($A32="date", $A32="datetime")</formula>
    </cfRule>
    <cfRule type="expression" dxfId="32" priority="42" stopIfTrue="1">
      <formula>OR($A32="date", $A32="datetime")</formula>
    </cfRule>
    <cfRule type="expression" dxfId="31" priority="43" stopIfTrue="1">
      <formula>OR($A32="calculate", $A32="calculate_here")</formula>
    </cfRule>
    <cfRule type="expression" dxfId="30" priority="44" stopIfTrue="1">
      <formula>$A32="note"</formula>
    </cfRule>
    <cfRule type="expression" dxfId="29" priority="45" stopIfTrue="1">
      <formula>$A32="note"</formula>
    </cfRule>
    <cfRule type="expression" dxfId="28" priority="46" stopIfTrue="1">
      <formula>$A32="barcode"</formula>
    </cfRule>
    <cfRule type="expression" dxfId="27" priority="47" stopIfTrue="1">
      <formula>$A32="barcode"</formula>
    </cfRule>
    <cfRule type="expression" dxfId="26" priority="48" stopIfTrue="1">
      <formula>$A32="geopoint"</formula>
    </cfRule>
    <cfRule type="expression" dxfId="25" priority="49" stopIfTrue="1">
      <formula>$A32="geopoint"</formula>
    </cfRule>
    <cfRule type="expression" dxfId="24" priority="50" stopIfTrue="1">
      <formula>OR($A32="audio audit", $A32="text audit")</formula>
    </cfRule>
    <cfRule type="expression" dxfId="23" priority="51" stopIfTrue="1">
      <formula>OR($A32="username", $A32="phonenumber", $A32="start", $A32="end", $A32="deviceid", $A32="subscriberid", $A32="simserial")</formula>
    </cfRule>
    <cfRule type="expression" dxfId="22" priority="52" stopIfTrue="1">
      <formula>OR(AND(LEFT($A32, 16)="select_multiple ", LEN($A32)&gt;16, NOT(ISNUMBER(SEARCH(" ", $A32, 17)))), AND(LEFT($A32, 11)="select_one ", LEN($A32)&gt;11, NOT(ISNUMBER(SEARCH(" ", $A32, 12)))))</formula>
    </cfRule>
    <cfRule type="expression" dxfId="21" priority="53" stopIfTrue="1">
      <formula>OR(AND(LEFT($A32, 16)="select_multiple ", LEN($A32)&gt;16, NOT(ISNUMBER(SEARCH(" ", $A32, 17)))), AND(LEFT($A32, 11)="select_one ", LEN($A32)&gt;11, NOT(ISNUMBER(SEARCH(" ", $A32, 12)))))</formula>
    </cfRule>
    <cfRule type="expression" dxfId="20" priority="54" stopIfTrue="1">
      <formula>$A32="decimal"</formula>
    </cfRule>
    <cfRule type="expression" dxfId="19" priority="55" stopIfTrue="1">
      <formula>$A32="decimal"</formula>
    </cfRule>
    <cfRule type="expression" dxfId="18" priority="56" stopIfTrue="1">
      <formula>$A32="integer"</formula>
    </cfRule>
    <cfRule type="expression" dxfId="17" priority="57" stopIfTrue="1">
      <formula>$A32="integer"</formula>
    </cfRule>
    <cfRule type="expression" dxfId="16" priority="58" stopIfTrue="1">
      <formula>$A32="text"</formula>
    </cfRule>
    <cfRule type="expression" dxfId="15" priority="59" stopIfTrue="1">
      <formula>$A32="text"</formula>
    </cfRule>
    <cfRule type="expression" dxfId="14" priority="60" stopIfTrue="1">
      <formula>$A32="end repeat"</formula>
    </cfRule>
    <cfRule type="expression" dxfId="13" priority="61" stopIfTrue="1">
      <formula>$A32="begin repeat"</formula>
    </cfRule>
    <cfRule type="expression" dxfId="12" priority="62" stopIfTrue="1">
      <formula>$A32="begin repeat"</formula>
    </cfRule>
    <cfRule type="expression" dxfId="11" priority="63" stopIfTrue="1">
      <formula>$A32="end group"</formula>
    </cfRule>
    <cfRule type="expression" dxfId="10" priority="64" stopIfTrue="1">
      <formula>$A32="begin group"</formula>
    </cfRule>
    <cfRule type="expression" dxfId="9" priority="65" stopIfTrue="1">
      <formula>$A32="begin group"</formula>
    </cfRule>
  </conditionalFormatting>
  <conditionalFormatting sqref="B49">
    <cfRule type="duplicateValues" dxfId="8" priority="6"/>
  </conditionalFormatting>
  <conditionalFormatting sqref="C49">
    <cfRule type="duplicateValues" dxfId="7" priority="7"/>
  </conditionalFormatting>
  <conditionalFormatting sqref="B55">
    <cfRule type="duplicateValues" dxfId="6" priority="4"/>
  </conditionalFormatting>
  <conditionalFormatting sqref="C55">
    <cfRule type="duplicateValues" dxfId="5" priority="5"/>
  </conditionalFormatting>
  <conditionalFormatting sqref="B62">
    <cfRule type="duplicateValues" dxfId="4" priority="3"/>
  </conditionalFormatting>
  <conditionalFormatting sqref="B99">
    <cfRule type="duplicateValues" dxfId="3" priority="2"/>
  </conditionalFormatting>
  <conditionalFormatting sqref="B100">
    <cfRule type="duplicateValues" dxfId="2" priority="1"/>
  </conditionalFormatting>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K94"/>
  <sheetViews>
    <sheetView workbookViewId="0">
      <pane ySplit="3" topLeftCell="A4" activePane="bottomLeft" state="frozen"/>
      <selection activeCell="B3" sqref="B3"/>
      <selection pane="bottomLeft" activeCell="C18" sqref="C18"/>
    </sheetView>
  </sheetViews>
  <sheetFormatPr baseColWidth="10" defaultColWidth="10.6640625" defaultRowHeight="15"/>
  <cols>
    <col min="1" max="2" width="10.6640625" style="1" customWidth="1"/>
    <col min="3" max="3" width="15.1640625" style="2" customWidth="1"/>
    <col min="4" max="5" width="10.6640625" style="328" customWidth="1"/>
    <col min="6" max="6" width="41.6640625" style="1" customWidth="1"/>
    <col min="7" max="7" width="46.6640625" style="459" customWidth="1"/>
    <col min="8" max="8" width="10.6640625" style="1" customWidth="1"/>
    <col min="12" max="16384" width="10.6640625" style="1"/>
  </cols>
  <sheetData>
    <row r="2" spans="2:7">
      <c r="C2" s="4"/>
      <c r="D2" s="325"/>
      <c r="E2" s="325"/>
      <c r="F2" s="5"/>
      <c r="G2" s="457"/>
    </row>
    <row r="3" spans="2:7" ht="32" customHeight="1">
      <c r="B3" s="3"/>
      <c r="C3" s="326" t="s">
        <v>1036</v>
      </c>
      <c r="D3" s="323" t="s">
        <v>1037</v>
      </c>
      <c r="E3" s="323" t="s">
        <v>1038</v>
      </c>
      <c r="F3" s="323" t="s">
        <v>1039</v>
      </c>
      <c r="G3" s="326" t="s">
        <v>1040</v>
      </c>
    </row>
    <row r="4" spans="2:7" ht="16" customHeight="1">
      <c r="B4" s="3"/>
      <c r="C4" s="463"/>
      <c r="D4" s="8">
        <f t="array" ref="D4:D93">_xlfn.SEQUENCE(90,1,1,1)</f>
        <v>1</v>
      </c>
      <c r="E4" s="324" t="s">
        <v>1041</v>
      </c>
      <c r="F4" s="8" t="s">
        <v>1042</v>
      </c>
      <c r="G4" s="460" t="s">
        <v>1043</v>
      </c>
    </row>
    <row r="5" spans="2:7" ht="16" customHeight="1">
      <c r="B5" s="3"/>
      <c r="C5" s="463" t="s">
        <v>1044</v>
      </c>
      <c r="D5" s="8">
        <v>2</v>
      </c>
      <c r="E5" s="324" t="s">
        <v>1045</v>
      </c>
      <c r="F5" s="8" t="s">
        <v>1046</v>
      </c>
      <c r="G5" s="461" t="s">
        <v>1047</v>
      </c>
    </row>
    <row r="6" spans="2:7" ht="16" customHeight="1">
      <c r="B6" s="3"/>
      <c r="C6" s="463" t="s">
        <v>1044</v>
      </c>
      <c r="D6" s="8">
        <v>3</v>
      </c>
      <c r="E6" s="324" t="s">
        <v>1048</v>
      </c>
      <c r="F6" s="8" t="s">
        <v>1049</v>
      </c>
      <c r="G6" s="461" t="s">
        <v>1050</v>
      </c>
    </row>
    <row r="7" spans="2:7" ht="16" customHeight="1">
      <c r="B7" s="3"/>
      <c r="C7" s="463" t="s">
        <v>1044</v>
      </c>
      <c r="D7" s="8">
        <v>4</v>
      </c>
      <c r="E7" s="324" t="s">
        <v>1051</v>
      </c>
      <c r="F7" s="8" t="s">
        <v>1052</v>
      </c>
      <c r="G7" s="461" t="s">
        <v>1053</v>
      </c>
    </row>
    <row r="8" spans="2:7" ht="16" customHeight="1">
      <c r="B8" s="3"/>
      <c r="C8" s="463"/>
      <c r="D8" s="8">
        <v>5</v>
      </c>
      <c r="E8" s="324" t="s">
        <v>1054</v>
      </c>
      <c r="F8" s="8" t="s">
        <v>1055</v>
      </c>
      <c r="G8" s="461" t="s">
        <v>1056</v>
      </c>
    </row>
    <row r="9" spans="2:7" ht="16" customHeight="1">
      <c r="B9" s="3"/>
      <c r="C9" s="463"/>
      <c r="D9" s="8">
        <v>6</v>
      </c>
      <c r="E9" s="324" t="s">
        <v>1057</v>
      </c>
      <c r="F9" s="8" t="s">
        <v>1058</v>
      </c>
      <c r="G9" s="461" t="s">
        <v>1059</v>
      </c>
    </row>
    <row r="10" spans="2:7" ht="16" customHeight="1">
      <c r="B10" s="3"/>
      <c r="C10" s="357"/>
      <c r="D10" s="8">
        <v>7</v>
      </c>
      <c r="E10" s="324" t="s">
        <v>1060</v>
      </c>
      <c r="F10" s="50" t="s">
        <v>1061</v>
      </c>
      <c r="G10" s="462" t="s">
        <v>1062</v>
      </c>
    </row>
    <row r="11" spans="2:7" ht="16" customHeight="1">
      <c r="B11" s="3"/>
      <c r="C11" s="463"/>
      <c r="D11" s="8">
        <v>8</v>
      </c>
      <c r="E11" s="324" t="s">
        <v>1063</v>
      </c>
      <c r="F11" s="8" t="s">
        <v>1064</v>
      </c>
      <c r="G11" s="461" t="s">
        <v>1065</v>
      </c>
    </row>
    <row r="12" spans="2:7" ht="16" customHeight="1">
      <c r="B12" s="3"/>
      <c r="C12" s="463" t="s">
        <v>1044</v>
      </c>
      <c r="D12" s="8">
        <v>9</v>
      </c>
      <c r="E12" s="324" t="s">
        <v>1066</v>
      </c>
      <c r="F12" s="8" t="s">
        <v>1067</v>
      </c>
      <c r="G12" s="461" t="s">
        <v>1068</v>
      </c>
    </row>
    <row r="13" spans="2:7" ht="16" customHeight="1">
      <c r="B13" s="3"/>
      <c r="C13" s="463"/>
      <c r="D13" s="8">
        <v>10</v>
      </c>
      <c r="E13" s="324" t="s">
        <v>1069</v>
      </c>
      <c r="F13" s="8" t="s">
        <v>1070</v>
      </c>
      <c r="G13" s="461" t="s">
        <v>1071</v>
      </c>
    </row>
    <row r="14" spans="2:7" ht="16" customHeight="1">
      <c r="B14" s="3"/>
      <c r="C14" s="463"/>
      <c r="D14" s="8">
        <v>11</v>
      </c>
      <c r="E14" s="324" t="s">
        <v>1072</v>
      </c>
      <c r="F14" s="8" t="s">
        <v>1073</v>
      </c>
      <c r="G14" s="461" t="s">
        <v>1074</v>
      </c>
    </row>
    <row r="15" spans="2:7" ht="16" customHeight="1">
      <c r="B15" s="3"/>
      <c r="C15" s="463"/>
      <c r="D15" s="8">
        <v>12</v>
      </c>
      <c r="E15" s="324" t="s">
        <v>1075</v>
      </c>
      <c r="F15" s="8" t="s">
        <v>1076</v>
      </c>
      <c r="G15" s="461" t="s">
        <v>1077</v>
      </c>
    </row>
    <row r="16" spans="2:7" ht="16" customHeight="1">
      <c r="B16" s="3"/>
      <c r="C16" s="463"/>
      <c r="D16" s="8">
        <v>13</v>
      </c>
      <c r="E16" s="324" t="s">
        <v>1078</v>
      </c>
      <c r="F16" s="8" t="s">
        <v>1079</v>
      </c>
      <c r="G16" s="461" t="s">
        <v>1080</v>
      </c>
    </row>
    <row r="17" spans="2:7" ht="16" customHeight="1">
      <c r="B17" s="3"/>
      <c r="C17" s="357"/>
      <c r="D17" s="8">
        <v>14</v>
      </c>
      <c r="E17" s="324" t="s">
        <v>1081</v>
      </c>
      <c r="F17" s="50" t="s">
        <v>1082</v>
      </c>
      <c r="G17" s="462" t="s">
        <v>1083</v>
      </c>
    </row>
    <row r="18" spans="2:7" ht="16" customHeight="1">
      <c r="B18" s="3"/>
      <c r="C18" s="463"/>
      <c r="D18" s="8">
        <v>15</v>
      </c>
      <c r="E18" s="324" t="s">
        <v>1084</v>
      </c>
      <c r="F18" s="8" t="s">
        <v>1085</v>
      </c>
      <c r="G18" s="461" t="s">
        <v>1086</v>
      </c>
    </row>
    <row r="19" spans="2:7" ht="16" customHeight="1">
      <c r="B19" s="3"/>
      <c r="C19" s="463" t="s">
        <v>1044</v>
      </c>
      <c r="D19" s="8">
        <v>16</v>
      </c>
      <c r="E19" s="324" t="s">
        <v>1087</v>
      </c>
      <c r="F19" s="8" t="s">
        <v>1088</v>
      </c>
      <c r="G19" s="461" t="s">
        <v>1089</v>
      </c>
    </row>
    <row r="20" spans="2:7" ht="16" customHeight="1">
      <c r="B20" s="3"/>
      <c r="C20" s="463"/>
      <c r="D20" s="8">
        <v>17</v>
      </c>
      <c r="E20" s="324" t="s">
        <v>1090</v>
      </c>
      <c r="F20" s="8" t="s">
        <v>1091</v>
      </c>
      <c r="G20" s="461" t="s">
        <v>1092</v>
      </c>
    </row>
    <row r="21" spans="2:7" ht="16" customHeight="1">
      <c r="B21" s="3"/>
      <c r="C21" s="463"/>
      <c r="D21" s="8">
        <v>18</v>
      </c>
      <c r="E21" s="324" t="s">
        <v>1093</v>
      </c>
      <c r="F21" s="8" t="s">
        <v>1094</v>
      </c>
      <c r="G21" s="461" t="s">
        <v>1095</v>
      </c>
    </row>
    <row r="22" spans="2:7" ht="16" customHeight="1">
      <c r="B22" s="3"/>
      <c r="C22" s="463"/>
      <c r="D22" s="8">
        <v>19</v>
      </c>
      <c r="E22" s="324" t="s">
        <v>1096</v>
      </c>
      <c r="F22" s="8" t="s">
        <v>1097</v>
      </c>
      <c r="G22" s="461" t="s">
        <v>1098</v>
      </c>
    </row>
    <row r="23" spans="2:7" ht="16" customHeight="1">
      <c r="B23" s="3"/>
      <c r="C23" s="463"/>
      <c r="D23" s="8">
        <v>20</v>
      </c>
      <c r="E23" s="324" t="s">
        <v>1099</v>
      </c>
      <c r="F23" s="8" t="s">
        <v>1100</v>
      </c>
      <c r="G23" s="461" t="s">
        <v>1101</v>
      </c>
    </row>
    <row r="24" spans="2:7" ht="16" customHeight="1">
      <c r="B24" s="3"/>
      <c r="C24" s="463"/>
      <c r="D24" s="8">
        <v>21</v>
      </c>
      <c r="E24" s="324" t="s">
        <v>1102</v>
      </c>
      <c r="F24" s="8" t="s">
        <v>1103</v>
      </c>
      <c r="G24" s="461" t="s">
        <v>1104</v>
      </c>
    </row>
    <row r="25" spans="2:7" ht="16" customHeight="1">
      <c r="B25" s="3"/>
      <c r="C25" s="357"/>
      <c r="D25" s="8">
        <v>22</v>
      </c>
      <c r="E25" s="324" t="s">
        <v>1105</v>
      </c>
      <c r="F25" s="50" t="s">
        <v>1106</v>
      </c>
      <c r="G25" s="462" t="s">
        <v>1107</v>
      </c>
    </row>
    <row r="26" spans="2:7" ht="16" customHeight="1">
      <c r="B26" s="3"/>
      <c r="C26" s="463"/>
      <c r="D26" s="8">
        <v>23</v>
      </c>
      <c r="E26" s="324" t="s">
        <v>1108</v>
      </c>
      <c r="F26" s="8" t="s">
        <v>1109</v>
      </c>
      <c r="G26" s="461" t="s">
        <v>1110</v>
      </c>
    </row>
    <row r="27" spans="2:7" ht="16" customHeight="1">
      <c r="B27" s="3"/>
      <c r="C27" s="463"/>
      <c r="D27" s="8">
        <v>24</v>
      </c>
      <c r="E27" s="324" t="s">
        <v>1111</v>
      </c>
      <c r="F27" s="8" t="s">
        <v>1112</v>
      </c>
      <c r="G27" s="461" t="s">
        <v>1113</v>
      </c>
    </row>
    <row r="28" spans="2:7" ht="16" customHeight="1">
      <c r="B28" s="3"/>
      <c r="C28" s="463"/>
      <c r="D28" s="8">
        <v>25</v>
      </c>
      <c r="E28" s="324" t="s">
        <v>1114</v>
      </c>
      <c r="F28" s="8" t="s">
        <v>1115</v>
      </c>
      <c r="G28" s="461" t="s">
        <v>1116</v>
      </c>
    </row>
    <row r="29" spans="2:7" ht="16" customHeight="1">
      <c r="B29" s="3"/>
      <c r="C29" s="463"/>
      <c r="D29" s="8">
        <v>26</v>
      </c>
      <c r="E29" s="324" t="s">
        <v>1117</v>
      </c>
      <c r="F29" s="8" t="s">
        <v>1118</v>
      </c>
      <c r="G29" s="461" t="s">
        <v>1119</v>
      </c>
    </row>
    <row r="30" spans="2:7" ht="16" customHeight="1">
      <c r="B30" s="3"/>
      <c r="C30" s="463"/>
      <c r="D30" s="8">
        <v>27</v>
      </c>
      <c r="E30" s="324" t="s">
        <v>1120</v>
      </c>
      <c r="F30" s="8" t="s">
        <v>1121</v>
      </c>
      <c r="G30" s="461" t="s">
        <v>1122</v>
      </c>
    </row>
    <row r="31" spans="2:7" ht="16" customHeight="1">
      <c r="B31" s="3"/>
      <c r="C31" s="463"/>
      <c r="D31" s="8">
        <v>28</v>
      </c>
      <c r="E31" s="324" t="s">
        <v>1123</v>
      </c>
      <c r="F31" s="8" t="s">
        <v>1124</v>
      </c>
      <c r="G31" s="461" t="s">
        <v>1125</v>
      </c>
    </row>
    <row r="32" spans="2:7" ht="16" customHeight="1">
      <c r="B32" s="3"/>
      <c r="C32" s="463"/>
      <c r="D32" s="8">
        <v>29</v>
      </c>
      <c r="E32" s="324" t="s">
        <v>1126</v>
      </c>
      <c r="F32" s="8" t="s">
        <v>1127</v>
      </c>
      <c r="G32" s="461" t="s">
        <v>1128</v>
      </c>
    </row>
    <row r="33" spans="2:7" ht="16" customHeight="1">
      <c r="B33" s="3"/>
      <c r="C33" s="463"/>
      <c r="D33" s="8">
        <v>30</v>
      </c>
      <c r="E33" s="324" t="s">
        <v>1129</v>
      </c>
      <c r="F33" s="8" t="s">
        <v>1130</v>
      </c>
      <c r="G33" s="461" t="s">
        <v>1131</v>
      </c>
    </row>
    <row r="34" spans="2:7" ht="16" customHeight="1">
      <c r="B34" s="3"/>
      <c r="C34" s="463"/>
      <c r="D34" s="8">
        <v>31</v>
      </c>
      <c r="E34" s="324" t="s">
        <v>1132</v>
      </c>
      <c r="F34" s="8" t="s">
        <v>1133</v>
      </c>
      <c r="G34" s="461" t="s">
        <v>1134</v>
      </c>
    </row>
    <row r="35" spans="2:7" ht="16" customHeight="1">
      <c r="B35" s="3"/>
      <c r="C35" s="357"/>
      <c r="D35" s="8">
        <v>32</v>
      </c>
      <c r="E35" s="324" t="s">
        <v>1135</v>
      </c>
      <c r="F35" s="50" t="s">
        <v>1136</v>
      </c>
      <c r="G35" s="462" t="s">
        <v>1137</v>
      </c>
    </row>
    <row r="36" spans="2:7" ht="16" customHeight="1">
      <c r="B36" s="3"/>
      <c r="C36" s="463" t="s">
        <v>1044</v>
      </c>
      <c r="D36" s="8">
        <v>33</v>
      </c>
      <c r="E36" s="324" t="s">
        <v>1138</v>
      </c>
      <c r="F36" s="8" t="s">
        <v>1139</v>
      </c>
      <c r="G36" s="461" t="s">
        <v>1140</v>
      </c>
    </row>
    <row r="37" spans="2:7" ht="16" customHeight="1">
      <c r="B37" s="3"/>
      <c r="C37" s="463"/>
      <c r="D37" s="8">
        <v>34</v>
      </c>
      <c r="E37" s="324" t="s">
        <v>1141</v>
      </c>
      <c r="F37" s="8" t="s">
        <v>1142</v>
      </c>
      <c r="G37" s="461" t="s">
        <v>1143</v>
      </c>
    </row>
    <row r="38" spans="2:7" ht="16" customHeight="1">
      <c r="B38" s="3"/>
      <c r="C38" s="463"/>
      <c r="D38" s="8">
        <v>35</v>
      </c>
      <c r="E38" s="324" t="s">
        <v>1144</v>
      </c>
      <c r="F38" s="8" t="s">
        <v>1145</v>
      </c>
      <c r="G38" s="461" t="s">
        <v>1146</v>
      </c>
    </row>
    <row r="39" spans="2:7" ht="16" customHeight="1">
      <c r="B39" s="3"/>
      <c r="C39" s="463"/>
      <c r="D39" s="8">
        <v>36</v>
      </c>
      <c r="E39" s="324" t="s">
        <v>1147</v>
      </c>
      <c r="F39" s="8" t="s">
        <v>1148</v>
      </c>
      <c r="G39" s="461" t="s">
        <v>1149</v>
      </c>
    </row>
    <row r="40" spans="2:7" ht="16" customHeight="1">
      <c r="B40" s="3"/>
      <c r="C40" s="463"/>
      <c r="D40" s="8">
        <v>37</v>
      </c>
      <c r="E40" s="324" t="s">
        <v>1150</v>
      </c>
      <c r="F40" s="8" t="s">
        <v>1151</v>
      </c>
      <c r="G40" s="461" t="s">
        <v>1152</v>
      </c>
    </row>
    <row r="41" spans="2:7" ht="16" customHeight="1">
      <c r="B41" s="3"/>
      <c r="C41" s="463" t="s">
        <v>1044</v>
      </c>
      <c r="D41" s="8">
        <v>38</v>
      </c>
      <c r="E41" s="324" t="s">
        <v>1153</v>
      </c>
      <c r="F41" s="8" t="s">
        <v>1154</v>
      </c>
      <c r="G41" s="461" t="s">
        <v>1155</v>
      </c>
    </row>
    <row r="42" spans="2:7" ht="16" customHeight="1">
      <c r="B42" s="3"/>
      <c r="C42" s="463"/>
      <c r="D42" s="8">
        <v>39</v>
      </c>
      <c r="E42" s="324" t="s">
        <v>1156</v>
      </c>
      <c r="F42" s="8" t="s">
        <v>1157</v>
      </c>
      <c r="G42" s="461" t="s">
        <v>1158</v>
      </c>
    </row>
    <row r="43" spans="2:7" ht="16" customHeight="1">
      <c r="B43" s="3"/>
      <c r="C43" s="463"/>
      <c r="D43" s="8">
        <v>40</v>
      </c>
      <c r="E43" s="324" t="s">
        <v>1159</v>
      </c>
      <c r="F43" s="8" t="s">
        <v>1160</v>
      </c>
      <c r="G43" s="461" t="s">
        <v>1161</v>
      </c>
    </row>
    <row r="44" spans="2:7" ht="16" customHeight="1">
      <c r="B44" s="3"/>
      <c r="C44" s="463"/>
      <c r="D44" s="8">
        <v>41</v>
      </c>
      <c r="E44" s="324" t="s">
        <v>1162</v>
      </c>
      <c r="F44" s="8" t="s">
        <v>1163</v>
      </c>
      <c r="G44" s="461" t="s">
        <v>1164</v>
      </c>
    </row>
    <row r="45" spans="2:7" ht="16" customHeight="1">
      <c r="B45" s="3"/>
      <c r="C45" s="463"/>
      <c r="D45" s="8">
        <v>42</v>
      </c>
      <c r="E45" s="324" t="s">
        <v>1165</v>
      </c>
      <c r="F45" s="8" t="s">
        <v>1166</v>
      </c>
      <c r="G45" s="461" t="s">
        <v>1167</v>
      </c>
    </row>
    <row r="46" spans="2:7" ht="16" customHeight="1">
      <c r="B46" s="3"/>
      <c r="C46" s="463"/>
      <c r="D46" s="8">
        <v>43</v>
      </c>
      <c r="E46" s="324" t="s">
        <v>1168</v>
      </c>
      <c r="F46" s="8" t="s">
        <v>1169</v>
      </c>
      <c r="G46" s="461" t="s">
        <v>1170</v>
      </c>
    </row>
    <row r="47" spans="2:7" ht="16" customHeight="1">
      <c r="B47" s="3"/>
      <c r="C47" s="357"/>
      <c r="D47" s="8">
        <v>44</v>
      </c>
      <c r="E47" s="324" t="s">
        <v>1171</v>
      </c>
      <c r="F47" s="50" t="s">
        <v>1172</v>
      </c>
      <c r="G47" s="462" t="s">
        <v>1173</v>
      </c>
    </row>
    <row r="48" spans="2:7" ht="16" customHeight="1">
      <c r="B48" s="3"/>
      <c r="C48" s="463" t="s">
        <v>1044</v>
      </c>
      <c r="D48" s="8">
        <v>45</v>
      </c>
      <c r="E48" s="324" t="s">
        <v>1174</v>
      </c>
      <c r="F48" s="8" t="s">
        <v>1175</v>
      </c>
      <c r="G48" s="461" t="s">
        <v>1176</v>
      </c>
    </row>
    <row r="49" spans="2:7" ht="16" customHeight="1">
      <c r="B49" s="3"/>
      <c r="C49" s="463"/>
      <c r="D49" s="8">
        <v>46</v>
      </c>
      <c r="E49" s="324" t="s">
        <v>1177</v>
      </c>
      <c r="F49" s="8" t="s">
        <v>1178</v>
      </c>
      <c r="G49" s="461" t="s">
        <v>1179</v>
      </c>
    </row>
    <row r="50" spans="2:7" ht="16" customHeight="1">
      <c r="B50" s="3"/>
      <c r="C50" s="463"/>
      <c r="D50" s="8">
        <v>47</v>
      </c>
      <c r="E50" s="324" t="s">
        <v>1180</v>
      </c>
      <c r="F50" s="8" t="s">
        <v>1181</v>
      </c>
      <c r="G50" s="461" t="s">
        <v>1182</v>
      </c>
    </row>
    <row r="51" spans="2:7" ht="16" customHeight="1">
      <c r="B51" s="3"/>
      <c r="C51" s="463"/>
      <c r="D51" s="8">
        <v>48</v>
      </c>
      <c r="E51" s="324" t="s">
        <v>1183</v>
      </c>
      <c r="F51" s="8" t="s">
        <v>1184</v>
      </c>
      <c r="G51" s="461" t="s">
        <v>1185</v>
      </c>
    </row>
    <row r="52" spans="2:7" ht="16" customHeight="1">
      <c r="B52" s="3"/>
      <c r="C52" s="357"/>
      <c r="D52" s="8">
        <v>49</v>
      </c>
      <c r="E52" s="324" t="s">
        <v>1186</v>
      </c>
      <c r="F52" s="50" t="s">
        <v>1187</v>
      </c>
      <c r="G52" s="462" t="s">
        <v>1188</v>
      </c>
    </row>
    <row r="53" spans="2:7" ht="16" customHeight="1">
      <c r="B53" s="3"/>
      <c r="C53" s="463"/>
      <c r="D53" s="8">
        <v>50</v>
      </c>
      <c r="E53" s="324" t="s">
        <v>1189</v>
      </c>
      <c r="F53" s="8" t="s">
        <v>1190</v>
      </c>
      <c r="G53" s="461" t="s">
        <v>1191</v>
      </c>
    </row>
    <row r="54" spans="2:7" ht="16" customHeight="1">
      <c r="B54" s="3"/>
      <c r="C54" s="463"/>
      <c r="D54" s="8">
        <v>51</v>
      </c>
      <c r="E54" s="324" t="s">
        <v>1192</v>
      </c>
      <c r="F54" s="8" t="s">
        <v>1193</v>
      </c>
      <c r="G54" s="461" t="s">
        <v>1194</v>
      </c>
    </row>
    <row r="55" spans="2:7" ht="16" customHeight="1">
      <c r="B55" s="3"/>
      <c r="C55" s="463"/>
      <c r="D55" s="8">
        <v>52</v>
      </c>
      <c r="E55" s="324" t="s">
        <v>1195</v>
      </c>
      <c r="F55" s="8" t="s">
        <v>1196</v>
      </c>
      <c r="G55" s="461" t="s">
        <v>1197</v>
      </c>
    </row>
    <row r="56" spans="2:7" ht="16" customHeight="1">
      <c r="B56" s="3"/>
      <c r="C56" s="463"/>
      <c r="D56" s="8">
        <v>53</v>
      </c>
      <c r="E56" s="324" t="s">
        <v>1198</v>
      </c>
      <c r="F56" s="8" t="s">
        <v>1199</v>
      </c>
      <c r="G56" s="461" t="s">
        <v>1200</v>
      </c>
    </row>
    <row r="57" spans="2:7" ht="16" customHeight="1">
      <c r="B57" s="3"/>
      <c r="C57" s="463"/>
      <c r="D57" s="8">
        <v>54</v>
      </c>
      <c r="E57" s="324" t="s">
        <v>1201</v>
      </c>
      <c r="F57" s="8" t="s">
        <v>1202</v>
      </c>
      <c r="G57" s="461" t="s">
        <v>1203</v>
      </c>
    </row>
    <row r="58" spans="2:7" ht="16" customHeight="1">
      <c r="B58" s="3"/>
      <c r="C58" s="463"/>
      <c r="D58" s="8">
        <v>55</v>
      </c>
      <c r="E58" s="324" t="s">
        <v>1204</v>
      </c>
      <c r="F58" s="8" t="s">
        <v>1205</v>
      </c>
      <c r="G58" s="461" t="s">
        <v>1206</v>
      </c>
    </row>
    <row r="59" spans="2:7" ht="16" customHeight="1">
      <c r="B59" s="3"/>
      <c r="C59" s="463"/>
      <c r="D59" s="8">
        <v>56</v>
      </c>
      <c r="E59" s="324" t="s">
        <v>1207</v>
      </c>
      <c r="F59" s="8" t="s">
        <v>1208</v>
      </c>
      <c r="G59" s="461" t="s">
        <v>1209</v>
      </c>
    </row>
    <row r="60" spans="2:7" ht="16" customHeight="1">
      <c r="B60" s="3"/>
      <c r="C60" s="463"/>
      <c r="D60" s="8">
        <v>57</v>
      </c>
      <c r="E60" s="324" t="s">
        <v>1210</v>
      </c>
      <c r="F60" s="8" t="s">
        <v>1211</v>
      </c>
      <c r="G60" s="461" t="s">
        <v>1212</v>
      </c>
    </row>
    <row r="61" spans="2:7" ht="16" customHeight="1">
      <c r="B61" s="3"/>
      <c r="C61" s="463"/>
      <c r="D61" s="8">
        <v>58</v>
      </c>
      <c r="E61" s="324" t="s">
        <v>1213</v>
      </c>
      <c r="F61" s="8" t="s">
        <v>1214</v>
      </c>
      <c r="G61" s="461" t="s">
        <v>1215</v>
      </c>
    </row>
    <row r="62" spans="2:7" ht="16" customHeight="1">
      <c r="B62" s="3"/>
      <c r="C62" s="463"/>
      <c r="D62" s="8">
        <v>59</v>
      </c>
      <c r="E62" s="324" t="s">
        <v>1216</v>
      </c>
      <c r="F62" s="8" t="s">
        <v>1217</v>
      </c>
      <c r="G62" s="461" t="s">
        <v>1218</v>
      </c>
    </row>
    <row r="63" spans="2:7" ht="16" customHeight="1">
      <c r="B63" s="3"/>
      <c r="C63" s="463" t="s">
        <v>1044</v>
      </c>
      <c r="D63" s="8">
        <v>60</v>
      </c>
      <c r="E63" s="324" t="s">
        <v>1219</v>
      </c>
      <c r="F63" s="8" t="s">
        <v>1220</v>
      </c>
      <c r="G63" s="461" t="s">
        <v>1221</v>
      </c>
    </row>
    <row r="64" spans="2:7" ht="16" customHeight="1">
      <c r="B64" s="3"/>
      <c r="C64" s="463"/>
      <c r="D64" s="8">
        <v>61</v>
      </c>
      <c r="E64" s="324" t="s">
        <v>1222</v>
      </c>
      <c r="F64" s="8" t="s">
        <v>1223</v>
      </c>
      <c r="G64" s="461" t="s">
        <v>1224</v>
      </c>
    </row>
    <row r="65" spans="2:7" ht="16" customHeight="1">
      <c r="B65" s="3"/>
      <c r="C65" s="463"/>
      <c r="D65" s="8">
        <v>62</v>
      </c>
      <c r="E65" s="324" t="s">
        <v>1225</v>
      </c>
      <c r="F65" s="8" t="s">
        <v>1226</v>
      </c>
      <c r="G65" s="461" t="s">
        <v>1227</v>
      </c>
    </row>
    <row r="66" spans="2:7" ht="16" customHeight="1">
      <c r="B66" s="3"/>
      <c r="C66" s="463"/>
      <c r="D66" s="8">
        <v>63</v>
      </c>
      <c r="E66" s="324" t="s">
        <v>1228</v>
      </c>
      <c r="F66" s="8" t="s">
        <v>1229</v>
      </c>
      <c r="G66" s="461" t="s">
        <v>1230</v>
      </c>
    </row>
    <row r="67" spans="2:7" ht="16" customHeight="1">
      <c r="B67" s="3"/>
      <c r="C67" s="463"/>
      <c r="D67" s="8">
        <v>64</v>
      </c>
      <c r="E67" s="324" t="s">
        <v>1231</v>
      </c>
      <c r="F67" s="8" t="s">
        <v>1232</v>
      </c>
      <c r="G67" s="461" t="s">
        <v>1233</v>
      </c>
    </row>
    <row r="68" spans="2:7" ht="16" customHeight="1">
      <c r="B68" s="3"/>
      <c r="C68" s="463"/>
      <c r="D68" s="8">
        <v>65</v>
      </c>
      <c r="E68" s="324" t="s">
        <v>1234</v>
      </c>
      <c r="F68" s="8" t="s">
        <v>1235</v>
      </c>
      <c r="G68" s="461" t="s">
        <v>1236</v>
      </c>
    </row>
    <row r="69" spans="2:7" ht="16" customHeight="1">
      <c r="B69" s="3"/>
      <c r="C69" s="463"/>
      <c r="D69" s="8">
        <v>66</v>
      </c>
      <c r="E69" s="324" t="s">
        <v>1237</v>
      </c>
      <c r="F69" s="8" t="s">
        <v>1238</v>
      </c>
      <c r="G69" s="461" t="s">
        <v>1239</v>
      </c>
    </row>
    <row r="70" spans="2:7" ht="16" customHeight="1">
      <c r="B70" s="3"/>
      <c r="C70" s="463"/>
      <c r="D70" s="8">
        <v>67</v>
      </c>
      <c r="E70" s="324" t="s">
        <v>1240</v>
      </c>
      <c r="F70" s="8" t="s">
        <v>1241</v>
      </c>
      <c r="G70" s="461" t="s">
        <v>1242</v>
      </c>
    </row>
    <row r="71" spans="2:7" ht="16" customHeight="1">
      <c r="B71" s="3"/>
      <c r="C71" s="357"/>
      <c r="D71" s="8">
        <v>68</v>
      </c>
      <c r="E71" s="324" t="s">
        <v>1243</v>
      </c>
      <c r="F71" s="50" t="s">
        <v>1244</v>
      </c>
      <c r="G71" s="462" t="s">
        <v>1245</v>
      </c>
    </row>
    <row r="72" spans="2:7" ht="16" customHeight="1">
      <c r="B72" s="3"/>
      <c r="C72" s="463"/>
      <c r="D72" s="8">
        <v>69</v>
      </c>
      <c r="E72" s="324" t="s">
        <v>1246</v>
      </c>
      <c r="F72" s="8" t="s">
        <v>1247</v>
      </c>
      <c r="G72" s="461" t="s">
        <v>1248</v>
      </c>
    </row>
    <row r="73" spans="2:7" ht="16" customHeight="1">
      <c r="B73" s="3"/>
      <c r="C73" s="463"/>
      <c r="D73" s="8">
        <v>70</v>
      </c>
      <c r="E73" s="324" t="s">
        <v>1249</v>
      </c>
      <c r="F73" s="8" t="s">
        <v>1250</v>
      </c>
      <c r="G73" s="461" t="s">
        <v>1251</v>
      </c>
    </row>
    <row r="74" spans="2:7" ht="16" customHeight="1">
      <c r="B74" s="3"/>
      <c r="C74" s="463"/>
      <c r="D74" s="8">
        <v>71</v>
      </c>
      <c r="E74" s="324" t="s">
        <v>1252</v>
      </c>
      <c r="F74" s="8" t="s">
        <v>1253</v>
      </c>
      <c r="G74" s="461" t="s">
        <v>1254</v>
      </c>
    </row>
    <row r="75" spans="2:7" ht="16" customHeight="1">
      <c r="B75" s="3"/>
      <c r="C75" s="463"/>
      <c r="D75" s="8">
        <v>72</v>
      </c>
      <c r="E75" s="324" t="s">
        <v>1255</v>
      </c>
      <c r="F75" s="8" t="s">
        <v>1256</v>
      </c>
      <c r="G75" s="461" t="s">
        <v>1257</v>
      </c>
    </row>
    <row r="76" spans="2:7" ht="16" customHeight="1">
      <c r="B76" s="3"/>
      <c r="C76" s="463"/>
      <c r="D76" s="8">
        <v>73</v>
      </c>
      <c r="E76" s="324" t="s">
        <v>1258</v>
      </c>
      <c r="F76" s="8" t="s">
        <v>1259</v>
      </c>
      <c r="G76" s="461" t="s">
        <v>1260</v>
      </c>
    </row>
    <row r="77" spans="2:7" ht="16" customHeight="1">
      <c r="B77" s="3"/>
      <c r="C77" s="463"/>
      <c r="D77" s="8">
        <v>74</v>
      </c>
      <c r="E77" s="324" t="s">
        <v>1261</v>
      </c>
      <c r="F77" s="8" t="s">
        <v>1262</v>
      </c>
      <c r="G77" s="461" t="s">
        <v>1263</v>
      </c>
    </row>
    <row r="78" spans="2:7" ht="16" customHeight="1">
      <c r="B78" s="3"/>
      <c r="C78" s="463"/>
      <c r="D78" s="8">
        <v>75</v>
      </c>
      <c r="E78" s="324" t="s">
        <v>1264</v>
      </c>
      <c r="F78" s="8" t="s">
        <v>1265</v>
      </c>
      <c r="G78" s="461" t="s">
        <v>1266</v>
      </c>
    </row>
    <row r="79" spans="2:7" ht="16" customHeight="1">
      <c r="B79" s="3"/>
      <c r="C79" s="463"/>
      <c r="D79" s="8">
        <v>76</v>
      </c>
      <c r="E79" s="324" t="s">
        <v>1267</v>
      </c>
      <c r="F79" s="8" t="s">
        <v>1268</v>
      </c>
      <c r="G79" s="461" t="s">
        <v>1269</v>
      </c>
    </row>
    <row r="80" spans="2:7" ht="16" customHeight="1">
      <c r="B80" s="3"/>
      <c r="C80" s="357"/>
      <c r="D80" s="8">
        <v>77</v>
      </c>
      <c r="E80" s="324" t="s">
        <v>1270</v>
      </c>
      <c r="F80" s="50" t="s">
        <v>1271</v>
      </c>
      <c r="G80" s="462" t="s">
        <v>1272</v>
      </c>
    </row>
    <row r="81" spans="2:7" ht="16" customHeight="1">
      <c r="B81" s="3"/>
      <c r="C81" s="463"/>
      <c r="D81" s="8">
        <v>78</v>
      </c>
      <c r="E81" s="324" t="s">
        <v>1273</v>
      </c>
      <c r="F81" s="8" t="s">
        <v>1274</v>
      </c>
      <c r="G81" s="461" t="s">
        <v>1275</v>
      </c>
    </row>
    <row r="82" spans="2:7" ht="16" customHeight="1">
      <c r="B82" s="3"/>
      <c r="C82" s="463" t="s">
        <v>1044</v>
      </c>
      <c r="D82" s="8">
        <v>79</v>
      </c>
      <c r="E82" s="324" t="s">
        <v>1276</v>
      </c>
      <c r="F82" s="8" t="s">
        <v>1277</v>
      </c>
      <c r="G82" s="461" t="s">
        <v>1278</v>
      </c>
    </row>
    <row r="83" spans="2:7" ht="16" customHeight="1">
      <c r="B83" s="3"/>
      <c r="C83" s="463"/>
      <c r="D83" s="8">
        <v>80</v>
      </c>
      <c r="E83" s="324" t="s">
        <v>1279</v>
      </c>
      <c r="F83" s="8" t="s">
        <v>1280</v>
      </c>
      <c r="G83" s="461" t="s">
        <v>1281</v>
      </c>
    </row>
    <row r="84" spans="2:7" ht="16" customHeight="1">
      <c r="B84" s="3"/>
      <c r="C84" s="463"/>
      <c r="D84" s="8">
        <v>81</v>
      </c>
      <c r="E84" s="324" t="s">
        <v>1282</v>
      </c>
      <c r="F84" s="8" t="s">
        <v>1283</v>
      </c>
      <c r="G84" s="461" t="s">
        <v>1284</v>
      </c>
    </row>
    <row r="85" spans="2:7" ht="16" customHeight="1">
      <c r="B85" s="3"/>
      <c r="C85" s="463"/>
      <c r="D85" s="8">
        <v>82</v>
      </c>
      <c r="E85" s="324" t="s">
        <v>1285</v>
      </c>
      <c r="F85" s="8" t="s">
        <v>1286</v>
      </c>
      <c r="G85" s="461" t="s">
        <v>1287</v>
      </c>
    </row>
    <row r="86" spans="2:7" ht="16" customHeight="1">
      <c r="B86" s="3"/>
      <c r="C86" s="357"/>
      <c r="D86" s="8">
        <v>83</v>
      </c>
      <c r="E86" s="324" t="s">
        <v>1288</v>
      </c>
      <c r="F86" s="50" t="s">
        <v>1289</v>
      </c>
      <c r="G86" s="462" t="s">
        <v>1290</v>
      </c>
    </row>
    <row r="87" spans="2:7" ht="16" customHeight="1">
      <c r="B87" s="3"/>
      <c r="C87" s="463"/>
      <c r="D87" s="8">
        <v>84</v>
      </c>
      <c r="E87" s="324" t="s">
        <v>1291</v>
      </c>
      <c r="F87" s="8" t="s">
        <v>1292</v>
      </c>
      <c r="G87" s="461" t="s">
        <v>1293</v>
      </c>
    </row>
    <row r="88" spans="2:7" ht="16" customHeight="1">
      <c r="B88" s="3"/>
      <c r="C88" s="463"/>
      <c r="D88" s="8">
        <v>85</v>
      </c>
      <c r="E88" s="324" t="s">
        <v>1294</v>
      </c>
      <c r="F88" s="8" t="s">
        <v>1295</v>
      </c>
      <c r="G88" s="461" t="s">
        <v>1296</v>
      </c>
    </row>
    <row r="89" spans="2:7" ht="16" customHeight="1">
      <c r="B89" s="3"/>
      <c r="C89" s="463"/>
      <c r="D89" s="8">
        <v>86</v>
      </c>
      <c r="E89" s="324" t="s">
        <v>1297</v>
      </c>
      <c r="F89" s="8" t="s">
        <v>1298</v>
      </c>
      <c r="G89" s="461" t="s">
        <v>1299</v>
      </c>
    </row>
    <row r="90" spans="2:7" ht="16" customHeight="1">
      <c r="B90" s="3"/>
      <c r="C90" s="463"/>
      <c r="D90" s="8">
        <v>87</v>
      </c>
      <c r="E90" s="324" t="s">
        <v>1300</v>
      </c>
      <c r="F90" s="8" t="s">
        <v>1301</v>
      </c>
      <c r="G90" s="461" t="s">
        <v>1302</v>
      </c>
    </row>
    <row r="91" spans="2:7" ht="16" customHeight="1">
      <c r="B91" s="3"/>
      <c r="C91" s="463"/>
      <c r="D91" s="8">
        <v>88</v>
      </c>
      <c r="E91" s="324" t="s">
        <v>1303</v>
      </c>
      <c r="F91" s="8" t="s">
        <v>1304</v>
      </c>
      <c r="G91" s="461" t="s">
        <v>1305</v>
      </c>
    </row>
    <row r="92" spans="2:7" ht="16" customHeight="1">
      <c r="B92" s="3"/>
      <c r="C92" s="463" t="s">
        <v>1044</v>
      </c>
      <c r="D92" s="8">
        <v>89</v>
      </c>
      <c r="E92" s="324" t="s">
        <v>1306</v>
      </c>
      <c r="F92" s="8" t="s">
        <v>1307</v>
      </c>
      <c r="G92" s="461" t="s">
        <v>1308</v>
      </c>
    </row>
    <row r="93" spans="2:7" ht="16" customHeight="1">
      <c r="B93" s="3"/>
      <c r="C93" s="357"/>
      <c r="D93" s="8">
        <v>90</v>
      </c>
      <c r="E93" s="324" t="s">
        <v>1309</v>
      </c>
      <c r="F93" s="50" t="s">
        <v>1310</v>
      </c>
      <c r="G93" s="462" t="s">
        <v>1311</v>
      </c>
    </row>
    <row r="94" spans="2:7">
      <c r="C94" s="6"/>
      <c r="D94" s="327"/>
      <c r="E94" s="327"/>
      <c r="F94" s="7"/>
      <c r="G94" s="458"/>
    </row>
  </sheetData>
  <sheetProtection algorithmName="SHA-512" hashValue="P5j39vo8yDoVR7O5eyN/VgYO0zXO2sUQhZKYQO67a/j/Y7FPO8Jg4KMOdW5PXFG+6gSCp5F2BYeG77iCKNs+Pw==" saltValue="I8WLbr5V+6u0nv77FLY2EQ==" spinCount="100000" sheet="1" selectLockedCells="1"/>
  <autoFilter ref="C3:F93" xr:uid="{00000000-0009-0000-0000-000001000000}"/>
  <conditionalFormatting sqref="D85">
    <cfRule type="duplicateValues" dxfId="1" priority="1"/>
  </conditionalFormatting>
  <conditionalFormatting sqref="D86:D1048576 D1:D84">
    <cfRule type="duplicateValues" dxfId="0" priority="2"/>
  </conditionalFormatting>
  <dataValidations count="1">
    <dataValidation type="list" showInputMessage="1" showErrorMessage="1" sqref="C87:C92 C81:C85 C72:C79 C53:C70 C48:C51 C36:C46 C26:C34 C18:C24 C4:C9 C11:C16" xr:uid="{00000000-0002-0000-0100-000000000000}">
      <formula1>"x"</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0"/>
  <sheetViews>
    <sheetView topLeftCell="A5" zoomScale="80" zoomScaleNormal="80" workbookViewId="0"/>
  </sheetViews>
  <sheetFormatPr baseColWidth="10" defaultColWidth="10.6640625" defaultRowHeight="16"/>
  <cols>
    <col min="1" max="1" width="10.6640625" style="556" customWidth="1"/>
    <col min="2" max="2" width="8.6640625" style="556" customWidth="1"/>
    <col min="3" max="3" width="27.6640625" style="556" customWidth="1"/>
    <col min="4" max="4" width="31.1640625" style="556" customWidth="1"/>
    <col min="5" max="5" width="28" style="556" customWidth="1"/>
    <col min="6" max="7" width="51.1640625" style="649" customWidth="1"/>
    <col min="8" max="9" width="22.6640625" style="556" customWidth="1"/>
    <col min="10" max="11" width="10.6640625" style="556" customWidth="1"/>
    <col min="12" max="12" width="44" style="556" customWidth="1"/>
    <col min="13" max="13" width="10.6640625" style="556" customWidth="1"/>
    <col min="14" max="16384" width="10.6640625" style="556"/>
  </cols>
  <sheetData>
    <row r="1" spans="1:13" ht="40.25" customHeight="1" thickBot="1">
      <c r="C1" s="557"/>
      <c r="D1" s="557"/>
      <c r="E1" s="557"/>
      <c r="F1" s="558"/>
      <c r="G1" s="558"/>
      <c r="H1" s="557"/>
      <c r="I1" s="557"/>
    </row>
    <row r="2" spans="1:13" ht="17" customHeight="1" thickBot="1">
      <c r="A2" s="559"/>
      <c r="B2" s="560"/>
      <c r="C2" s="561" t="s">
        <v>1312</v>
      </c>
      <c r="D2" s="562" t="s">
        <v>1313</v>
      </c>
      <c r="E2" s="563" t="s">
        <v>1314</v>
      </c>
      <c r="F2" s="564" t="s">
        <v>1315</v>
      </c>
      <c r="G2" s="565" t="s">
        <v>1316</v>
      </c>
      <c r="H2" s="562" t="s">
        <v>1317</v>
      </c>
      <c r="I2" s="566" t="s">
        <v>1318</v>
      </c>
      <c r="J2" s="567"/>
    </row>
    <row r="3" spans="1:13" ht="32" customHeight="1">
      <c r="A3" s="559"/>
      <c r="B3" s="682" t="s">
        <v>1319</v>
      </c>
      <c r="C3" s="568" t="s">
        <v>1320</v>
      </c>
      <c r="D3" s="569" t="s">
        <v>1321</v>
      </c>
      <c r="E3" s="570" t="s">
        <v>1322</v>
      </c>
      <c r="F3" s="571" t="s">
        <v>1323</v>
      </c>
      <c r="G3" s="572" t="s">
        <v>1324</v>
      </c>
      <c r="H3" s="573" t="s">
        <v>1325</v>
      </c>
      <c r="I3" s="574" t="s">
        <v>1326</v>
      </c>
      <c r="J3" s="567"/>
    </row>
    <row r="4" spans="1:13" ht="32" customHeight="1">
      <c r="A4" s="559"/>
      <c r="B4" s="667"/>
      <c r="C4" s="575" t="s">
        <v>1327</v>
      </c>
      <c r="D4" s="576" t="s">
        <v>1328</v>
      </c>
      <c r="E4" s="570" t="s">
        <v>1329</v>
      </c>
      <c r="F4" s="577" t="s">
        <v>1330</v>
      </c>
      <c r="G4" s="572" t="s">
        <v>1331</v>
      </c>
      <c r="H4" s="578" t="s">
        <v>1332</v>
      </c>
      <c r="I4" s="579" t="s">
        <v>1333</v>
      </c>
      <c r="J4" s="567"/>
    </row>
    <row r="5" spans="1:13" ht="80" customHeight="1">
      <c r="A5" s="559"/>
      <c r="B5" s="667"/>
      <c r="C5" s="575" t="s">
        <v>1334</v>
      </c>
      <c r="D5" s="580" t="s">
        <v>1335</v>
      </c>
      <c r="E5" s="570" t="s">
        <v>1336</v>
      </c>
      <c r="F5" s="577" t="s">
        <v>1337</v>
      </c>
      <c r="G5" s="572" t="s">
        <v>1338</v>
      </c>
      <c r="H5" s="578" t="s">
        <v>1339</v>
      </c>
      <c r="I5" s="579" t="s">
        <v>1340</v>
      </c>
      <c r="J5" s="567"/>
    </row>
    <row r="6" spans="1:13" ht="76.25" customHeight="1">
      <c r="A6" s="559"/>
      <c r="B6" s="667"/>
      <c r="C6" s="575" t="s">
        <v>1341</v>
      </c>
      <c r="D6" s="581" t="s">
        <v>1342</v>
      </c>
      <c r="E6" s="582" t="s">
        <v>1343</v>
      </c>
      <c r="F6" s="583" t="s">
        <v>1344</v>
      </c>
      <c r="G6" s="584" t="s">
        <v>1345</v>
      </c>
      <c r="H6" s="585" t="s">
        <v>1346</v>
      </c>
      <c r="I6" s="586" t="s">
        <v>1347</v>
      </c>
      <c r="J6" s="567"/>
    </row>
    <row r="7" spans="1:13" ht="105.5" customHeight="1">
      <c r="A7" s="559"/>
      <c r="B7" s="667"/>
      <c r="C7" s="575" t="s">
        <v>1348</v>
      </c>
      <c r="D7" s="580" t="str">
        <f>IF(E7="ليس في الموسم بعد","Not yet in season",IF(E7="إعداد الأرض","Land preparation",IF(E7="الزرع","Planting",IF(E7="النمو المبكر","Early growing",IF(E7="النمو","Growing",IF(E7="النضوج","Maturing",IF(E7="الحصاد","Harvesting",IF(E7="انتهى مؤخرا","Recently Finished",""))))))))</f>
        <v>Growing</v>
      </c>
      <c r="E7" s="570" t="s">
        <v>1349</v>
      </c>
      <c r="F7" s="583" t="s">
        <v>1350</v>
      </c>
      <c r="G7" s="587" t="s">
        <v>1351</v>
      </c>
      <c r="H7" s="585" t="s">
        <v>1352</v>
      </c>
      <c r="I7" s="588" t="s">
        <v>1353</v>
      </c>
      <c r="J7" s="567"/>
    </row>
    <row r="8" spans="1:13" ht="159.5" customHeight="1" thickBot="1">
      <c r="A8" s="559"/>
      <c r="B8" s="667"/>
      <c r="C8" s="589" t="s">
        <v>1354</v>
      </c>
      <c r="D8" s="660" t="s">
        <v>1355</v>
      </c>
      <c r="E8" s="661" t="s">
        <v>1356</v>
      </c>
      <c r="F8" s="590" t="s">
        <v>1357</v>
      </c>
      <c r="G8" s="587" t="s">
        <v>1358</v>
      </c>
      <c r="H8" s="585" t="s">
        <v>1359</v>
      </c>
      <c r="I8" s="591" t="s">
        <v>1360</v>
      </c>
      <c r="J8" s="567"/>
    </row>
    <row r="9" spans="1:13" ht="62" customHeight="1" thickBot="1">
      <c r="A9" s="559"/>
      <c r="B9" s="678"/>
      <c r="C9" s="592" t="s">
        <v>1361</v>
      </c>
      <c r="D9" s="593" t="str">
        <f>IF(E9&lt;&gt;"",E9,"")</f>
        <v/>
      </c>
      <c r="E9" s="594"/>
      <c r="F9" s="595" t="s">
        <v>1362</v>
      </c>
      <c r="G9" s="596" t="s">
        <v>1363</v>
      </c>
      <c r="H9" s="597">
        <v>0.2</v>
      </c>
      <c r="I9" s="598">
        <v>0.2</v>
      </c>
      <c r="J9" s="567"/>
    </row>
    <row r="10" spans="1:13" ht="32" customHeight="1">
      <c r="A10" s="559"/>
      <c r="B10" s="682" t="s">
        <v>1364</v>
      </c>
      <c r="C10" s="599" t="s">
        <v>1365</v>
      </c>
      <c r="D10" s="570" t="s">
        <v>1366</v>
      </c>
      <c r="E10" s="600"/>
      <c r="F10" s="601" t="s">
        <v>1367</v>
      </c>
      <c r="G10" s="602" t="s">
        <v>1368</v>
      </c>
      <c r="H10" s="603" t="s">
        <v>1369</v>
      </c>
      <c r="I10" s="604" t="s">
        <v>1370</v>
      </c>
      <c r="J10" s="567"/>
    </row>
    <row r="11" spans="1:13" ht="120.75" customHeight="1">
      <c r="A11" s="559"/>
      <c r="B11" s="667"/>
      <c r="C11" s="605" t="s">
        <v>1371</v>
      </c>
      <c r="D11" s="606" t="s">
        <v>1366</v>
      </c>
      <c r="E11" s="607"/>
      <c r="F11" s="608" t="s">
        <v>1372</v>
      </c>
      <c r="G11" s="609" t="s">
        <v>1373</v>
      </c>
      <c r="H11" s="610">
        <v>5</v>
      </c>
      <c r="I11" s="611">
        <v>5</v>
      </c>
      <c r="J11" s="567"/>
      <c r="L11" s="557"/>
    </row>
    <row r="12" spans="1:13" ht="158" customHeight="1">
      <c r="A12" s="559"/>
      <c r="B12" s="667"/>
      <c r="C12" s="575" t="s">
        <v>1374</v>
      </c>
      <c r="D12" s="606" t="s">
        <v>1366</v>
      </c>
      <c r="E12" s="612"/>
      <c r="F12" s="583" t="s">
        <v>1375</v>
      </c>
      <c r="G12" s="609" t="s">
        <v>1376</v>
      </c>
      <c r="H12" s="613">
        <v>5000000</v>
      </c>
      <c r="I12" s="611">
        <v>5000000</v>
      </c>
      <c r="J12" s="567"/>
      <c r="K12" s="559"/>
      <c r="L12" s="614"/>
      <c r="M12" s="567"/>
    </row>
    <row r="13" spans="1:13" ht="116.25" customHeight="1">
      <c r="A13" s="559"/>
      <c r="B13" s="667"/>
      <c r="C13" s="605" t="s">
        <v>1377</v>
      </c>
      <c r="D13" s="606" t="s">
        <v>1366</v>
      </c>
      <c r="E13" s="615"/>
      <c r="F13" s="590" t="s">
        <v>1378</v>
      </c>
      <c r="G13" s="616" t="s">
        <v>1379</v>
      </c>
      <c r="H13" s="613">
        <v>1200000</v>
      </c>
      <c r="I13" s="611">
        <v>1200000</v>
      </c>
      <c r="J13" s="567"/>
      <c r="L13" s="617"/>
    </row>
    <row r="14" spans="1:13" ht="77" customHeight="1">
      <c r="A14" s="559"/>
      <c r="B14" s="667"/>
      <c r="C14" s="589" t="s">
        <v>1380</v>
      </c>
      <c r="D14" s="618" t="s">
        <v>1381</v>
      </c>
      <c r="E14" s="615" t="s">
        <v>1382</v>
      </c>
      <c r="F14" s="583" t="s">
        <v>1383</v>
      </c>
      <c r="G14" s="609" t="s">
        <v>1384</v>
      </c>
      <c r="H14" s="585" t="s">
        <v>1385</v>
      </c>
      <c r="I14" s="586" t="s">
        <v>1386</v>
      </c>
      <c r="J14" s="567"/>
    </row>
    <row r="15" spans="1:13" ht="68.5" customHeight="1" thickBot="1">
      <c r="A15" s="559"/>
      <c r="B15" s="678"/>
      <c r="C15" s="619" t="s">
        <v>1387</v>
      </c>
      <c r="D15" s="620" t="s">
        <v>1388</v>
      </c>
      <c r="E15" s="621" t="s">
        <v>1389</v>
      </c>
      <c r="F15" s="622" t="s">
        <v>1390</v>
      </c>
      <c r="G15" s="623" t="s">
        <v>1391</v>
      </c>
      <c r="H15" s="624" t="s">
        <v>1392</v>
      </c>
      <c r="I15" s="625" t="s">
        <v>1393</v>
      </c>
      <c r="J15" s="567"/>
    </row>
    <row r="16" spans="1:13" ht="5.75" customHeight="1" thickBot="1">
      <c r="A16" s="559"/>
      <c r="B16" s="626"/>
      <c r="C16" s="627"/>
      <c r="D16" s="628"/>
      <c r="E16" s="629"/>
      <c r="F16" s="630"/>
      <c r="G16" s="631"/>
      <c r="H16" s="632"/>
      <c r="I16" s="633"/>
      <c r="J16" s="567"/>
    </row>
    <row r="17" spans="1:10" ht="133.25" customHeight="1">
      <c r="A17" s="559"/>
      <c r="B17" s="683" t="s">
        <v>1394</v>
      </c>
      <c r="C17" s="634" t="s">
        <v>1395</v>
      </c>
      <c r="D17" s="635" t="str">
        <f>IF(E17="","",E17)</f>
        <v>51% (Source: DIEM Round 4)</v>
      </c>
      <c r="E17" s="636" t="s">
        <v>1396</v>
      </c>
      <c r="F17" s="637" t="s">
        <v>1397</v>
      </c>
      <c r="G17" s="638" t="s">
        <v>1398</v>
      </c>
      <c r="H17" s="490">
        <v>0.91</v>
      </c>
      <c r="I17" s="456">
        <v>0.91</v>
      </c>
      <c r="J17" s="567"/>
    </row>
    <row r="18" spans="1:10" ht="144" customHeight="1">
      <c r="A18" s="559"/>
      <c r="B18" s="667"/>
      <c r="C18" s="639" t="s">
        <v>1399</v>
      </c>
      <c r="D18" s="640" t="str">
        <f>IF(E18="","",E18)</f>
        <v>57% (Source: DIEM Round 4)</v>
      </c>
      <c r="E18" s="641" t="s">
        <v>1400</v>
      </c>
      <c r="F18" s="642" t="s">
        <v>1401</v>
      </c>
      <c r="G18" s="643" t="s">
        <v>1402</v>
      </c>
      <c r="H18" s="454">
        <v>0.91</v>
      </c>
      <c r="I18" s="115">
        <v>0.91</v>
      </c>
      <c r="J18" s="567"/>
    </row>
    <row r="19" spans="1:10" ht="107.75" customHeight="1" thickBot="1">
      <c r="A19" s="559"/>
      <c r="B19" s="678"/>
      <c r="C19" s="644" t="s">
        <v>1403</v>
      </c>
      <c r="D19" s="645" t="str">
        <f>IF(E19="","",E19)</f>
        <v>2% (Source: DIEM Round 4)</v>
      </c>
      <c r="E19" s="646" t="s">
        <v>1404</v>
      </c>
      <c r="F19" s="647" t="s">
        <v>1405</v>
      </c>
      <c r="G19" s="623" t="s">
        <v>1406</v>
      </c>
      <c r="H19" s="455">
        <v>0.05</v>
      </c>
      <c r="I19" s="116">
        <v>0.05</v>
      </c>
      <c r="J19" s="567"/>
    </row>
    <row r="20" spans="1:10">
      <c r="B20" s="617"/>
      <c r="C20" s="617"/>
      <c r="D20" s="617"/>
      <c r="E20" s="617"/>
      <c r="F20" s="648"/>
      <c r="G20" s="648"/>
      <c r="H20" s="617"/>
      <c r="I20" s="617"/>
    </row>
  </sheetData>
  <mergeCells count="3">
    <mergeCell ref="B3:B9"/>
    <mergeCell ref="B10:B15"/>
    <mergeCell ref="B17:B19"/>
  </mergeCells>
  <dataValidations count="2">
    <dataValidation type="list" showInputMessage="1" showErrorMessage="1" sqref="E7" xr:uid="{00000000-0002-0000-0200-000000000000}">
      <formula1>"ليس في الموسم بعد,إعداد الأرض,الزرع,النمو المبكر,النمو,النضوج,الحصاد,انتهى مؤخرا"</formula1>
    </dataValidation>
    <dataValidation type="list" showInputMessage="1" showErrorMessage="1" sqref="E5" xr:uid="{00000000-0002-0000-0200-000001000000}">
      <formula1>"العام العادي,  العام الماضي"</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34"/>
  <sheetViews>
    <sheetView workbookViewId="0">
      <selection activeCell="B4" sqref="B4"/>
    </sheetView>
  </sheetViews>
  <sheetFormatPr baseColWidth="10" defaultColWidth="9" defaultRowHeight="15"/>
  <cols>
    <col min="1" max="1" width="20" bestFit="1" customWidth="1"/>
    <col min="2" max="2" width="15.1640625" bestFit="1" customWidth="1"/>
    <col min="3" max="3" width="11.1640625" bestFit="1" customWidth="1"/>
    <col min="4" max="4" width="10.6640625" bestFit="1" customWidth="1"/>
    <col min="5" max="5" width="11.1640625" bestFit="1" customWidth="1"/>
    <col min="6" max="6" width="10.6640625" bestFit="1" customWidth="1"/>
    <col min="7" max="7" width="9.83203125" bestFit="1" customWidth="1"/>
  </cols>
  <sheetData>
    <row r="1" spans="1:7">
      <c r="A1" s="662" t="s">
        <v>1407</v>
      </c>
      <c r="B1" s="662" t="s">
        <v>1408</v>
      </c>
      <c r="C1" s="662" t="s">
        <v>1409</v>
      </c>
      <c r="D1" s="662" t="s">
        <v>1410</v>
      </c>
      <c r="E1" s="662" t="s">
        <v>1411</v>
      </c>
      <c r="F1" s="662" t="s">
        <v>1412</v>
      </c>
      <c r="G1" s="662" t="s">
        <v>1413</v>
      </c>
    </row>
    <row r="2" spans="1:7">
      <c r="A2" t="s">
        <v>1414</v>
      </c>
      <c r="B2" t="s">
        <v>1415</v>
      </c>
      <c r="C2" t="s">
        <v>1416</v>
      </c>
      <c r="D2" t="s">
        <v>1417</v>
      </c>
      <c r="E2" t="s">
        <v>1418</v>
      </c>
      <c r="F2" t="s">
        <v>1419</v>
      </c>
      <c r="G2" t="s">
        <v>1420</v>
      </c>
    </row>
    <row r="3" spans="1:7">
      <c r="A3" t="s">
        <v>1421</v>
      </c>
      <c r="B3" t="s">
        <v>1422</v>
      </c>
      <c r="C3" t="s">
        <v>1423</v>
      </c>
      <c r="D3" t="s">
        <v>1417</v>
      </c>
      <c r="E3" t="s">
        <v>1418</v>
      </c>
      <c r="F3" t="s">
        <v>1419</v>
      </c>
      <c r="G3" t="s">
        <v>1420</v>
      </c>
    </row>
    <row r="4" spans="1:7">
      <c r="A4" t="s">
        <v>1424</v>
      </c>
      <c r="B4" t="s">
        <v>1425</v>
      </c>
      <c r="C4" t="s">
        <v>1426</v>
      </c>
      <c r="D4" t="s">
        <v>1417</v>
      </c>
      <c r="E4" t="s">
        <v>1418</v>
      </c>
      <c r="F4" t="s">
        <v>1419</v>
      </c>
      <c r="G4" t="s">
        <v>1420</v>
      </c>
    </row>
    <row r="5" spans="1:7">
      <c r="A5" t="s">
        <v>1417</v>
      </c>
      <c r="B5" t="s">
        <v>1427</v>
      </c>
      <c r="C5" t="s">
        <v>1428</v>
      </c>
      <c r="D5" t="s">
        <v>1417</v>
      </c>
      <c r="E5" t="s">
        <v>1418</v>
      </c>
      <c r="F5" t="s">
        <v>1419</v>
      </c>
      <c r="G5" t="s">
        <v>1420</v>
      </c>
    </row>
    <row r="6" spans="1:7">
      <c r="A6" t="s">
        <v>1429</v>
      </c>
      <c r="B6" t="s">
        <v>1430</v>
      </c>
      <c r="C6" t="s">
        <v>1431</v>
      </c>
      <c r="D6" t="s">
        <v>1432</v>
      </c>
      <c r="E6" t="s">
        <v>1433</v>
      </c>
      <c r="F6" t="s">
        <v>1419</v>
      </c>
      <c r="G6" t="s">
        <v>1420</v>
      </c>
    </row>
    <row r="7" spans="1:7">
      <c r="A7" t="s">
        <v>1434</v>
      </c>
      <c r="B7" t="s">
        <v>1435</v>
      </c>
      <c r="C7" t="s">
        <v>1436</v>
      </c>
      <c r="D7" t="s">
        <v>1417</v>
      </c>
      <c r="E7" t="s">
        <v>1418</v>
      </c>
      <c r="F7" t="s">
        <v>1419</v>
      </c>
      <c r="G7" t="s">
        <v>1420</v>
      </c>
    </row>
    <row r="8" spans="1:7">
      <c r="A8" t="s">
        <v>1437</v>
      </c>
      <c r="B8" t="s">
        <v>1438</v>
      </c>
      <c r="C8" t="s">
        <v>1439</v>
      </c>
      <c r="D8" t="s">
        <v>1417</v>
      </c>
      <c r="E8" t="s">
        <v>1418</v>
      </c>
      <c r="F8" t="s">
        <v>1419</v>
      </c>
      <c r="G8" t="s">
        <v>1420</v>
      </c>
    </row>
    <row r="9" spans="1:7">
      <c r="A9" t="s">
        <v>1440</v>
      </c>
      <c r="B9" t="s">
        <v>1441</v>
      </c>
      <c r="C9" t="s">
        <v>1442</v>
      </c>
      <c r="D9" t="s">
        <v>1417</v>
      </c>
      <c r="E9" t="s">
        <v>1418</v>
      </c>
      <c r="F9" t="s">
        <v>1419</v>
      </c>
      <c r="G9" t="s">
        <v>1420</v>
      </c>
    </row>
    <row r="10" spans="1:7">
      <c r="A10" t="s">
        <v>1443</v>
      </c>
      <c r="B10" t="s">
        <v>1444</v>
      </c>
      <c r="C10" t="s">
        <v>1445</v>
      </c>
      <c r="D10" t="s">
        <v>1446</v>
      </c>
      <c r="E10" t="s">
        <v>1447</v>
      </c>
      <c r="F10" t="s">
        <v>1419</v>
      </c>
      <c r="G10" t="s">
        <v>1420</v>
      </c>
    </row>
    <row r="11" spans="1:7">
      <c r="A11" t="s">
        <v>1448</v>
      </c>
      <c r="B11" t="s">
        <v>1449</v>
      </c>
      <c r="C11" t="s">
        <v>1450</v>
      </c>
      <c r="D11" t="s">
        <v>1417</v>
      </c>
      <c r="E11" t="s">
        <v>1418</v>
      </c>
      <c r="F11" t="s">
        <v>1419</v>
      </c>
      <c r="G11" t="s">
        <v>1420</v>
      </c>
    </row>
    <row r="12" spans="1:7">
      <c r="A12" t="s">
        <v>1451</v>
      </c>
      <c r="B12" t="s">
        <v>1452</v>
      </c>
      <c r="C12" t="s">
        <v>1453</v>
      </c>
      <c r="D12" t="s">
        <v>1417</v>
      </c>
      <c r="E12" t="s">
        <v>1418</v>
      </c>
      <c r="F12" t="s">
        <v>1419</v>
      </c>
      <c r="G12" t="s">
        <v>1420</v>
      </c>
    </row>
    <row r="13" spans="1:7">
      <c r="A13" t="s">
        <v>1454</v>
      </c>
      <c r="B13" t="s">
        <v>1455</v>
      </c>
      <c r="C13" t="s">
        <v>1456</v>
      </c>
      <c r="D13" t="s">
        <v>1417</v>
      </c>
      <c r="E13" t="s">
        <v>1418</v>
      </c>
      <c r="F13" t="s">
        <v>1419</v>
      </c>
      <c r="G13" t="s">
        <v>1420</v>
      </c>
    </row>
    <row r="14" spans="1:7">
      <c r="A14" t="s">
        <v>1457</v>
      </c>
      <c r="B14" t="s">
        <v>1458</v>
      </c>
      <c r="C14" t="s">
        <v>1459</v>
      </c>
      <c r="D14" t="s">
        <v>1417</v>
      </c>
      <c r="E14" t="s">
        <v>1418</v>
      </c>
      <c r="F14" t="s">
        <v>1419</v>
      </c>
      <c r="G14" t="s">
        <v>1420</v>
      </c>
    </row>
    <row r="15" spans="1:7">
      <c r="A15" t="s">
        <v>1460</v>
      </c>
      <c r="B15" t="s">
        <v>1461</v>
      </c>
      <c r="C15" t="s">
        <v>1462</v>
      </c>
      <c r="D15" t="s">
        <v>1417</v>
      </c>
      <c r="E15" t="s">
        <v>1418</v>
      </c>
      <c r="F15" t="s">
        <v>1419</v>
      </c>
      <c r="G15" t="s">
        <v>1420</v>
      </c>
    </row>
    <row r="16" spans="1:7">
      <c r="A16" t="s">
        <v>1463</v>
      </c>
      <c r="B16" t="s">
        <v>1464</v>
      </c>
      <c r="C16" t="s">
        <v>1465</v>
      </c>
      <c r="D16" t="s">
        <v>1417</v>
      </c>
      <c r="E16" t="s">
        <v>1418</v>
      </c>
      <c r="F16" t="s">
        <v>1419</v>
      </c>
      <c r="G16" t="s">
        <v>1420</v>
      </c>
    </row>
    <row r="17" spans="1:7">
      <c r="A17" t="s">
        <v>1466</v>
      </c>
      <c r="B17" t="s">
        <v>1467</v>
      </c>
      <c r="C17" t="s">
        <v>1468</v>
      </c>
      <c r="D17" t="s">
        <v>1417</v>
      </c>
      <c r="E17" t="s">
        <v>1418</v>
      </c>
      <c r="F17" t="s">
        <v>1419</v>
      </c>
      <c r="G17" t="s">
        <v>1420</v>
      </c>
    </row>
    <row r="18" spans="1:7">
      <c r="A18" t="s">
        <v>1469</v>
      </c>
      <c r="B18" t="s">
        <v>1470</v>
      </c>
      <c r="C18" t="s">
        <v>1471</v>
      </c>
      <c r="D18" t="s">
        <v>1417</v>
      </c>
      <c r="E18" t="s">
        <v>1418</v>
      </c>
      <c r="F18" t="s">
        <v>1419</v>
      </c>
      <c r="G18" t="s">
        <v>1420</v>
      </c>
    </row>
    <row r="19" spans="1:7">
      <c r="A19" t="s">
        <v>1472</v>
      </c>
      <c r="B19" t="s">
        <v>1473</v>
      </c>
      <c r="C19" t="s">
        <v>1474</v>
      </c>
      <c r="D19" t="s">
        <v>1417</v>
      </c>
      <c r="E19" t="s">
        <v>1418</v>
      </c>
      <c r="F19" t="s">
        <v>1419</v>
      </c>
      <c r="G19" t="s">
        <v>1420</v>
      </c>
    </row>
    <row r="20" spans="1:7">
      <c r="A20" t="s">
        <v>1475</v>
      </c>
      <c r="B20" t="s">
        <v>1476</v>
      </c>
      <c r="C20" t="s">
        <v>1477</v>
      </c>
      <c r="D20" t="s">
        <v>1446</v>
      </c>
      <c r="E20" t="s">
        <v>1447</v>
      </c>
      <c r="F20" t="s">
        <v>1419</v>
      </c>
      <c r="G20" t="s">
        <v>1420</v>
      </c>
    </row>
    <row r="21" spans="1:7">
      <c r="A21" t="s">
        <v>1478</v>
      </c>
      <c r="B21" t="s">
        <v>1479</v>
      </c>
      <c r="C21" t="s">
        <v>1480</v>
      </c>
      <c r="D21" t="s">
        <v>1446</v>
      </c>
      <c r="E21" t="s">
        <v>1447</v>
      </c>
      <c r="F21" t="s">
        <v>1419</v>
      </c>
      <c r="G21" t="s">
        <v>1420</v>
      </c>
    </row>
    <row r="22" spans="1:7">
      <c r="A22" t="s">
        <v>1481</v>
      </c>
      <c r="B22" t="s">
        <v>1482</v>
      </c>
      <c r="C22" t="s">
        <v>1483</v>
      </c>
      <c r="D22" t="s">
        <v>1417</v>
      </c>
      <c r="E22" t="s">
        <v>1418</v>
      </c>
      <c r="F22" t="s">
        <v>1419</v>
      </c>
      <c r="G22" t="s">
        <v>1420</v>
      </c>
    </row>
    <row r="23" spans="1:7">
      <c r="A23" t="s">
        <v>1484</v>
      </c>
      <c r="B23" t="s">
        <v>1485</v>
      </c>
      <c r="C23" t="s">
        <v>1486</v>
      </c>
      <c r="D23" t="s">
        <v>1487</v>
      </c>
      <c r="E23" t="s">
        <v>1488</v>
      </c>
      <c r="F23" t="s">
        <v>1419</v>
      </c>
      <c r="G23" t="s">
        <v>1420</v>
      </c>
    </row>
    <row r="24" spans="1:7">
      <c r="A24" t="s">
        <v>1489</v>
      </c>
      <c r="B24" t="s">
        <v>1490</v>
      </c>
      <c r="C24" t="s">
        <v>1491</v>
      </c>
      <c r="D24" t="s">
        <v>1417</v>
      </c>
      <c r="E24" t="s">
        <v>1418</v>
      </c>
      <c r="F24" t="s">
        <v>1419</v>
      </c>
      <c r="G24" t="s">
        <v>1420</v>
      </c>
    </row>
    <row r="25" spans="1:7">
      <c r="A25" t="s">
        <v>1492</v>
      </c>
      <c r="B25" t="s">
        <v>1493</v>
      </c>
      <c r="C25" t="s">
        <v>1494</v>
      </c>
      <c r="D25" t="s">
        <v>1417</v>
      </c>
      <c r="E25" t="s">
        <v>1418</v>
      </c>
      <c r="F25" t="s">
        <v>1419</v>
      </c>
      <c r="G25" t="s">
        <v>1420</v>
      </c>
    </row>
    <row r="26" spans="1:7">
      <c r="A26" t="s">
        <v>1495</v>
      </c>
      <c r="B26" t="s">
        <v>1496</v>
      </c>
      <c r="C26" t="s">
        <v>1497</v>
      </c>
      <c r="D26" t="s">
        <v>1498</v>
      </c>
      <c r="E26" t="s">
        <v>1499</v>
      </c>
      <c r="F26" t="s">
        <v>1419</v>
      </c>
      <c r="G26" t="s">
        <v>1420</v>
      </c>
    </row>
    <row r="27" spans="1:7">
      <c r="A27" t="s">
        <v>1500</v>
      </c>
      <c r="B27" t="s">
        <v>1501</v>
      </c>
      <c r="C27" t="s">
        <v>1502</v>
      </c>
      <c r="D27" t="s">
        <v>1417</v>
      </c>
      <c r="E27" t="s">
        <v>1418</v>
      </c>
      <c r="F27" t="s">
        <v>1419</v>
      </c>
      <c r="G27" t="s">
        <v>1420</v>
      </c>
    </row>
    <row r="28" spans="1:7">
      <c r="A28" t="s">
        <v>1503</v>
      </c>
      <c r="B28" t="s">
        <v>1504</v>
      </c>
      <c r="C28" t="s">
        <v>1505</v>
      </c>
      <c r="D28" t="s">
        <v>1446</v>
      </c>
      <c r="E28" t="s">
        <v>1447</v>
      </c>
      <c r="F28" t="s">
        <v>1419</v>
      </c>
      <c r="G28" t="s">
        <v>1420</v>
      </c>
    </row>
    <row r="29" spans="1:7">
      <c r="A29" t="s">
        <v>1506</v>
      </c>
      <c r="B29" t="s">
        <v>1507</v>
      </c>
      <c r="C29" t="s">
        <v>1508</v>
      </c>
      <c r="D29" t="s">
        <v>1509</v>
      </c>
      <c r="E29" t="s">
        <v>1510</v>
      </c>
      <c r="F29" t="s">
        <v>1419</v>
      </c>
      <c r="G29" t="s">
        <v>1420</v>
      </c>
    </row>
    <row r="30" spans="1:7">
      <c r="A30" t="s">
        <v>1511</v>
      </c>
      <c r="B30" t="s">
        <v>1512</v>
      </c>
      <c r="C30" t="s">
        <v>1513</v>
      </c>
      <c r="D30" t="s">
        <v>1446</v>
      </c>
      <c r="E30" t="s">
        <v>1447</v>
      </c>
      <c r="F30" t="s">
        <v>1419</v>
      </c>
      <c r="G30" t="s">
        <v>1420</v>
      </c>
    </row>
    <row r="31" spans="1:7">
      <c r="A31" t="s">
        <v>1514</v>
      </c>
      <c r="B31" t="s">
        <v>1515</v>
      </c>
      <c r="C31" t="s">
        <v>1516</v>
      </c>
      <c r="D31" t="s">
        <v>1446</v>
      </c>
      <c r="E31" t="s">
        <v>1447</v>
      </c>
      <c r="F31" t="s">
        <v>1419</v>
      </c>
      <c r="G31" t="s">
        <v>1420</v>
      </c>
    </row>
    <row r="32" spans="1:7">
      <c r="A32" t="s">
        <v>1517</v>
      </c>
      <c r="B32" t="s">
        <v>1518</v>
      </c>
      <c r="C32" t="s">
        <v>1519</v>
      </c>
      <c r="D32" t="s">
        <v>1498</v>
      </c>
      <c r="E32" t="s">
        <v>1499</v>
      </c>
      <c r="F32" t="s">
        <v>1419</v>
      </c>
      <c r="G32" t="s">
        <v>1420</v>
      </c>
    </row>
    <row r="33" spans="1:7">
      <c r="A33" t="s">
        <v>1520</v>
      </c>
      <c r="B33" t="s">
        <v>1521</v>
      </c>
      <c r="C33" t="s">
        <v>1522</v>
      </c>
      <c r="D33" t="s">
        <v>1446</v>
      </c>
      <c r="E33" t="s">
        <v>1447</v>
      </c>
      <c r="F33" t="s">
        <v>1419</v>
      </c>
      <c r="G33" t="s">
        <v>1420</v>
      </c>
    </row>
    <row r="34" spans="1:7">
      <c r="A34" t="s">
        <v>1523</v>
      </c>
      <c r="B34" t="s">
        <v>1524</v>
      </c>
      <c r="C34" t="s">
        <v>1525</v>
      </c>
      <c r="D34" t="s">
        <v>1446</v>
      </c>
      <c r="E34" t="s">
        <v>1447</v>
      </c>
      <c r="F34" t="s">
        <v>1419</v>
      </c>
      <c r="G34" t="s">
        <v>1420</v>
      </c>
    </row>
    <row r="35" spans="1:7">
      <c r="A35" t="s">
        <v>1526</v>
      </c>
      <c r="B35" t="s">
        <v>1527</v>
      </c>
      <c r="C35" t="s">
        <v>1528</v>
      </c>
      <c r="D35" t="s">
        <v>1529</v>
      </c>
      <c r="E35" t="s">
        <v>1530</v>
      </c>
      <c r="F35" t="s">
        <v>1419</v>
      </c>
      <c r="G35" t="s">
        <v>1420</v>
      </c>
    </row>
    <row r="36" spans="1:7">
      <c r="A36" t="s">
        <v>1531</v>
      </c>
      <c r="B36" t="s">
        <v>1532</v>
      </c>
      <c r="C36" t="s">
        <v>1533</v>
      </c>
      <c r="D36" t="s">
        <v>1446</v>
      </c>
      <c r="E36" t="s">
        <v>1447</v>
      </c>
      <c r="F36" t="s">
        <v>1419</v>
      </c>
      <c r="G36" t="s">
        <v>1420</v>
      </c>
    </row>
    <row r="37" spans="1:7">
      <c r="A37" t="s">
        <v>1534</v>
      </c>
      <c r="B37" t="s">
        <v>1535</v>
      </c>
      <c r="C37" t="s">
        <v>1536</v>
      </c>
      <c r="D37" t="s">
        <v>1446</v>
      </c>
      <c r="E37" t="s">
        <v>1447</v>
      </c>
      <c r="F37" t="s">
        <v>1419</v>
      </c>
      <c r="G37" t="s">
        <v>1420</v>
      </c>
    </row>
    <row r="38" spans="1:7">
      <c r="A38" t="s">
        <v>1537</v>
      </c>
      <c r="B38" t="s">
        <v>1538</v>
      </c>
      <c r="C38" t="s">
        <v>1539</v>
      </c>
      <c r="D38" t="s">
        <v>1446</v>
      </c>
      <c r="E38" t="s">
        <v>1447</v>
      </c>
      <c r="F38" t="s">
        <v>1419</v>
      </c>
      <c r="G38" t="s">
        <v>1420</v>
      </c>
    </row>
    <row r="39" spans="1:7">
      <c r="A39" t="s">
        <v>1540</v>
      </c>
      <c r="B39" t="s">
        <v>1541</v>
      </c>
      <c r="C39" t="s">
        <v>1542</v>
      </c>
      <c r="D39" t="s">
        <v>1487</v>
      </c>
      <c r="E39" t="s">
        <v>1488</v>
      </c>
      <c r="F39" t="s">
        <v>1419</v>
      </c>
      <c r="G39" t="s">
        <v>1420</v>
      </c>
    </row>
    <row r="40" spans="1:7">
      <c r="A40" t="s">
        <v>1543</v>
      </c>
      <c r="B40" t="s">
        <v>1544</v>
      </c>
      <c r="C40" t="s">
        <v>1545</v>
      </c>
      <c r="D40" t="s">
        <v>1529</v>
      </c>
      <c r="E40" t="s">
        <v>1530</v>
      </c>
      <c r="F40" t="s">
        <v>1419</v>
      </c>
      <c r="G40" t="s">
        <v>1420</v>
      </c>
    </row>
    <row r="41" spans="1:7">
      <c r="A41" t="s">
        <v>1546</v>
      </c>
      <c r="B41" t="s">
        <v>1547</v>
      </c>
      <c r="C41" t="s">
        <v>1548</v>
      </c>
      <c r="D41" t="s">
        <v>1487</v>
      </c>
      <c r="E41" t="s">
        <v>1488</v>
      </c>
      <c r="F41" t="s">
        <v>1419</v>
      </c>
      <c r="G41" t="s">
        <v>1420</v>
      </c>
    </row>
    <row r="42" spans="1:7">
      <c r="A42" t="s">
        <v>1549</v>
      </c>
      <c r="B42" t="s">
        <v>1550</v>
      </c>
      <c r="C42" t="s">
        <v>1551</v>
      </c>
      <c r="D42" t="s">
        <v>1529</v>
      </c>
      <c r="E42" t="s">
        <v>1530</v>
      </c>
      <c r="F42" t="s">
        <v>1419</v>
      </c>
      <c r="G42" t="s">
        <v>1420</v>
      </c>
    </row>
    <row r="43" spans="1:7">
      <c r="A43" t="s">
        <v>1552</v>
      </c>
      <c r="B43" t="s">
        <v>1553</v>
      </c>
      <c r="C43" t="s">
        <v>1554</v>
      </c>
      <c r="D43" t="s">
        <v>1487</v>
      </c>
      <c r="E43" t="s">
        <v>1488</v>
      </c>
      <c r="F43" t="s">
        <v>1419</v>
      </c>
      <c r="G43" t="s">
        <v>1420</v>
      </c>
    </row>
    <row r="44" spans="1:7">
      <c r="A44" t="s">
        <v>1555</v>
      </c>
      <c r="B44" t="s">
        <v>1556</v>
      </c>
      <c r="C44" t="s">
        <v>1557</v>
      </c>
      <c r="D44" t="s">
        <v>1529</v>
      </c>
      <c r="E44" t="s">
        <v>1530</v>
      </c>
      <c r="F44" t="s">
        <v>1419</v>
      </c>
      <c r="G44" t="s">
        <v>1420</v>
      </c>
    </row>
    <row r="45" spans="1:7">
      <c r="A45" t="s">
        <v>1558</v>
      </c>
      <c r="B45" t="s">
        <v>1559</v>
      </c>
      <c r="C45" t="s">
        <v>1560</v>
      </c>
      <c r="D45" t="s">
        <v>1487</v>
      </c>
      <c r="E45" t="s">
        <v>1488</v>
      </c>
      <c r="F45" t="s">
        <v>1419</v>
      </c>
      <c r="G45" t="s">
        <v>1420</v>
      </c>
    </row>
    <row r="46" spans="1:7">
      <c r="A46" t="s">
        <v>1561</v>
      </c>
      <c r="B46" t="s">
        <v>1562</v>
      </c>
      <c r="C46" t="s">
        <v>1563</v>
      </c>
      <c r="D46" t="s">
        <v>1487</v>
      </c>
      <c r="E46" t="s">
        <v>1488</v>
      </c>
      <c r="F46" t="s">
        <v>1419</v>
      </c>
      <c r="G46" t="s">
        <v>1420</v>
      </c>
    </row>
    <row r="47" spans="1:7">
      <c r="A47" t="s">
        <v>1564</v>
      </c>
      <c r="B47" t="s">
        <v>1565</v>
      </c>
      <c r="C47" t="s">
        <v>1566</v>
      </c>
      <c r="D47" t="s">
        <v>1487</v>
      </c>
      <c r="E47" t="s">
        <v>1488</v>
      </c>
      <c r="F47" t="s">
        <v>1419</v>
      </c>
      <c r="G47" t="s">
        <v>1420</v>
      </c>
    </row>
    <row r="48" spans="1:7">
      <c r="A48" t="s">
        <v>1567</v>
      </c>
      <c r="B48" t="s">
        <v>1568</v>
      </c>
      <c r="C48" t="s">
        <v>1569</v>
      </c>
      <c r="D48" t="s">
        <v>1487</v>
      </c>
      <c r="E48" t="s">
        <v>1488</v>
      </c>
      <c r="F48" t="s">
        <v>1419</v>
      </c>
      <c r="G48" t="s">
        <v>1420</v>
      </c>
    </row>
    <row r="49" spans="1:7">
      <c r="A49" t="s">
        <v>1570</v>
      </c>
      <c r="B49" t="s">
        <v>1571</v>
      </c>
      <c r="C49" t="s">
        <v>1572</v>
      </c>
      <c r="D49" t="s">
        <v>1487</v>
      </c>
      <c r="E49" t="s">
        <v>1488</v>
      </c>
      <c r="F49" t="s">
        <v>1419</v>
      </c>
      <c r="G49" t="s">
        <v>1420</v>
      </c>
    </row>
    <row r="50" spans="1:7">
      <c r="A50" t="s">
        <v>1573</v>
      </c>
      <c r="B50" t="s">
        <v>1574</v>
      </c>
      <c r="C50" t="s">
        <v>1575</v>
      </c>
      <c r="D50" t="s">
        <v>1529</v>
      </c>
      <c r="E50" t="s">
        <v>1530</v>
      </c>
      <c r="F50" t="s">
        <v>1419</v>
      </c>
      <c r="G50" t="s">
        <v>1420</v>
      </c>
    </row>
    <row r="51" spans="1:7">
      <c r="A51" t="s">
        <v>1576</v>
      </c>
      <c r="B51" t="s">
        <v>1577</v>
      </c>
      <c r="C51" t="s">
        <v>1578</v>
      </c>
      <c r="D51" t="s">
        <v>1498</v>
      </c>
      <c r="E51" t="s">
        <v>1499</v>
      </c>
      <c r="F51" t="s">
        <v>1419</v>
      </c>
      <c r="G51" t="s">
        <v>1420</v>
      </c>
    </row>
    <row r="52" spans="1:7">
      <c r="A52" t="s">
        <v>1579</v>
      </c>
      <c r="B52" t="s">
        <v>1580</v>
      </c>
      <c r="C52" t="s">
        <v>1581</v>
      </c>
      <c r="D52" t="s">
        <v>1529</v>
      </c>
      <c r="E52" t="s">
        <v>1530</v>
      </c>
      <c r="F52" t="s">
        <v>1419</v>
      </c>
      <c r="G52" t="s">
        <v>1420</v>
      </c>
    </row>
    <row r="53" spans="1:7">
      <c r="A53" t="s">
        <v>1582</v>
      </c>
      <c r="B53" t="s">
        <v>1583</v>
      </c>
      <c r="C53" t="s">
        <v>1584</v>
      </c>
      <c r="D53" t="s">
        <v>1529</v>
      </c>
      <c r="E53" t="s">
        <v>1530</v>
      </c>
      <c r="F53" t="s">
        <v>1419</v>
      </c>
      <c r="G53" t="s">
        <v>1420</v>
      </c>
    </row>
    <row r="54" spans="1:7">
      <c r="A54" t="s">
        <v>1585</v>
      </c>
      <c r="B54" t="s">
        <v>1586</v>
      </c>
      <c r="C54" t="s">
        <v>1587</v>
      </c>
      <c r="D54" t="s">
        <v>1529</v>
      </c>
      <c r="E54" t="s">
        <v>1530</v>
      </c>
      <c r="F54" t="s">
        <v>1419</v>
      </c>
      <c r="G54" t="s">
        <v>1420</v>
      </c>
    </row>
    <row r="55" spans="1:7">
      <c r="A55" t="s">
        <v>1588</v>
      </c>
      <c r="B55" t="s">
        <v>1589</v>
      </c>
      <c r="C55" t="s">
        <v>1590</v>
      </c>
      <c r="D55" t="s">
        <v>1529</v>
      </c>
      <c r="E55" t="s">
        <v>1530</v>
      </c>
      <c r="F55" t="s">
        <v>1419</v>
      </c>
      <c r="G55" t="s">
        <v>1420</v>
      </c>
    </row>
    <row r="56" spans="1:7">
      <c r="A56" t="s">
        <v>1591</v>
      </c>
      <c r="B56" t="s">
        <v>1592</v>
      </c>
      <c r="C56" t="s">
        <v>1593</v>
      </c>
      <c r="D56" t="s">
        <v>1529</v>
      </c>
      <c r="E56" t="s">
        <v>1530</v>
      </c>
      <c r="F56" t="s">
        <v>1419</v>
      </c>
      <c r="G56" t="s">
        <v>1420</v>
      </c>
    </row>
    <row r="57" spans="1:7">
      <c r="A57" t="s">
        <v>1594</v>
      </c>
      <c r="B57" t="s">
        <v>1595</v>
      </c>
      <c r="C57" t="s">
        <v>1596</v>
      </c>
      <c r="D57" t="s">
        <v>1529</v>
      </c>
      <c r="E57" t="s">
        <v>1530</v>
      </c>
      <c r="F57" t="s">
        <v>1419</v>
      </c>
      <c r="G57" t="s">
        <v>1420</v>
      </c>
    </row>
    <row r="58" spans="1:7">
      <c r="A58" t="s">
        <v>1597</v>
      </c>
      <c r="B58" t="s">
        <v>1598</v>
      </c>
      <c r="C58" t="s">
        <v>1599</v>
      </c>
      <c r="D58" t="s">
        <v>1529</v>
      </c>
      <c r="E58" t="s">
        <v>1530</v>
      </c>
      <c r="F58" t="s">
        <v>1419</v>
      </c>
      <c r="G58" t="s">
        <v>1420</v>
      </c>
    </row>
    <row r="59" spans="1:7">
      <c r="A59" t="s">
        <v>1529</v>
      </c>
      <c r="B59" t="s">
        <v>1600</v>
      </c>
      <c r="C59" t="s">
        <v>1601</v>
      </c>
      <c r="D59" t="s">
        <v>1529</v>
      </c>
      <c r="E59" t="s">
        <v>1530</v>
      </c>
      <c r="F59" t="s">
        <v>1419</v>
      </c>
      <c r="G59" t="s">
        <v>1420</v>
      </c>
    </row>
    <row r="60" spans="1:7">
      <c r="A60" t="s">
        <v>1602</v>
      </c>
      <c r="B60" t="s">
        <v>1603</v>
      </c>
      <c r="C60" t="s">
        <v>1604</v>
      </c>
      <c r="D60" t="s">
        <v>1529</v>
      </c>
      <c r="E60" t="s">
        <v>1530</v>
      </c>
      <c r="F60" t="s">
        <v>1419</v>
      </c>
      <c r="G60" t="s">
        <v>1420</v>
      </c>
    </row>
    <row r="61" spans="1:7">
      <c r="A61" t="s">
        <v>1605</v>
      </c>
      <c r="B61" t="s">
        <v>1606</v>
      </c>
      <c r="C61" t="s">
        <v>1607</v>
      </c>
      <c r="D61" t="s">
        <v>1529</v>
      </c>
      <c r="E61" t="s">
        <v>1530</v>
      </c>
      <c r="F61" t="s">
        <v>1419</v>
      </c>
      <c r="G61" t="s">
        <v>1420</v>
      </c>
    </row>
    <row r="62" spans="1:7">
      <c r="A62" t="s">
        <v>1608</v>
      </c>
      <c r="B62" t="s">
        <v>1609</v>
      </c>
      <c r="C62" t="s">
        <v>1610</v>
      </c>
      <c r="D62" t="s">
        <v>1529</v>
      </c>
      <c r="E62" t="s">
        <v>1530</v>
      </c>
      <c r="F62" t="s">
        <v>1419</v>
      </c>
      <c r="G62" t="s">
        <v>1420</v>
      </c>
    </row>
    <row r="63" spans="1:7">
      <c r="A63" t="s">
        <v>1611</v>
      </c>
      <c r="B63" t="s">
        <v>1612</v>
      </c>
      <c r="C63" t="s">
        <v>1613</v>
      </c>
      <c r="D63" t="s">
        <v>1529</v>
      </c>
      <c r="E63" t="s">
        <v>1530</v>
      </c>
      <c r="F63" t="s">
        <v>1419</v>
      </c>
      <c r="G63" t="s">
        <v>1420</v>
      </c>
    </row>
    <row r="64" spans="1:7">
      <c r="A64" t="s">
        <v>1614</v>
      </c>
      <c r="B64" t="s">
        <v>1615</v>
      </c>
      <c r="C64" t="s">
        <v>1616</v>
      </c>
      <c r="D64" t="s">
        <v>1617</v>
      </c>
      <c r="E64" t="s">
        <v>1618</v>
      </c>
      <c r="F64" t="s">
        <v>1419</v>
      </c>
      <c r="G64" t="s">
        <v>1420</v>
      </c>
    </row>
    <row r="65" spans="1:7">
      <c r="A65" t="s">
        <v>1619</v>
      </c>
      <c r="B65" t="s">
        <v>1620</v>
      </c>
      <c r="C65" t="s">
        <v>1621</v>
      </c>
      <c r="D65" t="s">
        <v>1529</v>
      </c>
      <c r="E65" t="s">
        <v>1530</v>
      </c>
      <c r="F65" t="s">
        <v>1419</v>
      </c>
      <c r="G65" t="s">
        <v>1420</v>
      </c>
    </row>
    <row r="66" spans="1:7">
      <c r="A66" t="s">
        <v>1622</v>
      </c>
      <c r="B66" t="s">
        <v>1623</v>
      </c>
      <c r="C66" t="s">
        <v>1624</v>
      </c>
      <c r="D66" t="s">
        <v>1617</v>
      </c>
      <c r="E66" t="s">
        <v>1618</v>
      </c>
      <c r="F66" t="s">
        <v>1419</v>
      </c>
      <c r="G66" t="s">
        <v>1420</v>
      </c>
    </row>
    <row r="67" spans="1:7">
      <c r="A67" t="s">
        <v>1625</v>
      </c>
      <c r="B67" t="s">
        <v>1626</v>
      </c>
      <c r="C67" t="s">
        <v>1627</v>
      </c>
      <c r="D67" t="s">
        <v>1529</v>
      </c>
      <c r="E67" t="s">
        <v>1530</v>
      </c>
      <c r="F67" t="s">
        <v>1419</v>
      </c>
      <c r="G67" t="s">
        <v>1420</v>
      </c>
    </row>
    <row r="68" spans="1:7">
      <c r="A68" t="s">
        <v>1628</v>
      </c>
      <c r="B68" t="s">
        <v>1629</v>
      </c>
      <c r="C68" t="s">
        <v>1630</v>
      </c>
      <c r="D68" t="s">
        <v>1529</v>
      </c>
      <c r="E68" t="s">
        <v>1530</v>
      </c>
      <c r="F68" t="s">
        <v>1419</v>
      </c>
      <c r="G68" t="s">
        <v>1420</v>
      </c>
    </row>
    <row r="69" spans="1:7">
      <c r="A69" t="s">
        <v>1631</v>
      </c>
      <c r="B69" t="s">
        <v>1632</v>
      </c>
      <c r="C69" t="s">
        <v>1633</v>
      </c>
      <c r="D69" t="s">
        <v>1617</v>
      </c>
      <c r="E69" t="s">
        <v>1618</v>
      </c>
      <c r="F69" t="s">
        <v>1419</v>
      </c>
      <c r="G69" t="s">
        <v>1420</v>
      </c>
    </row>
    <row r="70" spans="1:7">
      <c r="A70" t="s">
        <v>1634</v>
      </c>
      <c r="B70" t="s">
        <v>1635</v>
      </c>
      <c r="C70" t="s">
        <v>1636</v>
      </c>
      <c r="D70" t="s">
        <v>1617</v>
      </c>
      <c r="E70" t="s">
        <v>1618</v>
      </c>
      <c r="F70" t="s">
        <v>1419</v>
      </c>
      <c r="G70" t="s">
        <v>1420</v>
      </c>
    </row>
    <row r="71" spans="1:7">
      <c r="A71" t="s">
        <v>1637</v>
      </c>
      <c r="B71" t="s">
        <v>1638</v>
      </c>
      <c r="C71" t="s">
        <v>1639</v>
      </c>
      <c r="D71" t="s">
        <v>1617</v>
      </c>
      <c r="E71" t="s">
        <v>1618</v>
      </c>
      <c r="F71" t="s">
        <v>1419</v>
      </c>
      <c r="G71" t="s">
        <v>1420</v>
      </c>
    </row>
    <row r="72" spans="1:7">
      <c r="A72" t="s">
        <v>1640</v>
      </c>
      <c r="B72" t="s">
        <v>1641</v>
      </c>
      <c r="C72" t="s">
        <v>1642</v>
      </c>
      <c r="D72" t="s">
        <v>1617</v>
      </c>
      <c r="E72" t="s">
        <v>1618</v>
      </c>
      <c r="F72" t="s">
        <v>1419</v>
      </c>
      <c r="G72" t="s">
        <v>1420</v>
      </c>
    </row>
    <row r="73" spans="1:7">
      <c r="A73" t="s">
        <v>1643</v>
      </c>
      <c r="B73" t="s">
        <v>1644</v>
      </c>
      <c r="C73" t="s">
        <v>1645</v>
      </c>
      <c r="D73" t="s">
        <v>1617</v>
      </c>
      <c r="E73" t="s">
        <v>1618</v>
      </c>
      <c r="F73" t="s">
        <v>1419</v>
      </c>
      <c r="G73" t="s">
        <v>1420</v>
      </c>
    </row>
    <row r="74" spans="1:7">
      <c r="A74" t="s">
        <v>1646</v>
      </c>
      <c r="B74" t="s">
        <v>1647</v>
      </c>
      <c r="C74" t="s">
        <v>1648</v>
      </c>
      <c r="D74" t="s">
        <v>1617</v>
      </c>
      <c r="E74" t="s">
        <v>1618</v>
      </c>
      <c r="F74" t="s">
        <v>1419</v>
      </c>
      <c r="G74" t="s">
        <v>1420</v>
      </c>
    </row>
    <row r="75" spans="1:7">
      <c r="A75" t="s">
        <v>1649</v>
      </c>
      <c r="B75" t="s">
        <v>1650</v>
      </c>
      <c r="C75" t="s">
        <v>1651</v>
      </c>
      <c r="D75" t="s">
        <v>1617</v>
      </c>
      <c r="E75" t="s">
        <v>1618</v>
      </c>
      <c r="F75" t="s">
        <v>1419</v>
      </c>
      <c r="G75" t="s">
        <v>1420</v>
      </c>
    </row>
    <row r="76" spans="1:7">
      <c r="A76" t="s">
        <v>1652</v>
      </c>
      <c r="B76" t="s">
        <v>1653</v>
      </c>
      <c r="C76" t="s">
        <v>1654</v>
      </c>
      <c r="D76" t="s">
        <v>1617</v>
      </c>
      <c r="E76" t="s">
        <v>1618</v>
      </c>
      <c r="F76" t="s">
        <v>1419</v>
      </c>
      <c r="G76" t="s">
        <v>1420</v>
      </c>
    </row>
    <row r="77" spans="1:7">
      <c r="A77" t="s">
        <v>1655</v>
      </c>
      <c r="B77" t="s">
        <v>1656</v>
      </c>
      <c r="C77" t="s">
        <v>1657</v>
      </c>
      <c r="D77" t="s">
        <v>1617</v>
      </c>
      <c r="E77" t="s">
        <v>1618</v>
      </c>
      <c r="F77" t="s">
        <v>1419</v>
      </c>
      <c r="G77" t="s">
        <v>1420</v>
      </c>
    </row>
    <row r="78" spans="1:7">
      <c r="A78" t="s">
        <v>1658</v>
      </c>
      <c r="B78" t="s">
        <v>1659</v>
      </c>
      <c r="C78" t="s">
        <v>1660</v>
      </c>
      <c r="D78" t="s">
        <v>1617</v>
      </c>
      <c r="E78" t="s">
        <v>1618</v>
      </c>
      <c r="F78" t="s">
        <v>1419</v>
      </c>
      <c r="G78" t="s">
        <v>1420</v>
      </c>
    </row>
    <row r="79" spans="1:7">
      <c r="A79" t="s">
        <v>1661</v>
      </c>
      <c r="B79" t="s">
        <v>1662</v>
      </c>
      <c r="C79" t="s">
        <v>1663</v>
      </c>
      <c r="D79" t="s">
        <v>1664</v>
      </c>
      <c r="E79" t="s">
        <v>1665</v>
      </c>
      <c r="F79" t="s">
        <v>1419</v>
      </c>
      <c r="G79" t="s">
        <v>1420</v>
      </c>
    </row>
    <row r="80" spans="1:7">
      <c r="A80" t="s">
        <v>1666</v>
      </c>
      <c r="B80" t="s">
        <v>1667</v>
      </c>
      <c r="C80" t="s">
        <v>1668</v>
      </c>
      <c r="D80" t="s">
        <v>1617</v>
      </c>
      <c r="E80" t="s">
        <v>1618</v>
      </c>
      <c r="F80" t="s">
        <v>1419</v>
      </c>
      <c r="G80" t="s">
        <v>1420</v>
      </c>
    </row>
    <row r="81" spans="1:7">
      <c r="A81" t="s">
        <v>1669</v>
      </c>
      <c r="B81" t="s">
        <v>1670</v>
      </c>
      <c r="C81" t="s">
        <v>1671</v>
      </c>
      <c r="D81" t="s">
        <v>1617</v>
      </c>
      <c r="E81" t="s">
        <v>1618</v>
      </c>
      <c r="F81" t="s">
        <v>1419</v>
      </c>
      <c r="G81" t="s">
        <v>1420</v>
      </c>
    </row>
    <row r="82" spans="1:7">
      <c r="A82" t="s">
        <v>1672</v>
      </c>
      <c r="B82" t="s">
        <v>1673</v>
      </c>
      <c r="C82" t="s">
        <v>1674</v>
      </c>
      <c r="D82" t="s">
        <v>1617</v>
      </c>
      <c r="E82" t="s">
        <v>1618</v>
      </c>
      <c r="F82" t="s">
        <v>1419</v>
      </c>
      <c r="G82" t="s">
        <v>1420</v>
      </c>
    </row>
    <row r="83" spans="1:7">
      <c r="A83" t="s">
        <v>1675</v>
      </c>
      <c r="B83" t="s">
        <v>1676</v>
      </c>
      <c r="C83" t="s">
        <v>1677</v>
      </c>
      <c r="D83" t="s">
        <v>1617</v>
      </c>
      <c r="E83" t="s">
        <v>1618</v>
      </c>
      <c r="F83" t="s">
        <v>1419</v>
      </c>
      <c r="G83" t="s">
        <v>1420</v>
      </c>
    </row>
    <row r="84" spans="1:7">
      <c r="A84" t="s">
        <v>1678</v>
      </c>
      <c r="B84" t="s">
        <v>1679</v>
      </c>
      <c r="C84" t="s">
        <v>1680</v>
      </c>
      <c r="D84" t="s">
        <v>1617</v>
      </c>
      <c r="E84" t="s">
        <v>1618</v>
      </c>
      <c r="F84" t="s">
        <v>1419</v>
      </c>
      <c r="G84" t="s">
        <v>1420</v>
      </c>
    </row>
    <row r="85" spans="1:7">
      <c r="A85" t="s">
        <v>1681</v>
      </c>
      <c r="B85" t="s">
        <v>1682</v>
      </c>
      <c r="C85" t="s">
        <v>1683</v>
      </c>
      <c r="D85" t="s">
        <v>1617</v>
      </c>
      <c r="E85" t="s">
        <v>1618</v>
      </c>
      <c r="F85" t="s">
        <v>1419</v>
      </c>
      <c r="G85" t="s">
        <v>1420</v>
      </c>
    </row>
    <row r="86" spans="1:7">
      <c r="A86" t="s">
        <v>1684</v>
      </c>
      <c r="B86" t="s">
        <v>1685</v>
      </c>
      <c r="C86" t="s">
        <v>1686</v>
      </c>
      <c r="D86" t="s">
        <v>1617</v>
      </c>
      <c r="E86" t="s">
        <v>1618</v>
      </c>
      <c r="F86" t="s">
        <v>1419</v>
      </c>
      <c r="G86" t="s">
        <v>1420</v>
      </c>
    </row>
    <row r="87" spans="1:7">
      <c r="A87" t="s">
        <v>1687</v>
      </c>
      <c r="B87" t="s">
        <v>1688</v>
      </c>
      <c r="C87" t="s">
        <v>1689</v>
      </c>
      <c r="D87" t="s">
        <v>1617</v>
      </c>
      <c r="E87" t="s">
        <v>1618</v>
      </c>
      <c r="F87" t="s">
        <v>1419</v>
      </c>
      <c r="G87" t="s">
        <v>1420</v>
      </c>
    </row>
    <row r="88" spans="1:7">
      <c r="A88" t="s">
        <v>1690</v>
      </c>
      <c r="B88" t="s">
        <v>1691</v>
      </c>
      <c r="C88" t="s">
        <v>1692</v>
      </c>
      <c r="D88" t="s">
        <v>1617</v>
      </c>
      <c r="E88" t="s">
        <v>1618</v>
      </c>
      <c r="F88" t="s">
        <v>1419</v>
      </c>
      <c r="G88" t="s">
        <v>1420</v>
      </c>
    </row>
    <row r="89" spans="1:7">
      <c r="A89" t="s">
        <v>1693</v>
      </c>
      <c r="B89" t="s">
        <v>1694</v>
      </c>
      <c r="C89" t="s">
        <v>1695</v>
      </c>
      <c r="D89" t="s">
        <v>1696</v>
      </c>
      <c r="E89" t="s">
        <v>1697</v>
      </c>
      <c r="F89" t="s">
        <v>1419</v>
      </c>
      <c r="G89" t="s">
        <v>1420</v>
      </c>
    </row>
    <row r="90" spans="1:7">
      <c r="A90" t="s">
        <v>1698</v>
      </c>
      <c r="B90" t="s">
        <v>1699</v>
      </c>
      <c r="C90" t="s">
        <v>1700</v>
      </c>
      <c r="D90" t="s">
        <v>1617</v>
      </c>
      <c r="E90" t="s">
        <v>1618</v>
      </c>
      <c r="F90" t="s">
        <v>1419</v>
      </c>
      <c r="G90" t="s">
        <v>1420</v>
      </c>
    </row>
    <row r="91" spans="1:7">
      <c r="A91" t="s">
        <v>1701</v>
      </c>
      <c r="B91" t="s">
        <v>1702</v>
      </c>
      <c r="C91" t="s">
        <v>1703</v>
      </c>
      <c r="D91" t="s">
        <v>1617</v>
      </c>
      <c r="E91" t="s">
        <v>1618</v>
      </c>
      <c r="F91" t="s">
        <v>1419</v>
      </c>
      <c r="G91" t="s">
        <v>1420</v>
      </c>
    </row>
    <row r="92" spans="1:7">
      <c r="A92" t="s">
        <v>1704</v>
      </c>
      <c r="B92" t="s">
        <v>1705</v>
      </c>
      <c r="C92" t="s">
        <v>1706</v>
      </c>
      <c r="D92" t="s">
        <v>1664</v>
      </c>
      <c r="E92" t="s">
        <v>1665</v>
      </c>
      <c r="F92" t="s">
        <v>1419</v>
      </c>
      <c r="G92" t="s">
        <v>1420</v>
      </c>
    </row>
    <row r="93" spans="1:7">
      <c r="A93" t="s">
        <v>1707</v>
      </c>
      <c r="B93" t="s">
        <v>1708</v>
      </c>
      <c r="C93" t="s">
        <v>1709</v>
      </c>
      <c r="D93" t="s">
        <v>1664</v>
      </c>
      <c r="E93" t="s">
        <v>1665</v>
      </c>
      <c r="F93" t="s">
        <v>1419</v>
      </c>
      <c r="G93" t="s">
        <v>1420</v>
      </c>
    </row>
    <row r="94" spans="1:7">
      <c r="A94" t="s">
        <v>1549</v>
      </c>
      <c r="B94" t="s">
        <v>1550</v>
      </c>
      <c r="C94" t="s">
        <v>1710</v>
      </c>
      <c r="D94" t="s">
        <v>1664</v>
      </c>
      <c r="E94" t="s">
        <v>1665</v>
      </c>
      <c r="F94" t="s">
        <v>1419</v>
      </c>
      <c r="G94" t="s">
        <v>1420</v>
      </c>
    </row>
    <row r="95" spans="1:7">
      <c r="A95" t="s">
        <v>1711</v>
      </c>
      <c r="B95" t="s">
        <v>1712</v>
      </c>
      <c r="C95" t="s">
        <v>1713</v>
      </c>
      <c r="D95" t="s">
        <v>1664</v>
      </c>
      <c r="E95" t="s">
        <v>1665</v>
      </c>
      <c r="F95" t="s">
        <v>1419</v>
      </c>
      <c r="G95" t="s">
        <v>1420</v>
      </c>
    </row>
    <row r="96" spans="1:7">
      <c r="A96" t="s">
        <v>1714</v>
      </c>
      <c r="B96" t="s">
        <v>1715</v>
      </c>
      <c r="C96" t="s">
        <v>1716</v>
      </c>
      <c r="D96" t="s">
        <v>1664</v>
      </c>
      <c r="E96" t="s">
        <v>1665</v>
      </c>
      <c r="F96" t="s">
        <v>1419</v>
      </c>
      <c r="G96" t="s">
        <v>1420</v>
      </c>
    </row>
    <row r="97" spans="1:7">
      <c r="A97" t="s">
        <v>1717</v>
      </c>
      <c r="B97" t="s">
        <v>1718</v>
      </c>
      <c r="C97" t="s">
        <v>1719</v>
      </c>
      <c r="D97" t="s">
        <v>1664</v>
      </c>
      <c r="E97" t="s">
        <v>1665</v>
      </c>
      <c r="F97" t="s">
        <v>1419</v>
      </c>
      <c r="G97" t="s">
        <v>1420</v>
      </c>
    </row>
    <row r="98" spans="1:7">
      <c r="A98" t="s">
        <v>1720</v>
      </c>
      <c r="B98" t="s">
        <v>1721</v>
      </c>
      <c r="C98" t="s">
        <v>1722</v>
      </c>
      <c r="D98" t="s">
        <v>1664</v>
      </c>
      <c r="E98" t="s">
        <v>1665</v>
      </c>
      <c r="F98" t="s">
        <v>1419</v>
      </c>
      <c r="G98" t="s">
        <v>1420</v>
      </c>
    </row>
    <row r="99" spans="1:7">
      <c r="A99" t="s">
        <v>1723</v>
      </c>
      <c r="B99" t="s">
        <v>1724</v>
      </c>
      <c r="C99" t="s">
        <v>1725</v>
      </c>
      <c r="D99" t="s">
        <v>1664</v>
      </c>
      <c r="E99" t="s">
        <v>1665</v>
      </c>
      <c r="F99" t="s">
        <v>1419</v>
      </c>
      <c r="G99" t="s">
        <v>1420</v>
      </c>
    </row>
    <row r="100" spans="1:7">
      <c r="A100" t="s">
        <v>1726</v>
      </c>
      <c r="B100" t="s">
        <v>1727</v>
      </c>
      <c r="C100" t="s">
        <v>1728</v>
      </c>
      <c r="D100" t="s">
        <v>1664</v>
      </c>
      <c r="E100" t="s">
        <v>1665</v>
      </c>
      <c r="F100" t="s">
        <v>1419</v>
      </c>
      <c r="G100" t="s">
        <v>1420</v>
      </c>
    </row>
    <row r="101" spans="1:7">
      <c r="A101" t="s">
        <v>1729</v>
      </c>
      <c r="B101" t="s">
        <v>1730</v>
      </c>
      <c r="C101" t="s">
        <v>1731</v>
      </c>
      <c r="D101" t="s">
        <v>1664</v>
      </c>
      <c r="E101" t="s">
        <v>1665</v>
      </c>
      <c r="F101" t="s">
        <v>1419</v>
      </c>
      <c r="G101" t="s">
        <v>1420</v>
      </c>
    </row>
    <row r="102" spans="1:7">
      <c r="A102" t="s">
        <v>1732</v>
      </c>
      <c r="B102" t="s">
        <v>1733</v>
      </c>
      <c r="C102" t="s">
        <v>1734</v>
      </c>
      <c r="D102" t="s">
        <v>1664</v>
      </c>
      <c r="E102" t="s">
        <v>1665</v>
      </c>
      <c r="F102" t="s">
        <v>1419</v>
      </c>
      <c r="G102" t="s">
        <v>1420</v>
      </c>
    </row>
    <row r="103" spans="1:7">
      <c r="A103" t="s">
        <v>1735</v>
      </c>
      <c r="B103" t="s">
        <v>1736</v>
      </c>
      <c r="C103" t="s">
        <v>1737</v>
      </c>
      <c r="D103" t="s">
        <v>1738</v>
      </c>
      <c r="E103" t="s">
        <v>1739</v>
      </c>
      <c r="F103" t="s">
        <v>1419</v>
      </c>
      <c r="G103" t="s">
        <v>1420</v>
      </c>
    </row>
    <row r="104" spans="1:7">
      <c r="A104" t="s">
        <v>1740</v>
      </c>
      <c r="B104" t="s">
        <v>1741</v>
      </c>
      <c r="C104" t="s">
        <v>1742</v>
      </c>
      <c r="D104" t="s">
        <v>1738</v>
      </c>
      <c r="E104" t="s">
        <v>1739</v>
      </c>
      <c r="F104" t="s">
        <v>1419</v>
      </c>
      <c r="G104" t="s">
        <v>1420</v>
      </c>
    </row>
    <row r="105" spans="1:7">
      <c r="A105" t="s">
        <v>1743</v>
      </c>
      <c r="B105" t="s">
        <v>1744</v>
      </c>
      <c r="C105" t="s">
        <v>1745</v>
      </c>
      <c r="D105" t="s">
        <v>1738</v>
      </c>
      <c r="E105" t="s">
        <v>1739</v>
      </c>
      <c r="F105" t="s">
        <v>1419</v>
      </c>
      <c r="G105" t="s">
        <v>1420</v>
      </c>
    </row>
    <row r="106" spans="1:7">
      <c r="A106" t="s">
        <v>1746</v>
      </c>
      <c r="B106" t="s">
        <v>1747</v>
      </c>
      <c r="C106" t="s">
        <v>1748</v>
      </c>
      <c r="D106" t="s">
        <v>1738</v>
      </c>
      <c r="E106" t="s">
        <v>1739</v>
      </c>
      <c r="F106" t="s">
        <v>1419</v>
      </c>
      <c r="G106" t="s">
        <v>1420</v>
      </c>
    </row>
    <row r="107" spans="1:7">
      <c r="A107" t="s">
        <v>1749</v>
      </c>
      <c r="B107" t="s">
        <v>1750</v>
      </c>
      <c r="C107" t="s">
        <v>1751</v>
      </c>
      <c r="D107" t="s">
        <v>1738</v>
      </c>
      <c r="E107" t="s">
        <v>1739</v>
      </c>
      <c r="F107" t="s">
        <v>1419</v>
      </c>
      <c r="G107" t="s">
        <v>1420</v>
      </c>
    </row>
    <row r="108" spans="1:7">
      <c r="A108" t="s">
        <v>1752</v>
      </c>
      <c r="B108" t="s">
        <v>1753</v>
      </c>
      <c r="C108" t="s">
        <v>1754</v>
      </c>
      <c r="D108" t="s">
        <v>1738</v>
      </c>
      <c r="E108" t="s">
        <v>1739</v>
      </c>
      <c r="F108" t="s">
        <v>1419</v>
      </c>
      <c r="G108" t="s">
        <v>1420</v>
      </c>
    </row>
    <row r="109" spans="1:7">
      <c r="A109" t="s">
        <v>1755</v>
      </c>
      <c r="B109" t="s">
        <v>1756</v>
      </c>
      <c r="C109" t="s">
        <v>1757</v>
      </c>
      <c r="D109" t="s">
        <v>1738</v>
      </c>
      <c r="E109" t="s">
        <v>1739</v>
      </c>
      <c r="F109" t="s">
        <v>1419</v>
      </c>
      <c r="G109" t="s">
        <v>1420</v>
      </c>
    </row>
    <row r="110" spans="1:7">
      <c r="A110" t="s">
        <v>1758</v>
      </c>
      <c r="B110" t="s">
        <v>1759</v>
      </c>
      <c r="C110" t="s">
        <v>1760</v>
      </c>
      <c r="D110" t="s">
        <v>1738</v>
      </c>
      <c r="E110" t="s">
        <v>1739</v>
      </c>
      <c r="F110" t="s">
        <v>1419</v>
      </c>
      <c r="G110" t="s">
        <v>1420</v>
      </c>
    </row>
    <row r="111" spans="1:7">
      <c r="A111" t="s">
        <v>1761</v>
      </c>
      <c r="B111" t="s">
        <v>1762</v>
      </c>
      <c r="C111" t="s">
        <v>1763</v>
      </c>
      <c r="D111" t="s">
        <v>1738</v>
      </c>
      <c r="E111" t="s">
        <v>1739</v>
      </c>
      <c r="F111" t="s">
        <v>1419</v>
      </c>
      <c r="G111" t="s">
        <v>1420</v>
      </c>
    </row>
    <row r="112" spans="1:7">
      <c r="A112" t="s">
        <v>1764</v>
      </c>
      <c r="B112" t="s">
        <v>1765</v>
      </c>
      <c r="C112" t="s">
        <v>1766</v>
      </c>
      <c r="D112" t="s">
        <v>1738</v>
      </c>
      <c r="E112" t="s">
        <v>1739</v>
      </c>
      <c r="F112" t="s">
        <v>1419</v>
      </c>
      <c r="G112" t="s">
        <v>1420</v>
      </c>
    </row>
    <row r="113" spans="1:7">
      <c r="A113" t="s">
        <v>1767</v>
      </c>
      <c r="B113" t="s">
        <v>1768</v>
      </c>
      <c r="C113" t="s">
        <v>1769</v>
      </c>
      <c r="D113" t="s">
        <v>1738</v>
      </c>
      <c r="E113" t="s">
        <v>1739</v>
      </c>
      <c r="F113" t="s">
        <v>1419</v>
      </c>
      <c r="G113" t="s">
        <v>1420</v>
      </c>
    </row>
    <row r="114" spans="1:7">
      <c r="A114" t="s">
        <v>1770</v>
      </c>
      <c r="B114" t="s">
        <v>1771</v>
      </c>
      <c r="C114" t="s">
        <v>1772</v>
      </c>
      <c r="D114" t="s">
        <v>1738</v>
      </c>
      <c r="E114" t="s">
        <v>1739</v>
      </c>
      <c r="F114" t="s">
        <v>1419</v>
      </c>
      <c r="G114" t="s">
        <v>1420</v>
      </c>
    </row>
    <row r="115" spans="1:7">
      <c r="A115" t="s">
        <v>1773</v>
      </c>
      <c r="B115" t="s">
        <v>1774</v>
      </c>
      <c r="C115" t="s">
        <v>1775</v>
      </c>
      <c r="D115" t="s">
        <v>1776</v>
      </c>
      <c r="E115" t="s">
        <v>1777</v>
      </c>
      <c r="F115" t="s">
        <v>1419</v>
      </c>
      <c r="G115" t="s">
        <v>1420</v>
      </c>
    </row>
    <row r="116" spans="1:7">
      <c r="A116" t="s">
        <v>1778</v>
      </c>
      <c r="B116" t="s">
        <v>1779</v>
      </c>
      <c r="C116" t="s">
        <v>1780</v>
      </c>
      <c r="D116" t="s">
        <v>1738</v>
      </c>
      <c r="E116" t="s">
        <v>1739</v>
      </c>
      <c r="F116" t="s">
        <v>1419</v>
      </c>
      <c r="G116" t="s">
        <v>1420</v>
      </c>
    </row>
    <row r="117" spans="1:7">
      <c r="A117" t="s">
        <v>1781</v>
      </c>
      <c r="B117" t="s">
        <v>1782</v>
      </c>
      <c r="C117" t="s">
        <v>1783</v>
      </c>
      <c r="D117" t="s">
        <v>1738</v>
      </c>
      <c r="E117" t="s">
        <v>1739</v>
      </c>
      <c r="F117" t="s">
        <v>1419</v>
      </c>
      <c r="G117" t="s">
        <v>1420</v>
      </c>
    </row>
    <row r="118" spans="1:7">
      <c r="A118" t="s">
        <v>1784</v>
      </c>
      <c r="B118" t="s">
        <v>1785</v>
      </c>
      <c r="C118" t="s">
        <v>1786</v>
      </c>
      <c r="D118" t="s">
        <v>1738</v>
      </c>
      <c r="E118" t="s">
        <v>1739</v>
      </c>
      <c r="F118" t="s">
        <v>1419</v>
      </c>
      <c r="G118" t="s">
        <v>1420</v>
      </c>
    </row>
    <row r="119" spans="1:7">
      <c r="A119" t="s">
        <v>1787</v>
      </c>
      <c r="B119" t="s">
        <v>1788</v>
      </c>
      <c r="C119" t="s">
        <v>1789</v>
      </c>
      <c r="D119" t="s">
        <v>1738</v>
      </c>
      <c r="E119" t="s">
        <v>1739</v>
      </c>
      <c r="F119" t="s">
        <v>1419</v>
      </c>
      <c r="G119" t="s">
        <v>1420</v>
      </c>
    </row>
    <row r="120" spans="1:7">
      <c r="A120" t="s">
        <v>1790</v>
      </c>
      <c r="B120" t="s">
        <v>1791</v>
      </c>
      <c r="C120" t="s">
        <v>1792</v>
      </c>
      <c r="D120" t="s">
        <v>1738</v>
      </c>
      <c r="E120" t="s">
        <v>1739</v>
      </c>
      <c r="F120" t="s">
        <v>1419</v>
      </c>
      <c r="G120" t="s">
        <v>1420</v>
      </c>
    </row>
    <row r="121" spans="1:7">
      <c r="A121" t="s">
        <v>1793</v>
      </c>
      <c r="B121" t="s">
        <v>1794</v>
      </c>
      <c r="C121" t="s">
        <v>1795</v>
      </c>
      <c r="D121" t="s">
        <v>1738</v>
      </c>
      <c r="E121" t="s">
        <v>1739</v>
      </c>
      <c r="F121" t="s">
        <v>1419</v>
      </c>
      <c r="G121" t="s">
        <v>1420</v>
      </c>
    </row>
    <row r="122" spans="1:7">
      <c r="A122" t="s">
        <v>1796</v>
      </c>
      <c r="B122" t="s">
        <v>1797</v>
      </c>
      <c r="C122" t="s">
        <v>1798</v>
      </c>
      <c r="D122" t="s">
        <v>1738</v>
      </c>
      <c r="E122" t="s">
        <v>1739</v>
      </c>
      <c r="F122" t="s">
        <v>1419</v>
      </c>
      <c r="G122" t="s">
        <v>1420</v>
      </c>
    </row>
    <row r="123" spans="1:7">
      <c r="A123" t="s">
        <v>1799</v>
      </c>
      <c r="B123" t="s">
        <v>1800</v>
      </c>
      <c r="C123" t="s">
        <v>1801</v>
      </c>
      <c r="D123" t="s">
        <v>1738</v>
      </c>
      <c r="E123" t="s">
        <v>1739</v>
      </c>
      <c r="F123" t="s">
        <v>1419</v>
      </c>
      <c r="G123" t="s">
        <v>1420</v>
      </c>
    </row>
    <row r="124" spans="1:7">
      <c r="A124" t="s">
        <v>1802</v>
      </c>
      <c r="B124" t="s">
        <v>1803</v>
      </c>
      <c r="C124" t="s">
        <v>1804</v>
      </c>
      <c r="D124" t="s">
        <v>1738</v>
      </c>
      <c r="E124" t="s">
        <v>1739</v>
      </c>
      <c r="F124" t="s">
        <v>1419</v>
      </c>
      <c r="G124" t="s">
        <v>1420</v>
      </c>
    </row>
    <row r="125" spans="1:7">
      <c r="A125" t="s">
        <v>1805</v>
      </c>
      <c r="B125" t="s">
        <v>1806</v>
      </c>
      <c r="C125" t="s">
        <v>1807</v>
      </c>
      <c r="D125" t="s">
        <v>1738</v>
      </c>
      <c r="E125" t="s">
        <v>1739</v>
      </c>
      <c r="F125" t="s">
        <v>1419</v>
      </c>
      <c r="G125" t="s">
        <v>1420</v>
      </c>
    </row>
    <row r="126" spans="1:7">
      <c r="A126" t="s">
        <v>1808</v>
      </c>
      <c r="B126" t="s">
        <v>1809</v>
      </c>
      <c r="C126" t="s">
        <v>1810</v>
      </c>
      <c r="D126" t="s">
        <v>1738</v>
      </c>
      <c r="E126" t="s">
        <v>1739</v>
      </c>
      <c r="F126" t="s">
        <v>1419</v>
      </c>
      <c r="G126" t="s">
        <v>1420</v>
      </c>
    </row>
    <row r="127" spans="1:7">
      <c r="A127" t="s">
        <v>1811</v>
      </c>
      <c r="B127" t="s">
        <v>1812</v>
      </c>
      <c r="C127" t="s">
        <v>1813</v>
      </c>
      <c r="D127" t="s">
        <v>1738</v>
      </c>
      <c r="E127" t="s">
        <v>1739</v>
      </c>
      <c r="F127" t="s">
        <v>1419</v>
      </c>
      <c r="G127" t="s">
        <v>1420</v>
      </c>
    </row>
    <row r="128" spans="1:7">
      <c r="A128" t="s">
        <v>1814</v>
      </c>
      <c r="B128" t="s">
        <v>1815</v>
      </c>
      <c r="C128" t="s">
        <v>1816</v>
      </c>
      <c r="D128" t="s">
        <v>1738</v>
      </c>
      <c r="E128" t="s">
        <v>1739</v>
      </c>
      <c r="F128" t="s">
        <v>1419</v>
      </c>
      <c r="G128" t="s">
        <v>1420</v>
      </c>
    </row>
    <row r="129" spans="1:7">
      <c r="A129" t="s">
        <v>1817</v>
      </c>
      <c r="B129" t="s">
        <v>1818</v>
      </c>
      <c r="C129" t="s">
        <v>1819</v>
      </c>
      <c r="D129" t="s">
        <v>1738</v>
      </c>
      <c r="E129" t="s">
        <v>1739</v>
      </c>
      <c r="F129" t="s">
        <v>1419</v>
      </c>
      <c r="G129" t="s">
        <v>1420</v>
      </c>
    </row>
    <row r="130" spans="1:7">
      <c r="A130" t="s">
        <v>1820</v>
      </c>
      <c r="B130" t="s">
        <v>1821</v>
      </c>
      <c r="C130" t="s">
        <v>1822</v>
      </c>
      <c r="D130" t="s">
        <v>1738</v>
      </c>
      <c r="E130" t="s">
        <v>1739</v>
      </c>
      <c r="F130" t="s">
        <v>1419</v>
      </c>
      <c r="G130" t="s">
        <v>1420</v>
      </c>
    </row>
    <row r="131" spans="1:7">
      <c r="A131" t="s">
        <v>1823</v>
      </c>
      <c r="B131" t="s">
        <v>1824</v>
      </c>
      <c r="C131" t="s">
        <v>1825</v>
      </c>
      <c r="D131" t="s">
        <v>1776</v>
      </c>
      <c r="E131" t="s">
        <v>1777</v>
      </c>
      <c r="F131" t="s">
        <v>1419</v>
      </c>
      <c r="G131" t="s">
        <v>1420</v>
      </c>
    </row>
    <row r="132" spans="1:7">
      <c r="A132" t="s">
        <v>1826</v>
      </c>
      <c r="B132" t="s">
        <v>1827</v>
      </c>
      <c r="C132" t="s">
        <v>1828</v>
      </c>
      <c r="D132" t="s">
        <v>1776</v>
      </c>
      <c r="E132" t="s">
        <v>1777</v>
      </c>
      <c r="F132" t="s">
        <v>1419</v>
      </c>
      <c r="G132" t="s">
        <v>1420</v>
      </c>
    </row>
    <row r="133" spans="1:7">
      <c r="A133" t="s">
        <v>1829</v>
      </c>
      <c r="B133" t="s">
        <v>1830</v>
      </c>
      <c r="C133" t="s">
        <v>1831</v>
      </c>
      <c r="D133" t="s">
        <v>1738</v>
      </c>
      <c r="E133" t="s">
        <v>1739</v>
      </c>
      <c r="F133" t="s">
        <v>1419</v>
      </c>
      <c r="G133" t="s">
        <v>1420</v>
      </c>
    </row>
    <row r="134" spans="1:7">
      <c r="A134" t="s">
        <v>1738</v>
      </c>
      <c r="B134" t="s">
        <v>1832</v>
      </c>
      <c r="C134" t="s">
        <v>1833</v>
      </c>
      <c r="D134" t="s">
        <v>1738</v>
      </c>
      <c r="E134" t="s">
        <v>1739</v>
      </c>
      <c r="F134" t="s">
        <v>1419</v>
      </c>
      <c r="G134" t="s">
        <v>1420</v>
      </c>
    </row>
    <row r="135" spans="1:7">
      <c r="A135" t="s">
        <v>1834</v>
      </c>
      <c r="B135" t="s">
        <v>1835</v>
      </c>
      <c r="C135" t="s">
        <v>1836</v>
      </c>
      <c r="D135" t="s">
        <v>1837</v>
      </c>
      <c r="E135" t="s">
        <v>1838</v>
      </c>
      <c r="F135" t="s">
        <v>1419</v>
      </c>
      <c r="G135" t="s">
        <v>1420</v>
      </c>
    </row>
    <row r="136" spans="1:7">
      <c r="A136" t="s">
        <v>1839</v>
      </c>
      <c r="B136" t="s">
        <v>1840</v>
      </c>
      <c r="C136" t="s">
        <v>1841</v>
      </c>
      <c r="D136" t="s">
        <v>1837</v>
      </c>
      <c r="E136" t="s">
        <v>1838</v>
      </c>
      <c r="F136" t="s">
        <v>1419</v>
      </c>
      <c r="G136" t="s">
        <v>1420</v>
      </c>
    </row>
    <row r="137" spans="1:7">
      <c r="A137" t="s">
        <v>1842</v>
      </c>
      <c r="B137" t="s">
        <v>1843</v>
      </c>
      <c r="C137" t="s">
        <v>1844</v>
      </c>
      <c r="D137" t="s">
        <v>1837</v>
      </c>
      <c r="E137" t="s">
        <v>1838</v>
      </c>
      <c r="F137" t="s">
        <v>1419</v>
      </c>
      <c r="G137" t="s">
        <v>1420</v>
      </c>
    </row>
    <row r="138" spans="1:7">
      <c r="A138" t="s">
        <v>1845</v>
      </c>
      <c r="B138" t="s">
        <v>1846</v>
      </c>
      <c r="C138" t="s">
        <v>1847</v>
      </c>
      <c r="D138" t="s">
        <v>1738</v>
      </c>
      <c r="E138" t="s">
        <v>1739</v>
      </c>
      <c r="F138" t="s">
        <v>1419</v>
      </c>
      <c r="G138" t="s">
        <v>1420</v>
      </c>
    </row>
    <row r="139" spans="1:7">
      <c r="A139" t="s">
        <v>1848</v>
      </c>
      <c r="B139" t="s">
        <v>1849</v>
      </c>
      <c r="C139" t="s">
        <v>1850</v>
      </c>
      <c r="D139" t="s">
        <v>1776</v>
      </c>
      <c r="E139" t="s">
        <v>1777</v>
      </c>
      <c r="F139" t="s">
        <v>1419</v>
      </c>
      <c r="G139" t="s">
        <v>1420</v>
      </c>
    </row>
    <row r="140" spans="1:7">
      <c r="A140" t="s">
        <v>1851</v>
      </c>
      <c r="B140" t="s">
        <v>1852</v>
      </c>
      <c r="C140" t="s">
        <v>1853</v>
      </c>
      <c r="D140" t="s">
        <v>1776</v>
      </c>
      <c r="E140" t="s">
        <v>1777</v>
      </c>
      <c r="F140" t="s">
        <v>1419</v>
      </c>
      <c r="G140" t="s">
        <v>1420</v>
      </c>
    </row>
    <row r="141" spans="1:7">
      <c r="A141" t="s">
        <v>1854</v>
      </c>
      <c r="B141" t="s">
        <v>1855</v>
      </c>
      <c r="C141" t="s">
        <v>1856</v>
      </c>
      <c r="D141" t="s">
        <v>1776</v>
      </c>
      <c r="E141" t="s">
        <v>1777</v>
      </c>
      <c r="F141" t="s">
        <v>1419</v>
      </c>
      <c r="G141" t="s">
        <v>1420</v>
      </c>
    </row>
    <row r="142" spans="1:7">
      <c r="A142" t="s">
        <v>1857</v>
      </c>
      <c r="B142" t="s">
        <v>1858</v>
      </c>
      <c r="C142" t="s">
        <v>1859</v>
      </c>
      <c r="D142" t="s">
        <v>1776</v>
      </c>
      <c r="E142" t="s">
        <v>1777</v>
      </c>
      <c r="F142" t="s">
        <v>1419</v>
      </c>
      <c r="G142" t="s">
        <v>1420</v>
      </c>
    </row>
    <row r="143" spans="1:7">
      <c r="A143" t="s">
        <v>1860</v>
      </c>
      <c r="B143" t="s">
        <v>1861</v>
      </c>
      <c r="C143" t="s">
        <v>1862</v>
      </c>
      <c r="D143" t="s">
        <v>1738</v>
      </c>
      <c r="E143" t="s">
        <v>1739</v>
      </c>
      <c r="F143" t="s">
        <v>1419</v>
      </c>
      <c r="G143" t="s">
        <v>1420</v>
      </c>
    </row>
    <row r="144" spans="1:7">
      <c r="A144" t="s">
        <v>1863</v>
      </c>
      <c r="B144" t="s">
        <v>1864</v>
      </c>
      <c r="C144" t="s">
        <v>1865</v>
      </c>
      <c r="D144" t="s">
        <v>1776</v>
      </c>
      <c r="E144" t="s">
        <v>1777</v>
      </c>
      <c r="F144" t="s">
        <v>1419</v>
      </c>
      <c r="G144" t="s">
        <v>1420</v>
      </c>
    </row>
    <row r="145" spans="1:7">
      <c r="A145" t="s">
        <v>1866</v>
      </c>
      <c r="B145" t="s">
        <v>1867</v>
      </c>
      <c r="C145" t="s">
        <v>1868</v>
      </c>
      <c r="D145" t="s">
        <v>1696</v>
      </c>
      <c r="E145" t="s">
        <v>1697</v>
      </c>
      <c r="F145" t="s">
        <v>1419</v>
      </c>
      <c r="G145" t="s">
        <v>1420</v>
      </c>
    </row>
    <row r="146" spans="1:7">
      <c r="A146" t="s">
        <v>1869</v>
      </c>
      <c r="B146" t="s">
        <v>1870</v>
      </c>
      <c r="C146" t="s">
        <v>1871</v>
      </c>
      <c r="D146" t="s">
        <v>1776</v>
      </c>
      <c r="E146" t="s">
        <v>1777</v>
      </c>
      <c r="F146" t="s">
        <v>1419</v>
      </c>
      <c r="G146" t="s">
        <v>1420</v>
      </c>
    </row>
    <row r="147" spans="1:7">
      <c r="A147" t="s">
        <v>1872</v>
      </c>
      <c r="B147" t="s">
        <v>1873</v>
      </c>
      <c r="C147" t="s">
        <v>1874</v>
      </c>
      <c r="D147" t="s">
        <v>1776</v>
      </c>
      <c r="E147" t="s">
        <v>1777</v>
      </c>
      <c r="F147" t="s">
        <v>1419</v>
      </c>
      <c r="G147" t="s">
        <v>1420</v>
      </c>
    </row>
    <row r="148" spans="1:7">
      <c r="A148" t="s">
        <v>1875</v>
      </c>
      <c r="B148" t="s">
        <v>1876</v>
      </c>
      <c r="C148" t="s">
        <v>1877</v>
      </c>
      <c r="D148" t="s">
        <v>1776</v>
      </c>
      <c r="E148" t="s">
        <v>1777</v>
      </c>
      <c r="F148" t="s">
        <v>1419</v>
      </c>
      <c r="G148" t="s">
        <v>1420</v>
      </c>
    </row>
    <row r="149" spans="1:7">
      <c r="A149" t="s">
        <v>1878</v>
      </c>
      <c r="B149" t="s">
        <v>1879</v>
      </c>
      <c r="C149" t="s">
        <v>1880</v>
      </c>
      <c r="D149" t="s">
        <v>1776</v>
      </c>
      <c r="E149" t="s">
        <v>1777</v>
      </c>
      <c r="F149" t="s">
        <v>1419</v>
      </c>
      <c r="G149" t="s">
        <v>1420</v>
      </c>
    </row>
    <row r="150" spans="1:7">
      <c r="A150" t="s">
        <v>1881</v>
      </c>
      <c r="B150" t="s">
        <v>1882</v>
      </c>
      <c r="C150" t="s">
        <v>1883</v>
      </c>
      <c r="D150" t="s">
        <v>1776</v>
      </c>
      <c r="E150" t="s">
        <v>1777</v>
      </c>
      <c r="F150" t="s">
        <v>1419</v>
      </c>
      <c r="G150" t="s">
        <v>1420</v>
      </c>
    </row>
    <row r="151" spans="1:7">
      <c r="A151" t="s">
        <v>1884</v>
      </c>
      <c r="B151" t="s">
        <v>1885</v>
      </c>
      <c r="C151" t="s">
        <v>1886</v>
      </c>
      <c r="D151" t="s">
        <v>1696</v>
      </c>
      <c r="E151" t="s">
        <v>1697</v>
      </c>
      <c r="F151" t="s">
        <v>1419</v>
      </c>
      <c r="G151" t="s">
        <v>1420</v>
      </c>
    </row>
    <row r="152" spans="1:7">
      <c r="A152" t="s">
        <v>1887</v>
      </c>
      <c r="B152" t="s">
        <v>1888</v>
      </c>
      <c r="C152" t="s">
        <v>1889</v>
      </c>
      <c r="D152" t="s">
        <v>1776</v>
      </c>
      <c r="E152" t="s">
        <v>1777</v>
      </c>
      <c r="F152" t="s">
        <v>1419</v>
      </c>
      <c r="G152" t="s">
        <v>1420</v>
      </c>
    </row>
    <row r="153" spans="1:7">
      <c r="A153" t="s">
        <v>1890</v>
      </c>
      <c r="B153" t="s">
        <v>1891</v>
      </c>
      <c r="C153" t="s">
        <v>1892</v>
      </c>
      <c r="D153" t="s">
        <v>1696</v>
      </c>
      <c r="E153" t="s">
        <v>1697</v>
      </c>
      <c r="F153" t="s">
        <v>1419</v>
      </c>
      <c r="G153" t="s">
        <v>1420</v>
      </c>
    </row>
    <row r="154" spans="1:7">
      <c r="A154" t="s">
        <v>1893</v>
      </c>
      <c r="B154" t="s">
        <v>1894</v>
      </c>
      <c r="C154" t="s">
        <v>1895</v>
      </c>
      <c r="D154" t="s">
        <v>1776</v>
      </c>
      <c r="E154" t="s">
        <v>1777</v>
      </c>
      <c r="F154" t="s">
        <v>1419</v>
      </c>
      <c r="G154" t="s">
        <v>1420</v>
      </c>
    </row>
    <row r="155" spans="1:7">
      <c r="A155" t="s">
        <v>1896</v>
      </c>
      <c r="B155" t="s">
        <v>1897</v>
      </c>
      <c r="C155" t="s">
        <v>1898</v>
      </c>
      <c r="D155" t="s">
        <v>1776</v>
      </c>
      <c r="E155" t="s">
        <v>1777</v>
      </c>
      <c r="F155" t="s">
        <v>1419</v>
      </c>
      <c r="G155" t="s">
        <v>1420</v>
      </c>
    </row>
    <row r="156" spans="1:7">
      <c r="A156" t="s">
        <v>1899</v>
      </c>
      <c r="B156" t="s">
        <v>1900</v>
      </c>
      <c r="C156" t="s">
        <v>1901</v>
      </c>
      <c r="D156" t="s">
        <v>1776</v>
      </c>
      <c r="E156" t="s">
        <v>1777</v>
      </c>
      <c r="F156" t="s">
        <v>1419</v>
      </c>
      <c r="G156" t="s">
        <v>1420</v>
      </c>
    </row>
    <row r="157" spans="1:7">
      <c r="A157" t="s">
        <v>1902</v>
      </c>
      <c r="B157" t="s">
        <v>1903</v>
      </c>
      <c r="C157" t="s">
        <v>1904</v>
      </c>
      <c r="D157" t="s">
        <v>1776</v>
      </c>
      <c r="E157" t="s">
        <v>1777</v>
      </c>
      <c r="F157" t="s">
        <v>1419</v>
      </c>
      <c r="G157" t="s">
        <v>1420</v>
      </c>
    </row>
    <row r="158" spans="1:7">
      <c r="A158" t="s">
        <v>1905</v>
      </c>
      <c r="B158" t="s">
        <v>1906</v>
      </c>
      <c r="C158" t="s">
        <v>1907</v>
      </c>
      <c r="D158" t="s">
        <v>1776</v>
      </c>
      <c r="E158" t="s">
        <v>1777</v>
      </c>
      <c r="F158" t="s">
        <v>1419</v>
      </c>
      <c r="G158" t="s">
        <v>1420</v>
      </c>
    </row>
    <row r="159" spans="1:7">
      <c r="A159" t="s">
        <v>1908</v>
      </c>
      <c r="B159" t="s">
        <v>1909</v>
      </c>
      <c r="C159" t="s">
        <v>1910</v>
      </c>
      <c r="D159" t="s">
        <v>1776</v>
      </c>
      <c r="E159" t="s">
        <v>1777</v>
      </c>
      <c r="F159" t="s">
        <v>1419</v>
      </c>
      <c r="G159" t="s">
        <v>1420</v>
      </c>
    </row>
    <row r="160" spans="1:7">
      <c r="A160" t="s">
        <v>1911</v>
      </c>
      <c r="B160" t="s">
        <v>1912</v>
      </c>
      <c r="C160" t="s">
        <v>1913</v>
      </c>
      <c r="D160" t="s">
        <v>1914</v>
      </c>
      <c r="E160" t="s">
        <v>1915</v>
      </c>
      <c r="F160" t="s">
        <v>1419</v>
      </c>
      <c r="G160" t="s">
        <v>1420</v>
      </c>
    </row>
    <row r="161" spans="1:7">
      <c r="A161" t="s">
        <v>1916</v>
      </c>
      <c r="B161" t="s">
        <v>1917</v>
      </c>
      <c r="C161" t="s">
        <v>1918</v>
      </c>
      <c r="D161" t="s">
        <v>1776</v>
      </c>
      <c r="E161" t="s">
        <v>1777</v>
      </c>
      <c r="F161" t="s">
        <v>1419</v>
      </c>
      <c r="G161" t="s">
        <v>1420</v>
      </c>
    </row>
    <row r="162" spans="1:7">
      <c r="A162" t="s">
        <v>1919</v>
      </c>
      <c r="B162" t="s">
        <v>1920</v>
      </c>
      <c r="C162" t="s">
        <v>1921</v>
      </c>
      <c r="D162" t="s">
        <v>1776</v>
      </c>
      <c r="E162" t="s">
        <v>1777</v>
      </c>
      <c r="F162" t="s">
        <v>1419</v>
      </c>
      <c r="G162" t="s">
        <v>1420</v>
      </c>
    </row>
    <row r="163" spans="1:7">
      <c r="A163" t="s">
        <v>1922</v>
      </c>
      <c r="B163" t="s">
        <v>1923</v>
      </c>
      <c r="C163" t="s">
        <v>1924</v>
      </c>
      <c r="D163" t="s">
        <v>1914</v>
      </c>
      <c r="E163" t="s">
        <v>1915</v>
      </c>
      <c r="F163" t="s">
        <v>1419</v>
      </c>
      <c r="G163" t="s">
        <v>1420</v>
      </c>
    </row>
    <row r="164" spans="1:7">
      <c r="A164" t="s">
        <v>1925</v>
      </c>
      <c r="B164" t="s">
        <v>1926</v>
      </c>
      <c r="C164" t="s">
        <v>1927</v>
      </c>
      <c r="D164" t="s">
        <v>1776</v>
      </c>
      <c r="E164" t="s">
        <v>1777</v>
      </c>
      <c r="F164" t="s">
        <v>1419</v>
      </c>
      <c r="G164" t="s">
        <v>1420</v>
      </c>
    </row>
    <row r="165" spans="1:7">
      <c r="A165" t="s">
        <v>1928</v>
      </c>
      <c r="B165" t="s">
        <v>1929</v>
      </c>
      <c r="C165" t="s">
        <v>1930</v>
      </c>
      <c r="D165" t="s">
        <v>1776</v>
      </c>
      <c r="E165" t="s">
        <v>1777</v>
      </c>
      <c r="F165" t="s">
        <v>1419</v>
      </c>
      <c r="G165" t="s">
        <v>1420</v>
      </c>
    </row>
    <row r="166" spans="1:7">
      <c r="A166" t="s">
        <v>1931</v>
      </c>
      <c r="B166" t="s">
        <v>1932</v>
      </c>
      <c r="C166" t="s">
        <v>1933</v>
      </c>
      <c r="D166" t="s">
        <v>1776</v>
      </c>
      <c r="E166" t="s">
        <v>1777</v>
      </c>
      <c r="F166" t="s">
        <v>1419</v>
      </c>
      <c r="G166" t="s">
        <v>1420</v>
      </c>
    </row>
    <row r="167" spans="1:7">
      <c r="A167" t="s">
        <v>1934</v>
      </c>
      <c r="B167" t="s">
        <v>1935</v>
      </c>
      <c r="C167" t="s">
        <v>1936</v>
      </c>
      <c r="D167" t="s">
        <v>1776</v>
      </c>
      <c r="E167" t="s">
        <v>1777</v>
      </c>
      <c r="F167" t="s">
        <v>1419</v>
      </c>
      <c r="G167" t="s">
        <v>1420</v>
      </c>
    </row>
    <row r="168" spans="1:7">
      <c r="A168" t="s">
        <v>1937</v>
      </c>
      <c r="B168" t="s">
        <v>1938</v>
      </c>
      <c r="C168" t="s">
        <v>1939</v>
      </c>
      <c r="D168" t="s">
        <v>1837</v>
      </c>
      <c r="E168" t="s">
        <v>1838</v>
      </c>
      <c r="F168" t="s">
        <v>1419</v>
      </c>
      <c r="G168" t="s">
        <v>1420</v>
      </c>
    </row>
    <row r="169" spans="1:7">
      <c r="A169" t="s">
        <v>1940</v>
      </c>
      <c r="B169" t="s">
        <v>1941</v>
      </c>
      <c r="C169" t="s">
        <v>1942</v>
      </c>
      <c r="D169" t="s">
        <v>1837</v>
      </c>
      <c r="E169" t="s">
        <v>1838</v>
      </c>
      <c r="F169" t="s">
        <v>1419</v>
      </c>
      <c r="G169" t="s">
        <v>1420</v>
      </c>
    </row>
    <row r="170" spans="1:7">
      <c r="A170" t="s">
        <v>1943</v>
      </c>
      <c r="B170" t="s">
        <v>1944</v>
      </c>
      <c r="C170" t="s">
        <v>1945</v>
      </c>
      <c r="D170" t="s">
        <v>1837</v>
      </c>
      <c r="E170" t="s">
        <v>1838</v>
      </c>
      <c r="F170" t="s">
        <v>1419</v>
      </c>
      <c r="G170" t="s">
        <v>1420</v>
      </c>
    </row>
    <row r="171" spans="1:7">
      <c r="A171" t="s">
        <v>1946</v>
      </c>
      <c r="B171" t="s">
        <v>1947</v>
      </c>
      <c r="C171" t="s">
        <v>1948</v>
      </c>
      <c r="D171" t="s">
        <v>1837</v>
      </c>
      <c r="E171" t="s">
        <v>1838</v>
      </c>
      <c r="F171" t="s">
        <v>1419</v>
      </c>
      <c r="G171" t="s">
        <v>1420</v>
      </c>
    </row>
    <row r="172" spans="1:7">
      <c r="A172" t="s">
        <v>1949</v>
      </c>
      <c r="B172" t="s">
        <v>1950</v>
      </c>
      <c r="C172" t="s">
        <v>1951</v>
      </c>
      <c r="D172" t="s">
        <v>1837</v>
      </c>
      <c r="E172" t="s">
        <v>1838</v>
      </c>
      <c r="F172" t="s">
        <v>1419</v>
      </c>
      <c r="G172" t="s">
        <v>1420</v>
      </c>
    </row>
    <row r="173" spans="1:7">
      <c r="A173" t="s">
        <v>1952</v>
      </c>
      <c r="B173" t="s">
        <v>1953</v>
      </c>
      <c r="C173" t="s">
        <v>1954</v>
      </c>
      <c r="D173" t="s">
        <v>1837</v>
      </c>
      <c r="E173" t="s">
        <v>1838</v>
      </c>
      <c r="F173" t="s">
        <v>1419</v>
      </c>
      <c r="G173" t="s">
        <v>1420</v>
      </c>
    </row>
    <row r="174" spans="1:7">
      <c r="A174" t="s">
        <v>1955</v>
      </c>
      <c r="B174" t="s">
        <v>1293</v>
      </c>
      <c r="C174" t="s">
        <v>1956</v>
      </c>
      <c r="D174" t="s">
        <v>1837</v>
      </c>
      <c r="E174" t="s">
        <v>1838</v>
      </c>
      <c r="F174" t="s">
        <v>1419</v>
      </c>
      <c r="G174" t="s">
        <v>1420</v>
      </c>
    </row>
    <row r="175" spans="1:7">
      <c r="A175" t="s">
        <v>1957</v>
      </c>
      <c r="B175" t="s">
        <v>1958</v>
      </c>
      <c r="C175" t="s">
        <v>1959</v>
      </c>
      <c r="D175" t="s">
        <v>1837</v>
      </c>
      <c r="E175" t="s">
        <v>1838</v>
      </c>
      <c r="F175" t="s">
        <v>1419</v>
      </c>
      <c r="G175" t="s">
        <v>1420</v>
      </c>
    </row>
    <row r="176" spans="1:7">
      <c r="A176" t="s">
        <v>1960</v>
      </c>
      <c r="B176" t="s">
        <v>1961</v>
      </c>
      <c r="C176" t="s">
        <v>1962</v>
      </c>
      <c r="D176" t="s">
        <v>1837</v>
      </c>
      <c r="E176" t="s">
        <v>1838</v>
      </c>
      <c r="F176" t="s">
        <v>1419</v>
      </c>
      <c r="G176" t="s">
        <v>1420</v>
      </c>
    </row>
    <row r="177" spans="1:7">
      <c r="A177" t="s">
        <v>1963</v>
      </c>
      <c r="B177" t="s">
        <v>1964</v>
      </c>
      <c r="C177" t="s">
        <v>1965</v>
      </c>
      <c r="D177" t="s">
        <v>1837</v>
      </c>
      <c r="E177" t="s">
        <v>1838</v>
      </c>
      <c r="F177" t="s">
        <v>1419</v>
      </c>
      <c r="G177" t="s">
        <v>1420</v>
      </c>
    </row>
    <row r="178" spans="1:7">
      <c r="A178" t="s">
        <v>1966</v>
      </c>
      <c r="B178" t="s">
        <v>1967</v>
      </c>
      <c r="C178" t="s">
        <v>1968</v>
      </c>
      <c r="D178" t="s">
        <v>1837</v>
      </c>
      <c r="E178" t="s">
        <v>1838</v>
      </c>
      <c r="F178" t="s">
        <v>1419</v>
      </c>
      <c r="G178" t="s">
        <v>1420</v>
      </c>
    </row>
    <row r="179" spans="1:7">
      <c r="A179" t="s">
        <v>1969</v>
      </c>
      <c r="B179" t="s">
        <v>1970</v>
      </c>
      <c r="C179" t="s">
        <v>1971</v>
      </c>
      <c r="D179" t="s">
        <v>1837</v>
      </c>
      <c r="E179" t="s">
        <v>1838</v>
      </c>
      <c r="F179" t="s">
        <v>1419</v>
      </c>
      <c r="G179" t="s">
        <v>1420</v>
      </c>
    </row>
    <row r="180" spans="1:7">
      <c r="A180" t="s">
        <v>1972</v>
      </c>
      <c r="B180" t="s">
        <v>1973</v>
      </c>
      <c r="C180" t="s">
        <v>1974</v>
      </c>
      <c r="D180" t="s">
        <v>1837</v>
      </c>
      <c r="E180" t="s">
        <v>1838</v>
      </c>
      <c r="F180" t="s">
        <v>1419</v>
      </c>
      <c r="G180" t="s">
        <v>1420</v>
      </c>
    </row>
    <row r="181" spans="1:7">
      <c r="A181" t="s">
        <v>1975</v>
      </c>
      <c r="B181" t="s">
        <v>1976</v>
      </c>
      <c r="C181" t="s">
        <v>1977</v>
      </c>
      <c r="D181" t="s">
        <v>1837</v>
      </c>
      <c r="E181" t="s">
        <v>1838</v>
      </c>
      <c r="F181" t="s">
        <v>1419</v>
      </c>
      <c r="G181" t="s">
        <v>1420</v>
      </c>
    </row>
    <row r="182" spans="1:7">
      <c r="A182" t="s">
        <v>1978</v>
      </c>
      <c r="B182" t="s">
        <v>1979</v>
      </c>
      <c r="C182" t="s">
        <v>1980</v>
      </c>
      <c r="D182" t="s">
        <v>1837</v>
      </c>
      <c r="E182" t="s">
        <v>1838</v>
      </c>
      <c r="F182" t="s">
        <v>1419</v>
      </c>
      <c r="G182" t="s">
        <v>1420</v>
      </c>
    </row>
    <row r="183" spans="1:7">
      <c r="A183" t="s">
        <v>1981</v>
      </c>
      <c r="B183" t="s">
        <v>1982</v>
      </c>
      <c r="C183" t="s">
        <v>1983</v>
      </c>
      <c r="D183" t="s">
        <v>1837</v>
      </c>
      <c r="E183" t="s">
        <v>1838</v>
      </c>
      <c r="F183" t="s">
        <v>1419</v>
      </c>
      <c r="G183" t="s">
        <v>1420</v>
      </c>
    </row>
    <row r="184" spans="1:7">
      <c r="A184" t="s">
        <v>1984</v>
      </c>
      <c r="B184" t="s">
        <v>1985</v>
      </c>
      <c r="C184" t="s">
        <v>1986</v>
      </c>
      <c r="D184" t="s">
        <v>1837</v>
      </c>
      <c r="E184" t="s">
        <v>1838</v>
      </c>
      <c r="F184" t="s">
        <v>1419</v>
      </c>
      <c r="G184" t="s">
        <v>1420</v>
      </c>
    </row>
    <row r="185" spans="1:7">
      <c r="A185" t="s">
        <v>1987</v>
      </c>
      <c r="B185" t="s">
        <v>1988</v>
      </c>
      <c r="C185" t="s">
        <v>1989</v>
      </c>
      <c r="D185" t="s">
        <v>1837</v>
      </c>
      <c r="E185" t="s">
        <v>1838</v>
      </c>
      <c r="F185" t="s">
        <v>1419</v>
      </c>
      <c r="G185" t="s">
        <v>1420</v>
      </c>
    </row>
    <row r="186" spans="1:7">
      <c r="A186" t="s">
        <v>1990</v>
      </c>
      <c r="B186" t="s">
        <v>1991</v>
      </c>
      <c r="C186" t="s">
        <v>1992</v>
      </c>
      <c r="D186" t="s">
        <v>1837</v>
      </c>
      <c r="E186" t="s">
        <v>1838</v>
      </c>
      <c r="F186" t="s">
        <v>1419</v>
      </c>
      <c r="G186" t="s">
        <v>1420</v>
      </c>
    </row>
    <row r="187" spans="1:7">
      <c r="A187" t="s">
        <v>1993</v>
      </c>
      <c r="B187" t="s">
        <v>1994</v>
      </c>
      <c r="C187" t="s">
        <v>1995</v>
      </c>
      <c r="D187" t="s">
        <v>1837</v>
      </c>
      <c r="E187" t="s">
        <v>1838</v>
      </c>
      <c r="F187" t="s">
        <v>1419</v>
      </c>
      <c r="G187" t="s">
        <v>1420</v>
      </c>
    </row>
    <row r="188" spans="1:7">
      <c r="A188" t="s">
        <v>1996</v>
      </c>
      <c r="B188" t="s">
        <v>1997</v>
      </c>
      <c r="C188" t="s">
        <v>1998</v>
      </c>
      <c r="D188" t="s">
        <v>1837</v>
      </c>
      <c r="E188" t="s">
        <v>1838</v>
      </c>
      <c r="F188" t="s">
        <v>1419</v>
      </c>
      <c r="G188" t="s">
        <v>1420</v>
      </c>
    </row>
    <row r="189" spans="1:7">
      <c r="A189" t="s">
        <v>1999</v>
      </c>
      <c r="B189" t="s">
        <v>2000</v>
      </c>
      <c r="C189" t="s">
        <v>2001</v>
      </c>
      <c r="D189" t="s">
        <v>1914</v>
      </c>
      <c r="E189" t="s">
        <v>1915</v>
      </c>
      <c r="F189" t="s">
        <v>1419</v>
      </c>
      <c r="G189" t="s">
        <v>1420</v>
      </c>
    </row>
    <row r="190" spans="1:7">
      <c r="A190" t="s">
        <v>2002</v>
      </c>
      <c r="B190" t="s">
        <v>2003</v>
      </c>
      <c r="C190" t="s">
        <v>2004</v>
      </c>
      <c r="D190" t="s">
        <v>1837</v>
      </c>
      <c r="E190" t="s">
        <v>1838</v>
      </c>
      <c r="F190" t="s">
        <v>1419</v>
      </c>
      <c r="G190" t="s">
        <v>1420</v>
      </c>
    </row>
    <row r="191" spans="1:7">
      <c r="A191" t="s">
        <v>2005</v>
      </c>
      <c r="B191" t="s">
        <v>2006</v>
      </c>
      <c r="C191" t="s">
        <v>2007</v>
      </c>
      <c r="D191" t="s">
        <v>1837</v>
      </c>
      <c r="E191" t="s">
        <v>1838</v>
      </c>
      <c r="F191" t="s">
        <v>1419</v>
      </c>
      <c r="G191" t="s">
        <v>1420</v>
      </c>
    </row>
    <row r="192" spans="1:7">
      <c r="A192" t="s">
        <v>2008</v>
      </c>
      <c r="B192" t="s">
        <v>2009</v>
      </c>
      <c r="C192" t="s">
        <v>2010</v>
      </c>
      <c r="D192" t="s">
        <v>1837</v>
      </c>
      <c r="E192" t="s">
        <v>1838</v>
      </c>
      <c r="F192" t="s">
        <v>1419</v>
      </c>
      <c r="G192" t="s">
        <v>1420</v>
      </c>
    </row>
    <row r="193" spans="1:7">
      <c r="A193" t="s">
        <v>2011</v>
      </c>
      <c r="B193" t="s">
        <v>2012</v>
      </c>
      <c r="C193" t="s">
        <v>2013</v>
      </c>
      <c r="D193" t="s">
        <v>1837</v>
      </c>
      <c r="E193" t="s">
        <v>1838</v>
      </c>
      <c r="F193" t="s">
        <v>1419</v>
      </c>
      <c r="G193" t="s">
        <v>1420</v>
      </c>
    </row>
    <row r="194" spans="1:7">
      <c r="A194" t="s">
        <v>2014</v>
      </c>
      <c r="B194" t="s">
        <v>2015</v>
      </c>
      <c r="C194" t="s">
        <v>2016</v>
      </c>
      <c r="D194" t="s">
        <v>2017</v>
      </c>
      <c r="E194" t="s">
        <v>2018</v>
      </c>
      <c r="F194" t="s">
        <v>1419</v>
      </c>
      <c r="G194" t="s">
        <v>1420</v>
      </c>
    </row>
    <row r="195" spans="1:7">
      <c r="A195" t="s">
        <v>2019</v>
      </c>
      <c r="B195" t="s">
        <v>2020</v>
      </c>
      <c r="C195" t="s">
        <v>2021</v>
      </c>
      <c r="D195" t="s">
        <v>2017</v>
      </c>
      <c r="E195" t="s">
        <v>2018</v>
      </c>
      <c r="F195" t="s">
        <v>1419</v>
      </c>
      <c r="G195" t="s">
        <v>1420</v>
      </c>
    </row>
    <row r="196" spans="1:7">
      <c r="A196" t="s">
        <v>2022</v>
      </c>
      <c r="B196" t="s">
        <v>2023</v>
      </c>
      <c r="C196" t="s">
        <v>2024</v>
      </c>
      <c r="D196" t="s">
        <v>2017</v>
      </c>
      <c r="E196" t="s">
        <v>2018</v>
      </c>
      <c r="F196" t="s">
        <v>1419</v>
      </c>
      <c r="G196" t="s">
        <v>1420</v>
      </c>
    </row>
    <row r="197" spans="1:7">
      <c r="A197" t="s">
        <v>2025</v>
      </c>
      <c r="B197" t="s">
        <v>2026</v>
      </c>
      <c r="C197" t="s">
        <v>2027</v>
      </c>
      <c r="D197" t="s">
        <v>1696</v>
      </c>
      <c r="E197" t="s">
        <v>1697</v>
      </c>
      <c r="F197" t="s">
        <v>1419</v>
      </c>
      <c r="G197" t="s">
        <v>1420</v>
      </c>
    </row>
    <row r="198" spans="1:7">
      <c r="A198" t="s">
        <v>2028</v>
      </c>
      <c r="B198" t="s">
        <v>2029</v>
      </c>
      <c r="C198" t="s">
        <v>2030</v>
      </c>
      <c r="D198" t="s">
        <v>2017</v>
      </c>
      <c r="E198" t="s">
        <v>2018</v>
      </c>
      <c r="F198" t="s">
        <v>1419</v>
      </c>
      <c r="G198" t="s">
        <v>1420</v>
      </c>
    </row>
    <row r="199" spans="1:7">
      <c r="A199" t="s">
        <v>2031</v>
      </c>
      <c r="B199" t="s">
        <v>2032</v>
      </c>
      <c r="C199" t="s">
        <v>2033</v>
      </c>
      <c r="D199" t="s">
        <v>1696</v>
      </c>
      <c r="E199" t="s">
        <v>1697</v>
      </c>
      <c r="F199" t="s">
        <v>1419</v>
      </c>
      <c r="G199" t="s">
        <v>1420</v>
      </c>
    </row>
    <row r="200" spans="1:7">
      <c r="A200" t="s">
        <v>2034</v>
      </c>
      <c r="B200" t="s">
        <v>2035</v>
      </c>
      <c r="C200" t="s">
        <v>2036</v>
      </c>
      <c r="D200" t="s">
        <v>2017</v>
      </c>
      <c r="E200" t="s">
        <v>2018</v>
      </c>
      <c r="F200" t="s">
        <v>1419</v>
      </c>
      <c r="G200" t="s">
        <v>1420</v>
      </c>
    </row>
    <row r="201" spans="1:7">
      <c r="A201" t="s">
        <v>2037</v>
      </c>
      <c r="B201" t="s">
        <v>2038</v>
      </c>
      <c r="C201" t="s">
        <v>2039</v>
      </c>
      <c r="D201" t="s">
        <v>2017</v>
      </c>
      <c r="E201" t="s">
        <v>2018</v>
      </c>
      <c r="F201" t="s">
        <v>1419</v>
      </c>
      <c r="G201" t="s">
        <v>1420</v>
      </c>
    </row>
    <row r="202" spans="1:7">
      <c r="A202" t="s">
        <v>2040</v>
      </c>
      <c r="B202" t="s">
        <v>2041</v>
      </c>
      <c r="C202" t="s">
        <v>2042</v>
      </c>
      <c r="D202" t="s">
        <v>2017</v>
      </c>
      <c r="E202" t="s">
        <v>2018</v>
      </c>
      <c r="F202" t="s">
        <v>1419</v>
      </c>
      <c r="G202" t="s">
        <v>1420</v>
      </c>
    </row>
    <row r="203" spans="1:7">
      <c r="A203" t="s">
        <v>2043</v>
      </c>
      <c r="B203" t="s">
        <v>2044</v>
      </c>
      <c r="C203" t="s">
        <v>2045</v>
      </c>
      <c r="D203" t="s">
        <v>2017</v>
      </c>
      <c r="E203" t="s">
        <v>2018</v>
      </c>
      <c r="F203" t="s">
        <v>1419</v>
      </c>
      <c r="G203" t="s">
        <v>1420</v>
      </c>
    </row>
    <row r="204" spans="1:7">
      <c r="A204" t="s">
        <v>2046</v>
      </c>
      <c r="B204" t="s">
        <v>2047</v>
      </c>
      <c r="C204" t="s">
        <v>2048</v>
      </c>
      <c r="D204" t="s">
        <v>2017</v>
      </c>
      <c r="E204" t="s">
        <v>2018</v>
      </c>
      <c r="F204" t="s">
        <v>1419</v>
      </c>
      <c r="G204" t="s">
        <v>1420</v>
      </c>
    </row>
    <row r="205" spans="1:7">
      <c r="A205" t="s">
        <v>2049</v>
      </c>
      <c r="B205" t="s">
        <v>2050</v>
      </c>
      <c r="C205" t="s">
        <v>2051</v>
      </c>
      <c r="D205" t="s">
        <v>2017</v>
      </c>
      <c r="E205" t="s">
        <v>2018</v>
      </c>
      <c r="F205" t="s">
        <v>1419</v>
      </c>
      <c r="G205" t="s">
        <v>1420</v>
      </c>
    </row>
    <row r="206" spans="1:7">
      <c r="A206" t="s">
        <v>2052</v>
      </c>
      <c r="B206" t="s">
        <v>2053</v>
      </c>
      <c r="C206" t="s">
        <v>2054</v>
      </c>
      <c r="D206" t="s">
        <v>2017</v>
      </c>
      <c r="E206" t="s">
        <v>2018</v>
      </c>
      <c r="F206" t="s">
        <v>1419</v>
      </c>
      <c r="G206" t="s">
        <v>1420</v>
      </c>
    </row>
    <row r="207" spans="1:7">
      <c r="A207" t="s">
        <v>2055</v>
      </c>
      <c r="B207" t="s">
        <v>2056</v>
      </c>
      <c r="C207" t="s">
        <v>2057</v>
      </c>
      <c r="D207" t="s">
        <v>2017</v>
      </c>
      <c r="E207" t="s">
        <v>2018</v>
      </c>
      <c r="F207" t="s">
        <v>1419</v>
      </c>
      <c r="G207" t="s">
        <v>1420</v>
      </c>
    </row>
    <row r="208" spans="1:7">
      <c r="A208" t="s">
        <v>2058</v>
      </c>
      <c r="B208" t="s">
        <v>2059</v>
      </c>
      <c r="C208" t="s">
        <v>2060</v>
      </c>
      <c r="D208" t="s">
        <v>1696</v>
      </c>
      <c r="E208" t="s">
        <v>1697</v>
      </c>
      <c r="F208" t="s">
        <v>1419</v>
      </c>
      <c r="G208" t="s">
        <v>1420</v>
      </c>
    </row>
    <row r="209" spans="1:7">
      <c r="A209" t="s">
        <v>2061</v>
      </c>
      <c r="B209" t="s">
        <v>2062</v>
      </c>
      <c r="C209" t="s">
        <v>2063</v>
      </c>
      <c r="D209" t="s">
        <v>1696</v>
      </c>
      <c r="E209" t="s">
        <v>1697</v>
      </c>
      <c r="F209" t="s">
        <v>1419</v>
      </c>
      <c r="G209" t="s">
        <v>1420</v>
      </c>
    </row>
    <row r="210" spans="1:7">
      <c r="A210" t="s">
        <v>2064</v>
      </c>
      <c r="B210" t="s">
        <v>2065</v>
      </c>
      <c r="C210" t="s">
        <v>2066</v>
      </c>
      <c r="D210" t="s">
        <v>1696</v>
      </c>
      <c r="E210" t="s">
        <v>1697</v>
      </c>
      <c r="F210" t="s">
        <v>1419</v>
      </c>
      <c r="G210" t="s">
        <v>1420</v>
      </c>
    </row>
    <row r="211" spans="1:7">
      <c r="A211" t="s">
        <v>2067</v>
      </c>
      <c r="B211" t="s">
        <v>2068</v>
      </c>
      <c r="C211" t="s">
        <v>2069</v>
      </c>
      <c r="D211" t="s">
        <v>1696</v>
      </c>
      <c r="E211" t="s">
        <v>1697</v>
      </c>
      <c r="F211" t="s">
        <v>1419</v>
      </c>
      <c r="G211" t="s">
        <v>1420</v>
      </c>
    </row>
    <row r="212" spans="1:7">
      <c r="A212" t="s">
        <v>2070</v>
      </c>
      <c r="B212" t="s">
        <v>2071</v>
      </c>
      <c r="C212" t="s">
        <v>2072</v>
      </c>
      <c r="D212" t="s">
        <v>1696</v>
      </c>
      <c r="E212" t="s">
        <v>1697</v>
      </c>
      <c r="F212" t="s">
        <v>1419</v>
      </c>
      <c r="G212" t="s">
        <v>1420</v>
      </c>
    </row>
    <row r="213" spans="1:7">
      <c r="A213" t="s">
        <v>2073</v>
      </c>
      <c r="B213" t="s">
        <v>2074</v>
      </c>
      <c r="C213" t="s">
        <v>2075</v>
      </c>
      <c r="D213" t="s">
        <v>1696</v>
      </c>
      <c r="E213" t="s">
        <v>1697</v>
      </c>
      <c r="F213" t="s">
        <v>1419</v>
      </c>
      <c r="G213" t="s">
        <v>1420</v>
      </c>
    </row>
    <row r="214" spans="1:7">
      <c r="A214" t="s">
        <v>2076</v>
      </c>
      <c r="B214" t="s">
        <v>2077</v>
      </c>
      <c r="C214" t="s">
        <v>2078</v>
      </c>
      <c r="D214" t="s">
        <v>1696</v>
      </c>
      <c r="E214" t="s">
        <v>1697</v>
      </c>
      <c r="F214" t="s">
        <v>1419</v>
      </c>
      <c r="G214" t="s">
        <v>1420</v>
      </c>
    </row>
    <row r="215" spans="1:7">
      <c r="A215" t="s">
        <v>2079</v>
      </c>
      <c r="B215" t="s">
        <v>2080</v>
      </c>
      <c r="C215" t="s">
        <v>2081</v>
      </c>
      <c r="D215" t="s">
        <v>1914</v>
      </c>
      <c r="E215" t="s">
        <v>1915</v>
      </c>
      <c r="F215" t="s">
        <v>1419</v>
      </c>
      <c r="G215" t="s">
        <v>1420</v>
      </c>
    </row>
    <row r="216" spans="1:7">
      <c r="A216" t="s">
        <v>2082</v>
      </c>
      <c r="B216" t="s">
        <v>2083</v>
      </c>
      <c r="C216" t="s">
        <v>2084</v>
      </c>
      <c r="D216" t="s">
        <v>1696</v>
      </c>
      <c r="E216" t="s">
        <v>1697</v>
      </c>
      <c r="F216" t="s">
        <v>1419</v>
      </c>
      <c r="G216" t="s">
        <v>1420</v>
      </c>
    </row>
    <row r="217" spans="1:7">
      <c r="A217" t="s">
        <v>2085</v>
      </c>
      <c r="B217" t="s">
        <v>2086</v>
      </c>
      <c r="C217" t="s">
        <v>2087</v>
      </c>
      <c r="D217" t="s">
        <v>1914</v>
      </c>
      <c r="E217" t="s">
        <v>1915</v>
      </c>
      <c r="F217" t="s">
        <v>1419</v>
      </c>
      <c r="G217" t="s">
        <v>1420</v>
      </c>
    </row>
    <row r="218" spans="1:7">
      <c r="A218" t="s">
        <v>2088</v>
      </c>
      <c r="B218" t="s">
        <v>2089</v>
      </c>
      <c r="C218" t="s">
        <v>2090</v>
      </c>
      <c r="D218" t="s">
        <v>1696</v>
      </c>
      <c r="E218" t="s">
        <v>1697</v>
      </c>
      <c r="F218" t="s">
        <v>1419</v>
      </c>
      <c r="G218" t="s">
        <v>1420</v>
      </c>
    </row>
    <row r="219" spans="1:7">
      <c r="A219" t="s">
        <v>2091</v>
      </c>
      <c r="B219" t="s">
        <v>2092</v>
      </c>
      <c r="C219" t="s">
        <v>2093</v>
      </c>
      <c r="D219" t="s">
        <v>1914</v>
      </c>
      <c r="E219" t="s">
        <v>1915</v>
      </c>
      <c r="F219" t="s">
        <v>1419</v>
      </c>
      <c r="G219" t="s">
        <v>1420</v>
      </c>
    </row>
    <row r="220" spans="1:7">
      <c r="A220" t="s">
        <v>2094</v>
      </c>
      <c r="B220" t="s">
        <v>2095</v>
      </c>
      <c r="C220" t="s">
        <v>2096</v>
      </c>
      <c r="D220" t="s">
        <v>1696</v>
      </c>
      <c r="E220" t="s">
        <v>1697</v>
      </c>
      <c r="F220" t="s">
        <v>1419</v>
      </c>
      <c r="G220" t="s">
        <v>1420</v>
      </c>
    </row>
    <row r="221" spans="1:7">
      <c r="A221" t="s">
        <v>2097</v>
      </c>
      <c r="B221" t="s">
        <v>2098</v>
      </c>
      <c r="C221" t="s">
        <v>2099</v>
      </c>
      <c r="D221" t="s">
        <v>1696</v>
      </c>
      <c r="E221" t="s">
        <v>1697</v>
      </c>
      <c r="F221" t="s">
        <v>1419</v>
      </c>
      <c r="G221" t="s">
        <v>1420</v>
      </c>
    </row>
    <row r="222" spans="1:7">
      <c r="A222" t="s">
        <v>2100</v>
      </c>
      <c r="B222" t="s">
        <v>2101</v>
      </c>
      <c r="C222" t="s">
        <v>2102</v>
      </c>
      <c r="D222" t="s">
        <v>1914</v>
      </c>
      <c r="E222" t="s">
        <v>1915</v>
      </c>
      <c r="F222" t="s">
        <v>1419</v>
      </c>
      <c r="G222" t="s">
        <v>1420</v>
      </c>
    </row>
    <row r="223" spans="1:7">
      <c r="A223" t="s">
        <v>2103</v>
      </c>
      <c r="B223" t="s">
        <v>2104</v>
      </c>
      <c r="C223" t="s">
        <v>2105</v>
      </c>
      <c r="D223" t="s">
        <v>1498</v>
      </c>
      <c r="E223" t="s">
        <v>1499</v>
      </c>
      <c r="F223" t="s">
        <v>1419</v>
      </c>
      <c r="G223" t="s">
        <v>1420</v>
      </c>
    </row>
    <row r="224" spans="1:7">
      <c r="A224" t="s">
        <v>2106</v>
      </c>
      <c r="B224" t="s">
        <v>2107</v>
      </c>
      <c r="C224" t="s">
        <v>2108</v>
      </c>
      <c r="D224" t="s">
        <v>1914</v>
      </c>
      <c r="E224" t="s">
        <v>1915</v>
      </c>
      <c r="F224" t="s">
        <v>1419</v>
      </c>
      <c r="G224" t="s">
        <v>1420</v>
      </c>
    </row>
    <row r="225" spans="1:7">
      <c r="A225" t="s">
        <v>2109</v>
      </c>
      <c r="B225" t="s">
        <v>2110</v>
      </c>
      <c r="C225" t="s">
        <v>2111</v>
      </c>
      <c r="D225" t="s">
        <v>1498</v>
      </c>
      <c r="E225" t="s">
        <v>1499</v>
      </c>
      <c r="F225" t="s">
        <v>1419</v>
      </c>
      <c r="G225" t="s">
        <v>1420</v>
      </c>
    </row>
    <row r="226" spans="1:7">
      <c r="A226" t="s">
        <v>2112</v>
      </c>
      <c r="B226" t="s">
        <v>2113</v>
      </c>
      <c r="C226" t="s">
        <v>2114</v>
      </c>
      <c r="D226" t="s">
        <v>1498</v>
      </c>
      <c r="E226" t="s">
        <v>1499</v>
      </c>
      <c r="F226" t="s">
        <v>1419</v>
      </c>
      <c r="G226" t="s">
        <v>1420</v>
      </c>
    </row>
    <row r="227" spans="1:7">
      <c r="A227" t="s">
        <v>2115</v>
      </c>
      <c r="B227" t="s">
        <v>2116</v>
      </c>
      <c r="C227" t="s">
        <v>2117</v>
      </c>
      <c r="D227" t="s">
        <v>1914</v>
      </c>
      <c r="E227" t="s">
        <v>1915</v>
      </c>
      <c r="F227" t="s">
        <v>1419</v>
      </c>
      <c r="G227" t="s">
        <v>1420</v>
      </c>
    </row>
    <row r="228" spans="1:7">
      <c r="A228" t="s">
        <v>2118</v>
      </c>
      <c r="B228" t="s">
        <v>2119</v>
      </c>
      <c r="C228" t="s">
        <v>2120</v>
      </c>
      <c r="D228" t="s">
        <v>1498</v>
      </c>
      <c r="E228" t="s">
        <v>1499</v>
      </c>
      <c r="F228" t="s">
        <v>1419</v>
      </c>
      <c r="G228" t="s">
        <v>1420</v>
      </c>
    </row>
    <row r="229" spans="1:7">
      <c r="A229" t="s">
        <v>2121</v>
      </c>
      <c r="B229" t="s">
        <v>2122</v>
      </c>
      <c r="C229" t="s">
        <v>2123</v>
      </c>
      <c r="D229" t="s">
        <v>1509</v>
      </c>
      <c r="E229" t="s">
        <v>1510</v>
      </c>
      <c r="F229" t="s">
        <v>1419</v>
      </c>
      <c r="G229" t="s">
        <v>1420</v>
      </c>
    </row>
    <row r="230" spans="1:7">
      <c r="A230" t="s">
        <v>2124</v>
      </c>
      <c r="B230" t="s">
        <v>2125</v>
      </c>
      <c r="C230" t="s">
        <v>2126</v>
      </c>
      <c r="D230" t="s">
        <v>1914</v>
      </c>
      <c r="E230" t="s">
        <v>1915</v>
      </c>
      <c r="F230" t="s">
        <v>1419</v>
      </c>
      <c r="G230" t="s">
        <v>1420</v>
      </c>
    </row>
    <row r="231" spans="1:7">
      <c r="A231" t="s">
        <v>2127</v>
      </c>
      <c r="B231" t="s">
        <v>2128</v>
      </c>
      <c r="C231" t="s">
        <v>2129</v>
      </c>
      <c r="D231" t="s">
        <v>1914</v>
      </c>
      <c r="E231" t="s">
        <v>1915</v>
      </c>
      <c r="F231" t="s">
        <v>1419</v>
      </c>
      <c r="G231" t="s">
        <v>1420</v>
      </c>
    </row>
    <row r="232" spans="1:7">
      <c r="A232" t="s">
        <v>2130</v>
      </c>
      <c r="B232" t="s">
        <v>2131</v>
      </c>
      <c r="C232" t="s">
        <v>2132</v>
      </c>
      <c r="D232" t="s">
        <v>1914</v>
      </c>
      <c r="E232" t="s">
        <v>1915</v>
      </c>
      <c r="F232" t="s">
        <v>1419</v>
      </c>
      <c r="G232" t="s">
        <v>1420</v>
      </c>
    </row>
    <row r="233" spans="1:7">
      <c r="A233" t="s">
        <v>2133</v>
      </c>
      <c r="B233" t="s">
        <v>2134</v>
      </c>
      <c r="C233" t="s">
        <v>2135</v>
      </c>
      <c r="D233" t="s">
        <v>1914</v>
      </c>
      <c r="E233" t="s">
        <v>1915</v>
      </c>
      <c r="F233" t="s">
        <v>1419</v>
      </c>
      <c r="G233" t="s">
        <v>1420</v>
      </c>
    </row>
    <row r="234" spans="1:7">
      <c r="A234" t="s">
        <v>2136</v>
      </c>
      <c r="B234" t="s">
        <v>2137</v>
      </c>
      <c r="C234" t="s">
        <v>2138</v>
      </c>
      <c r="D234" t="s">
        <v>1914</v>
      </c>
      <c r="E234" t="s">
        <v>1915</v>
      </c>
      <c r="F234" t="s">
        <v>1419</v>
      </c>
      <c r="G234" t="s">
        <v>1420</v>
      </c>
    </row>
    <row r="235" spans="1:7">
      <c r="A235" t="s">
        <v>2139</v>
      </c>
      <c r="B235" t="s">
        <v>2140</v>
      </c>
      <c r="C235" t="s">
        <v>2141</v>
      </c>
      <c r="D235" t="s">
        <v>1914</v>
      </c>
      <c r="E235" t="s">
        <v>1915</v>
      </c>
      <c r="F235" t="s">
        <v>1419</v>
      </c>
      <c r="G235" t="s">
        <v>1420</v>
      </c>
    </row>
    <row r="236" spans="1:7">
      <c r="A236" t="s">
        <v>2142</v>
      </c>
      <c r="B236" t="s">
        <v>2143</v>
      </c>
      <c r="C236" t="s">
        <v>2144</v>
      </c>
      <c r="D236" t="s">
        <v>1498</v>
      </c>
      <c r="E236" t="s">
        <v>1499</v>
      </c>
      <c r="F236" t="s">
        <v>1419</v>
      </c>
      <c r="G236" t="s">
        <v>1420</v>
      </c>
    </row>
    <row r="237" spans="1:7">
      <c r="A237" t="s">
        <v>2145</v>
      </c>
      <c r="B237" t="s">
        <v>2146</v>
      </c>
      <c r="C237" t="s">
        <v>2147</v>
      </c>
      <c r="D237" t="s">
        <v>1498</v>
      </c>
      <c r="E237" t="s">
        <v>1499</v>
      </c>
      <c r="F237" t="s">
        <v>1419</v>
      </c>
      <c r="G237" t="s">
        <v>1420</v>
      </c>
    </row>
    <row r="238" spans="1:7">
      <c r="A238" t="s">
        <v>2148</v>
      </c>
      <c r="B238" t="s">
        <v>2149</v>
      </c>
      <c r="C238" t="s">
        <v>2150</v>
      </c>
      <c r="D238" t="s">
        <v>1498</v>
      </c>
      <c r="E238" t="s">
        <v>1499</v>
      </c>
      <c r="F238" t="s">
        <v>1419</v>
      </c>
      <c r="G238" t="s">
        <v>1420</v>
      </c>
    </row>
    <row r="239" spans="1:7">
      <c r="A239" t="s">
        <v>2151</v>
      </c>
      <c r="B239" t="s">
        <v>2152</v>
      </c>
      <c r="C239" t="s">
        <v>2153</v>
      </c>
      <c r="D239" t="s">
        <v>1498</v>
      </c>
      <c r="E239" t="s">
        <v>1499</v>
      </c>
      <c r="F239" t="s">
        <v>1419</v>
      </c>
      <c r="G239" t="s">
        <v>1420</v>
      </c>
    </row>
    <row r="240" spans="1:7">
      <c r="A240" t="s">
        <v>2154</v>
      </c>
      <c r="B240" t="s">
        <v>2155</v>
      </c>
      <c r="C240" t="s">
        <v>2156</v>
      </c>
      <c r="D240" t="s">
        <v>1498</v>
      </c>
      <c r="E240" t="s">
        <v>1499</v>
      </c>
      <c r="F240" t="s">
        <v>1419</v>
      </c>
      <c r="G240" t="s">
        <v>1420</v>
      </c>
    </row>
    <row r="241" spans="1:7">
      <c r="A241" t="s">
        <v>2157</v>
      </c>
      <c r="B241" t="s">
        <v>2158</v>
      </c>
      <c r="C241" t="s">
        <v>2159</v>
      </c>
      <c r="D241" t="s">
        <v>1498</v>
      </c>
      <c r="E241" t="s">
        <v>1499</v>
      </c>
      <c r="F241" t="s">
        <v>1419</v>
      </c>
      <c r="G241" t="s">
        <v>1420</v>
      </c>
    </row>
    <row r="242" spans="1:7">
      <c r="A242" t="s">
        <v>2160</v>
      </c>
      <c r="B242" t="s">
        <v>2161</v>
      </c>
      <c r="C242" t="s">
        <v>2162</v>
      </c>
      <c r="D242" t="s">
        <v>1498</v>
      </c>
      <c r="E242" t="s">
        <v>1499</v>
      </c>
      <c r="F242" t="s">
        <v>1419</v>
      </c>
      <c r="G242" t="s">
        <v>1420</v>
      </c>
    </row>
    <row r="243" spans="1:7">
      <c r="A243" t="s">
        <v>2163</v>
      </c>
      <c r="B243" t="s">
        <v>2164</v>
      </c>
      <c r="C243" t="s">
        <v>2165</v>
      </c>
      <c r="D243" t="s">
        <v>1498</v>
      </c>
      <c r="E243" t="s">
        <v>1499</v>
      </c>
      <c r="F243" t="s">
        <v>1419</v>
      </c>
      <c r="G243" t="s">
        <v>1420</v>
      </c>
    </row>
    <row r="244" spans="1:7">
      <c r="A244" t="s">
        <v>2166</v>
      </c>
      <c r="B244" t="s">
        <v>2167</v>
      </c>
      <c r="C244" t="s">
        <v>2168</v>
      </c>
      <c r="D244" t="s">
        <v>1498</v>
      </c>
      <c r="E244" t="s">
        <v>1499</v>
      </c>
      <c r="F244" t="s">
        <v>1419</v>
      </c>
      <c r="G244" t="s">
        <v>1420</v>
      </c>
    </row>
    <row r="245" spans="1:7">
      <c r="A245" t="s">
        <v>2169</v>
      </c>
      <c r="B245" t="s">
        <v>2170</v>
      </c>
      <c r="C245" t="s">
        <v>2171</v>
      </c>
      <c r="D245" t="s">
        <v>1432</v>
      </c>
      <c r="E245" t="s">
        <v>1433</v>
      </c>
      <c r="F245" t="s">
        <v>1419</v>
      </c>
      <c r="G245" t="s">
        <v>1420</v>
      </c>
    </row>
    <row r="246" spans="1:7">
      <c r="A246" t="s">
        <v>2172</v>
      </c>
      <c r="B246" t="s">
        <v>2173</v>
      </c>
      <c r="C246" t="s">
        <v>2174</v>
      </c>
      <c r="D246" t="s">
        <v>2175</v>
      </c>
      <c r="E246" t="s">
        <v>2176</v>
      </c>
      <c r="F246" t="s">
        <v>1419</v>
      </c>
      <c r="G246" t="s">
        <v>1420</v>
      </c>
    </row>
    <row r="247" spans="1:7">
      <c r="A247" t="s">
        <v>2177</v>
      </c>
      <c r="B247" t="s">
        <v>2178</v>
      </c>
      <c r="C247" t="s">
        <v>2179</v>
      </c>
      <c r="D247" t="s">
        <v>1432</v>
      </c>
      <c r="E247" t="s">
        <v>1433</v>
      </c>
      <c r="F247" t="s">
        <v>1419</v>
      </c>
      <c r="G247" t="s">
        <v>1420</v>
      </c>
    </row>
    <row r="248" spans="1:7">
      <c r="A248" t="s">
        <v>2180</v>
      </c>
      <c r="B248" t="s">
        <v>2181</v>
      </c>
      <c r="C248" t="s">
        <v>2182</v>
      </c>
      <c r="D248" t="s">
        <v>2183</v>
      </c>
      <c r="E248" t="s">
        <v>2184</v>
      </c>
      <c r="F248" t="s">
        <v>1419</v>
      </c>
      <c r="G248" t="s">
        <v>1420</v>
      </c>
    </row>
    <row r="249" spans="1:7">
      <c r="A249" t="s">
        <v>2185</v>
      </c>
      <c r="B249" t="s">
        <v>2186</v>
      </c>
      <c r="C249" t="s">
        <v>2187</v>
      </c>
      <c r="D249" t="s">
        <v>1432</v>
      </c>
      <c r="E249" t="s">
        <v>1433</v>
      </c>
      <c r="F249" t="s">
        <v>1419</v>
      </c>
      <c r="G249" t="s">
        <v>1420</v>
      </c>
    </row>
    <row r="250" spans="1:7">
      <c r="A250" t="s">
        <v>2188</v>
      </c>
      <c r="B250" t="s">
        <v>2189</v>
      </c>
      <c r="C250" t="s">
        <v>2190</v>
      </c>
      <c r="D250" t="s">
        <v>1432</v>
      </c>
      <c r="E250" t="s">
        <v>1433</v>
      </c>
      <c r="F250" t="s">
        <v>1419</v>
      </c>
      <c r="G250" t="s">
        <v>1420</v>
      </c>
    </row>
    <row r="251" spans="1:7">
      <c r="A251" t="s">
        <v>2191</v>
      </c>
      <c r="B251" t="s">
        <v>2192</v>
      </c>
      <c r="C251" t="s">
        <v>2193</v>
      </c>
      <c r="D251" t="s">
        <v>1432</v>
      </c>
      <c r="E251" t="s">
        <v>1433</v>
      </c>
      <c r="F251" t="s">
        <v>1419</v>
      </c>
      <c r="G251" t="s">
        <v>1420</v>
      </c>
    </row>
    <row r="252" spans="1:7">
      <c r="A252" t="s">
        <v>2194</v>
      </c>
      <c r="B252" t="s">
        <v>2195</v>
      </c>
      <c r="C252" t="s">
        <v>2196</v>
      </c>
      <c r="D252" t="s">
        <v>1432</v>
      </c>
      <c r="E252" t="s">
        <v>1433</v>
      </c>
      <c r="F252" t="s">
        <v>1419</v>
      </c>
      <c r="G252" t="s">
        <v>1420</v>
      </c>
    </row>
    <row r="253" spans="1:7">
      <c r="A253" t="s">
        <v>2197</v>
      </c>
      <c r="B253" t="s">
        <v>2198</v>
      </c>
      <c r="C253" t="s">
        <v>2199</v>
      </c>
      <c r="D253" t="s">
        <v>1432</v>
      </c>
      <c r="E253" t="s">
        <v>1433</v>
      </c>
      <c r="F253" t="s">
        <v>1419</v>
      </c>
      <c r="G253" t="s">
        <v>1420</v>
      </c>
    </row>
    <row r="254" spans="1:7">
      <c r="A254" t="s">
        <v>2200</v>
      </c>
      <c r="B254" t="s">
        <v>2201</v>
      </c>
      <c r="C254" t="s">
        <v>2202</v>
      </c>
      <c r="D254" t="s">
        <v>2183</v>
      </c>
      <c r="E254" t="s">
        <v>2184</v>
      </c>
      <c r="F254" t="s">
        <v>1419</v>
      </c>
      <c r="G254" t="s">
        <v>1420</v>
      </c>
    </row>
    <row r="255" spans="1:7">
      <c r="A255" t="s">
        <v>2203</v>
      </c>
      <c r="B255" t="s">
        <v>2204</v>
      </c>
      <c r="C255" t="s">
        <v>2205</v>
      </c>
      <c r="D255" t="s">
        <v>2183</v>
      </c>
      <c r="E255" t="s">
        <v>2184</v>
      </c>
      <c r="F255" t="s">
        <v>1419</v>
      </c>
      <c r="G255" t="s">
        <v>1420</v>
      </c>
    </row>
    <row r="256" spans="1:7">
      <c r="A256" t="s">
        <v>2206</v>
      </c>
      <c r="B256" t="s">
        <v>2207</v>
      </c>
      <c r="C256" t="s">
        <v>2208</v>
      </c>
      <c r="D256" t="s">
        <v>2183</v>
      </c>
      <c r="E256" t="s">
        <v>2184</v>
      </c>
      <c r="F256" t="s">
        <v>1419</v>
      </c>
      <c r="G256" t="s">
        <v>1420</v>
      </c>
    </row>
    <row r="257" spans="1:7">
      <c r="A257" t="s">
        <v>2209</v>
      </c>
      <c r="B257" t="s">
        <v>2210</v>
      </c>
      <c r="C257" t="s">
        <v>2211</v>
      </c>
      <c r="D257" t="s">
        <v>2183</v>
      </c>
      <c r="E257" t="s">
        <v>2184</v>
      </c>
      <c r="F257" t="s">
        <v>1419</v>
      </c>
      <c r="G257" t="s">
        <v>1420</v>
      </c>
    </row>
    <row r="258" spans="1:7">
      <c r="A258" t="s">
        <v>2212</v>
      </c>
      <c r="B258" t="s">
        <v>2213</v>
      </c>
      <c r="C258" t="s">
        <v>2214</v>
      </c>
      <c r="D258" t="s">
        <v>2183</v>
      </c>
      <c r="E258" t="s">
        <v>2184</v>
      </c>
      <c r="F258" t="s">
        <v>1419</v>
      </c>
      <c r="G258" t="s">
        <v>1420</v>
      </c>
    </row>
    <row r="259" spans="1:7">
      <c r="A259" t="s">
        <v>2215</v>
      </c>
      <c r="B259" t="s">
        <v>2216</v>
      </c>
      <c r="C259" t="s">
        <v>2217</v>
      </c>
      <c r="D259" t="s">
        <v>2183</v>
      </c>
      <c r="E259" t="s">
        <v>2184</v>
      </c>
      <c r="F259" t="s">
        <v>1419</v>
      </c>
      <c r="G259" t="s">
        <v>1420</v>
      </c>
    </row>
    <row r="260" spans="1:7">
      <c r="A260" t="s">
        <v>2218</v>
      </c>
      <c r="B260" t="s">
        <v>2219</v>
      </c>
      <c r="C260" t="s">
        <v>2220</v>
      </c>
      <c r="D260" t="s">
        <v>2183</v>
      </c>
      <c r="E260" t="s">
        <v>2184</v>
      </c>
      <c r="F260" t="s">
        <v>1419</v>
      </c>
      <c r="G260" t="s">
        <v>1420</v>
      </c>
    </row>
    <row r="261" spans="1:7">
      <c r="A261" t="s">
        <v>2221</v>
      </c>
      <c r="B261" t="s">
        <v>2222</v>
      </c>
      <c r="C261" t="s">
        <v>2223</v>
      </c>
      <c r="D261" t="s">
        <v>2183</v>
      </c>
      <c r="E261" t="s">
        <v>2184</v>
      </c>
      <c r="F261" t="s">
        <v>1419</v>
      </c>
      <c r="G261" t="s">
        <v>1420</v>
      </c>
    </row>
    <row r="262" spans="1:7">
      <c r="A262" t="s">
        <v>2224</v>
      </c>
      <c r="B262" t="s">
        <v>2225</v>
      </c>
      <c r="C262" t="s">
        <v>2226</v>
      </c>
      <c r="D262" t="s">
        <v>2175</v>
      </c>
      <c r="E262" t="s">
        <v>2176</v>
      </c>
      <c r="F262" t="s">
        <v>1419</v>
      </c>
      <c r="G262" t="s">
        <v>1420</v>
      </c>
    </row>
    <row r="263" spans="1:7">
      <c r="A263" t="s">
        <v>2227</v>
      </c>
      <c r="B263" t="s">
        <v>2228</v>
      </c>
      <c r="C263" t="s">
        <v>2229</v>
      </c>
      <c r="D263" t="s">
        <v>2175</v>
      </c>
      <c r="E263" t="s">
        <v>2176</v>
      </c>
      <c r="F263" t="s">
        <v>1419</v>
      </c>
      <c r="G263" t="s">
        <v>1420</v>
      </c>
    </row>
    <row r="264" spans="1:7">
      <c r="A264" t="s">
        <v>2230</v>
      </c>
      <c r="B264" t="s">
        <v>2231</v>
      </c>
      <c r="C264" t="s">
        <v>2232</v>
      </c>
      <c r="D264" t="s">
        <v>2183</v>
      </c>
      <c r="E264" t="s">
        <v>2184</v>
      </c>
      <c r="F264" t="s">
        <v>1419</v>
      </c>
      <c r="G264" t="s">
        <v>1420</v>
      </c>
    </row>
    <row r="265" spans="1:7">
      <c r="A265" t="s">
        <v>2233</v>
      </c>
      <c r="B265" t="s">
        <v>2234</v>
      </c>
      <c r="C265" t="s">
        <v>2235</v>
      </c>
      <c r="D265" t="s">
        <v>2175</v>
      </c>
      <c r="E265" t="s">
        <v>2176</v>
      </c>
      <c r="F265" t="s">
        <v>1419</v>
      </c>
      <c r="G265" t="s">
        <v>1420</v>
      </c>
    </row>
    <row r="266" spans="1:7">
      <c r="A266" t="s">
        <v>2236</v>
      </c>
      <c r="B266" t="s">
        <v>2237</v>
      </c>
      <c r="C266" t="s">
        <v>2238</v>
      </c>
      <c r="D266" t="s">
        <v>2183</v>
      </c>
      <c r="E266" t="s">
        <v>2184</v>
      </c>
      <c r="F266" t="s">
        <v>1419</v>
      </c>
      <c r="G266" t="s">
        <v>1420</v>
      </c>
    </row>
    <row r="267" spans="1:7">
      <c r="A267" t="s">
        <v>2239</v>
      </c>
      <c r="B267" t="s">
        <v>2240</v>
      </c>
      <c r="C267" t="s">
        <v>2241</v>
      </c>
      <c r="D267" t="s">
        <v>2183</v>
      </c>
      <c r="E267" t="s">
        <v>2184</v>
      </c>
      <c r="F267" t="s">
        <v>1419</v>
      </c>
      <c r="G267" t="s">
        <v>1420</v>
      </c>
    </row>
    <row r="268" spans="1:7">
      <c r="A268" t="s">
        <v>2242</v>
      </c>
      <c r="B268" t="s">
        <v>2243</v>
      </c>
      <c r="C268" t="s">
        <v>2244</v>
      </c>
      <c r="D268" t="s">
        <v>1509</v>
      </c>
      <c r="E268" t="s">
        <v>1510</v>
      </c>
      <c r="F268" t="s">
        <v>1419</v>
      </c>
      <c r="G268" t="s">
        <v>1420</v>
      </c>
    </row>
    <row r="269" spans="1:7">
      <c r="A269" t="s">
        <v>2245</v>
      </c>
      <c r="B269" t="s">
        <v>2246</v>
      </c>
      <c r="C269" t="s">
        <v>2247</v>
      </c>
      <c r="D269" t="s">
        <v>2183</v>
      </c>
      <c r="E269" t="s">
        <v>2184</v>
      </c>
      <c r="F269" t="s">
        <v>1419</v>
      </c>
      <c r="G269" t="s">
        <v>1420</v>
      </c>
    </row>
    <row r="270" spans="1:7">
      <c r="A270" t="s">
        <v>2248</v>
      </c>
      <c r="B270" t="s">
        <v>2249</v>
      </c>
      <c r="C270" t="s">
        <v>2250</v>
      </c>
      <c r="D270" t="s">
        <v>2183</v>
      </c>
      <c r="E270" t="s">
        <v>2184</v>
      </c>
      <c r="F270" t="s">
        <v>1419</v>
      </c>
      <c r="G270" t="s">
        <v>1420</v>
      </c>
    </row>
    <row r="271" spans="1:7">
      <c r="A271" t="s">
        <v>2251</v>
      </c>
      <c r="B271" t="s">
        <v>2252</v>
      </c>
      <c r="C271" t="s">
        <v>2253</v>
      </c>
      <c r="D271" t="s">
        <v>2183</v>
      </c>
      <c r="E271" t="s">
        <v>2184</v>
      </c>
      <c r="F271" t="s">
        <v>1419</v>
      </c>
      <c r="G271" t="s">
        <v>1420</v>
      </c>
    </row>
    <row r="272" spans="1:7">
      <c r="A272" t="s">
        <v>2254</v>
      </c>
      <c r="B272" t="s">
        <v>2255</v>
      </c>
      <c r="C272" t="s">
        <v>2256</v>
      </c>
      <c r="D272" t="s">
        <v>1509</v>
      </c>
      <c r="E272" t="s">
        <v>1510</v>
      </c>
      <c r="F272" t="s">
        <v>1419</v>
      </c>
      <c r="G272" t="s">
        <v>1420</v>
      </c>
    </row>
    <row r="273" spans="1:7">
      <c r="A273" t="s">
        <v>2257</v>
      </c>
      <c r="B273" t="s">
        <v>2258</v>
      </c>
      <c r="C273" t="s">
        <v>2259</v>
      </c>
      <c r="D273" t="s">
        <v>1509</v>
      </c>
      <c r="E273" t="s">
        <v>1510</v>
      </c>
      <c r="F273" t="s">
        <v>1419</v>
      </c>
      <c r="G273" t="s">
        <v>1420</v>
      </c>
    </row>
    <row r="274" spans="1:7">
      <c r="A274" t="s">
        <v>2260</v>
      </c>
      <c r="B274" t="s">
        <v>2261</v>
      </c>
      <c r="C274" t="s">
        <v>2262</v>
      </c>
      <c r="D274" t="s">
        <v>1509</v>
      </c>
      <c r="E274" t="s">
        <v>1510</v>
      </c>
      <c r="F274" t="s">
        <v>1419</v>
      </c>
      <c r="G274" t="s">
        <v>1420</v>
      </c>
    </row>
    <row r="275" spans="1:7">
      <c r="A275" t="s">
        <v>2263</v>
      </c>
      <c r="B275" t="s">
        <v>2264</v>
      </c>
      <c r="C275" t="s">
        <v>2265</v>
      </c>
      <c r="D275" t="s">
        <v>1509</v>
      </c>
      <c r="E275" t="s">
        <v>1510</v>
      </c>
      <c r="F275" t="s">
        <v>1419</v>
      </c>
      <c r="G275" t="s">
        <v>1420</v>
      </c>
    </row>
    <row r="276" spans="1:7">
      <c r="A276" t="s">
        <v>2266</v>
      </c>
      <c r="B276" t="s">
        <v>2267</v>
      </c>
      <c r="C276" t="s">
        <v>2268</v>
      </c>
      <c r="D276" t="s">
        <v>1509</v>
      </c>
      <c r="E276" t="s">
        <v>1510</v>
      </c>
      <c r="F276" t="s">
        <v>1419</v>
      </c>
      <c r="G276" t="s">
        <v>1420</v>
      </c>
    </row>
    <row r="277" spans="1:7">
      <c r="A277" t="s">
        <v>2269</v>
      </c>
      <c r="B277" t="s">
        <v>2270</v>
      </c>
      <c r="C277" t="s">
        <v>2271</v>
      </c>
      <c r="D277" t="s">
        <v>2272</v>
      </c>
      <c r="E277" t="s">
        <v>2273</v>
      </c>
      <c r="F277" t="s">
        <v>1419</v>
      </c>
      <c r="G277" t="s">
        <v>1420</v>
      </c>
    </row>
    <row r="278" spans="1:7">
      <c r="A278" t="s">
        <v>2274</v>
      </c>
      <c r="B278" t="s">
        <v>2275</v>
      </c>
      <c r="C278" t="s">
        <v>2276</v>
      </c>
      <c r="D278" t="s">
        <v>1509</v>
      </c>
      <c r="E278" t="s">
        <v>1510</v>
      </c>
      <c r="F278" t="s">
        <v>1419</v>
      </c>
      <c r="G278" t="s">
        <v>1420</v>
      </c>
    </row>
    <row r="279" spans="1:7">
      <c r="A279" t="s">
        <v>2277</v>
      </c>
      <c r="B279" t="s">
        <v>2278</v>
      </c>
      <c r="C279" t="s">
        <v>2279</v>
      </c>
      <c r="D279" t="s">
        <v>1509</v>
      </c>
      <c r="E279" t="s">
        <v>1510</v>
      </c>
      <c r="F279" t="s">
        <v>1419</v>
      </c>
      <c r="G279" t="s">
        <v>1420</v>
      </c>
    </row>
    <row r="280" spans="1:7">
      <c r="A280" t="s">
        <v>2280</v>
      </c>
      <c r="B280" t="s">
        <v>2281</v>
      </c>
      <c r="C280" t="s">
        <v>2282</v>
      </c>
      <c r="D280" t="s">
        <v>1509</v>
      </c>
      <c r="E280" t="s">
        <v>1510</v>
      </c>
      <c r="F280" t="s">
        <v>1419</v>
      </c>
      <c r="G280" t="s">
        <v>1420</v>
      </c>
    </row>
    <row r="281" spans="1:7">
      <c r="A281" t="s">
        <v>2283</v>
      </c>
      <c r="B281" t="s">
        <v>2284</v>
      </c>
      <c r="C281" t="s">
        <v>2285</v>
      </c>
      <c r="D281" t="s">
        <v>1509</v>
      </c>
      <c r="E281" t="s">
        <v>1510</v>
      </c>
      <c r="F281" t="s">
        <v>1419</v>
      </c>
      <c r="G281" t="s">
        <v>1420</v>
      </c>
    </row>
    <row r="282" spans="1:7">
      <c r="A282" t="s">
        <v>2286</v>
      </c>
      <c r="B282" t="s">
        <v>2287</v>
      </c>
      <c r="C282" t="s">
        <v>2288</v>
      </c>
      <c r="D282" t="s">
        <v>2289</v>
      </c>
      <c r="E282" t="s">
        <v>2290</v>
      </c>
      <c r="F282" t="s">
        <v>1419</v>
      </c>
      <c r="G282" t="s">
        <v>1420</v>
      </c>
    </row>
    <row r="283" spans="1:7">
      <c r="A283" t="s">
        <v>2291</v>
      </c>
      <c r="B283" t="s">
        <v>2292</v>
      </c>
      <c r="C283" t="s">
        <v>2293</v>
      </c>
      <c r="D283" t="s">
        <v>1509</v>
      </c>
      <c r="E283" t="s">
        <v>1510</v>
      </c>
      <c r="F283" t="s">
        <v>1419</v>
      </c>
      <c r="G283" t="s">
        <v>1420</v>
      </c>
    </row>
    <row r="284" spans="1:7">
      <c r="A284" t="s">
        <v>2294</v>
      </c>
      <c r="B284" t="s">
        <v>2295</v>
      </c>
      <c r="C284" t="s">
        <v>2296</v>
      </c>
      <c r="D284" t="s">
        <v>2289</v>
      </c>
      <c r="E284" t="s">
        <v>2290</v>
      </c>
      <c r="F284" t="s">
        <v>1419</v>
      </c>
      <c r="G284" t="s">
        <v>1420</v>
      </c>
    </row>
    <row r="285" spans="1:7">
      <c r="A285" t="s">
        <v>2297</v>
      </c>
      <c r="B285" t="s">
        <v>2298</v>
      </c>
      <c r="C285" t="s">
        <v>2299</v>
      </c>
      <c r="D285" t="s">
        <v>2289</v>
      </c>
      <c r="E285" t="s">
        <v>2290</v>
      </c>
      <c r="F285" t="s">
        <v>1419</v>
      </c>
      <c r="G285" t="s">
        <v>1420</v>
      </c>
    </row>
    <row r="286" spans="1:7">
      <c r="A286" t="s">
        <v>2300</v>
      </c>
      <c r="B286" t="s">
        <v>2301</v>
      </c>
      <c r="C286" t="s">
        <v>2302</v>
      </c>
      <c r="D286" t="s">
        <v>1509</v>
      </c>
      <c r="E286" t="s">
        <v>1510</v>
      </c>
      <c r="F286" t="s">
        <v>1419</v>
      </c>
      <c r="G286" t="s">
        <v>1420</v>
      </c>
    </row>
    <row r="287" spans="1:7">
      <c r="A287" t="s">
        <v>2303</v>
      </c>
      <c r="B287" t="s">
        <v>2304</v>
      </c>
      <c r="C287" t="s">
        <v>2305</v>
      </c>
      <c r="D287" t="s">
        <v>2289</v>
      </c>
      <c r="E287" t="s">
        <v>2290</v>
      </c>
      <c r="F287" t="s">
        <v>1419</v>
      </c>
      <c r="G287" t="s">
        <v>1420</v>
      </c>
    </row>
    <row r="288" spans="1:7">
      <c r="A288" t="s">
        <v>2306</v>
      </c>
      <c r="B288" t="s">
        <v>2307</v>
      </c>
      <c r="C288" t="s">
        <v>2308</v>
      </c>
      <c r="D288" t="s">
        <v>2289</v>
      </c>
      <c r="E288" t="s">
        <v>2290</v>
      </c>
      <c r="F288" t="s">
        <v>1419</v>
      </c>
      <c r="G288" t="s">
        <v>1420</v>
      </c>
    </row>
    <row r="289" spans="1:7">
      <c r="A289" t="s">
        <v>2309</v>
      </c>
      <c r="B289" t="s">
        <v>2310</v>
      </c>
      <c r="C289" t="s">
        <v>2311</v>
      </c>
      <c r="D289" t="s">
        <v>2175</v>
      </c>
      <c r="E289" t="s">
        <v>2176</v>
      </c>
      <c r="F289" t="s">
        <v>1419</v>
      </c>
      <c r="G289" t="s">
        <v>1420</v>
      </c>
    </row>
    <row r="290" spans="1:7">
      <c r="A290" t="s">
        <v>2312</v>
      </c>
      <c r="B290" t="s">
        <v>2313</v>
      </c>
      <c r="C290" t="s">
        <v>2314</v>
      </c>
      <c r="D290" t="s">
        <v>2272</v>
      </c>
      <c r="E290" t="s">
        <v>2273</v>
      </c>
      <c r="F290" t="s">
        <v>1419</v>
      </c>
      <c r="G290" t="s">
        <v>1420</v>
      </c>
    </row>
    <row r="291" spans="1:7">
      <c r="A291" t="s">
        <v>2315</v>
      </c>
      <c r="B291" t="s">
        <v>2316</v>
      </c>
      <c r="C291" t="s">
        <v>2317</v>
      </c>
      <c r="D291" t="s">
        <v>2175</v>
      </c>
      <c r="E291" t="s">
        <v>2176</v>
      </c>
      <c r="F291" t="s">
        <v>1419</v>
      </c>
      <c r="G291" t="s">
        <v>1420</v>
      </c>
    </row>
    <row r="292" spans="1:7">
      <c r="A292" t="s">
        <v>2318</v>
      </c>
      <c r="B292" t="s">
        <v>2319</v>
      </c>
      <c r="C292" t="s">
        <v>2320</v>
      </c>
      <c r="D292" t="s">
        <v>2175</v>
      </c>
      <c r="E292" t="s">
        <v>2176</v>
      </c>
      <c r="F292" t="s">
        <v>1419</v>
      </c>
      <c r="G292" t="s">
        <v>1420</v>
      </c>
    </row>
    <row r="293" spans="1:7">
      <c r="A293" t="s">
        <v>2321</v>
      </c>
      <c r="B293" t="s">
        <v>2322</v>
      </c>
      <c r="C293" t="s">
        <v>2323</v>
      </c>
      <c r="D293" t="s">
        <v>2175</v>
      </c>
      <c r="E293" t="s">
        <v>2176</v>
      </c>
      <c r="F293" t="s">
        <v>1419</v>
      </c>
      <c r="G293" t="s">
        <v>1420</v>
      </c>
    </row>
    <row r="294" spans="1:7">
      <c r="A294" t="s">
        <v>2324</v>
      </c>
      <c r="B294" t="s">
        <v>2325</v>
      </c>
      <c r="C294" t="s">
        <v>2326</v>
      </c>
      <c r="D294" t="s">
        <v>2272</v>
      </c>
      <c r="E294" t="s">
        <v>2273</v>
      </c>
      <c r="F294" t="s">
        <v>1419</v>
      </c>
      <c r="G294" t="s">
        <v>1420</v>
      </c>
    </row>
    <row r="295" spans="1:7">
      <c r="A295" t="s">
        <v>2327</v>
      </c>
      <c r="B295" t="s">
        <v>2328</v>
      </c>
      <c r="C295" t="s">
        <v>2329</v>
      </c>
      <c r="D295" t="s">
        <v>2272</v>
      </c>
      <c r="E295" t="s">
        <v>2273</v>
      </c>
      <c r="F295" t="s">
        <v>1419</v>
      </c>
      <c r="G295" t="s">
        <v>1420</v>
      </c>
    </row>
    <row r="296" spans="1:7">
      <c r="A296" t="s">
        <v>2330</v>
      </c>
      <c r="B296" t="s">
        <v>2331</v>
      </c>
      <c r="C296" t="s">
        <v>2332</v>
      </c>
      <c r="D296" t="s">
        <v>2272</v>
      </c>
      <c r="E296" t="s">
        <v>2273</v>
      </c>
      <c r="F296" t="s">
        <v>1419</v>
      </c>
      <c r="G296" t="s">
        <v>1420</v>
      </c>
    </row>
    <row r="297" spans="1:7">
      <c r="A297" t="s">
        <v>2333</v>
      </c>
      <c r="B297" t="s">
        <v>2334</v>
      </c>
      <c r="C297" t="s">
        <v>2335</v>
      </c>
      <c r="D297" t="s">
        <v>2175</v>
      </c>
      <c r="E297" t="s">
        <v>2176</v>
      </c>
      <c r="F297" t="s">
        <v>1419</v>
      </c>
      <c r="G297" t="s">
        <v>1420</v>
      </c>
    </row>
    <row r="298" spans="1:7">
      <c r="A298" t="s">
        <v>2336</v>
      </c>
      <c r="B298" t="s">
        <v>2337</v>
      </c>
      <c r="C298" t="s">
        <v>2338</v>
      </c>
      <c r="D298" t="s">
        <v>2289</v>
      </c>
      <c r="E298" t="s">
        <v>2290</v>
      </c>
      <c r="F298" t="s">
        <v>1419</v>
      </c>
      <c r="G298" t="s">
        <v>1420</v>
      </c>
    </row>
    <row r="299" spans="1:7">
      <c r="A299" t="s">
        <v>2339</v>
      </c>
      <c r="B299" t="s">
        <v>2340</v>
      </c>
      <c r="C299" t="s">
        <v>2341</v>
      </c>
      <c r="D299" t="s">
        <v>2272</v>
      </c>
      <c r="E299" t="s">
        <v>2273</v>
      </c>
      <c r="F299" t="s">
        <v>1419</v>
      </c>
      <c r="G299" t="s">
        <v>1420</v>
      </c>
    </row>
    <row r="300" spans="1:7">
      <c r="A300" t="s">
        <v>2342</v>
      </c>
      <c r="B300" t="s">
        <v>2343</v>
      </c>
      <c r="C300" t="s">
        <v>2344</v>
      </c>
      <c r="D300" t="s">
        <v>2289</v>
      </c>
      <c r="E300" t="s">
        <v>2290</v>
      </c>
      <c r="F300" t="s">
        <v>1419</v>
      </c>
      <c r="G300" t="s">
        <v>1420</v>
      </c>
    </row>
    <row r="301" spans="1:7">
      <c r="A301" t="s">
        <v>2345</v>
      </c>
      <c r="B301" t="s">
        <v>2346</v>
      </c>
      <c r="C301" t="s">
        <v>2347</v>
      </c>
      <c r="D301" t="s">
        <v>2289</v>
      </c>
      <c r="E301" t="s">
        <v>2290</v>
      </c>
      <c r="F301" t="s">
        <v>1419</v>
      </c>
      <c r="G301" t="s">
        <v>1420</v>
      </c>
    </row>
    <row r="302" spans="1:7">
      <c r="A302" t="s">
        <v>2348</v>
      </c>
      <c r="B302" t="s">
        <v>2349</v>
      </c>
      <c r="C302" t="s">
        <v>2350</v>
      </c>
      <c r="D302" t="s">
        <v>2289</v>
      </c>
      <c r="E302" t="s">
        <v>2290</v>
      </c>
      <c r="F302" t="s">
        <v>1419</v>
      </c>
      <c r="G302" t="s">
        <v>1420</v>
      </c>
    </row>
    <row r="303" spans="1:7">
      <c r="A303" t="s">
        <v>2351</v>
      </c>
      <c r="B303" t="s">
        <v>2352</v>
      </c>
      <c r="C303" t="s">
        <v>2353</v>
      </c>
      <c r="D303" t="s">
        <v>2272</v>
      </c>
      <c r="E303" t="s">
        <v>2273</v>
      </c>
      <c r="F303" t="s">
        <v>1419</v>
      </c>
      <c r="G303" t="s">
        <v>1420</v>
      </c>
    </row>
    <row r="304" spans="1:7">
      <c r="A304" t="s">
        <v>2354</v>
      </c>
      <c r="B304" t="s">
        <v>2355</v>
      </c>
      <c r="C304" t="s">
        <v>2356</v>
      </c>
      <c r="D304" t="s">
        <v>2272</v>
      </c>
      <c r="E304" t="s">
        <v>2273</v>
      </c>
      <c r="F304" t="s">
        <v>1419</v>
      </c>
      <c r="G304" t="s">
        <v>1420</v>
      </c>
    </row>
    <row r="305" spans="1:7">
      <c r="A305" t="s">
        <v>2357</v>
      </c>
      <c r="B305" t="s">
        <v>2358</v>
      </c>
      <c r="C305" t="s">
        <v>2359</v>
      </c>
      <c r="D305" t="s">
        <v>2272</v>
      </c>
      <c r="E305" t="s">
        <v>2273</v>
      </c>
      <c r="F305" t="s">
        <v>1419</v>
      </c>
      <c r="G305" t="s">
        <v>1420</v>
      </c>
    </row>
    <row r="306" spans="1:7">
      <c r="A306" t="s">
        <v>2360</v>
      </c>
      <c r="B306" t="s">
        <v>2361</v>
      </c>
      <c r="C306" t="s">
        <v>2362</v>
      </c>
      <c r="D306" t="s">
        <v>2272</v>
      </c>
      <c r="E306" t="s">
        <v>2273</v>
      </c>
      <c r="F306" t="s">
        <v>1419</v>
      </c>
      <c r="G306" t="s">
        <v>1420</v>
      </c>
    </row>
    <row r="307" spans="1:7">
      <c r="A307" t="s">
        <v>2363</v>
      </c>
      <c r="B307" t="s">
        <v>2364</v>
      </c>
      <c r="C307" t="s">
        <v>2365</v>
      </c>
      <c r="D307" t="s">
        <v>2272</v>
      </c>
      <c r="E307" t="s">
        <v>2273</v>
      </c>
      <c r="F307" t="s">
        <v>1419</v>
      </c>
      <c r="G307" t="s">
        <v>1420</v>
      </c>
    </row>
    <row r="308" spans="1:7">
      <c r="A308" t="s">
        <v>2366</v>
      </c>
      <c r="B308" t="s">
        <v>2367</v>
      </c>
      <c r="C308" t="s">
        <v>2368</v>
      </c>
      <c r="D308" t="s">
        <v>2272</v>
      </c>
      <c r="E308" t="s">
        <v>2273</v>
      </c>
      <c r="F308" t="s">
        <v>1419</v>
      </c>
      <c r="G308" t="s">
        <v>1420</v>
      </c>
    </row>
    <row r="309" spans="1:7">
      <c r="A309" t="s">
        <v>2369</v>
      </c>
      <c r="B309" t="s">
        <v>2370</v>
      </c>
      <c r="C309" t="s">
        <v>2371</v>
      </c>
      <c r="D309" t="s">
        <v>2272</v>
      </c>
      <c r="E309" t="s">
        <v>2273</v>
      </c>
      <c r="F309" t="s">
        <v>1419</v>
      </c>
      <c r="G309" t="s">
        <v>1420</v>
      </c>
    </row>
    <row r="310" spans="1:7">
      <c r="A310" t="s">
        <v>2272</v>
      </c>
      <c r="B310" t="s">
        <v>2372</v>
      </c>
      <c r="C310" t="s">
        <v>2373</v>
      </c>
      <c r="D310" t="s">
        <v>2272</v>
      </c>
      <c r="E310" t="s">
        <v>2273</v>
      </c>
      <c r="F310" t="s">
        <v>1419</v>
      </c>
      <c r="G310" t="s">
        <v>1420</v>
      </c>
    </row>
    <row r="311" spans="1:7">
      <c r="A311" t="s">
        <v>2374</v>
      </c>
      <c r="B311" t="s">
        <v>2375</v>
      </c>
      <c r="C311" t="s">
        <v>2376</v>
      </c>
      <c r="D311" t="s">
        <v>2272</v>
      </c>
      <c r="E311" t="s">
        <v>2273</v>
      </c>
      <c r="F311" t="s">
        <v>1419</v>
      </c>
      <c r="G311" t="s">
        <v>1420</v>
      </c>
    </row>
    <row r="312" spans="1:7">
      <c r="A312" t="s">
        <v>2377</v>
      </c>
      <c r="B312" t="s">
        <v>2378</v>
      </c>
      <c r="C312" t="s">
        <v>2379</v>
      </c>
      <c r="D312" t="s">
        <v>2272</v>
      </c>
      <c r="E312" t="s">
        <v>2273</v>
      </c>
      <c r="F312" t="s">
        <v>1419</v>
      </c>
      <c r="G312" t="s">
        <v>1420</v>
      </c>
    </row>
    <row r="313" spans="1:7">
      <c r="A313" t="s">
        <v>2380</v>
      </c>
      <c r="B313" t="s">
        <v>2381</v>
      </c>
      <c r="C313" t="s">
        <v>2382</v>
      </c>
      <c r="D313" t="s">
        <v>2272</v>
      </c>
      <c r="E313" t="s">
        <v>2273</v>
      </c>
      <c r="F313" t="s">
        <v>1419</v>
      </c>
      <c r="G313" t="s">
        <v>1420</v>
      </c>
    </row>
    <row r="314" spans="1:7">
      <c r="A314" t="s">
        <v>2383</v>
      </c>
      <c r="B314" t="s">
        <v>2384</v>
      </c>
      <c r="C314" t="s">
        <v>2385</v>
      </c>
      <c r="D314" t="s">
        <v>2386</v>
      </c>
      <c r="E314" t="s">
        <v>2387</v>
      </c>
      <c r="F314" t="s">
        <v>1419</v>
      </c>
      <c r="G314" t="s">
        <v>1420</v>
      </c>
    </row>
    <row r="315" spans="1:7">
      <c r="A315" t="s">
        <v>2388</v>
      </c>
      <c r="B315" t="s">
        <v>2389</v>
      </c>
      <c r="C315" t="s">
        <v>2390</v>
      </c>
      <c r="D315" t="s">
        <v>2386</v>
      </c>
      <c r="E315" t="s">
        <v>2387</v>
      </c>
      <c r="F315" t="s">
        <v>1419</v>
      </c>
      <c r="G315" t="s">
        <v>1420</v>
      </c>
    </row>
    <row r="316" spans="1:7">
      <c r="A316" t="s">
        <v>2391</v>
      </c>
      <c r="B316" t="s">
        <v>2392</v>
      </c>
      <c r="C316" t="s">
        <v>2393</v>
      </c>
      <c r="D316" t="s">
        <v>2386</v>
      </c>
      <c r="E316" t="s">
        <v>2387</v>
      </c>
      <c r="F316" t="s">
        <v>1419</v>
      </c>
      <c r="G316" t="s">
        <v>1420</v>
      </c>
    </row>
    <row r="317" spans="1:7">
      <c r="A317" t="s">
        <v>2394</v>
      </c>
      <c r="B317" t="s">
        <v>2395</v>
      </c>
      <c r="C317" t="s">
        <v>2396</v>
      </c>
      <c r="D317" t="s">
        <v>2386</v>
      </c>
      <c r="E317" t="s">
        <v>2387</v>
      </c>
      <c r="F317" t="s">
        <v>1419</v>
      </c>
      <c r="G317" t="s">
        <v>1420</v>
      </c>
    </row>
    <row r="318" spans="1:7">
      <c r="A318" t="s">
        <v>2397</v>
      </c>
      <c r="B318" t="s">
        <v>2398</v>
      </c>
      <c r="C318" t="s">
        <v>2399</v>
      </c>
      <c r="D318" t="s">
        <v>2272</v>
      </c>
      <c r="E318" t="s">
        <v>2273</v>
      </c>
      <c r="F318" t="s">
        <v>1419</v>
      </c>
      <c r="G318" t="s">
        <v>1420</v>
      </c>
    </row>
    <row r="319" spans="1:7">
      <c r="A319" t="s">
        <v>2400</v>
      </c>
      <c r="B319" t="s">
        <v>2401</v>
      </c>
      <c r="C319" t="s">
        <v>2402</v>
      </c>
      <c r="D319" t="s">
        <v>2272</v>
      </c>
      <c r="E319" t="s">
        <v>2273</v>
      </c>
      <c r="F319" t="s">
        <v>1419</v>
      </c>
      <c r="G319" t="s">
        <v>1420</v>
      </c>
    </row>
    <row r="320" spans="1:7">
      <c r="A320" t="s">
        <v>2403</v>
      </c>
      <c r="B320" t="s">
        <v>2404</v>
      </c>
      <c r="C320" t="s">
        <v>2405</v>
      </c>
      <c r="D320" t="s">
        <v>2272</v>
      </c>
      <c r="E320" t="s">
        <v>2273</v>
      </c>
      <c r="F320" t="s">
        <v>1419</v>
      </c>
      <c r="G320" t="s">
        <v>1420</v>
      </c>
    </row>
    <row r="321" spans="1:7">
      <c r="A321" t="s">
        <v>2406</v>
      </c>
      <c r="B321" t="s">
        <v>2407</v>
      </c>
      <c r="C321" t="s">
        <v>2408</v>
      </c>
      <c r="D321" t="s">
        <v>2386</v>
      </c>
      <c r="E321" t="s">
        <v>2387</v>
      </c>
      <c r="F321" t="s">
        <v>1419</v>
      </c>
      <c r="G321" t="s">
        <v>1420</v>
      </c>
    </row>
    <row r="322" spans="1:7">
      <c r="A322" t="s">
        <v>2409</v>
      </c>
      <c r="B322" t="s">
        <v>2410</v>
      </c>
      <c r="C322" t="s">
        <v>2411</v>
      </c>
      <c r="D322" t="s">
        <v>2386</v>
      </c>
      <c r="E322" t="s">
        <v>2387</v>
      </c>
      <c r="F322" t="s">
        <v>1419</v>
      </c>
      <c r="G322" t="s">
        <v>1420</v>
      </c>
    </row>
    <row r="323" spans="1:7">
      <c r="A323" t="s">
        <v>2412</v>
      </c>
      <c r="B323" t="s">
        <v>2413</v>
      </c>
      <c r="C323" t="s">
        <v>2414</v>
      </c>
      <c r="D323" t="s">
        <v>2386</v>
      </c>
      <c r="E323" t="s">
        <v>2387</v>
      </c>
      <c r="F323" t="s">
        <v>1419</v>
      </c>
      <c r="G323" t="s">
        <v>1420</v>
      </c>
    </row>
    <row r="324" spans="1:7">
      <c r="A324" t="s">
        <v>2415</v>
      </c>
      <c r="B324" t="s">
        <v>2416</v>
      </c>
      <c r="C324" t="s">
        <v>2417</v>
      </c>
      <c r="D324" t="s">
        <v>2386</v>
      </c>
      <c r="E324" t="s">
        <v>2387</v>
      </c>
      <c r="F324" t="s">
        <v>1419</v>
      </c>
      <c r="G324" t="s">
        <v>1420</v>
      </c>
    </row>
    <row r="325" spans="1:7">
      <c r="A325" t="s">
        <v>2418</v>
      </c>
      <c r="B325" t="s">
        <v>2419</v>
      </c>
      <c r="C325" t="s">
        <v>2420</v>
      </c>
      <c r="D325" t="s">
        <v>2386</v>
      </c>
      <c r="E325" t="s">
        <v>2387</v>
      </c>
      <c r="F325" t="s">
        <v>1419</v>
      </c>
      <c r="G325" t="s">
        <v>1420</v>
      </c>
    </row>
    <row r="326" spans="1:7">
      <c r="A326" t="s">
        <v>2421</v>
      </c>
      <c r="B326" t="s">
        <v>2422</v>
      </c>
      <c r="C326" t="s">
        <v>2423</v>
      </c>
      <c r="D326" t="s">
        <v>2424</v>
      </c>
      <c r="E326" t="s">
        <v>2425</v>
      </c>
      <c r="F326" t="s">
        <v>1419</v>
      </c>
      <c r="G326" t="s">
        <v>1420</v>
      </c>
    </row>
    <row r="327" spans="1:7">
      <c r="A327" t="s">
        <v>2426</v>
      </c>
      <c r="B327" t="s">
        <v>2427</v>
      </c>
      <c r="C327" t="s">
        <v>2428</v>
      </c>
      <c r="D327" t="s">
        <v>2424</v>
      </c>
      <c r="E327" t="s">
        <v>2425</v>
      </c>
      <c r="F327" t="s">
        <v>1419</v>
      </c>
      <c r="G327" t="s">
        <v>1420</v>
      </c>
    </row>
    <row r="328" spans="1:7">
      <c r="A328" t="s">
        <v>2429</v>
      </c>
      <c r="B328" t="s">
        <v>2430</v>
      </c>
      <c r="C328" t="s">
        <v>2431</v>
      </c>
      <c r="D328" t="s">
        <v>2424</v>
      </c>
      <c r="E328" t="s">
        <v>2425</v>
      </c>
      <c r="F328" t="s">
        <v>1419</v>
      </c>
      <c r="G328" t="s">
        <v>1420</v>
      </c>
    </row>
    <row r="329" spans="1:7">
      <c r="A329" t="s">
        <v>2432</v>
      </c>
      <c r="B329" t="s">
        <v>2433</v>
      </c>
      <c r="C329" t="s">
        <v>2434</v>
      </c>
      <c r="D329" t="s">
        <v>2424</v>
      </c>
      <c r="E329" t="s">
        <v>2425</v>
      </c>
      <c r="F329" t="s">
        <v>1419</v>
      </c>
      <c r="G329" t="s">
        <v>1420</v>
      </c>
    </row>
    <row r="330" spans="1:7">
      <c r="A330" t="s">
        <v>2435</v>
      </c>
      <c r="B330" t="s">
        <v>2436</v>
      </c>
      <c r="C330" t="s">
        <v>2437</v>
      </c>
      <c r="D330" t="s">
        <v>2424</v>
      </c>
      <c r="E330" t="s">
        <v>2425</v>
      </c>
      <c r="F330" t="s">
        <v>1419</v>
      </c>
      <c r="G330" t="s">
        <v>1420</v>
      </c>
    </row>
    <row r="331" spans="1:7">
      <c r="A331" t="s">
        <v>2438</v>
      </c>
      <c r="B331" t="s">
        <v>2439</v>
      </c>
      <c r="C331" t="s">
        <v>2440</v>
      </c>
      <c r="D331" t="s">
        <v>2424</v>
      </c>
      <c r="E331" t="s">
        <v>2425</v>
      </c>
      <c r="F331" t="s">
        <v>1419</v>
      </c>
      <c r="G331" t="s">
        <v>1420</v>
      </c>
    </row>
    <row r="332" spans="1:7">
      <c r="A332" t="s">
        <v>2441</v>
      </c>
      <c r="B332" t="s">
        <v>2442</v>
      </c>
      <c r="C332" t="s">
        <v>2443</v>
      </c>
      <c r="D332" t="s">
        <v>2444</v>
      </c>
      <c r="E332" t="s">
        <v>2445</v>
      </c>
      <c r="F332" t="s">
        <v>1419</v>
      </c>
      <c r="G332" t="s">
        <v>1420</v>
      </c>
    </row>
    <row r="333" spans="1:7">
      <c r="A333" t="s">
        <v>2446</v>
      </c>
      <c r="B333" t="s">
        <v>2447</v>
      </c>
      <c r="C333" t="s">
        <v>2448</v>
      </c>
      <c r="D333" t="s">
        <v>2444</v>
      </c>
      <c r="E333" t="s">
        <v>2445</v>
      </c>
      <c r="F333" t="s">
        <v>1419</v>
      </c>
      <c r="G333" t="s">
        <v>1420</v>
      </c>
    </row>
    <row r="334" spans="1:7">
      <c r="A334" t="s">
        <v>2449</v>
      </c>
      <c r="B334" t="s">
        <v>2450</v>
      </c>
      <c r="C334" t="s">
        <v>2451</v>
      </c>
      <c r="D334" t="s">
        <v>1487</v>
      </c>
      <c r="E334" t="s">
        <v>1488</v>
      </c>
      <c r="F334" t="s">
        <v>1419</v>
      </c>
      <c r="G334" t="s">
        <v>1420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survey</vt:lpstr>
      <vt:lpstr>Crop list</vt:lpstr>
      <vt:lpstr>Additional information</vt:lpstr>
      <vt:lpstr>Admin 2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Lawi Analo</dc:creator>
  <cp:lastModifiedBy>Microsoft Office User</cp:lastModifiedBy>
  <dcterms:created xsi:type="dcterms:W3CDTF">2020-12-10T15:46:11Z</dcterms:created>
  <dcterms:modified xsi:type="dcterms:W3CDTF">2023-06-14T21:36:42Z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2023-06-14T21:01:49Z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bdbcb5f7-83eb-4e53-9e1a-47fe445f9be7</vt:lpwstr>
  </property>
  <property fmtid="{D5CDD505-2E9C-101B-9397-08002B2CF9AE}" pid="8" name="MSIP_Label_46ec50b2-b191-4ad7-ba82-7deb0436e358_ContentBits">
    <vt:lpwstr>0</vt:lpwstr>
  </property>
</Properties>
</file>