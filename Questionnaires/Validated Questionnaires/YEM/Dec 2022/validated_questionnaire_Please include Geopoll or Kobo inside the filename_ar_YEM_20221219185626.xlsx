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YEM/Dec 2022/"/>
    </mc:Choice>
  </mc:AlternateContent>
  <xr:revisionPtr revIDLastSave="0" documentId="13_ncr:1_{D676DD33-EE89-3546-9BA5-D03B5FBB7A44}" xr6:coauthVersionLast="47" xr6:coauthVersionMax="47" xr10:uidLastSave="{00000000-0000-0000-0000-000000000000}"/>
  <bookViews>
    <workbookView xWindow="0" yWindow="500" windowWidth="38400" windowHeight="20080" xr2:uid="{00000000-000D-0000-FFFF-FFFF00000000}"/>
  </bookViews>
  <sheets>
    <sheet name="survey" sheetId="1" r:id="rId1"/>
    <sheet name="Additional information" sheetId="2" state="hidden" r:id="rId2"/>
    <sheet name="Sheet1" sheetId="3" r:id="rId3"/>
    <sheet name="Admin 2 info" sheetId="4" r:id="rId4"/>
  </sheets>
  <definedNames>
    <definedName name="_xlnm._FilterDatabase" localSheetId="3" hidden="1">'Admin 2 info'!$A$1:$G$1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 i="3" l="1"/>
  <c r="Y1" i="3"/>
  <c r="Q1" i="3"/>
  <c r="G1" i="3"/>
  <c r="E1" i="3"/>
  <c r="A1" i="3"/>
  <c r="X103" i="1"/>
  <c r="Z102" i="1"/>
  <c r="Y102" i="1"/>
  <c r="G102" i="1"/>
  <c r="E102" i="1"/>
  <c r="Y101" i="1"/>
  <c r="Z101" i="1" s="1"/>
  <c r="G101" i="1"/>
  <c r="E101" i="1"/>
  <c r="Z100" i="1"/>
  <c r="Y100" i="1"/>
  <c r="Z99" i="1"/>
  <c r="Y99" i="1"/>
  <c r="G99" i="1"/>
  <c r="E99" i="1"/>
  <c r="Z98" i="1"/>
  <c r="Y98" i="1"/>
  <c r="G98" i="1"/>
  <c r="E98" i="1"/>
  <c r="Z97" i="1"/>
  <c r="Y97" i="1"/>
  <c r="G97" i="1"/>
  <c r="E97" i="1"/>
  <c r="Z96" i="1"/>
  <c r="Y96" i="1"/>
  <c r="G96" i="1"/>
  <c r="E96" i="1"/>
  <c r="Z95" i="1"/>
  <c r="Y95" i="1"/>
  <c r="G95" i="1"/>
  <c r="E95" i="1"/>
  <c r="Z94" i="1"/>
  <c r="Y94" i="1"/>
  <c r="G94" i="1"/>
  <c r="E94" i="1"/>
  <c r="Z93" i="1"/>
  <c r="Y93" i="1"/>
  <c r="G93" i="1"/>
  <c r="E93" i="1"/>
  <c r="Z92" i="1"/>
  <c r="Y92" i="1"/>
  <c r="Z91" i="1"/>
  <c r="Y91" i="1"/>
  <c r="G91" i="1"/>
  <c r="E91" i="1"/>
  <c r="Z90" i="1"/>
  <c r="Y90" i="1"/>
  <c r="G90" i="1"/>
  <c r="E90" i="1"/>
  <c r="Z89" i="1"/>
  <c r="Y89" i="1"/>
  <c r="G89" i="1"/>
  <c r="E89" i="1"/>
  <c r="Z88" i="1"/>
  <c r="Y88" i="1"/>
  <c r="G88" i="1"/>
  <c r="E88" i="1"/>
  <c r="Z87" i="1"/>
  <c r="Y87" i="1"/>
  <c r="G87" i="1"/>
  <c r="E87" i="1"/>
  <c r="Z86" i="1"/>
  <c r="Y86" i="1"/>
  <c r="G86" i="1"/>
  <c r="E86" i="1"/>
  <c r="Z85" i="1"/>
  <c r="Y85" i="1"/>
  <c r="G85" i="1"/>
  <c r="E85" i="1"/>
  <c r="Z84" i="1"/>
  <c r="Y84" i="1"/>
  <c r="G84" i="1"/>
  <c r="E84" i="1"/>
  <c r="Z83" i="1"/>
  <c r="Y83" i="1"/>
  <c r="G83" i="1"/>
  <c r="E83" i="1"/>
  <c r="Z82" i="1"/>
  <c r="Y82" i="1"/>
  <c r="G82" i="1"/>
  <c r="E82" i="1"/>
  <c r="Z81" i="1"/>
  <c r="Y81" i="1"/>
  <c r="G81" i="1"/>
  <c r="E81" i="1"/>
  <c r="Z80" i="1"/>
  <c r="Y80" i="1"/>
  <c r="G80" i="1"/>
  <c r="E80" i="1"/>
  <c r="Z79" i="1"/>
  <c r="Y79" i="1"/>
  <c r="G79" i="1"/>
  <c r="E79" i="1"/>
  <c r="Z78" i="1"/>
  <c r="Y78" i="1"/>
  <c r="G78" i="1"/>
  <c r="E78" i="1"/>
  <c r="Z77" i="1"/>
  <c r="Y77" i="1"/>
  <c r="G77" i="1"/>
  <c r="E77" i="1"/>
  <c r="Z76" i="1"/>
  <c r="Y76" i="1"/>
  <c r="G76" i="1"/>
  <c r="E76" i="1"/>
  <c r="Z75" i="1"/>
  <c r="Y75" i="1"/>
  <c r="G75" i="1"/>
  <c r="E75" i="1"/>
  <c r="Y74" i="1"/>
  <c r="Z74" i="1" s="1"/>
  <c r="G74" i="1"/>
  <c r="E74" i="1"/>
  <c r="Z73" i="1"/>
  <c r="Y73" i="1"/>
  <c r="G73" i="1"/>
  <c r="E73" i="1"/>
  <c r="Z72" i="1"/>
  <c r="Y72" i="1"/>
  <c r="G72" i="1"/>
  <c r="E72" i="1"/>
  <c r="Z71" i="1"/>
  <c r="Y71" i="1"/>
  <c r="G71" i="1"/>
  <c r="E71" i="1"/>
  <c r="Z70" i="1"/>
  <c r="Y70" i="1"/>
  <c r="G70" i="1"/>
  <c r="E70" i="1"/>
  <c r="Z69" i="1"/>
  <c r="Y69" i="1"/>
  <c r="G69" i="1"/>
  <c r="E69" i="1"/>
  <c r="Z68" i="1"/>
  <c r="Y68" i="1"/>
  <c r="G68" i="1"/>
  <c r="E68" i="1"/>
  <c r="Z67" i="1"/>
  <c r="Y67" i="1"/>
  <c r="G67" i="1"/>
  <c r="E67" i="1"/>
  <c r="Z66" i="1"/>
  <c r="Y66" i="1"/>
  <c r="G66" i="1"/>
  <c r="E66" i="1"/>
  <c r="Z65" i="1"/>
  <c r="Y65" i="1"/>
  <c r="G65" i="1"/>
  <c r="E65" i="1"/>
  <c r="Z64" i="1"/>
  <c r="Y64" i="1"/>
  <c r="G64" i="1"/>
  <c r="E64" i="1"/>
  <c r="Z63" i="1"/>
  <c r="Y63" i="1"/>
  <c r="G63" i="1"/>
  <c r="E63" i="1"/>
  <c r="Z62" i="1"/>
  <c r="Y62" i="1"/>
  <c r="G62" i="1"/>
  <c r="E62" i="1"/>
  <c r="Y61" i="1"/>
  <c r="Z61" i="1" s="1"/>
  <c r="G61" i="1"/>
  <c r="E61" i="1"/>
  <c r="Y60" i="1"/>
  <c r="Z60" i="1" s="1"/>
  <c r="G60" i="1"/>
  <c r="E60" i="1"/>
  <c r="Z59" i="1"/>
  <c r="Y59" i="1"/>
  <c r="G59" i="1"/>
  <c r="E59" i="1"/>
  <c r="Y58" i="1"/>
  <c r="Z58" i="1" s="1"/>
  <c r="G58" i="1"/>
  <c r="E58" i="1"/>
  <c r="Z57" i="1"/>
  <c r="Y57" i="1"/>
  <c r="G57" i="1"/>
  <c r="E57" i="1"/>
  <c r="Z56" i="1"/>
  <c r="Y56" i="1"/>
  <c r="G56" i="1"/>
  <c r="E56" i="1"/>
  <c r="Y55" i="1"/>
  <c r="Z55" i="1" s="1"/>
  <c r="G55" i="1"/>
  <c r="E55" i="1"/>
  <c r="Y54" i="1"/>
  <c r="Z54" i="1" s="1"/>
  <c r="G54" i="1"/>
  <c r="E54" i="1"/>
  <c r="Y53" i="1"/>
  <c r="Z53" i="1" s="1"/>
  <c r="G53" i="1"/>
  <c r="E53" i="1"/>
  <c r="Y52" i="1"/>
  <c r="Z52" i="1" s="1"/>
  <c r="G52" i="1"/>
  <c r="E52" i="1"/>
  <c r="Z51" i="1"/>
  <c r="Y51" i="1"/>
  <c r="G51" i="1"/>
  <c r="E51" i="1"/>
  <c r="Z50" i="1"/>
  <c r="Y50" i="1"/>
  <c r="Z49" i="1"/>
  <c r="Y49" i="1"/>
  <c r="Q49" i="1"/>
  <c r="G49" i="1"/>
  <c r="E49" i="1"/>
  <c r="Q48" i="1"/>
  <c r="Y48" i="1" s="1"/>
  <c r="Z48" i="1" s="1"/>
  <c r="G48" i="1"/>
  <c r="E48" i="1"/>
  <c r="Q47" i="1"/>
  <c r="Y47" i="1" s="1"/>
  <c r="Z47" i="1" s="1"/>
  <c r="G47" i="1"/>
  <c r="E47" i="1"/>
  <c r="Z46" i="1"/>
  <c r="Q46" i="1"/>
  <c r="Y46" i="1" s="1"/>
  <c r="G46" i="1"/>
  <c r="E46" i="1"/>
  <c r="Z45" i="1"/>
  <c r="Y45" i="1"/>
  <c r="Q45" i="1"/>
  <c r="Q44" i="1"/>
  <c r="Y44" i="1" s="1"/>
  <c r="Z44" i="1" s="1"/>
  <c r="G44" i="1"/>
  <c r="E44" i="1"/>
  <c r="Z43" i="1"/>
  <c r="Y43" i="1"/>
  <c r="Q43" i="1"/>
  <c r="Q42" i="1"/>
  <c r="Y42" i="1" s="1"/>
  <c r="Z42" i="1" s="1"/>
  <c r="G42" i="1"/>
  <c r="E42" i="1"/>
  <c r="Z41" i="1"/>
  <c r="Y41" i="1"/>
  <c r="Q41" i="1"/>
  <c r="Y40" i="1"/>
  <c r="Z40" i="1" s="1"/>
  <c r="G40" i="1"/>
  <c r="E40" i="1"/>
  <c r="Z39" i="1"/>
  <c r="Y39" i="1"/>
  <c r="Z38" i="1"/>
  <c r="Y38" i="1"/>
  <c r="Q38" i="1"/>
  <c r="G37" i="1"/>
  <c r="E37" i="1"/>
  <c r="Q36" i="1"/>
  <c r="Y36" i="1" s="1"/>
  <c r="Z36" i="1" s="1"/>
  <c r="G36" i="1"/>
  <c r="E36" i="1"/>
  <c r="A36" i="1"/>
  <c r="A40" i="1" s="1"/>
  <c r="A42" i="1" s="1"/>
  <c r="A44" i="1" s="1"/>
  <c r="A46" i="1" s="1"/>
  <c r="A47" i="1" s="1"/>
  <c r="A48" i="1" s="1"/>
  <c r="A49"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Y35" i="1"/>
  <c r="Z35" i="1" s="1"/>
  <c r="Q35" i="1"/>
  <c r="G35" i="1"/>
  <c r="E35" i="1"/>
  <c r="Z34" i="1"/>
  <c r="Y34" i="1"/>
  <c r="Q34" i="1"/>
  <c r="Z33" i="1"/>
  <c r="Y33" i="1"/>
  <c r="Q33" i="1"/>
  <c r="G33" i="1"/>
  <c r="E33" i="1"/>
  <c r="Z32" i="1"/>
  <c r="Q32" i="1"/>
  <c r="Y32" i="1" s="1"/>
  <c r="G32" i="1"/>
  <c r="E32" i="1"/>
  <c r="Z31" i="1"/>
  <c r="Y31" i="1"/>
  <c r="Q31" i="1"/>
  <c r="G31" i="1"/>
  <c r="E31" i="1"/>
  <c r="Z30" i="1"/>
  <c r="Q30" i="1"/>
  <c r="Y30" i="1" s="1"/>
  <c r="G30" i="1"/>
  <c r="E30" i="1"/>
  <c r="Z29" i="1"/>
  <c r="Q29" i="1"/>
  <c r="Y29" i="1" s="1"/>
  <c r="G29" i="1"/>
  <c r="E29" i="1"/>
  <c r="Z28" i="1"/>
  <c r="Y28" i="1"/>
  <c r="Q28" i="1"/>
  <c r="G28" i="1"/>
  <c r="E28" i="1"/>
  <c r="Z27" i="1"/>
  <c r="Q27" i="1"/>
  <c r="Y27" i="1" s="1"/>
  <c r="G27" i="1"/>
  <c r="E27" i="1"/>
  <c r="Z26" i="1"/>
  <c r="Y26" i="1"/>
  <c r="Q26" i="1"/>
  <c r="G26" i="1"/>
  <c r="E26" i="1"/>
  <c r="Z25" i="1"/>
  <c r="Y25" i="1"/>
  <c r="Q25" i="1"/>
  <c r="Q24" i="1"/>
  <c r="Y24" i="1" s="1"/>
  <c r="Z24" i="1" s="1"/>
  <c r="G24" i="1"/>
  <c r="E24" i="1"/>
  <c r="A24" i="1"/>
  <c r="Y23" i="1"/>
  <c r="Z23" i="1" s="1"/>
  <c r="Q23" i="1"/>
  <c r="G23" i="1"/>
  <c r="E23" i="1"/>
  <c r="Q22" i="1"/>
  <c r="Y22" i="1" s="1"/>
  <c r="Z22" i="1" s="1"/>
  <c r="G22" i="1"/>
  <c r="E22" i="1"/>
  <c r="Q21" i="1"/>
  <c r="Y21" i="1" s="1"/>
  <c r="Z21" i="1" s="1"/>
  <c r="G21" i="1"/>
  <c r="E21" i="1"/>
  <c r="Z20" i="1"/>
  <c r="Y20" i="1"/>
  <c r="Z19" i="1"/>
  <c r="Y19" i="1"/>
  <c r="G19" i="1"/>
  <c r="E19" i="1"/>
  <c r="Z18" i="1"/>
  <c r="Y18" i="1"/>
  <c r="G18" i="1"/>
  <c r="E18" i="1"/>
  <c r="Z17" i="1"/>
  <c r="Y17" i="1"/>
  <c r="G17" i="1"/>
  <c r="E17" i="1"/>
  <c r="Z16" i="1"/>
  <c r="Y16" i="1"/>
  <c r="G16" i="1"/>
  <c r="E16" i="1"/>
  <c r="Z15" i="1"/>
  <c r="Y15"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G5" i="1"/>
  <c r="E5" i="1"/>
  <c r="Z4" i="1"/>
  <c r="Y4" i="1"/>
  <c r="Y103" i="1" l="1"/>
</calcChain>
</file>

<file path=xl/sharedStrings.xml><?xml version="1.0" encoding="utf-8"?>
<sst xmlns="http://schemas.openxmlformats.org/spreadsheetml/2006/main" count="3541" uniqueCount="1603">
  <si>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</si>
  <si>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</si>
  <si>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</si>
  <si>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</si>
  <si>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</si>
  <si>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</si>
  <si>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</si>
  <si>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</si>
  <si>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</si>
  <si>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</si>
  <si>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</si>
  <si>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</si>
  <si>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</si>
  <si>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</si>
  <si>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</si>
  <si>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</si>
  <si>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</si>
  <si>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</si>
  <si>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</si>
  <si>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</si>
  <si>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</si>
  <si>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</si>
  <si>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</si>
  <si>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</si>
  <si>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</si>
  <si>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</si>
  <si>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</si>
  <si>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</si>
  <si>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</si>
  <si>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</si>
  <si>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</si>
  <si>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</si>
  <si>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</si>
  <si>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</si>
  <si>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</si>
  <si>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</si>
  <si>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</si>
  <si>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</si>
  <si>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</si>
  <si>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</si>
  <si>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</si>
  <si>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</si>
  <si>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</si>
  <si>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</si>
  <si>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</si>
  <si>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</si>
  <si>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</si>
  <si>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</si>
  <si>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</si>
  <si>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</si>
  <si>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</si>
  <si>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</si>
  <si>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</si>
  <si>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</si>
  <si>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</si>
  <si>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</si>
  <si>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</si>
  <si>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</si>
  <si>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</si>
  <si>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</si>
  <si>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Which language do you wish to proceed with?
[OPERATOR: READ ANSWER CHOICES. SINGLE RESPONSE.]
1)English
2)other options [add as many as necessary]</t>
  </si>
  <si>
    <t>ما هي اللغة التي ترغب في المتابعة بها؟
[المُشغل: اقرأ خيارات الإجابة. استجابة واحدة.]
1) عربي
2) خيارات أخرى [أضف ما يلزم]</t>
  </si>
  <si>
    <t>1 = introduction [English]
2 = introduction [Arabic]</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</si>
  <si>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</si>
  <si>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</si>
  <si>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</si>
  <si>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</si>
  <si>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</si>
  <si>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</si>
  <si>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</si>
  <si>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</si>
  <si>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</si>
  <si>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</si>
  <si>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</si>
  <si>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</si>
  <si>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</si>
  <si>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resp_firstname
2 = WhenCallBack
3 = resp_refusalwhy</t>
  </si>
  <si>
    <t>if Agree = 1, go to resp_firstname
if Agree = 2, go to WhenCallBack
if Agree = 3, go to resp_refusalwhy</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</si>
  <si>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</si>
  <si>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</si>
  <si>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</si>
  <si>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</si>
  <si>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</si>
  <si>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</si>
  <si>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t>For any response, go to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</si>
  <si>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</si>
  <si>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</si>
  <si>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</si>
  <si>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</si>
  <si>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</si>
  <si>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</si>
  <si>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</si>
  <si>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</si>
  <si>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</si>
  <si>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</si>
  <si>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</si>
  <si>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</si>
  <si>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</si>
  <si>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</si>
  <si>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</si>
  <si>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</si>
  <si>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</si>
  <si>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</si>
  <si>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</si>
  <si>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</si>
  <si>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</si>
  <si>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</si>
  <si>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</si>
  <si>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</si>
  <si>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</si>
  <si>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</si>
  <si>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t>For any response, go to resp_lastname</t>
  </si>
  <si>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</si>
  <si>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</si>
  <si>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</si>
  <si>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</si>
  <si>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t>For any response, go to resp_age</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</si>
  <si>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</si>
  <si>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</si>
  <si>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</si>
  <si>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</si>
  <si>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</si>
  <si>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</si>
  <si>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</si>
  <si>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</si>
  <si>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</si>
  <si>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phone_number_conf</t>
  </si>
  <si>
    <t>For any response, go to phone_number_conf</t>
  </si>
  <si>
    <t>phone_number_conf</t>
  </si>
  <si>
    <t>Is the phone number I am calling you on yours or a household members?
[OPERATOR: SINGLE RESPONSE.]
1)YES
2)NO
3)DON'T KNOW
4)REFUSED</t>
  </si>
  <si>
    <t>هل رقم الهاتف الذي أتصل به هو رقمك أو رقم أحد أفراد أسرتك؟
[المشغل: استجابة واحدة.]
1) نعم
2) لا
3) لا أعرف
4) رفض الإجابة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</si>
  <si>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</si>
  <si>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</si>
  <si>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</si>
  <si>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</si>
  <si>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</si>
  <si>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</si>
  <si>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ما هو رقم هاتفك؟
( المشغل: قم بتسجيل الرقم المعطى لك )</t>
  </si>
  <si>
    <t>Any Response = contact_2</t>
  </si>
  <si>
    <t>For any response, go to contact_2</t>
  </si>
  <si>
    <t>contact_2</t>
  </si>
  <si>
    <t>Can you give me an additonal phone number belonging to you, a relative or a friend at which you can be reached?
[OPERATOR: SINGLE RESPONSE.]
1)YES - mine 
2)YES - friend or relative
3)NO
4)DON'T KNOW
5)REFUSED</t>
  </si>
  <si>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</si>
  <si>
    <t>1-2 = phone_number_2
3-5 = hh_admin1</t>
  </si>
  <si>
    <t>if contact_2 = 1-2, go to phone_number_2
if contact_2 = 3-5, go to contact_3</t>
  </si>
  <si>
    <t>phone_number_2</t>
  </si>
  <si>
    <t>What is the additional phone number?
[OPERATOR: RECORD THE NUMBER GIVEN]</t>
  </si>
  <si>
    <t>ما هو رقم الهاتف الإضافي؟
( المشغل: قم بتسجيل الرقم المعطى لك )</t>
  </si>
  <si>
    <t>Any Response = contact_2_name</t>
  </si>
  <si>
    <t>For any response, go to contact_2_name</t>
  </si>
  <si>
    <t>contact_2_name</t>
  </si>
  <si>
    <t>What is the name of the contact?
[OPERATOR: RECORD THE NAME OF THE CONTACT FOR THE PHONE NUMBER.]</t>
  </si>
  <si>
    <t>ما هو اسم صاحب رقم الهاتف الإضافي الذي قمت بمشاركته؟
( المشغل: قم بتسجيل اسم صاحب رقم الهاتف )</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</si>
  <si>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</si>
  <si>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</si>
  <si>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</si>
  <si>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</si>
  <si>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</si>
  <si>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</si>
  <si>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</si>
  <si>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</si>
  <si>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</si>
  <si>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</si>
  <si>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</si>
  <si>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ما هو اسم صاحب رقم الهاتف الإضافي الذي قمت بمشاركته؟
(المشغل: قم بتسجيل اسم صاحب رقم الهاتف)</t>
  </si>
  <si>
    <t>Send if "contact_3" "Equals" "YES - friend or relative", if not satisfied go to "hh_admin1"</t>
  </si>
  <si>
    <t>Any Response = hh_admin1</t>
  </si>
  <si>
    <t>Asked if "contact_3" "Equals" "YES - friend or relative". Otherwise, it skips to "hh_admin1".
For any response, go to hh_admin1</t>
  </si>
  <si>
    <t>hh_admin1</t>
  </si>
  <si>
    <t xml:space="preserve">Currently, in which Governorate does your household reside?
[OPERATOR: SINGLE SELECTION.]
[HINT: HOUSEHOLD CONSISTS OF ALL MEMBERS LIVING TOGETHER, SHARING RESOURCES &amp; EATING FROM THE SAME POT.]
1)ADMIN1
2)DON'T KNOW
3)REFUSED </t>
  </si>
  <si>
    <t>حاليًا ، في أي $ADMIN1 AR$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</si>
  <si>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</si>
  <si>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</si>
  <si>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</si>
  <si>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</si>
  <si>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District does your household reside?
[OPERATOR: SINGLE RESPONSE.]
1)ADMIN2
2)DON'T KNOW
3)REFUSED </t>
  </si>
  <si>
    <t>حاليًا ، في أي $ADMIN2 AR$ تقيم أسرتك؟
[المشغل: استجابة واحدة.]
1) ADMIN 2
2) لا أعرف
3) رفض الإجابة</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</si>
  <si>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</si>
  <si>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</si>
  <si>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</si>
  <si>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</si>
  <si>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</si>
  <si>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hh_agricactivity</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</si>
  <si>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</si>
  <si>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</si>
  <si>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</si>
  <si>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</si>
  <si>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 xml:space="preserve">1 = hh_education 
</t>
  </si>
  <si>
    <t>if resp_id = 1, go to hh_education. 
Otherwise, go to hh_gender.</t>
  </si>
  <si>
    <t>hh_education</t>
  </si>
  <si>
    <t>What is the educational level attained by the head of household?
[OPERATOR: SINGLE RESPONSE.]
1)	Illiterate  
2)	Did not complete basic (preparatory) school [1-9]
3)	Completed basic school (preparatory) (1-9) 
4)	Completed secondary school [10-12]
5)	Completed higher education [University / College degree, Vocational Training, Diploma]
6)	Religious or informal education only
7)	DON'T KNOW
8)	REFUSED</t>
  </si>
  <si>
    <t>ما هو المستوى التعليمي الذي وصل إليه رب الأسرة؟
[المشغل: استجابة واحدة.]
1) امي (لا شيء) 
2) لم يكمل المرحلة الاساسية ( الابتدائية) من المدرسة (1-9)
3) أكمل المرحلة الاساسية (الابتدائية) من المدرسة (1-9)
4) أكمل المرحلة الثانوية من المدرسة (10-12)
5) أكمل التعليم العالي [درجة جامعية / كلية ، تدريب مهني ، دبلوم]
6) تربية دينية أو غير رسمية فقط
7) لا أعرف
8) رفض الإجابة</t>
  </si>
  <si>
    <t>1-7 = o_hh_wealth_water</t>
  </si>
  <si>
    <t>if hh_education = 1-7, go to hh_wealth.</t>
  </si>
  <si>
    <t>o_hh_wealth_water</t>
  </si>
  <si>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</si>
  <si>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سدود13) لا أعرف
13) لا أعرف
14) رفض الإجابة</t>
  </si>
  <si>
    <t xml:space="preserve">
1-12 = hh_residencetype</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</si>
  <si>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</si>
  <si>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</si>
  <si>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</si>
  <si>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</si>
  <si>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</si>
  <si>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t>1-7 = income_main</t>
  </si>
  <si>
    <t>For any response, go to [next question]</t>
  </si>
  <si>
    <t>income_main</t>
  </si>
  <si>
    <t>What was your household's main source of income in the past 1 month?
[OPERATOR: SINGLE RESPONSE. REFUSED OPTION SHOULD BE AVOIDED AS MUCH AS POSSIBLE.]
1)Production and sale of staple crops
2)Production and sale of vegetables or fruit 
3)Production and sale of cash 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</si>
  <si>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</si>
  <si>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</si>
  <si>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t>1-20 = income_main_comp</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</si>
  <si>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</si>
  <si>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income_main_comp</t>
  </si>
  <si>
    <t>Has your household's income from {income_main} changed in the last month compared to the same period of last year?
[OPERATOR: SINGLE RESPONSE.]
1)A lot more [increased by more than 50%]
2)Slightly more
3)Same
4)Slightly less
5)A lot less [less than half as much]
6)DON'T KNOW
7)REFUSED</t>
  </si>
  <si>
    <t>هل تغير دخل أسرتك من {income_main} في الشهر الماضي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</si>
  <si>
    <t>1-7= shock</t>
  </si>
  <si>
    <t>if income_main_comp = 1-7, go to income_sec</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</si>
  <si>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</si>
  <si>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</si>
  <si>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month,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</si>
  <si>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</si>
  <si>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Select All That Apply</t>
  </si>
  <si>
    <t>Form Type - Checklist 
1,26,27 = IsNone</t>
  </si>
  <si>
    <t>1-27 = fies_intro</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</si>
  <si>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</si>
  <si>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</si>
  <si>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</si>
  <si>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</si>
  <si>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</si>
  <si>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</si>
  <si>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</si>
  <si>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</si>
  <si>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</si>
  <si>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</si>
  <si>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</si>
  <si>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كان هناك وقت شعرت فيه أنت أو غيرك من أفراد أسرتك بالقلق من عدم وجود ما يكفي من الطعام للأكل بسبب نقص المال أو الموارد الأخرى؟
[المشغل: استجابة واحدة]
1) نعم
2) لا
3) لا أعرف
4) رفض الإجابة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</si>
  <si>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</si>
  <si>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</si>
  <si>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</si>
  <si>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</si>
  <si>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خلال الثلاثين يومًا الماضية ، هل كان هناك وقت لم تتمكن فيه أنت أو غيرك من أفراد أسرتك من تناول طعام صحي ومغذي بسبب نقص المال أو الموارد الأخرى؟
[المشغل: استجابة واحدة]
1) نعم
2) لا
3) لا أعرف
4) رفض الإجابة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</si>
  <si>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</si>
  <si>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</si>
  <si>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</si>
  <si>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</si>
  <si>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خلال الثلاثين يومًا الماضية ، هل كان هناك وقت كنت تأكل فيه أنت أو غيرك من أفراد أسرتك أنواعًا قليلة فقط من الأطعمة بسبب نقص المال أو الموارد الأخرى؟
[المشغل: استجابة واحدة]
1) نعم
2) لا
3) لا أعرف
4) رفض الإجابة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</si>
  <si>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</si>
  <si>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</si>
  <si>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</si>
  <si>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</si>
  <si>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خلال الثلاثين يومًا الماضية ، هل كان هناك وقت اضطررت فيه أنت أو غيرك من أفراد أسرتك إلى تخطي وجبة بسبب نقص المال أو الموارد الأخرى للحصول على الطعام؟
[المشغل: استجابة واحدة]
1) نعم
2) لا
3) لا أعرف
4) رفض الإجابة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</si>
  <si>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</si>
  <si>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</si>
  <si>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</si>
  <si>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</si>
  <si>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
[المشغل: استجابة واحدة]
1) نعم
2) لا
3) لا أعرف
4) رفض الإجابة</t>
  </si>
  <si>
    <t>1-4 = fies_ranout</t>
  </si>
  <si>
    <t>if fies_ateless = 1-4, go to fies_ranout</t>
  </si>
  <si>
    <t>fies_ranout</t>
  </si>
  <si>
    <t>In the past 30 days, was there ever no food to eat of any kind in your house because of lack of resources to get food?
[OPERATOR: SINGLE RESPONSE]
1)YES
2)NO
3)DON'T KNOW
4)REFUSED</t>
  </si>
  <si>
    <t>خلال الثلاثين يومًا الماضية ، هل كان هناك وقت لم يكن فيه أي نوع طعام تأكله في منزلك بسبب نقص الموارد للحصول على الطعام؟
[المشغل: استجابة واحدة]
1) نعم
2) لا
3) لا أعرف
4) رفض الإجابة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</si>
  <si>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</si>
  <si>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</si>
  <si>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</si>
  <si>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</si>
  <si>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</si>
  <si>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</si>
  <si>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</si>
  <si>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</si>
  <si>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</si>
  <si>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 بسبب عدم وجود طعام كافٍ؟
[المشغل: استجابة واحدة]
1) نعم
2) لا
3) لا أعرف
4) رفض الإجابة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</si>
  <si>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</si>
  <si>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</si>
  <si>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</si>
  <si>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</si>
  <si>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</si>
  <si>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</si>
  <si>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</si>
  <si>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قضيت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</si>
  <si>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 xml:space="preserve">1=fies_whlday_hhs
2-4 = lcsi_intro </t>
  </si>
  <si>
    <t>if fies_whlday = 1, go to fies_whlday_hhs. Otherwise, go to lcsi_intro OR hdds</t>
  </si>
  <si>
    <t>fies_whlday_hhs</t>
  </si>
  <si>
    <t xml:space="preserve">1-5 = lcsi_intro </t>
  </si>
  <si>
    <t>if fies_whlday_hhs = 1-5, go to lcsi_intro OR hdds</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</si>
  <si>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</si>
  <si>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</si>
  <si>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</si>
  <si>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</si>
  <si>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</si>
  <si>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</si>
  <si>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</si>
  <si>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</si>
  <si>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</si>
  <si>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</si>
  <si>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</si>
  <si>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</si>
  <si>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</si>
  <si>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</si>
  <si>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</si>
  <si>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</si>
  <si>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</si>
  <si>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</si>
  <si>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</si>
  <si>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</si>
  <si>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</si>
  <si>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</si>
  <si>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</si>
  <si>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</si>
  <si>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</si>
  <si>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</si>
  <si>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</si>
  <si>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</si>
  <si>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</si>
  <si>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</si>
  <si>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</si>
  <si>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</si>
  <si>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</si>
  <si>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</si>
  <si>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</si>
  <si>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</si>
  <si>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</si>
  <si>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</si>
  <si>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</si>
  <si>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</si>
  <si>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</si>
  <si>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</si>
  <si>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</si>
  <si>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</si>
  <si>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</si>
  <si>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</si>
  <si>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</si>
  <si>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</si>
  <si>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</si>
  <si>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[rice, maize, pasta, bread, sorghum, millet]
2)Roots and tubers [white sweet potato / potato / yam / cassava or other tubers]
3)Vegetables [tomato, onion, carrot, zucchini, eggplant, cucumber, lettuce, pumpkin, okra, cauliflower, squash, or any other leaves/vegetables]
4)Fruit [ Apple, Orange, Banana, Grape, Mango, Papaya, Fig, Musk melon, Red Watermelon, Dates, Peach, Pomegranate and/or other fruit]
5)Meat, poultry and offal [chicken, beef, goat, lamb, liver, kidney, heart etc / or other organs, meats]
6)Eggs
7)Fish or shellfish [canned tuna, shrimp,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</si>
  <si>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[الأرز / الذرة الشامية / المعكرونة / الخبز / الذرة الرفيعة / الدخن]
2) الجذور والدرنات [البطاطا الحلوة البيضاء / البطاطا / اليام / الكسافا أو درنات أخرى]
3) الخضار [الطماطم / البصل / الجزر / الكوسة / الباذنجان / الخيار / الخس / اليقطين / البامية / القرنبيط / القرع ، أو أي خضار / خضار ورقية أخرى]
4) الفواكه [التفاح / البرتقال / الموز / العنب / المانجو / البابايا / التين / الشمام / البطيخ الأحمر / التمر / الخوخ / الرمان و / أو فواكه أخرى]
5) اللحوم / الدواجن ومخلفاتها [الدجاج / لحم البقر / لحم الماعز / لحم الغنم / الكبد / الكلى / القلب وغيرها من اللحوم أو لحوم الأعضاء]
6) البيض
7) الأسماك أو المحار [التونة المعلبة / الجمبري / الأسماك الطازجة أو المجففة /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</si>
  <si>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</si>
  <si>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</si>
  <si>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</si>
  <si>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</si>
  <si>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</si>
  <si>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</si>
  <si>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</si>
  <si>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fcs_intro</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</si>
  <si>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</si>
  <si>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</si>
  <si>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</si>
  <si>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</si>
  <si>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</si>
  <si>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</si>
  <si>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</si>
  <si>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</si>
  <si>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</si>
  <si>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</si>
  <si>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</si>
  <si>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</si>
  <si>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</si>
  <si>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</si>
  <si>
    <t>0-7 = fcs_vegetables_days</t>
  </si>
  <si>
    <t>For any response, go to fcs_vegetables_days</t>
  </si>
  <si>
    <t>fcs_vegetables_days</t>
  </si>
  <si>
    <t>How many days over the last 7 days, did members of your household eat vegetables or leaves such as Not applicable , or other leaves/vegetables?
[OPERATOR: RECORD NUMBER OF DAYS 0 - 7] 
[HINT: IF CONSUMED ONLY IN SMALL QUANTITY, DO NOT INCLUDE.]</t>
  </si>
  <si>
    <t>كم يومًا خلال السبعة أيام الماضية ، أكل أفراد أسرتك خضروات أو خضار ورقية مثل $local vegetables AR$ و / أو خضار ورقية / خضروات أخرى؟
[المُشغل: سجل عدد الأيام من صفر إلى 7]
[ملحوظة: إذا تم تناول هذه الأطعمة بكميات صغيرة فقط ، فلا تقم بتضمينها.]</t>
  </si>
  <si>
    <t>0-7 = fcs_fruit_days</t>
  </si>
  <si>
    <t>For any response, go to fcs_fruit_days</t>
  </si>
  <si>
    <t>fcs_fruit_days</t>
  </si>
  <si>
    <t>How many days over the last 7 days, did members of your household eat fruit such as Not applicable and/or other fruits?
[OPERATOR: RECORD NUMBER OF DAYS 0 - 7]
[HINT: IF CONSUMED ONLY IN SMALL QUANTITY, DO NOT INCLUDE.]</t>
  </si>
  <si>
    <t>كم يومًا خلال السبعة أيام الماضية ، تناول أفراد أسرتك فواكه مثلا $local fruits AR$ و / أو غيرها من الفواكه؟
[المُشغل: سجل عدد الأيام من صفر إلى 7]
[ملحوظة: إذا تم تناول هذه الأطعمة بكميات صغيرة فقط ، فلا تقم بتضمينها.]</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</si>
  <si>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</si>
  <si>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</si>
  <si>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</si>
  <si>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</si>
  <si>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</si>
  <si>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</si>
  <si>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</si>
  <si>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</si>
  <si>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</si>
  <si>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</si>
  <si>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</si>
  <si>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</si>
  <si>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</si>
  <si>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</si>
  <si>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</si>
  <si>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</si>
  <si>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</si>
  <si>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</si>
  <si>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</si>
  <si>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</si>
  <si>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</si>
  <si>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</si>
  <si>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</si>
  <si>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</si>
  <si>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</si>
  <si>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</si>
  <si>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</si>
  <si>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</si>
  <si>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</si>
  <si>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</si>
  <si>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</si>
  <si>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</si>
  <si>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</si>
  <si>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</si>
  <si>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في الأيام السبعة الماضية ، كم عدد الأيام التي اعتمدت فيها أسرتك على طعام أقل تفضيلًا أو أقل تكلفة بسبب نقص الطعام / المال؟
[المُشغل: سجل عدد الأيام من صفر إلى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</si>
  <si>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</si>
  <si>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</si>
  <si>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</si>
  <si>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</si>
  <si>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</si>
  <si>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</si>
  <si>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</si>
  <si>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</si>
  <si>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</si>
  <si>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</si>
  <si>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</si>
  <si>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</si>
  <si>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</si>
  <si>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</si>
  <si>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</si>
  <si>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</si>
  <si>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</si>
  <si>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</si>
  <si>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</si>
  <si>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</si>
  <si>
    <t>0-7 = callback</t>
  </si>
  <si>
    <t>For any response, go to need</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</si>
  <si>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</si>
  <si>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</si>
  <si>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</si>
  <si>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</si>
  <si>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leader_contact
2 = language2</t>
  </si>
  <si>
    <t>if callback = 1, go to leader_contact
if 2, go to language2</t>
  </si>
  <si>
    <t>leader_contact</t>
  </si>
  <si>
    <t>Can you provide me with the contact information of a leader in your community?
[OPERATOR: SINGLE RESPONSE.]
1)YES 
2)NO
3)DON'T KNOW
4)REFUSED</t>
  </si>
  <si>
    <t>هل يمكنك تزويدي بمعلومات الاتصال الخاصة بقائد/شخص مسؤول في مجتمعك؟
[المشغل: استجابة واحدة.]
1) نعم
2) لا
3) لا أعرف
4) رفض الإجابة</t>
  </si>
  <si>
    <t>1 = leader_type
2-4 = future_int_day</t>
  </si>
  <si>
    <t>if leader_contact = 1, go to leader_type;
if leader_contact = 2-4, go to future_int_day</t>
  </si>
  <si>
    <t>no - panel</t>
  </si>
  <si>
    <t>leader_type</t>
  </si>
  <si>
    <t>What type of community leader can you provide information for?
[OPERATOR: SINGLE RESPONSE.]
1)Village / town administrator
2)Agricultural extension officer
3)Health extension officer
4)Teacher
5)Other [specify]
6)DON'T KNOW
7)REFUSED</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</si>
  <si>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</si>
  <si>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1-7 = phone_number_leader</t>
  </si>
  <si>
    <t>if leader_type = 1-7, go to phone_number_leader</t>
  </si>
  <si>
    <t>phone_number_leader</t>
  </si>
  <si>
    <t>What is the leader's phone number?
[OPERATOR: RECORD THE NUMBER GIVEN]</t>
  </si>
  <si>
    <t>ما هو رقم هاتف هذا القائد / الشخص المسؤول؟
[المُشغل: سجل الرقم المُعطى]</t>
  </si>
  <si>
    <t>Any Response = leader_name</t>
  </si>
  <si>
    <t>For any response, go to leader_name</t>
  </si>
  <si>
    <t>leader_name</t>
  </si>
  <si>
    <t>What is the leader's name?
[OPERATOR: RECORD THE NAME OF THE CONTACT FOR THE PHONE NUMBER.]</t>
  </si>
  <si>
    <t>ما هو اسم هذا القائد / الشخص المسؤول؟
[المُشغل: سجل اسم صاحب رقم الهاتف.]</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</si>
  <si>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</si>
  <si>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</si>
  <si>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</si>
  <si>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</si>
  <si>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</si>
  <si>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</si>
  <si>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</si>
  <si>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</si>
  <si>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</si>
  <si>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</si>
  <si>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</si>
  <si>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للمقابلات المستقبلية ، في أي وقت (أوقات) يمكنني الاتصال بك؟
[المُشغل: إمكانية الحصول على إجابات متعددة.]
1) الصباح
2) بعد الظهر
3) المساء</t>
  </si>
  <si>
    <t>1-3 = language2</t>
  </si>
  <si>
    <t>if future_int_time = 1-3, go to language2</t>
  </si>
  <si>
    <t>language2</t>
  </si>
  <si>
    <t>Select the language that was mostly used to complete the interview.
[OPERATOR: SINGLE RESPONSE.]
1)English
2)other languages [consistent with resp_language]</t>
  </si>
  <si>
    <t>حدد اللغة التي تم استخدامها في الغالب لإكمال المقابلة.
[المشغل: استجابة واحدة.]
1) العربية
2) لغات أخرى [متوافقة مع resp_language]</t>
  </si>
  <si>
    <t>1-2 = closeout</t>
  </si>
  <si>
    <t>closeout</t>
  </si>
  <si>
    <t>Thank you for your time. The interview has come to an end.</t>
  </si>
  <si>
    <t xml:space="preserve">شكرا لك على وقتك. انتهت المقابلة. </t>
  </si>
  <si>
    <t>Original</t>
  </si>
  <si>
    <t>Replacement (EN)</t>
  </si>
  <si>
    <t>Replacement (AR)</t>
  </si>
  <si>
    <t>Comment (EN)</t>
  </si>
  <si>
    <t>Comment (AR)</t>
  </si>
  <si>
    <t>Example (EN)</t>
  </si>
  <si>
    <t>Example (AR)</t>
  </si>
  <si>
    <t>FOR CORE QUESTIONS    .
(Mandatory to fill out)    .</t>
  </si>
  <si>
    <t>ADMIN1</t>
  </si>
  <si>
    <t>Governorate</t>
  </si>
  <si>
    <t>المحافظة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</si>
  <si>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</si>
  <si>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</si>
  <si>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</si>
  <si>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</si>
  <si>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</si>
  <si>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District</t>
  </si>
  <si>
    <t>المديرية</t>
  </si>
  <si>
    <t>The second subdivision of the country; district; municipality; LGA; etc.</t>
  </si>
  <si>
    <t>التقسيم الثاني للبلاد ؛ قضاء؛ بلدية؛ إلخ.</t>
  </si>
  <si>
    <t>district</t>
  </si>
  <si>
    <t>قضاء</t>
  </si>
  <si>
    <t>reference year</t>
  </si>
  <si>
    <t>last year</t>
  </si>
  <si>
    <t>العام الماضي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</si>
  <si>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</si>
  <si>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</si>
  <si>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</si>
  <si>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</si>
  <si>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</si>
  <si>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Not applicable</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</si>
  <si>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</si>
  <si>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</si>
  <si>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</si>
  <si>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</si>
  <si>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</si>
  <si>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</si>
  <si>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</si>
  <si>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</si>
  <si>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</si>
  <si>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local measurement unit</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</si>
  <si>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</si>
  <si>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</si>
  <si>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</si>
  <si>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</si>
  <si>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</si>
  <si>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</si>
  <si>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</si>
  <si>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</si>
  <si>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</si>
  <si>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</si>
  <si>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</si>
  <si>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</si>
  <si>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</si>
  <si>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</si>
  <si>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</si>
  <si>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</si>
  <si>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</si>
  <si>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</si>
  <si>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</si>
  <si>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</si>
  <si>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</si>
  <si>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</si>
  <si>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</si>
  <si>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 onion, carrot,  zucchini, eggplant, cucumber, lettuce, pumpkin, okra, cauliflower, spinach, broccoli, squash</t>
  </si>
  <si>
    <t>الطماطم ، البصل ، الجزر ، الكوسة ، الباذنجان ، الخيار ، الخس ، اليقطين ، البامية ، القرنبيط ، السبانخ ، البروكلي ، القرع</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</si>
  <si>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</si>
  <si>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</si>
  <si>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</si>
  <si>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</si>
  <si>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</si>
  <si>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 xml:space="preserve"> Apple, Orange, Banana, Grape, Mango, Papaya, Fig, Musk melon, Red Watermelon, Dates, Peach, Pomegranate</t>
  </si>
  <si>
    <t>التفاح ، البرتقال ، الموز ، العنب ، المانجو ، البابايا ، التين ، الشمام ، البطيخ الأحمر ، التمر ، الخوخ ، الرمان</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</si>
  <si>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</si>
  <si>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</si>
  <si>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</si>
  <si>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</si>
  <si>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</si>
  <si>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</si>
  <si>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يرجى إدخال الأرقام في الأبجدية اللاتينية (...3, 2, 1). </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</si>
  <si>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</si>
  <si>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يرجى إدخال الأرقام في الأبجدية اللاتينية (...3, 2, 1). </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</si>
  <si>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</si>
  <si>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يرجى إدخال الأرقام في الأبجدية اللاتينية (...3, 2, 1). </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</si>
  <si>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</si>
  <si>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1-3 = income_main_crop_check
4 = income_main_ls_check 
5 = income_main_comp OR optional question
6 = income_main_fish_check 
7-18 = income_main_comp OR optional question
19-20 = shock</t>
  </si>
  <si>
    <t>adm2_name</t>
  </si>
  <si>
    <t>adm2_name_local</t>
  </si>
  <si>
    <t>adm2_pcode</t>
  </si>
  <si>
    <t>adm1_name</t>
  </si>
  <si>
    <t>adm1_pcode</t>
  </si>
  <si>
    <t>adm0_name</t>
  </si>
  <si>
    <t>adm0_ISO3</t>
  </si>
  <si>
    <t>Abs</t>
  </si>
  <si>
    <t>عبس</t>
  </si>
  <si>
    <t>YE1704</t>
  </si>
  <si>
    <t>Hajjah</t>
  </si>
  <si>
    <t>YE17</t>
  </si>
  <si>
    <t>Yemen</t>
  </si>
  <si>
    <t>YEM</t>
  </si>
  <si>
    <t>Ad Dali'</t>
  </si>
  <si>
    <t>الضالع</t>
  </si>
  <si>
    <t>YE3006</t>
  </si>
  <si>
    <t>YE30</t>
  </si>
  <si>
    <t>Ad Dis</t>
  </si>
  <si>
    <t>الديس</t>
  </si>
  <si>
    <t>YE1914</t>
  </si>
  <si>
    <t>Hadramawt</t>
  </si>
  <si>
    <t>YE19</t>
  </si>
  <si>
    <t>Ad Dohi</t>
  </si>
  <si>
    <t>الضحى</t>
  </si>
  <si>
    <t>YE1809</t>
  </si>
  <si>
    <t>Al Hodeidah</t>
  </si>
  <si>
    <t>YE18</t>
  </si>
  <si>
    <t>Ad Dulay'ah</t>
  </si>
  <si>
    <t>الضليعه</t>
  </si>
  <si>
    <t>YE1922</t>
  </si>
  <si>
    <t>Ad Durayhimi</t>
  </si>
  <si>
    <t>الدريهمي</t>
  </si>
  <si>
    <t>YE1814</t>
  </si>
  <si>
    <t>Adh Dhahir</t>
  </si>
  <si>
    <t>الظاهر</t>
  </si>
  <si>
    <t>YE2207</t>
  </si>
  <si>
    <t>Sa'dah</t>
  </si>
  <si>
    <t>YE22</t>
  </si>
  <si>
    <t>Adh Dhihar</t>
  </si>
  <si>
    <t>الظهار</t>
  </si>
  <si>
    <t>YE1119</t>
  </si>
  <si>
    <t>Ibb</t>
  </si>
  <si>
    <t>YE11</t>
  </si>
  <si>
    <t>Aflah Al Yaman</t>
  </si>
  <si>
    <t>افلح اليمن</t>
  </si>
  <si>
    <t>YE1714</t>
  </si>
  <si>
    <t>Aflah Ash Sham</t>
  </si>
  <si>
    <t>افلح الشام</t>
  </si>
  <si>
    <t>YE1710</t>
  </si>
  <si>
    <t>Ahwar</t>
  </si>
  <si>
    <t>احور</t>
  </si>
  <si>
    <t>YE1209</t>
  </si>
  <si>
    <t>Abyan</t>
  </si>
  <si>
    <t>YE12</t>
  </si>
  <si>
    <t>Al Abdiyah</t>
  </si>
  <si>
    <t>العبديه</t>
  </si>
  <si>
    <t>YE2611</t>
  </si>
  <si>
    <t>Ma'rib</t>
  </si>
  <si>
    <t>YE26</t>
  </si>
  <si>
    <t>Al Abr</t>
  </si>
  <si>
    <t>العبر</t>
  </si>
  <si>
    <t>YE1906</t>
  </si>
  <si>
    <t>Al Arsh</t>
  </si>
  <si>
    <t>العرش</t>
  </si>
  <si>
    <t>YE1416</t>
  </si>
  <si>
    <t>Al Bayda</t>
  </si>
  <si>
    <t>YE14</t>
  </si>
  <si>
    <t>Al Ashah</t>
  </si>
  <si>
    <t>العشه</t>
  </si>
  <si>
    <t>YE2903</t>
  </si>
  <si>
    <t>Amran</t>
  </si>
  <si>
    <t>YE29</t>
  </si>
  <si>
    <t>Al Azariq</t>
  </si>
  <si>
    <t>الازارق</t>
  </si>
  <si>
    <t>YE3008</t>
  </si>
  <si>
    <t>البيضاء</t>
  </si>
  <si>
    <t>YE1410</t>
  </si>
  <si>
    <t>Al Bayda City</t>
  </si>
  <si>
    <t>مدينة البيضاء</t>
  </si>
  <si>
    <t>YE1409</t>
  </si>
  <si>
    <t>Al Burayqah</t>
  </si>
  <si>
    <t>البريقه</t>
  </si>
  <si>
    <t>YE2404</t>
  </si>
  <si>
    <t>Aden</t>
  </si>
  <si>
    <t>YE24</t>
  </si>
  <si>
    <t>Al Ghaydhah</t>
  </si>
  <si>
    <t>الغيظه</t>
  </si>
  <si>
    <t>YE2804</t>
  </si>
  <si>
    <t>Al Maharah</t>
  </si>
  <si>
    <t>YE28</t>
  </si>
  <si>
    <t>Al Ghayl</t>
  </si>
  <si>
    <t>الغيل</t>
  </si>
  <si>
    <t>YE1608</t>
  </si>
  <si>
    <t>Al Jawf</t>
  </si>
  <si>
    <t>YE16</t>
  </si>
  <si>
    <t>Al Had</t>
  </si>
  <si>
    <t>الحد</t>
  </si>
  <si>
    <t>YE2501</t>
  </si>
  <si>
    <t>Lahj</t>
  </si>
  <si>
    <t>YE25</t>
  </si>
  <si>
    <t>Al Hada</t>
  </si>
  <si>
    <t>الحداء</t>
  </si>
  <si>
    <t>YE2001</t>
  </si>
  <si>
    <t>Dhamar</t>
  </si>
  <si>
    <t>YE20</t>
  </si>
  <si>
    <t>Al Hali</t>
  </si>
  <si>
    <t>الحالي</t>
  </si>
  <si>
    <t>YE1823</t>
  </si>
  <si>
    <t>Al Hasayn</t>
  </si>
  <si>
    <t>الحصين</t>
  </si>
  <si>
    <t>YE3005</t>
  </si>
  <si>
    <t>Al Hashwah</t>
  </si>
  <si>
    <t>الحشوه</t>
  </si>
  <si>
    <t>YE2213</t>
  </si>
  <si>
    <t>Al Hawak</t>
  </si>
  <si>
    <t>الحوك</t>
  </si>
  <si>
    <t>YE1821</t>
  </si>
  <si>
    <t>Al Hawtah</t>
  </si>
  <si>
    <t>الحوطه</t>
  </si>
  <si>
    <t>YE2514</t>
  </si>
  <si>
    <t>Al Haymah Ad Dakhiliyah</t>
  </si>
  <si>
    <t>الحيمة الداخليه</t>
  </si>
  <si>
    <t>YE2308</t>
  </si>
  <si>
    <t>Sana'a</t>
  </si>
  <si>
    <t>YE23</t>
  </si>
  <si>
    <t>Al Haymah Al Kharijiyah</t>
  </si>
  <si>
    <t>الحيمة الخارجيه</t>
  </si>
  <si>
    <t>YE2309</t>
  </si>
  <si>
    <t>Al Hazm</t>
  </si>
  <si>
    <t>الحزم</t>
  </si>
  <si>
    <t>YE1605</t>
  </si>
  <si>
    <t>Al Hissn</t>
  </si>
  <si>
    <t>الحصن</t>
  </si>
  <si>
    <t>YE2315</t>
  </si>
  <si>
    <t>Al Hujjaylah</t>
  </si>
  <si>
    <t>الحجيله</t>
  </si>
  <si>
    <t>YE1811</t>
  </si>
  <si>
    <t>Al Humaydat</t>
  </si>
  <si>
    <t>الحميدات</t>
  </si>
  <si>
    <t>YE1602</t>
  </si>
  <si>
    <t>Al Husha</t>
  </si>
  <si>
    <t>الحشاء</t>
  </si>
  <si>
    <t>YE3009</t>
  </si>
  <si>
    <t>Al Ja'fariyyah</t>
  </si>
  <si>
    <t>الجعفريه</t>
  </si>
  <si>
    <t>YE3106</t>
  </si>
  <si>
    <t>Raymah</t>
  </si>
  <si>
    <t>YE31</t>
  </si>
  <si>
    <t>Al Jabin</t>
  </si>
  <si>
    <t>الجبين</t>
  </si>
  <si>
    <t>YE3103</t>
  </si>
  <si>
    <t>Al Jamimah</t>
  </si>
  <si>
    <t>الجميمه</t>
  </si>
  <si>
    <t>YE1708</t>
  </si>
  <si>
    <t>Al Jarrahi</t>
  </si>
  <si>
    <t>الجراحي</t>
  </si>
  <si>
    <t>YE1825</t>
  </si>
  <si>
    <t>Al Jubah</t>
  </si>
  <si>
    <t>الجوبه</t>
  </si>
  <si>
    <t>YE2607</t>
  </si>
  <si>
    <t>Al Khabt</t>
  </si>
  <si>
    <t>الخبت</t>
  </si>
  <si>
    <t>YE2704</t>
  </si>
  <si>
    <t>Al Mahwit</t>
  </si>
  <si>
    <t>YE27</t>
  </si>
  <si>
    <t>Al Khalaq</t>
  </si>
  <si>
    <t>الخلق</t>
  </si>
  <si>
    <t>YE1609</t>
  </si>
  <si>
    <t>Al Khukhah</t>
  </si>
  <si>
    <t>الخوخه</t>
  </si>
  <si>
    <t>YE1820</t>
  </si>
  <si>
    <t>Al Ma'afer</t>
  </si>
  <si>
    <t>المعافر</t>
  </si>
  <si>
    <t>YE1521</t>
  </si>
  <si>
    <t>Ta'iz</t>
  </si>
  <si>
    <t>YE15</t>
  </si>
  <si>
    <t>Al Madan</t>
  </si>
  <si>
    <t>المدان</t>
  </si>
  <si>
    <t>YE2906</t>
  </si>
  <si>
    <t>Al Madaribah Wa Al Aarah</t>
  </si>
  <si>
    <t>المضاربة و العاره</t>
  </si>
  <si>
    <t>YE2513</t>
  </si>
  <si>
    <t>Al Maflahi</t>
  </si>
  <si>
    <t>المفلحي</t>
  </si>
  <si>
    <t>YE2503</t>
  </si>
  <si>
    <t>Al Maghrabah</t>
  </si>
  <si>
    <t>المغربه</t>
  </si>
  <si>
    <t>YE1717</t>
  </si>
  <si>
    <t>Al Mahabishah</t>
  </si>
  <si>
    <t>المحابشه</t>
  </si>
  <si>
    <t>YE1715</t>
  </si>
  <si>
    <t>Al Mahfad</t>
  </si>
  <si>
    <t>المحفد</t>
  </si>
  <si>
    <t>YE1201</t>
  </si>
  <si>
    <t>المحويت</t>
  </si>
  <si>
    <t>YE2709</t>
  </si>
  <si>
    <t>Al Mahwit City</t>
  </si>
  <si>
    <t>مدينة المحويت</t>
  </si>
  <si>
    <t>YE2708</t>
  </si>
  <si>
    <t>Al Makha</t>
  </si>
  <si>
    <t>المخاء</t>
  </si>
  <si>
    <t>YE1505</t>
  </si>
  <si>
    <t>Al Makhadir</t>
  </si>
  <si>
    <t>المخادر</t>
  </si>
  <si>
    <t>YE1107</t>
  </si>
  <si>
    <t>Al Malah</t>
  </si>
  <si>
    <t>الملاح</t>
  </si>
  <si>
    <t>YE2508</t>
  </si>
  <si>
    <t>Al Malajim</t>
  </si>
  <si>
    <t>الملاجم</t>
  </si>
  <si>
    <t>YE1420</t>
  </si>
  <si>
    <t>Al Manar</t>
  </si>
  <si>
    <t>المنار</t>
  </si>
  <si>
    <t>YE2012</t>
  </si>
  <si>
    <t>Al Mansurah</t>
  </si>
  <si>
    <t>المنصوره</t>
  </si>
  <si>
    <t>YE2403</t>
  </si>
  <si>
    <t>Al Mansuriyah</t>
  </si>
  <si>
    <t>المنصوريه</t>
  </si>
  <si>
    <t>YE1816</t>
  </si>
  <si>
    <t>Al Maqatirah</t>
  </si>
  <si>
    <t>المقاطره</t>
  </si>
  <si>
    <t>YE2512</t>
  </si>
  <si>
    <t>Al Marawi'ah</t>
  </si>
  <si>
    <t>المراوعه</t>
  </si>
  <si>
    <t>YE1813</t>
  </si>
  <si>
    <t>Al Mashannah</t>
  </si>
  <si>
    <t>المشنه</t>
  </si>
  <si>
    <t>YE1118</t>
  </si>
  <si>
    <t>Al Masilah</t>
  </si>
  <si>
    <t>المسيله</t>
  </si>
  <si>
    <t>YE2806</t>
  </si>
  <si>
    <t>Al Maslub</t>
  </si>
  <si>
    <t>المصلوب</t>
  </si>
  <si>
    <t>YE1607</t>
  </si>
  <si>
    <t>Al Matammah</t>
  </si>
  <si>
    <t>المطمه</t>
  </si>
  <si>
    <t>YE1603</t>
  </si>
  <si>
    <t>Al Mawasit</t>
  </si>
  <si>
    <t>المواسط</t>
  </si>
  <si>
    <t>YE1522</t>
  </si>
  <si>
    <t>Al Miftah</t>
  </si>
  <si>
    <t>المفتاح</t>
  </si>
  <si>
    <t>YE1716</t>
  </si>
  <si>
    <t>Al Mighlaf</t>
  </si>
  <si>
    <t>المغلاف</t>
  </si>
  <si>
    <t>YE1808</t>
  </si>
  <si>
    <t>Al Mina</t>
  </si>
  <si>
    <t>الميناء</t>
  </si>
  <si>
    <t>YE1822</t>
  </si>
  <si>
    <t>Al Misrakh</t>
  </si>
  <si>
    <t>المسراخ</t>
  </si>
  <si>
    <t>YE1511</t>
  </si>
  <si>
    <t>Al Mu'alla</t>
  </si>
  <si>
    <t>المعلا</t>
  </si>
  <si>
    <t>YE2406</t>
  </si>
  <si>
    <t>Al Mudhaffar</t>
  </si>
  <si>
    <t>المظفر</t>
  </si>
  <si>
    <t>YE1517</t>
  </si>
  <si>
    <t>Al Mukalla</t>
  </si>
  <si>
    <t>المكلا</t>
  </si>
  <si>
    <t>YE1926</t>
  </si>
  <si>
    <t>Al Mukalla City</t>
  </si>
  <si>
    <t>مدينة المكلا</t>
  </si>
  <si>
    <t>YE1927</t>
  </si>
  <si>
    <t>Al Munirah</t>
  </si>
  <si>
    <t>المنيره</t>
  </si>
  <si>
    <t>YE1805</t>
  </si>
  <si>
    <t>Al Musaymir</t>
  </si>
  <si>
    <t>المسيمير</t>
  </si>
  <si>
    <t>YE2509</t>
  </si>
  <si>
    <t>Al Mutun</t>
  </si>
  <si>
    <t>المتون</t>
  </si>
  <si>
    <t>YE1606</t>
  </si>
  <si>
    <t>Al Odayn</t>
  </si>
  <si>
    <t>العدين</t>
  </si>
  <si>
    <t>YE1111</t>
  </si>
  <si>
    <t>Al Qaff</t>
  </si>
  <si>
    <t>القف</t>
  </si>
  <si>
    <t>YE1903</t>
  </si>
  <si>
    <t>Al Qafr</t>
  </si>
  <si>
    <t>القفر</t>
  </si>
  <si>
    <t>YE1101</t>
  </si>
  <si>
    <t>Al Qahirah</t>
  </si>
  <si>
    <t>القاهره</t>
  </si>
  <si>
    <t>YE1518</t>
  </si>
  <si>
    <t>Al Qanawis</t>
  </si>
  <si>
    <t>القناوص</t>
  </si>
  <si>
    <t>YE1806</t>
  </si>
  <si>
    <t>Al Qatn</t>
  </si>
  <si>
    <t>القطن</t>
  </si>
  <si>
    <t>YE1907</t>
  </si>
  <si>
    <t>Al Qubaytah</t>
  </si>
  <si>
    <t>القبيطه</t>
  </si>
  <si>
    <t>YE2510</t>
  </si>
  <si>
    <t>Al Quraishyah</t>
  </si>
  <si>
    <t>القريشيه</t>
  </si>
  <si>
    <t>YE1414</t>
  </si>
  <si>
    <t>Al Wadi'</t>
  </si>
  <si>
    <t>الوضيع</t>
  </si>
  <si>
    <t>YE1208</t>
  </si>
  <si>
    <t>Al Wazi'yah</t>
  </si>
  <si>
    <t>الوازعيه</t>
  </si>
  <si>
    <t>YE1515</t>
  </si>
  <si>
    <t>Al Wehdah</t>
  </si>
  <si>
    <t>الوحده</t>
  </si>
  <si>
    <t>YE1306</t>
  </si>
  <si>
    <t>Sana'a City</t>
  </si>
  <si>
    <t>YE13</t>
  </si>
  <si>
    <t>Alluhayah</t>
  </si>
  <si>
    <t>اللحيه</t>
  </si>
  <si>
    <t>YE1802</t>
  </si>
  <si>
    <t>Amd</t>
  </si>
  <si>
    <t>عمد</t>
  </si>
  <si>
    <t>YE1921</t>
  </si>
  <si>
    <t>عمران</t>
  </si>
  <si>
    <t>YE2915</t>
  </si>
  <si>
    <t>An Nadirah</t>
  </si>
  <si>
    <t>النادره</t>
  </si>
  <si>
    <t>YE1104</t>
  </si>
  <si>
    <t>Ans</t>
  </si>
  <si>
    <t>عنس</t>
  </si>
  <si>
    <t>YE2010</t>
  </si>
  <si>
    <t>Ar Radmah</t>
  </si>
  <si>
    <t>الرضمه</t>
  </si>
  <si>
    <t>YE1103</t>
  </si>
  <si>
    <t>Ar Rawdah</t>
  </si>
  <si>
    <t>الروضه</t>
  </si>
  <si>
    <t>YE2115</t>
  </si>
  <si>
    <t>Shabwah</t>
  </si>
  <si>
    <t>YE21</t>
  </si>
  <si>
    <t>Ar Raydah wa Qussay'ar</t>
  </si>
  <si>
    <t>الريدة وقصيعر</t>
  </si>
  <si>
    <t>YE1913</t>
  </si>
  <si>
    <t>Ar Rujum</t>
  </si>
  <si>
    <t>الرجم</t>
  </si>
  <si>
    <t>YE2703</t>
  </si>
  <si>
    <t>Ar Ryashyyah</t>
  </si>
  <si>
    <t>الرياشيه</t>
  </si>
  <si>
    <t>YE1418</t>
  </si>
  <si>
    <t>Arhab</t>
  </si>
  <si>
    <t>ارحب</t>
  </si>
  <si>
    <t>YE2302</t>
  </si>
  <si>
    <t>Arma'a</t>
  </si>
  <si>
    <t>عرماء</t>
  </si>
  <si>
    <t>YE2104</t>
  </si>
  <si>
    <t>As Sa'id</t>
  </si>
  <si>
    <t>الصعيد</t>
  </si>
  <si>
    <t>YE2112</t>
  </si>
  <si>
    <t>As Sab'in</t>
  </si>
  <si>
    <t>السبعين</t>
  </si>
  <si>
    <t>YE1305</t>
  </si>
  <si>
    <t>As Sabrah</t>
  </si>
  <si>
    <t>السبره</t>
  </si>
  <si>
    <t>YE1114</t>
  </si>
  <si>
    <t>As Saddah</t>
  </si>
  <si>
    <t>السده</t>
  </si>
  <si>
    <t>YE1106</t>
  </si>
  <si>
    <t>As Safiyah</t>
  </si>
  <si>
    <t>الصافيه</t>
  </si>
  <si>
    <t>YE1304</t>
  </si>
  <si>
    <t>As Safra</t>
  </si>
  <si>
    <t>الصفراء</t>
  </si>
  <si>
    <t>YE2212</t>
  </si>
  <si>
    <t>As Saiyani</t>
  </si>
  <si>
    <t>السياني</t>
  </si>
  <si>
    <t>YE1115</t>
  </si>
  <si>
    <t>As Salafiyyah</t>
  </si>
  <si>
    <t>السلفيه</t>
  </si>
  <si>
    <t>YE3102</t>
  </si>
  <si>
    <t>As Salif</t>
  </si>
  <si>
    <t>الصليف</t>
  </si>
  <si>
    <t>YE1804</t>
  </si>
  <si>
    <t>As Sawadiyah</t>
  </si>
  <si>
    <t>السواديه</t>
  </si>
  <si>
    <t>YE1411</t>
  </si>
  <si>
    <t>As Sawd</t>
  </si>
  <si>
    <t>السود</t>
  </si>
  <si>
    <t>YE2914</t>
  </si>
  <si>
    <t>As Sawm</t>
  </si>
  <si>
    <t>السوم</t>
  </si>
  <si>
    <t>YE1912</t>
  </si>
  <si>
    <t>As Sawma'ah</t>
  </si>
  <si>
    <t>الصومعه</t>
  </si>
  <si>
    <t>YE1404</t>
  </si>
  <si>
    <t>As Silw</t>
  </si>
  <si>
    <t>الصلو</t>
  </si>
  <si>
    <t>YE1513</t>
  </si>
  <si>
    <t>As Sudah</t>
  </si>
  <si>
    <t>السوده</t>
  </si>
  <si>
    <t>YE2913</t>
  </si>
  <si>
    <t>As Sukhnah</t>
  </si>
  <si>
    <t>السخنه</t>
  </si>
  <si>
    <t>YE1815</t>
  </si>
  <si>
    <t>Ash Sha'ir</t>
  </si>
  <si>
    <t>الشعر</t>
  </si>
  <si>
    <t>YE1105</t>
  </si>
  <si>
    <t>Ash Shaghadirah</t>
  </si>
  <si>
    <t>الشغادره</t>
  </si>
  <si>
    <t>YE1725</t>
  </si>
  <si>
    <t>Ash Shahil</t>
  </si>
  <si>
    <t>الشاهل</t>
  </si>
  <si>
    <t>YE1721</t>
  </si>
  <si>
    <t>Ash Shamayatayn</t>
  </si>
  <si>
    <t>الشمايتين</t>
  </si>
  <si>
    <t>YE1514</t>
  </si>
  <si>
    <t>Ash Sharyah</t>
  </si>
  <si>
    <t>الشريه</t>
  </si>
  <si>
    <t>YE1419</t>
  </si>
  <si>
    <t>Ash Shaykh Othman</t>
  </si>
  <si>
    <t>الشيخ عثمان</t>
  </si>
  <si>
    <t>YE2402</t>
  </si>
  <si>
    <t>Ash Shihr</t>
  </si>
  <si>
    <t>الشحر</t>
  </si>
  <si>
    <t>YE1915</t>
  </si>
  <si>
    <t>Ash Shu'ayb</t>
  </si>
  <si>
    <t>الشعيب</t>
  </si>
  <si>
    <t>YE3004</t>
  </si>
  <si>
    <t>Aslam</t>
  </si>
  <si>
    <t>اسلم</t>
  </si>
  <si>
    <t>YE1712</t>
  </si>
  <si>
    <t>At Ta'iziyah</t>
  </si>
  <si>
    <t>التعزيه</t>
  </si>
  <si>
    <t>YE1520</t>
  </si>
  <si>
    <t>At Taffah</t>
  </si>
  <si>
    <t>الطفه</t>
  </si>
  <si>
    <t>YE1407</t>
  </si>
  <si>
    <t>At Tahrir</t>
  </si>
  <si>
    <t>التحرير</t>
  </si>
  <si>
    <t>YE1307</t>
  </si>
  <si>
    <t>At Talh</t>
  </si>
  <si>
    <t>الطلح</t>
  </si>
  <si>
    <t>YE2102</t>
  </si>
  <si>
    <t>At Tawahi</t>
  </si>
  <si>
    <t>التواهي</t>
  </si>
  <si>
    <t>YE2405</t>
  </si>
  <si>
    <t>At Tawilah</t>
  </si>
  <si>
    <t>الطويله</t>
  </si>
  <si>
    <t>YE2702</t>
  </si>
  <si>
    <t>At Tuhayta</t>
  </si>
  <si>
    <t>التحيتا</t>
  </si>
  <si>
    <t>YE1826</t>
  </si>
  <si>
    <t>At Tyal</t>
  </si>
  <si>
    <t>الطيال</t>
  </si>
  <si>
    <t>YE2313</t>
  </si>
  <si>
    <t>Ataq</t>
  </si>
  <si>
    <t>عتق</t>
  </si>
  <si>
    <t>YE2113</t>
  </si>
  <si>
    <t>Ath Thawrah</t>
  </si>
  <si>
    <t>الثوره</t>
  </si>
  <si>
    <t>YE1309</t>
  </si>
  <si>
    <t>Ayn</t>
  </si>
  <si>
    <t>عين</t>
  </si>
  <si>
    <t>YE2106</t>
  </si>
  <si>
    <t>Az Zahir</t>
  </si>
  <si>
    <t>الزاهر</t>
  </si>
  <si>
    <t>YE1405</t>
  </si>
  <si>
    <t>YE1604</t>
  </si>
  <si>
    <t>Az Zaydiah</t>
  </si>
  <si>
    <t>الزيديه</t>
  </si>
  <si>
    <t>YE1807</t>
  </si>
  <si>
    <t>Az Zuhrah</t>
  </si>
  <si>
    <t>الزهره</t>
  </si>
  <si>
    <t>YE1801</t>
  </si>
  <si>
    <t>Azaal</t>
  </si>
  <si>
    <t>ازال</t>
  </si>
  <si>
    <t>YE1303</t>
  </si>
  <si>
    <t>Ba'dan</t>
  </si>
  <si>
    <t>بعدان</t>
  </si>
  <si>
    <t>YE1113</t>
  </si>
  <si>
    <t>Bajil</t>
  </si>
  <si>
    <t>باجل</t>
  </si>
  <si>
    <t>YE1810</t>
  </si>
  <si>
    <t>Bakil Al Mir</t>
  </si>
  <si>
    <t>بكيل المير</t>
  </si>
  <si>
    <t>YE1701</t>
  </si>
  <si>
    <t>Bani Al Awam</t>
  </si>
  <si>
    <t>بني العوام</t>
  </si>
  <si>
    <t>YE1727</t>
  </si>
  <si>
    <t>Bani Al Harith</t>
  </si>
  <si>
    <t>بني الحارث</t>
  </si>
  <si>
    <t>YE1310</t>
  </si>
  <si>
    <t>Bani Dabyan</t>
  </si>
  <si>
    <t>بني ضبيان</t>
  </si>
  <si>
    <t>YE2314</t>
  </si>
  <si>
    <t>Bani Hushaysh</t>
  </si>
  <si>
    <t>بني حشيش</t>
  </si>
  <si>
    <t>YE2304</t>
  </si>
  <si>
    <t>Bani Matar</t>
  </si>
  <si>
    <t>بني مطر</t>
  </si>
  <si>
    <t>YE2307</t>
  </si>
  <si>
    <t>Bani Qays</t>
  </si>
  <si>
    <t>بني قيس الطور</t>
  </si>
  <si>
    <t>YE1724</t>
  </si>
  <si>
    <t>Bani Sa'd</t>
  </si>
  <si>
    <t>بني سعد</t>
  </si>
  <si>
    <t>YE2707</t>
  </si>
  <si>
    <t>Bani Surim</t>
  </si>
  <si>
    <t>بني صريم</t>
  </si>
  <si>
    <t>YE2920</t>
  </si>
  <si>
    <t>Baqim</t>
  </si>
  <si>
    <t>باقم</t>
  </si>
  <si>
    <t>YE2201</t>
  </si>
  <si>
    <t>Barat Al Anan</t>
  </si>
  <si>
    <t>برط العنان</t>
  </si>
  <si>
    <t>YE1610</t>
  </si>
  <si>
    <t>Bayhan</t>
  </si>
  <si>
    <t>بيحان</t>
  </si>
  <si>
    <t>YE2107</t>
  </si>
  <si>
    <t>Bayt Al Faqih</t>
  </si>
  <si>
    <t>بيت الفقيه</t>
  </si>
  <si>
    <t>YE1817</t>
  </si>
  <si>
    <t>Bidbadah</t>
  </si>
  <si>
    <t>بدبده</t>
  </si>
  <si>
    <t>YE2605</t>
  </si>
  <si>
    <t>Bilad Ar Rus</t>
  </si>
  <si>
    <t>بلاد الروس</t>
  </si>
  <si>
    <t>YE2306</t>
  </si>
  <si>
    <t>Bilad Atta'am</t>
  </si>
  <si>
    <t>بلاد الطعام</t>
  </si>
  <si>
    <t>YE3101</t>
  </si>
  <si>
    <t>Brum Mayf'ah</t>
  </si>
  <si>
    <t>بروم ميفع</t>
  </si>
  <si>
    <t>YE1925</t>
  </si>
  <si>
    <t>Bura'</t>
  </si>
  <si>
    <t>برع</t>
  </si>
  <si>
    <t>YE1812</t>
  </si>
  <si>
    <t>Dahr</t>
  </si>
  <si>
    <t>دهر</t>
  </si>
  <si>
    <t>YE2101</t>
  </si>
  <si>
    <t>Damt</t>
  </si>
  <si>
    <t>دمت</t>
  </si>
  <si>
    <t>YE3002</t>
  </si>
  <si>
    <t>Dar Sa'd</t>
  </si>
  <si>
    <t>دار سعد</t>
  </si>
  <si>
    <t>YE2401</t>
  </si>
  <si>
    <t>Daw'an</t>
  </si>
  <si>
    <t>دوعن</t>
  </si>
  <si>
    <t>YE1918</t>
  </si>
  <si>
    <t>Dawran Anis</t>
  </si>
  <si>
    <t>ضوران انس</t>
  </si>
  <si>
    <t>YE2011</t>
  </si>
  <si>
    <t>Dhamar City</t>
  </si>
  <si>
    <t>مدينة ذمار</t>
  </si>
  <si>
    <t>YE2008</t>
  </si>
  <si>
    <t>Dhi As Sufal</t>
  </si>
  <si>
    <t>ذي السفال</t>
  </si>
  <si>
    <t>YE1116</t>
  </si>
  <si>
    <t>Dhi Na'im</t>
  </si>
  <si>
    <t>ذي ناعم</t>
  </si>
  <si>
    <t>YE1406</t>
  </si>
  <si>
    <t>Dhibain</t>
  </si>
  <si>
    <t>ذيبين</t>
  </si>
  <si>
    <t>YE2909</t>
  </si>
  <si>
    <t>Dhubab</t>
  </si>
  <si>
    <t>باب المندب</t>
  </si>
  <si>
    <t>YE1506</t>
  </si>
  <si>
    <t>Dhulaymat Habur</t>
  </si>
  <si>
    <t>ظليمة حبور</t>
  </si>
  <si>
    <t>YE2908</t>
  </si>
  <si>
    <t>Dimnat Khadir</t>
  </si>
  <si>
    <t>خدير</t>
  </si>
  <si>
    <t>YE1512</t>
  </si>
  <si>
    <t>Eyal Surayh</t>
  </si>
  <si>
    <t>عيال سريح</t>
  </si>
  <si>
    <t>YE2918</t>
  </si>
  <si>
    <t>Far' Al Odayn</t>
  </si>
  <si>
    <t>فرع العدين</t>
  </si>
  <si>
    <t>YE1110</t>
  </si>
  <si>
    <t>Lawdar</t>
  </si>
  <si>
    <t>لودر</t>
  </si>
  <si>
    <t>YE1204</t>
  </si>
  <si>
    <t>Ma'in</t>
  </si>
  <si>
    <t>معين</t>
  </si>
  <si>
    <t>YE1308</t>
  </si>
  <si>
    <t>مارب</t>
  </si>
  <si>
    <t>YE2613</t>
  </si>
  <si>
    <t>Ma'rib City</t>
  </si>
  <si>
    <t>مدينة مارب</t>
  </si>
  <si>
    <t>YE2612</t>
  </si>
  <si>
    <t>Mabyan</t>
  </si>
  <si>
    <t>مبين</t>
  </si>
  <si>
    <t>YE1720</t>
  </si>
  <si>
    <t>Madghal Al Jid'an</t>
  </si>
  <si>
    <t>مدغل الجدعان</t>
  </si>
  <si>
    <t>YE2603</t>
  </si>
  <si>
    <t>Maghrib Ans</t>
  </si>
  <si>
    <t>مغرب عنس</t>
  </si>
  <si>
    <t>YE2004</t>
  </si>
  <si>
    <t>Mahliyah</t>
  </si>
  <si>
    <t>ماهليه</t>
  </si>
  <si>
    <t>YE2610</t>
  </si>
  <si>
    <t>Majz</t>
  </si>
  <si>
    <t>مجز</t>
  </si>
  <si>
    <t>YE2210</t>
  </si>
  <si>
    <t>Majzar</t>
  </si>
  <si>
    <t>مجزر</t>
  </si>
  <si>
    <t>YE2601</t>
  </si>
  <si>
    <t>Man'ar</t>
  </si>
  <si>
    <t>منعر</t>
  </si>
  <si>
    <t>YE2805</t>
  </si>
  <si>
    <t>Manakhah</t>
  </si>
  <si>
    <t>مناخه</t>
  </si>
  <si>
    <t>YE2310</t>
  </si>
  <si>
    <t>Zinjibar</t>
  </si>
  <si>
    <t>زنجبار</t>
  </si>
  <si>
    <t>YE1210</t>
  </si>
  <si>
    <t>Zamakh wa Manwokh</t>
  </si>
  <si>
    <t>زمخ ومنوخ</t>
  </si>
  <si>
    <t>YE1904</t>
  </si>
  <si>
    <t>Zabid</t>
  </si>
  <si>
    <t>زبيد</t>
  </si>
  <si>
    <t>YE1824</t>
  </si>
  <si>
    <t>Yarim</t>
  </si>
  <si>
    <t>يريم</t>
  </si>
  <si>
    <t>YE1102</t>
  </si>
  <si>
    <t>Yahr</t>
  </si>
  <si>
    <t>يهر</t>
  </si>
  <si>
    <t>YE2504</t>
  </si>
  <si>
    <t>Yafi'</t>
  </si>
  <si>
    <t>يافع</t>
  </si>
  <si>
    <t>YE2502</t>
  </si>
  <si>
    <t>Yab'uth</t>
  </si>
  <si>
    <t>يبعث</t>
  </si>
  <si>
    <t>YE1923</t>
  </si>
  <si>
    <t>Wusab As Safil</t>
  </si>
  <si>
    <t>وصاب السافل</t>
  </si>
  <si>
    <t>YE2007</t>
  </si>
  <si>
    <t>Wusab Al Aali</t>
  </si>
  <si>
    <t>وصاب العالي</t>
  </si>
  <si>
    <t>YE2006</t>
  </si>
  <si>
    <t>Washhah</t>
  </si>
  <si>
    <t>وشحه</t>
  </si>
  <si>
    <t>YE1730</t>
  </si>
  <si>
    <t>Wald Rabi'</t>
  </si>
  <si>
    <t>ولدربيع</t>
  </si>
  <si>
    <t>YE1415</t>
  </si>
  <si>
    <t>Wadrah</t>
  </si>
  <si>
    <t>وضره</t>
  </si>
  <si>
    <t>YE1723</t>
  </si>
  <si>
    <t>Wadi Al Ayn</t>
  </si>
  <si>
    <t>وادي العين</t>
  </si>
  <si>
    <t>YE1919</t>
  </si>
  <si>
    <t>Tur Al Bahah</t>
  </si>
  <si>
    <t>طور الباحه</t>
  </si>
  <si>
    <t>YE2511</t>
  </si>
  <si>
    <t>Tuban</t>
  </si>
  <si>
    <t>تبن</t>
  </si>
  <si>
    <t>YE2515</t>
  </si>
  <si>
    <t>Thula</t>
  </si>
  <si>
    <t>ثلاء</t>
  </si>
  <si>
    <t>YE2917</t>
  </si>
  <si>
    <t>Thamud</t>
  </si>
  <si>
    <t>ثمود</t>
  </si>
  <si>
    <t>YE1902</t>
  </si>
  <si>
    <t>Tarim</t>
  </si>
  <si>
    <t>تريم</t>
  </si>
  <si>
    <t>YE1911</t>
  </si>
  <si>
    <t>Suwayr</t>
  </si>
  <si>
    <t>صوير</t>
  </si>
  <si>
    <t>YE2907</t>
  </si>
  <si>
    <t>Sirwah</t>
  </si>
  <si>
    <t>صرواح</t>
  </si>
  <si>
    <t>YE2606</t>
  </si>
  <si>
    <t>Sibah</t>
  </si>
  <si>
    <t>سباح</t>
  </si>
  <si>
    <t>YE1205</t>
  </si>
  <si>
    <t>Shu'ub</t>
  </si>
  <si>
    <t>شعوب</t>
  </si>
  <si>
    <t>YE1302</t>
  </si>
  <si>
    <t>Shibam Kawkaban</t>
  </si>
  <si>
    <t>شبام كوكبان</t>
  </si>
  <si>
    <t>YE2701</t>
  </si>
  <si>
    <t>Shibam</t>
  </si>
  <si>
    <t>شبام</t>
  </si>
  <si>
    <t>YE1908</t>
  </si>
  <si>
    <t>Sharas</t>
  </si>
  <si>
    <t>شرس</t>
  </si>
  <si>
    <t>YE1719</t>
  </si>
  <si>
    <t>Shar'ab As Salam</t>
  </si>
  <si>
    <t>شرعب السلام</t>
  </si>
  <si>
    <t>YE1502</t>
  </si>
  <si>
    <t>Shar'ab Ar Rawnah</t>
  </si>
  <si>
    <t>شرعب الرونه</t>
  </si>
  <si>
    <t>YE1503</t>
  </si>
  <si>
    <t>Shahin</t>
  </si>
  <si>
    <t>شحن</t>
  </si>
  <si>
    <t>YE2801</t>
  </si>
  <si>
    <t>Shaharah</t>
  </si>
  <si>
    <t>شهاره</t>
  </si>
  <si>
    <t>YE2905</t>
  </si>
  <si>
    <t>Shada'a</t>
  </si>
  <si>
    <t>شداء</t>
  </si>
  <si>
    <t>YE2206</t>
  </si>
  <si>
    <t>Sayun</t>
  </si>
  <si>
    <t>سيئون</t>
  </si>
  <si>
    <t>YE1910</t>
  </si>
  <si>
    <t>Sayhut</t>
  </si>
  <si>
    <t>سيحوت</t>
  </si>
  <si>
    <t>YE2807</t>
  </si>
  <si>
    <t>Sarar</t>
  </si>
  <si>
    <t>سرار</t>
  </si>
  <si>
    <t>YE1207</t>
  </si>
  <si>
    <t>Saqin</t>
  </si>
  <si>
    <t>ساقين</t>
  </si>
  <si>
    <t>YE2209</t>
  </si>
  <si>
    <t>Sanhan wa Bani Bahlul</t>
  </si>
  <si>
    <t>سنحان وبني بهلول</t>
  </si>
  <si>
    <t>YE2305</t>
  </si>
  <si>
    <t>Sana'a City Outskirts -Sanhan wa Bani Bahlul</t>
  </si>
  <si>
    <t>ضواحي الامانة سنحان وبني به</t>
  </si>
  <si>
    <t>YE1324</t>
  </si>
  <si>
    <t>Sana'a City Outskirts - Hamdan</t>
  </si>
  <si>
    <t>ضواحي الامانة همدان</t>
  </si>
  <si>
    <t>YE1319</t>
  </si>
  <si>
    <t>Sami'</t>
  </si>
  <si>
    <t>سامع</t>
  </si>
  <si>
    <t>YE1523</t>
  </si>
  <si>
    <t>Salah</t>
  </si>
  <si>
    <t>صاله</t>
  </si>
  <si>
    <t>YE1519</t>
  </si>
  <si>
    <t>Sahar</t>
  </si>
  <si>
    <t>سحار</t>
  </si>
  <si>
    <t>YE2211</t>
  </si>
  <si>
    <t>Sah</t>
  </si>
  <si>
    <t>ساه</t>
  </si>
  <si>
    <t>YE1909</t>
  </si>
  <si>
    <t>Sabir Al Mawadim</t>
  </si>
  <si>
    <t>صبر الموادم</t>
  </si>
  <si>
    <t>YE1510</t>
  </si>
  <si>
    <t>Sabah</t>
  </si>
  <si>
    <t>صباح</t>
  </si>
  <si>
    <t>YE1417</t>
  </si>
  <si>
    <t>Sa'fan</t>
  </si>
  <si>
    <t>صعفان</t>
  </si>
  <si>
    <t>YE2311</t>
  </si>
  <si>
    <t>صعده</t>
  </si>
  <si>
    <t>YE2215</t>
  </si>
  <si>
    <t>Rumah</t>
  </si>
  <si>
    <t>رماه</t>
  </si>
  <si>
    <t>YE1901</t>
  </si>
  <si>
    <t>Razih</t>
  </si>
  <si>
    <t>رازح</t>
  </si>
  <si>
    <t>YE2205</t>
  </si>
  <si>
    <t>Raydah</t>
  </si>
  <si>
    <t>ريده</t>
  </si>
  <si>
    <t>YE2911</t>
  </si>
  <si>
    <t>Rassd</t>
  </si>
  <si>
    <t>رصد</t>
  </si>
  <si>
    <t>YE1206</t>
  </si>
  <si>
    <t>Rakhyah</t>
  </si>
  <si>
    <t>رخيه</t>
  </si>
  <si>
    <t>YE1920</t>
  </si>
  <si>
    <t>Rajuzah</t>
  </si>
  <si>
    <t>رجوزه</t>
  </si>
  <si>
    <t>YE1611</t>
  </si>
  <si>
    <t>Rahabah</t>
  </si>
  <si>
    <t>رحبه</t>
  </si>
  <si>
    <t>YE2608</t>
  </si>
  <si>
    <t>Raghwan</t>
  </si>
  <si>
    <t>رغوان</t>
  </si>
  <si>
    <t>YE2602</t>
  </si>
  <si>
    <t>Radum</t>
  </si>
  <si>
    <t>رضوم</t>
  </si>
  <si>
    <t>YE2117</t>
  </si>
  <si>
    <t>Radman</t>
  </si>
  <si>
    <t>ردمان</t>
  </si>
  <si>
    <t>YE1412</t>
  </si>
  <si>
    <t>Radfan</t>
  </si>
  <si>
    <t>ردفان</t>
  </si>
  <si>
    <t>YE2507</t>
  </si>
  <si>
    <t>Rada'</t>
  </si>
  <si>
    <t>رداع</t>
  </si>
  <si>
    <t>YE1413</t>
  </si>
  <si>
    <t>Qishn</t>
  </si>
  <si>
    <t>قشن</t>
  </si>
  <si>
    <t>YE2808</t>
  </si>
  <si>
    <t>Qatabir</t>
  </si>
  <si>
    <t>قطابر</t>
  </si>
  <si>
    <t>YE2202</t>
  </si>
  <si>
    <t>Qarah</t>
  </si>
  <si>
    <t>قاره</t>
  </si>
  <si>
    <t>YE1731</t>
  </si>
  <si>
    <t>Qalansiyah wa Abd Al Kuri</t>
  </si>
  <si>
    <t>قلنسية وعبد الكوري</t>
  </si>
  <si>
    <t>YE3202</t>
  </si>
  <si>
    <t>Socotra</t>
  </si>
  <si>
    <t>YE32</t>
  </si>
  <si>
    <t>Qaflat Odhar</t>
  </si>
  <si>
    <t>قفلة عذر</t>
  </si>
  <si>
    <t>YE2904</t>
  </si>
  <si>
    <t>Qafl Shammar</t>
  </si>
  <si>
    <t>قفل شمر</t>
  </si>
  <si>
    <t>YE1713</t>
  </si>
  <si>
    <t>Qa'tabah</t>
  </si>
  <si>
    <t>قعطبه</t>
  </si>
  <si>
    <t>YE3003</t>
  </si>
  <si>
    <t>Otmah</t>
  </si>
  <si>
    <t>عتمه</t>
  </si>
  <si>
    <t>YE2005</t>
  </si>
  <si>
    <t>Osaylan</t>
  </si>
  <si>
    <t>عسيلان</t>
  </si>
  <si>
    <t>YE2105</t>
  </si>
  <si>
    <t>Old City</t>
  </si>
  <si>
    <t>صنعاء القديمه</t>
  </si>
  <si>
    <t>YE1301</t>
  </si>
  <si>
    <t>Nu'man</t>
  </si>
  <si>
    <t>نعمان</t>
  </si>
  <si>
    <t>YE1401</t>
  </si>
  <si>
    <t>Nisab</t>
  </si>
  <si>
    <t>نصاب</t>
  </si>
  <si>
    <t>YE2110</t>
  </si>
  <si>
    <t>Nihm</t>
  </si>
  <si>
    <t>نهم</t>
  </si>
  <si>
    <t>YE2303</t>
  </si>
  <si>
    <t>Nati'</t>
  </si>
  <si>
    <t>ناطع</t>
  </si>
  <si>
    <t>YE1402</t>
  </si>
  <si>
    <t>Najrah</t>
  </si>
  <si>
    <t>نجره</t>
  </si>
  <si>
    <t>YE1726</t>
  </si>
  <si>
    <t>Mustaba</t>
  </si>
  <si>
    <t>مستباء</t>
  </si>
  <si>
    <t>YE1706</t>
  </si>
  <si>
    <t>Mukayras</t>
  </si>
  <si>
    <t>مكيراس</t>
  </si>
  <si>
    <t>YE1408</t>
  </si>
  <si>
    <t>Mudiyah</t>
  </si>
  <si>
    <t>موديه</t>
  </si>
  <si>
    <t>YE1202</t>
  </si>
  <si>
    <t>Mudhaykhirah</t>
  </si>
  <si>
    <t>مذيخره</t>
  </si>
  <si>
    <t>YE1117</t>
  </si>
  <si>
    <t>Monabbih</t>
  </si>
  <si>
    <t>منبه</t>
  </si>
  <si>
    <t>YE2203</t>
  </si>
  <si>
    <t>Midi</t>
  </si>
  <si>
    <t>ميدي</t>
  </si>
  <si>
    <t>YE1703</t>
  </si>
  <si>
    <t>Melhan</t>
  </si>
  <si>
    <t>ملحان</t>
  </si>
  <si>
    <t>YE2705</t>
  </si>
  <si>
    <t>Mazhar</t>
  </si>
  <si>
    <t>مزهر</t>
  </si>
  <si>
    <t>YE3104</t>
  </si>
  <si>
    <t>Mayfa'at Ans</t>
  </si>
  <si>
    <t>ميفعة عنس</t>
  </si>
  <si>
    <t>YE2009</t>
  </si>
  <si>
    <t>Mayfa'ah</t>
  </si>
  <si>
    <t>ميفعه</t>
  </si>
  <si>
    <t>YE2116</t>
  </si>
  <si>
    <t>Mawza'</t>
  </si>
  <si>
    <t>موزع</t>
  </si>
  <si>
    <t>YE1507</t>
  </si>
  <si>
    <t>Mawiyah</t>
  </si>
  <si>
    <t>ماويه</t>
  </si>
  <si>
    <t>YE1501</t>
  </si>
  <si>
    <t>Maswarah</t>
  </si>
  <si>
    <t>مسوره</t>
  </si>
  <si>
    <t>YE1403</t>
  </si>
  <si>
    <t>Maswar</t>
  </si>
  <si>
    <t>مسور</t>
  </si>
  <si>
    <t>YE2916</t>
  </si>
  <si>
    <t>Mashr'ah Wa Hadnan</t>
  </si>
  <si>
    <t>مشرعة وحدنان</t>
  </si>
  <si>
    <t>YE1509</t>
  </si>
  <si>
    <t>Markhah As Sufla</t>
  </si>
  <si>
    <t>مرخة السفلى</t>
  </si>
  <si>
    <t>YE2109</t>
  </si>
  <si>
    <t>Markhah Al Olya</t>
  </si>
  <si>
    <t>مرخة العليا</t>
  </si>
  <si>
    <t>YE2108</t>
  </si>
  <si>
    <t>Maqbanah</t>
  </si>
  <si>
    <t>مقبنه</t>
  </si>
  <si>
    <t>YE1504</t>
  </si>
  <si>
    <t>Kusmah</t>
  </si>
  <si>
    <t>كسمه</t>
  </si>
  <si>
    <t>YE3105</t>
  </si>
  <si>
    <t>Kushar</t>
  </si>
  <si>
    <t>كشر</t>
  </si>
  <si>
    <t>YE1707</t>
  </si>
  <si>
    <t>Kuhlan Ash Sharaf</t>
  </si>
  <si>
    <t>كحلان الشرف</t>
  </si>
  <si>
    <t>YE1709</t>
  </si>
  <si>
    <t>Kuhlan Afar</t>
  </si>
  <si>
    <t>كحلان عفار</t>
  </si>
  <si>
    <t>YE1718</t>
  </si>
  <si>
    <t>Ku'aydinah</t>
  </si>
  <si>
    <t>كعيدنه</t>
  </si>
  <si>
    <t>YE1722</t>
  </si>
  <si>
    <t>Kritar - Sirah</t>
  </si>
  <si>
    <t>صيره</t>
  </si>
  <si>
    <t>YE2407</t>
  </si>
  <si>
    <t>Kitaf wa Al Boqa'</t>
  </si>
  <si>
    <t>كتاف والبقع</t>
  </si>
  <si>
    <t>YE2214</t>
  </si>
  <si>
    <t>Khur Maksar</t>
  </si>
  <si>
    <t>خور مكسر</t>
  </si>
  <si>
    <t>YE2408</t>
  </si>
  <si>
    <t>Khayran Al Muharraq</t>
  </si>
  <si>
    <t>خيران المحرق</t>
  </si>
  <si>
    <t>YE1711</t>
  </si>
  <si>
    <t>Khawlan</t>
  </si>
  <si>
    <t>خولان</t>
  </si>
  <si>
    <t>YE2312</t>
  </si>
  <si>
    <t>Kharif</t>
  </si>
  <si>
    <t>خارف</t>
  </si>
  <si>
    <t>YE2910</t>
  </si>
  <si>
    <t>Kharab Al Marashi</t>
  </si>
  <si>
    <t>خراب المراشى</t>
  </si>
  <si>
    <t>YE1612</t>
  </si>
  <si>
    <t>Khanfar</t>
  </si>
  <si>
    <t>خنفر</t>
  </si>
  <si>
    <t>YE1211</t>
  </si>
  <si>
    <t>Khamir</t>
  </si>
  <si>
    <t>خمر</t>
  </si>
  <si>
    <t>YE2919</t>
  </si>
  <si>
    <t>Khab wa Ash Sha'f</t>
  </si>
  <si>
    <t>خب و الشعف</t>
  </si>
  <si>
    <t>YE1601</t>
  </si>
  <si>
    <t>Kamaran</t>
  </si>
  <si>
    <t>كمران</t>
  </si>
  <si>
    <t>YE1803</t>
  </si>
  <si>
    <t>Juban</t>
  </si>
  <si>
    <t>جبن</t>
  </si>
  <si>
    <t>YE3001</t>
  </si>
  <si>
    <t>Jihanah</t>
  </si>
  <si>
    <t>جحانه</t>
  </si>
  <si>
    <t>YE2316</t>
  </si>
  <si>
    <t>Jiblah</t>
  </si>
  <si>
    <t>جبله</t>
  </si>
  <si>
    <t>YE1112</t>
  </si>
  <si>
    <t>Jayshan</t>
  </si>
  <si>
    <t>جيشان</t>
  </si>
  <si>
    <t>YE1203</t>
  </si>
  <si>
    <t>Jardan</t>
  </si>
  <si>
    <t>جردان</t>
  </si>
  <si>
    <t>YE2103</t>
  </si>
  <si>
    <t>Jahran</t>
  </si>
  <si>
    <t>جهران</t>
  </si>
  <si>
    <t>YE2002</t>
  </si>
  <si>
    <t>Jahaf</t>
  </si>
  <si>
    <t>جحاف</t>
  </si>
  <si>
    <t>YE3007</t>
  </si>
  <si>
    <t>Jabal Ras</t>
  </si>
  <si>
    <t>جبل راس</t>
  </si>
  <si>
    <t>YE1818</t>
  </si>
  <si>
    <t>Jabal Murad</t>
  </si>
  <si>
    <t>جبل مراد</t>
  </si>
  <si>
    <t>YE2614</t>
  </si>
  <si>
    <t>Jabal Habashi</t>
  </si>
  <si>
    <t>جبل حبشي</t>
  </si>
  <si>
    <t>YE1508</t>
  </si>
  <si>
    <t>Jabal Eyal Yazid</t>
  </si>
  <si>
    <t>جبل عيال يزيد</t>
  </si>
  <si>
    <t>YE2912</t>
  </si>
  <si>
    <t>Jabal Ash sharq</t>
  </si>
  <si>
    <t>جبل الشرق</t>
  </si>
  <si>
    <t>YE2003</t>
  </si>
  <si>
    <t>اب</t>
  </si>
  <si>
    <t>YE1120</t>
  </si>
  <si>
    <t>Huth</t>
  </si>
  <si>
    <t>حوث</t>
  </si>
  <si>
    <t>YE2902</t>
  </si>
  <si>
    <t>Hufash</t>
  </si>
  <si>
    <t>حفاش</t>
  </si>
  <si>
    <t>YE2706</t>
  </si>
  <si>
    <t>Hobeish</t>
  </si>
  <si>
    <t>حبيش</t>
  </si>
  <si>
    <t>YE1108</t>
  </si>
  <si>
    <t>Hazm Al Odayn</t>
  </si>
  <si>
    <t>حزم العدين</t>
  </si>
  <si>
    <t>YE1109</t>
  </si>
  <si>
    <t>Hays</t>
  </si>
  <si>
    <t>حيس</t>
  </si>
  <si>
    <t>YE1819</t>
  </si>
  <si>
    <t>Hayran</t>
  </si>
  <si>
    <t>حيران</t>
  </si>
  <si>
    <t>YE1705</t>
  </si>
  <si>
    <t>Hayfan</t>
  </si>
  <si>
    <t>حيفان</t>
  </si>
  <si>
    <t>YE1516</t>
  </si>
  <si>
    <t>Haydan</t>
  </si>
  <si>
    <t>حيدان</t>
  </si>
  <si>
    <t>YE2208</t>
  </si>
  <si>
    <t>Hawf</t>
  </si>
  <si>
    <t>حوف</t>
  </si>
  <si>
    <t>YE2803</t>
  </si>
  <si>
    <t>Hatib</t>
  </si>
  <si>
    <t>حطيب</t>
  </si>
  <si>
    <t>YE2111</t>
  </si>
  <si>
    <t>Hat</t>
  </si>
  <si>
    <t>حات</t>
  </si>
  <si>
    <t>YE2802</t>
  </si>
  <si>
    <t>Haswin</t>
  </si>
  <si>
    <t>حصوين</t>
  </si>
  <si>
    <t>YE2809</t>
  </si>
  <si>
    <t>Haridah</t>
  </si>
  <si>
    <t>حريضه</t>
  </si>
  <si>
    <t>YE1928</t>
  </si>
  <si>
    <t>Harib Al Qaramish</t>
  </si>
  <si>
    <t>حريب القرامش</t>
  </si>
  <si>
    <t>YE2604</t>
  </si>
  <si>
    <t>Harib</t>
  </si>
  <si>
    <t>حريب</t>
  </si>
  <si>
    <t>YE2609</t>
  </si>
  <si>
    <t>Harf Sufyan</t>
  </si>
  <si>
    <t>حرف سفيان</t>
  </si>
  <si>
    <t>YE2901</t>
  </si>
  <si>
    <t>Harad</t>
  </si>
  <si>
    <t>حرض</t>
  </si>
  <si>
    <t>YE1702</t>
  </si>
  <si>
    <t>Hamdan</t>
  </si>
  <si>
    <t>همدان</t>
  </si>
  <si>
    <t>YE2301</t>
  </si>
  <si>
    <t>Halmin</t>
  </si>
  <si>
    <t>حالمين</t>
  </si>
  <si>
    <t>YE2506</t>
  </si>
  <si>
    <t>Hajjah City</t>
  </si>
  <si>
    <t>مدينة حجه</t>
  </si>
  <si>
    <t>YE1728</t>
  </si>
  <si>
    <t>حجه</t>
  </si>
  <si>
    <t>YE1729</t>
  </si>
  <si>
    <t>Hajar As Say'ar</t>
  </si>
  <si>
    <t>حجر الصيعر</t>
  </si>
  <si>
    <t>YE1905</t>
  </si>
  <si>
    <t>Hajar</t>
  </si>
  <si>
    <t>حجر</t>
  </si>
  <si>
    <t>YE1924</t>
  </si>
  <si>
    <t>Hadibu</t>
  </si>
  <si>
    <t>حديبو</t>
  </si>
  <si>
    <t>YE3201</t>
  </si>
  <si>
    <t>Habil Jabr</t>
  </si>
  <si>
    <t>حبيل جبر</t>
  </si>
  <si>
    <t>YE2505</t>
  </si>
  <si>
    <t>Habban</t>
  </si>
  <si>
    <t>حبان</t>
  </si>
  <si>
    <t>YE2114</t>
  </si>
  <si>
    <t>Ghayl bin Yamin</t>
  </si>
  <si>
    <t>غيل بن يمين</t>
  </si>
  <si>
    <t>YE1916</t>
  </si>
  <si>
    <t>Ghayl Bawazir</t>
  </si>
  <si>
    <t>غيل باوزير</t>
  </si>
  <si>
    <t>YE1917</t>
  </si>
  <si>
    <t>Ghamr</t>
  </si>
  <si>
    <t>غمر</t>
  </si>
  <si>
    <t>YE2204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</si>
</sst>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170000]B2dd/mm/yyyy;@"/>
    <numFmt numFmtId="165" formatCode="0.0%"/>
    <numFmt numFmtId="166" formatCode="0.0"/>
  </numFmts>
  <fonts count="39">
    <font>
      <sz val="11"/>
      <color theme="1"/>
      <name val="Calibri Light"/>
      <family val="2"/>
    </font>
    <font>
      <sz val="11"/>
      <color theme="1"/>
      <name val="Calibri Light"/>
      <family val="2"/>
    </font>
    <font>
      <sz val="12"/>
      <color theme="1"/>
      <name val="Calibri"/>
      <family val="2"/>
      <scheme val="minor"/>
    </font>
    <font>
      <sz val="12"/>
      <name val="Calibri"/>
      <family val="2"/>
      <scheme val="minor"/>
    </font>
    <font>
      <sz val="10"/>
      <color rgb="FF000000"/>
      <name val="Arial"/>
      <family val="2"/>
    </font>
    <font>
      <b/>
      <sz val="12"/>
      <name val="Calibri"/>
      <family val="2"/>
      <scheme val="minor"/>
    </font>
    <font>
      <sz val="11"/>
      <color theme="1"/>
      <name val="Calibri"/>
      <family val="2"/>
      <scheme val="minor"/>
    </font>
    <font>
      <sz val="11"/>
      <name val="Calibri"/>
      <family val="2"/>
    </font>
    <font>
      <sz val="12"/>
      <name val="Calibri (Body)"/>
    </font>
    <font>
      <sz val="11"/>
      <name val="Calibri"/>
      <family val="2"/>
      <scheme val="minor"/>
    </font>
    <font>
      <sz val="10"/>
      <name val="Calibri"/>
      <family val="2"/>
      <scheme val="minor"/>
    </font>
    <font>
      <b/>
      <sz val="10"/>
      <name val="Calibri"/>
      <family val="2"/>
      <scheme val="minor"/>
    </font>
    <font>
      <sz val="10"/>
      <name val="Calibri"/>
      <family val="2"/>
    </font>
    <font>
      <sz val="10"/>
      <color theme="1"/>
      <name val="Calibri"/>
      <family val="2"/>
      <scheme val="minor"/>
    </font>
    <font>
      <b/>
      <sz val="10"/>
      <color theme="4"/>
      <name val="Calibri"/>
      <family val="2"/>
      <scheme val="minor"/>
    </font>
    <font>
      <i/>
      <sz val="10"/>
      <name val="Calibri"/>
      <family val="2"/>
      <scheme val="minor"/>
    </font>
    <font>
      <sz val="10"/>
      <name val="Calibri (Body)"/>
    </font>
    <font>
      <sz val="12"/>
      <color theme="9" tint="-0.499984740745262"/>
      <name val="Calibri (Body)"/>
    </font>
    <font>
      <b/>
      <sz val="12"/>
      <color theme="9" tint="-0.499984740745262"/>
      <name val="Calibri (Body)"/>
    </font>
    <font>
      <sz val="12"/>
      <color theme="9" tint="-0.499984740745262"/>
      <name val="Calibri"/>
      <family val="2"/>
      <scheme val="minor"/>
    </font>
    <font>
      <sz val="11"/>
      <color theme="9" tint="-0.499984740745262"/>
      <name val="Calibri (Body)"/>
    </font>
    <font>
      <b/>
      <sz val="12"/>
      <color theme="9" tint="-0.499984740745262"/>
      <name val="Calibri"/>
      <family val="2"/>
      <scheme val="minor"/>
    </font>
    <font>
      <sz val="12"/>
      <color rgb="FF00B050"/>
      <name val="Calibri"/>
      <family val="2"/>
      <scheme val="minor"/>
    </font>
    <font>
      <sz val="10"/>
      <color theme="9" tint="-0.499984740745262"/>
      <name val="Calibri"/>
      <family val="2"/>
      <scheme val="minor"/>
    </font>
    <font>
      <b/>
      <sz val="10"/>
      <color theme="9" tint="-0.499984740745262"/>
      <name val="Calibri"/>
      <family val="2"/>
      <scheme val="minor"/>
    </font>
    <font>
      <sz val="10"/>
      <color rgb="FF00B050"/>
      <name val="Calibri"/>
      <family val="2"/>
      <scheme val="minor"/>
    </font>
    <font>
      <b/>
      <i/>
      <sz val="12"/>
      <name val="Calibri"/>
      <family val="2"/>
      <scheme val="minor"/>
    </font>
    <font>
      <b/>
      <sz val="10"/>
      <name val="Calibri (Body)"/>
    </font>
    <font>
      <b/>
      <i/>
      <sz val="10"/>
      <name val="Calibri"/>
      <family val="2"/>
      <scheme val="minor"/>
    </font>
    <font>
      <i/>
      <sz val="11"/>
      <color rgb="FF000000"/>
      <name val="Calibri"/>
      <family val="2"/>
    </font>
    <font>
      <sz val="11"/>
      <color rgb="FF000000"/>
      <name val="Calibri"/>
      <family val="2"/>
    </font>
    <font>
      <b/>
      <sz val="11"/>
      <color rgb="FF000000"/>
      <name val="Calibri"/>
      <family val="2"/>
    </font>
    <font>
      <sz val="10"/>
      <color theme="4" tint="-0.249977111117893"/>
      <name val="Calibri"/>
      <family val="2"/>
      <scheme val="minor"/>
    </font>
    <font>
      <b/>
      <sz val="16"/>
      <color theme="1"/>
      <name val="Calibri"/>
      <family val="2"/>
      <scheme val="minor"/>
    </font>
    <font>
      <sz val="10"/>
      <color theme="1"/>
      <name val="Calibri"/>
      <family val="2"/>
    </font>
    <font>
      <sz val="12"/>
      <color rgb="FFC00000"/>
      <name val="Calibri"/>
      <family val="2"/>
      <scheme val="minor"/>
    </font>
    <font>
      <sz val="10"/>
      <color rgb="FFC00000"/>
      <name val="Calibri"/>
      <family val="2"/>
      <scheme val="minor"/>
    </font>
    <font>
      <sz val="12"/>
      <color rgb="FFC00000"/>
      <name val="Calibri"/>
      <family val="2"/>
    </font>
    <font>
      <b/>
      <sz val="11"/>
      <name val="Calibri Light"/>
      <family val="2"/>
    </font>
  </fonts>
  <fills count="10">
    <fill>
      <patternFill patternType="none"/>
    </fill>
    <fill>
      <patternFill patternType="gray125"/>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rgb="FFF6DFDC"/>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6DFDC"/>
        <bgColor rgb="FF000000"/>
      </patternFill>
    </fill>
    <fill>
      <patternFill patternType="solid">
        <fgColor rgb="FFD9D9D9"/>
        <bgColor rgb="FF000000"/>
      </patternFill>
    </fill>
  </fills>
  <borders count="75">
    <border>
      <left/>
      <right/>
      <top/>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auto="1"/>
      </left>
      <right style="medium">
        <color indexed="64"/>
      </right>
      <top style="thin">
        <color auto="1"/>
      </top>
      <bottom style="thin">
        <color indexed="64"/>
      </bottom>
      <diagonal/>
    </border>
    <border>
      <left style="thin">
        <color indexed="64"/>
      </left>
      <right style="thin">
        <color indexed="64"/>
      </right>
      <top/>
      <bottom/>
      <diagonal/>
    </border>
    <border>
      <left style="thin">
        <color auto="1"/>
      </left>
      <right/>
      <top/>
      <bottom/>
      <diagonal/>
    </border>
    <border>
      <left style="medium">
        <color indexed="64"/>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medium">
        <color indexed="64"/>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style="thin">
        <color theme="0"/>
      </bottom>
      <diagonal/>
    </border>
    <border>
      <left/>
      <right style="medium">
        <color indexed="64"/>
      </right>
      <top style="thin">
        <color auto="1"/>
      </top>
      <bottom/>
      <diagonal/>
    </border>
    <border>
      <left/>
      <right style="thin">
        <color indexed="64"/>
      </right>
      <top style="thin">
        <color auto="1"/>
      </top>
      <bottom/>
      <diagonal/>
    </border>
    <border>
      <left style="thin">
        <color auto="1"/>
      </left>
      <right style="thin">
        <color theme="1"/>
      </right>
      <top style="thin">
        <color auto="1"/>
      </top>
      <bottom style="thin">
        <color auto="1"/>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auto="1"/>
      </left>
      <right style="thin">
        <color theme="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style="thin">
        <color indexed="64"/>
      </left>
      <right/>
      <top/>
      <bottom style="medium">
        <color indexed="64"/>
      </bottom>
      <diagonal/>
    </border>
    <border>
      <left style="medium">
        <color indexed="64"/>
      </left>
      <right style="thin">
        <color auto="1"/>
      </right>
      <top/>
      <bottom style="medium">
        <color indexed="64"/>
      </bottom>
      <diagonal/>
    </border>
    <border>
      <left/>
      <right style="medium">
        <color indexed="64"/>
      </right>
      <top style="thin">
        <color auto="1"/>
      </top>
      <bottom style="thin">
        <color auto="1"/>
      </bottom>
      <diagonal/>
    </border>
    <border>
      <left/>
      <right style="thin">
        <color indexed="64"/>
      </right>
      <top style="thin">
        <color auto="1"/>
      </top>
      <bottom style="thin">
        <color auto="1"/>
      </bottom>
      <diagonal/>
    </border>
    <border>
      <left style="thin">
        <color theme="1"/>
      </left>
      <right style="thin">
        <color theme="1"/>
      </right>
      <top style="thin">
        <color auto="1"/>
      </top>
      <bottom style="thin">
        <color auto="1"/>
      </bottom>
      <diagonal/>
    </border>
    <border>
      <left style="thin">
        <color theme="0"/>
      </left>
      <right style="thin">
        <color theme="0"/>
      </right>
      <top style="thin">
        <color theme="0"/>
      </top>
      <bottom/>
      <diagonal/>
    </border>
    <border>
      <left/>
      <right style="medium">
        <color indexed="64"/>
      </right>
      <top/>
      <bottom style="thin">
        <color auto="1"/>
      </bottom>
      <diagonal/>
    </border>
    <border>
      <left/>
      <right style="thin">
        <color indexed="64"/>
      </right>
      <top/>
      <bottom style="thin">
        <color indexed="64"/>
      </bottom>
      <diagonal/>
    </border>
    <border>
      <left style="thin">
        <color auto="1"/>
      </left>
      <right style="thin">
        <color theme="1"/>
      </right>
      <top/>
      <bottom style="thin">
        <color auto="1"/>
      </bottom>
      <diagonal/>
    </border>
    <border>
      <left style="thin">
        <color theme="1"/>
      </left>
      <right style="thin">
        <color indexed="64"/>
      </right>
      <top/>
      <bottom style="medium">
        <color indexed="64"/>
      </bottom>
      <diagonal/>
    </border>
    <border>
      <left/>
      <right style="medium">
        <color indexed="64"/>
      </right>
      <top style="medium">
        <color indexed="64"/>
      </top>
      <bottom style="thin">
        <color auto="1"/>
      </bottom>
      <diagonal/>
    </border>
    <border>
      <left style="thin">
        <color auto="1"/>
      </left>
      <right/>
      <top style="medium">
        <color indexed="64"/>
      </top>
      <bottom style="thin">
        <color indexed="64"/>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style="thin">
        <color theme="0"/>
      </left>
      <right/>
      <top style="thin">
        <color theme="0"/>
      </top>
      <bottom/>
      <diagonal/>
    </border>
    <border>
      <left style="medium">
        <color indexed="64"/>
      </left>
      <right/>
      <top/>
      <bottom style="medium">
        <color indexed="64"/>
      </bottom>
      <diagonal/>
    </border>
    <border>
      <left style="medium">
        <color indexed="64"/>
      </left>
      <right/>
      <top style="medium">
        <color indexed="64"/>
      </top>
      <bottom style="thin">
        <color auto="1"/>
      </bottom>
      <diagonal/>
    </border>
    <border>
      <left style="medium">
        <color indexed="64"/>
      </left>
      <right/>
      <top/>
      <bottom style="thin">
        <color auto="1"/>
      </bottom>
      <diagonal/>
    </border>
    <border>
      <left style="medium">
        <color indexed="64"/>
      </left>
      <right/>
      <top style="thin">
        <color auto="1"/>
      </top>
      <bottom style="medium">
        <color indexed="64"/>
      </bottom>
      <diagonal/>
    </border>
    <border>
      <left style="medium">
        <color indexed="64"/>
      </left>
      <right/>
      <top style="thin">
        <color auto="1"/>
      </top>
      <bottom/>
      <diagonal/>
    </border>
    <border>
      <left style="medium">
        <color indexed="64"/>
      </left>
      <right/>
      <top/>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s>
  <cellStyleXfs count="10">
    <xf numFmtId="0" fontId="0" fillId="0" borderId="0"/>
    <xf numFmtId="9" fontId="1" fillId="0" borderId="0"/>
    <xf numFmtId="0" fontId="2" fillId="0" borderId="0"/>
    <xf numFmtId="0" fontId="4" fillId="0" borderId="0"/>
    <xf numFmtId="0" fontId="6" fillId="0" borderId="0"/>
    <xf numFmtId="0" fontId="6" fillId="0" borderId="0"/>
    <xf numFmtId="0" fontId="6" fillId="0" borderId="0"/>
    <xf numFmtId="0" fontId="2" fillId="0" borderId="0"/>
    <xf numFmtId="9" fontId="6" fillId="0" borderId="0"/>
    <xf numFmtId="0" fontId="2" fillId="0" borderId="0"/>
  </cellStyleXfs>
  <cellXfs count="510">
    <xf numFmtId="0" fontId="0" fillId="0" borderId="0" xfId="0"/>
    <xf numFmtId="0" fontId="3" fillId="0" borderId="12" xfId="3" applyFont="1" applyBorder="1" applyAlignment="1" applyProtection="1">
      <alignment horizontal="center" vertical="center"/>
      <protection locked="0"/>
    </xf>
    <xf numFmtId="0" fontId="5" fillId="0" borderId="13" xfId="2" applyFont="1" applyBorder="1" applyAlignment="1">
      <alignment horizontal="center" vertical="center" wrapText="1"/>
    </xf>
    <xf numFmtId="0" fontId="3" fillId="0" borderId="13" xfId="4" applyFont="1" applyBorder="1" applyAlignment="1">
      <alignment horizontal="left" vertical="center" wrapText="1"/>
    </xf>
    <xf numFmtId="0" fontId="3" fillId="0" borderId="13" xfId="3" applyFont="1" applyBorder="1" applyAlignment="1">
      <alignment horizontal="center" vertical="center" wrapText="1"/>
    </xf>
    <xf numFmtId="0" fontId="3" fillId="0" borderId="14" xfId="4" applyFont="1" applyBorder="1" applyAlignment="1">
      <alignment horizontal="left" vertical="center" wrapText="1"/>
    </xf>
    <xf numFmtId="0" fontId="3" fillId="0" borderId="14" xfId="4" applyFont="1" applyBorder="1" applyAlignment="1">
      <alignment horizontal="center" vertical="center" wrapText="1"/>
    </xf>
    <xf numFmtId="0" fontId="3" fillId="0" borderId="14" xfId="4" applyFont="1" applyBorder="1" applyAlignment="1" applyProtection="1">
      <alignment horizontal="center" vertical="center" wrapText="1"/>
      <protection locked="0"/>
    </xf>
    <xf numFmtId="0" fontId="3" fillId="0" borderId="13" xfId="0" applyFont="1" applyBorder="1" applyAlignment="1">
      <alignment horizontal="center" vertical="center" wrapText="1"/>
    </xf>
    <xf numFmtId="0" fontId="5" fillId="0" borderId="15" xfId="2" applyFont="1" applyBorder="1" applyAlignment="1">
      <alignment horizontal="center" vertical="center" wrapText="1"/>
    </xf>
    <xf numFmtId="0" fontId="3" fillId="0" borderId="15" xfId="3" applyFont="1" applyBorder="1" applyAlignment="1">
      <alignment horizontal="center" vertical="center" wrapText="1"/>
    </xf>
    <xf numFmtId="0" fontId="3" fillId="0" borderId="15" xfId="4" applyFont="1" applyBorder="1" applyAlignment="1">
      <alignment horizontal="center" vertical="center" wrapText="1"/>
    </xf>
    <xf numFmtId="0" fontId="3" fillId="0" borderId="17" xfId="4" applyFont="1" applyBorder="1" applyAlignment="1">
      <alignment horizontal="left" vertical="center" wrapText="1"/>
    </xf>
    <xf numFmtId="0" fontId="3" fillId="0" borderId="17" xfId="4" applyFont="1" applyBorder="1" applyAlignment="1" applyProtection="1">
      <alignment horizontal="left" vertical="center" wrapText="1"/>
      <protection locked="0"/>
    </xf>
    <xf numFmtId="0" fontId="3" fillId="0" borderId="0" xfId="4" applyFont="1" applyProtection="1">
      <protection locked="0"/>
    </xf>
    <xf numFmtId="0" fontId="3" fillId="0" borderId="15" xfId="4" applyFont="1" applyBorder="1" applyAlignment="1">
      <alignment vertical="center" wrapText="1"/>
    </xf>
    <xf numFmtId="0" fontId="3" fillId="0" borderId="0" xfId="4" applyFont="1"/>
    <xf numFmtId="0" fontId="10" fillId="0" borderId="0" xfId="0" applyFont="1" applyAlignment="1" applyProtection="1">
      <alignment horizontal="center" vertical="center"/>
      <protection locked="0"/>
    </xf>
    <xf numFmtId="0" fontId="10" fillId="0" borderId="0" xfId="0" applyFont="1" applyProtection="1">
      <protection locked="0"/>
    </xf>
    <xf numFmtId="0" fontId="11" fillId="0" borderId="3" xfId="3" applyFont="1" applyBorder="1" applyAlignment="1">
      <alignment horizontal="center" vertical="center"/>
    </xf>
    <xf numFmtId="0" fontId="11" fillId="2" borderId="4" xfId="3" applyFont="1" applyFill="1" applyBorder="1" applyAlignment="1">
      <alignment horizontal="center" vertical="center" wrapText="1"/>
    </xf>
    <xf numFmtId="0" fontId="11" fillId="0" borderId="4" xfId="3" applyFont="1" applyBorder="1" applyAlignment="1">
      <alignment horizontal="center" vertical="center" wrapText="1"/>
    </xf>
    <xf numFmtId="0" fontId="11" fillId="3" borderId="4" xfId="3" applyFont="1" applyFill="1" applyBorder="1" applyAlignment="1">
      <alignment horizontal="center" vertical="center" wrapText="1"/>
    </xf>
    <xf numFmtId="0" fontId="11" fillId="0" borderId="5" xfId="3" applyFont="1" applyBorder="1" applyAlignment="1">
      <alignment horizontal="center" vertical="center" wrapText="1"/>
    </xf>
    <xf numFmtId="0" fontId="11" fillId="2" borderId="5" xfId="3" applyFont="1" applyFill="1" applyBorder="1" applyAlignment="1">
      <alignment horizontal="center" vertical="center" wrapText="1"/>
    </xf>
    <xf numFmtId="0" fontId="11" fillId="0" borderId="0" xfId="0" applyFont="1" applyProtection="1">
      <protection locked="0"/>
    </xf>
    <xf numFmtId="0" fontId="10" fillId="0" borderId="12" xfId="3" applyFont="1" applyBorder="1" applyAlignment="1" applyProtection="1">
      <alignment horizontal="center" vertical="center"/>
      <protection locked="0"/>
    </xf>
    <xf numFmtId="0" fontId="11" fillId="0" borderId="13" xfId="2" applyFont="1" applyBorder="1" applyAlignment="1">
      <alignment horizontal="center" vertical="center" wrapText="1"/>
    </xf>
    <xf numFmtId="0" fontId="10" fillId="0" borderId="13" xfId="4" applyFont="1" applyBorder="1" applyAlignment="1">
      <alignment horizontal="left" vertical="center" wrapText="1"/>
    </xf>
    <xf numFmtId="0" fontId="10" fillId="0" borderId="13" xfId="3" applyFont="1" applyBorder="1" applyAlignment="1">
      <alignment horizontal="center" vertical="center" wrapText="1"/>
    </xf>
    <xf numFmtId="0" fontId="10" fillId="0" borderId="14" xfId="4" applyFont="1" applyBorder="1" applyAlignment="1">
      <alignment horizontal="left" vertical="center" wrapText="1"/>
    </xf>
    <xf numFmtId="0" fontId="10" fillId="0" borderId="14" xfId="4" applyFont="1" applyBorder="1" applyAlignment="1">
      <alignment horizontal="center" vertical="center" wrapText="1"/>
    </xf>
    <xf numFmtId="0" fontId="10" fillId="0" borderId="14" xfId="4" applyFont="1" applyBorder="1" applyAlignment="1" applyProtection="1">
      <alignment horizontal="center" vertical="center" wrapText="1"/>
      <protection locked="0"/>
    </xf>
    <xf numFmtId="0" fontId="11" fillId="0" borderId="13" xfId="0" applyFont="1" applyBorder="1" applyAlignment="1">
      <alignment horizontal="center" vertical="center" wrapText="1"/>
    </xf>
    <xf numFmtId="0" fontId="10" fillId="0" borderId="15" xfId="4" applyFont="1" applyBorder="1" applyAlignment="1">
      <alignment horizontal="left" vertical="center" wrapText="1"/>
    </xf>
    <xf numFmtId="0" fontId="10" fillId="0" borderId="15" xfId="4" applyFont="1" applyBorder="1" applyAlignment="1">
      <alignment horizontal="right" vertical="center" wrapText="1"/>
    </xf>
    <xf numFmtId="0" fontId="10" fillId="0" borderId="16" xfId="3" applyFont="1" applyBorder="1" applyAlignment="1" applyProtection="1">
      <alignment horizontal="center" vertical="center"/>
      <protection locked="0"/>
    </xf>
    <xf numFmtId="0" fontId="11" fillId="0" borderId="15" xfId="2" applyFont="1" applyBorder="1" applyAlignment="1">
      <alignment horizontal="center" vertical="center" wrapText="1"/>
    </xf>
    <xf numFmtId="0" fontId="10" fillId="0" borderId="15" xfId="3" applyFont="1" applyBorder="1" applyAlignment="1">
      <alignment horizontal="center" vertical="center" wrapText="1"/>
    </xf>
    <xf numFmtId="0" fontId="10" fillId="0" borderId="15" xfId="4" applyFont="1" applyBorder="1" applyAlignment="1">
      <alignment horizontal="center" vertical="center" wrapText="1"/>
    </xf>
    <xf numFmtId="0" fontId="10" fillId="0" borderId="17" xfId="4" applyFont="1" applyBorder="1" applyAlignment="1">
      <alignment horizontal="left" vertical="center" wrapText="1"/>
    </xf>
    <xf numFmtId="0" fontId="10" fillId="0" borderId="17" xfId="4" applyFont="1" applyBorder="1" applyAlignment="1">
      <alignment horizontal="center" vertical="center" wrapText="1"/>
    </xf>
    <xf numFmtId="0" fontId="10" fillId="0" borderId="17" xfId="4" applyFont="1" applyBorder="1" applyAlignment="1" applyProtection="1">
      <alignment horizontal="center" vertical="center" wrapText="1"/>
      <protection locked="0"/>
    </xf>
    <xf numFmtId="0" fontId="10" fillId="0" borderId="15" xfId="5" applyFont="1" applyBorder="1" applyAlignment="1">
      <alignment horizontal="left" vertical="center" wrapText="1"/>
    </xf>
    <xf numFmtId="0" fontId="10" fillId="0" borderId="15" xfId="5" applyFont="1" applyBorder="1" applyAlignment="1">
      <alignment horizontal="right" vertical="center" wrapText="1"/>
    </xf>
    <xf numFmtId="0" fontId="10" fillId="0" borderId="17" xfId="5" applyFont="1" applyBorder="1" applyAlignment="1">
      <alignment horizontal="left" vertical="center" wrapText="1"/>
    </xf>
    <xf numFmtId="0" fontId="10" fillId="0" borderId="17" xfId="5" applyFont="1" applyBorder="1" applyAlignment="1">
      <alignment horizontal="center" vertical="center" wrapText="1"/>
    </xf>
    <xf numFmtId="0" fontId="10" fillId="0" borderId="17" xfId="5" applyFont="1" applyBorder="1" applyAlignment="1" applyProtection="1">
      <alignment horizontal="center" vertical="center" wrapText="1"/>
      <protection locked="0"/>
    </xf>
    <xf numFmtId="0" fontId="13" fillId="0" borderId="18" xfId="4" applyFont="1" applyBorder="1" applyAlignment="1">
      <alignment horizontal="left" vertical="center" wrapText="1"/>
    </xf>
    <xf numFmtId="0" fontId="15" fillId="0" borderId="17" xfId="4" applyFont="1" applyBorder="1" applyAlignment="1">
      <alignment horizontal="left" vertical="center" wrapText="1"/>
    </xf>
    <xf numFmtId="0" fontId="15" fillId="0" borderId="17" xfId="4" applyFont="1" applyBorder="1" applyAlignment="1" applyProtection="1">
      <alignment horizontal="left" vertical="center" wrapText="1"/>
      <protection locked="0"/>
    </xf>
    <xf numFmtId="0" fontId="10" fillId="0" borderId="15" xfId="0" applyFont="1" applyBorder="1" applyAlignment="1" applyProtection="1">
      <alignment vertical="center" wrapText="1"/>
      <protection locked="0"/>
    </xf>
    <xf numFmtId="0" fontId="10" fillId="0" borderId="17" xfId="4" applyFont="1" applyBorder="1" applyAlignment="1" applyProtection="1">
      <alignment horizontal="left" vertical="center" wrapText="1"/>
      <protection locked="0"/>
    </xf>
    <xf numFmtId="0" fontId="10" fillId="0" borderId="0" xfId="4" applyFont="1" applyProtection="1">
      <protection locked="0"/>
    </xf>
    <xf numFmtId="0" fontId="10" fillId="0" borderId="15" xfId="0" applyFont="1" applyBorder="1" applyAlignment="1">
      <alignment horizontal="left" vertical="center" wrapText="1"/>
    </xf>
    <xf numFmtId="0" fontId="10" fillId="0" borderId="15" xfId="0" applyFont="1" applyBorder="1" applyAlignment="1">
      <alignment horizontal="right" vertical="center" wrapText="1"/>
    </xf>
    <xf numFmtId="0" fontId="10" fillId="0" borderId="15" xfId="4" applyFont="1" applyBorder="1" applyAlignment="1">
      <alignment vertical="center" wrapText="1"/>
    </xf>
    <xf numFmtId="0" fontId="10" fillId="0" borderId="19" xfId="3" applyFont="1" applyBorder="1" applyAlignment="1" applyProtection="1">
      <alignment horizontal="center" vertical="center"/>
      <protection locked="0"/>
    </xf>
    <xf numFmtId="0" fontId="11" fillId="0" borderId="20" xfId="2" applyFont="1" applyBorder="1" applyAlignment="1">
      <alignment horizontal="center" vertical="center" wrapText="1"/>
    </xf>
    <xf numFmtId="0" fontId="10" fillId="0" borderId="20" xfId="4" applyFont="1" applyBorder="1" applyAlignment="1">
      <alignment horizontal="left" vertical="center" wrapText="1"/>
    </xf>
    <xf numFmtId="0" fontId="10" fillId="0" borderId="20" xfId="3" applyFont="1" applyBorder="1" applyAlignment="1">
      <alignment horizontal="center" vertical="center" wrapText="1"/>
    </xf>
    <xf numFmtId="0" fontId="10" fillId="0" borderId="20" xfId="4" applyFont="1" applyBorder="1" applyAlignment="1">
      <alignment horizontal="right" vertical="center" wrapText="1"/>
    </xf>
    <xf numFmtId="0" fontId="10" fillId="0" borderId="20" xfId="4" applyFont="1" applyBorder="1" applyAlignment="1">
      <alignment horizontal="center" vertical="center" wrapText="1"/>
    </xf>
    <xf numFmtId="0" fontId="10" fillId="0" borderId="22" xfId="4" applyFont="1" applyBorder="1" applyAlignment="1">
      <alignment horizontal="left" vertical="center" wrapText="1"/>
    </xf>
    <xf numFmtId="0" fontId="10" fillId="0" borderId="5" xfId="4" applyFont="1" applyBorder="1" applyAlignment="1" applyProtection="1">
      <alignment horizontal="center" vertical="center" wrapText="1"/>
      <protection locked="0"/>
    </xf>
    <xf numFmtId="0" fontId="10" fillId="0" borderId="0" xfId="4" applyFont="1"/>
    <xf numFmtId="0" fontId="3" fillId="0" borderId="13" xfId="4" applyFont="1" applyBorder="1" applyAlignment="1">
      <alignment horizontal="right" vertical="center" wrapText="1"/>
    </xf>
    <xf numFmtId="0" fontId="3" fillId="0" borderId="14" xfId="4" applyFont="1" applyBorder="1" applyAlignment="1" applyProtection="1">
      <alignment horizontal="left" vertical="center" wrapText="1"/>
      <protection locked="0"/>
    </xf>
    <xf numFmtId="0" fontId="17" fillId="0" borderId="0" xfId="4" applyFont="1" applyProtection="1">
      <protection locked="0"/>
    </xf>
    <xf numFmtId="0" fontId="17" fillId="0" borderId="0" xfId="0" applyFont="1" applyProtection="1">
      <protection locked="0"/>
    </xf>
    <xf numFmtId="0" fontId="17" fillId="3" borderId="12" xfId="3" applyFont="1" applyFill="1" applyBorder="1" applyAlignment="1" applyProtection="1">
      <alignment horizontal="center" vertical="center"/>
      <protection locked="0"/>
    </xf>
    <xf numFmtId="0" fontId="17" fillId="3" borderId="14" xfId="4" applyFont="1" applyFill="1" applyBorder="1" applyAlignment="1">
      <alignment horizontal="left" vertical="center" wrapText="1"/>
    </xf>
    <xf numFmtId="0" fontId="17" fillId="3" borderId="14" xfId="4" applyFont="1" applyFill="1" applyBorder="1" applyAlignment="1" applyProtection="1">
      <alignment horizontal="left" vertical="center" wrapText="1"/>
      <protection locked="0"/>
    </xf>
    <xf numFmtId="0" fontId="22" fillId="0" borderId="0" xfId="0" applyFont="1" applyProtection="1">
      <protection locked="0"/>
    </xf>
    <xf numFmtId="0" fontId="3" fillId="0" borderId="13" xfId="4" applyFont="1" applyBorder="1" applyAlignment="1">
      <alignment horizontal="center" vertical="center" wrapText="1"/>
    </xf>
    <xf numFmtId="0" fontId="5" fillId="0" borderId="4" xfId="2" applyFont="1" applyBorder="1" applyAlignment="1">
      <alignment horizontal="center" vertical="center" wrapText="1"/>
    </xf>
    <xf numFmtId="0" fontId="3" fillId="0" borderId="4" xfId="4" applyFont="1" applyBorder="1" applyAlignment="1">
      <alignment horizontal="left" vertical="center" wrapText="1"/>
    </xf>
    <xf numFmtId="0" fontId="3" fillId="0" borderId="4" xfId="3" applyFont="1" applyBorder="1" applyAlignment="1">
      <alignment horizontal="center" vertical="center" wrapText="1"/>
    </xf>
    <xf numFmtId="0" fontId="3" fillId="0" borderId="28" xfId="4" applyFont="1" applyBorder="1" applyAlignment="1">
      <alignment horizontal="left" vertical="center" wrapText="1"/>
    </xf>
    <xf numFmtId="0" fontId="10" fillId="0" borderId="23" xfId="3" applyFont="1" applyBorder="1" applyAlignment="1" applyProtection="1">
      <alignment horizontal="center" vertical="center"/>
      <protection locked="0"/>
    </xf>
    <xf numFmtId="0" fontId="11" fillId="0" borderId="13" xfId="3" applyFont="1" applyBorder="1" applyAlignment="1">
      <alignment horizontal="center" vertical="center"/>
    </xf>
    <xf numFmtId="0" fontId="10" fillId="0" borderId="13" xfId="3" applyFont="1" applyBorder="1" applyAlignment="1">
      <alignment horizontal="center" vertical="center"/>
    </xf>
    <xf numFmtId="0" fontId="10" fillId="0" borderId="13" xfId="3" applyFont="1" applyBorder="1" applyAlignment="1">
      <alignment horizontal="left" vertical="center" wrapText="1"/>
    </xf>
    <xf numFmtId="0" fontId="10" fillId="0" borderId="15" xfId="3" applyFont="1" applyBorder="1" applyAlignment="1">
      <alignment horizontal="center" vertical="center"/>
    </xf>
    <xf numFmtId="0" fontId="10" fillId="0" borderId="13" xfId="3" applyFont="1" applyBorder="1" applyAlignment="1">
      <alignment horizontal="right" vertical="center" wrapText="1"/>
    </xf>
    <xf numFmtId="0" fontId="10" fillId="0" borderId="15" xfId="4" applyFont="1" applyBorder="1" applyAlignment="1">
      <alignment horizontal="center" vertical="center"/>
    </xf>
    <xf numFmtId="0" fontId="10" fillId="0" borderId="14" xfId="3" applyFont="1" applyBorder="1" applyAlignment="1">
      <alignment horizontal="left" vertical="center"/>
    </xf>
    <xf numFmtId="0" fontId="10" fillId="0" borderId="14" xfId="3" applyFont="1" applyBorder="1" applyAlignment="1" applyProtection="1">
      <alignment horizontal="left" vertical="center"/>
      <protection locked="0"/>
    </xf>
    <xf numFmtId="0" fontId="10" fillId="0" borderId="14" xfId="3" applyFont="1" applyBorder="1" applyAlignment="1">
      <alignment horizontal="left" vertical="center" wrapText="1"/>
    </xf>
    <xf numFmtId="0" fontId="11" fillId="0" borderId="13" xfId="2" applyFont="1" applyBorder="1" applyAlignment="1">
      <alignment horizontal="center" vertical="center"/>
    </xf>
    <xf numFmtId="0" fontId="10" fillId="0" borderId="13" xfId="4" applyFont="1" applyBorder="1" applyAlignment="1">
      <alignment horizontal="right" vertical="center" wrapText="1"/>
    </xf>
    <xf numFmtId="0" fontId="15" fillId="0" borderId="14" xfId="4" applyFont="1" applyBorder="1" applyAlignment="1">
      <alignment horizontal="left" vertical="center" wrapText="1"/>
    </xf>
    <xf numFmtId="0" fontId="15" fillId="0" borderId="14" xfId="4" applyFont="1" applyBorder="1" applyAlignment="1" applyProtection="1">
      <alignment horizontal="left" vertical="center"/>
      <protection locked="0"/>
    </xf>
    <xf numFmtId="0" fontId="10" fillId="0" borderId="14" xfId="4" applyFont="1" applyBorder="1" applyAlignment="1" applyProtection="1">
      <alignment horizontal="left" vertical="center" wrapText="1"/>
      <protection locked="0"/>
    </xf>
    <xf numFmtId="0" fontId="11" fillId="0" borderId="13" xfId="2"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10" fillId="0" borderId="0" xfId="4" applyFont="1" applyAlignment="1" applyProtection="1">
      <alignment horizontal="left" vertical="center" wrapText="1"/>
      <protection locked="0"/>
    </xf>
    <xf numFmtId="0" fontId="10" fillId="0" borderId="15" xfId="3" applyFont="1" applyBorder="1" applyAlignment="1" applyProtection="1">
      <alignment horizontal="center" vertical="center" wrapText="1"/>
      <protection locked="0"/>
    </xf>
    <xf numFmtId="0" fontId="10" fillId="0" borderId="15" xfId="4" applyFont="1" applyBorder="1" applyAlignment="1" applyProtection="1">
      <alignment horizontal="center" vertical="center" wrapText="1"/>
      <protection locked="0"/>
    </xf>
    <xf numFmtId="49" fontId="23" fillId="0" borderId="24" xfId="0" applyNumberFormat="1" applyFont="1" applyBorder="1" applyAlignment="1">
      <alignment vertical="center" wrapText="1"/>
    </xf>
    <xf numFmtId="49" fontId="23" fillId="3" borderId="24" xfId="0" applyNumberFormat="1" applyFont="1" applyFill="1" applyBorder="1" applyAlignment="1">
      <alignment vertical="center" wrapText="1"/>
    </xf>
    <xf numFmtId="0" fontId="25" fillId="3" borderId="12" xfId="3" applyFont="1" applyFill="1" applyBorder="1" applyAlignment="1" applyProtection="1">
      <alignment horizontal="center" vertical="center"/>
      <protection locked="0"/>
    </xf>
    <xf numFmtId="0" fontId="24" fillId="3" borderId="13" xfId="2" applyFont="1" applyFill="1" applyBorder="1" applyAlignment="1" applyProtection="1">
      <alignment horizontal="center" vertical="center" wrapText="1"/>
      <protection locked="0"/>
    </xf>
    <xf numFmtId="49" fontId="23" fillId="3" borderId="25" xfId="0" applyNumberFormat="1" applyFont="1" applyFill="1" applyBorder="1" applyAlignment="1" applyProtection="1">
      <alignment vertical="center" wrapText="1"/>
      <protection locked="0"/>
    </xf>
    <xf numFmtId="0" fontId="23" fillId="3" borderId="13" xfId="3" applyFont="1" applyFill="1" applyBorder="1" applyAlignment="1" applyProtection="1">
      <alignment horizontal="center" vertical="center" wrapText="1"/>
      <protection locked="0"/>
    </xf>
    <xf numFmtId="0" fontId="23" fillId="3" borderId="13" xfId="4" applyFont="1" applyFill="1" applyBorder="1" applyAlignment="1" applyProtection="1">
      <alignment horizontal="center" vertical="center" wrapText="1"/>
      <protection locked="0"/>
    </xf>
    <xf numFmtId="0" fontId="23" fillId="3" borderId="14" xfId="4" applyFont="1" applyFill="1" applyBorder="1" applyAlignment="1" applyProtection="1">
      <alignment horizontal="left" vertical="center" wrapText="1"/>
      <protection locked="0"/>
    </xf>
    <xf numFmtId="0" fontId="23" fillId="3" borderId="13" xfId="4" applyFont="1" applyFill="1" applyBorder="1" applyAlignment="1" applyProtection="1">
      <alignment horizontal="left" vertical="center" wrapText="1"/>
      <protection locked="0"/>
    </xf>
    <xf numFmtId="0" fontId="25" fillId="3" borderId="13" xfId="4" applyFont="1" applyFill="1" applyBorder="1" applyAlignment="1" applyProtection="1">
      <alignment horizontal="left" vertical="center" wrapText="1"/>
      <protection locked="0"/>
    </xf>
    <xf numFmtId="0" fontId="25" fillId="0" borderId="0" xfId="4" applyFont="1" applyProtection="1">
      <protection locked="0"/>
    </xf>
    <xf numFmtId="0" fontId="10" fillId="0" borderId="13" xfId="4" applyFont="1" applyBorder="1" applyAlignment="1">
      <alignment horizontal="center" vertical="center" wrapText="1"/>
    </xf>
    <xf numFmtId="0" fontId="10" fillId="0" borderId="2" xfId="4" applyFont="1" applyBorder="1" applyAlignment="1" applyProtection="1">
      <alignment horizontal="left" vertical="center" wrapText="1"/>
      <protection locked="0"/>
    </xf>
    <xf numFmtId="0" fontId="10" fillId="0" borderId="4" xfId="0" applyFont="1" applyBorder="1" applyAlignment="1">
      <alignment horizontal="left" vertical="center" wrapText="1"/>
    </xf>
    <xf numFmtId="0" fontId="10" fillId="0" borderId="4" xfId="0" applyFont="1" applyBorder="1" applyAlignment="1">
      <alignment horizontal="right" vertical="center" wrapText="1"/>
    </xf>
    <xf numFmtId="0" fontId="14" fillId="0" borderId="17" xfId="4" applyFont="1" applyBorder="1" applyAlignment="1">
      <alignment horizontal="left" vertical="center" wrapText="1"/>
    </xf>
    <xf numFmtId="0" fontId="10" fillId="0" borderId="26" xfId="4" applyFont="1" applyBorder="1" applyAlignment="1" applyProtection="1">
      <alignment horizontal="center" vertical="center" wrapText="1"/>
      <protection locked="0"/>
    </xf>
    <xf numFmtId="0" fontId="10" fillId="0" borderId="3" xfId="3" applyFont="1" applyBorder="1" applyAlignment="1" applyProtection="1">
      <alignment horizontal="center" vertical="center"/>
      <protection locked="0"/>
    </xf>
    <xf numFmtId="0" fontId="11" fillId="0" borderId="4" xfId="2" applyFont="1" applyBorder="1" applyAlignment="1">
      <alignment horizontal="center" vertical="center" wrapText="1"/>
    </xf>
    <xf numFmtId="0" fontId="16" fillId="0" borderId="14" xfId="3" applyFont="1" applyBorder="1" applyAlignment="1">
      <alignment horizontal="left" vertical="center" wrapText="1"/>
    </xf>
    <xf numFmtId="0" fontId="16" fillId="0" borderId="14" xfId="3" applyFont="1" applyBorder="1" applyAlignment="1" applyProtection="1">
      <alignment horizontal="center" vertical="center"/>
      <protection locked="0"/>
    </xf>
    <xf numFmtId="0" fontId="10" fillId="0" borderId="4" xfId="3" applyFont="1" applyBorder="1" applyAlignment="1" applyProtection="1">
      <alignment horizontal="center" vertical="center"/>
      <protection locked="0"/>
    </xf>
    <xf numFmtId="0" fontId="11" fillId="0" borderId="4" xfId="2" applyFont="1" applyBorder="1" applyAlignment="1" applyProtection="1">
      <alignment horizontal="center" vertical="center" wrapText="1"/>
      <protection locked="0"/>
    </xf>
    <xf numFmtId="0" fontId="10" fillId="0" borderId="4" xfId="4" applyFont="1" applyBorder="1" applyAlignment="1" applyProtection="1">
      <alignment horizontal="left" vertical="center" wrapText="1"/>
      <protection locked="0"/>
    </xf>
    <xf numFmtId="0" fontId="10" fillId="0" borderId="4" xfId="3" applyFont="1" applyBorder="1" applyAlignment="1" applyProtection="1">
      <alignment horizontal="center" vertical="center" wrapText="1"/>
      <protection locked="0"/>
    </xf>
    <xf numFmtId="0" fontId="10" fillId="0" borderId="4" xfId="4" applyFont="1" applyBorder="1" applyAlignment="1" applyProtection="1">
      <alignment horizontal="center" vertical="center" wrapText="1"/>
      <protection locked="0"/>
    </xf>
    <xf numFmtId="0" fontId="13" fillId="0" borderId="18" xfId="4" applyFont="1" applyBorder="1" applyAlignment="1">
      <alignment horizontal="right" vertical="center" wrapText="1"/>
    </xf>
    <xf numFmtId="0" fontId="23" fillId="0" borderId="12" xfId="3" applyFont="1" applyBorder="1" applyAlignment="1" applyProtection="1">
      <alignment horizontal="center" vertical="center"/>
      <protection locked="0"/>
    </xf>
    <xf numFmtId="0" fontId="24" fillId="0" borderId="13" xfId="2" applyFont="1" applyBorder="1" applyAlignment="1">
      <alignment horizontal="center" vertical="center" wrapText="1"/>
    </xf>
    <xf numFmtId="0" fontId="23" fillId="0" borderId="15" xfId="3" applyFont="1" applyBorder="1" applyAlignment="1">
      <alignment horizontal="center" vertical="center" wrapText="1"/>
    </xf>
    <xf numFmtId="0" fontId="23" fillId="0" borderId="15" xfId="4" applyFont="1" applyBorder="1" applyAlignment="1">
      <alignment horizontal="center" vertical="center" wrapText="1"/>
    </xf>
    <xf numFmtId="0" fontId="23" fillId="0" borderId="14" xfId="4" applyFont="1" applyBorder="1" applyAlignment="1">
      <alignment horizontal="left" vertical="center" wrapText="1"/>
    </xf>
    <xf numFmtId="0" fontId="23" fillId="0" borderId="14" xfId="4" applyFont="1" applyBorder="1" applyAlignment="1" applyProtection="1">
      <alignment horizontal="left" vertical="center" wrapText="1"/>
      <protection locked="0"/>
    </xf>
    <xf numFmtId="0" fontId="23" fillId="0" borderId="0" xfId="4" applyFont="1" applyProtection="1">
      <protection locked="0"/>
    </xf>
    <xf numFmtId="0" fontId="23" fillId="0" borderId="0" xfId="0" applyFont="1" applyAlignment="1">
      <alignment horizontal="right" vertical="center" wrapText="1"/>
    </xf>
    <xf numFmtId="0" fontId="23" fillId="0" borderId="15" xfId="4" applyFont="1" applyBorder="1" applyAlignment="1">
      <alignment horizontal="left" vertical="center" wrapText="1"/>
    </xf>
    <xf numFmtId="0" fontId="23" fillId="0" borderId="17" xfId="4" applyFont="1" applyBorder="1" applyAlignment="1" applyProtection="1">
      <alignment horizontal="left" vertical="center" wrapText="1"/>
      <protection locked="0"/>
    </xf>
    <xf numFmtId="0" fontId="23" fillId="3" borderId="12" xfId="3" applyFont="1" applyFill="1" applyBorder="1" applyAlignment="1" applyProtection="1">
      <alignment horizontal="center" vertical="center"/>
      <protection locked="0"/>
    </xf>
    <xf numFmtId="0" fontId="24" fillId="3" borderId="13" xfId="2" applyFont="1" applyFill="1" applyBorder="1" applyAlignment="1">
      <alignment horizontal="center" vertical="center" wrapText="1"/>
    </xf>
    <xf numFmtId="0" fontId="23" fillId="3" borderId="15" xfId="3" applyFont="1" applyFill="1" applyBorder="1" applyAlignment="1">
      <alignment horizontal="center" vertical="center" wrapText="1"/>
    </xf>
    <xf numFmtId="0" fontId="23" fillId="3" borderId="15" xfId="4" applyFont="1" applyFill="1" applyBorder="1" applyAlignment="1">
      <alignment horizontal="center" vertical="center" wrapText="1"/>
    </xf>
    <xf numFmtId="0" fontId="23" fillId="3" borderId="14" xfId="4" applyFont="1" applyFill="1" applyBorder="1" applyAlignment="1">
      <alignment horizontal="left" vertical="center" wrapText="1"/>
    </xf>
    <xf numFmtId="0" fontId="23" fillId="3" borderId="14" xfId="0" applyFont="1" applyFill="1" applyBorder="1" applyAlignment="1">
      <alignment horizontal="left" vertical="center" wrapText="1"/>
    </xf>
    <xf numFmtId="0" fontId="23" fillId="3" borderId="14" xfId="0" applyFont="1" applyFill="1" applyBorder="1" applyAlignment="1" applyProtection="1">
      <alignment horizontal="left" vertical="center" wrapText="1"/>
      <protection locked="0"/>
    </xf>
    <xf numFmtId="0" fontId="23" fillId="3" borderId="15" xfId="4" applyFont="1" applyFill="1" applyBorder="1" applyAlignment="1">
      <alignment horizontal="left" vertical="center" wrapText="1"/>
    </xf>
    <xf numFmtId="0" fontId="23" fillId="3" borderId="17" xfId="4" applyFont="1" applyFill="1" applyBorder="1" applyAlignment="1" applyProtection="1">
      <alignment horizontal="left" vertical="center" wrapText="1"/>
      <protection locked="0"/>
    </xf>
    <xf numFmtId="0" fontId="14" fillId="0" borderId="14" xfId="4" applyFont="1" applyBorder="1" applyAlignment="1">
      <alignment horizontal="left" vertical="center" wrapText="1"/>
    </xf>
    <xf numFmtId="0" fontId="10" fillId="0" borderId="14" xfId="3" applyFont="1" applyBorder="1" applyAlignment="1" applyProtection="1">
      <alignment horizontal="center" vertical="center"/>
      <protection locked="0"/>
    </xf>
    <xf numFmtId="0" fontId="13" fillId="0" borderId="0" xfId="0" applyFont="1"/>
    <xf numFmtId="0" fontId="3" fillId="7" borderId="16" xfId="3" applyFont="1" applyFill="1" applyBorder="1" applyAlignment="1" applyProtection="1">
      <alignment horizontal="center" vertical="center"/>
      <protection locked="0"/>
    </xf>
    <xf numFmtId="0" fontId="5" fillId="7" borderId="15" xfId="2" applyFont="1" applyFill="1" applyBorder="1" applyAlignment="1" applyProtection="1">
      <alignment horizontal="center" vertical="center" wrapText="1"/>
      <protection locked="0"/>
    </xf>
    <xf numFmtId="0" fontId="3" fillId="7" borderId="15" xfId="4" applyFont="1" applyFill="1" applyBorder="1" applyAlignment="1" applyProtection="1">
      <alignment vertical="center" wrapText="1"/>
      <protection locked="0"/>
    </xf>
    <xf numFmtId="0" fontId="16" fillId="0" borderId="12" xfId="3" applyFont="1" applyBorder="1" applyAlignment="1" applyProtection="1">
      <alignment horizontal="center" vertical="center"/>
      <protection locked="0"/>
    </xf>
    <xf numFmtId="0" fontId="27" fillId="0" borderId="13" xfId="3" applyFont="1" applyBorder="1" applyAlignment="1">
      <alignment horizontal="center" vertical="center"/>
    </xf>
    <xf numFmtId="0" fontId="16" fillId="0" borderId="13" xfId="3" applyFont="1" applyBorder="1" applyAlignment="1">
      <alignment horizontal="center" vertical="center"/>
    </xf>
    <xf numFmtId="0" fontId="16" fillId="0" borderId="18" xfId="0" applyFont="1" applyBorder="1" applyAlignment="1">
      <alignment wrapText="1"/>
    </xf>
    <xf numFmtId="0" fontId="16" fillId="0" borderId="0" xfId="4" applyFont="1" applyProtection="1">
      <protection locked="0"/>
    </xf>
    <xf numFmtId="0" fontId="10" fillId="0" borderId="13" xfId="0" applyFont="1" applyBorder="1" applyAlignment="1" applyProtection="1">
      <alignment horizontal="left" vertical="center" wrapText="1"/>
      <protection locked="0"/>
    </xf>
    <xf numFmtId="0" fontId="10" fillId="0" borderId="13" xfId="3" applyFont="1" applyBorder="1" applyAlignment="1" applyProtection="1">
      <alignment horizontal="center" vertical="center" wrapText="1"/>
      <protection locked="0"/>
    </xf>
    <xf numFmtId="0" fontId="10" fillId="0" borderId="15" xfId="0" applyFont="1" applyBorder="1" applyAlignment="1">
      <alignment horizontal="center" vertical="center" wrapText="1"/>
    </xf>
    <xf numFmtId="0" fontId="11" fillId="0" borderId="15" xfId="2" applyFont="1" applyBorder="1" applyAlignment="1" applyProtection="1">
      <alignment horizontal="center" vertical="center" wrapText="1"/>
      <protection locked="0"/>
    </xf>
    <xf numFmtId="0" fontId="10" fillId="0" borderId="15" xfId="0" applyFont="1" applyBorder="1" applyAlignment="1" applyProtection="1">
      <alignment horizontal="left" vertical="center" wrapText="1"/>
      <protection locked="0"/>
    </xf>
    <xf numFmtId="0" fontId="10" fillId="0" borderId="15" xfId="0" applyFont="1" applyBorder="1" applyAlignment="1" applyProtection="1">
      <alignment horizontal="center" vertical="center" wrapText="1"/>
      <protection locked="0"/>
    </xf>
    <xf numFmtId="0" fontId="10" fillId="0" borderId="5" xfId="4" applyFont="1" applyBorder="1" applyAlignment="1" applyProtection="1">
      <alignment horizontal="left" vertical="center" wrapText="1"/>
      <protection locked="0"/>
    </xf>
    <xf numFmtId="0" fontId="10" fillId="0" borderId="15" xfId="4" applyFont="1" applyBorder="1" applyAlignment="1" applyProtection="1">
      <alignment vertical="center" wrapText="1"/>
      <protection locked="0"/>
    </xf>
    <xf numFmtId="0" fontId="10" fillId="5" borderId="17" xfId="4" applyFont="1" applyFill="1" applyBorder="1" applyAlignment="1" applyProtection="1">
      <alignment vertical="center" wrapText="1"/>
      <protection locked="0"/>
    </xf>
    <xf numFmtId="0" fontId="13" fillId="0" borderId="15" xfId="0" applyFont="1" applyBorder="1" applyAlignment="1" applyProtection="1">
      <alignment horizontal="left" vertical="center" wrapText="1"/>
      <protection locked="0"/>
    </xf>
    <xf numFmtId="0" fontId="14" fillId="0" borderId="13" xfId="4" applyFont="1" applyBorder="1" applyAlignment="1" applyProtection="1">
      <alignment vertical="center" wrapText="1"/>
      <protection locked="0"/>
    </xf>
    <xf numFmtId="0" fontId="10" fillId="0" borderId="14" xfId="4" applyFont="1" applyBorder="1" applyAlignment="1" applyProtection="1">
      <alignment vertical="center" wrapText="1"/>
      <protection locked="0"/>
    </xf>
    <xf numFmtId="0" fontId="3" fillId="0" borderId="17" xfId="3" applyFont="1" applyBorder="1" applyAlignment="1">
      <alignment horizontal="left" vertical="center" wrapText="1"/>
    </xf>
    <xf numFmtId="0" fontId="3" fillId="0" borderId="17" xfId="3" applyFont="1" applyBorder="1" applyAlignment="1" applyProtection="1">
      <alignment horizontal="left" vertical="center" wrapText="1"/>
      <protection locked="0"/>
    </xf>
    <xf numFmtId="0" fontId="3" fillId="0" borderId="14" xfId="0" applyFont="1" applyBorder="1" applyAlignment="1">
      <alignment horizontal="left" vertical="center" wrapText="1"/>
    </xf>
    <xf numFmtId="0" fontId="10" fillId="8" borderId="14" xfId="0" applyFont="1" applyFill="1" applyBorder="1" applyAlignment="1" applyProtection="1">
      <alignment horizontal="left" vertical="center" wrapText="1"/>
      <protection locked="0"/>
    </xf>
    <xf numFmtId="0" fontId="9" fillId="0" borderId="15" xfId="4" applyFont="1" applyBorder="1" applyAlignment="1">
      <alignment vertical="top" wrapText="1"/>
    </xf>
    <xf numFmtId="0" fontId="3" fillId="0" borderId="15" xfId="0" applyFont="1" applyBorder="1" applyAlignment="1">
      <alignment vertical="center" wrapText="1"/>
    </xf>
    <xf numFmtId="0" fontId="3" fillId="5" borderId="17" xfId="3" applyFont="1" applyFill="1" applyBorder="1" applyAlignment="1" applyProtection="1">
      <alignment horizontal="left" vertical="center" wrapText="1"/>
      <protection locked="0"/>
    </xf>
    <xf numFmtId="0" fontId="3" fillId="0" borderId="17" xfId="0" applyFont="1" applyBorder="1" applyAlignment="1">
      <alignment horizontal="left" vertical="center" wrapText="1"/>
    </xf>
    <xf numFmtId="0" fontId="3" fillId="0" borderId="17" xfId="0" applyFont="1" applyBorder="1" applyAlignment="1" applyProtection="1">
      <alignment horizontal="left" vertical="center" wrapText="1"/>
      <protection locked="0"/>
    </xf>
    <xf numFmtId="0" fontId="9" fillId="0" borderId="18" xfId="4" applyFont="1" applyBorder="1" applyAlignment="1">
      <alignment vertical="center" wrapText="1"/>
    </xf>
    <xf numFmtId="0" fontId="9" fillId="0" borderId="18" xfId="6" applyFont="1" applyBorder="1" applyAlignment="1">
      <alignment vertical="center" wrapText="1"/>
    </xf>
    <xf numFmtId="0" fontId="5" fillId="0" borderId="0" xfId="4" applyFont="1" applyProtection="1">
      <protection locked="0"/>
    </xf>
    <xf numFmtId="0" fontId="3" fillId="5" borderId="17" xfId="0" applyFont="1" applyFill="1" applyBorder="1" applyAlignment="1" applyProtection="1">
      <alignment horizontal="left" vertical="center" wrapText="1"/>
      <protection locked="0"/>
    </xf>
    <xf numFmtId="0" fontId="3" fillId="7" borderId="15" xfId="3" applyFont="1" applyFill="1" applyBorder="1" applyAlignment="1" applyProtection="1">
      <alignment horizontal="center" vertical="center" wrapText="1"/>
      <protection locked="0"/>
    </xf>
    <xf numFmtId="0" fontId="3" fillId="7" borderId="15" xfId="4" applyFont="1" applyFill="1" applyBorder="1" applyAlignment="1" applyProtection="1">
      <alignment horizontal="center" vertical="center" wrapText="1"/>
      <protection locked="0"/>
    </xf>
    <xf numFmtId="0" fontId="3" fillId="7" borderId="17" xfId="4" applyFont="1" applyFill="1" applyBorder="1" applyAlignment="1" applyProtection="1">
      <alignment horizontal="left" vertical="center" wrapText="1"/>
      <protection locked="0"/>
    </xf>
    <xf numFmtId="0" fontId="26" fillId="7" borderId="4" xfId="4" applyFont="1" applyFill="1" applyBorder="1" applyAlignment="1" applyProtection="1">
      <alignment vertical="center" wrapText="1"/>
      <protection locked="0"/>
    </xf>
    <xf numFmtId="0" fontId="26" fillId="7" borderId="5" xfId="4" applyFont="1" applyFill="1" applyBorder="1" applyAlignment="1" applyProtection="1">
      <alignment vertical="center" wrapText="1"/>
      <protection locked="0"/>
    </xf>
    <xf numFmtId="0" fontId="2" fillId="0" borderId="15" xfId="4" applyFont="1" applyBorder="1" applyAlignment="1">
      <alignment vertical="center" wrapText="1"/>
    </xf>
    <xf numFmtId="0" fontId="3" fillId="0" borderId="4" xfId="4" applyFont="1" applyBorder="1" applyAlignment="1">
      <alignment horizontal="right" vertical="center" wrapText="1"/>
    </xf>
    <xf numFmtId="0" fontId="3" fillId="0" borderId="27" xfId="4" applyFont="1" applyBorder="1" applyAlignment="1">
      <alignment horizontal="center" vertical="center" wrapText="1"/>
    </xf>
    <xf numFmtId="0" fontId="3" fillId="0" borderId="27" xfId="3" applyFont="1" applyBorder="1" applyAlignment="1">
      <alignment horizontal="center" vertical="center" wrapText="1"/>
    </xf>
    <xf numFmtId="0" fontId="3" fillId="5" borderId="28" xfId="4" applyFont="1" applyFill="1" applyBorder="1" applyAlignment="1" applyProtection="1">
      <alignment horizontal="left" vertical="center" wrapText="1"/>
      <protection locked="0"/>
    </xf>
    <xf numFmtId="0" fontId="2" fillId="7" borderId="15" xfId="4" applyFont="1" applyFill="1" applyBorder="1" applyAlignment="1" applyProtection="1">
      <alignment vertical="center" wrapText="1"/>
      <protection locked="0"/>
    </xf>
    <xf numFmtId="0" fontId="3" fillId="9" borderId="15" xfId="0" applyFont="1" applyFill="1" applyBorder="1" applyAlignment="1" applyProtection="1">
      <alignment horizontal="center" vertical="center" wrapText="1"/>
      <protection locked="0"/>
    </xf>
    <xf numFmtId="0" fontId="5" fillId="7" borderId="4" xfId="2" applyFont="1" applyFill="1" applyBorder="1" applyAlignment="1" applyProtection="1">
      <alignment horizontal="center" vertical="center" wrapText="1"/>
      <protection locked="0"/>
    </xf>
    <xf numFmtId="0" fontId="3" fillId="7" borderId="4" xfId="4" applyFont="1" applyFill="1" applyBorder="1" applyAlignment="1" applyProtection="1">
      <alignment horizontal="left" vertical="center" wrapText="1"/>
      <protection locked="0"/>
    </xf>
    <xf numFmtId="0" fontId="3" fillId="7" borderId="4" xfId="4" applyFont="1" applyFill="1" applyBorder="1" applyAlignment="1" applyProtection="1">
      <alignment horizontal="right" vertical="center" wrapText="1"/>
      <protection locked="0"/>
    </xf>
    <xf numFmtId="0" fontId="3" fillId="7" borderId="27" xfId="3" applyFont="1" applyFill="1" applyBorder="1" applyAlignment="1" applyProtection="1">
      <alignment horizontal="center" vertical="center" wrapText="1"/>
      <protection locked="0"/>
    </xf>
    <xf numFmtId="0" fontId="3" fillId="7" borderId="28" xfId="4" applyFont="1" applyFill="1" applyBorder="1" applyAlignment="1" applyProtection="1">
      <alignment horizontal="left" vertical="center" wrapText="1"/>
      <protection locked="0"/>
    </xf>
    <xf numFmtId="0" fontId="3" fillId="0" borderId="13" xfId="4" applyFont="1" applyBorder="1" applyAlignment="1" applyProtection="1">
      <alignment horizontal="right" vertical="center" wrapText="1"/>
      <protection locked="0"/>
    </xf>
    <xf numFmtId="0" fontId="17" fillId="3" borderId="12" xfId="3" applyFont="1" applyFill="1" applyBorder="1" applyAlignment="1" applyProtection="1">
      <alignment horizontal="center" vertical="center" wrapText="1"/>
      <protection locked="0"/>
    </xf>
    <xf numFmtId="0" fontId="18" fillId="3" borderId="15" xfId="0" applyFont="1" applyFill="1" applyBorder="1" applyAlignment="1" applyProtection="1">
      <alignment horizontal="center" vertical="center" wrapText="1"/>
      <protection locked="0"/>
    </xf>
    <xf numFmtId="49" fontId="17" fillId="3" borderId="24" xfId="0" applyNumberFormat="1" applyFont="1" applyFill="1" applyBorder="1" applyAlignment="1" applyProtection="1">
      <alignment horizontal="left" vertical="center" wrapText="1"/>
      <protection locked="0"/>
    </xf>
    <xf numFmtId="0" fontId="17" fillId="3" borderId="13" xfId="3" applyFont="1" applyFill="1" applyBorder="1" applyAlignment="1" applyProtection="1">
      <alignment horizontal="center" vertical="center" wrapText="1"/>
      <protection locked="0"/>
    </xf>
    <xf numFmtId="49" fontId="19" fillId="3" borderId="24" xfId="0" applyNumberFormat="1" applyFont="1" applyFill="1" applyBorder="1" applyAlignment="1" applyProtection="1">
      <alignment horizontal="right" vertical="center" wrapText="1"/>
      <protection locked="0"/>
    </xf>
    <xf numFmtId="0" fontId="17" fillId="0" borderId="0" xfId="4" applyFont="1" applyAlignment="1" applyProtection="1">
      <alignment wrapText="1"/>
      <protection locked="0"/>
    </xf>
    <xf numFmtId="49" fontId="19" fillId="0" borderId="24" xfId="0" applyNumberFormat="1" applyFont="1" applyBorder="1" applyAlignment="1" applyProtection="1">
      <alignment horizontal="left" vertical="center" wrapText="1"/>
      <protection locked="0"/>
    </xf>
    <xf numFmtId="0" fontId="17" fillId="3" borderId="15" xfId="3" applyFont="1" applyFill="1" applyBorder="1" applyAlignment="1" applyProtection="1">
      <alignment horizontal="center" vertical="center" wrapText="1"/>
      <protection locked="0"/>
    </xf>
    <xf numFmtId="0" fontId="17" fillId="3" borderId="16" xfId="3" applyFont="1" applyFill="1" applyBorder="1" applyAlignment="1" applyProtection="1">
      <alignment horizontal="center" vertical="center"/>
      <protection locked="0"/>
    </xf>
    <xf numFmtId="0" fontId="18" fillId="3" borderId="15" xfId="0" applyFont="1" applyFill="1" applyBorder="1" applyAlignment="1">
      <alignment horizontal="center" vertical="center" wrapText="1"/>
    </xf>
    <xf numFmtId="49" fontId="19" fillId="0" borderId="24" xfId="0" applyNumberFormat="1" applyFont="1" applyBorder="1" applyAlignment="1">
      <alignment horizontal="left" vertical="center" wrapText="1"/>
    </xf>
    <xf numFmtId="0" fontId="17" fillId="3" borderId="13" xfId="3" applyFont="1" applyFill="1" applyBorder="1" applyAlignment="1">
      <alignment horizontal="center" vertical="center" wrapText="1"/>
    </xf>
    <xf numFmtId="0" fontId="17" fillId="3" borderId="17" xfId="4" applyFont="1" applyFill="1" applyBorder="1" applyAlignment="1">
      <alignment horizontal="left" vertical="center" wrapText="1"/>
    </xf>
    <xf numFmtId="49" fontId="17" fillId="3" borderId="24" xfId="0" applyNumberFormat="1" applyFont="1" applyFill="1" applyBorder="1" applyAlignment="1">
      <alignment horizontal="left" vertical="center" wrapText="1"/>
    </xf>
    <xf numFmtId="0" fontId="22" fillId="0" borderId="3" xfId="3" applyFont="1" applyBorder="1" applyAlignment="1" applyProtection="1">
      <alignment horizontal="center" vertical="center"/>
      <protection locked="0"/>
    </xf>
    <xf numFmtId="0" fontId="21" fillId="0" borderId="13" xfId="0" applyFont="1" applyBorder="1" applyAlignment="1" applyProtection="1">
      <alignment horizontal="center" vertical="center" wrapText="1"/>
      <protection locked="0"/>
    </xf>
    <xf numFmtId="49" fontId="19" fillId="0" borderId="25" xfId="0" applyNumberFormat="1" applyFont="1" applyBorder="1" applyAlignment="1" applyProtection="1">
      <alignment horizontal="left" vertical="center" wrapText="1"/>
      <protection locked="0"/>
    </xf>
    <xf numFmtId="0" fontId="19" fillId="0" borderId="13" xfId="3" applyFont="1" applyBorder="1" applyAlignment="1" applyProtection="1">
      <alignment horizontal="center" vertical="center" wrapText="1"/>
      <protection locked="0"/>
    </xf>
    <xf numFmtId="0" fontId="19" fillId="0" borderId="15" xfId="3" applyFont="1" applyBorder="1" applyAlignment="1" applyProtection="1">
      <alignment horizontal="center" vertical="center" wrapText="1"/>
      <protection locked="0"/>
    </xf>
    <xf numFmtId="0" fontId="19" fillId="0" borderId="17" xfId="4" applyFont="1" applyBorder="1" applyAlignment="1" applyProtection="1">
      <alignment horizontal="left" vertical="center" wrapText="1"/>
      <protection locked="0"/>
    </xf>
    <xf numFmtId="0" fontId="22" fillId="0" borderId="14" xfId="4" applyFont="1" applyBorder="1" applyAlignment="1" applyProtection="1">
      <alignment horizontal="left" vertical="center" wrapText="1"/>
      <protection locked="0"/>
    </xf>
    <xf numFmtId="0" fontId="3" fillId="0" borderId="3" xfId="3" applyFont="1" applyBorder="1" applyAlignment="1" applyProtection="1">
      <alignment horizontal="center" vertical="center" wrapText="1"/>
      <protection locked="0"/>
    </xf>
    <xf numFmtId="0" fontId="5" fillId="0" borderId="27" xfId="2" applyFont="1" applyBorder="1" applyAlignment="1">
      <alignment horizontal="center" vertical="center" wrapText="1"/>
    </xf>
    <xf numFmtId="0" fontId="2" fillId="0" borderId="30" xfId="4" applyFont="1" applyBorder="1" applyAlignment="1">
      <alignment horizontal="left" vertical="center" wrapText="1"/>
    </xf>
    <xf numFmtId="0" fontId="2" fillId="0" borderId="18" xfId="4" applyFont="1" applyBorder="1" applyAlignment="1">
      <alignment horizontal="right" vertical="center" wrapText="1"/>
    </xf>
    <xf numFmtId="0" fontId="3" fillId="0" borderId="28" xfId="4" applyFont="1" applyBorder="1" applyAlignment="1">
      <alignment horizontal="center" vertical="center" wrapText="1"/>
    </xf>
    <xf numFmtId="0" fontId="3" fillId="0" borderId="28" xfId="4" applyFont="1" applyBorder="1" applyAlignment="1" applyProtection="1">
      <alignment horizontal="center" vertical="center" wrapText="1"/>
      <protection locked="0"/>
    </xf>
    <xf numFmtId="0" fontId="3" fillId="0" borderId="0" xfId="4" applyFont="1" applyAlignment="1" applyProtection="1">
      <alignment wrapText="1"/>
      <protection locked="0"/>
    </xf>
    <xf numFmtId="0" fontId="3" fillId="0" borderId="31" xfId="3" applyFont="1" applyBorder="1" applyAlignment="1" applyProtection="1">
      <alignment horizontal="center" vertical="center"/>
      <protection locked="0"/>
    </xf>
    <xf numFmtId="0" fontId="5" fillId="0" borderId="7" xfId="2" applyFont="1" applyBorder="1" applyAlignment="1">
      <alignment horizontal="center" vertical="center" wrapText="1"/>
    </xf>
    <xf numFmtId="0" fontId="3" fillId="0" borderId="7" xfId="4" applyFont="1" applyBorder="1" applyAlignment="1">
      <alignment horizontal="left" vertical="center" wrapText="1"/>
    </xf>
    <xf numFmtId="0" fontId="3" fillId="0" borderId="7" xfId="3" applyFont="1" applyBorder="1" applyAlignment="1">
      <alignment horizontal="center" vertical="center" wrapText="1"/>
    </xf>
    <xf numFmtId="0" fontId="3" fillId="0" borderId="7" xfId="4" applyFont="1" applyBorder="1" applyAlignment="1">
      <alignment horizontal="right" vertical="center" wrapText="1"/>
    </xf>
    <xf numFmtId="0" fontId="3" fillId="0" borderId="32" xfId="3" applyFont="1" applyBorder="1" applyAlignment="1">
      <alignment horizontal="left" vertical="center" wrapText="1"/>
    </xf>
    <xf numFmtId="0" fontId="3" fillId="0" borderId="32" xfId="3" applyFont="1" applyBorder="1" applyAlignment="1">
      <alignment horizontal="center" vertical="center" wrapText="1"/>
    </xf>
    <xf numFmtId="0" fontId="3" fillId="0" borderId="32" xfId="3" applyFont="1" applyBorder="1" applyAlignment="1" applyProtection="1">
      <alignment horizontal="center" vertical="center" wrapText="1"/>
      <protection locked="0"/>
    </xf>
    <xf numFmtId="0" fontId="2" fillId="0" borderId="33" xfId="7" applyBorder="1"/>
    <xf numFmtId="0" fontId="2" fillId="0" borderId="33" xfId="7" applyBorder="1" applyAlignment="1">
      <alignment horizontal="left" vertical="center"/>
    </xf>
    <xf numFmtId="0" fontId="2" fillId="0" borderId="34" xfId="7" applyBorder="1"/>
    <xf numFmtId="0" fontId="2" fillId="0" borderId="34" xfId="7" applyBorder="1" applyAlignment="1">
      <alignment horizontal="left" vertical="center"/>
    </xf>
    <xf numFmtId="0" fontId="2" fillId="0" borderId="35" xfId="7" applyBorder="1"/>
    <xf numFmtId="9" fontId="7" fillId="0" borderId="36" xfId="8" applyFont="1" applyBorder="1" applyAlignment="1">
      <alignment horizontal="center" vertical="center" wrapText="1"/>
    </xf>
    <xf numFmtId="9" fontId="7" fillId="0" borderId="20" xfId="8" applyFont="1" applyBorder="1" applyAlignment="1">
      <alignment horizontal="center" vertical="center" wrapText="1"/>
    </xf>
    <xf numFmtId="0" fontId="7" fillId="0" borderId="37" xfId="7" applyFont="1" applyBorder="1" applyAlignment="1">
      <alignment vertical="center" wrapText="1"/>
    </xf>
    <xf numFmtId="0" fontId="7" fillId="0" borderId="38" xfId="9" applyFont="1" applyBorder="1" applyAlignment="1">
      <alignment vertical="center" wrapText="1"/>
    </xf>
    <xf numFmtId="0" fontId="29" fillId="0" borderId="19" xfId="7" applyFont="1" applyBorder="1" applyAlignment="1">
      <alignment horizontal="left" vertical="center" wrapText="1"/>
    </xf>
    <xf numFmtId="0" fontId="2" fillId="0" borderId="39" xfId="7" applyBorder="1"/>
    <xf numFmtId="9" fontId="7" fillId="0" borderId="40" xfId="8" applyFont="1" applyBorder="1" applyAlignment="1">
      <alignment horizontal="center" vertical="center" wrapText="1"/>
    </xf>
    <xf numFmtId="9" fontId="7" fillId="0" borderId="4" xfId="8" applyFont="1" applyBorder="1" applyAlignment="1">
      <alignment horizontal="center" vertical="center" wrapText="1"/>
    </xf>
    <xf numFmtId="0" fontId="7" fillId="0" borderId="41" xfId="7" applyFont="1" applyBorder="1" applyAlignment="1">
      <alignment vertical="center" wrapText="1"/>
    </xf>
    <xf numFmtId="0" fontId="7" fillId="0" borderId="42" xfId="7" applyFont="1" applyBorder="1" applyAlignment="1">
      <alignment horizontal="left" vertical="center" wrapText="1"/>
    </xf>
    <xf numFmtId="0" fontId="29" fillId="0" borderId="16" xfId="7" applyFont="1" applyBorder="1" applyAlignment="1">
      <alignment horizontal="left" vertical="center" wrapText="1"/>
    </xf>
    <xf numFmtId="9" fontId="7" fillId="0" borderId="43" xfId="8" applyFont="1" applyBorder="1" applyAlignment="1">
      <alignment horizontal="center" vertical="center" wrapText="1"/>
    </xf>
    <xf numFmtId="9" fontId="7" fillId="0" borderId="44" xfId="8" applyFont="1" applyBorder="1" applyAlignment="1">
      <alignment horizontal="center" vertical="center" wrapText="1"/>
    </xf>
    <xf numFmtId="0" fontId="7" fillId="0" borderId="45" xfId="7" applyFont="1" applyBorder="1" applyAlignment="1">
      <alignment vertical="center" wrapText="1"/>
    </xf>
    <xf numFmtId="0" fontId="7" fillId="0" borderId="46" xfId="7" applyFont="1" applyBorder="1" applyAlignment="1">
      <alignment vertical="center" wrapText="1"/>
    </xf>
    <xf numFmtId="0" fontId="29" fillId="0" borderId="23" xfId="7" applyFont="1" applyBorder="1" applyAlignment="1">
      <alignment horizontal="left" vertical="center" wrapText="1"/>
    </xf>
    <xf numFmtId="0" fontId="7" fillId="3" borderId="48" xfId="9" applyFont="1" applyFill="1" applyBorder="1" applyAlignment="1">
      <alignment horizontal="center" vertical="center" wrapText="1"/>
    </xf>
    <xf numFmtId="0" fontId="7" fillId="0" borderId="21" xfId="7" applyFont="1" applyBorder="1" applyAlignment="1">
      <alignment horizontal="center" vertical="center" wrapText="1"/>
    </xf>
    <xf numFmtId="0" fontId="7" fillId="3" borderId="49" xfId="9" applyFont="1" applyFill="1" applyBorder="1" applyAlignment="1">
      <alignment vertical="center" wrapText="1"/>
    </xf>
    <xf numFmtId="0" fontId="7" fillId="0" borderId="50" xfId="7" applyFont="1" applyBorder="1" applyAlignment="1">
      <alignment horizontal="left" vertical="center" wrapText="1"/>
    </xf>
    <xf numFmtId="0" fontId="2" fillId="0" borderId="51" xfId="7" applyBorder="1" applyAlignment="1">
      <alignment horizontal="center" vertical="center"/>
    </xf>
    <xf numFmtId="0" fontId="2" fillId="0" borderId="21" xfId="7" applyBorder="1" applyAlignment="1">
      <alignment horizontal="center" vertical="center"/>
    </xf>
    <xf numFmtId="0" fontId="30" fillId="0" borderId="52" xfId="7" applyFont="1" applyBorder="1" applyAlignment="1">
      <alignment vertical="center"/>
    </xf>
    <xf numFmtId="0" fontId="2" fillId="0" borderId="8" xfId="7" applyBorder="1" applyAlignment="1">
      <alignment wrapText="1"/>
    </xf>
    <xf numFmtId="0" fontId="7" fillId="0" borderId="36" xfId="7" applyFont="1" applyBorder="1" applyAlignment="1">
      <alignment horizontal="center" vertical="center" wrapText="1"/>
    </xf>
    <xf numFmtId="0" fontId="7" fillId="0" borderId="20" xfId="7" applyFont="1" applyBorder="1" applyAlignment="1">
      <alignment horizontal="center" vertical="center" wrapText="1"/>
    </xf>
    <xf numFmtId="0" fontId="7" fillId="0" borderId="38" xfId="7" applyFont="1" applyBorder="1" applyAlignment="1">
      <alignment horizontal="left" vertical="center" wrapText="1"/>
    </xf>
    <xf numFmtId="0" fontId="2" fillId="5" borderId="22" xfId="7" applyFill="1" applyBorder="1" applyAlignment="1" applyProtection="1">
      <alignment horizontal="center" vertical="center"/>
      <protection locked="0"/>
    </xf>
    <xf numFmtId="0" fontId="2" fillId="5" borderId="20" xfId="7" applyFill="1" applyBorder="1" applyAlignment="1" applyProtection="1">
      <alignment horizontal="center" vertical="center"/>
      <protection locked="0"/>
    </xf>
    <xf numFmtId="0" fontId="29" fillId="0" borderId="19" xfId="7" applyFont="1" applyBorder="1" applyAlignment="1">
      <alignment vertical="center"/>
    </xf>
    <xf numFmtId="0" fontId="7" fillId="0" borderId="53" xfId="7" applyFont="1" applyBorder="1" applyAlignment="1">
      <alignment horizontal="center" vertical="center" wrapText="1"/>
    </xf>
    <xf numFmtId="0" fontId="7" fillId="0" borderId="15" xfId="7" applyFont="1" applyBorder="1" applyAlignment="1">
      <alignment horizontal="center" vertical="center" wrapText="1"/>
    </xf>
    <xf numFmtId="0" fontId="7" fillId="0" borderId="54" xfId="7" applyFont="1" applyBorder="1" applyAlignment="1">
      <alignment vertical="center" wrapText="1"/>
    </xf>
    <xf numFmtId="0" fontId="2" fillId="5" borderId="17" xfId="7" applyFill="1" applyBorder="1" applyAlignment="1" applyProtection="1">
      <alignment horizontal="center" vertical="center"/>
      <protection locked="0"/>
    </xf>
    <xf numFmtId="0" fontId="2" fillId="5" borderId="15" xfId="7" applyFill="1" applyBorder="1" applyAlignment="1" applyProtection="1">
      <alignment horizontal="center" vertical="center"/>
      <protection locked="0"/>
    </xf>
    <xf numFmtId="0" fontId="29" fillId="0" borderId="16" xfId="7" applyFont="1" applyBorder="1" applyAlignment="1">
      <alignment vertical="center"/>
    </xf>
    <xf numFmtId="3" fontId="2" fillId="3" borderId="26" xfId="9" applyNumberFormat="1" applyFill="1" applyBorder="1" applyAlignment="1">
      <alignment horizontal="center" vertical="center"/>
    </xf>
    <xf numFmtId="3" fontId="7" fillId="0" borderId="15" xfId="7" applyNumberFormat="1" applyFont="1" applyBorder="1" applyAlignment="1">
      <alignment horizontal="center" vertical="center" wrapText="1"/>
    </xf>
    <xf numFmtId="0" fontId="7" fillId="0" borderId="55" xfId="7" applyFont="1" applyBorder="1" applyAlignment="1">
      <alignment vertical="center" wrapText="1"/>
    </xf>
    <xf numFmtId="0" fontId="7" fillId="0" borderId="42" xfId="9" applyFont="1" applyBorder="1" applyAlignment="1">
      <alignment vertical="center" wrapText="1"/>
    </xf>
    <xf numFmtId="1" fontId="2" fillId="5" borderId="17" xfId="9" applyNumberFormat="1" applyFill="1" applyBorder="1" applyAlignment="1" applyProtection="1">
      <alignment horizontal="center" vertical="center"/>
      <protection locked="0"/>
    </xf>
    <xf numFmtId="1" fontId="2" fillId="0" borderId="15" xfId="9" applyNumberFormat="1" applyBorder="1" applyAlignment="1">
      <alignment horizontal="center" vertical="center"/>
    </xf>
    <xf numFmtId="0" fontId="30" fillId="0" borderId="16" xfId="9" applyFont="1" applyBorder="1" applyAlignment="1">
      <alignment horizontal="left" vertical="center"/>
    </xf>
    <xf numFmtId="0" fontId="7" fillId="3" borderId="0" xfId="7" applyFont="1" applyFill="1" applyAlignment="1">
      <alignment wrapText="1"/>
    </xf>
    <xf numFmtId="1" fontId="2" fillId="5" borderId="17" xfId="7" applyNumberFormat="1" applyFill="1" applyBorder="1" applyAlignment="1" applyProtection="1">
      <alignment horizontal="center" vertical="center"/>
      <protection locked="0"/>
    </xf>
    <xf numFmtId="0" fontId="30" fillId="0" borderId="16" xfId="7" applyFont="1" applyBorder="1" applyAlignment="1">
      <alignment vertical="center"/>
    </xf>
    <xf numFmtId="0" fontId="2" fillId="0" borderId="56" xfId="7" applyBorder="1"/>
    <xf numFmtId="3" fontId="7" fillId="0" borderId="15" xfId="9" applyNumberFormat="1" applyFont="1" applyBorder="1" applyAlignment="1">
      <alignment horizontal="center" vertical="center" wrapText="1"/>
    </xf>
    <xf numFmtId="0" fontId="7" fillId="0" borderId="42" xfId="7" applyFont="1" applyBorder="1" applyAlignment="1">
      <alignment vertical="center" wrapText="1"/>
    </xf>
    <xf numFmtId="0" fontId="30" fillId="0" borderId="57" xfId="7" applyFont="1" applyBorder="1" applyAlignment="1">
      <alignment horizontal="center" vertical="center" wrapText="1"/>
    </xf>
    <xf numFmtId="0" fontId="30" fillId="0" borderId="13" xfId="7" applyFont="1" applyBorder="1" applyAlignment="1">
      <alignment horizontal="center" vertical="center" wrapText="1"/>
    </xf>
    <xf numFmtId="0" fontId="30" fillId="0" borderId="58" xfId="7" applyFont="1" applyBorder="1" applyAlignment="1">
      <alignment wrapText="1"/>
    </xf>
    <xf numFmtId="0" fontId="30" fillId="0" borderId="59" xfId="7" applyFont="1" applyBorder="1" applyAlignment="1">
      <alignment horizontal="left" vertical="center" wrapText="1"/>
    </xf>
    <xf numFmtId="0" fontId="2" fillId="5" borderId="14" xfId="7" applyFill="1" applyBorder="1" applyAlignment="1" applyProtection="1">
      <alignment horizontal="center" vertical="center"/>
      <protection locked="0"/>
    </xf>
    <xf numFmtId="0" fontId="30" fillId="0" borderId="12" xfId="7" applyFont="1" applyBorder="1" applyAlignment="1">
      <alignment vertical="center"/>
    </xf>
    <xf numFmtId="2" fontId="7" fillId="0" borderId="48" xfId="9" applyNumberFormat="1" applyFont="1" applyBorder="1" applyAlignment="1">
      <alignment horizontal="center" vertical="center" wrapText="1"/>
    </xf>
    <xf numFmtId="2" fontId="7" fillId="0" borderId="21" xfId="7" applyNumberFormat="1" applyFont="1" applyBorder="1" applyAlignment="1">
      <alignment horizontal="center" vertical="center" wrapText="1"/>
    </xf>
    <xf numFmtId="0" fontId="7" fillId="0" borderId="60" xfId="7" applyFont="1" applyBorder="1" applyAlignment="1">
      <alignment vertical="center" wrapText="1"/>
    </xf>
    <xf numFmtId="0" fontId="7" fillId="0" borderId="50" xfId="9" applyFont="1" applyBorder="1" applyAlignment="1">
      <alignment vertical="center" wrapText="1"/>
    </xf>
    <xf numFmtId="2" fontId="2" fillId="5" borderId="51" xfId="9" applyNumberFormat="1" applyFill="1" applyBorder="1" applyAlignment="1" applyProtection="1">
      <alignment horizontal="center" vertical="center" wrapText="1"/>
      <protection locked="0"/>
    </xf>
    <xf numFmtId="0" fontId="2" fillId="5" borderId="15" xfId="9" applyFill="1" applyBorder="1" applyAlignment="1" applyProtection="1">
      <alignment horizontal="center" vertical="center" wrapText="1"/>
      <protection locked="0"/>
    </xf>
    <xf numFmtId="0" fontId="29" fillId="0" borderId="52" xfId="7" applyFont="1" applyBorder="1" applyAlignment="1">
      <alignment vertical="center"/>
    </xf>
    <xf numFmtId="0" fontId="7" fillId="0" borderId="26" xfId="7" applyFont="1" applyBorder="1" applyAlignment="1">
      <alignment horizontal="center" vertical="center" wrapText="1"/>
    </xf>
    <xf numFmtId="0" fontId="7" fillId="0" borderId="54" xfId="9" applyFont="1" applyBorder="1" applyAlignment="1">
      <alignment vertical="center" wrapText="1"/>
    </xf>
    <xf numFmtId="0" fontId="2" fillId="5" borderId="17" xfId="9" applyFill="1" applyBorder="1" applyAlignment="1" applyProtection="1">
      <alignment horizontal="center" vertical="center" wrapText="1"/>
      <protection locked="0"/>
    </xf>
    <xf numFmtId="0" fontId="7" fillId="0" borderId="40" xfId="7" applyFont="1" applyBorder="1" applyAlignment="1">
      <alignment horizontal="center" vertical="center" wrapText="1"/>
    </xf>
    <xf numFmtId="0" fontId="2" fillId="5" borderId="15" xfId="9" applyFill="1" applyBorder="1" applyAlignment="1" applyProtection="1">
      <alignment horizontal="center" vertical="center"/>
      <protection locked="0"/>
    </xf>
    <xf numFmtId="0" fontId="2" fillId="0" borderId="15" xfId="7" applyBorder="1" applyAlignment="1">
      <alignment horizontal="center" vertical="center"/>
    </xf>
    <xf numFmtId="0" fontId="7" fillId="0" borderId="15" xfId="9" applyFont="1" applyBorder="1" applyAlignment="1">
      <alignment vertical="center" wrapText="1"/>
    </xf>
    <xf numFmtId="0" fontId="30" fillId="0" borderId="53" xfId="7" applyFont="1" applyBorder="1" applyAlignment="1">
      <alignment horizontal="center" vertical="center" wrapText="1"/>
    </xf>
    <xf numFmtId="0" fontId="30" fillId="0" borderId="15" xfId="7" applyFont="1" applyBorder="1" applyAlignment="1">
      <alignment horizontal="center" vertical="center" wrapText="1"/>
    </xf>
    <xf numFmtId="0" fontId="30" fillId="0" borderId="15" xfId="9" applyFont="1" applyBorder="1" applyAlignment="1">
      <alignment vertical="center" wrapText="1"/>
    </xf>
    <xf numFmtId="0" fontId="30" fillId="0" borderId="42" xfId="7" applyFont="1" applyBorder="1" applyAlignment="1">
      <alignment horizontal="left" vertical="center" wrapText="1"/>
    </xf>
    <xf numFmtId="1" fontId="2" fillId="5" borderId="15" xfId="9" applyNumberFormat="1" applyFill="1" applyBorder="1" applyAlignment="1">
      <alignment horizontal="center" vertical="center"/>
    </xf>
    <xf numFmtId="0" fontId="30" fillId="0" borderId="61" xfId="7" applyFont="1" applyBorder="1" applyAlignment="1">
      <alignment horizontal="center" vertical="center" wrapText="1"/>
    </xf>
    <xf numFmtId="0" fontId="30" fillId="0" borderId="47" xfId="7" applyFont="1" applyBorder="1" applyAlignment="1">
      <alignment horizontal="center" vertical="center" wrapText="1"/>
    </xf>
    <xf numFmtId="0" fontId="30" fillId="0" borderId="46" xfId="7" applyFont="1" applyBorder="1" applyAlignment="1">
      <alignment horizontal="left" vertical="center" wrapText="1"/>
    </xf>
    <xf numFmtId="0" fontId="2" fillId="5" borderId="62" xfId="7" applyFill="1" applyBorder="1" applyAlignment="1" applyProtection="1">
      <alignment horizontal="center" vertical="center"/>
      <protection locked="0"/>
    </xf>
    <xf numFmtId="0" fontId="30" fillId="0" borderId="23" xfId="7" applyFont="1" applyBorder="1" applyAlignment="1">
      <alignment vertical="center"/>
    </xf>
    <xf numFmtId="0" fontId="31" fillId="0" borderId="9" xfId="7" applyFont="1" applyBorder="1" applyAlignment="1">
      <alignment horizontal="center"/>
    </xf>
    <xf numFmtId="0" fontId="31" fillId="0" borderId="7" xfId="7" applyFont="1" applyBorder="1" applyAlignment="1">
      <alignment horizontal="center"/>
    </xf>
    <xf numFmtId="0" fontId="31" fillId="0" borderId="63" xfId="9" applyFont="1" applyBorder="1" applyAlignment="1">
      <alignment horizontal="center" vertical="center"/>
    </xf>
    <xf numFmtId="0" fontId="31" fillId="0" borderId="64" xfId="7" applyFont="1" applyBorder="1" applyAlignment="1">
      <alignment horizontal="center" vertical="center"/>
    </xf>
    <xf numFmtId="0" fontId="31" fillId="0" borderId="32" xfId="7" applyFont="1" applyBorder="1" applyAlignment="1">
      <alignment horizontal="center"/>
    </xf>
    <xf numFmtId="0" fontId="31" fillId="0" borderId="31" xfId="7" applyFont="1" applyBorder="1" applyAlignment="1">
      <alignment horizontal="center"/>
    </xf>
    <xf numFmtId="0" fontId="2" fillId="0" borderId="65" xfId="7" applyBorder="1"/>
    <xf numFmtId="0" fontId="2" fillId="0" borderId="56" xfId="7" applyBorder="1" applyAlignment="1">
      <alignment horizontal="left" vertical="center"/>
    </xf>
    <xf numFmtId="0" fontId="10" fillId="0" borderId="67" xfId="4" applyFont="1" applyBorder="1" applyAlignment="1" applyProtection="1">
      <alignment horizontal="left" vertical="center" wrapText="1"/>
      <protection locked="0"/>
    </xf>
    <xf numFmtId="0" fontId="10" fillId="0" borderId="68" xfId="4" applyFont="1" applyBorder="1" applyAlignment="1" applyProtection="1">
      <alignment horizontal="left" vertical="center" wrapText="1"/>
      <protection locked="0"/>
    </xf>
    <xf numFmtId="0" fontId="10" fillId="0" borderId="1" xfId="4" applyFont="1" applyBorder="1" applyAlignment="1" applyProtection="1">
      <alignment horizontal="left" vertical="center" wrapText="1"/>
      <protection locked="0"/>
    </xf>
    <xf numFmtId="0" fontId="10" fillId="0" borderId="1" xfId="5" applyFont="1" applyBorder="1" applyAlignment="1" applyProtection="1">
      <alignment horizontal="left" vertical="center" wrapText="1"/>
      <protection locked="0"/>
    </xf>
    <xf numFmtId="0" fontId="15" fillId="5" borderId="1" xfId="4" applyFont="1" applyFill="1" applyBorder="1" applyAlignment="1" applyProtection="1">
      <alignment horizontal="left" vertical="center" wrapText="1"/>
      <protection locked="0"/>
    </xf>
    <xf numFmtId="0" fontId="10" fillId="0" borderId="69" xfId="4" applyFont="1" applyBorder="1" applyAlignment="1" applyProtection="1">
      <alignment horizontal="left" vertical="center" wrapText="1"/>
      <protection locked="0"/>
    </xf>
    <xf numFmtId="0" fontId="10" fillId="0" borderId="68" xfId="4" applyFont="1" applyBorder="1" applyAlignment="1" applyProtection="1">
      <alignment horizontal="left" vertical="center"/>
      <protection locked="0"/>
    </xf>
    <xf numFmtId="0" fontId="23" fillId="0" borderId="1" xfId="4" applyFont="1" applyBorder="1" applyAlignment="1" applyProtection="1">
      <alignment horizontal="left" vertical="center" wrapText="1"/>
      <protection locked="0"/>
    </xf>
    <xf numFmtId="0" fontId="23" fillId="3" borderId="1" xfId="4" applyFont="1" applyFill="1" applyBorder="1" applyAlignment="1" applyProtection="1">
      <alignment horizontal="left" vertical="center" wrapText="1"/>
      <protection locked="0"/>
    </xf>
    <xf numFmtId="0" fontId="25" fillId="3" borderId="1" xfId="4" applyFont="1" applyFill="1" applyBorder="1" applyAlignment="1" applyProtection="1">
      <alignment horizontal="left" vertical="center" wrapText="1"/>
      <protection locked="0"/>
    </xf>
    <xf numFmtId="0" fontId="10" fillId="0" borderId="1" xfId="4" applyFont="1" applyBorder="1" applyAlignment="1" applyProtection="1">
      <alignment horizontal="center" vertical="center" wrapText="1"/>
      <protection locked="0"/>
    </xf>
    <xf numFmtId="0" fontId="10" fillId="0" borderId="70" xfId="4" applyFont="1" applyBorder="1" applyAlignment="1" applyProtection="1">
      <alignment horizontal="left" vertical="center" wrapText="1"/>
      <protection locked="0"/>
    </xf>
    <xf numFmtId="0" fontId="16" fillId="0" borderId="68" xfId="4" applyFont="1" applyBorder="1" applyAlignment="1" applyProtection="1">
      <alignment horizontal="left" vertical="center" wrapText="1"/>
      <protection locked="0"/>
    </xf>
    <xf numFmtId="0" fontId="28" fillId="0" borderId="70" xfId="4" applyFont="1" applyBorder="1" applyAlignment="1" applyProtection="1">
      <alignment horizontal="center" vertical="center" wrapText="1"/>
      <protection locked="0"/>
    </xf>
    <xf numFmtId="0" fontId="28" fillId="0" borderId="68" xfId="4" applyFont="1" applyBorder="1" applyAlignment="1" applyProtection="1">
      <alignment horizontal="center" vertical="center" wrapText="1"/>
      <protection locked="0"/>
    </xf>
    <xf numFmtId="0" fontId="3" fillId="0" borderId="68" xfId="4" applyFont="1" applyBorder="1" applyAlignment="1" applyProtection="1">
      <alignment horizontal="left" vertical="center" wrapText="1"/>
      <protection locked="0"/>
    </xf>
    <xf numFmtId="0" fontId="3" fillId="0" borderId="1" xfId="4" applyFont="1" applyBorder="1" applyAlignment="1" applyProtection="1">
      <alignment horizontal="left" vertical="center" wrapText="1"/>
      <protection locked="0"/>
    </xf>
    <xf numFmtId="0" fontId="26" fillId="5" borderId="67" xfId="4" applyFont="1" applyFill="1" applyBorder="1" applyAlignment="1" applyProtection="1">
      <alignment horizontal="left" vertical="center" wrapText="1"/>
      <protection locked="0"/>
    </xf>
    <xf numFmtId="0" fontId="26" fillId="5" borderId="1" xfId="4" applyFont="1" applyFill="1" applyBorder="1" applyAlignment="1" applyProtection="1">
      <alignment horizontal="left" vertical="center" wrapText="1"/>
      <protection locked="0"/>
    </xf>
    <xf numFmtId="0" fontId="3" fillId="0" borderId="1" xfId="4" applyFont="1" applyBorder="1" applyAlignment="1" applyProtection="1">
      <alignment vertical="center" wrapText="1"/>
      <protection locked="0"/>
    </xf>
    <xf numFmtId="0" fontId="3" fillId="0" borderId="68" xfId="4" applyFont="1" applyBorder="1" applyAlignment="1" applyProtection="1">
      <alignment vertical="center" wrapText="1"/>
      <protection locked="0"/>
    </xf>
    <xf numFmtId="0" fontId="3" fillId="0" borderId="68" xfId="4" applyFont="1" applyBorder="1" applyAlignment="1" applyProtection="1">
      <alignment horizontal="center" vertical="center" wrapText="1"/>
      <protection locked="0"/>
    </xf>
    <xf numFmtId="0" fontId="3" fillId="0" borderId="1" xfId="4" applyFont="1" applyBorder="1" applyAlignment="1" applyProtection="1">
      <alignment horizontal="center" vertical="center" wrapText="1"/>
      <protection locked="0"/>
    </xf>
    <xf numFmtId="0" fontId="3" fillId="0" borderId="67" xfId="4" applyFont="1" applyBorder="1" applyAlignment="1" applyProtection="1">
      <alignment horizontal="left" vertical="center" wrapText="1"/>
      <protection locked="0"/>
    </xf>
    <xf numFmtId="0" fontId="17" fillId="3" borderId="68" xfId="4" applyFont="1" applyFill="1" applyBorder="1" applyAlignment="1" applyProtection="1">
      <alignment horizontal="left" vertical="center" wrapText="1"/>
      <protection locked="0"/>
    </xf>
    <xf numFmtId="0" fontId="17" fillId="3" borderId="1" xfId="4" applyFont="1" applyFill="1" applyBorder="1" applyAlignment="1" applyProtection="1">
      <alignment horizontal="left" vertical="center" wrapText="1"/>
      <protection locked="0"/>
    </xf>
    <xf numFmtId="0" fontId="22" fillId="0" borderId="1" xfId="4" applyFont="1" applyBorder="1" applyAlignment="1" applyProtection="1">
      <alignment horizontal="left" vertical="center" wrapText="1"/>
      <protection locked="0"/>
    </xf>
    <xf numFmtId="0" fontId="3" fillId="0" borderId="71" xfId="4" applyFont="1" applyBorder="1" applyAlignment="1" applyProtection="1">
      <alignment horizontal="center" vertical="center" wrapText="1"/>
      <protection locked="0"/>
    </xf>
    <xf numFmtId="0" fontId="3" fillId="0" borderId="10" xfId="4" applyFont="1" applyBorder="1" applyAlignment="1" applyProtection="1">
      <alignment horizontal="left" vertical="center" wrapText="1"/>
      <protection locked="0"/>
    </xf>
    <xf numFmtId="9" fontId="10" fillId="0" borderId="15" xfId="1"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5" xfId="0" applyFont="1" applyBorder="1" applyProtection="1">
      <protection locked="0"/>
    </xf>
    <xf numFmtId="0" fontId="11" fillId="0" borderId="15" xfId="0" applyFont="1" applyBorder="1" applyAlignment="1" applyProtection="1">
      <alignment horizontal="center" vertical="center"/>
      <protection locked="0"/>
    </xf>
    <xf numFmtId="0" fontId="11" fillId="2" borderId="15" xfId="3" applyFont="1" applyFill="1" applyBorder="1" applyAlignment="1">
      <alignment horizontal="center" vertical="center" wrapText="1"/>
    </xf>
    <xf numFmtId="0" fontId="11" fillId="0" borderId="15" xfId="0" applyFont="1" applyBorder="1" applyAlignment="1" applyProtection="1">
      <alignment horizontal="center" vertical="center" wrapText="1"/>
      <protection locked="0"/>
    </xf>
    <xf numFmtId="0" fontId="11" fillId="0" borderId="15" xfId="0" applyFont="1" applyBorder="1" applyProtection="1">
      <protection locked="0"/>
    </xf>
    <xf numFmtId="0" fontId="11" fillId="2" borderId="15" xfId="0" applyFont="1" applyFill="1" applyBorder="1" applyAlignment="1" applyProtection="1">
      <alignment horizontal="center" vertical="center" wrapText="1"/>
      <protection locked="0"/>
    </xf>
    <xf numFmtId="0" fontId="10" fillId="0" borderId="15" xfId="4" applyFont="1" applyBorder="1" applyProtection="1">
      <protection locked="0"/>
    </xf>
    <xf numFmtId="0" fontId="11" fillId="0" borderId="15" xfId="4" applyFont="1" applyBorder="1" applyAlignment="1" applyProtection="1">
      <alignment horizontal="center" vertical="center"/>
      <protection locked="0"/>
    </xf>
    <xf numFmtId="9" fontId="10" fillId="0" borderId="15" xfId="1" applyFont="1" applyBorder="1" applyAlignment="1">
      <alignment horizontal="center" vertical="center"/>
    </xf>
    <xf numFmtId="0" fontId="10" fillId="0" borderId="15" xfId="0" applyFont="1" applyBorder="1" applyAlignment="1">
      <alignment horizontal="center" vertical="center"/>
    </xf>
    <xf numFmtId="0" fontId="10" fillId="0" borderId="15" xfId="4" applyFont="1" applyBorder="1"/>
    <xf numFmtId="0" fontId="11" fillId="0" borderId="15" xfId="4" applyFont="1" applyBorder="1" applyAlignment="1">
      <alignment horizontal="center" vertical="center"/>
    </xf>
    <xf numFmtId="0" fontId="10" fillId="0" borderId="15" xfId="0" applyFont="1" applyBorder="1"/>
    <xf numFmtId="0" fontId="11" fillId="0" borderId="15" xfId="0" applyFont="1" applyBorder="1" applyAlignment="1">
      <alignment horizontal="center" vertical="center"/>
    </xf>
    <xf numFmtId="9" fontId="23" fillId="0" borderId="15" xfId="1" applyFont="1" applyBorder="1" applyAlignment="1">
      <alignment horizontal="center" vertical="center"/>
    </xf>
    <xf numFmtId="0" fontId="23" fillId="0" borderId="15" xfId="0" applyFont="1" applyBorder="1" applyAlignment="1" applyProtection="1">
      <alignment horizontal="center" vertical="center"/>
      <protection locked="0"/>
    </xf>
    <xf numFmtId="0" fontId="23" fillId="0" borderId="15" xfId="4" applyFont="1" applyBorder="1" applyProtection="1">
      <protection locked="0"/>
    </xf>
    <xf numFmtId="0" fontId="24" fillId="0" borderId="15" xfId="4" applyFont="1" applyBorder="1" applyAlignment="1">
      <alignment horizontal="center" vertical="center" wrapText="1"/>
    </xf>
    <xf numFmtId="0" fontId="23" fillId="0" borderId="15" xfId="0" applyFont="1" applyBorder="1" applyProtection="1">
      <protection locked="0"/>
    </xf>
    <xf numFmtId="0" fontId="25" fillId="0" borderId="15" xfId="4" applyFont="1" applyBorder="1" applyProtection="1">
      <protection locked="0"/>
    </xf>
    <xf numFmtId="0" fontId="24" fillId="0" borderId="15" xfId="4" applyFont="1" applyBorder="1" applyAlignment="1" applyProtection="1">
      <alignment horizontal="center" vertical="center" wrapText="1"/>
      <protection locked="0"/>
    </xf>
    <xf numFmtId="0" fontId="25" fillId="0" borderId="15" xfId="0" applyFont="1" applyBorder="1" applyProtection="1">
      <protection locked="0"/>
    </xf>
    <xf numFmtId="9" fontId="16" fillId="0" borderId="15" xfId="1" applyFont="1" applyBorder="1" applyAlignment="1" applyProtection="1">
      <alignment horizontal="center" vertical="center"/>
      <protection locked="0"/>
    </xf>
    <xf numFmtId="0" fontId="16" fillId="0" borderId="15" xfId="0" applyFont="1" applyBorder="1" applyAlignment="1" applyProtection="1">
      <alignment horizontal="center" vertical="center"/>
      <protection locked="0"/>
    </xf>
    <xf numFmtId="0" fontId="16" fillId="0" borderId="15" xfId="4" applyFont="1" applyBorder="1" applyProtection="1">
      <protection locked="0"/>
    </xf>
    <xf numFmtId="0" fontId="27" fillId="0" borderId="15" xfId="4" applyFont="1" applyBorder="1" applyAlignment="1">
      <alignment horizontal="center" vertical="center"/>
    </xf>
    <xf numFmtId="0" fontId="16" fillId="0" borderId="15" xfId="0" applyFont="1" applyBorder="1" applyProtection="1">
      <protection locked="0"/>
    </xf>
    <xf numFmtId="9" fontId="12" fillId="0" borderId="15" xfId="1" applyFont="1" applyBorder="1" applyAlignment="1" applyProtection="1">
      <alignment horizontal="center" vertical="center"/>
      <protection locked="0"/>
    </xf>
    <xf numFmtId="9" fontId="12" fillId="0" borderId="15" xfId="1" applyFont="1" applyBorder="1" applyAlignment="1">
      <alignment horizontal="center" vertical="center"/>
    </xf>
    <xf numFmtId="9" fontId="7" fillId="0" borderId="15" xfId="1" applyFont="1" applyBorder="1" applyAlignment="1">
      <alignment horizontal="center" vertical="center"/>
    </xf>
    <xf numFmtId="0" fontId="3" fillId="0" borderId="15" xfId="0" applyFont="1" applyBorder="1" applyAlignment="1" applyProtection="1">
      <alignment horizontal="center" vertical="center"/>
      <protection locked="0"/>
    </xf>
    <xf numFmtId="0" fontId="3" fillId="0" borderId="15" xfId="4" applyFont="1" applyBorder="1" applyProtection="1">
      <protection locked="0"/>
    </xf>
    <xf numFmtId="0" fontId="5" fillId="0" borderId="15" xfId="4" applyFont="1" applyBorder="1" applyAlignment="1">
      <alignment horizontal="center" vertical="center"/>
    </xf>
    <xf numFmtId="0" fontId="3" fillId="0" borderId="15" xfId="0" applyFont="1" applyBorder="1" applyProtection="1">
      <protection locked="0"/>
    </xf>
    <xf numFmtId="0" fontId="3" fillId="0" borderId="15" xfId="0" applyFont="1" applyBorder="1" applyAlignment="1">
      <alignment horizontal="center" vertical="center"/>
    </xf>
    <xf numFmtId="0" fontId="3" fillId="0" borderId="15" xfId="4" applyFont="1" applyBorder="1"/>
    <xf numFmtId="0" fontId="3" fillId="0" borderId="15" xfId="0" applyFont="1" applyBorder="1"/>
    <xf numFmtId="0" fontId="5" fillId="0" borderId="15" xfId="4" applyFont="1" applyBorder="1" applyProtection="1">
      <protection locked="0"/>
    </xf>
    <xf numFmtId="9" fontId="7" fillId="0" borderId="15" xfId="1" applyFont="1" applyBorder="1" applyAlignment="1" applyProtection="1">
      <alignment horizontal="center" vertical="center"/>
      <protection locked="0"/>
    </xf>
    <xf numFmtId="0" fontId="5" fillId="0" borderId="15" xfId="4" applyFont="1" applyBorder="1" applyAlignment="1" applyProtection="1">
      <alignment horizontal="center" vertical="center"/>
      <protection locked="0"/>
    </xf>
    <xf numFmtId="9" fontId="20" fillId="0" borderId="15" xfId="1" applyFont="1" applyBorder="1" applyAlignment="1" applyProtection="1">
      <alignment horizontal="center" vertical="center"/>
      <protection locked="0"/>
    </xf>
    <xf numFmtId="0" fontId="17" fillId="0" borderId="15" xfId="0" applyFont="1" applyBorder="1" applyAlignment="1" applyProtection="1">
      <alignment horizontal="center" vertical="center" wrapText="1"/>
      <protection locked="0"/>
    </xf>
    <xf numFmtId="0" fontId="17" fillId="0" borderId="15" xfId="4" applyFont="1" applyBorder="1" applyAlignment="1" applyProtection="1">
      <alignment wrapText="1"/>
      <protection locked="0"/>
    </xf>
    <xf numFmtId="0" fontId="18" fillId="0" borderId="15" xfId="4" applyFont="1" applyBorder="1" applyAlignment="1" applyProtection="1">
      <alignment horizontal="center" vertical="center" wrapText="1"/>
      <protection locked="0"/>
    </xf>
    <xf numFmtId="0" fontId="17" fillId="0" borderId="15" xfId="0" applyFont="1" applyBorder="1" applyAlignment="1" applyProtection="1">
      <alignment wrapText="1"/>
      <protection locked="0"/>
    </xf>
    <xf numFmtId="0" fontId="17" fillId="0" borderId="15" xfId="0" applyFont="1" applyBorder="1" applyAlignment="1" applyProtection="1">
      <alignment horizontal="center" vertical="center"/>
      <protection locked="0"/>
    </xf>
    <xf numFmtId="0" fontId="17" fillId="0" borderId="15" xfId="4" applyFont="1" applyBorder="1" applyProtection="1">
      <protection locked="0"/>
    </xf>
    <xf numFmtId="0" fontId="17" fillId="0" borderId="15" xfId="0" applyFont="1" applyBorder="1" applyProtection="1">
      <protection locked="0"/>
    </xf>
    <xf numFmtId="9" fontId="20" fillId="0" borderId="15" xfId="1" applyFont="1" applyBorder="1" applyAlignment="1">
      <alignment horizontal="center" vertical="center"/>
    </xf>
    <xf numFmtId="0" fontId="18" fillId="0" borderId="15" xfId="4" applyFont="1" applyBorder="1" applyAlignment="1">
      <alignment horizontal="center" vertical="center" wrapText="1"/>
    </xf>
    <xf numFmtId="0" fontId="22" fillId="0" borderId="15" xfId="0" applyFont="1" applyBorder="1" applyProtection="1">
      <protection locked="0"/>
    </xf>
    <xf numFmtId="0" fontId="21" fillId="0" borderId="15" xfId="4" applyFont="1" applyBorder="1" applyAlignment="1" applyProtection="1">
      <alignment horizontal="center" vertical="center" wrapText="1"/>
      <protection locked="0"/>
    </xf>
    <xf numFmtId="0" fontId="3" fillId="0" borderId="15" xfId="4" applyFont="1" applyBorder="1" applyAlignment="1" applyProtection="1">
      <alignment wrapText="1"/>
      <protection locked="0"/>
    </xf>
    <xf numFmtId="0" fontId="3" fillId="3" borderId="14" xfId="4" applyFont="1" applyFill="1" applyBorder="1" applyAlignment="1" applyProtection="1">
      <alignment horizontal="center" vertical="center" wrapText="1"/>
      <protection locked="0"/>
    </xf>
    <xf numFmtId="0" fontId="3" fillId="3" borderId="1" xfId="4" applyFont="1" applyFill="1" applyBorder="1" applyAlignment="1" applyProtection="1">
      <alignment horizontal="left" vertical="center" wrapText="1"/>
      <protection locked="0"/>
    </xf>
    <xf numFmtId="9" fontId="7" fillId="3" borderId="15" xfId="1" applyFont="1" applyFill="1" applyBorder="1" applyAlignment="1" applyProtection="1">
      <alignment horizontal="center" vertical="center"/>
      <protection locked="0"/>
    </xf>
    <xf numFmtId="0" fontId="3" fillId="3" borderId="15" xfId="0" applyFont="1" applyFill="1" applyBorder="1" applyAlignment="1" applyProtection="1">
      <alignment horizontal="center" vertical="center"/>
      <protection locked="0"/>
    </xf>
    <xf numFmtId="0" fontId="3" fillId="3" borderId="15" xfId="4" applyFont="1" applyFill="1" applyBorder="1" applyProtection="1">
      <protection locked="0"/>
    </xf>
    <xf numFmtId="0" fontId="5" fillId="3" borderId="15" xfId="4" applyFont="1" applyFill="1" applyBorder="1" applyAlignment="1" applyProtection="1">
      <alignment horizontal="center" vertical="center"/>
      <protection locked="0"/>
    </xf>
    <xf numFmtId="0" fontId="3" fillId="3" borderId="15" xfId="0" applyFont="1" applyFill="1" applyBorder="1" applyProtection="1">
      <protection locked="0"/>
    </xf>
    <xf numFmtId="0" fontId="3" fillId="3" borderId="0" xfId="4" applyFont="1" applyFill="1" applyProtection="1">
      <protection locked="0"/>
    </xf>
    <xf numFmtId="0" fontId="6" fillId="3" borderId="15" xfId="0" applyFont="1" applyFill="1" applyBorder="1" applyProtection="1">
      <protection locked="0"/>
    </xf>
    <xf numFmtId="0" fontId="32" fillId="3" borderId="15" xfId="0" applyFont="1" applyFill="1" applyBorder="1" applyAlignment="1">
      <alignment horizontal="right" vertical="center" wrapText="1"/>
    </xf>
    <xf numFmtId="0" fontId="8" fillId="0" borderId="14" xfId="4" applyFont="1" applyBorder="1" applyAlignment="1">
      <alignment horizontal="left" vertical="center" wrapText="1"/>
    </xf>
    <xf numFmtId="0" fontId="34" fillId="3" borderId="15" xfId="0" applyFont="1" applyFill="1" applyBorder="1" applyAlignment="1">
      <alignment horizontal="left" vertical="center" wrapText="1"/>
    </xf>
    <xf numFmtId="0" fontId="3" fillId="0" borderId="18" xfId="4" applyFont="1" applyBorder="1" applyAlignment="1">
      <alignment vertical="center" wrapText="1"/>
    </xf>
    <xf numFmtId="0" fontId="3" fillId="0" borderId="72" xfId="4" applyFont="1" applyBorder="1" applyAlignment="1" applyProtection="1">
      <alignment horizontal="left" vertical="center" wrapText="1"/>
      <protection locked="0"/>
    </xf>
    <xf numFmtId="9" fontId="7" fillId="0" borderId="0" xfId="8" applyFont="1" applyAlignment="1">
      <alignment horizontal="center" vertical="center"/>
    </xf>
    <xf numFmtId="0" fontId="3" fillId="0" borderId="0" xfId="0" applyFont="1" applyAlignment="1" applyProtection="1">
      <alignment horizontal="center" vertical="center"/>
      <protection locked="0"/>
    </xf>
    <xf numFmtId="0" fontId="5" fillId="0" borderId="0" xfId="4" applyFont="1" applyAlignment="1">
      <alignment horizontal="center" vertical="center"/>
    </xf>
    <xf numFmtId="0" fontId="3" fillId="0" borderId="0" xfId="0" applyFont="1" applyProtection="1">
      <protection locked="0"/>
    </xf>
    <xf numFmtId="0" fontId="37" fillId="0" borderId="13" xfId="4" applyFont="1" applyBorder="1" applyAlignment="1">
      <alignment horizontal="left" vertical="center" wrapText="1"/>
    </xf>
    <xf numFmtId="0" fontId="35" fillId="0" borderId="18" xfId="4" applyFont="1" applyBorder="1" applyAlignment="1">
      <alignment vertical="center" wrapText="1"/>
    </xf>
    <xf numFmtId="0" fontId="11" fillId="0" borderId="0" xfId="2" applyFont="1" applyAlignment="1" applyProtection="1">
      <alignment horizontal="center" vertical="center" wrapText="1"/>
      <protection locked="0"/>
    </xf>
    <xf numFmtId="0" fontId="24" fillId="3" borderId="25" xfId="2" applyFont="1" applyFill="1" applyBorder="1" applyAlignment="1" applyProtection="1">
      <alignment horizontal="center" vertical="center" wrapText="1"/>
      <protection locked="0"/>
    </xf>
    <xf numFmtId="0" fontId="3" fillId="0" borderId="21" xfId="0" applyFont="1" applyBorder="1" applyAlignment="1">
      <alignment horizontal="center" vertical="center" wrapText="1"/>
    </xf>
    <xf numFmtId="0" fontId="3" fillId="0" borderId="13" xfId="3" applyFont="1" applyBorder="1" applyAlignment="1">
      <alignment horizontal="center" vertical="center"/>
    </xf>
    <xf numFmtId="0" fontId="3" fillId="0" borderId="13" xfId="0" applyFont="1" applyBorder="1" applyAlignment="1">
      <alignment horizontal="center" vertical="center"/>
    </xf>
    <xf numFmtId="0" fontId="17" fillId="0" borderId="13" xfId="2" applyFont="1" applyBorder="1" applyAlignment="1">
      <alignment horizontal="center" vertical="center" wrapText="1"/>
    </xf>
    <xf numFmtId="0" fontId="17" fillId="3" borderId="13" xfId="2" applyFont="1" applyFill="1" applyBorder="1" applyAlignment="1">
      <alignment horizontal="center" vertical="center" wrapText="1"/>
    </xf>
    <xf numFmtId="0" fontId="18" fillId="3" borderId="13" xfId="2" applyFont="1" applyFill="1" applyBorder="1" applyAlignment="1">
      <alignment horizontal="center" vertical="center" wrapText="1"/>
    </xf>
    <xf numFmtId="0" fontId="3" fillId="0" borderId="27" xfId="0" applyFont="1" applyBorder="1" applyAlignment="1">
      <alignment horizontal="center" vertical="center" wrapText="1"/>
    </xf>
    <xf numFmtId="0" fontId="8" fillId="0" borderId="13" xfId="3" applyFont="1" applyBorder="1" applyAlignment="1">
      <alignment horizontal="center" vertical="center"/>
    </xf>
    <xf numFmtId="0" fontId="3" fillId="7" borderId="13" xfId="0" applyFont="1" applyFill="1" applyBorder="1" applyAlignment="1" applyProtection="1">
      <alignment horizontal="center" vertical="center" wrapText="1"/>
      <protection locked="0"/>
    </xf>
    <xf numFmtId="0" fontId="10" fillId="0" borderId="13" xfId="0" applyFont="1" applyBorder="1" applyAlignment="1">
      <alignment horizontal="center" vertical="center" wrapText="1"/>
    </xf>
    <xf numFmtId="0" fontId="3" fillId="0" borderId="13" xfId="2" applyFont="1" applyBorder="1" applyAlignment="1">
      <alignment horizontal="center" vertical="center" wrapText="1"/>
    </xf>
    <xf numFmtId="0" fontId="3" fillId="0" borderId="15" xfId="2" applyFont="1" applyBorder="1" applyAlignment="1">
      <alignment horizontal="center" vertical="center" wrapText="1"/>
    </xf>
    <xf numFmtId="0" fontId="3" fillId="7" borderId="15" xfId="2" applyFont="1" applyFill="1" applyBorder="1" applyAlignment="1" applyProtection="1">
      <alignment horizontal="center" vertical="center" wrapText="1"/>
      <protection locked="0"/>
    </xf>
    <xf numFmtId="0" fontId="3" fillId="7" borderId="4" xfId="2" applyFont="1" applyFill="1" applyBorder="1" applyAlignment="1" applyProtection="1">
      <alignment horizontal="center" vertical="center" wrapText="1"/>
      <protection locked="0"/>
    </xf>
    <xf numFmtId="0" fontId="17" fillId="3" borderId="15" xfId="0" applyFont="1" applyFill="1" applyBorder="1" applyAlignment="1" applyProtection="1">
      <alignment horizontal="center" vertical="center" wrapText="1"/>
      <protection locked="0"/>
    </xf>
    <xf numFmtId="0" fontId="17" fillId="3" borderId="15" xfId="0" applyFont="1" applyFill="1" applyBorder="1" applyAlignment="1">
      <alignment horizontal="center" vertical="center" wrapText="1"/>
    </xf>
    <xf numFmtId="0" fontId="19" fillId="0" borderId="13" xfId="0" applyFont="1" applyBorder="1" applyAlignment="1" applyProtection="1">
      <alignment horizontal="center" vertical="center" wrapText="1"/>
      <protection locked="0"/>
    </xf>
    <xf numFmtId="0" fontId="3" fillId="0" borderId="7" xfId="0" applyFont="1" applyBorder="1" applyAlignment="1">
      <alignment horizontal="center" vertical="center" wrapText="1"/>
    </xf>
    <xf numFmtId="0" fontId="5" fillId="7" borderId="13" xfId="0" applyFont="1" applyFill="1" applyBorder="1" applyAlignment="1" applyProtection="1">
      <alignment horizontal="center" vertical="center" wrapText="1"/>
      <protection locked="0"/>
    </xf>
    <xf numFmtId="0" fontId="3" fillId="7" borderId="15" xfId="4" applyFont="1" applyFill="1" applyBorder="1" applyAlignment="1" applyProtection="1">
      <alignment horizontal="left" vertical="center" wrapText="1"/>
      <protection locked="0"/>
    </xf>
    <xf numFmtId="0" fontId="3" fillId="7" borderId="15" xfId="4" applyFont="1" applyFill="1" applyBorder="1" applyAlignment="1" applyProtection="1">
      <alignment horizontal="right" vertical="center" wrapText="1"/>
      <protection locked="0"/>
    </xf>
    <xf numFmtId="0" fontId="3" fillId="7" borderId="5" xfId="4" applyFont="1" applyFill="1" applyBorder="1" applyAlignment="1" applyProtection="1">
      <alignment horizontal="left" vertical="center" wrapText="1"/>
      <protection locked="0"/>
    </xf>
    <xf numFmtId="0" fontId="3" fillId="7" borderId="15" xfId="4" applyFont="1" applyFill="1" applyBorder="1" applyProtection="1">
      <protection locked="0"/>
    </xf>
    <xf numFmtId="0" fontId="3" fillId="7" borderId="17" xfId="4" applyFont="1" applyFill="1" applyBorder="1" applyProtection="1">
      <protection locked="0"/>
    </xf>
    <xf numFmtId="0" fontId="26" fillId="7" borderId="15" xfId="4" applyFont="1" applyFill="1" applyBorder="1" applyAlignment="1" applyProtection="1">
      <alignment vertical="center" wrapText="1"/>
      <protection locked="0"/>
    </xf>
    <xf numFmtId="0" fontId="26" fillId="7" borderId="17" xfId="4" applyFont="1" applyFill="1" applyBorder="1" applyAlignment="1" applyProtection="1">
      <alignment vertical="center" wrapText="1"/>
      <protection locked="0"/>
    </xf>
    <xf numFmtId="0" fontId="10" fillId="7" borderId="16" xfId="3" applyFont="1" applyFill="1" applyBorder="1" applyAlignment="1" applyProtection="1">
      <alignment horizontal="center" vertical="center"/>
      <protection locked="0"/>
    </xf>
    <xf numFmtId="0" fontId="11" fillId="7" borderId="15" xfId="2" applyFont="1" applyFill="1" applyBorder="1" applyAlignment="1" applyProtection="1">
      <alignment horizontal="center" vertical="center" wrapText="1"/>
      <protection locked="0"/>
    </xf>
    <xf numFmtId="0" fontId="10" fillId="7" borderId="15" xfId="0" applyFont="1" applyFill="1" applyBorder="1" applyAlignment="1" applyProtection="1">
      <alignment horizontal="left" vertical="center" wrapText="1"/>
      <protection locked="0"/>
    </xf>
    <xf numFmtId="0" fontId="10" fillId="7" borderId="13" xfId="3" applyFont="1" applyFill="1" applyBorder="1" applyAlignment="1" applyProtection="1">
      <alignment horizontal="center" vertical="center" wrapText="1"/>
      <protection locked="0"/>
    </xf>
    <xf numFmtId="0" fontId="10" fillId="7" borderId="15" xfId="0" applyFont="1" applyFill="1" applyBorder="1" applyAlignment="1" applyProtection="1">
      <alignment horizontal="right" vertical="center" wrapText="1"/>
      <protection locked="0"/>
    </xf>
    <xf numFmtId="0" fontId="10" fillId="7" borderId="13" xfId="0" applyFont="1" applyFill="1" applyBorder="1" applyAlignment="1" applyProtection="1">
      <alignment horizontal="center" vertical="center" wrapText="1"/>
      <protection locked="0"/>
    </xf>
    <xf numFmtId="0" fontId="10" fillId="7" borderId="13" xfId="4" applyFont="1" applyFill="1" applyBorder="1" applyAlignment="1" applyProtection="1">
      <alignment horizontal="left" vertical="center" wrapText="1"/>
      <protection locked="0"/>
    </xf>
    <xf numFmtId="0" fontId="10" fillId="7" borderId="15" xfId="4" applyFont="1" applyFill="1" applyBorder="1" applyAlignment="1" applyProtection="1">
      <alignment vertical="center" wrapText="1"/>
      <protection locked="0"/>
    </xf>
    <xf numFmtId="0" fontId="10" fillId="7" borderId="14" xfId="4" applyFont="1" applyFill="1" applyBorder="1" applyAlignment="1" applyProtection="1">
      <alignment horizontal="center" vertical="center" wrapText="1"/>
      <protection locked="0"/>
    </xf>
    <xf numFmtId="0" fontId="3" fillId="7" borderId="12" xfId="3" applyFont="1" applyFill="1" applyBorder="1" applyAlignment="1" applyProtection="1">
      <alignment horizontal="center" vertical="center"/>
      <protection locked="0"/>
    </xf>
    <xf numFmtId="0" fontId="36" fillId="7" borderId="15" xfId="0" applyFont="1" applyFill="1" applyBorder="1" applyAlignment="1" applyProtection="1">
      <alignment horizontal="left" vertical="center" wrapText="1"/>
      <protection locked="0"/>
    </xf>
    <xf numFmtId="0" fontId="10" fillId="7" borderId="15" xfId="3" applyFont="1" applyFill="1" applyBorder="1" applyAlignment="1" applyProtection="1">
      <alignment horizontal="center" vertical="center" wrapText="1"/>
      <protection locked="0"/>
    </xf>
    <xf numFmtId="0" fontId="36" fillId="7" borderId="15" xfId="0" applyFont="1" applyFill="1" applyBorder="1" applyAlignment="1" applyProtection="1">
      <alignment horizontal="right" vertical="center" wrapText="1"/>
      <protection locked="0"/>
    </xf>
    <xf numFmtId="0" fontId="10" fillId="7" borderId="15" xfId="0" applyFont="1" applyFill="1" applyBorder="1" applyAlignment="1" applyProtection="1">
      <alignment horizontal="center" vertical="center" wrapText="1"/>
      <protection locked="0"/>
    </xf>
    <xf numFmtId="0" fontId="14" fillId="7" borderId="4" xfId="4" applyFont="1" applyFill="1" applyBorder="1" applyAlignment="1" applyProtection="1">
      <alignment vertical="center" wrapText="1"/>
      <protection locked="0"/>
    </xf>
    <xf numFmtId="166" fontId="10" fillId="0" borderId="15" xfId="0" applyNumberFormat="1" applyFont="1" applyBorder="1" applyAlignment="1">
      <alignment horizontal="center" vertical="center"/>
    </xf>
    <xf numFmtId="166" fontId="10" fillId="0" borderId="15" xfId="0" applyNumberFormat="1" applyFont="1" applyBorder="1" applyAlignment="1" applyProtection="1">
      <alignment horizontal="center" vertical="center"/>
      <protection locked="0"/>
    </xf>
    <xf numFmtId="166" fontId="23" fillId="0" borderId="15" xfId="0" applyNumberFormat="1" applyFont="1" applyBorder="1" applyAlignment="1">
      <alignment horizontal="center" vertical="center"/>
    </xf>
    <xf numFmtId="164" fontId="10" fillId="0" borderId="4" xfId="0" applyNumberFormat="1" applyFont="1" applyBorder="1" applyAlignment="1">
      <alignment horizontal="right" vertical="center" wrapText="1"/>
    </xf>
    <xf numFmtId="164" fontId="10" fillId="0" borderId="15" xfId="0" applyNumberFormat="1" applyFont="1" applyBorder="1" applyAlignment="1">
      <alignment horizontal="right" vertical="center" wrapText="1"/>
    </xf>
    <xf numFmtId="166" fontId="16" fillId="0" borderId="15" xfId="0" applyNumberFormat="1" applyFont="1" applyBorder="1" applyAlignment="1">
      <alignment horizontal="center" vertical="center"/>
    </xf>
    <xf numFmtId="166" fontId="12" fillId="0" borderId="15" xfId="0" applyNumberFormat="1" applyFont="1" applyBorder="1" applyAlignment="1">
      <alignment horizontal="center" vertical="center"/>
    </xf>
    <xf numFmtId="166" fontId="12" fillId="0" borderId="15" xfId="0" applyNumberFormat="1" applyFont="1" applyBorder="1" applyAlignment="1" applyProtection="1">
      <alignment horizontal="center" vertical="center"/>
      <protection locked="0"/>
    </xf>
    <xf numFmtId="166" fontId="7" fillId="0" borderId="15" xfId="0" applyNumberFormat="1" applyFont="1" applyBorder="1" applyAlignment="1">
      <alignment horizontal="center" vertical="center"/>
    </xf>
    <xf numFmtId="166" fontId="7" fillId="0" borderId="15" xfId="0" applyNumberFormat="1" applyFont="1" applyBorder="1" applyAlignment="1" applyProtection="1">
      <alignment horizontal="center" vertical="center"/>
      <protection locked="0"/>
    </xf>
    <xf numFmtId="166" fontId="7" fillId="3" borderId="15" xfId="0" applyNumberFormat="1" applyFont="1" applyFill="1" applyBorder="1" applyAlignment="1" applyProtection="1">
      <alignment horizontal="center" vertical="center"/>
      <protection locked="0"/>
    </xf>
    <xf numFmtId="166" fontId="20" fillId="0" borderId="15" xfId="0" applyNumberFormat="1" applyFont="1" applyBorder="1" applyAlignment="1" applyProtection="1">
      <alignment horizontal="center" vertical="center" wrapText="1"/>
      <protection locked="0"/>
    </xf>
    <xf numFmtId="166" fontId="20" fillId="0" borderId="15" xfId="0" applyNumberFormat="1" applyFont="1" applyBorder="1" applyAlignment="1">
      <alignment horizontal="center" vertical="center" wrapText="1"/>
    </xf>
    <xf numFmtId="166" fontId="7" fillId="0" borderId="15" xfId="0" applyNumberFormat="1" applyFont="1" applyBorder="1" applyAlignment="1" applyProtection="1">
      <alignment horizontal="center" vertical="center" wrapText="1"/>
      <protection locked="0"/>
    </xf>
    <xf numFmtId="166" fontId="7" fillId="0" borderId="15" xfId="0" applyNumberFormat="1" applyFont="1" applyBorder="1" applyAlignment="1">
      <alignment horizontal="right" vertical="center"/>
    </xf>
    <xf numFmtId="166" fontId="33" fillId="0" borderId="0" xfId="0" applyNumberFormat="1" applyFont="1"/>
    <xf numFmtId="165" fontId="2" fillId="0" borderId="47" xfId="9" applyNumberFormat="1" applyBorder="1" applyAlignment="1">
      <alignment horizontal="center" vertical="center"/>
    </xf>
    <xf numFmtId="165" fontId="2" fillId="5" borderId="47" xfId="7" applyNumberFormat="1" applyFill="1" applyBorder="1" applyAlignment="1" applyProtection="1">
      <alignment horizontal="center" vertical="center"/>
      <protection locked="0"/>
    </xf>
    <xf numFmtId="165" fontId="2" fillId="5" borderId="15" xfId="7" applyNumberFormat="1" applyFill="1" applyBorder="1" applyAlignment="1" applyProtection="1">
      <alignment horizontal="center" vertical="center"/>
      <protection locked="0"/>
    </xf>
    <xf numFmtId="165" fontId="2" fillId="5" borderId="20" xfId="7" applyNumberFormat="1" applyFill="1" applyBorder="1" applyAlignment="1" applyProtection="1">
      <alignment horizontal="center" vertical="center"/>
      <protection locked="0"/>
    </xf>
    <xf numFmtId="166" fontId="7" fillId="0" borderId="0" xfId="0" applyNumberFormat="1" applyFont="1" applyAlignment="1">
      <alignment horizontal="center" vertical="center"/>
    </xf>
    <xf numFmtId="0" fontId="38" fillId="0" borderId="74" xfId="0" applyFont="1" applyBorder="1" applyAlignment="1">
      <alignment horizontal="center" vertical="top"/>
    </xf>
    <xf numFmtId="0" fontId="3" fillId="4" borderId="10" xfId="3" applyFont="1" applyFill="1" applyBorder="1" applyAlignment="1">
      <alignment horizontal="center" vertical="center"/>
    </xf>
    <xf numFmtId="0" fontId="0" fillId="0" borderId="11" xfId="0" applyBorder="1"/>
    <xf numFmtId="0" fontId="10" fillId="2" borderId="73" xfId="2" applyFont="1" applyFill="1" applyBorder="1" applyAlignment="1">
      <alignment horizontal="center" vertical="center" wrapText="1"/>
    </xf>
    <xf numFmtId="0" fontId="0" fillId="0" borderId="2" xfId="0" applyBorder="1"/>
    <xf numFmtId="0" fontId="0" fillId="0" borderId="53" xfId="0" applyBorder="1"/>
    <xf numFmtId="0" fontId="11" fillId="2" borderId="10" xfId="3" applyFont="1" applyFill="1" applyBorder="1" applyAlignment="1">
      <alignment horizontal="center" vertical="center" wrapText="1"/>
    </xf>
    <xf numFmtId="0" fontId="0" fillId="0" borderId="66" xfId="0" applyBorder="1"/>
    <xf numFmtId="0" fontId="10" fillId="4" borderId="10" xfId="3" applyFont="1" applyFill="1" applyBorder="1" applyAlignment="1">
      <alignment horizontal="center" vertical="center"/>
    </xf>
    <xf numFmtId="0" fontId="15" fillId="6" borderId="15" xfId="4" applyFont="1" applyFill="1" applyBorder="1" applyAlignment="1">
      <alignment horizontal="center" vertical="center" wrapText="1"/>
    </xf>
    <xf numFmtId="0" fontId="0" fillId="0" borderId="13" xfId="0" applyBorder="1"/>
    <xf numFmtId="0" fontId="2" fillId="0" borderId="8" xfId="7" applyBorder="1" applyAlignment="1">
      <alignment horizontal="center" vertical="top" textRotation="90" wrapText="1"/>
    </xf>
    <xf numFmtId="0" fontId="0" fillId="0" borderId="29" xfId="0" applyBorder="1"/>
    <xf numFmtId="0" fontId="0" fillId="0" borderId="6" xfId="0" applyBorder="1"/>
    <xf numFmtId="0" fontId="2" fillId="0" borderId="8" xfId="7" applyBorder="1" applyAlignment="1">
      <alignment horizontal="center" vertical="top" textRotation="90"/>
    </xf>
  </cellXfs>
  <cellStyles count="10">
    <cellStyle name="Normal" xfId="0" builtinId="0"/>
    <cellStyle name="Normal 2 2 3" xfId="2" xr:uid="{00000000-0005-0000-0000-000002000000}"/>
    <cellStyle name="Normal 3" xfId="4" xr:uid="{00000000-0005-0000-0000-000004000000}"/>
    <cellStyle name="Normal 3 2" xfId="6" xr:uid="{00000000-0005-0000-0000-000006000000}"/>
    <cellStyle name="Normal 4" xfId="5" xr:uid="{00000000-0005-0000-0000-000005000000}"/>
    <cellStyle name="Normal 4 2" xfId="7" xr:uid="{00000000-0005-0000-0000-000007000000}"/>
    <cellStyle name="Normal 4 2 2 2" xfId="9" xr:uid="{00000000-0005-0000-0000-000009000000}"/>
    <cellStyle name="Normal 5" xfId="3" xr:uid="{00000000-0005-0000-0000-000003000000}"/>
    <cellStyle name="Percent" xfId="1" builtinId="5"/>
    <cellStyle name="Percent 2" xfId="8" xr:uid="{00000000-0005-0000-0000-000008000000}"/>
  </cellStyles>
  <dxfs count="1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3"/>
  <sheetViews>
    <sheetView tabSelected="1" zoomScale="75" zoomScaleNormal="40" workbookViewId="0">
      <pane ySplit="3" topLeftCell="A4" activePane="bottomLeft" state="frozen"/>
      <selection pane="bottomLeft" activeCell="D9" sqref="D9"/>
    </sheetView>
  </sheetViews>
  <sheetFormatPr baseColWidth="10" defaultColWidth="11.6640625" defaultRowHeight="22.25" customHeight="1"/>
  <cols>
    <col min="1" max="1" width="9.5" style="147" customWidth="1"/>
    <col min="2" max="3" width="20" style="147" customWidth="1"/>
    <col min="4" max="4" width="92.83203125" style="147" customWidth="1"/>
    <col min="5" max="5" width="11.6640625" style="147" customWidth="1"/>
    <col min="6" max="6" width="79.83203125" style="147" customWidth="1"/>
    <col min="7" max="10" width="11.6640625" style="147" customWidth="1"/>
    <col min="11" max="11" width="21.83203125" style="147" customWidth="1"/>
    <col min="12" max="12" width="23.5" style="147" customWidth="1"/>
    <col min="13" max="13" width="25" style="147" customWidth="1"/>
    <col min="14" max="14" width="11.6640625" style="147" customWidth="1"/>
    <col min="15" max="15" width="16.1640625" style="147" customWidth="1"/>
    <col min="16" max="16" width="24.1640625" style="147" customWidth="1"/>
    <col min="17" max="17" width="18.33203125" style="147" customWidth="1"/>
    <col min="18" max="18" width="8" style="147" customWidth="1"/>
    <col min="19" max="25" width="11.6640625" style="147" customWidth="1"/>
    <col min="26" max="26" width="14.6640625" style="147" customWidth="1"/>
    <col min="27" max="27" width="11.6640625" style="147" customWidth="1"/>
    <col min="28" max="16384" width="11.6640625" style="147"/>
  </cols>
  <sheetData>
    <row r="1" spans="1:26" ht="22.25" customHeight="1" thickBot="1"/>
    <row r="2" spans="1:26" s="18" customFormat="1" ht="22.25" customHeight="1">
      <c r="A2" s="498" t="s">
        <v>0</v>
      </c>
      <c r="B2" s="499"/>
      <c r="C2" s="499"/>
      <c r="D2" s="499"/>
      <c r="E2" s="499"/>
      <c r="F2" s="499"/>
      <c r="G2" s="499"/>
      <c r="H2" s="499"/>
      <c r="I2" s="499"/>
      <c r="J2" s="499"/>
      <c r="K2" s="499"/>
      <c r="L2" s="499"/>
      <c r="M2" s="499"/>
      <c r="N2" s="499"/>
      <c r="O2" s="500"/>
      <c r="P2" s="501" t="s">
        <v>1</v>
      </c>
      <c r="Q2" s="356"/>
      <c r="R2" s="357"/>
      <c r="S2" s="358"/>
      <c r="T2" s="359"/>
      <c r="U2" s="358"/>
      <c r="V2" s="358"/>
      <c r="W2" s="358"/>
      <c r="X2" s="357"/>
      <c r="Y2" s="357"/>
      <c r="Z2" s="358"/>
    </row>
    <row r="3" spans="1:26" s="25" customFormat="1" ht="48.5" customHeight="1" thickBot="1">
      <c r="A3" s="19" t="s">
        <v>2</v>
      </c>
      <c r="B3" s="20" t="s">
        <v>3</v>
      </c>
      <c r="C3" s="20" t="s">
        <v>4</v>
      </c>
      <c r="D3" s="20" t="s">
        <v>5</v>
      </c>
      <c r="E3" s="22" t="s">
        <v>6</v>
      </c>
      <c r="F3" s="20" t="s">
        <v>7</v>
      </c>
      <c r="G3" s="22" t="s">
        <v>6</v>
      </c>
      <c r="H3" s="20" t="s">
        <v>8</v>
      </c>
      <c r="I3" s="22" t="s">
        <v>9</v>
      </c>
      <c r="J3" s="21" t="s">
        <v>10</v>
      </c>
      <c r="K3" s="21" t="s">
        <v>11</v>
      </c>
      <c r="L3" s="23" t="s">
        <v>12</v>
      </c>
      <c r="M3" s="23" t="s">
        <v>13</v>
      </c>
      <c r="N3" s="24" t="s">
        <v>14</v>
      </c>
      <c r="O3" s="24" t="s">
        <v>15</v>
      </c>
      <c r="P3" s="502"/>
      <c r="Q3" s="360" t="s">
        <v>16</v>
      </c>
      <c r="R3" s="361"/>
      <c r="S3" s="362"/>
      <c r="T3" s="363" t="s">
        <v>17</v>
      </c>
      <c r="U3" s="362"/>
      <c r="V3" s="362"/>
      <c r="W3" s="362"/>
      <c r="X3" s="360" t="s">
        <v>18</v>
      </c>
      <c r="Y3" s="360" t="s">
        <v>19</v>
      </c>
      <c r="Z3" s="360" t="s">
        <v>20</v>
      </c>
    </row>
    <row r="4" spans="1:26" s="18" customFormat="1" ht="22.25" customHeight="1" thickBot="1">
      <c r="A4" s="503" t="s">
        <v>21</v>
      </c>
      <c r="B4" s="497"/>
      <c r="C4" s="497"/>
      <c r="D4" s="497"/>
      <c r="E4" s="497"/>
      <c r="F4" s="497"/>
      <c r="G4" s="497"/>
      <c r="H4" s="497"/>
      <c r="I4" s="497"/>
      <c r="J4" s="497"/>
      <c r="K4" s="497"/>
      <c r="L4" s="497"/>
      <c r="M4" s="497"/>
      <c r="N4" s="497"/>
      <c r="O4" s="497"/>
      <c r="P4" s="497"/>
      <c r="Q4" s="356"/>
      <c r="R4" s="357"/>
      <c r="S4" s="358"/>
      <c r="T4" s="359" t="s">
        <v>22</v>
      </c>
      <c r="U4" s="358"/>
      <c r="V4" s="358"/>
      <c r="W4" s="358"/>
      <c r="X4" s="357"/>
      <c r="Y4" s="474" t="str">
        <f>IF(X4="","",X4*V4)</f>
        <v/>
      </c>
      <c r="Z4" s="357" t="str">
        <f t="shared" ref="Z4:Z36" si="0">IF(T4="yes",Y4,"")</f>
        <v/>
      </c>
    </row>
    <row r="5" spans="1:26" s="18" customFormat="1" ht="22.25" customHeight="1">
      <c r="A5" s="26" t="s">
        <v>23</v>
      </c>
      <c r="B5" s="27" t="s">
        <v>24</v>
      </c>
      <c r="C5" s="27"/>
      <c r="D5" s="28" t="s">
        <v>24</v>
      </c>
      <c r="E5" s="29">
        <f t="shared" ref="E5:E19" si="1">LEN(D5)</f>
        <v>5</v>
      </c>
      <c r="F5" s="28" t="s">
        <v>24</v>
      </c>
      <c r="G5" s="29">
        <f t="shared" ref="G5:G19" si="2">LEN(F5)</f>
        <v>5</v>
      </c>
      <c r="H5" s="29" t="s">
        <v>25</v>
      </c>
      <c r="I5" s="29" t="s">
        <v>23</v>
      </c>
      <c r="J5" s="29" t="s">
        <v>23</v>
      </c>
      <c r="K5" s="29" t="s">
        <v>26</v>
      </c>
      <c r="L5" s="30" t="s">
        <v>27</v>
      </c>
      <c r="M5" s="31" t="s">
        <v>23</v>
      </c>
      <c r="N5" s="31" t="s">
        <v>23</v>
      </c>
      <c r="O5" s="32"/>
      <c r="P5" s="327"/>
      <c r="Q5" s="356"/>
      <c r="R5" s="357"/>
      <c r="S5" s="358"/>
      <c r="T5" s="359" t="s">
        <v>22</v>
      </c>
      <c r="U5" s="358"/>
      <c r="V5" s="358"/>
      <c r="W5" s="358"/>
      <c r="X5" s="475">
        <v>0</v>
      </c>
      <c r="Y5" s="474">
        <f t="shared" ref="Y5:Y36" si="3">IF(X5="","",X5*Q5)</f>
        <v>0</v>
      </c>
      <c r="Z5" s="357" t="str">
        <f t="shared" si="0"/>
        <v/>
      </c>
    </row>
    <row r="6" spans="1:26" s="18" customFormat="1" ht="22.25" customHeight="1">
      <c r="A6" s="26" t="s">
        <v>23</v>
      </c>
      <c r="B6" s="33" t="s">
        <v>28</v>
      </c>
      <c r="C6" s="8" t="s">
        <v>28</v>
      </c>
      <c r="D6" s="34" t="s">
        <v>29</v>
      </c>
      <c r="E6" s="29">
        <f t="shared" si="1"/>
        <v>48</v>
      </c>
      <c r="F6" s="35" t="s">
        <v>30</v>
      </c>
      <c r="G6" s="29">
        <f t="shared" si="2"/>
        <v>29</v>
      </c>
      <c r="H6" s="29" t="s">
        <v>25</v>
      </c>
      <c r="I6" s="29" t="s">
        <v>23</v>
      </c>
      <c r="J6" s="29" t="s">
        <v>23</v>
      </c>
      <c r="K6" s="29" t="s">
        <v>26</v>
      </c>
      <c r="L6" s="30" t="s">
        <v>31</v>
      </c>
      <c r="M6" s="31" t="s">
        <v>23</v>
      </c>
      <c r="N6" s="31" t="s">
        <v>23</v>
      </c>
      <c r="O6" s="32"/>
      <c r="P6" s="328"/>
      <c r="Q6" s="356"/>
      <c r="R6" s="357"/>
      <c r="S6" s="358"/>
      <c r="T6" s="359" t="s">
        <v>32</v>
      </c>
      <c r="U6" s="358"/>
      <c r="V6" s="358"/>
      <c r="W6" s="358"/>
      <c r="X6" s="475">
        <v>0</v>
      </c>
      <c r="Y6" s="474">
        <f t="shared" si="3"/>
        <v>0</v>
      </c>
      <c r="Z6" s="357">
        <f t="shared" si="0"/>
        <v>0</v>
      </c>
    </row>
    <row r="7" spans="1:26" s="18" customFormat="1" ht="119.5" customHeight="1">
      <c r="A7" s="36" t="s">
        <v>23</v>
      </c>
      <c r="B7" s="37" t="s">
        <v>33</v>
      </c>
      <c r="C7" s="8" t="s">
        <v>33</v>
      </c>
      <c r="D7" s="34" t="s">
        <v>34</v>
      </c>
      <c r="E7" s="38">
        <f t="shared" si="1"/>
        <v>146</v>
      </c>
      <c r="F7" s="35" t="s">
        <v>35</v>
      </c>
      <c r="G7" s="38">
        <f t="shared" si="2"/>
        <v>153</v>
      </c>
      <c r="H7" s="39" t="s">
        <v>36</v>
      </c>
      <c r="I7" s="38" t="s">
        <v>23</v>
      </c>
      <c r="J7" s="38" t="s">
        <v>23</v>
      </c>
      <c r="K7" s="38" t="s">
        <v>37</v>
      </c>
      <c r="L7" s="40" t="s">
        <v>38</v>
      </c>
      <c r="M7" s="31" t="s">
        <v>23</v>
      </c>
      <c r="N7" s="41" t="s">
        <v>23</v>
      </c>
      <c r="O7" s="42"/>
      <c r="P7" s="329"/>
      <c r="Q7" s="356"/>
      <c r="R7" s="357"/>
      <c r="S7" s="358"/>
      <c r="T7" s="359" t="s">
        <v>22</v>
      </c>
      <c r="U7" s="358"/>
      <c r="V7" s="358"/>
      <c r="W7" s="358"/>
      <c r="X7" s="475">
        <v>14.69530773162842</v>
      </c>
      <c r="Y7" s="474">
        <f t="shared" si="3"/>
        <v>0</v>
      </c>
      <c r="Z7" s="357" t="str">
        <f t="shared" si="0"/>
        <v/>
      </c>
    </row>
    <row r="8" spans="1:26" s="18" customFormat="1" ht="22.25" customHeight="1">
      <c r="A8" s="36" t="s">
        <v>23</v>
      </c>
      <c r="B8" s="37" t="s">
        <v>39</v>
      </c>
      <c r="C8" s="8" t="s">
        <v>40</v>
      </c>
      <c r="D8" s="43" t="s">
        <v>41</v>
      </c>
      <c r="E8" s="38">
        <f t="shared" si="1"/>
        <v>29</v>
      </c>
      <c r="F8" s="44" t="s">
        <v>42</v>
      </c>
      <c r="G8" s="38">
        <f t="shared" si="2"/>
        <v>33</v>
      </c>
      <c r="H8" s="39" t="s">
        <v>23</v>
      </c>
      <c r="I8" s="39" t="s">
        <v>23</v>
      </c>
      <c r="J8" s="39" t="s">
        <v>23</v>
      </c>
      <c r="K8" s="39" t="s">
        <v>23</v>
      </c>
      <c r="L8" s="45" t="s">
        <v>43</v>
      </c>
      <c r="M8" s="31" t="s">
        <v>23</v>
      </c>
      <c r="N8" s="46" t="s">
        <v>23</v>
      </c>
      <c r="O8" s="47"/>
      <c r="P8" s="330"/>
      <c r="Q8" s="356"/>
      <c r="R8" s="357"/>
      <c r="S8" s="358"/>
      <c r="T8" s="359" t="s">
        <v>22</v>
      </c>
      <c r="U8" s="358"/>
      <c r="V8" s="358"/>
      <c r="W8" s="358"/>
      <c r="X8" s="475">
        <v>0</v>
      </c>
      <c r="Y8" s="474">
        <f t="shared" si="3"/>
        <v>0</v>
      </c>
      <c r="Z8" s="357" t="str">
        <f t="shared" si="0"/>
        <v/>
      </c>
    </row>
    <row r="9" spans="1:26" s="18" customFormat="1" ht="22.25" customHeight="1">
      <c r="A9" s="36" t="s">
        <v>23</v>
      </c>
      <c r="B9" s="37" t="s">
        <v>44</v>
      </c>
      <c r="C9" s="8" t="s">
        <v>45</v>
      </c>
      <c r="D9" s="43" t="s">
        <v>46</v>
      </c>
      <c r="E9" s="38">
        <f t="shared" si="1"/>
        <v>31</v>
      </c>
      <c r="F9" s="44" t="s">
        <v>47</v>
      </c>
      <c r="G9" s="38">
        <f t="shared" si="2"/>
        <v>21</v>
      </c>
      <c r="H9" s="39" t="s">
        <v>23</v>
      </c>
      <c r="I9" s="39" t="s">
        <v>23</v>
      </c>
      <c r="J9" s="39" t="s">
        <v>23</v>
      </c>
      <c r="K9" s="39" t="s">
        <v>23</v>
      </c>
      <c r="L9" s="45" t="s">
        <v>48</v>
      </c>
      <c r="M9" s="31" t="s">
        <v>23</v>
      </c>
      <c r="N9" s="46" t="s">
        <v>23</v>
      </c>
      <c r="O9" s="47"/>
      <c r="P9" s="330"/>
      <c r="Q9" s="356"/>
      <c r="R9" s="357"/>
      <c r="S9" s="358"/>
      <c r="T9" s="359" t="s">
        <v>22</v>
      </c>
      <c r="U9" s="358"/>
      <c r="V9" s="358"/>
      <c r="W9" s="358"/>
      <c r="X9" s="475">
        <v>0</v>
      </c>
      <c r="Y9" s="474">
        <f t="shared" si="3"/>
        <v>0</v>
      </c>
      <c r="Z9" s="357" t="str">
        <f t="shared" si="0"/>
        <v/>
      </c>
    </row>
    <row r="10" spans="1:26" s="18" customFormat="1" ht="22.25" customHeight="1">
      <c r="A10" s="36" t="s">
        <v>23</v>
      </c>
      <c r="B10" s="37" t="s">
        <v>49</v>
      </c>
      <c r="C10" s="8" t="s">
        <v>50</v>
      </c>
      <c r="D10" s="43" t="s">
        <v>51</v>
      </c>
      <c r="E10" s="38">
        <f t="shared" si="1"/>
        <v>34</v>
      </c>
      <c r="F10" s="44" t="s">
        <v>52</v>
      </c>
      <c r="G10" s="38">
        <f t="shared" si="2"/>
        <v>35</v>
      </c>
      <c r="H10" s="39" t="s">
        <v>23</v>
      </c>
      <c r="I10" s="39" t="s">
        <v>23</v>
      </c>
      <c r="J10" s="39" t="s">
        <v>23</v>
      </c>
      <c r="K10" s="39" t="s">
        <v>23</v>
      </c>
      <c r="L10" s="45" t="s">
        <v>53</v>
      </c>
      <c r="M10" s="31" t="s">
        <v>23</v>
      </c>
      <c r="N10" s="46" t="s">
        <v>23</v>
      </c>
      <c r="O10" s="47"/>
      <c r="P10" s="330"/>
      <c r="Q10" s="356"/>
      <c r="R10" s="357"/>
      <c r="S10" s="358"/>
      <c r="T10" s="359" t="s">
        <v>22</v>
      </c>
      <c r="U10" s="358"/>
      <c r="V10" s="358"/>
      <c r="W10" s="358"/>
      <c r="X10" s="475">
        <v>0</v>
      </c>
      <c r="Y10" s="474">
        <f t="shared" si="3"/>
        <v>0</v>
      </c>
      <c r="Z10" s="357" t="str">
        <f t="shared" si="0"/>
        <v/>
      </c>
    </row>
    <row r="11" spans="1:26" s="18" customFormat="1" ht="22.25" customHeight="1">
      <c r="A11" s="36" t="s">
        <v>23</v>
      </c>
      <c r="B11" s="37" t="s">
        <v>54</v>
      </c>
      <c r="C11" s="8" t="s">
        <v>55</v>
      </c>
      <c r="D11" s="43" t="s">
        <v>56</v>
      </c>
      <c r="E11" s="38">
        <f t="shared" si="1"/>
        <v>41</v>
      </c>
      <c r="F11" s="44" t="s">
        <v>57</v>
      </c>
      <c r="G11" s="38">
        <f t="shared" si="2"/>
        <v>35</v>
      </c>
      <c r="H11" s="39" t="s">
        <v>23</v>
      </c>
      <c r="I11" s="39" t="s">
        <v>23</v>
      </c>
      <c r="J11" s="39" t="s">
        <v>23</v>
      </c>
      <c r="K11" s="39" t="s">
        <v>23</v>
      </c>
      <c r="L11" s="45" t="s">
        <v>58</v>
      </c>
      <c r="M11" s="31" t="s">
        <v>23</v>
      </c>
      <c r="N11" s="46" t="s">
        <v>23</v>
      </c>
      <c r="O11" s="47"/>
      <c r="P11" s="330"/>
      <c r="Q11" s="356"/>
      <c r="R11" s="357"/>
      <c r="S11" s="358"/>
      <c r="T11" s="359" t="s">
        <v>22</v>
      </c>
      <c r="U11" s="358"/>
      <c r="V11" s="358"/>
      <c r="W11" s="358"/>
      <c r="X11" s="475">
        <v>0</v>
      </c>
      <c r="Y11" s="474">
        <f t="shared" si="3"/>
        <v>0</v>
      </c>
      <c r="Z11" s="357" t="str">
        <f t="shared" si="0"/>
        <v/>
      </c>
    </row>
    <row r="12" spans="1:26" s="18" customFormat="1" ht="116" customHeight="1">
      <c r="A12" s="36" t="s">
        <v>23</v>
      </c>
      <c r="B12" s="37" t="s">
        <v>59</v>
      </c>
      <c r="C12" s="8" t="s">
        <v>59</v>
      </c>
      <c r="D12" s="48" t="s">
        <v>60</v>
      </c>
      <c r="E12" s="38">
        <f t="shared" si="1"/>
        <v>148</v>
      </c>
      <c r="F12" s="125" t="s">
        <v>61</v>
      </c>
      <c r="G12" s="38">
        <f t="shared" si="2"/>
        <v>124</v>
      </c>
      <c r="H12" s="39" t="s">
        <v>36</v>
      </c>
      <c r="I12" s="38" t="s">
        <v>23</v>
      </c>
      <c r="J12" s="38" t="s">
        <v>23</v>
      </c>
      <c r="K12" s="38" t="s">
        <v>37</v>
      </c>
      <c r="L12" s="40" t="s">
        <v>62</v>
      </c>
      <c r="M12" s="31" t="s">
        <v>23</v>
      </c>
      <c r="N12" s="49" t="s">
        <v>63</v>
      </c>
      <c r="O12" s="50"/>
      <c r="P12" s="331" t="s">
        <v>64</v>
      </c>
      <c r="Q12" s="356"/>
      <c r="R12" s="357"/>
      <c r="S12" s="358"/>
      <c r="T12" s="359" t="s">
        <v>22</v>
      </c>
      <c r="U12" s="358"/>
      <c r="V12" s="358"/>
      <c r="W12" s="358"/>
      <c r="X12" s="475">
        <v>3.103272438049316</v>
      </c>
      <c r="Y12" s="474">
        <f t="shared" si="3"/>
        <v>0</v>
      </c>
      <c r="Z12" s="357" t="str">
        <f t="shared" si="0"/>
        <v/>
      </c>
    </row>
    <row r="13" spans="1:26" s="18" customFormat="1" ht="275" customHeight="1">
      <c r="A13" s="36" t="s">
        <v>23</v>
      </c>
      <c r="B13" s="37" t="s">
        <v>65</v>
      </c>
      <c r="C13" s="8" t="s">
        <v>65</v>
      </c>
      <c r="D13" s="51" t="s">
        <v>66</v>
      </c>
      <c r="E13" s="38">
        <f t="shared" si="1"/>
        <v>996</v>
      </c>
      <c r="F13" s="125" t="s">
        <v>67</v>
      </c>
      <c r="G13" s="38">
        <f t="shared" si="2"/>
        <v>759</v>
      </c>
      <c r="H13" s="39" t="s">
        <v>36</v>
      </c>
      <c r="I13" s="38" t="s">
        <v>23</v>
      </c>
      <c r="J13" s="38" t="s">
        <v>23</v>
      </c>
      <c r="K13" s="38" t="s">
        <v>37</v>
      </c>
      <c r="L13" s="40" t="s">
        <v>68</v>
      </c>
      <c r="M13" s="31" t="s">
        <v>23</v>
      </c>
      <c r="N13" s="49" t="s">
        <v>69</v>
      </c>
      <c r="O13" s="50"/>
      <c r="P13" s="331" t="s">
        <v>70</v>
      </c>
      <c r="Q13" s="356"/>
      <c r="R13" s="357"/>
      <c r="S13" s="358"/>
      <c r="T13" s="359" t="s">
        <v>22</v>
      </c>
      <c r="U13" s="358"/>
      <c r="V13" s="358"/>
      <c r="W13" s="358"/>
      <c r="X13" s="475">
        <v>37.418449401855469</v>
      </c>
      <c r="Y13" s="474">
        <f t="shared" si="3"/>
        <v>0</v>
      </c>
      <c r="Z13" s="357" t="str">
        <f t="shared" si="0"/>
        <v/>
      </c>
    </row>
    <row r="14" spans="1:26" s="53" customFormat="1" ht="52.25" customHeight="1">
      <c r="A14" s="36" t="s">
        <v>23</v>
      </c>
      <c r="B14" s="37" t="s">
        <v>71</v>
      </c>
      <c r="C14" s="8" t="s">
        <v>72</v>
      </c>
      <c r="D14" s="34" t="s">
        <v>73</v>
      </c>
      <c r="E14" s="38">
        <f t="shared" si="1"/>
        <v>134</v>
      </c>
      <c r="F14" s="125" t="s">
        <v>74</v>
      </c>
      <c r="G14" s="38">
        <f t="shared" si="2"/>
        <v>119</v>
      </c>
      <c r="H14" s="39" t="s">
        <v>75</v>
      </c>
      <c r="I14" s="38" t="s">
        <v>23</v>
      </c>
      <c r="J14" s="38" t="s">
        <v>23</v>
      </c>
      <c r="K14" s="38" t="s">
        <v>37</v>
      </c>
      <c r="L14" s="40" t="s">
        <v>76</v>
      </c>
      <c r="M14" s="31" t="s">
        <v>23</v>
      </c>
      <c r="N14" s="40" t="s">
        <v>77</v>
      </c>
      <c r="O14" s="52"/>
      <c r="P14" s="329"/>
      <c r="Q14" s="356">
        <v>1</v>
      </c>
      <c r="R14" s="357"/>
      <c r="S14" s="364"/>
      <c r="T14" s="359" t="s">
        <v>22</v>
      </c>
      <c r="U14" s="358"/>
      <c r="V14" s="364"/>
      <c r="W14" s="364"/>
      <c r="X14" s="475">
        <v>3.805951595306396</v>
      </c>
      <c r="Y14" s="474">
        <f t="shared" si="3"/>
        <v>3.805951595306396</v>
      </c>
      <c r="Z14" s="357" t="str">
        <f t="shared" si="0"/>
        <v/>
      </c>
    </row>
    <row r="15" spans="1:26" s="53" customFormat="1" ht="22.25" customHeight="1">
      <c r="A15" s="36" t="s">
        <v>23</v>
      </c>
      <c r="B15" s="37" t="s">
        <v>78</v>
      </c>
      <c r="C15" s="8" t="s">
        <v>78</v>
      </c>
      <c r="D15" s="54" t="s">
        <v>79</v>
      </c>
      <c r="E15" s="38">
        <f t="shared" si="1"/>
        <v>153</v>
      </c>
      <c r="F15" s="55" t="s">
        <v>80</v>
      </c>
      <c r="G15" s="38">
        <f t="shared" si="2"/>
        <v>122</v>
      </c>
      <c r="H15" s="39" t="s">
        <v>81</v>
      </c>
      <c r="I15" s="38" t="s">
        <v>23</v>
      </c>
      <c r="J15" s="38" t="s">
        <v>23</v>
      </c>
      <c r="K15" s="38" t="s">
        <v>82</v>
      </c>
      <c r="L15" s="40" t="s">
        <v>83</v>
      </c>
      <c r="M15" s="31" t="s">
        <v>23</v>
      </c>
      <c r="N15" s="40" t="s">
        <v>84</v>
      </c>
      <c r="O15" s="52"/>
      <c r="P15" s="329"/>
      <c r="Q15" s="356">
        <v>1</v>
      </c>
      <c r="R15" s="357"/>
      <c r="S15" s="364"/>
      <c r="T15" s="365" t="s">
        <v>22</v>
      </c>
      <c r="U15" s="358"/>
      <c r="V15" s="364"/>
      <c r="W15" s="364"/>
      <c r="X15" s="475">
        <v>0</v>
      </c>
      <c r="Y15" s="474">
        <f t="shared" si="3"/>
        <v>0</v>
      </c>
      <c r="Z15" s="357" t="str">
        <f t="shared" si="0"/>
        <v/>
      </c>
    </row>
    <row r="16" spans="1:26" s="53" customFormat="1" ht="22.25" customHeight="1">
      <c r="A16" s="36" t="s">
        <v>23</v>
      </c>
      <c r="B16" s="37" t="s">
        <v>85</v>
      </c>
      <c r="C16" s="8" t="s">
        <v>86</v>
      </c>
      <c r="D16" s="34" t="s">
        <v>87</v>
      </c>
      <c r="E16" s="38">
        <f t="shared" si="1"/>
        <v>80</v>
      </c>
      <c r="F16" s="56" t="s">
        <v>88</v>
      </c>
      <c r="G16" s="38">
        <f t="shared" si="2"/>
        <v>89</v>
      </c>
      <c r="H16" s="39" t="s">
        <v>25</v>
      </c>
      <c r="I16" s="38" t="s">
        <v>23</v>
      </c>
      <c r="J16" s="38" t="s">
        <v>23</v>
      </c>
      <c r="K16" s="38" t="s">
        <v>89</v>
      </c>
      <c r="L16" s="40" t="s">
        <v>90</v>
      </c>
      <c r="M16" s="31" t="s">
        <v>23</v>
      </c>
      <c r="N16" s="40" t="s">
        <v>91</v>
      </c>
      <c r="O16" s="52"/>
      <c r="P16" s="329"/>
      <c r="Q16" s="356">
        <v>1</v>
      </c>
      <c r="R16" s="357"/>
      <c r="S16" s="364"/>
      <c r="T16" s="365" t="s">
        <v>22</v>
      </c>
      <c r="U16" s="358"/>
      <c r="V16" s="364"/>
      <c r="W16" s="364"/>
      <c r="X16" s="475">
        <v>0</v>
      </c>
      <c r="Y16" s="474">
        <f t="shared" si="3"/>
        <v>0</v>
      </c>
      <c r="Z16" s="357" t="str">
        <f t="shared" si="0"/>
        <v/>
      </c>
    </row>
    <row r="17" spans="1:26" s="53" customFormat="1" ht="66" customHeight="1">
      <c r="A17" s="36" t="s">
        <v>23</v>
      </c>
      <c r="B17" s="37" t="s">
        <v>92</v>
      </c>
      <c r="C17" s="8" t="s">
        <v>93</v>
      </c>
      <c r="D17" s="34" t="s">
        <v>94</v>
      </c>
      <c r="E17" s="38">
        <f t="shared" si="1"/>
        <v>176</v>
      </c>
      <c r="F17" s="35" t="s">
        <v>95</v>
      </c>
      <c r="G17" s="38">
        <f t="shared" si="2"/>
        <v>164</v>
      </c>
      <c r="H17" s="39" t="s">
        <v>25</v>
      </c>
      <c r="I17" s="38" t="s">
        <v>23</v>
      </c>
      <c r="J17" s="38" t="s">
        <v>23</v>
      </c>
      <c r="K17" s="38" t="s">
        <v>26</v>
      </c>
      <c r="L17" s="40" t="s">
        <v>96</v>
      </c>
      <c r="M17" s="31" t="s">
        <v>23</v>
      </c>
      <c r="N17" s="41" t="s">
        <v>23</v>
      </c>
      <c r="O17" s="42"/>
      <c r="P17" s="329"/>
      <c r="Q17" s="356">
        <v>1</v>
      </c>
      <c r="R17" s="357"/>
      <c r="S17" s="364"/>
      <c r="T17" s="365" t="s">
        <v>22</v>
      </c>
      <c r="U17" s="358"/>
      <c r="V17" s="364"/>
      <c r="W17" s="364"/>
      <c r="X17" s="475">
        <v>0</v>
      </c>
      <c r="Y17" s="474">
        <f t="shared" si="3"/>
        <v>0</v>
      </c>
      <c r="Z17" s="357" t="str">
        <f t="shared" si="0"/>
        <v/>
      </c>
    </row>
    <row r="18" spans="1:26" s="53" customFormat="1" ht="38" customHeight="1">
      <c r="A18" s="36" t="s">
        <v>23</v>
      </c>
      <c r="B18" s="37" t="s">
        <v>97</v>
      </c>
      <c r="C18" s="8" t="s">
        <v>23</v>
      </c>
      <c r="D18" s="34" t="s">
        <v>98</v>
      </c>
      <c r="E18" s="38">
        <f t="shared" si="1"/>
        <v>99</v>
      </c>
      <c r="F18" s="35" t="s">
        <v>99</v>
      </c>
      <c r="G18" s="38">
        <f t="shared" si="2"/>
        <v>89</v>
      </c>
      <c r="H18" s="39" t="s">
        <v>23</v>
      </c>
      <c r="I18" s="38" t="s">
        <v>23</v>
      </c>
      <c r="J18" s="38" t="s">
        <v>23</v>
      </c>
      <c r="K18" s="38" t="s">
        <v>23</v>
      </c>
      <c r="L18" s="40" t="s">
        <v>100</v>
      </c>
      <c r="M18" s="31" t="s">
        <v>23</v>
      </c>
      <c r="N18" s="41" t="s">
        <v>23</v>
      </c>
      <c r="O18" s="42"/>
      <c r="P18" s="329"/>
      <c r="Q18" s="356">
        <v>1</v>
      </c>
      <c r="R18" s="357"/>
      <c r="S18" s="364"/>
      <c r="T18" s="365" t="s">
        <v>22</v>
      </c>
      <c r="U18" s="358"/>
      <c r="V18" s="364"/>
      <c r="W18" s="364"/>
      <c r="X18" s="475">
        <v>0</v>
      </c>
      <c r="Y18" s="474">
        <f t="shared" si="3"/>
        <v>0</v>
      </c>
      <c r="Z18" s="357" t="str">
        <f t="shared" si="0"/>
        <v/>
      </c>
    </row>
    <row r="19" spans="1:26" s="53" customFormat="1" ht="22.25" customHeight="1" thickBot="1">
      <c r="A19" s="57" t="s">
        <v>23</v>
      </c>
      <c r="B19" s="58" t="s">
        <v>101</v>
      </c>
      <c r="C19" s="433" t="s">
        <v>102</v>
      </c>
      <c r="D19" s="59" t="s">
        <v>103</v>
      </c>
      <c r="E19" s="60">
        <f t="shared" si="1"/>
        <v>65</v>
      </c>
      <c r="F19" s="61" t="s">
        <v>104</v>
      </c>
      <c r="G19" s="60">
        <f t="shared" si="2"/>
        <v>54</v>
      </c>
      <c r="H19" s="62" t="s">
        <v>23</v>
      </c>
      <c r="I19" s="60" t="s">
        <v>23</v>
      </c>
      <c r="J19" s="60" t="s">
        <v>23</v>
      </c>
      <c r="K19" s="60" t="s">
        <v>23</v>
      </c>
      <c r="L19" s="63" t="s">
        <v>105</v>
      </c>
      <c r="M19" s="31" t="s">
        <v>23</v>
      </c>
      <c r="N19" s="41" t="s">
        <v>23</v>
      </c>
      <c r="O19" s="64"/>
      <c r="P19" s="332"/>
      <c r="Q19" s="356">
        <v>1</v>
      </c>
      <c r="R19" s="357"/>
      <c r="S19" s="364"/>
      <c r="T19" s="365" t="s">
        <v>22</v>
      </c>
      <c r="U19" s="358"/>
      <c r="V19" s="364"/>
      <c r="W19" s="364"/>
      <c r="X19" s="475">
        <v>0</v>
      </c>
      <c r="Y19" s="474">
        <f t="shared" si="3"/>
        <v>0</v>
      </c>
      <c r="Z19" s="357" t="str">
        <f t="shared" si="0"/>
        <v/>
      </c>
    </row>
    <row r="20" spans="1:26" s="65" customFormat="1" ht="22.25" customHeight="1" thickBot="1">
      <c r="A20" s="503" t="s">
        <v>106</v>
      </c>
      <c r="B20" s="497"/>
      <c r="C20" s="497"/>
      <c r="D20" s="497"/>
      <c r="E20" s="497"/>
      <c r="F20" s="497"/>
      <c r="G20" s="497"/>
      <c r="H20" s="497"/>
      <c r="I20" s="497"/>
      <c r="J20" s="497"/>
      <c r="K20" s="497"/>
      <c r="L20" s="497"/>
      <c r="M20" s="497"/>
      <c r="N20" s="497"/>
      <c r="O20" s="497"/>
      <c r="P20" s="497"/>
      <c r="Q20" s="366"/>
      <c r="R20" s="367"/>
      <c r="S20" s="368"/>
      <c r="T20" s="369"/>
      <c r="U20" s="370"/>
      <c r="V20" s="368"/>
      <c r="W20" s="368"/>
      <c r="X20" s="474"/>
      <c r="Y20" s="474" t="str">
        <f t="shared" si="3"/>
        <v/>
      </c>
      <c r="Z20" s="367" t="str">
        <f t="shared" si="0"/>
        <v/>
      </c>
    </row>
    <row r="21" spans="1:26" s="53" customFormat="1" ht="49.25" customHeight="1">
      <c r="A21" s="79" t="s">
        <v>23</v>
      </c>
      <c r="B21" s="80" t="s">
        <v>107</v>
      </c>
      <c r="C21" s="434" t="s">
        <v>107</v>
      </c>
      <c r="D21" s="82" t="s">
        <v>108</v>
      </c>
      <c r="E21" s="83">
        <f>LEN(D21)</f>
        <v>96</v>
      </c>
      <c r="F21" s="84" t="s">
        <v>109</v>
      </c>
      <c r="G21" s="83">
        <f>LEN(F21)</f>
        <v>60</v>
      </c>
      <c r="H21" s="85" t="s">
        <v>25</v>
      </c>
      <c r="I21" s="83" t="s">
        <v>23</v>
      </c>
      <c r="J21" s="83" t="s">
        <v>23</v>
      </c>
      <c r="K21" s="83" t="s">
        <v>26</v>
      </c>
      <c r="L21" s="86" t="s">
        <v>110</v>
      </c>
      <c r="M21" s="31" t="s">
        <v>23</v>
      </c>
      <c r="N21" s="82" t="s">
        <v>111</v>
      </c>
      <c r="O21" s="87"/>
      <c r="P21" s="333"/>
      <c r="Q21" s="366">
        <f>1</f>
        <v>1</v>
      </c>
      <c r="R21" s="357"/>
      <c r="S21" s="364"/>
      <c r="T21" s="369" t="s">
        <v>32</v>
      </c>
      <c r="U21" s="358"/>
      <c r="V21" s="364"/>
      <c r="W21" s="364"/>
      <c r="X21" s="474">
        <v>25.874027252197269</v>
      </c>
      <c r="Y21" s="474">
        <f t="shared" si="3"/>
        <v>25.874027252197269</v>
      </c>
      <c r="Z21" s="357">
        <f t="shared" si="0"/>
        <v>25.874027252197269</v>
      </c>
    </row>
    <row r="22" spans="1:26" s="53" customFormat="1" ht="45" customHeight="1">
      <c r="A22" s="36" t="s">
        <v>23</v>
      </c>
      <c r="B22" s="80" t="s">
        <v>112</v>
      </c>
      <c r="C22" s="434" t="s">
        <v>112</v>
      </c>
      <c r="D22" s="82" t="s">
        <v>113</v>
      </c>
      <c r="E22" s="83">
        <f>LEN(D22)</f>
        <v>95</v>
      </c>
      <c r="F22" s="84" t="s">
        <v>114</v>
      </c>
      <c r="G22" s="83">
        <f>LEN(F22)</f>
        <v>75</v>
      </c>
      <c r="H22" s="85" t="s">
        <v>25</v>
      </c>
      <c r="I22" s="83" t="s">
        <v>23</v>
      </c>
      <c r="J22" s="83" t="s">
        <v>23</v>
      </c>
      <c r="K22" s="83" t="s">
        <v>26</v>
      </c>
      <c r="L22" s="86" t="s">
        <v>115</v>
      </c>
      <c r="M22" s="31" t="s">
        <v>23</v>
      </c>
      <c r="N22" s="88" t="s">
        <v>116</v>
      </c>
      <c r="O22" s="87"/>
      <c r="P22" s="333"/>
      <c r="Q22" s="366">
        <f>1</f>
        <v>1</v>
      </c>
      <c r="R22" s="357"/>
      <c r="S22" s="364"/>
      <c r="T22" s="369" t="s">
        <v>32</v>
      </c>
      <c r="U22" s="358"/>
      <c r="V22" s="364"/>
      <c r="W22" s="364"/>
      <c r="X22" s="474">
        <v>8.5994815826416016</v>
      </c>
      <c r="Y22" s="474">
        <f t="shared" si="3"/>
        <v>8.5994815826416016</v>
      </c>
      <c r="Z22" s="357">
        <f t="shared" si="0"/>
        <v>8.5994815826416016</v>
      </c>
    </row>
    <row r="23" spans="1:26" s="53" customFormat="1" ht="57.5" customHeight="1">
      <c r="A23" s="26">
        <v>1</v>
      </c>
      <c r="B23" s="89" t="s">
        <v>117</v>
      </c>
      <c r="C23" s="435" t="s">
        <v>117</v>
      </c>
      <c r="D23" s="28" t="s">
        <v>118</v>
      </c>
      <c r="E23" s="81">
        <f>LEN(D23)</f>
        <v>177</v>
      </c>
      <c r="F23" s="90" t="s">
        <v>119</v>
      </c>
      <c r="G23" s="81">
        <f>LEN(F23)</f>
        <v>135</v>
      </c>
      <c r="H23" s="81" t="s">
        <v>120</v>
      </c>
      <c r="I23" s="81" t="s">
        <v>23</v>
      </c>
      <c r="J23" s="81" t="s">
        <v>23</v>
      </c>
      <c r="K23" s="81" t="s">
        <v>26</v>
      </c>
      <c r="L23" s="30" t="s">
        <v>121</v>
      </c>
      <c r="M23" s="31" t="s">
        <v>23</v>
      </c>
      <c r="N23" s="91" t="s">
        <v>122</v>
      </c>
      <c r="O23" s="92"/>
      <c r="P23" s="333"/>
      <c r="Q23" s="366">
        <f>1</f>
        <v>1</v>
      </c>
      <c r="R23" s="357"/>
      <c r="S23" s="364"/>
      <c r="T23" s="371" t="s">
        <v>32</v>
      </c>
      <c r="U23" s="358"/>
      <c r="V23" s="364"/>
      <c r="W23" s="364"/>
      <c r="X23" s="474">
        <v>9.8907184600830078</v>
      </c>
      <c r="Y23" s="474">
        <f t="shared" si="3"/>
        <v>9.8907184600830078</v>
      </c>
      <c r="Z23" s="357">
        <f t="shared" si="0"/>
        <v>9.8907184600830078</v>
      </c>
    </row>
    <row r="24" spans="1:26" s="53" customFormat="1" ht="111.5" customHeight="1">
      <c r="A24" s="26">
        <f>A23+1</f>
        <v>2</v>
      </c>
      <c r="B24" s="37" t="s">
        <v>123</v>
      </c>
      <c r="C24" s="8" t="s">
        <v>123</v>
      </c>
      <c r="D24" s="34" t="s">
        <v>124</v>
      </c>
      <c r="E24" s="38">
        <f>LEN(D24)</f>
        <v>168</v>
      </c>
      <c r="F24" s="35" t="s">
        <v>125</v>
      </c>
      <c r="G24" s="38">
        <f>LEN(F24)</f>
        <v>127</v>
      </c>
      <c r="H24" s="39" t="s">
        <v>36</v>
      </c>
      <c r="I24" s="38" t="s">
        <v>23</v>
      </c>
      <c r="J24" s="38" t="s">
        <v>23</v>
      </c>
      <c r="K24" s="38" t="s">
        <v>37</v>
      </c>
      <c r="L24" s="40" t="s">
        <v>126</v>
      </c>
      <c r="M24" s="31" t="s">
        <v>23</v>
      </c>
      <c r="N24" s="30" t="s">
        <v>127</v>
      </c>
      <c r="O24" s="93"/>
      <c r="P24" s="329"/>
      <c r="Q24" s="366">
        <f>1</f>
        <v>1</v>
      </c>
      <c r="R24" s="357"/>
      <c r="S24" s="364"/>
      <c r="T24" s="371" t="s">
        <v>32</v>
      </c>
      <c r="U24" s="358"/>
      <c r="V24" s="364"/>
      <c r="W24" s="364"/>
      <c r="X24" s="474">
        <v>1.7156481742858889</v>
      </c>
      <c r="Y24" s="474">
        <f t="shared" si="3"/>
        <v>1.7156481742858889</v>
      </c>
      <c r="Z24" s="357">
        <f t="shared" si="0"/>
        <v>1.7156481742858889</v>
      </c>
    </row>
    <row r="25" spans="1:26" s="53" customFormat="1" ht="22.25" customHeight="1">
      <c r="A25" s="26"/>
      <c r="B25" s="94"/>
      <c r="C25" s="431"/>
      <c r="D25" s="96"/>
      <c r="E25" s="97"/>
      <c r="F25" s="97"/>
      <c r="G25" s="97"/>
      <c r="H25" s="98"/>
      <c r="I25" s="97"/>
      <c r="J25" s="97"/>
      <c r="K25" s="97"/>
      <c r="L25" s="93"/>
      <c r="M25" s="93"/>
      <c r="N25" s="93"/>
      <c r="O25" s="93"/>
      <c r="P25" s="329"/>
      <c r="Q25" s="356">
        <f>1</f>
        <v>1</v>
      </c>
      <c r="R25" s="357"/>
      <c r="S25" s="364"/>
      <c r="T25" s="359"/>
      <c r="U25" s="358"/>
      <c r="V25" s="364"/>
      <c r="W25" s="364"/>
      <c r="X25" s="475"/>
      <c r="Y25" s="475" t="str">
        <f t="shared" si="3"/>
        <v/>
      </c>
      <c r="Z25" s="357" t="str">
        <f t="shared" si="0"/>
        <v/>
      </c>
    </row>
    <row r="26" spans="1:26" s="132" customFormat="1" ht="114" customHeight="1">
      <c r="A26" s="126"/>
      <c r="B26" s="127" t="s">
        <v>128</v>
      </c>
      <c r="C26" s="436" t="s">
        <v>128</v>
      </c>
      <c r="D26" s="99" t="s">
        <v>129</v>
      </c>
      <c r="E26" s="128">
        <f t="shared" ref="E26:E33" si="4">LEN(D26)</f>
        <v>134</v>
      </c>
      <c r="F26" s="99" t="s">
        <v>130</v>
      </c>
      <c r="G26" s="128">
        <f t="shared" ref="G26:G33" si="5">LEN(F26)</f>
        <v>124</v>
      </c>
      <c r="H26" s="129" t="s">
        <v>36</v>
      </c>
      <c r="I26" s="128" t="s">
        <v>23</v>
      </c>
      <c r="J26" s="128" t="s">
        <v>23</v>
      </c>
      <c r="K26" s="128" t="s">
        <v>37</v>
      </c>
      <c r="L26" s="130" t="s">
        <v>131</v>
      </c>
      <c r="M26" s="31" t="s">
        <v>23</v>
      </c>
      <c r="N26" s="130" t="s">
        <v>132</v>
      </c>
      <c r="O26" s="131"/>
      <c r="P26" s="334"/>
      <c r="Q26" s="372">
        <f>1</f>
        <v>1</v>
      </c>
      <c r="R26" s="373"/>
      <c r="S26" s="374"/>
      <c r="T26" s="375" t="s">
        <v>133</v>
      </c>
      <c r="U26" s="376"/>
      <c r="V26" s="374"/>
      <c r="W26" s="374"/>
      <c r="X26" s="476">
        <v>6.375236988067627</v>
      </c>
      <c r="Y26" s="474">
        <f t="shared" si="3"/>
        <v>6.375236988067627</v>
      </c>
      <c r="Z26" s="357" t="str">
        <f t="shared" si="0"/>
        <v/>
      </c>
    </row>
    <row r="27" spans="1:26" s="132" customFormat="1" ht="40.25" customHeight="1">
      <c r="A27" s="126"/>
      <c r="B27" s="127" t="s">
        <v>134</v>
      </c>
      <c r="C27" s="436" t="s">
        <v>135</v>
      </c>
      <c r="D27" s="99" t="s">
        <v>136</v>
      </c>
      <c r="E27" s="128">
        <f t="shared" si="4"/>
        <v>63</v>
      </c>
      <c r="F27" s="133" t="s">
        <v>137</v>
      </c>
      <c r="G27" s="128">
        <f t="shared" si="5"/>
        <v>54</v>
      </c>
      <c r="H27" s="129" t="s">
        <v>25</v>
      </c>
      <c r="I27" s="128" t="s">
        <v>23</v>
      </c>
      <c r="J27" s="128" t="s">
        <v>23</v>
      </c>
      <c r="K27" s="128" t="s">
        <v>26</v>
      </c>
      <c r="L27" s="130" t="s">
        <v>138</v>
      </c>
      <c r="M27" s="31" t="s">
        <v>23</v>
      </c>
      <c r="N27" s="134" t="s">
        <v>139</v>
      </c>
      <c r="O27" s="135"/>
      <c r="P27" s="334"/>
      <c r="Q27" s="372">
        <f>1</f>
        <v>1</v>
      </c>
      <c r="R27" s="373"/>
      <c r="S27" s="374"/>
      <c r="T27" s="375" t="s">
        <v>133</v>
      </c>
      <c r="U27" s="376"/>
      <c r="V27" s="374"/>
      <c r="W27" s="374"/>
      <c r="X27" s="476">
        <v>28.70000076293945</v>
      </c>
      <c r="Y27" s="474">
        <f t="shared" si="3"/>
        <v>28.70000076293945</v>
      </c>
      <c r="Z27" s="357" t="str">
        <f t="shared" si="0"/>
        <v/>
      </c>
    </row>
    <row r="28" spans="1:26" s="132" customFormat="1" ht="133.25" customHeight="1">
      <c r="A28" s="136"/>
      <c r="B28" s="137" t="s">
        <v>140</v>
      </c>
      <c r="C28" s="437" t="s">
        <v>140</v>
      </c>
      <c r="D28" s="100" t="s">
        <v>141</v>
      </c>
      <c r="E28" s="138">
        <f t="shared" si="4"/>
        <v>211</v>
      </c>
      <c r="F28" s="100" t="s">
        <v>142</v>
      </c>
      <c r="G28" s="138">
        <f t="shared" si="5"/>
        <v>183</v>
      </c>
      <c r="H28" s="139" t="s">
        <v>36</v>
      </c>
      <c r="I28" s="138" t="s">
        <v>23</v>
      </c>
      <c r="J28" s="138" t="s">
        <v>23</v>
      </c>
      <c r="K28" s="138" t="s">
        <v>37</v>
      </c>
      <c r="L28" s="140" t="s">
        <v>143</v>
      </c>
      <c r="M28" s="31" t="s">
        <v>23</v>
      </c>
      <c r="N28" s="141" t="s">
        <v>144</v>
      </c>
      <c r="O28" s="142"/>
      <c r="P28" s="335"/>
      <c r="Q28" s="372">
        <f>1</f>
        <v>1</v>
      </c>
      <c r="R28" s="373"/>
      <c r="S28" s="374"/>
      <c r="T28" s="375" t="s">
        <v>133</v>
      </c>
      <c r="U28" s="376"/>
      <c r="V28" s="374"/>
      <c r="W28" s="374"/>
      <c r="X28" s="476">
        <v>10.14181709289551</v>
      </c>
      <c r="Y28" s="474">
        <f t="shared" si="3"/>
        <v>10.14181709289551</v>
      </c>
      <c r="Z28" s="357" t="str">
        <f t="shared" si="0"/>
        <v/>
      </c>
    </row>
    <row r="29" spans="1:26" s="132" customFormat="1" ht="51.5" customHeight="1">
      <c r="A29" s="136"/>
      <c r="B29" s="137" t="s">
        <v>145</v>
      </c>
      <c r="C29" s="437" t="s">
        <v>145</v>
      </c>
      <c r="D29" s="99" t="s">
        <v>146</v>
      </c>
      <c r="E29" s="138">
        <f t="shared" si="4"/>
        <v>73</v>
      </c>
      <c r="F29" s="133" t="s">
        <v>147</v>
      </c>
      <c r="G29" s="138">
        <f t="shared" si="5"/>
        <v>63</v>
      </c>
      <c r="H29" s="139" t="s">
        <v>25</v>
      </c>
      <c r="I29" s="138" t="s">
        <v>23</v>
      </c>
      <c r="J29" s="138" t="s">
        <v>23</v>
      </c>
      <c r="K29" s="138" t="s">
        <v>26</v>
      </c>
      <c r="L29" s="140" t="s">
        <v>148</v>
      </c>
      <c r="M29" s="31" t="s">
        <v>23</v>
      </c>
      <c r="N29" s="143" t="s">
        <v>149</v>
      </c>
      <c r="O29" s="144"/>
      <c r="P29" s="335"/>
      <c r="Q29" s="372">
        <f>1</f>
        <v>1</v>
      </c>
      <c r="R29" s="373"/>
      <c r="S29" s="374"/>
      <c r="T29" s="375" t="s">
        <v>133</v>
      </c>
      <c r="U29" s="376"/>
      <c r="V29" s="374"/>
      <c r="W29" s="374"/>
      <c r="X29" s="476">
        <v>21.659982681274411</v>
      </c>
      <c r="Y29" s="474">
        <f t="shared" si="3"/>
        <v>21.659982681274411</v>
      </c>
      <c r="Z29" s="357" t="str">
        <f t="shared" si="0"/>
        <v/>
      </c>
    </row>
    <row r="30" spans="1:26" s="132" customFormat="1" ht="46.75" customHeight="1">
      <c r="A30" s="136"/>
      <c r="B30" s="137" t="s">
        <v>150</v>
      </c>
      <c r="C30" s="437" t="s">
        <v>150</v>
      </c>
      <c r="D30" s="99" t="s">
        <v>151</v>
      </c>
      <c r="E30" s="138">
        <f t="shared" si="4"/>
        <v>98</v>
      </c>
      <c r="F30" s="100" t="s">
        <v>152</v>
      </c>
      <c r="G30" s="138">
        <f t="shared" si="5"/>
        <v>94</v>
      </c>
      <c r="H30" s="139" t="s">
        <v>25</v>
      </c>
      <c r="I30" s="138" t="s">
        <v>23</v>
      </c>
      <c r="J30" s="138" t="s">
        <v>153</v>
      </c>
      <c r="K30" s="138" t="s">
        <v>26</v>
      </c>
      <c r="L30" s="140" t="s">
        <v>154</v>
      </c>
      <c r="M30" s="31" t="s">
        <v>23</v>
      </c>
      <c r="N30" s="143" t="s">
        <v>155</v>
      </c>
      <c r="O30" s="106"/>
      <c r="P30" s="335"/>
      <c r="Q30" s="372">
        <f>1</f>
        <v>1</v>
      </c>
      <c r="R30" s="373"/>
      <c r="S30" s="374"/>
      <c r="T30" s="375" t="s">
        <v>133</v>
      </c>
      <c r="U30" s="376"/>
      <c r="V30" s="374"/>
      <c r="W30" s="374"/>
      <c r="X30" s="476">
        <v>11.82179641723633</v>
      </c>
      <c r="Y30" s="474">
        <f t="shared" si="3"/>
        <v>11.82179641723633</v>
      </c>
      <c r="Z30" s="357" t="str">
        <f t="shared" si="0"/>
        <v/>
      </c>
    </row>
    <row r="31" spans="1:26" s="132" customFormat="1" ht="130.25" customHeight="1">
      <c r="A31" s="136"/>
      <c r="B31" s="137" t="s">
        <v>156</v>
      </c>
      <c r="C31" s="437" t="s">
        <v>156</v>
      </c>
      <c r="D31" s="99" t="s">
        <v>141</v>
      </c>
      <c r="E31" s="138">
        <f t="shared" si="4"/>
        <v>211</v>
      </c>
      <c r="F31" s="100" t="s">
        <v>142</v>
      </c>
      <c r="G31" s="138">
        <f t="shared" si="5"/>
        <v>183</v>
      </c>
      <c r="H31" s="139" t="s">
        <v>36</v>
      </c>
      <c r="I31" s="138" t="s">
        <v>23</v>
      </c>
      <c r="J31" s="138" t="s">
        <v>23</v>
      </c>
      <c r="K31" s="138" t="s">
        <v>37</v>
      </c>
      <c r="L31" s="140" t="s">
        <v>157</v>
      </c>
      <c r="M31" s="31" t="s">
        <v>23</v>
      </c>
      <c r="N31" s="141" t="s">
        <v>158</v>
      </c>
      <c r="O31" s="142"/>
      <c r="P31" s="335"/>
      <c r="Q31" s="372">
        <f>1</f>
        <v>1</v>
      </c>
      <c r="R31" s="373"/>
      <c r="S31" s="374"/>
      <c r="T31" s="375" t="s">
        <v>133</v>
      </c>
      <c r="U31" s="376"/>
      <c r="V31" s="374"/>
      <c r="W31" s="374"/>
      <c r="X31" s="476">
        <v>3.163594007492065</v>
      </c>
      <c r="Y31" s="474">
        <f t="shared" si="3"/>
        <v>3.163594007492065</v>
      </c>
      <c r="Z31" s="357" t="str">
        <f t="shared" si="0"/>
        <v/>
      </c>
    </row>
    <row r="32" spans="1:26" s="132" customFormat="1" ht="49.75" customHeight="1">
      <c r="A32" s="136"/>
      <c r="B32" s="137" t="s">
        <v>159</v>
      </c>
      <c r="C32" s="437" t="s">
        <v>159</v>
      </c>
      <c r="D32" s="99" t="s">
        <v>146</v>
      </c>
      <c r="E32" s="138">
        <f t="shared" si="4"/>
        <v>73</v>
      </c>
      <c r="F32" s="133" t="s">
        <v>147</v>
      </c>
      <c r="G32" s="138">
        <f t="shared" si="5"/>
        <v>63</v>
      </c>
      <c r="H32" s="139" t="s">
        <v>25</v>
      </c>
      <c r="I32" s="138" t="s">
        <v>23</v>
      </c>
      <c r="J32" s="138" t="s">
        <v>23</v>
      </c>
      <c r="K32" s="138" t="s">
        <v>26</v>
      </c>
      <c r="L32" s="140" t="s">
        <v>160</v>
      </c>
      <c r="M32" s="31" t="s">
        <v>23</v>
      </c>
      <c r="N32" s="143" t="s">
        <v>161</v>
      </c>
      <c r="O32" s="144"/>
      <c r="P32" s="335"/>
      <c r="Q32" s="372">
        <f>1</f>
        <v>1</v>
      </c>
      <c r="R32" s="373"/>
      <c r="S32" s="374"/>
      <c r="T32" s="375" t="s">
        <v>133</v>
      </c>
      <c r="U32" s="376"/>
      <c r="V32" s="374"/>
      <c r="W32" s="374"/>
      <c r="X32" s="476">
        <v>10.83014392852783</v>
      </c>
      <c r="Y32" s="474">
        <f t="shared" si="3"/>
        <v>10.83014392852783</v>
      </c>
      <c r="Z32" s="357" t="str">
        <f t="shared" si="0"/>
        <v/>
      </c>
    </row>
    <row r="33" spans="1:27" s="132" customFormat="1" ht="40.75" customHeight="1">
      <c r="A33" s="136"/>
      <c r="B33" s="137" t="s">
        <v>162</v>
      </c>
      <c r="C33" s="438" t="s">
        <v>163</v>
      </c>
      <c r="D33" s="99" t="s">
        <v>151</v>
      </c>
      <c r="E33" s="138">
        <f t="shared" si="4"/>
        <v>98</v>
      </c>
      <c r="F33" s="100" t="s">
        <v>164</v>
      </c>
      <c r="G33" s="138">
        <f t="shared" si="5"/>
        <v>92</v>
      </c>
      <c r="H33" s="139" t="s">
        <v>25</v>
      </c>
      <c r="I33" s="138" t="s">
        <v>23</v>
      </c>
      <c r="J33" s="138" t="s">
        <v>165</v>
      </c>
      <c r="K33" s="138" t="s">
        <v>26</v>
      </c>
      <c r="L33" s="140" t="s">
        <v>166</v>
      </c>
      <c r="M33" s="31" t="s">
        <v>23</v>
      </c>
      <c r="N33" s="143" t="s">
        <v>167</v>
      </c>
      <c r="O33" s="106"/>
      <c r="P33" s="335"/>
      <c r="Q33" s="372">
        <f>1</f>
        <v>1</v>
      </c>
      <c r="R33" s="373"/>
      <c r="S33" s="374"/>
      <c r="T33" s="375" t="s">
        <v>133</v>
      </c>
      <c r="U33" s="376"/>
      <c r="V33" s="374"/>
      <c r="W33" s="374"/>
      <c r="X33" s="476">
        <v>11.260416984558111</v>
      </c>
      <c r="Y33" s="474">
        <f t="shared" si="3"/>
        <v>11.260416984558111</v>
      </c>
      <c r="Z33" s="357" t="str">
        <f t="shared" si="0"/>
        <v/>
      </c>
    </row>
    <row r="34" spans="1:27" s="109" customFormat="1" ht="22.25" customHeight="1">
      <c r="A34" s="101"/>
      <c r="B34" s="102"/>
      <c r="C34" s="432"/>
      <c r="D34" s="103"/>
      <c r="E34" s="104"/>
      <c r="F34" s="104"/>
      <c r="G34" s="104"/>
      <c r="H34" s="105"/>
      <c r="I34" s="104"/>
      <c r="J34" s="104"/>
      <c r="K34" s="104"/>
      <c r="L34" s="106"/>
      <c r="M34" s="32"/>
      <c r="N34" s="107"/>
      <c r="O34" s="108"/>
      <c r="P34" s="336"/>
      <c r="Q34" s="356">
        <f>1</f>
        <v>1</v>
      </c>
      <c r="R34" s="357"/>
      <c r="S34" s="377"/>
      <c r="T34" s="378"/>
      <c r="U34" s="379"/>
      <c r="V34" s="377"/>
      <c r="W34" s="377"/>
      <c r="X34" s="475"/>
      <c r="Y34" s="475" t="str">
        <f t="shared" si="3"/>
        <v/>
      </c>
      <c r="Z34" s="357" t="str">
        <f t="shared" si="0"/>
        <v/>
      </c>
    </row>
    <row r="35" spans="1:27" s="53" customFormat="1" ht="39" customHeight="1">
      <c r="A35" s="26">
        <v>3</v>
      </c>
      <c r="B35" s="27" t="s">
        <v>168</v>
      </c>
      <c r="C35" s="8" t="s">
        <v>168</v>
      </c>
      <c r="D35" s="28" t="s">
        <v>169</v>
      </c>
      <c r="E35" s="29">
        <f>LEN(D35)</f>
        <v>229</v>
      </c>
      <c r="F35" s="90" t="s">
        <v>170</v>
      </c>
      <c r="G35" s="29">
        <f>LEN(F35)</f>
        <v>201</v>
      </c>
      <c r="H35" s="110" t="s">
        <v>36</v>
      </c>
      <c r="I35" s="29" t="s">
        <v>23</v>
      </c>
      <c r="J35" s="29" t="s">
        <v>23</v>
      </c>
      <c r="K35" s="29" t="s">
        <v>171</v>
      </c>
      <c r="L35" s="145" t="s">
        <v>172</v>
      </c>
      <c r="M35" s="31" t="s">
        <v>23</v>
      </c>
      <c r="N35" s="504" t="s">
        <v>173</v>
      </c>
      <c r="O35" s="111"/>
      <c r="P35" s="329"/>
      <c r="Q35" s="366">
        <f>1</f>
        <v>1</v>
      </c>
      <c r="R35" s="357"/>
      <c r="S35" s="364"/>
      <c r="T35" s="371" t="s">
        <v>32</v>
      </c>
      <c r="U35" s="358"/>
      <c r="V35" s="364"/>
      <c r="W35" s="364"/>
      <c r="X35" s="474">
        <v>13.957258919109851</v>
      </c>
      <c r="Y35" s="474">
        <f t="shared" si="3"/>
        <v>13.957258919109851</v>
      </c>
      <c r="Z35" s="357">
        <f t="shared" si="0"/>
        <v>13.957258919109851</v>
      </c>
    </row>
    <row r="36" spans="1:27" s="53" customFormat="1" ht="108" customHeight="1">
      <c r="A36" s="36">
        <f>A35+1</f>
        <v>4</v>
      </c>
      <c r="B36" s="37" t="s">
        <v>174</v>
      </c>
      <c r="C36" s="8" t="s">
        <v>174</v>
      </c>
      <c r="D36" s="112" t="s">
        <v>175</v>
      </c>
      <c r="E36" s="38">
        <f>LEN(D36)</f>
        <v>120</v>
      </c>
      <c r="F36" s="113" t="s">
        <v>176</v>
      </c>
      <c r="G36" s="38">
        <f>LEN(F36)</f>
        <v>103</v>
      </c>
      <c r="H36" s="39" t="s">
        <v>36</v>
      </c>
      <c r="I36" s="38" t="s">
        <v>23</v>
      </c>
      <c r="J36" s="38" t="s">
        <v>23</v>
      </c>
      <c r="K36" s="38" t="s">
        <v>177</v>
      </c>
      <c r="L36" s="114" t="s">
        <v>178</v>
      </c>
      <c r="M36" s="31" t="s">
        <v>23</v>
      </c>
      <c r="N36" s="505"/>
      <c r="O36" s="115"/>
      <c r="P36" s="337"/>
      <c r="Q36" s="366">
        <f>1</f>
        <v>1</v>
      </c>
      <c r="R36" s="357"/>
      <c r="S36" s="364"/>
      <c r="T36" s="371" t="s">
        <v>32</v>
      </c>
      <c r="U36" s="358"/>
      <c r="V36" s="364"/>
      <c r="W36" s="364"/>
      <c r="X36" s="474">
        <v>7.9549989700317383</v>
      </c>
      <c r="Y36" s="474">
        <f t="shared" si="3"/>
        <v>7.9549989700317383</v>
      </c>
      <c r="Z36" s="357">
        <f t="shared" si="0"/>
        <v>7.9549989700317383</v>
      </c>
    </row>
    <row r="37" spans="1:27" s="53" customFormat="1" ht="128.5" customHeight="1">
      <c r="A37" s="116"/>
      <c r="B37" s="117" t="s">
        <v>179</v>
      </c>
      <c r="C37" s="439" t="s">
        <v>179</v>
      </c>
      <c r="D37" s="34" t="s">
        <v>180</v>
      </c>
      <c r="E37" s="38">
        <f>LEN(D37)</f>
        <v>218</v>
      </c>
      <c r="F37" s="477" t="s">
        <v>181</v>
      </c>
      <c r="G37" s="38">
        <f>LEN(F37)</f>
        <v>190</v>
      </c>
      <c r="H37" s="39" t="s">
        <v>36</v>
      </c>
      <c r="I37" s="39" t="s">
        <v>23</v>
      </c>
      <c r="J37" s="39" t="s">
        <v>23</v>
      </c>
      <c r="K37" s="39" t="s">
        <v>37</v>
      </c>
      <c r="L37" s="40" t="s">
        <v>182</v>
      </c>
      <c r="M37" s="31" t="s">
        <v>23</v>
      </c>
      <c r="N37" s="88"/>
      <c r="O37" s="146"/>
      <c r="P37" s="328"/>
      <c r="Q37" s="474"/>
      <c r="R37" s="474"/>
      <c r="S37" s="357"/>
      <c r="T37" s="364"/>
      <c r="U37" s="359"/>
      <c r="V37" s="358"/>
      <c r="W37" s="364"/>
      <c r="X37" s="364"/>
      <c r="Y37" s="474"/>
      <c r="Z37" s="474"/>
      <c r="AA37" s="17"/>
    </row>
    <row r="38" spans="1:27" s="53" customFormat="1" ht="22.25" customHeight="1" thickBot="1">
      <c r="A38" s="120"/>
      <c r="B38" s="121"/>
      <c r="C38" s="121"/>
      <c r="D38" s="122"/>
      <c r="E38" s="123"/>
      <c r="F38" s="123"/>
      <c r="G38" s="123"/>
      <c r="H38" s="124"/>
      <c r="I38" s="123"/>
      <c r="J38" s="123"/>
      <c r="K38" s="123"/>
      <c r="L38" s="122"/>
      <c r="M38" s="122"/>
      <c r="N38" s="122"/>
      <c r="O38" s="122"/>
      <c r="P38" s="338"/>
      <c r="Q38" s="356">
        <f>1</f>
        <v>1</v>
      </c>
      <c r="R38" s="357"/>
      <c r="S38" s="364"/>
      <c r="T38" s="359"/>
      <c r="U38" s="358"/>
      <c r="V38" s="364"/>
      <c r="W38" s="364"/>
      <c r="X38" s="475"/>
      <c r="Y38" s="475" t="str">
        <f t="shared" ref="Y38:Y69" si="6">IF(X38="","",X38*Q38)</f>
        <v/>
      </c>
      <c r="Z38" s="357" t="str">
        <f t="shared" ref="Z38:Z69" si="7">IF(T38="yes",Y38,"")</f>
        <v/>
      </c>
    </row>
    <row r="39" spans="1:27" s="53" customFormat="1" ht="22.25" customHeight="1" thickBot="1">
      <c r="A39" s="503" t="s">
        <v>183</v>
      </c>
      <c r="B39" s="497"/>
      <c r="C39" s="497"/>
      <c r="D39" s="497"/>
      <c r="E39" s="497"/>
      <c r="F39" s="497"/>
      <c r="G39" s="497"/>
      <c r="H39" s="497"/>
      <c r="I39" s="497"/>
      <c r="J39" s="497"/>
      <c r="K39" s="497"/>
      <c r="L39" s="497"/>
      <c r="M39" s="497"/>
      <c r="N39" s="497"/>
      <c r="O39" s="497"/>
      <c r="P39" s="497"/>
      <c r="Q39" s="356"/>
      <c r="R39" s="357"/>
      <c r="S39" s="364"/>
      <c r="T39" s="365"/>
      <c r="U39" s="358"/>
      <c r="V39" s="364"/>
      <c r="W39" s="364"/>
      <c r="X39" s="475"/>
      <c r="Y39" s="474" t="str">
        <f t="shared" si="6"/>
        <v/>
      </c>
      <c r="Z39" s="357" t="str">
        <f t="shared" si="7"/>
        <v/>
      </c>
    </row>
    <row r="40" spans="1:27" s="155" customFormat="1" ht="135" customHeight="1">
      <c r="A40" s="151">
        <f>A36+1</f>
        <v>5</v>
      </c>
      <c r="B40" s="152" t="s">
        <v>184</v>
      </c>
      <c r="C40" s="440" t="s">
        <v>184</v>
      </c>
      <c r="D40" s="154" t="s">
        <v>185</v>
      </c>
      <c r="E40" s="153">
        <f>LEN(D40)</f>
        <v>97</v>
      </c>
      <c r="F40" s="478" t="s">
        <v>186</v>
      </c>
      <c r="G40" s="153">
        <f>LEN(F40)</f>
        <v>84</v>
      </c>
      <c r="H40" s="153" t="s">
        <v>36</v>
      </c>
      <c r="I40" s="153" t="s">
        <v>23</v>
      </c>
      <c r="J40" s="153" t="s">
        <v>23</v>
      </c>
      <c r="K40" s="153" t="s">
        <v>37</v>
      </c>
      <c r="L40" s="118" t="s">
        <v>187</v>
      </c>
      <c r="M40" s="31" t="s">
        <v>23</v>
      </c>
      <c r="N40" s="118" t="s">
        <v>188</v>
      </c>
      <c r="O40" s="119"/>
      <c r="P40" s="339"/>
      <c r="Q40" s="380">
        <v>1</v>
      </c>
      <c r="R40" s="381"/>
      <c r="S40" s="382"/>
      <c r="T40" s="383" t="s">
        <v>32</v>
      </c>
      <c r="U40" s="384"/>
      <c r="V40" s="382"/>
      <c r="W40" s="382"/>
      <c r="X40" s="479">
        <v>10.5</v>
      </c>
      <c r="Y40" s="480">
        <f t="shared" si="6"/>
        <v>10.5</v>
      </c>
      <c r="Z40" s="381">
        <f t="shared" si="7"/>
        <v>10.5</v>
      </c>
    </row>
    <row r="41" spans="1:27" s="53" customFormat="1" ht="14" customHeight="1">
      <c r="A41" s="26"/>
      <c r="B41" s="94"/>
      <c r="C41" s="94"/>
      <c r="D41" s="156"/>
      <c r="E41" s="157"/>
      <c r="F41" s="157"/>
      <c r="G41" s="157"/>
      <c r="H41" s="95"/>
      <c r="I41" s="157"/>
      <c r="J41" s="157"/>
      <c r="K41" s="157"/>
      <c r="L41" s="93"/>
      <c r="M41" s="93"/>
      <c r="N41" s="93"/>
      <c r="O41" s="93"/>
      <c r="P41" s="328"/>
      <c r="Q41" s="385">
        <f>1</f>
        <v>1</v>
      </c>
      <c r="R41" s="357"/>
      <c r="S41" s="364"/>
      <c r="T41" s="365"/>
      <c r="U41" s="358"/>
      <c r="V41" s="364"/>
      <c r="W41" s="364"/>
      <c r="X41" s="481"/>
      <c r="Y41" s="481" t="str">
        <f t="shared" si="6"/>
        <v/>
      </c>
      <c r="Z41" s="357" t="str">
        <f t="shared" si="7"/>
        <v/>
      </c>
    </row>
    <row r="42" spans="1:27" s="53" customFormat="1" ht="183.5" customHeight="1">
      <c r="A42" s="36">
        <f>A40+1</f>
        <v>6</v>
      </c>
      <c r="B42" s="37" t="s">
        <v>189</v>
      </c>
      <c r="C42" s="8" t="s">
        <v>189</v>
      </c>
      <c r="D42" s="422" t="s">
        <v>190</v>
      </c>
      <c r="E42" s="38">
        <f>LEN(D42)</f>
        <v>404</v>
      </c>
      <c r="F42" s="420" t="s">
        <v>191</v>
      </c>
      <c r="G42" s="38">
        <f>LEN(F42)</f>
        <v>372</v>
      </c>
      <c r="H42" s="158" t="s">
        <v>36</v>
      </c>
      <c r="I42" s="38" t="s">
        <v>23</v>
      </c>
      <c r="J42" s="38" t="s">
        <v>23</v>
      </c>
      <c r="K42" s="38" t="s">
        <v>37</v>
      </c>
      <c r="L42" s="40" t="s">
        <v>192</v>
      </c>
      <c r="M42" s="31" t="s">
        <v>23</v>
      </c>
      <c r="N42" s="30" t="s">
        <v>193</v>
      </c>
      <c r="O42" s="93"/>
      <c r="P42" s="338"/>
      <c r="Q42" s="386">
        <f>1</f>
        <v>1</v>
      </c>
      <c r="R42" s="357"/>
      <c r="S42" s="364"/>
      <c r="T42" s="369" t="s">
        <v>32</v>
      </c>
      <c r="U42" s="358"/>
      <c r="V42" s="364"/>
      <c r="W42" s="364"/>
      <c r="X42" s="480">
        <v>12.42189884185791</v>
      </c>
      <c r="Y42" s="480">
        <f t="shared" si="6"/>
        <v>12.42189884185791</v>
      </c>
      <c r="Z42" s="357">
        <f t="shared" si="7"/>
        <v>12.42189884185791</v>
      </c>
    </row>
    <row r="43" spans="1:27" s="53" customFormat="1" ht="14" customHeight="1">
      <c r="A43" s="36"/>
      <c r="B43" s="159"/>
      <c r="C43" s="159"/>
      <c r="D43" s="160"/>
      <c r="E43" s="97"/>
      <c r="F43" s="160"/>
      <c r="G43" s="97"/>
      <c r="H43" s="161"/>
      <c r="I43" s="97"/>
      <c r="J43" s="97"/>
      <c r="K43" s="97"/>
      <c r="L43" s="162"/>
      <c r="M43" s="93"/>
      <c r="N43" s="93"/>
      <c r="O43" s="93"/>
      <c r="P43" s="338"/>
      <c r="Q43" s="385">
        <f>1</f>
        <v>1</v>
      </c>
      <c r="R43" s="357"/>
      <c r="S43" s="364"/>
      <c r="T43" s="365"/>
      <c r="U43" s="358"/>
      <c r="V43" s="364"/>
      <c r="W43" s="364"/>
      <c r="X43" s="481"/>
      <c r="Y43" s="481" t="str">
        <f t="shared" si="6"/>
        <v/>
      </c>
      <c r="Z43" s="357" t="str">
        <f t="shared" si="7"/>
        <v/>
      </c>
    </row>
    <row r="44" spans="1:27" s="53" customFormat="1" ht="245.5" customHeight="1">
      <c r="A44" s="459">
        <f>A42+1</f>
        <v>7</v>
      </c>
      <c r="B44" s="460" t="s">
        <v>194</v>
      </c>
      <c r="C44" s="460"/>
      <c r="D44" s="469" t="s">
        <v>195</v>
      </c>
      <c r="E44" s="470">
        <f>LEN(D44)</f>
        <v>395</v>
      </c>
      <c r="F44" s="471" t="s">
        <v>196</v>
      </c>
      <c r="G44" s="470">
        <f>LEN(F44)</f>
        <v>387</v>
      </c>
      <c r="H44" s="472" t="s">
        <v>36</v>
      </c>
      <c r="I44" s="470" t="s">
        <v>23</v>
      </c>
      <c r="J44" s="470" t="s">
        <v>23</v>
      </c>
      <c r="K44" s="470" t="s">
        <v>37</v>
      </c>
      <c r="L44" s="473" t="s">
        <v>197</v>
      </c>
      <c r="M44" s="32" t="s">
        <v>23</v>
      </c>
      <c r="N44" s="163" t="s">
        <v>198</v>
      </c>
      <c r="O44" s="164"/>
      <c r="P44" s="340" t="s">
        <v>199</v>
      </c>
      <c r="Q44" s="385">
        <f>1</f>
        <v>1</v>
      </c>
      <c r="R44" s="357"/>
      <c r="S44" s="364"/>
      <c r="T44" s="365" t="s">
        <v>32</v>
      </c>
      <c r="U44" s="358"/>
      <c r="V44" s="364"/>
      <c r="W44" s="364"/>
      <c r="X44" s="481">
        <v>16.615655899047852</v>
      </c>
      <c r="Y44" s="481">
        <f t="shared" si="6"/>
        <v>16.615655899047852</v>
      </c>
      <c r="Z44" s="357">
        <f t="shared" si="7"/>
        <v>16.615655899047852</v>
      </c>
    </row>
    <row r="45" spans="1:27" s="53" customFormat="1" ht="14" customHeight="1">
      <c r="A45" s="36"/>
      <c r="B45" s="159"/>
      <c r="C45" s="159"/>
      <c r="D45" s="165"/>
      <c r="E45" s="157"/>
      <c r="F45" s="157"/>
      <c r="G45" s="157"/>
      <c r="H45" s="95"/>
      <c r="I45" s="157"/>
      <c r="J45" s="157"/>
      <c r="K45" s="157"/>
      <c r="L45" s="166"/>
      <c r="M45" s="93"/>
      <c r="N45" s="167"/>
      <c r="O45" s="167"/>
      <c r="P45" s="341"/>
      <c r="Q45" s="385">
        <f>1</f>
        <v>1</v>
      </c>
      <c r="R45" s="357"/>
      <c r="S45" s="364"/>
      <c r="T45" s="365"/>
      <c r="U45" s="358"/>
      <c r="V45" s="364"/>
      <c r="W45" s="364"/>
      <c r="X45" s="481"/>
      <c r="Y45" s="481" t="str">
        <f t="shared" si="6"/>
        <v/>
      </c>
      <c r="Z45" s="357" t="str">
        <f t="shared" si="7"/>
        <v/>
      </c>
    </row>
    <row r="46" spans="1:27" s="53" customFormat="1" ht="313.25" customHeight="1">
      <c r="A46" s="459">
        <f>A44+1</f>
        <v>8</v>
      </c>
      <c r="B46" s="460" t="s">
        <v>200</v>
      </c>
      <c r="C46" s="441" t="s">
        <v>200</v>
      </c>
      <c r="D46" s="461" t="s">
        <v>201</v>
      </c>
      <c r="E46" s="462">
        <f>LEN(D46)</f>
        <v>1333</v>
      </c>
      <c r="F46" s="463" t="s">
        <v>202</v>
      </c>
      <c r="G46" s="462">
        <f>LEN(F46)</f>
        <v>987</v>
      </c>
      <c r="H46" s="464" t="s">
        <v>36</v>
      </c>
      <c r="I46" s="462" t="s">
        <v>23</v>
      </c>
      <c r="J46" s="462" t="s">
        <v>23</v>
      </c>
      <c r="K46" s="462" t="s">
        <v>37</v>
      </c>
      <c r="L46" s="465" t="s">
        <v>203</v>
      </c>
      <c r="M46" s="32" t="s">
        <v>23</v>
      </c>
      <c r="N46" s="466" t="s">
        <v>204</v>
      </c>
      <c r="O46" s="467"/>
      <c r="P46" s="328"/>
      <c r="Q46" s="385">
        <f>1</f>
        <v>1</v>
      </c>
      <c r="R46" s="357"/>
      <c r="S46" s="364"/>
      <c r="T46" s="365" t="s">
        <v>22</v>
      </c>
      <c r="U46" s="358"/>
      <c r="V46" s="364"/>
      <c r="W46" s="364"/>
      <c r="X46" s="481">
        <v>13.22066497802734</v>
      </c>
      <c r="Y46" s="481">
        <f t="shared" si="6"/>
        <v>13.22066497802734</v>
      </c>
      <c r="Z46" s="357" t="str">
        <f t="shared" si="7"/>
        <v/>
      </c>
    </row>
    <row r="47" spans="1:27" s="14" customFormat="1" ht="408.5" customHeight="1">
      <c r="A47" s="1">
        <f>A46+1</f>
        <v>9</v>
      </c>
      <c r="B47" s="2" t="s">
        <v>205</v>
      </c>
      <c r="C47" s="8" t="s">
        <v>205</v>
      </c>
      <c r="D47" s="429" t="s">
        <v>206</v>
      </c>
      <c r="E47" s="4">
        <f>LEN(D47)</f>
        <v>1204</v>
      </c>
      <c r="F47" s="430" t="s">
        <v>207</v>
      </c>
      <c r="G47" s="4">
        <f>LEN(F47)</f>
        <v>1108</v>
      </c>
      <c r="H47" s="8" t="s">
        <v>36</v>
      </c>
      <c r="I47" s="4" t="s">
        <v>23</v>
      </c>
      <c r="J47" s="4" t="s">
        <v>23</v>
      </c>
      <c r="K47" s="4" t="s">
        <v>208</v>
      </c>
      <c r="L47" s="421" t="s">
        <v>209</v>
      </c>
      <c r="M47" s="6" t="s">
        <v>23</v>
      </c>
      <c r="N47" s="170" t="s">
        <v>210</v>
      </c>
      <c r="O47" s="171"/>
      <c r="P47" s="342"/>
      <c r="Q47" s="387">
        <f>1</f>
        <v>1</v>
      </c>
      <c r="R47" s="388"/>
      <c r="S47" s="389"/>
      <c r="T47" s="390" t="s">
        <v>32</v>
      </c>
      <c r="U47" s="391"/>
      <c r="V47" s="389"/>
      <c r="W47" s="389"/>
      <c r="X47" s="482">
        <v>31.888334274291989</v>
      </c>
      <c r="Y47" s="482">
        <f t="shared" si="6"/>
        <v>31.888334274291989</v>
      </c>
      <c r="Z47" s="388">
        <f t="shared" si="7"/>
        <v>31.888334274291989</v>
      </c>
    </row>
    <row r="48" spans="1:27" s="14" customFormat="1" ht="212" customHeight="1">
      <c r="A48" s="1">
        <f>A47+1</f>
        <v>10</v>
      </c>
      <c r="B48" s="9" t="s">
        <v>211</v>
      </c>
      <c r="C48" s="8" t="s">
        <v>211</v>
      </c>
      <c r="D48" s="15" t="s">
        <v>212</v>
      </c>
      <c r="E48" s="10">
        <f>LEN(D48)</f>
        <v>287</v>
      </c>
      <c r="F48" s="15" t="s">
        <v>213</v>
      </c>
      <c r="G48" s="10">
        <f>LEN(F50)</f>
        <v>0</v>
      </c>
      <c r="H48" s="11" t="s">
        <v>36</v>
      </c>
      <c r="I48" s="10" t="s">
        <v>23</v>
      </c>
      <c r="J48" s="10" t="s">
        <v>23</v>
      </c>
      <c r="K48" s="10" t="s">
        <v>37</v>
      </c>
      <c r="L48" s="168" t="s">
        <v>214</v>
      </c>
      <c r="M48" s="6" t="s">
        <v>23</v>
      </c>
      <c r="N48" s="168" t="s">
        <v>215</v>
      </c>
      <c r="O48" s="169"/>
      <c r="P48" s="343"/>
      <c r="Q48" s="387">
        <f>1</f>
        <v>1</v>
      </c>
      <c r="R48" s="388"/>
      <c r="S48" s="389"/>
      <c r="T48" s="390" t="s">
        <v>32</v>
      </c>
      <c r="U48" s="391"/>
      <c r="V48" s="389"/>
      <c r="W48" s="389"/>
      <c r="X48" s="482">
        <v>22.126214981079102</v>
      </c>
      <c r="Y48" s="482">
        <f t="shared" si="6"/>
        <v>22.126214981079102</v>
      </c>
      <c r="Z48" s="388">
        <f t="shared" si="7"/>
        <v>22.126214981079102</v>
      </c>
    </row>
    <row r="49" spans="1:26" s="14" customFormat="1" ht="409.25" customHeight="1" thickBot="1">
      <c r="A49" s="1">
        <f>A48+1</f>
        <v>11</v>
      </c>
      <c r="B49" s="9" t="s">
        <v>216</v>
      </c>
      <c r="C49" s="442" t="s">
        <v>217</v>
      </c>
      <c r="D49" s="172" t="s">
        <v>218</v>
      </c>
      <c r="E49" s="10">
        <f>LEN(D49)</f>
        <v>1437</v>
      </c>
      <c r="F49" s="173" t="s">
        <v>219</v>
      </c>
      <c r="G49" s="10" t="e">
        <f>LEN(#REF!)</f>
        <v>#REF!</v>
      </c>
      <c r="H49" s="11" t="s">
        <v>220</v>
      </c>
      <c r="I49" s="10" t="s">
        <v>23</v>
      </c>
      <c r="J49" s="10" t="s">
        <v>23</v>
      </c>
      <c r="K49" s="38" t="s">
        <v>221</v>
      </c>
      <c r="L49" s="168" t="s">
        <v>222</v>
      </c>
      <c r="M49" s="6" t="s">
        <v>223</v>
      </c>
      <c r="N49" s="168" t="s">
        <v>224</v>
      </c>
      <c r="O49" s="174"/>
      <c r="P49" s="343"/>
      <c r="Q49" s="387">
        <f>1</f>
        <v>1</v>
      </c>
      <c r="R49" s="388"/>
      <c r="S49" s="389"/>
      <c r="T49" s="390" t="s">
        <v>32</v>
      </c>
      <c r="U49" s="391"/>
      <c r="V49" s="389"/>
      <c r="W49" s="389"/>
      <c r="X49" s="482">
        <v>37.853630065917969</v>
      </c>
      <c r="Y49" s="482">
        <f t="shared" si="6"/>
        <v>37.853630065917969</v>
      </c>
      <c r="Z49" s="388">
        <f t="shared" si="7"/>
        <v>37.853630065917969</v>
      </c>
    </row>
    <row r="50" spans="1:26" s="16" customFormat="1" ht="17" customHeight="1" thickBot="1">
      <c r="A50" s="496" t="s">
        <v>225</v>
      </c>
      <c r="B50" s="497"/>
      <c r="C50" s="497"/>
      <c r="D50" s="497"/>
      <c r="E50" s="497"/>
      <c r="F50" s="497"/>
      <c r="G50" s="497"/>
      <c r="H50" s="497"/>
      <c r="I50" s="497"/>
      <c r="J50" s="497"/>
      <c r="K50" s="497"/>
      <c r="L50" s="497"/>
      <c r="M50" s="497"/>
      <c r="N50" s="497"/>
      <c r="O50" s="497"/>
      <c r="P50" s="497"/>
      <c r="Q50" s="387"/>
      <c r="R50" s="392"/>
      <c r="S50" s="393"/>
      <c r="T50" s="390"/>
      <c r="U50" s="394"/>
      <c r="V50" s="393"/>
      <c r="W50" s="393"/>
      <c r="X50" s="482"/>
      <c r="Y50" s="482" t="str">
        <f t="shared" si="6"/>
        <v/>
      </c>
      <c r="Z50" s="392" t="str">
        <f t="shared" si="7"/>
        <v/>
      </c>
    </row>
    <row r="51" spans="1:26" s="14" customFormat="1" ht="136" customHeight="1">
      <c r="A51" s="1">
        <f>A49+1</f>
        <v>12</v>
      </c>
      <c r="B51" s="2" t="s">
        <v>226</v>
      </c>
      <c r="C51" s="443" t="s">
        <v>226</v>
      </c>
      <c r="D51" s="3" t="s">
        <v>227</v>
      </c>
      <c r="E51" s="4">
        <f t="shared" ref="E51:E91" si="8">LEN(D51)</f>
        <v>335</v>
      </c>
      <c r="F51" s="66" t="s">
        <v>228</v>
      </c>
      <c r="G51" s="4">
        <f t="shared" ref="G51:G91" si="9">LEN(F51)</f>
        <v>310</v>
      </c>
      <c r="H51" s="74" t="s">
        <v>36</v>
      </c>
      <c r="I51" s="4" t="s">
        <v>23</v>
      </c>
      <c r="J51" s="4" t="s">
        <v>23</v>
      </c>
      <c r="K51" s="4" t="s">
        <v>37</v>
      </c>
      <c r="L51" s="5" t="s">
        <v>229</v>
      </c>
      <c r="M51" s="6" t="s">
        <v>23</v>
      </c>
      <c r="N51" s="5" t="s">
        <v>230</v>
      </c>
      <c r="O51" s="67"/>
      <c r="P51" s="344" t="s">
        <v>231</v>
      </c>
      <c r="Q51" s="387">
        <v>1</v>
      </c>
      <c r="R51" s="388"/>
      <c r="S51" s="389"/>
      <c r="T51" s="390" t="s">
        <v>32</v>
      </c>
      <c r="U51" s="391"/>
      <c r="V51" s="389"/>
      <c r="W51" s="389"/>
      <c r="X51" s="482">
        <v>8.0881662368774414</v>
      </c>
      <c r="Y51" s="482">
        <f t="shared" si="6"/>
        <v>8.0881662368774414</v>
      </c>
      <c r="Z51" s="388">
        <f t="shared" si="7"/>
        <v>8.0881662368774414</v>
      </c>
    </row>
    <row r="52" spans="1:26" s="14" customFormat="1" ht="153" customHeight="1">
      <c r="A52" s="1">
        <f t="shared" ref="A52:A91" si="10">A51+1</f>
        <v>13</v>
      </c>
      <c r="B52" s="9" t="s">
        <v>232</v>
      </c>
      <c r="C52" s="8" t="s">
        <v>232</v>
      </c>
      <c r="D52" s="15" t="s">
        <v>233</v>
      </c>
      <c r="E52" s="10">
        <f t="shared" si="8"/>
        <v>236</v>
      </c>
      <c r="F52" s="15" t="s">
        <v>234</v>
      </c>
      <c r="G52" s="10">
        <f t="shared" si="9"/>
        <v>223</v>
      </c>
      <c r="H52" s="11" t="s">
        <v>36</v>
      </c>
      <c r="I52" s="10" t="s">
        <v>23</v>
      </c>
      <c r="J52" s="10" t="s">
        <v>23</v>
      </c>
      <c r="K52" s="10" t="s">
        <v>37</v>
      </c>
      <c r="L52" s="12" t="s">
        <v>235</v>
      </c>
      <c r="M52" s="6" t="s">
        <v>23</v>
      </c>
      <c r="N52" s="175" t="s">
        <v>236</v>
      </c>
      <c r="O52" s="176"/>
      <c r="P52" s="343"/>
      <c r="Q52" s="387">
        <v>1</v>
      </c>
      <c r="R52" s="388"/>
      <c r="S52" s="389"/>
      <c r="T52" s="390" t="s">
        <v>32</v>
      </c>
      <c r="U52" s="391"/>
      <c r="V52" s="389"/>
      <c r="W52" s="389"/>
      <c r="X52" s="482">
        <v>20.224567413330082</v>
      </c>
      <c r="Y52" s="482">
        <f t="shared" si="6"/>
        <v>20.224567413330082</v>
      </c>
      <c r="Z52" s="388">
        <f t="shared" si="7"/>
        <v>20.224567413330082</v>
      </c>
    </row>
    <row r="53" spans="1:26" s="14" customFormat="1" ht="153" customHeight="1">
      <c r="A53" s="1">
        <f t="shared" si="10"/>
        <v>14</v>
      </c>
      <c r="B53" s="9" t="s">
        <v>237</v>
      </c>
      <c r="C53" s="8" t="s">
        <v>237</v>
      </c>
      <c r="D53" s="15" t="s">
        <v>238</v>
      </c>
      <c r="E53" s="10">
        <f t="shared" si="8"/>
        <v>234</v>
      </c>
      <c r="F53" s="15" t="s">
        <v>239</v>
      </c>
      <c r="G53" s="10">
        <f t="shared" si="9"/>
        <v>208</v>
      </c>
      <c r="H53" s="11" t="s">
        <v>36</v>
      </c>
      <c r="I53" s="10" t="s">
        <v>23</v>
      </c>
      <c r="J53" s="10" t="s">
        <v>23</v>
      </c>
      <c r="K53" s="10" t="s">
        <v>37</v>
      </c>
      <c r="L53" s="12" t="s">
        <v>240</v>
      </c>
      <c r="M53" s="6" t="s">
        <v>23</v>
      </c>
      <c r="N53" s="175" t="s">
        <v>241</v>
      </c>
      <c r="O53" s="176"/>
      <c r="P53" s="343"/>
      <c r="Q53" s="387">
        <v>1</v>
      </c>
      <c r="R53" s="388"/>
      <c r="S53" s="389"/>
      <c r="T53" s="390" t="s">
        <v>32</v>
      </c>
      <c r="U53" s="391"/>
      <c r="V53" s="389"/>
      <c r="W53" s="389"/>
      <c r="X53" s="482">
        <v>14.02606105804443</v>
      </c>
      <c r="Y53" s="482">
        <f t="shared" si="6"/>
        <v>14.02606105804443</v>
      </c>
      <c r="Z53" s="388">
        <f t="shared" si="7"/>
        <v>14.02606105804443</v>
      </c>
    </row>
    <row r="54" spans="1:26" s="14" customFormat="1" ht="153" customHeight="1">
      <c r="A54" s="1">
        <f t="shared" si="10"/>
        <v>15</v>
      </c>
      <c r="B54" s="9" t="s">
        <v>242</v>
      </c>
      <c r="C54" s="8" t="s">
        <v>242</v>
      </c>
      <c r="D54" s="15" t="s">
        <v>243</v>
      </c>
      <c r="E54" s="10">
        <f t="shared" si="8"/>
        <v>217</v>
      </c>
      <c r="F54" s="15" t="s">
        <v>244</v>
      </c>
      <c r="G54" s="10">
        <f t="shared" si="9"/>
        <v>213</v>
      </c>
      <c r="H54" s="11" t="s">
        <v>36</v>
      </c>
      <c r="I54" s="10" t="s">
        <v>23</v>
      </c>
      <c r="J54" s="10" t="s">
        <v>23</v>
      </c>
      <c r="K54" s="10" t="s">
        <v>37</v>
      </c>
      <c r="L54" s="12" t="s">
        <v>245</v>
      </c>
      <c r="M54" s="6" t="s">
        <v>23</v>
      </c>
      <c r="N54" s="175" t="s">
        <v>246</v>
      </c>
      <c r="O54" s="176"/>
      <c r="P54" s="343"/>
      <c r="Q54" s="387">
        <v>1</v>
      </c>
      <c r="R54" s="388"/>
      <c r="S54" s="389"/>
      <c r="T54" s="390" t="s">
        <v>32</v>
      </c>
      <c r="U54" s="391"/>
      <c r="V54" s="389"/>
      <c r="W54" s="389"/>
      <c r="X54" s="482">
        <v>11.558505058288571</v>
      </c>
      <c r="Y54" s="482">
        <f t="shared" si="6"/>
        <v>11.558505058288571</v>
      </c>
      <c r="Z54" s="388">
        <f t="shared" si="7"/>
        <v>11.558505058288571</v>
      </c>
    </row>
    <row r="55" spans="1:26" s="14" customFormat="1" ht="153" customHeight="1">
      <c r="A55" s="1">
        <f t="shared" si="10"/>
        <v>16</v>
      </c>
      <c r="B55" s="9" t="s">
        <v>247</v>
      </c>
      <c r="C55" s="8" t="s">
        <v>247</v>
      </c>
      <c r="D55" s="15" t="s">
        <v>248</v>
      </c>
      <c r="E55" s="10">
        <f t="shared" si="8"/>
        <v>218</v>
      </c>
      <c r="F55" s="15" t="s">
        <v>249</v>
      </c>
      <c r="G55" s="10">
        <f t="shared" si="9"/>
        <v>214</v>
      </c>
      <c r="H55" s="11" t="s">
        <v>36</v>
      </c>
      <c r="I55" s="10" t="s">
        <v>23</v>
      </c>
      <c r="J55" s="10" t="s">
        <v>23</v>
      </c>
      <c r="K55" s="10" t="s">
        <v>37</v>
      </c>
      <c r="L55" s="12" t="s">
        <v>250</v>
      </c>
      <c r="M55" s="6" t="s">
        <v>23</v>
      </c>
      <c r="N55" s="12" t="s">
        <v>251</v>
      </c>
      <c r="O55" s="13"/>
      <c r="P55" s="343"/>
      <c r="Q55" s="387">
        <v>1</v>
      </c>
      <c r="R55" s="388"/>
      <c r="S55" s="389"/>
      <c r="T55" s="390" t="s">
        <v>32</v>
      </c>
      <c r="U55" s="391"/>
      <c r="V55" s="389"/>
      <c r="W55" s="389"/>
      <c r="X55" s="482">
        <v>11.379257202148439</v>
      </c>
      <c r="Y55" s="482">
        <f t="shared" si="6"/>
        <v>11.379257202148439</v>
      </c>
      <c r="Z55" s="388">
        <f t="shared" si="7"/>
        <v>11.379257202148439</v>
      </c>
    </row>
    <row r="56" spans="1:26" s="14" customFormat="1" ht="153" customHeight="1">
      <c r="A56" s="1">
        <f t="shared" si="10"/>
        <v>17</v>
      </c>
      <c r="B56" s="9" t="s">
        <v>252</v>
      </c>
      <c r="C56" s="8" t="s">
        <v>252</v>
      </c>
      <c r="D56" s="15" t="s">
        <v>253</v>
      </c>
      <c r="E56" s="10">
        <f t="shared" si="8"/>
        <v>224</v>
      </c>
      <c r="F56" s="15" t="s">
        <v>254</v>
      </c>
      <c r="G56" s="10">
        <f t="shared" si="9"/>
        <v>230</v>
      </c>
      <c r="H56" s="11" t="s">
        <v>36</v>
      </c>
      <c r="I56" s="10" t="s">
        <v>23</v>
      </c>
      <c r="J56" s="10" t="s">
        <v>23</v>
      </c>
      <c r="K56" s="10" t="s">
        <v>37</v>
      </c>
      <c r="L56" s="12" t="s">
        <v>255</v>
      </c>
      <c r="M56" s="6" t="s">
        <v>23</v>
      </c>
      <c r="N56" s="12" t="s">
        <v>256</v>
      </c>
      <c r="O56" s="13"/>
      <c r="P56" s="343"/>
      <c r="Q56" s="387">
        <v>1</v>
      </c>
      <c r="R56" s="388"/>
      <c r="S56" s="389"/>
      <c r="T56" s="390" t="s">
        <v>32</v>
      </c>
      <c r="U56" s="391"/>
      <c r="V56" s="389"/>
      <c r="W56" s="389"/>
      <c r="X56" s="482">
        <v>10.443217277526861</v>
      </c>
      <c r="Y56" s="482">
        <f t="shared" si="6"/>
        <v>10.443217277526861</v>
      </c>
      <c r="Z56" s="388">
        <f t="shared" si="7"/>
        <v>10.443217277526861</v>
      </c>
    </row>
    <row r="57" spans="1:26" s="14" customFormat="1" ht="146" customHeight="1">
      <c r="A57" s="1">
        <f t="shared" si="10"/>
        <v>18</v>
      </c>
      <c r="B57" s="9" t="s">
        <v>257</v>
      </c>
      <c r="C57" s="444" t="s">
        <v>257</v>
      </c>
      <c r="D57" s="177" t="s">
        <v>258</v>
      </c>
      <c r="E57" s="10">
        <f t="shared" si="8"/>
        <v>182</v>
      </c>
      <c r="F57" s="177" t="s">
        <v>259</v>
      </c>
      <c r="G57" s="10">
        <f t="shared" si="9"/>
        <v>184</v>
      </c>
      <c r="H57" s="11" t="s">
        <v>36</v>
      </c>
      <c r="I57" s="10" t="s">
        <v>23</v>
      </c>
      <c r="J57" s="10" t="s">
        <v>23</v>
      </c>
      <c r="K57" s="10" t="s">
        <v>37</v>
      </c>
      <c r="L57" s="12" t="s">
        <v>260</v>
      </c>
      <c r="M57" s="6" t="s">
        <v>23</v>
      </c>
      <c r="N57" s="175" t="s">
        <v>261</v>
      </c>
      <c r="O57" s="176"/>
      <c r="P57" s="343"/>
      <c r="Q57" s="387">
        <v>1</v>
      </c>
      <c r="R57" s="388"/>
      <c r="S57" s="389"/>
      <c r="T57" s="390" t="s">
        <v>32</v>
      </c>
      <c r="U57" s="391"/>
      <c r="V57" s="389"/>
      <c r="W57" s="389"/>
      <c r="X57" s="482">
        <v>10.732010841369631</v>
      </c>
      <c r="Y57" s="482">
        <f t="shared" si="6"/>
        <v>10.732010841369631</v>
      </c>
      <c r="Z57" s="388">
        <f t="shared" si="7"/>
        <v>10.732010841369631</v>
      </c>
    </row>
    <row r="58" spans="1:26" s="179" customFormat="1" ht="147" customHeight="1">
      <c r="A58" s="1">
        <f t="shared" si="10"/>
        <v>19</v>
      </c>
      <c r="B58" s="9" t="s">
        <v>262</v>
      </c>
      <c r="C58" s="444" t="s">
        <v>262</v>
      </c>
      <c r="D58" s="178" t="s">
        <v>263</v>
      </c>
      <c r="E58" s="10">
        <f t="shared" si="8"/>
        <v>214</v>
      </c>
      <c r="F58" s="178" t="s">
        <v>264</v>
      </c>
      <c r="G58" s="10">
        <f t="shared" si="9"/>
        <v>231</v>
      </c>
      <c r="H58" s="11" t="s">
        <v>36</v>
      </c>
      <c r="I58" s="10" t="s">
        <v>23</v>
      </c>
      <c r="J58" s="10" t="s">
        <v>23</v>
      </c>
      <c r="K58" s="10" t="s">
        <v>37</v>
      </c>
      <c r="L58" s="12" t="s">
        <v>265</v>
      </c>
      <c r="M58" s="6" t="s">
        <v>23</v>
      </c>
      <c r="N58" s="12" t="s">
        <v>266</v>
      </c>
      <c r="O58" s="13"/>
      <c r="P58" s="343"/>
      <c r="Q58" s="387">
        <v>1</v>
      </c>
      <c r="R58" s="388"/>
      <c r="S58" s="395"/>
      <c r="T58" s="390" t="s">
        <v>32</v>
      </c>
      <c r="U58" s="391"/>
      <c r="V58" s="395"/>
      <c r="W58" s="395"/>
      <c r="X58" s="482">
        <v>11.58613967895508</v>
      </c>
      <c r="Y58" s="482">
        <f t="shared" si="6"/>
        <v>11.58613967895508</v>
      </c>
      <c r="Z58" s="388">
        <f t="shared" si="7"/>
        <v>11.58613967895508</v>
      </c>
    </row>
    <row r="59" spans="1:26" s="14" customFormat="1" ht="153" customHeight="1">
      <c r="A59" s="1">
        <f t="shared" si="10"/>
        <v>20</v>
      </c>
      <c r="B59" s="9" t="s">
        <v>267</v>
      </c>
      <c r="C59" s="8" t="s">
        <v>267</v>
      </c>
      <c r="D59" s="177" t="s">
        <v>268</v>
      </c>
      <c r="E59" s="10">
        <f t="shared" si="8"/>
        <v>184</v>
      </c>
      <c r="F59" s="177" t="s">
        <v>269</v>
      </c>
      <c r="G59" s="10">
        <f t="shared" si="9"/>
        <v>179</v>
      </c>
      <c r="H59" s="11" t="s">
        <v>36</v>
      </c>
      <c r="I59" s="10" t="s">
        <v>23</v>
      </c>
      <c r="J59" s="10" t="s">
        <v>23</v>
      </c>
      <c r="K59" s="10" t="s">
        <v>37</v>
      </c>
      <c r="L59" s="12" t="s">
        <v>270</v>
      </c>
      <c r="M59" s="6" t="s">
        <v>23</v>
      </c>
      <c r="N59" s="175" t="s">
        <v>271</v>
      </c>
      <c r="O59" s="176"/>
      <c r="P59" s="343"/>
      <c r="Q59" s="387">
        <v>1</v>
      </c>
      <c r="R59" s="388"/>
      <c r="S59" s="389"/>
      <c r="T59" s="390" t="s">
        <v>32</v>
      </c>
      <c r="U59" s="391"/>
      <c r="V59" s="389"/>
      <c r="W59" s="389"/>
      <c r="X59" s="482">
        <v>9.7552013397216797</v>
      </c>
      <c r="Y59" s="482">
        <f t="shared" si="6"/>
        <v>9.7552013397216797</v>
      </c>
      <c r="Z59" s="388">
        <f t="shared" si="7"/>
        <v>9.7552013397216797</v>
      </c>
    </row>
    <row r="60" spans="1:26" s="14" customFormat="1" ht="147" customHeight="1">
      <c r="A60" s="1">
        <f t="shared" si="10"/>
        <v>21</v>
      </c>
      <c r="B60" s="9" t="s">
        <v>272</v>
      </c>
      <c r="C60" s="444" t="s">
        <v>272</v>
      </c>
      <c r="D60" s="178" t="s">
        <v>263</v>
      </c>
      <c r="E60" s="10">
        <f t="shared" si="8"/>
        <v>214</v>
      </c>
      <c r="F60" s="178" t="s">
        <v>264</v>
      </c>
      <c r="G60" s="10">
        <f t="shared" si="9"/>
        <v>231</v>
      </c>
      <c r="H60" s="11" t="s">
        <v>36</v>
      </c>
      <c r="I60" s="10" t="s">
        <v>23</v>
      </c>
      <c r="J60" s="10" t="s">
        <v>23</v>
      </c>
      <c r="K60" s="10" t="s">
        <v>37</v>
      </c>
      <c r="L60" s="12" t="s">
        <v>273</v>
      </c>
      <c r="M60" s="6" t="s">
        <v>23</v>
      </c>
      <c r="N60" s="12" t="s">
        <v>274</v>
      </c>
      <c r="O60" s="13"/>
      <c r="P60" s="343"/>
      <c r="Q60" s="387">
        <v>1</v>
      </c>
      <c r="R60" s="388"/>
      <c r="S60" s="389"/>
      <c r="T60" s="390" t="s">
        <v>32</v>
      </c>
      <c r="U60" s="391"/>
      <c r="V60" s="389"/>
      <c r="W60" s="389"/>
      <c r="X60" s="482">
        <v>7.9447951316833496</v>
      </c>
      <c r="Y60" s="482">
        <f t="shared" si="6"/>
        <v>7.9447951316833496</v>
      </c>
      <c r="Z60" s="388">
        <f t="shared" si="7"/>
        <v>7.9447951316833496</v>
      </c>
    </row>
    <row r="61" spans="1:26" s="14" customFormat="1" ht="153" customHeight="1">
      <c r="A61" s="1">
        <f t="shared" si="10"/>
        <v>22</v>
      </c>
      <c r="B61" s="9" t="s">
        <v>275</v>
      </c>
      <c r="C61" s="8" t="s">
        <v>275</v>
      </c>
      <c r="D61" s="177" t="s">
        <v>276</v>
      </c>
      <c r="E61" s="10">
        <f t="shared" si="8"/>
        <v>212</v>
      </c>
      <c r="F61" s="177" t="s">
        <v>277</v>
      </c>
      <c r="G61" s="10">
        <f t="shared" si="9"/>
        <v>220</v>
      </c>
      <c r="H61" s="11" t="s">
        <v>36</v>
      </c>
      <c r="I61" s="10" t="s">
        <v>23</v>
      </c>
      <c r="J61" s="10" t="s">
        <v>23</v>
      </c>
      <c r="K61" s="10" t="s">
        <v>37</v>
      </c>
      <c r="L61" s="12" t="s">
        <v>278</v>
      </c>
      <c r="M61" s="6" t="s">
        <v>23</v>
      </c>
      <c r="N61" s="175" t="s">
        <v>279</v>
      </c>
      <c r="O61" s="180"/>
      <c r="P61" s="343"/>
      <c r="Q61" s="387">
        <v>1</v>
      </c>
      <c r="R61" s="388"/>
      <c r="S61" s="389"/>
      <c r="T61" s="390" t="s">
        <v>32</v>
      </c>
      <c r="U61" s="391"/>
      <c r="V61" s="389"/>
      <c r="W61" s="389"/>
      <c r="X61" s="482">
        <v>7.9312248229980469</v>
      </c>
      <c r="Y61" s="482">
        <f t="shared" si="6"/>
        <v>7.9312248229980469</v>
      </c>
      <c r="Z61" s="388">
        <f t="shared" si="7"/>
        <v>7.9312248229980469</v>
      </c>
    </row>
    <row r="62" spans="1:26" s="14" customFormat="1" ht="147" customHeight="1">
      <c r="A62" s="1">
        <f t="shared" si="10"/>
        <v>23</v>
      </c>
      <c r="B62" s="9" t="s">
        <v>280</v>
      </c>
      <c r="C62" s="444" t="s">
        <v>280</v>
      </c>
      <c r="D62" s="178" t="s">
        <v>263</v>
      </c>
      <c r="E62" s="10">
        <f t="shared" si="8"/>
        <v>214</v>
      </c>
      <c r="F62" s="178" t="s">
        <v>264</v>
      </c>
      <c r="G62" s="10">
        <f t="shared" si="9"/>
        <v>231</v>
      </c>
      <c r="H62" s="11" t="s">
        <v>36</v>
      </c>
      <c r="I62" s="10" t="s">
        <v>23</v>
      </c>
      <c r="J62" s="10" t="s">
        <v>23</v>
      </c>
      <c r="K62" s="10" t="s">
        <v>37</v>
      </c>
      <c r="L62" s="12" t="s">
        <v>281</v>
      </c>
      <c r="M62" s="6" t="s">
        <v>23</v>
      </c>
      <c r="N62" s="175" t="s">
        <v>282</v>
      </c>
      <c r="O62" s="180"/>
      <c r="P62" s="343"/>
      <c r="Q62" s="387">
        <v>1</v>
      </c>
      <c r="R62" s="388"/>
      <c r="S62" s="389"/>
      <c r="T62" s="390" t="s">
        <v>32</v>
      </c>
      <c r="U62" s="391"/>
      <c r="V62" s="389"/>
      <c r="W62" s="389"/>
      <c r="X62" s="482">
        <v>5.3390059471130371</v>
      </c>
      <c r="Y62" s="482">
        <f t="shared" si="6"/>
        <v>5.3390059471130371</v>
      </c>
      <c r="Z62" s="388">
        <f t="shared" si="7"/>
        <v>5.3390059471130371</v>
      </c>
    </row>
    <row r="63" spans="1:26" s="14" customFormat="1" ht="159.5" customHeight="1">
      <c r="A63" s="468">
        <f t="shared" si="10"/>
        <v>24</v>
      </c>
      <c r="B63" s="149" t="s">
        <v>283</v>
      </c>
      <c r="C63" s="441" t="s">
        <v>283</v>
      </c>
      <c r="D63" s="150" t="s">
        <v>284</v>
      </c>
      <c r="E63" s="181">
        <f t="shared" si="8"/>
        <v>142</v>
      </c>
      <c r="F63" s="150" t="s">
        <v>285</v>
      </c>
      <c r="G63" s="181">
        <f t="shared" si="9"/>
        <v>148</v>
      </c>
      <c r="H63" s="182" t="s">
        <v>36</v>
      </c>
      <c r="I63" s="181" t="s">
        <v>23</v>
      </c>
      <c r="J63" s="181" t="s">
        <v>23</v>
      </c>
      <c r="K63" s="181" t="s">
        <v>37</v>
      </c>
      <c r="L63" s="183" t="s">
        <v>286</v>
      </c>
      <c r="M63" s="7" t="s">
        <v>23</v>
      </c>
      <c r="N63" s="184"/>
      <c r="O63" s="185"/>
      <c r="P63" s="345" t="s">
        <v>287</v>
      </c>
      <c r="Q63" s="396">
        <v>1</v>
      </c>
      <c r="R63" s="388"/>
      <c r="S63" s="389"/>
      <c r="T63" s="397" t="s">
        <v>22</v>
      </c>
      <c r="U63" s="391"/>
      <c r="V63" s="389"/>
      <c r="W63" s="389"/>
      <c r="X63" s="483">
        <v>3.816555500030518</v>
      </c>
      <c r="Y63" s="483">
        <f t="shared" si="6"/>
        <v>3.816555500030518</v>
      </c>
      <c r="Z63" s="388" t="str">
        <f t="shared" si="7"/>
        <v/>
      </c>
    </row>
    <row r="64" spans="1:26" s="418" customFormat="1" ht="200" customHeight="1">
      <c r="A64" s="468">
        <f t="shared" si="10"/>
        <v>25</v>
      </c>
      <c r="B64" s="451" t="s">
        <v>288</v>
      </c>
      <c r="C64" s="441" t="s">
        <v>289</v>
      </c>
      <c r="D64" s="452" t="s">
        <v>290</v>
      </c>
      <c r="E64" s="181">
        <f t="shared" si="8"/>
        <v>406</v>
      </c>
      <c r="F64" s="453" t="s">
        <v>291</v>
      </c>
      <c r="G64" s="181">
        <f t="shared" si="9"/>
        <v>375</v>
      </c>
      <c r="H64" s="182" t="s">
        <v>36</v>
      </c>
      <c r="I64" s="181" t="s">
        <v>23</v>
      </c>
      <c r="J64" s="181" t="s">
        <v>23</v>
      </c>
      <c r="K64" s="181" t="s">
        <v>37</v>
      </c>
      <c r="L64" s="183" t="s">
        <v>292</v>
      </c>
      <c r="M64" s="411" t="s">
        <v>23</v>
      </c>
      <c r="N64" s="454"/>
      <c r="O64" s="454"/>
      <c r="P64" s="412"/>
      <c r="Q64" s="413">
        <v>1</v>
      </c>
      <c r="R64" s="414"/>
      <c r="S64" s="415"/>
      <c r="T64" s="416" t="s">
        <v>22</v>
      </c>
      <c r="U64" s="417"/>
      <c r="V64" s="415"/>
      <c r="W64" s="415"/>
      <c r="X64" s="484">
        <v>16.827030181884769</v>
      </c>
      <c r="Y64" s="484">
        <f t="shared" si="6"/>
        <v>16.827030181884769</v>
      </c>
      <c r="Z64" s="414" t="str">
        <f t="shared" si="7"/>
        <v/>
      </c>
    </row>
    <row r="65" spans="1:26" s="418" customFormat="1" ht="204" customHeight="1">
      <c r="A65" s="468">
        <f t="shared" si="10"/>
        <v>26</v>
      </c>
      <c r="B65" s="451" t="s">
        <v>293</v>
      </c>
      <c r="C65" s="441" t="s">
        <v>294</v>
      </c>
      <c r="D65" s="452" t="s">
        <v>295</v>
      </c>
      <c r="E65" s="181">
        <f t="shared" si="8"/>
        <v>344</v>
      </c>
      <c r="F65" s="453" t="s">
        <v>296</v>
      </c>
      <c r="G65" s="181">
        <f t="shared" si="9"/>
        <v>328</v>
      </c>
      <c r="H65" s="182" t="s">
        <v>36</v>
      </c>
      <c r="I65" s="181" t="s">
        <v>23</v>
      </c>
      <c r="J65" s="181" t="s">
        <v>23</v>
      </c>
      <c r="K65" s="181" t="s">
        <v>37</v>
      </c>
      <c r="L65" s="183" t="s">
        <v>297</v>
      </c>
      <c r="M65" s="411" t="s">
        <v>23</v>
      </c>
      <c r="N65" s="454"/>
      <c r="O65" s="454"/>
      <c r="P65" s="412"/>
      <c r="Q65" s="413">
        <v>1</v>
      </c>
      <c r="R65" s="414"/>
      <c r="S65" s="415"/>
      <c r="T65" s="416" t="s">
        <v>22</v>
      </c>
      <c r="U65" s="417"/>
      <c r="V65" s="415"/>
      <c r="W65" s="415"/>
      <c r="X65" s="484">
        <v>12.211404800415041</v>
      </c>
      <c r="Y65" s="484">
        <f t="shared" si="6"/>
        <v>12.211404800415041</v>
      </c>
      <c r="Z65" s="414" t="str">
        <f t="shared" si="7"/>
        <v/>
      </c>
    </row>
    <row r="66" spans="1:26" s="418" customFormat="1" ht="204" customHeight="1">
      <c r="A66" s="468">
        <f t="shared" si="10"/>
        <v>27</v>
      </c>
      <c r="B66" s="451" t="s">
        <v>298</v>
      </c>
      <c r="C66" s="441" t="s">
        <v>298</v>
      </c>
      <c r="D66" s="452" t="s">
        <v>299</v>
      </c>
      <c r="E66" s="181">
        <f t="shared" si="8"/>
        <v>371</v>
      </c>
      <c r="F66" s="453" t="s">
        <v>300</v>
      </c>
      <c r="G66" s="181">
        <f t="shared" si="9"/>
        <v>361</v>
      </c>
      <c r="H66" s="182" t="s">
        <v>36</v>
      </c>
      <c r="I66" s="181" t="s">
        <v>23</v>
      </c>
      <c r="J66" s="181" t="s">
        <v>23</v>
      </c>
      <c r="K66" s="181" t="s">
        <v>37</v>
      </c>
      <c r="L66" s="183" t="s">
        <v>301</v>
      </c>
      <c r="M66" s="411" t="s">
        <v>23</v>
      </c>
      <c r="N66" s="454"/>
      <c r="O66" s="454"/>
      <c r="P66" s="412"/>
      <c r="Q66" s="413">
        <v>1</v>
      </c>
      <c r="R66" s="414"/>
      <c r="S66" s="415"/>
      <c r="T66" s="416" t="s">
        <v>22</v>
      </c>
      <c r="U66" s="417"/>
      <c r="V66" s="415"/>
      <c r="W66" s="415"/>
      <c r="X66" s="484">
        <v>10.84387874603271</v>
      </c>
      <c r="Y66" s="484">
        <f t="shared" si="6"/>
        <v>10.84387874603271</v>
      </c>
      <c r="Z66" s="414" t="str">
        <f t="shared" si="7"/>
        <v/>
      </c>
    </row>
    <row r="67" spans="1:26" s="418" customFormat="1" ht="204" customHeight="1">
      <c r="A67" s="468">
        <f t="shared" si="10"/>
        <v>28</v>
      </c>
      <c r="B67" s="451" t="s">
        <v>302</v>
      </c>
      <c r="C67" s="441" t="s">
        <v>302</v>
      </c>
      <c r="D67" s="452" t="s">
        <v>303</v>
      </c>
      <c r="E67" s="181">
        <f t="shared" si="8"/>
        <v>345</v>
      </c>
      <c r="F67" s="453" t="s">
        <v>304</v>
      </c>
      <c r="G67" s="181">
        <f t="shared" si="9"/>
        <v>328</v>
      </c>
      <c r="H67" s="182" t="s">
        <v>36</v>
      </c>
      <c r="I67" s="181" t="s">
        <v>23</v>
      </c>
      <c r="J67" s="181" t="s">
        <v>23</v>
      </c>
      <c r="K67" s="181" t="s">
        <v>37</v>
      </c>
      <c r="L67" s="183" t="s">
        <v>305</v>
      </c>
      <c r="M67" s="411" t="s">
        <v>23</v>
      </c>
      <c r="N67" s="454"/>
      <c r="O67" s="454"/>
      <c r="P67" s="412"/>
      <c r="Q67" s="413">
        <v>1</v>
      </c>
      <c r="R67" s="414"/>
      <c r="S67" s="415"/>
      <c r="T67" s="416" t="s">
        <v>22</v>
      </c>
      <c r="U67" s="417"/>
      <c r="V67" s="415"/>
      <c r="W67" s="415"/>
      <c r="X67" s="484">
        <v>8.2318143844604492</v>
      </c>
      <c r="Y67" s="484">
        <f t="shared" si="6"/>
        <v>8.2318143844604492</v>
      </c>
      <c r="Z67" s="414" t="str">
        <f t="shared" si="7"/>
        <v/>
      </c>
    </row>
    <row r="68" spans="1:26" s="418" customFormat="1" ht="204" customHeight="1">
      <c r="A68" s="468">
        <f t="shared" si="10"/>
        <v>29</v>
      </c>
      <c r="B68" s="451" t="s">
        <v>306</v>
      </c>
      <c r="C68" s="441" t="s">
        <v>306</v>
      </c>
      <c r="D68" s="452" t="s">
        <v>307</v>
      </c>
      <c r="E68" s="181">
        <f t="shared" si="8"/>
        <v>360</v>
      </c>
      <c r="F68" s="453" t="s">
        <v>308</v>
      </c>
      <c r="G68" s="181">
        <f t="shared" si="9"/>
        <v>337</v>
      </c>
      <c r="H68" s="182" t="s">
        <v>36</v>
      </c>
      <c r="I68" s="181" t="s">
        <v>23</v>
      </c>
      <c r="J68" s="181" t="s">
        <v>23</v>
      </c>
      <c r="K68" s="181" t="s">
        <v>37</v>
      </c>
      <c r="L68" s="183" t="s">
        <v>309</v>
      </c>
      <c r="M68" s="411" t="s">
        <v>23</v>
      </c>
      <c r="N68" s="452"/>
      <c r="O68" s="183"/>
      <c r="P68" s="412"/>
      <c r="Q68" s="413">
        <v>1</v>
      </c>
      <c r="R68" s="414"/>
      <c r="S68" s="415"/>
      <c r="T68" s="416" t="s">
        <v>22</v>
      </c>
      <c r="U68" s="417"/>
      <c r="V68" s="415"/>
      <c r="W68" s="415"/>
      <c r="X68" s="484">
        <v>11.36098480224609</v>
      </c>
      <c r="Y68" s="484">
        <f t="shared" si="6"/>
        <v>11.36098480224609</v>
      </c>
      <c r="Z68" s="414" t="str">
        <f t="shared" si="7"/>
        <v/>
      </c>
    </row>
    <row r="69" spans="1:26" s="418" customFormat="1" ht="204" customHeight="1">
      <c r="A69" s="468">
        <f t="shared" si="10"/>
        <v>30</v>
      </c>
      <c r="B69" s="451" t="s">
        <v>310</v>
      </c>
      <c r="C69" s="441" t="s">
        <v>310</v>
      </c>
      <c r="D69" s="452" t="s">
        <v>311</v>
      </c>
      <c r="E69" s="181">
        <f t="shared" si="8"/>
        <v>374</v>
      </c>
      <c r="F69" s="453" t="s">
        <v>312</v>
      </c>
      <c r="G69" s="181">
        <f t="shared" si="9"/>
        <v>360</v>
      </c>
      <c r="H69" s="182" t="s">
        <v>36</v>
      </c>
      <c r="I69" s="181" t="s">
        <v>23</v>
      </c>
      <c r="J69" s="181" t="s">
        <v>23</v>
      </c>
      <c r="K69" s="181" t="s">
        <v>37</v>
      </c>
      <c r="L69" s="183" t="s">
        <v>313</v>
      </c>
      <c r="M69" s="411" t="s">
        <v>23</v>
      </c>
      <c r="N69" s="455"/>
      <c r="O69" s="456"/>
      <c r="P69" s="412"/>
      <c r="Q69" s="413">
        <v>1</v>
      </c>
      <c r="R69" s="414"/>
      <c r="S69" s="415"/>
      <c r="T69" s="416" t="s">
        <v>22</v>
      </c>
      <c r="U69" s="417"/>
      <c r="V69" s="415"/>
      <c r="W69" s="415"/>
      <c r="X69" s="484">
        <v>12.7567195892334</v>
      </c>
      <c r="Y69" s="484">
        <f t="shared" si="6"/>
        <v>12.7567195892334</v>
      </c>
      <c r="Z69" s="414" t="str">
        <f t="shared" si="7"/>
        <v/>
      </c>
    </row>
    <row r="70" spans="1:26" s="418" customFormat="1" ht="204" customHeight="1">
      <c r="A70" s="468">
        <f t="shared" si="10"/>
        <v>31</v>
      </c>
      <c r="B70" s="451" t="s">
        <v>314</v>
      </c>
      <c r="C70" s="441" t="s">
        <v>314</v>
      </c>
      <c r="D70" s="452" t="s">
        <v>315</v>
      </c>
      <c r="E70" s="181">
        <f t="shared" si="8"/>
        <v>421</v>
      </c>
      <c r="F70" s="453" t="s">
        <v>316</v>
      </c>
      <c r="G70" s="181">
        <f t="shared" si="9"/>
        <v>414</v>
      </c>
      <c r="H70" s="182" t="s">
        <v>36</v>
      </c>
      <c r="I70" s="181" t="s">
        <v>23</v>
      </c>
      <c r="J70" s="181" t="s">
        <v>23</v>
      </c>
      <c r="K70" s="181" t="s">
        <v>37</v>
      </c>
      <c r="L70" s="183" t="s">
        <v>317</v>
      </c>
      <c r="M70" s="411" t="s">
        <v>23</v>
      </c>
      <c r="N70" s="457"/>
      <c r="O70" s="458"/>
      <c r="P70" s="412"/>
      <c r="Q70" s="413">
        <v>1</v>
      </c>
      <c r="R70" s="414"/>
      <c r="S70" s="415"/>
      <c r="T70" s="416" t="s">
        <v>22</v>
      </c>
      <c r="U70" s="417"/>
      <c r="V70" s="415"/>
      <c r="W70" s="415"/>
      <c r="X70" s="484">
        <v>9.0232686996459961</v>
      </c>
      <c r="Y70" s="484">
        <f t="shared" ref="Y70:Y101" si="11">IF(X70="","",X70*Q70)</f>
        <v>9.0232686996459961</v>
      </c>
      <c r="Z70" s="414" t="str">
        <f t="shared" ref="Z70:Z101" si="12">IF(T70="yes",Y70,"")</f>
        <v/>
      </c>
    </row>
    <row r="71" spans="1:26" s="418" customFormat="1" ht="204" customHeight="1">
      <c r="A71" s="468">
        <f t="shared" si="10"/>
        <v>32</v>
      </c>
      <c r="B71" s="451" t="s">
        <v>318</v>
      </c>
      <c r="C71" s="441" t="s">
        <v>318</v>
      </c>
      <c r="D71" s="452" t="s">
        <v>319</v>
      </c>
      <c r="E71" s="181">
        <f t="shared" si="8"/>
        <v>351</v>
      </c>
      <c r="F71" s="453" t="s">
        <v>320</v>
      </c>
      <c r="G71" s="181">
        <f t="shared" si="9"/>
        <v>331</v>
      </c>
      <c r="H71" s="182" t="s">
        <v>36</v>
      </c>
      <c r="I71" s="181" t="s">
        <v>23</v>
      </c>
      <c r="J71" s="181" t="s">
        <v>23</v>
      </c>
      <c r="K71" s="181" t="s">
        <v>37</v>
      </c>
      <c r="L71" s="183" t="s">
        <v>321</v>
      </c>
      <c r="M71" s="411" t="s">
        <v>23</v>
      </c>
      <c r="N71" s="457"/>
      <c r="O71" s="458"/>
      <c r="P71" s="412"/>
      <c r="Q71" s="413">
        <v>1</v>
      </c>
      <c r="R71" s="414"/>
      <c r="S71" s="415"/>
      <c r="T71" s="416" t="s">
        <v>22</v>
      </c>
      <c r="U71" s="417"/>
      <c r="V71" s="415"/>
      <c r="W71" s="415"/>
      <c r="X71" s="484">
        <v>9.0632390975952148</v>
      </c>
      <c r="Y71" s="484">
        <f t="shared" si="11"/>
        <v>9.0632390975952148</v>
      </c>
      <c r="Z71" s="414" t="str">
        <f t="shared" si="12"/>
        <v/>
      </c>
    </row>
    <row r="72" spans="1:26" s="418" customFormat="1" ht="187" customHeight="1">
      <c r="A72" s="468">
        <f t="shared" si="10"/>
        <v>33</v>
      </c>
      <c r="B72" s="451" t="s">
        <v>322</v>
      </c>
      <c r="C72" s="441" t="s">
        <v>322</v>
      </c>
      <c r="D72" s="452" t="s">
        <v>323</v>
      </c>
      <c r="E72" s="181">
        <f t="shared" si="8"/>
        <v>334</v>
      </c>
      <c r="F72" s="453" t="s">
        <v>324</v>
      </c>
      <c r="G72" s="181">
        <f t="shared" si="9"/>
        <v>322</v>
      </c>
      <c r="H72" s="182" t="s">
        <v>36</v>
      </c>
      <c r="I72" s="181" t="s">
        <v>23</v>
      </c>
      <c r="J72" s="181" t="s">
        <v>23</v>
      </c>
      <c r="K72" s="181" t="s">
        <v>37</v>
      </c>
      <c r="L72" s="183" t="s">
        <v>325</v>
      </c>
      <c r="M72" s="411" t="s">
        <v>23</v>
      </c>
      <c r="N72" s="457"/>
      <c r="O72" s="458"/>
      <c r="P72" s="412"/>
      <c r="Q72" s="413">
        <v>1</v>
      </c>
      <c r="R72" s="414"/>
      <c r="S72" s="415"/>
      <c r="T72" s="416" t="s">
        <v>22</v>
      </c>
      <c r="U72" s="417"/>
      <c r="V72" s="415"/>
      <c r="W72" s="415"/>
      <c r="X72" s="484">
        <v>9.1058073043823242</v>
      </c>
      <c r="Y72" s="484">
        <f t="shared" si="11"/>
        <v>9.1058073043823242</v>
      </c>
      <c r="Z72" s="414" t="str">
        <f t="shared" si="12"/>
        <v/>
      </c>
    </row>
    <row r="73" spans="1:26" s="418" customFormat="1" ht="220.25" customHeight="1">
      <c r="A73" s="468">
        <f t="shared" si="10"/>
        <v>34</v>
      </c>
      <c r="B73" s="451" t="s">
        <v>326</v>
      </c>
      <c r="C73" s="441" t="s">
        <v>326</v>
      </c>
      <c r="D73" s="452" t="s">
        <v>327</v>
      </c>
      <c r="E73" s="181">
        <f t="shared" si="8"/>
        <v>360</v>
      </c>
      <c r="F73" s="453" t="s">
        <v>328</v>
      </c>
      <c r="G73" s="181">
        <f t="shared" si="9"/>
        <v>335</v>
      </c>
      <c r="H73" s="182" t="s">
        <v>36</v>
      </c>
      <c r="I73" s="181" t="s">
        <v>23</v>
      </c>
      <c r="J73" s="181" t="s">
        <v>23</v>
      </c>
      <c r="K73" s="181" t="s">
        <v>37</v>
      </c>
      <c r="L73" s="183" t="s">
        <v>329</v>
      </c>
      <c r="M73" s="411" t="s">
        <v>23</v>
      </c>
      <c r="N73" s="457"/>
      <c r="O73" s="458"/>
      <c r="P73" s="412"/>
      <c r="Q73" s="413">
        <v>1</v>
      </c>
      <c r="R73" s="414"/>
      <c r="S73" s="415"/>
      <c r="T73" s="416" t="s">
        <v>22</v>
      </c>
      <c r="U73" s="417"/>
      <c r="V73" s="415"/>
      <c r="W73" s="419"/>
      <c r="X73" s="484">
        <v>6.2936897277832031</v>
      </c>
      <c r="Y73" s="484">
        <f t="shared" si="11"/>
        <v>6.2936897277832031</v>
      </c>
      <c r="Z73" s="414" t="str">
        <f t="shared" si="12"/>
        <v/>
      </c>
    </row>
    <row r="74" spans="1:26" s="14" customFormat="1" ht="404" customHeight="1">
      <c r="A74" s="1">
        <f t="shared" si="10"/>
        <v>35</v>
      </c>
      <c r="B74" s="9" t="s">
        <v>330</v>
      </c>
      <c r="C74" s="8" t="s">
        <v>331</v>
      </c>
      <c r="D74" s="186" t="s">
        <v>332</v>
      </c>
      <c r="E74" s="10">
        <f t="shared" si="8"/>
        <v>1532</v>
      </c>
      <c r="F74" s="186" t="s">
        <v>333</v>
      </c>
      <c r="G74" s="10">
        <f t="shared" si="9"/>
        <v>1588</v>
      </c>
      <c r="H74" s="11" t="s">
        <v>220</v>
      </c>
      <c r="I74" s="10" t="s">
        <v>23</v>
      </c>
      <c r="J74" s="10" t="s">
        <v>23</v>
      </c>
      <c r="K74" s="10" t="s">
        <v>334</v>
      </c>
      <c r="L74" s="12" t="s">
        <v>335</v>
      </c>
      <c r="M74" s="6" t="s">
        <v>336</v>
      </c>
      <c r="N74" s="12" t="s">
        <v>337</v>
      </c>
      <c r="O74" s="13"/>
      <c r="P74" s="346"/>
      <c r="Q74" s="387">
        <v>1</v>
      </c>
      <c r="R74" s="388"/>
      <c r="S74" s="389"/>
      <c r="T74" s="390" t="s">
        <v>32</v>
      </c>
      <c r="U74" s="391"/>
      <c r="V74" s="389"/>
      <c r="W74" s="389"/>
      <c r="X74" s="482">
        <v>52.174358367919922</v>
      </c>
      <c r="Y74" s="482">
        <f t="shared" si="11"/>
        <v>52.174358367919922</v>
      </c>
      <c r="Z74" s="388">
        <f t="shared" si="12"/>
        <v>52.174358367919922</v>
      </c>
    </row>
    <row r="75" spans="1:26" s="14" customFormat="1" ht="136" customHeight="1">
      <c r="A75" s="1">
        <f t="shared" si="10"/>
        <v>36</v>
      </c>
      <c r="B75" s="75" t="s">
        <v>338</v>
      </c>
      <c r="C75" s="444" t="s">
        <v>338</v>
      </c>
      <c r="D75" s="76" t="s">
        <v>339</v>
      </c>
      <c r="E75" s="77">
        <f t="shared" si="8"/>
        <v>327</v>
      </c>
      <c r="F75" s="187" t="s">
        <v>340</v>
      </c>
      <c r="G75" s="77">
        <f t="shared" si="9"/>
        <v>326</v>
      </c>
      <c r="H75" s="188" t="s">
        <v>36</v>
      </c>
      <c r="I75" s="189" t="s">
        <v>23</v>
      </c>
      <c r="J75" s="189" t="s">
        <v>23</v>
      </c>
      <c r="K75" s="189" t="s">
        <v>37</v>
      </c>
      <c r="L75" s="78" t="s">
        <v>341</v>
      </c>
      <c r="M75" s="6" t="s">
        <v>23</v>
      </c>
      <c r="N75" s="78" t="s">
        <v>342</v>
      </c>
      <c r="O75" s="190"/>
      <c r="P75" s="347"/>
      <c r="Q75" s="387">
        <v>1</v>
      </c>
      <c r="R75" s="388"/>
      <c r="S75" s="389"/>
      <c r="T75" s="390" t="s">
        <v>32</v>
      </c>
      <c r="U75" s="391"/>
      <c r="V75" s="389"/>
      <c r="W75" s="389"/>
      <c r="X75" s="482">
        <v>1.2871023416519169</v>
      </c>
      <c r="Y75" s="482">
        <f t="shared" si="11"/>
        <v>1.2871023416519169</v>
      </c>
      <c r="Z75" s="388">
        <f t="shared" si="12"/>
        <v>1.2871023416519169</v>
      </c>
    </row>
    <row r="76" spans="1:26" s="14" customFormat="1" ht="85" customHeight="1">
      <c r="A76" s="468">
        <f t="shared" si="10"/>
        <v>37</v>
      </c>
      <c r="B76" s="149" t="s">
        <v>343</v>
      </c>
      <c r="C76" s="445" t="s">
        <v>343</v>
      </c>
      <c r="D76" s="191" t="s">
        <v>344</v>
      </c>
      <c r="E76" s="181">
        <f t="shared" si="8"/>
        <v>179</v>
      </c>
      <c r="F76" s="191" t="s">
        <v>345</v>
      </c>
      <c r="G76" s="181">
        <f t="shared" si="9"/>
        <v>158</v>
      </c>
      <c r="H76" s="182" t="s">
        <v>36</v>
      </c>
      <c r="I76" s="181" t="s">
        <v>23</v>
      </c>
      <c r="J76" s="181" t="s">
        <v>23</v>
      </c>
      <c r="K76" s="181" t="s">
        <v>37</v>
      </c>
      <c r="L76" s="183" t="s">
        <v>346</v>
      </c>
      <c r="M76" s="7" t="s">
        <v>23</v>
      </c>
      <c r="N76" s="183" t="s">
        <v>347</v>
      </c>
      <c r="O76" s="183"/>
      <c r="P76" s="348"/>
      <c r="Q76" s="396">
        <v>1</v>
      </c>
      <c r="R76" s="388"/>
      <c r="S76" s="389"/>
      <c r="T76" s="397" t="s">
        <v>22</v>
      </c>
      <c r="U76" s="391"/>
      <c r="V76" s="389"/>
      <c r="W76" s="389"/>
      <c r="X76" s="483">
        <v>5.6449732780456543</v>
      </c>
      <c r="Y76" s="483">
        <f t="shared" si="11"/>
        <v>5.6449732780456543</v>
      </c>
      <c r="Z76" s="388" t="str">
        <f t="shared" si="12"/>
        <v/>
      </c>
    </row>
    <row r="77" spans="1:26" s="14" customFormat="1" ht="85" customHeight="1">
      <c r="A77" s="468">
        <f t="shared" si="10"/>
        <v>38</v>
      </c>
      <c r="B77" s="149" t="s">
        <v>348</v>
      </c>
      <c r="C77" s="445" t="s">
        <v>348</v>
      </c>
      <c r="D77" s="191" t="s">
        <v>349</v>
      </c>
      <c r="E77" s="181">
        <f t="shared" si="8"/>
        <v>292</v>
      </c>
      <c r="F77" s="191" t="s">
        <v>350</v>
      </c>
      <c r="G77" s="181">
        <f t="shared" si="9"/>
        <v>291</v>
      </c>
      <c r="H77" s="182" t="s">
        <v>120</v>
      </c>
      <c r="I77" s="181" t="s">
        <v>23</v>
      </c>
      <c r="J77" s="181" t="s">
        <v>23</v>
      </c>
      <c r="K77" s="181" t="s">
        <v>26</v>
      </c>
      <c r="L77" s="183" t="s">
        <v>351</v>
      </c>
      <c r="M77" s="7" t="s">
        <v>23</v>
      </c>
      <c r="N77" s="183" t="s">
        <v>352</v>
      </c>
      <c r="O77" s="183"/>
      <c r="P77" s="349"/>
      <c r="Q77" s="396">
        <v>1</v>
      </c>
      <c r="R77" s="388"/>
      <c r="S77" s="389"/>
      <c r="T77" s="397" t="s">
        <v>22</v>
      </c>
      <c r="U77" s="391"/>
      <c r="V77" s="389"/>
      <c r="W77" s="389"/>
      <c r="X77" s="483">
        <v>26.998960494995121</v>
      </c>
      <c r="Y77" s="483">
        <f t="shared" si="11"/>
        <v>26.998960494995121</v>
      </c>
      <c r="Z77" s="388" t="str">
        <f t="shared" si="12"/>
        <v/>
      </c>
    </row>
    <row r="78" spans="1:26" s="14" customFormat="1" ht="85" customHeight="1">
      <c r="A78" s="468">
        <f t="shared" si="10"/>
        <v>39</v>
      </c>
      <c r="B78" s="149" t="s">
        <v>353</v>
      </c>
      <c r="C78" s="445" t="s">
        <v>353</v>
      </c>
      <c r="D78" s="191" t="s">
        <v>354</v>
      </c>
      <c r="E78" s="181">
        <f t="shared" si="8"/>
        <v>267</v>
      </c>
      <c r="F78" s="191" t="s">
        <v>355</v>
      </c>
      <c r="G78" s="181">
        <f t="shared" si="9"/>
        <v>269</v>
      </c>
      <c r="H78" s="182" t="s">
        <v>120</v>
      </c>
      <c r="I78" s="181" t="s">
        <v>23</v>
      </c>
      <c r="J78" s="181" t="s">
        <v>23</v>
      </c>
      <c r="K78" s="181" t="s">
        <v>26</v>
      </c>
      <c r="L78" s="183" t="s">
        <v>356</v>
      </c>
      <c r="M78" s="7" t="s">
        <v>23</v>
      </c>
      <c r="N78" s="183" t="s">
        <v>357</v>
      </c>
      <c r="O78" s="183"/>
      <c r="P78" s="349"/>
      <c r="Q78" s="396">
        <v>1</v>
      </c>
      <c r="R78" s="388"/>
      <c r="S78" s="389"/>
      <c r="T78" s="397" t="s">
        <v>22</v>
      </c>
      <c r="U78" s="391"/>
      <c r="V78" s="389"/>
      <c r="W78" s="389"/>
      <c r="X78" s="483">
        <v>18.273832321166989</v>
      </c>
      <c r="Y78" s="483">
        <f t="shared" si="11"/>
        <v>18.273832321166989</v>
      </c>
      <c r="Z78" s="388" t="str">
        <f t="shared" si="12"/>
        <v/>
      </c>
    </row>
    <row r="79" spans="1:26" s="14" customFormat="1" ht="85" customHeight="1">
      <c r="A79" s="468">
        <f t="shared" si="10"/>
        <v>40</v>
      </c>
      <c r="B79" s="149" t="s">
        <v>358</v>
      </c>
      <c r="C79" s="445" t="s">
        <v>358</v>
      </c>
      <c r="D79" s="191" t="s">
        <v>359</v>
      </c>
      <c r="E79" s="181">
        <f t="shared" si="8"/>
        <v>245</v>
      </c>
      <c r="F79" s="191" t="s">
        <v>360</v>
      </c>
      <c r="G79" s="181">
        <f t="shared" si="9"/>
        <v>243</v>
      </c>
      <c r="H79" s="182" t="s">
        <v>120</v>
      </c>
      <c r="I79" s="181" t="s">
        <v>23</v>
      </c>
      <c r="J79" s="181" t="s">
        <v>23</v>
      </c>
      <c r="K79" s="181" t="s">
        <v>26</v>
      </c>
      <c r="L79" s="183" t="s">
        <v>361</v>
      </c>
      <c r="M79" s="7" t="s">
        <v>23</v>
      </c>
      <c r="N79" s="183" t="s">
        <v>362</v>
      </c>
      <c r="O79" s="183"/>
      <c r="P79" s="349"/>
      <c r="Q79" s="396">
        <v>1</v>
      </c>
      <c r="R79" s="388"/>
      <c r="S79" s="389"/>
      <c r="T79" s="397" t="s">
        <v>22</v>
      </c>
      <c r="U79" s="391"/>
      <c r="V79" s="389"/>
      <c r="W79" s="389"/>
      <c r="X79" s="483">
        <v>16.352115631103519</v>
      </c>
      <c r="Y79" s="483">
        <f t="shared" si="11"/>
        <v>16.352115631103519</v>
      </c>
      <c r="Z79" s="388" t="str">
        <f t="shared" si="12"/>
        <v/>
      </c>
    </row>
    <row r="80" spans="1:26" s="14" customFormat="1" ht="85" customHeight="1">
      <c r="A80" s="468">
        <f t="shared" si="10"/>
        <v>41</v>
      </c>
      <c r="B80" s="149" t="s">
        <v>363</v>
      </c>
      <c r="C80" s="445" t="s">
        <v>363</v>
      </c>
      <c r="D80" s="191" t="s">
        <v>364</v>
      </c>
      <c r="E80" s="181">
        <f t="shared" si="8"/>
        <v>220</v>
      </c>
      <c r="F80" s="191" t="s">
        <v>365</v>
      </c>
      <c r="G80" s="181">
        <f t="shared" si="9"/>
        <v>219</v>
      </c>
      <c r="H80" s="182" t="s">
        <v>120</v>
      </c>
      <c r="I80" s="181" t="s">
        <v>23</v>
      </c>
      <c r="J80" s="181" t="s">
        <v>23</v>
      </c>
      <c r="K80" s="181" t="s">
        <v>26</v>
      </c>
      <c r="L80" s="183" t="s">
        <v>366</v>
      </c>
      <c r="M80" s="7" t="s">
        <v>23</v>
      </c>
      <c r="N80" s="183" t="s">
        <v>367</v>
      </c>
      <c r="O80" s="183"/>
      <c r="P80" s="349"/>
      <c r="Q80" s="396">
        <v>1</v>
      </c>
      <c r="R80" s="388"/>
      <c r="S80" s="389"/>
      <c r="T80" s="397" t="s">
        <v>22</v>
      </c>
      <c r="U80" s="391"/>
      <c r="V80" s="389"/>
      <c r="W80" s="389"/>
      <c r="X80" s="483">
        <v>14.01507568359375</v>
      </c>
      <c r="Y80" s="483">
        <f t="shared" si="11"/>
        <v>14.01507568359375</v>
      </c>
      <c r="Z80" s="388" t="str">
        <f t="shared" si="12"/>
        <v/>
      </c>
    </row>
    <row r="81" spans="1:26" s="14" customFormat="1" ht="85" customHeight="1">
      <c r="A81" s="468">
        <f t="shared" si="10"/>
        <v>42</v>
      </c>
      <c r="B81" s="149" t="s">
        <v>368</v>
      </c>
      <c r="C81" s="445" t="s">
        <v>368</v>
      </c>
      <c r="D81" s="191" t="s">
        <v>369</v>
      </c>
      <c r="E81" s="181">
        <f t="shared" si="8"/>
        <v>274</v>
      </c>
      <c r="F81" s="191" t="s">
        <v>370</v>
      </c>
      <c r="G81" s="181">
        <f t="shared" si="9"/>
        <v>315</v>
      </c>
      <c r="H81" s="182" t="s">
        <v>120</v>
      </c>
      <c r="I81" s="181" t="s">
        <v>23</v>
      </c>
      <c r="J81" s="181" t="s">
        <v>23</v>
      </c>
      <c r="K81" s="181" t="s">
        <v>26</v>
      </c>
      <c r="L81" s="183" t="s">
        <v>371</v>
      </c>
      <c r="M81" s="7" t="s">
        <v>23</v>
      </c>
      <c r="N81" s="183" t="s">
        <v>372</v>
      </c>
      <c r="O81" s="183"/>
      <c r="P81" s="349"/>
      <c r="Q81" s="396">
        <v>1</v>
      </c>
      <c r="R81" s="388"/>
      <c r="S81" s="389"/>
      <c r="T81" s="397" t="s">
        <v>22</v>
      </c>
      <c r="U81" s="391"/>
      <c r="V81" s="389"/>
      <c r="W81" s="389"/>
      <c r="X81" s="483">
        <v>17.22746658325195</v>
      </c>
      <c r="Y81" s="483">
        <f t="shared" si="11"/>
        <v>17.22746658325195</v>
      </c>
      <c r="Z81" s="388" t="str">
        <f t="shared" si="12"/>
        <v/>
      </c>
    </row>
    <row r="82" spans="1:26" s="14" customFormat="1" ht="102" customHeight="1">
      <c r="A82" s="148">
        <f t="shared" si="10"/>
        <v>43</v>
      </c>
      <c r="B82" s="149" t="s">
        <v>373</v>
      </c>
      <c r="C82" s="445" t="s">
        <v>373</v>
      </c>
      <c r="D82" s="191" t="s">
        <v>374</v>
      </c>
      <c r="E82" s="181">
        <f t="shared" si="8"/>
        <v>307</v>
      </c>
      <c r="F82" s="191" t="s">
        <v>375</v>
      </c>
      <c r="G82" s="181">
        <f t="shared" si="9"/>
        <v>312</v>
      </c>
      <c r="H82" s="182" t="s">
        <v>120</v>
      </c>
      <c r="I82" s="181" t="s">
        <v>23</v>
      </c>
      <c r="J82" s="181" t="s">
        <v>23</v>
      </c>
      <c r="K82" s="181" t="s">
        <v>26</v>
      </c>
      <c r="L82" s="183" t="s">
        <v>376</v>
      </c>
      <c r="M82" s="7" t="s">
        <v>23</v>
      </c>
      <c r="N82" s="183" t="s">
        <v>377</v>
      </c>
      <c r="O82" s="183"/>
      <c r="P82" s="349"/>
      <c r="Q82" s="396">
        <v>1</v>
      </c>
      <c r="R82" s="388"/>
      <c r="S82" s="389"/>
      <c r="T82" s="397" t="s">
        <v>22</v>
      </c>
      <c r="U82" s="391"/>
      <c r="V82" s="389"/>
      <c r="W82" s="389"/>
      <c r="X82" s="483">
        <v>19.492774716706521</v>
      </c>
      <c r="Y82" s="483">
        <f t="shared" si="11"/>
        <v>19.492774716706521</v>
      </c>
      <c r="Z82" s="388" t="str">
        <f t="shared" si="12"/>
        <v/>
      </c>
    </row>
    <row r="83" spans="1:26" s="14" customFormat="1" ht="85" customHeight="1">
      <c r="A83" s="148">
        <f t="shared" si="10"/>
        <v>44</v>
      </c>
      <c r="B83" s="149" t="s">
        <v>378</v>
      </c>
      <c r="C83" s="445" t="s">
        <v>378</v>
      </c>
      <c r="D83" s="191" t="s">
        <v>379</v>
      </c>
      <c r="E83" s="181">
        <f t="shared" si="8"/>
        <v>292</v>
      </c>
      <c r="F83" s="191" t="s">
        <v>380</v>
      </c>
      <c r="G83" s="181">
        <f t="shared" si="9"/>
        <v>268</v>
      </c>
      <c r="H83" s="182" t="s">
        <v>120</v>
      </c>
      <c r="I83" s="181" t="s">
        <v>23</v>
      </c>
      <c r="J83" s="181" t="s">
        <v>23</v>
      </c>
      <c r="K83" s="181" t="s">
        <v>26</v>
      </c>
      <c r="L83" s="183" t="s">
        <v>381</v>
      </c>
      <c r="M83" s="7" t="s">
        <v>23</v>
      </c>
      <c r="N83" s="183" t="s">
        <v>382</v>
      </c>
      <c r="O83" s="183"/>
      <c r="P83" s="349"/>
      <c r="Q83" s="396">
        <v>1</v>
      </c>
      <c r="R83" s="388"/>
      <c r="S83" s="389"/>
      <c r="T83" s="397" t="s">
        <v>22</v>
      </c>
      <c r="U83" s="391"/>
      <c r="V83" s="389"/>
      <c r="W83" s="389"/>
      <c r="X83" s="483">
        <v>14.17413425445557</v>
      </c>
      <c r="Y83" s="483">
        <f t="shared" si="11"/>
        <v>14.17413425445557</v>
      </c>
      <c r="Z83" s="388" t="str">
        <f t="shared" si="12"/>
        <v/>
      </c>
    </row>
    <row r="84" spans="1:26" s="14" customFormat="1" ht="85" customHeight="1">
      <c r="A84" s="148">
        <f t="shared" si="10"/>
        <v>45</v>
      </c>
      <c r="B84" s="149" t="s">
        <v>383</v>
      </c>
      <c r="C84" s="445" t="s">
        <v>383</v>
      </c>
      <c r="D84" s="191" t="s">
        <v>384</v>
      </c>
      <c r="E84" s="181">
        <f t="shared" si="8"/>
        <v>262</v>
      </c>
      <c r="F84" s="191" t="s">
        <v>385</v>
      </c>
      <c r="G84" s="181">
        <f t="shared" si="9"/>
        <v>279</v>
      </c>
      <c r="H84" s="182" t="s">
        <v>120</v>
      </c>
      <c r="I84" s="181" t="s">
        <v>23</v>
      </c>
      <c r="J84" s="181" t="s">
        <v>23</v>
      </c>
      <c r="K84" s="181" t="s">
        <v>26</v>
      </c>
      <c r="L84" s="183" t="s">
        <v>386</v>
      </c>
      <c r="M84" s="7" t="s">
        <v>23</v>
      </c>
      <c r="N84" s="183" t="s">
        <v>387</v>
      </c>
      <c r="O84" s="183"/>
      <c r="P84" s="349"/>
      <c r="Q84" s="396">
        <v>1</v>
      </c>
      <c r="R84" s="388"/>
      <c r="S84" s="389"/>
      <c r="T84" s="397" t="s">
        <v>22</v>
      </c>
      <c r="U84" s="391"/>
      <c r="V84" s="389"/>
      <c r="W84" s="389"/>
      <c r="X84" s="483">
        <v>13.37862586975098</v>
      </c>
      <c r="Y84" s="483">
        <f t="shared" si="11"/>
        <v>13.37862586975098</v>
      </c>
      <c r="Z84" s="388" t="str">
        <f t="shared" si="12"/>
        <v/>
      </c>
    </row>
    <row r="85" spans="1:26" s="14" customFormat="1" ht="85" customHeight="1">
      <c r="A85" s="148">
        <f t="shared" si="10"/>
        <v>46</v>
      </c>
      <c r="B85" s="149" t="s">
        <v>388</v>
      </c>
      <c r="C85" s="445" t="s">
        <v>388</v>
      </c>
      <c r="D85" s="191" t="s">
        <v>389</v>
      </c>
      <c r="E85" s="181">
        <f t="shared" si="8"/>
        <v>257</v>
      </c>
      <c r="F85" s="191" t="s">
        <v>390</v>
      </c>
      <c r="G85" s="181">
        <f t="shared" si="9"/>
        <v>325</v>
      </c>
      <c r="H85" s="182" t="s">
        <v>120</v>
      </c>
      <c r="I85" s="181" t="s">
        <v>23</v>
      </c>
      <c r="J85" s="181" t="s">
        <v>23</v>
      </c>
      <c r="K85" s="181" t="s">
        <v>26</v>
      </c>
      <c r="L85" s="183" t="s">
        <v>391</v>
      </c>
      <c r="M85" s="7" t="s">
        <v>23</v>
      </c>
      <c r="N85" s="183" t="s">
        <v>392</v>
      </c>
      <c r="O85" s="183"/>
      <c r="P85" s="349"/>
      <c r="Q85" s="396">
        <v>1</v>
      </c>
      <c r="R85" s="388"/>
      <c r="S85" s="389"/>
      <c r="T85" s="397" t="s">
        <v>22</v>
      </c>
      <c r="U85" s="391"/>
      <c r="V85" s="389"/>
      <c r="W85" s="389"/>
      <c r="X85" s="483">
        <v>12.756523132324221</v>
      </c>
      <c r="Y85" s="483">
        <f t="shared" si="11"/>
        <v>12.756523132324221</v>
      </c>
      <c r="Z85" s="388" t="str">
        <f t="shared" si="12"/>
        <v/>
      </c>
    </row>
    <row r="86" spans="1:26" s="14" customFormat="1" ht="102" customHeight="1">
      <c r="A86" s="148">
        <f t="shared" si="10"/>
        <v>47</v>
      </c>
      <c r="B86" s="149" t="s">
        <v>393</v>
      </c>
      <c r="C86" s="445" t="s">
        <v>393</v>
      </c>
      <c r="D86" s="191" t="s">
        <v>394</v>
      </c>
      <c r="E86" s="181">
        <f t="shared" si="8"/>
        <v>204</v>
      </c>
      <c r="F86" s="191" t="s">
        <v>395</v>
      </c>
      <c r="G86" s="181">
        <f t="shared" si="9"/>
        <v>164</v>
      </c>
      <c r="H86" s="182" t="s">
        <v>36</v>
      </c>
      <c r="I86" s="181" t="s">
        <v>23</v>
      </c>
      <c r="J86" s="181" t="s">
        <v>23</v>
      </c>
      <c r="K86" s="181" t="s">
        <v>37</v>
      </c>
      <c r="L86" s="183" t="s">
        <v>396</v>
      </c>
      <c r="M86" s="7" t="s">
        <v>23</v>
      </c>
      <c r="N86" s="183" t="s">
        <v>397</v>
      </c>
      <c r="O86" s="183"/>
      <c r="P86" s="349"/>
      <c r="Q86" s="396">
        <v>1</v>
      </c>
      <c r="R86" s="388"/>
      <c r="S86" s="389"/>
      <c r="T86" s="397" t="s">
        <v>22</v>
      </c>
      <c r="U86" s="391"/>
      <c r="V86" s="389"/>
      <c r="W86" s="389"/>
      <c r="X86" s="483">
        <v>5.8349170684814453</v>
      </c>
      <c r="Y86" s="483">
        <f t="shared" si="11"/>
        <v>5.8349170684814453</v>
      </c>
      <c r="Z86" s="388" t="str">
        <f t="shared" si="12"/>
        <v/>
      </c>
    </row>
    <row r="87" spans="1:26" s="14" customFormat="1" ht="85" customHeight="1">
      <c r="A87" s="148">
        <f t="shared" si="10"/>
        <v>48</v>
      </c>
      <c r="B87" s="149" t="s">
        <v>398</v>
      </c>
      <c r="C87" s="445" t="s">
        <v>398</v>
      </c>
      <c r="D87" s="191" t="s">
        <v>399</v>
      </c>
      <c r="E87" s="181">
        <f t="shared" si="8"/>
        <v>169</v>
      </c>
      <c r="F87" s="191" t="s">
        <v>400</v>
      </c>
      <c r="G87" s="181">
        <f t="shared" si="9"/>
        <v>162</v>
      </c>
      <c r="H87" s="192" t="s">
        <v>120</v>
      </c>
      <c r="I87" s="181" t="s">
        <v>23</v>
      </c>
      <c r="J87" s="181" t="s">
        <v>23</v>
      </c>
      <c r="K87" s="181" t="s">
        <v>26</v>
      </c>
      <c r="L87" s="183" t="s">
        <v>401</v>
      </c>
      <c r="M87" s="7" t="s">
        <v>23</v>
      </c>
      <c r="N87" s="183" t="s">
        <v>402</v>
      </c>
      <c r="O87" s="183"/>
      <c r="P87" s="349"/>
      <c r="Q87" s="396">
        <v>1</v>
      </c>
      <c r="R87" s="388"/>
      <c r="S87" s="389"/>
      <c r="T87" s="397" t="s">
        <v>22</v>
      </c>
      <c r="U87" s="391"/>
      <c r="V87" s="389"/>
      <c r="W87" s="389"/>
      <c r="X87" s="483">
        <v>28.608445494708722</v>
      </c>
      <c r="Y87" s="483">
        <f t="shared" si="11"/>
        <v>28.608445494708722</v>
      </c>
      <c r="Z87" s="388" t="str">
        <f t="shared" si="12"/>
        <v/>
      </c>
    </row>
    <row r="88" spans="1:26" s="14" customFormat="1" ht="102" customHeight="1">
      <c r="A88" s="148">
        <f t="shared" si="10"/>
        <v>49</v>
      </c>
      <c r="B88" s="149" t="s">
        <v>403</v>
      </c>
      <c r="C88" s="445" t="s">
        <v>403</v>
      </c>
      <c r="D88" s="191" t="s">
        <v>404</v>
      </c>
      <c r="E88" s="181">
        <f t="shared" si="8"/>
        <v>192</v>
      </c>
      <c r="F88" s="191" t="s">
        <v>405</v>
      </c>
      <c r="G88" s="181">
        <f t="shared" si="9"/>
        <v>191</v>
      </c>
      <c r="H88" s="192" t="s">
        <v>120</v>
      </c>
      <c r="I88" s="181" t="s">
        <v>23</v>
      </c>
      <c r="J88" s="181" t="s">
        <v>23</v>
      </c>
      <c r="K88" s="181" t="s">
        <v>26</v>
      </c>
      <c r="L88" s="183" t="s">
        <v>406</v>
      </c>
      <c r="M88" s="7" t="s">
        <v>23</v>
      </c>
      <c r="N88" s="183" t="s">
        <v>407</v>
      </c>
      <c r="O88" s="183"/>
      <c r="P88" s="349"/>
      <c r="Q88" s="396">
        <v>1</v>
      </c>
      <c r="R88" s="388"/>
      <c r="S88" s="389"/>
      <c r="T88" s="397" t="s">
        <v>22</v>
      </c>
      <c r="U88" s="391"/>
      <c r="V88" s="389"/>
      <c r="W88" s="389"/>
      <c r="X88" s="483">
        <v>14.61820602416992</v>
      </c>
      <c r="Y88" s="483">
        <f t="shared" si="11"/>
        <v>14.61820602416992</v>
      </c>
      <c r="Z88" s="388" t="str">
        <f t="shared" si="12"/>
        <v/>
      </c>
    </row>
    <row r="89" spans="1:26" s="14" customFormat="1" ht="85" customHeight="1">
      <c r="A89" s="148">
        <f t="shared" si="10"/>
        <v>50</v>
      </c>
      <c r="B89" s="193" t="s">
        <v>408</v>
      </c>
      <c r="C89" s="446" t="s">
        <v>408</v>
      </c>
      <c r="D89" s="191" t="s">
        <v>409</v>
      </c>
      <c r="E89" s="181">
        <f t="shared" si="8"/>
        <v>178</v>
      </c>
      <c r="F89" s="191" t="s">
        <v>410</v>
      </c>
      <c r="G89" s="181">
        <f t="shared" si="9"/>
        <v>178</v>
      </c>
      <c r="H89" s="192" t="s">
        <v>120</v>
      </c>
      <c r="I89" s="181" t="s">
        <v>23</v>
      </c>
      <c r="J89" s="181" t="s">
        <v>23</v>
      </c>
      <c r="K89" s="181" t="s">
        <v>26</v>
      </c>
      <c r="L89" s="183" t="s">
        <v>411</v>
      </c>
      <c r="M89" s="7" t="s">
        <v>23</v>
      </c>
      <c r="N89" s="183" t="s">
        <v>412</v>
      </c>
      <c r="O89" s="183"/>
      <c r="P89" s="349"/>
      <c r="Q89" s="396">
        <v>1</v>
      </c>
      <c r="R89" s="388"/>
      <c r="S89" s="389"/>
      <c r="T89" s="397" t="s">
        <v>22</v>
      </c>
      <c r="U89" s="391"/>
      <c r="V89" s="389"/>
      <c r="W89" s="389"/>
      <c r="X89" s="483">
        <v>13.777663230896</v>
      </c>
      <c r="Y89" s="483">
        <f t="shared" si="11"/>
        <v>13.777663230896</v>
      </c>
      <c r="Z89" s="388" t="str">
        <f t="shared" si="12"/>
        <v/>
      </c>
    </row>
    <row r="90" spans="1:26" s="14" customFormat="1" ht="102" customHeight="1">
      <c r="A90" s="148">
        <f t="shared" si="10"/>
        <v>51</v>
      </c>
      <c r="B90" s="149" t="s">
        <v>413</v>
      </c>
      <c r="C90" s="445" t="s">
        <v>413</v>
      </c>
      <c r="D90" s="191" t="s">
        <v>414</v>
      </c>
      <c r="E90" s="181">
        <f t="shared" si="8"/>
        <v>169</v>
      </c>
      <c r="F90" s="191" t="s">
        <v>415</v>
      </c>
      <c r="G90" s="181">
        <f t="shared" si="9"/>
        <v>166</v>
      </c>
      <c r="H90" s="192" t="s">
        <v>120</v>
      </c>
      <c r="I90" s="181" t="s">
        <v>23</v>
      </c>
      <c r="J90" s="181" t="s">
        <v>23</v>
      </c>
      <c r="K90" s="181" t="s">
        <v>26</v>
      </c>
      <c r="L90" s="183" t="s">
        <v>416</v>
      </c>
      <c r="M90" s="7" t="s">
        <v>23</v>
      </c>
      <c r="N90" s="183" t="s">
        <v>417</v>
      </c>
      <c r="O90" s="183"/>
      <c r="P90" s="348"/>
      <c r="Q90" s="396">
        <v>1</v>
      </c>
      <c r="R90" s="388"/>
      <c r="S90" s="389"/>
      <c r="T90" s="397" t="s">
        <v>22</v>
      </c>
      <c r="U90" s="391"/>
      <c r="V90" s="389"/>
      <c r="W90" s="389"/>
      <c r="X90" s="483">
        <v>12.39977359771729</v>
      </c>
      <c r="Y90" s="483">
        <f t="shared" si="11"/>
        <v>12.39977359771729</v>
      </c>
      <c r="Z90" s="388" t="str">
        <f t="shared" si="12"/>
        <v/>
      </c>
    </row>
    <row r="91" spans="1:26" s="14" customFormat="1" ht="69" customHeight="1" thickBot="1">
      <c r="A91" s="148">
        <f t="shared" si="10"/>
        <v>52</v>
      </c>
      <c r="B91" s="149" t="s">
        <v>418</v>
      </c>
      <c r="C91" s="445" t="s">
        <v>418</v>
      </c>
      <c r="D91" s="194" t="s">
        <v>419</v>
      </c>
      <c r="E91" s="181">
        <f t="shared" si="8"/>
        <v>190</v>
      </c>
      <c r="F91" s="195" t="s">
        <v>420</v>
      </c>
      <c r="G91" s="181">
        <f t="shared" si="9"/>
        <v>200</v>
      </c>
      <c r="H91" s="192" t="s">
        <v>120</v>
      </c>
      <c r="I91" s="196" t="s">
        <v>23</v>
      </c>
      <c r="J91" s="196" t="s">
        <v>23</v>
      </c>
      <c r="K91" s="181" t="s">
        <v>26</v>
      </c>
      <c r="L91" s="197" t="s">
        <v>421</v>
      </c>
      <c r="M91" s="7" t="s">
        <v>23</v>
      </c>
      <c r="N91" s="197" t="s">
        <v>422</v>
      </c>
      <c r="O91" s="197"/>
      <c r="P91" s="348"/>
      <c r="Q91" s="396">
        <v>1</v>
      </c>
      <c r="R91" s="388"/>
      <c r="S91" s="389"/>
      <c r="T91" s="397" t="s">
        <v>22</v>
      </c>
      <c r="U91" s="391"/>
      <c r="V91" s="389"/>
      <c r="W91" s="389"/>
      <c r="X91" s="483">
        <v>13.343881607055661</v>
      </c>
      <c r="Y91" s="483">
        <f t="shared" si="11"/>
        <v>13.343881607055661</v>
      </c>
      <c r="Z91" s="388" t="str">
        <f t="shared" si="12"/>
        <v/>
      </c>
    </row>
    <row r="92" spans="1:26" s="16" customFormat="1" ht="17" customHeight="1" thickBot="1">
      <c r="A92" s="496" t="s">
        <v>423</v>
      </c>
      <c r="B92" s="497"/>
      <c r="C92" s="497"/>
      <c r="D92" s="497"/>
      <c r="E92" s="497"/>
      <c r="F92" s="497"/>
      <c r="G92" s="497"/>
      <c r="H92" s="497"/>
      <c r="I92" s="497"/>
      <c r="J92" s="497"/>
      <c r="K92" s="497"/>
      <c r="L92" s="497"/>
      <c r="M92" s="497"/>
      <c r="N92" s="497"/>
      <c r="O92" s="497"/>
      <c r="P92" s="497"/>
      <c r="Q92" s="387"/>
      <c r="R92" s="392"/>
      <c r="S92" s="393"/>
      <c r="T92" s="390"/>
      <c r="U92" s="394"/>
      <c r="V92" s="393"/>
      <c r="W92" s="393"/>
      <c r="X92" s="482"/>
      <c r="Y92" s="482" t="str">
        <f t="shared" si="11"/>
        <v/>
      </c>
      <c r="Z92" s="392" t="str">
        <f t="shared" si="12"/>
        <v/>
      </c>
    </row>
    <row r="93" spans="1:26" s="14" customFormat="1" ht="119" customHeight="1">
      <c r="A93" s="1" t="s">
        <v>23</v>
      </c>
      <c r="B93" s="2" t="s">
        <v>424</v>
      </c>
      <c r="C93" s="8" t="s">
        <v>424</v>
      </c>
      <c r="D93" s="3" t="s">
        <v>425</v>
      </c>
      <c r="E93" s="4">
        <f t="shared" ref="E93:E99" si="13">LEN(D93)</f>
        <v>162</v>
      </c>
      <c r="F93" s="198" t="s">
        <v>426</v>
      </c>
      <c r="G93" s="4">
        <f t="shared" ref="G93:G99" si="14">LEN(F93)</f>
        <v>145</v>
      </c>
      <c r="H93" s="4" t="s">
        <v>36</v>
      </c>
      <c r="I93" s="4" t="s">
        <v>23</v>
      </c>
      <c r="J93" s="4" t="s">
        <v>23</v>
      </c>
      <c r="K93" s="4" t="s">
        <v>37</v>
      </c>
      <c r="L93" s="5" t="s">
        <v>427</v>
      </c>
      <c r="M93" s="6" t="s">
        <v>23</v>
      </c>
      <c r="N93" s="5" t="s">
        <v>428</v>
      </c>
      <c r="O93" s="67"/>
      <c r="P93" s="350"/>
      <c r="Q93" s="387">
        <v>1</v>
      </c>
      <c r="R93" s="388"/>
      <c r="S93" s="389"/>
      <c r="T93" s="390" t="s">
        <v>32</v>
      </c>
      <c r="U93" s="391"/>
      <c r="V93" s="389"/>
      <c r="W93" s="389"/>
      <c r="X93" s="482">
        <v>14.946464538574221</v>
      </c>
      <c r="Y93" s="482">
        <f t="shared" si="11"/>
        <v>14.946464538574221</v>
      </c>
      <c r="Z93" s="388">
        <f t="shared" si="12"/>
        <v>14.946464538574221</v>
      </c>
    </row>
    <row r="94" spans="1:26" s="204" customFormat="1" ht="137.25" customHeight="1">
      <c r="A94" s="199"/>
      <c r="B94" s="200" t="s">
        <v>429</v>
      </c>
      <c r="C94" s="447" t="s">
        <v>429</v>
      </c>
      <c r="D94" s="201" t="s">
        <v>430</v>
      </c>
      <c r="E94" s="202">
        <f t="shared" si="13"/>
        <v>144</v>
      </c>
      <c r="F94" s="203" t="s">
        <v>431</v>
      </c>
      <c r="G94" s="202">
        <f t="shared" si="14"/>
        <v>132</v>
      </c>
      <c r="H94" s="202" t="s">
        <v>36</v>
      </c>
      <c r="I94" s="202" t="s">
        <v>23</v>
      </c>
      <c r="J94" s="202" t="s">
        <v>23</v>
      </c>
      <c r="K94" s="202" t="s">
        <v>37</v>
      </c>
      <c r="L94" s="72" t="s">
        <v>432</v>
      </c>
      <c r="M94" s="7" t="s">
        <v>23</v>
      </c>
      <c r="N94" s="72" t="s">
        <v>433</v>
      </c>
      <c r="O94" s="72"/>
      <c r="P94" s="351"/>
      <c r="Q94" s="398">
        <v>1</v>
      </c>
      <c r="R94" s="399"/>
      <c r="S94" s="400"/>
      <c r="T94" s="401" t="s">
        <v>434</v>
      </c>
      <c r="U94" s="402"/>
      <c r="V94" s="400"/>
      <c r="W94" s="400"/>
      <c r="X94" s="485">
        <v>16.684934616088871</v>
      </c>
      <c r="Y94" s="483">
        <f t="shared" si="11"/>
        <v>16.684934616088871</v>
      </c>
      <c r="Z94" s="388" t="str">
        <f t="shared" si="12"/>
        <v/>
      </c>
    </row>
    <row r="95" spans="1:26" s="68" customFormat="1" ht="187" customHeight="1">
      <c r="A95" s="70"/>
      <c r="B95" s="200" t="s">
        <v>435</v>
      </c>
      <c r="C95" s="447" t="s">
        <v>435</v>
      </c>
      <c r="D95" s="201" t="s">
        <v>436</v>
      </c>
      <c r="E95" s="202">
        <f t="shared" si="13"/>
        <v>235</v>
      </c>
      <c r="F95" s="203" t="s">
        <v>437</v>
      </c>
      <c r="G95" s="202">
        <f t="shared" si="14"/>
        <v>189</v>
      </c>
      <c r="H95" s="202" t="s">
        <v>81</v>
      </c>
      <c r="I95" s="202" t="s">
        <v>23</v>
      </c>
      <c r="J95" s="202" t="s">
        <v>23</v>
      </c>
      <c r="K95" s="202" t="s">
        <v>82</v>
      </c>
      <c r="L95" s="72" t="s">
        <v>438</v>
      </c>
      <c r="M95" s="7" t="s">
        <v>23</v>
      </c>
      <c r="N95" s="72" t="s">
        <v>439</v>
      </c>
      <c r="O95" s="72"/>
      <c r="P95" s="351"/>
      <c r="Q95" s="398">
        <v>1</v>
      </c>
      <c r="R95" s="403"/>
      <c r="S95" s="404"/>
      <c r="T95" s="401" t="s">
        <v>434</v>
      </c>
      <c r="U95" s="405"/>
      <c r="V95" s="404"/>
      <c r="W95" s="404"/>
      <c r="X95" s="485">
        <v>15.116804122924799</v>
      </c>
      <c r="Y95" s="483">
        <f t="shared" si="11"/>
        <v>15.116804122924799</v>
      </c>
      <c r="Z95" s="388" t="str">
        <f t="shared" si="12"/>
        <v/>
      </c>
    </row>
    <row r="96" spans="1:26" s="68" customFormat="1" ht="85" customHeight="1">
      <c r="A96" s="70"/>
      <c r="B96" s="200" t="s">
        <v>440</v>
      </c>
      <c r="C96" s="447" t="s">
        <v>440</v>
      </c>
      <c r="D96" s="205" t="s">
        <v>441</v>
      </c>
      <c r="E96" s="202">
        <f t="shared" si="13"/>
        <v>71</v>
      </c>
      <c r="F96" s="203" t="s">
        <v>442</v>
      </c>
      <c r="G96" s="202">
        <f t="shared" si="14"/>
        <v>72</v>
      </c>
      <c r="H96" s="202" t="s">
        <v>25</v>
      </c>
      <c r="I96" s="206" t="s">
        <v>23</v>
      </c>
      <c r="J96" s="206" t="s">
        <v>23</v>
      </c>
      <c r="K96" s="206" t="s">
        <v>82</v>
      </c>
      <c r="L96" s="72" t="s">
        <v>443</v>
      </c>
      <c r="M96" s="7" t="s">
        <v>23</v>
      </c>
      <c r="N96" s="72" t="s">
        <v>444</v>
      </c>
      <c r="O96" s="72"/>
      <c r="P96" s="351"/>
      <c r="Q96" s="398">
        <v>1</v>
      </c>
      <c r="R96" s="403"/>
      <c r="S96" s="404"/>
      <c r="T96" s="401" t="s">
        <v>434</v>
      </c>
      <c r="U96" s="405"/>
      <c r="V96" s="404"/>
      <c r="W96" s="404"/>
      <c r="X96" s="485">
        <v>25.539003372192379</v>
      </c>
      <c r="Y96" s="483">
        <f t="shared" si="11"/>
        <v>25.539003372192379</v>
      </c>
      <c r="Z96" s="388" t="str">
        <f t="shared" si="12"/>
        <v/>
      </c>
    </row>
    <row r="97" spans="1:26" s="68" customFormat="1" ht="85" customHeight="1">
      <c r="A97" s="70"/>
      <c r="B97" s="200" t="s">
        <v>445</v>
      </c>
      <c r="C97" s="447" t="s">
        <v>445</v>
      </c>
      <c r="D97" s="205" t="s">
        <v>446</v>
      </c>
      <c r="E97" s="202">
        <f t="shared" si="13"/>
        <v>92</v>
      </c>
      <c r="F97" s="203" t="s">
        <v>447</v>
      </c>
      <c r="G97" s="202">
        <f t="shared" si="14"/>
        <v>74</v>
      </c>
      <c r="H97" s="202" t="s">
        <v>25</v>
      </c>
      <c r="I97" s="202" t="s">
        <v>23</v>
      </c>
      <c r="J97" s="202" t="s">
        <v>23</v>
      </c>
      <c r="K97" s="206" t="s">
        <v>26</v>
      </c>
      <c r="L97" s="72" t="s">
        <v>448</v>
      </c>
      <c r="M97" s="7" t="s">
        <v>23</v>
      </c>
      <c r="N97" s="72" t="s">
        <v>449</v>
      </c>
      <c r="O97" s="72"/>
      <c r="P97" s="351"/>
      <c r="Q97" s="398">
        <v>1</v>
      </c>
      <c r="R97" s="403"/>
      <c r="S97" s="404"/>
      <c r="T97" s="401" t="s">
        <v>434</v>
      </c>
      <c r="U97" s="405"/>
      <c r="V97" s="404"/>
      <c r="W97" s="404"/>
      <c r="X97" s="485">
        <v>13.714834213256839</v>
      </c>
      <c r="Y97" s="483">
        <f t="shared" si="11"/>
        <v>13.714834213256839</v>
      </c>
      <c r="Z97" s="388" t="str">
        <f t="shared" si="12"/>
        <v/>
      </c>
    </row>
    <row r="98" spans="1:26" s="69" customFormat="1" ht="255" customHeight="1">
      <c r="A98" s="207"/>
      <c r="B98" s="208" t="s">
        <v>450</v>
      </c>
      <c r="C98" s="448" t="s">
        <v>451</v>
      </c>
      <c r="D98" s="209" t="s">
        <v>452</v>
      </c>
      <c r="E98" s="210">
        <f t="shared" si="13"/>
        <v>166</v>
      </c>
      <c r="F98" s="203" t="s">
        <v>453</v>
      </c>
      <c r="G98" s="210">
        <f t="shared" si="14"/>
        <v>178</v>
      </c>
      <c r="H98" s="210" t="s">
        <v>220</v>
      </c>
      <c r="I98" s="210" t="s">
        <v>23</v>
      </c>
      <c r="J98" s="210" t="s">
        <v>23</v>
      </c>
      <c r="K98" s="210" t="s">
        <v>334</v>
      </c>
      <c r="L98" s="211" t="s">
        <v>454</v>
      </c>
      <c r="M98" s="6" t="s">
        <v>23</v>
      </c>
      <c r="N98" s="71" t="s">
        <v>455</v>
      </c>
      <c r="O98" s="72"/>
      <c r="P98" s="352"/>
      <c r="Q98" s="406">
        <v>1</v>
      </c>
      <c r="R98" s="403"/>
      <c r="S98" s="405"/>
      <c r="T98" s="407" t="s">
        <v>133</v>
      </c>
      <c r="U98" s="405"/>
      <c r="V98" s="405"/>
      <c r="W98" s="405"/>
      <c r="X98" s="486">
        <v>19.354913711547852</v>
      </c>
      <c r="Y98" s="482">
        <f t="shared" si="11"/>
        <v>19.354913711547852</v>
      </c>
      <c r="Z98" s="388" t="str">
        <f t="shared" si="12"/>
        <v/>
      </c>
    </row>
    <row r="99" spans="1:26" s="69" customFormat="1" ht="120" customHeight="1">
      <c r="A99" s="207"/>
      <c r="B99" s="208" t="s">
        <v>456</v>
      </c>
      <c r="C99" s="448" t="s">
        <v>457</v>
      </c>
      <c r="D99" s="212" t="s">
        <v>458</v>
      </c>
      <c r="E99" s="210">
        <f t="shared" si="13"/>
        <v>130</v>
      </c>
      <c r="F99" s="203" t="s">
        <v>459</v>
      </c>
      <c r="G99" s="210">
        <f t="shared" si="14"/>
        <v>139</v>
      </c>
      <c r="H99" s="210" t="s">
        <v>220</v>
      </c>
      <c r="I99" s="210" t="s">
        <v>23</v>
      </c>
      <c r="J99" s="210" t="s">
        <v>23</v>
      </c>
      <c r="K99" s="210" t="s">
        <v>334</v>
      </c>
      <c r="L99" s="211" t="s">
        <v>460</v>
      </c>
      <c r="M99" s="6" t="s">
        <v>23</v>
      </c>
      <c r="N99" s="71" t="s">
        <v>461</v>
      </c>
      <c r="O99" s="72"/>
      <c r="P99" s="352"/>
      <c r="Q99" s="406">
        <v>1</v>
      </c>
      <c r="R99" s="403"/>
      <c r="S99" s="405"/>
      <c r="T99" s="407" t="s">
        <v>133</v>
      </c>
      <c r="U99" s="405"/>
      <c r="V99" s="405"/>
      <c r="W99" s="405"/>
      <c r="X99" s="486">
        <v>15.88939952850342</v>
      </c>
      <c r="Y99" s="482">
        <f t="shared" si="11"/>
        <v>15.88939952850342</v>
      </c>
      <c r="Z99" s="388" t="str">
        <f t="shared" si="12"/>
        <v/>
      </c>
    </row>
    <row r="100" spans="1:26" s="73" customFormat="1" ht="6" customHeight="1">
      <c r="A100" s="213"/>
      <c r="B100" s="214"/>
      <c r="C100" s="449"/>
      <c r="D100" s="215"/>
      <c r="E100" s="216"/>
      <c r="G100" s="216"/>
      <c r="H100" s="216"/>
      <c r="I100" s="217"/>
      <c r="J100" s="217"/>
      <c r="K100" s="217"/>
      <c r="L100" s="218"/>
      <c r="M100" s="13"/>
      <c r="N100" s="218"/>
      <c r="O100" s="219"/>
      <c r="P100" s="353"/>
      <c r="Q100" s="396">
        <v>1</v>
      </c>
      <c r="R100" s="388"/>
      <c r="S100" s="408"/>
      <c r="T100" s="409"/>
      <c r="U100" s="408"/>
      <c r="V100" s="408"/>
      <c r="W100" s="408"/>
      <c r="X100" s="487"/>
      <c r="Y100" s="483" t="str">
        <f t="shared" si="11"/>
        <v/>
      </c>
      <c r="Z100" s="388" t="str">
        <f t="shared" si="12"/>
        <v/>
      </c>
    </row>
    <row r="101" spans="1:26" s="226" customFormat="1" ht="103" customHeight="1" thickBot="1">
      <c r="A101" s="220" t="s">
        <v>23</v>
      </c>
      <c r="B101" s="221" t="s">
        <v>462</v>
      </c>
      <c r="C101" s="439" t="s">
        <v>462</v>
      </c>
      <c r="D101" s="222" t="s">
        <v>463</v>
      </c>
      <c r="E101" s="189">
        <f>LEN(D101)</f>
        <v>158</v>
      </c>
      <c r="F101" s="223" t="s">
        <v>464</v>
      </c>
      <c r="G101" s="189">
        <f>LEN(F101)</f>
        <v>132</v>
      </c>
      <c r="H101" s="189" t="s">
        <v>36</v>
      </c>
      <c r="I101" s="189" t="s">
        <v>23</v>
      </c>
      <c r="J101" s="189" t="s">
        <v>23</v>
      </c>
      <c r="K101" s="189" t="s">
        <v>37</v>
      </c>
      <c r="L101" s="78" t="s">
        <v>465</v>
      </c>
      <c r="M101" s="6" t="s">
        <v>23</v>
      </c>
      <c r="N101" s="224" t="s">
        <v>23</v>
      </c>
      <c r="O101" s="225"/>
      <c r="P101" s="354"/>
      <c r="Q101" s="387">
        <v>1</v>
      </c>
      <c r="R101" s="388"/>
      <c r="S101" s="410"/>
      <c r="T101" s="390" t="s">
        <v>32</v>
      </c>
      <c r="U101" s="391"/>
      <c r="V101" s="410"/>
      <c r="W101" s="410"/>
      <c r="X101" s="482">
        <v>17.309154088391789</v>
      </c>
      <c r="Y101" s="482">
        <f t="shared" si="11"/>
        <v>17.309154088391789</v>
      </c>
      <c r="Z101" s="388">
        <f t="shared" si="12"/>
        <v>17.309154088391789</v>
      </c>
    </row>
    <row r="102" spans="1:26" s="14" customFormat="1" ht="18" customHeight="1" thickBot="1">
      <c r="A102" s="227" t="s">
        <v>23</v>
      </c>
      <c r="B102" s="228" t="s">
        <v>466</v>
      </c>
      <c r="C102" s="450" t="s">
        <v>466</v>
      </c>
      <c r="D102" s="229" t="s">
        <v>467</v>
      </c>
      <c r="E102" s="230">
        <f>LEN(D102)</f>
        <v>58</v>
      </c>
      <c r="F102" s="231" t="s">
        <v>468</v>
      </c>
      <c r="G102" s="230">
        <f>LEN(F102)</f>
        <v>34</v>
      </c>
      <c r="H102" s="230" t="s">
        <v>23</v>
      </c>
      <c r="I102" s="230" t="s">
        <v>23</v>
      </c>
      <c r="J102" s="230" t="s">
        <v>23</v>
      </c>
      <c r="K102" s="230" t="s">
        <v>23</v>
      </c>
      <c r="L102" s="232" t="s">
        <v>23</v>
      </c>
      <c r="M102" s="232"/>
      <c r="N102" s="233" t="s">
        <v>23</v>
      </c>
      <c r="O102" s="234"/>
      <c r="P102" s="355"/>
      <c r="Q102" s="387">
        <v>1</v>
      </c>
      <c r="R102" s="391"/>
      <c r="S102" s="389"/>
      <c r="T102" s="397" t="s">
        <v>22</v>
      </c>
      <c r="U102" s="391"/>
      <c r="V102" s="389"/>
      <c r="W102" s="389"/>
      <c r="X102" s="488"/>
      <c r="Y102" s="482" t="str">
        <f t="shared" ref="Y102:Y133" si="15">IF(X102="","",X102*Q102)</f>
        <v/>
      </c>
      <c r="Z102" s="388" t="str">
        <f t="shared" ref="Z102:Z133" si="16">IF(T102="yes",Y102,"")</f>
        <v/>
      </c>
    </row>
    <row r="103" spans="1:26" ht="22.25" customHeight="1">
      <c r="X103" s="489">
        <f>SUM(X5:X102)/60</f>
        <v>17.550856419327406</v>
      </c>
      <c r="Y103" s="489">
        <f>SUM(Y5:Y102)/60</f>
        <v>16.630572593135181</v>
      </c>
    </row>
  </sheetData>
  <mergeCells count="8">
    <mergeCell ref="A50:P50"/>
    <mergeCell ref="A92:P92"/>
    <mergeCell ref="A2:O2"/>
    <mergeCell ref="P2:P3"/>
    <mergeCell ref="A4:P4"/>
    <mergeCell ref="A20:P20"/>
    <mergeCell ref="N35:N36"/>
    <mergeCell ref="A39:P39"/>
  </mergeCells>
  <conditionalFormatting sqref="B14:B18">
    <cfRule type="duplicateValues" dxfId="161" priority="181"/>
  </conditionalFormatting>
  <conditionalFormatting sqref="B19">
    <cfRule type="duplicateValues" dxfId="160" priority="180"/>
  </conditionalFormatting>
  <conditionalFormatting sqref="B3:C3 B5:C5 B7:B19">
    <cfRule type="duplicateValues" dxfId="159" priority="182"/>
  </conditionalFormatting>
  <conditionalFormatting sqref="D26:D31">
    <cfRule type="expression" dxfId="158" priority="171" stopIfTrue="1">
      <formula>$A26="begin group"</formula>
    </cfRule>
    <cfRule type="expression" dxfId="157" priority="168" stopIfTrue="1">
      <formula>$A26="begin repeat"</formula>
    </cfRule>
    <cfRule type="expression" dxfId="156" priority="165" stopIfTrue="1">
      <formula>$A26="text"</formula>
    </cfRule>
    <cfRule type="expression" dxfId="155" priority="163" stopIfTrue="1">
      <formula>$A26="integer"</formula>
    </cfRule>
    <cfRule type="expression" dxfId="154" priority="161" stopIfTrue="1">
      <formula>$A26="decimal"</formula>
    </cfRule>
    <cfRule type="expression" dxfId="153" priority="159" stopIfTrue="1">
      <formula>OR(AND(LEFT($A26, 16)="select_multiple ", LEN($A26)&gt;16, NOT(ISNUMBER(SEARCH(" ", $A26, 17)))), AND(LEFT($A26, 11)="select_one ", LEN($A26)&gt;11, NOT(ISNUMBER(SEARCH(" ", $A26, 12)))))</formula>
    </cfRule>
    <cfRule type="expression" dxfId="152" priority="151" stopIfTrue="1">
      <formula>$A26="note"</formula>
    </cfRule>
    <cfRule type="expression" dxfId="151" priority="153" stopIfTrue="1">
      <formula>$A26="barcode"</formula>
    </cfRule>
    <cfRule type="expression" dxfId="150" priority="155" stopIfTrue="1">
      <formula>$A26="geopoint"</formula>
    </cfRule>
    <cfRule type="expression" dxfId="149" priority="148" stopIfTrue="1">
      <formula>OR($A26="date", $A26="datetime")</formula>
    </cfRule>
    <cfRule type="expression" dxfId="148" priority="146" stopIfTrue="1">
      <formula>$A26="image"</formula>
    </cfRule>
    <cfRule type="expression" dxfId="147" priority="144" stopIfTrue="1">
      <formula>OR($A26="audio", $A26="video")</formula>
    </cfRule>
    <cfRule type="expression" dxfId="146" priority="145" stopIfTrue="1">
      <formula>OR($A26="audio", $A26="video")</formula>
    </cfRule>
    <cfRule type="expression" dxfId="145" priority="147" stopIfTrue="1">
      <formula>$A26="image"</formula>
    </cfRule>
    <cfRule type="expression" dxfId="144" priority="149" stopIfTrue="1">
      <formula>OR($A26="date", $A26="datetime")</formula>
    </cfRule>
    <cfRule type="expression" dxfId="143" priority="150" stopIfTrue="1">
      <formula>OR($A26="calculate", $A26="calculate_here")</formula>
    </cfRule>
    <cfRule type="expression" dxfId="142" priority="152" stopIfTrue="1">
      <formula>$A26="note"</formula>
    </cfRule>
    <cfRule type="expression" dxfId="141" priority="154" stopIfTrue="1">
      <formula>$A26="barcode"</formula>
    </cfRule>
    <cfRule type="expression" dxfId="140" priority="156" stopIfTrue="1">
      <formula>$A26="geopoint"</formula>
    </cfRule>
    <cfRule type="expression" dxfId="139" priority="157" stopIfTrue="1">
      <formula>OR($A26="audio audit", $A26="text audit")</formula>
    </cfRule>
    <cfRule type="expression" dxfId="138" priority="158" stopIfTrue="1">
      <formula>OR($A26="username", $A26="phonenumber", $A26="start", $A26="end", $A26="deviceid", $A26="subscriberid", $A26="simserial")</formula>
    </cfRule>
    <cfRule type="expression" dxfId="137" priority="160" stopIfTrue="1">
      <formula>OR(AND(LEFT($A26, 16)="select_multiple ", LEN($A26)&gt;16, NOT(ISNUMBER(SEARCH(" ", $A26, 17)))), AND(LEFT($A26, 11)="select_one ", LEN($A26)&gt;11, NOT(ISNUMBER(SEARCH(" ", $A26, 12)))))</formula>
    </cfRule>
    <cfRule type="expression" dxfId="136" priority="162" stopIfTrue="1">
      <formula>$A26="decimal"</formula>
    </cfRule>
    <cfRule type="expression" dxfId="135" priority="164" stopIfTrue="1">
      <formula>$A26="integer"</formula>
    </cfRule>
    <cfRule type="expression" dxfId="134" priority="166" stopIfTrue="1">
      <formula>$A26="text"</formula>
    </cfRule>
    <cfRule type="expression" dxfId="133" priority="167" stopIfTrue="1">
      <formula>$A26="end repeat"</formula>
    </cfRule>
    <cfRule type="expression" dxfId="132" priority="169" stopIfTrue="1">
      <formula>$A26="begin repeat"</formula>
    </cfRule>
    <cfRule type="expression" dxfId="131" priority="170" stopIfTrue="1">
      <formula>$A26="end group"</formula>
    </cfRule>
    <cfRule type="expression" dxfId="130" priority="172" stopIfTrue="1">
      <formula>$A26="begin group"</formula>
    </cfRule>
  </conditionalFormatting>
  <conditionalFormatting sqref="D32">
    <cfRule type="expression" dxfId="129" priority="142" stopIfTrue="1">
      <formula>$A32="begin group"</formula>
    </cfRule>
    <cfRule type="expression" dxfId="128" priority="139" stopIfTrue="1">
      <formula>$A32="begin repeat"</formula>
    </cfRule>
    <cfRule type="expression" dxfId="127" priority="136" stopIfTrue="1">
      <formula>$A32="text"</formula>
    </cfRule>
    <cfRule type="expression" dxfId="126" priority="134" stopIfTrue="1">
      <formula>$A32="integer"</formula>
    </cfRule>
    <cfRule type="expression" dxfId="125" priority="132" stopIfTrue="1">
      <formula>$A32="decimal"</formula>
    </cfRule>
    <cfRule type="expression" dxfId="124" priority="130" stopIfTrue="1">
      <formula>OR(AND(LEFT($A32, 16)="select_multiple ", LEN($A32)&gt;16, NOT(ISNUMBER(SEARCH(" ", $A32, 17)))), AND(LEFT($A32, 11)="select_one ", LEN($A32)&gt;11, NOT(ISNUMBER(SEARCH(" ", $A32, 12)))))</formula>
    </cfRule>
    <cfRule type="expression" dxfId="123" priority="122" stopIfTrue="1">
      <formula>$A32="note"</formula>
    </cfRule>
    <cfRule type="expression" dxfId="122" priority="124" stopIfTrue="1">
      <formula>$A32="barcode"</formula>
    </cfRule>
    <cfRule type="expression" dxfId="121" priority="126" stopIfTrue="1">
      <formula>$A32="geopoint"</formula>
    </cfRule>
    <cfRule type="expression" dxfId="120" priority="119" stopIfTrue="1">
      <formula>OR($A32="date", $A32="datetime")</formula>
    </cfRule>
    <cfRule type="expression" dxfId="119" priority="117" stopIfTrue="1">
      <formula>$A32="image"</formula>
    </cfRule>
    <cfRule type="expression" dxfId="118" priority="115" stopIfTrue="1">
      <formula>OR($A32="audio", $A32="video")</formula>
    </cfRule>
    <cfRule type="expression" dxfId="117" priority="116" stopIfTrue="1">
      <formula>OR($A32="audio", $A32="video")</formula>
    </cfRule>
    <cfRule type="expression" dxfId="116" priority="118" stopIfTrue="1">
      <formula>$A32="image"</formula>
    </cfRule>
    <cfRule type="expression" dxfId="115" priority="120" stopIfTrue="1">
      <formula>OR($A32="date", $A32="datetime")</formula>
    </cfRule>
    <cfRule type="expression" dxfId="114" priority="121" stopIfTrue="1">
      <formula>OR($A32="calculate", $A32="calculate_here")</formula>
    </cfRule>
    <cfRule type="expression" dxfId="113" priority="123" stopIfTrue="1">
      <formula>$A32="note"</formula>
    </cfRule>
    <cfRule type="expression" dxfId="112" priority="125" stopIfTrue="1">
      <formula>$A32="barcode"</formula>
    </cfRule>
    <cfRule type="expression" dxfId="111" priority="127" stopIfTrue="1">
      <formula>$A32="geopoint"</formula>
    </cfRule>
    <cfRule type="expression" dxfId="110" priority="128" stopIfTrue="1">
      <formula>OR($A32="audio audit", $A32="text audit")</formula>
    </cfRule>
    <cfRule type="expression" dxfId="109" priority="129" stopIfTrue="1">
      <formula>OR($A32="username", $A32="phonenumber", $A32="start", $A32="end", $A32="deviceid", $A32="subscriberid", $A32="simserial")</formula>
    </cfRule>
    <cfRule type="expression" dxfId="108" priority="131" stopIfTrue="1">
      <formula>OR(AND(LEFT($A32, 16)="select_multiple ", LEN($A32)&gt;16, NOT(ISNUMBER(SEARCH(" ", $A32, 17)))), AND(LEFT($A32, 11)="select_one ", LEN($A32)&gt;11, NOT(ISNUMBER(SEARCH(" ", $A32, 12)))))</formula>
    </cfRule>
    <cfRule type="expression" dxfId="107" priority="133" stopIfTrue="1">
      <formula>$A32="decimal"</formula>
    </cfRule>
    <cfRule type="expression" dxfId="106" priority="135" stopIfTrue="1">
      <formula>$A32="integer"</formula>
    </cfRule>
    <cfRule type="expression" dxfId="105" priority="137" stopIfTrue="1">
      <formula>$A32="text"</formula>
    </cfRule>
    <cfRule type="expression" dxfId="104" priority="138" stopIfTrue="1">
      <formula>$A32="end repeat"</formula>
    </cfRule>
    <cfRule type="expression" dxfId="103" priority="140" stopIfTrue="1">
      <formula>$A32="begin repeat"</formula>
    </cfRule>
    <cfRule type="expression" dxfId="102" priority="141" stopIfTrue="1">
      <formula>$A32="end group"</formula>
    </cfRule>
    <cfRule type="expression" dxfId="101" priority="143" stopIfTrue="1">
      <formula>$A32="begin group"</formula>
    </cfRule>
  </conditionalFormatting>
  <conditionalFormatting sqref="B27">
    <cfRule type="duplicateValues" dxfId="100" priority="114"/>
  </conditionalFormatting>
  <conditionalFormatting sqref="B34:C34 B33">
    <cfRule type="duplicateValues" dxfId="99" priority="113"/>
  </conditionalFormatting>
  <conditionalFormatting sqref="D33:D34">
    <cfRule type="expression" dxfId="98" priority="111" stopIfTrue="1">
      <formula>$A33="begin group"</formula>
    </cfRule>
    <cfRule type="expression" dxfId="97" priority="108" stopIfTrue="1">
      <formula>$A33="begin repeat"</formula>
    </cfRule>
    <cfRule type="expression" dxfId="96" priority="105" stopIfTrue="1">
      <formula>$A33="text"</formula>
    </cfRule>
    <cfRule type="expression" dxfId="95" priority="103" stopIfTrue="1">
      <formula>$A33="integer"</formula>
    </cfRule>
    <cfRule type="expression" dxfId="94" priority="101" stopIfTrue="1">
      <formula>$A33="decimal"</formula>
    </cfRule>
    <cfRule type="expression" dxfId="93" priority="99" stopIfTrue="1">
      <formula>OR(AND(LEFT($A33, 16)="select_multiple ", LEN($A33)&gt;16, NOT(ISNUMBER(SEARCH(" ", $A33, 17)))), AND(LEFT($A33, 11)="select_one ", LEN($A33)&gt;11, NOT(ISNUMBER(SEARCH(" ", $A33, 12)))))</formula>
    </cfRule>
    <cfRule type="expression" dxfId="92" priority="91" stopIfTrue="1">
      <formula>$A33="note"</formula>
    </cfRule>
    <cfRule type="expression" dxfId="91" priority="93" stopIfTrue="1">
      <formula>$A33="barcode"</formula>
    </cfRule>
    <cfRule type="expression" dxfId="90" priority="95" stopIfTrue="1">
      <formula>$A33="geopoint"</formula>
    </cfRule>
    <cfRule type="expression" dxfId="89" priority="88" stopIfTrue="1">
      <formula>OR($A33="date", $A33="datetime")</formula>
    </cfRule>
    <cfRule type="expression" dxfId="88" priority="86" stopIfTrue="1">
      <formula>$A33="image"</formula>
    </cfRule>
    <cfRule type="expression" dxfId="87" priority="84" stopIfTrue="1">
      <formula>OR($A33="audio", $A33="video")</formula>
    </cfRule>
    <cfRule type="expression" dxfId="86" priority="85" stopIfTrue="1">
      <formula>OR($A33="audio", $A33="video")</formula>
    </cfRule>
    <cfRule type="expression" dxfId="85" priority="87" stopIfTrue="1">
      <formula>$A33="image"</formula>
    </cfRule>
    <cfRule type="expression" dxfId="84" priority="89" stopIfTrue="1">
      <formula>OR($A33="date", $A33="datetime")</formula>
    </cfRule>
    <cfRule type="expression" dxfId="83" priority="90" stopIfTrue="1">
      <formula>OR($A33="calculate", $A33="calculate_here")</formula>
    </cfRule>
    <cfRule type="expression" dxfId="82" priority="92" stopIfTrue="1">
      <formula>$A33="note"</formula>
    </cfRule>
    <cfRule type="expression" dxfId="81" priority="94" stopIfTrue="1">
      <formula>$A33="barcode"</formula>
    </cfRule>
    <cfRule type="expression" dxfId="80" priority="96" stopIfTrue="1">
      <formula>$A33="geopoint"</formula>
    </cfRule>
    <cfRule type="expression" dxfId="79" priority="97" stopIfTrue="1">
      <formula>OR($A33="audio audit", $A33="text audit")</formula>
    </cfRule>
    <cfRule type="expression" dxfId="78" priority="98" stopIfTrue="1">
      <formula>OR($A33="username", $A33="phonenumber", $A33="start", $A33="end", $A33="deviceid", $A33="subscriberid", $A33="simserial")</formula>
    </cfRule>
    <cfRule type="expression" dxfId="77" priority="100" stopIfTrue="1">
      <formula>OR(AND(LEFT($A33, 16)="select_multiple ", LEN($A33)&gt;16, NOT(ISNUMBER(SEARCH(" ", $A33, 17)))), AND(LEFT($A33, 11)="select_one ", LEN($A33)&gt;11, NOT(ISNUMBER(SEARCH(" ", $A33, 12)))))</formula>
    </cfRule>
    <cfRule type="expression" dxfId="76" priority="102" stopIfTrue="1">
      <formula>$A33="decimal"</formula>
    </cfRule>
    <cfRule type="expression" dxfId="75" priority="104" stopIfTrue="1">
      <formula>$A33="integer"</formula>
    </cfRule>
    <cfRule type="expression" dxfId="74" priority="106" stopIfTrue="1">
      <formula>$A33="text"</formula>
    </cfRule>
    <cfRule type="expression" dxfId="73" priority="107" stopIfTrue="1">
      <formula>$A33="end repeat"</formula>
    </cfRule>
    <cfRule type="expression" dxfId="72" priority="109" stopIfTrue="1">
      <formula>$A33="begin repeat"</formula>
    </cfRule>
    <cfRule type="expression" dxfId="71" priority="110" stopIfTrue="1">
      <formula>$A33="end group"</formula>
    </cfRule>
    <cfRule type="expression" dxfId="70" priority="112" stopIfTrue="1">
      <formula>$A33="begin group"</formula>
    </cfRule>
  </conditionalFormatting>
  <conditionalFormatting sqref="B35:B36">
    <cfRule type="duplicateValues" dxfId="69" priority="83"/>
  </conditionalFormatting>
  <conditionalFormatting sqref="B37">
    <cfRule type="duplicateValues" dxfId="68" priority="82"/>
  </conditionalFormatting>
  <conditionalFormatting sqref="B46 B43:C43 B42">
    <cfRule type="duplicateValues" dxfId="67" priority="76"/>
  </conditionalFormatting>
  <conditionalFormatting sqref="B44:C44">
    <cfRule type="duplicateValues" dxfId="66" priority="77"/>
  </conditionalFormatting>
  <conditionalFormatting sqref="B45:C45">
    <cfRule type="duplicateValues" dxfId="65" priority="183"/>
  </conditionalFormatting>
  <conditionalFormatting sqref="B48">
    <cfRule type="duplicateValues" dxfId="64" priority="73"/>
  </conditionalFormatting>
  <conditionalFormatting sqref="B47">
    <cfRule type="duplicateValues" dxfId="63" priority="72"/>
  </conditionalFormatting>
  <conditionalFormatting sqref="B25:C25 B38:C38 B23:B24 B28:B32 B26">
    <cfRule type="duplicateValues" dxfId="62" priority="187"/>
  </conditionalFormatting>
  <conditionalFormatting sqref="B49">
    <cfRule type="duplicateValues" dxfId="61" priority="71"/>
  </conditionalFormatting>
  <conditionalFormatting sqref="B57">
    <cfRule type="duplicateValues" dxfId="60" priority="58"/>
  </conditionalFormatting>
  <conditionalFormatting sqref="B58">
    <cfRule type="duplicateValues" dxfId="59" priority="57"/>
  </conditionalFormatting>
  <conditionalFormatting sqref="B60">
    <cfRule type="duplicateValues" dxfId="58" priority="56"/>
  </conditionalFormatting>
  <conditionalFormatting sqref="B62">
    <cfRule type="duplicateValues" dxfId="57" priority="55"/>
  </conditionalFormatting>
  <conditionalFormatting sqref="B75">
    <cfRule type="duplicateValues" dxfId="56" priority="54"/>
  </conditionalFormatting>
  <conditionalFormatting sqref="B74 B59 B61 B63 B51:B56">
    <cfRule type="duplicateValues" dxfId="55" priority="59"/>
  </conditionalFormatting>
  <conditionalFormatting sqref="B85">
    <cfRule type="duplicateValues" dxfId="54" priority="53"/>
  </conditionalFormatting>
  <conditionalFormatting sqref="B91">
    <cfRule type="duplicateValues" dxfId="53" priority="52"/>
  </conditionalFormatting>
  <conditionalFormatting sqref="B89">
    <cfRule type="duplicateValues" dxfId="52" priority="51"/>
  </conditionalFormatting>
  <conditionalFormatting sqref="B76:B84 B86:B88">
    <cfRule type="duplicateValues" dxfId="51" priority="60"/>
  </conditionalFormatting>
  <conditionalFormatting sqref="B101:B102 B93">
    <cfRule type="duplicateValues" dxfId="50" priority="49"/>
  </conditionalFormatting>
  <conditionalFormatting sqref="D94:D100">
    <cfRule type="expression" dxfId="49" priority="47" stopIfTrue="1">
      <formula>$A94="begin group"</formula>
    </cfRule>
    <cfRule type="expression" dxfId="48" priority="44" stopIfTrue="1">
      <formula>$A94="begin repeat"</formula>
    </cfRule>
    <cfRule type="expression" dxfId="47" priority="41" stopIfTrue="1">
      <formula>$A94="text"</formula>
    </cfRule>
    <cfRule type="expression" dxfId="46" priority="39" stopIfTrue="1">
      <formula>$A94="integer"</formula>
    </cfRule>
    <cfRule type="expression" dxfId="45" priority="37" stopIfTrue="1">
      <formula>$A94="decimal"</formula>
    </cfRule>
    <cfRule type="expression" dxfId="44" priority="35" stopIfTrue="1">
      <formula>OR(AND(LEFT($A94, 16)="select_multiple ", LEN($A94)&gt;16, NOT(ISNUMBER(SEARCH(" ", $A94, 17)))), AND(LEFT($A94, 11)="select_one ", LEN($A94)&gt;11, NOT(ISNUMBER(SEARCH(" ", $A94, 12)))))</formula>
    </cfRule>
    <cfRule type="expression" dxfId="43" priority="27" stopIfTrue="1">
      <formula>$A94="note"</formula>
    </cfRule>
    <cfRule type="expression" dxfId="42" priority="29" stopIfTrue="1">
      <formula>$A94="barcode"</formula>
    </cfRule>
    <cfRule type="expression" dxfId="41" priority="31" stopIfTrue="1">
      <formula>$A94="geopoint"</formula>
    </cfRule>
    <cfRule type="expression" dxfId="40" priority="24" stopIfTrue="1">
      <formula>OR($A94="date", $A94="datetime")</formula>
    </cfRule>
    <cfRule type="expression" dxfId="39" priority="22" stopIfTrue="1">
      <formula>$A94="image"</formula>
    </cfRule>
    <cfRule type="expression" dxfId="38" priority="20" stopIfTrue="1">
      <formula>OR($A94="audio", $A94="video")</formula>
    </cfRule>
    <cfRule type="expression" dxfId="37" priority="21" stopIfTrue="1">
      <formula>OR($A94="audio", $A94="video")</formula>
    </cfRule>
    <cfRule type="expression" dxfId="36" priority="23" stopIfTrue="1">
      <formula>$A94="image"</formula>
    </cfRule>
    <cfRule type="expression" dxfId="35" priority="25" stopIfTrue="1">
      <formula>OR($A94="date", $A94="datetime")</formula>
    </cfRule>
    <cfRule type="expression" dxfId="34" priority="26" stopIfTrue="1">
      <formula>OR($A94="calculate", $A94="calculate_here")</formula>
    </cfRule>
    <cfRule type="expression" dxfId="33" priority="28" stopIfTrue="1">
      <formula>$A94="note"</formula>
    </cfRule>
    <cfRule type="expression" dxfId="32" priority="30" stopIfTrue="1">
      <formula>$A94="barcode"</formula>
    </cfRule>
    <cfRule type="expression" dxfId="31" priority="32" stopIfTrue="1">
      <formula>$A94="geopoint"</formula>
    </cfRule>
    <cfRule type="expression" dxfId="30" priority="33" stopIfTrue="1">
      <formula>OR($A94="audio audit", $A94="text audit")</formula>
    </cfRule>
    <cfRule type="expression" dxfId="29" priority="34" stopIfTrue="1">
      <formula>OR($A94="username", $A94="phonenumber", $A94="start", $A94="end", $A94="deviceid", $A94="subscriberid", $A94="simserial")</formula>
    </cfRule>
    <cfRule type="expression" dxfId="28" priority="36" stopIfTrue="1">
      <formula>OR(AND(LEFT($A94, 16)="select_multiple ", LEN($A94)&gt;16, NOT(ISNUMBER(SEARCH(" ", $A94, 17)))), AND(LEFT($A94, 11)="select_one ", LEN($A94)&gt;11, NOT(ISNUMBER(SEARCH(" ", $A94, 12)))))</formula>
    </cfRule>
    <cfRule type="expression" dxfId="27" priority="38" stopIfTrue="1">
      <formula>$A94="decimal"</formula>
    </cfRule>
    <cfRule type="expression" dxfId="26" priority="40" stopIfTrue="1">
      <formula>$A94="integer"</formula>
    </cfRule>
    <cfRule type="expression" dxfId="25" priority="42" stopIfTrue="1">
      <formula>$A94="text"</formula>
    </cfRule>
    <cfRule type="expression" dxfId="24" priority="43" stopIfTrue="1">
      <formula>$A94="end repeat"</formula>
    </cfRule>
    <cfRule type="expression" dxfId="23" priority="45" stopIfTrue="1">
      <formula>$A94="begin repeat"</formula>
    </cfRule>
    <cfRule type="expression" dxfId="22" priority="46" stopIfTrue="1">
      <formula>$A94="end group"</formula>
    </cfRule>
    <cfRule type="expression" dxfId="21" priority="48" stopIfTrue="1">
      <formula>$A94="begin group"</formula>
    </cfRule>
  </conditionalFormatting>
  <conditionalFormatting sqref="B90">
    <cfRule type="duplicateValues" dxfId="20" priority="191"/>
  </conditionalFormatting>
  <conditionalFormatting sqref="C26">
    <cfRule type="duplicateValues" dxfId="19" priority="17"/>
  </conditionalFormatting>
  <conditionalFormatting sqref="C27">
    <cfRule type="duplicateValues" dxfId="18" priority="18"/>
  </conditionalFormatting>
  <conditionalFormatting sqref="C28">
    <cfRule type="duplicateValues" dxfId="17" priority="19"/>
  </conditionalFormatting>
  <conditionalFormatting sqref="C29 C31:C32">
    <cfRule type="duplicateValues" dxfId="16" priority="14"/>
  </conditionalFormatting>
  <conditionalFormatting sqref="C33">
    <cfRule type="duplicateValues" dxfId="15" priority="15"/>
  </conditionalFormatting>
  <conditionalFormatting sqref="C30">
    <cfRule type="duplicateValues" dxfId="14" priority="16"/>
  </conditionalFormatting>
  <conditionalFormatting sqref="C51">
    <cfRule type="duplicateValues" dxfId="13" priority="13"/>
  </conditionalFormatting>
  <conditionalFormatting sqref="C57">
    <cfRule type="duplicateValues" dxfId="12" priority="11"/>
  </conditionalFormatting>
  <conditionalFormatting sqref="C58">
    <cfRule type="duplicateValues" dxfId="11" priority="12"/>
  </conditionalFormatting>
  <conditionalFormatting sqref="C60">
    <cfRule type="duplicateValues" dxfId="10" priority="10"/>
  </conditionalFormatting>
  <conditionalFormatting sqref="C62">
    <cfRule type="duplicateValues" dxfId="9" priority="9"/>
  </conditionalFormatting>
  <conditionalFormatting sqref="C75">
    <cfRule type="duplicateValues" dxfId="8" priority="7"/>
  </conditionalFormatting>
  <conditionalFormatting sqref="C76:C80">
    <cfRule type="duplicateValues" dxfId="7" priority="8"/>
  </conditionalFormatting>
  <conditionalFormatting sqref="C81:C84 C86">
    <cfRule type="duplicateValues" dxfId="6" priority="5"/>
  </conditionalFormatting>
  <conditionalFormatting sqref="C85">
    <cfRule type="duplicateValues" dxfId="5" priority="6"/>
  </conditionalFormatting>
  <conditionalFormatting sqref="C87:C88">
    <cfRule type="duplicateValues" dxfId="4" priority="1"/>
  </conditionalFormatting>
  <conditionalFormatting sqref="C90">
    <cfRule type="duplicateValues" dxfId="3" priority="2"/>
  </conditionalFormatting>
  <conditionalFormatting sqref="C91">
    <cfRule type="duplicateValues" dxfId="2" priority="3"/>
  </conditionalFormatting>
  <conditionalFormatting sqref="C89">
    <cfRule type="duplicateValues" dxfId="1" priority="4"/>
  </conditionalFormatting>
  <pageMargins left="0.7" right="0.7" top="0.75" bottom="0.75" header="0.3" footer="0.3"/>
  <pageSetup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workbookViewId="0">
      <selection activeCell="F1" sqref="F1"/>
    </sheetView>
  </sheetViews>
  <sheetFormatPr baseColWidth="10" defaultColWidth="10.83203125" defaultRowHeight="16"/>
  <cols>
    <col min="1" max="1" width="10.83203125" style="235" customWidth="1"/>
    <col min="2" max="2" width="8.83203125" style="235" customWidth="1"/>
    <col min="3" max="3" width="27.6640625" style="235" customWidth="1"/>
    <col min="4" max="5" width="28" style="235" customWidth="1"/>
    <col min="6" max="7" width="51.1640625" style="236" customWidth="1"/>
    <col min="8" max="9" width="22.83203125" style="235" customWidth="1"/>
    <col min="10" max="11" width="10.83203125" style="235" customWidth="1"/>
    <col min="12" max="12" width="44" style="235" customWidth="1"/>
    <col min="13" max="13" width="10.83203125" style="235" customWidth="1"/>
    <col min="14" max="16384" width="10.83203125" style="235"/>
  </cols>
  <sheetData>
    <row r="1" spans="1:13" ht="17" customHeight="1" thickBot="1">
      <c r="C1" s="286"/>
      <c r="D1" s="286"/>
      <c r="E1" s="286"/>
      <c r="F1" s="326"/>
      <c r="G1" s="326"/>
      <c r="H1" s="286"/>
      <c r="I1" s="286"/>
    </row>
    <row r="2" spans="1:13" ht="17" customHeight="1" thickBot="1">
      <c r="A2" s="245"/>
      <c r="B2" s="325"/>
      <c r="C2" s="324" t="s">
        <v>469</v>
      </c>
      <c r="D2" s="320" t="s">
        <v>470</v>
      </c>
      <c r="E2" s="323" t="s">
        <v>471</v>
      </c>
      <c r="F2" s="322" t="s">
        <v>472</v>
      </c>
      <c r="G2" s="321" t="s">
        <v>473</v>
      </c>
      <c r="H2" s="320" t="s">
        <v>474</v>
      </c>
      <c r="I2" s="319" t="s">
        <v>475</v>
      </c>
      <c r="J2" s="239"/>
    </row>
    <row r="3" spans="1:13" ht="32" customHeight="1">
      <c r="A3" s="245"/>
      <c r="B3" s="506" t="s">
        <v>476</v>
      </c>
      <c r="C3" s="318" t="s">
        <v>477</v>
      </c>
      <c r="D3" s="313" t="s">
        <v>478</v>
      </c>
      <c r="E3" s="317" t="s">
        <v>479</v>
      </c>
      <c r="F3" s="316" t="s">
        <v>480</v>
      </c>
      <c r="G3" s="311" t="s">
        <v>481</v>
      </c>
      <c r="H3" s="315" t="s">
        <v>482</v>
      </c>
      <c r="I3" s="314" t="s">
        <v>483</v>
      </c>
      <c r="J3" s="239"/>
    </row>
    <row r="4" spans="1:13" ht="32" customHeight="1">
      <c r="A4" s="245"/>
      <c r="B4" s="507"/>
      <c r="C4" s="285" t="s">
        <v>484</v>
      </c>
      <c r="D4" s="313" t="s">
        <v>485</v>
      </c>
      <c r="E4" s="273" t="s">
        <v>486</v>
      </c>
      <c r="F4" s="312" t="s">
        <v>487</v>
      </c>
      <c r="G4" s="311" t="s">
        <v>488</v>
      </c>
      <c r="H4" s="310" t="s">
        <v>489</v>
      </c>
      <c r="I4" s="309" t="s">
        <v>490</v>
      </c>
      <c r="J4" s="239"/>
    </row>
    <row r="5" spans="1:13" ht="64" customHeight="1">
      <c r="A5" s="245"/>
      <c r="B5" s="507"/>
      <c r="C5" s="285" t="s">
        <v>491</v>
      </c>
      <c r="D5" s="307" t="s">
        <v>492</v>
      </c>
      <c r="E5" s="306" t="s">
        <v>493</v>
      </c>
      <c r="F5" s="312" t="s">
        <v>494</v>
      </c>
      <c r="G5" s="311" t="s">
        <v>495</v>
      </c>
      <c r="H5" s="310" t="s">
        <v>496</v>
      </c>
      <c r="I5" s="309" t="s">
        <v>497</v>
      </c>
      <c r="J5" s="239"/>
    </row>
    <row r="6" spans="1:13" ht="64" customHeight="1">
      <c r="A6" s="245"/>
      <c r="B6" s="507"/>
      <c r="C6" s="285" t="s">
        <v>498</v>
      </c>
      <c r="D6" s="274" t="s">
        <v>499</v>
      </c>
      <c r="E6" s="273"/>
      <c r="F6" s="249" t="s">
        <v>500</v>
      </c>
      <c r="G6" s="308" t="s">
        <v>501</v>
      </c>
      <c r="H6" s="271" t="s">
        <v>502</v>
      </c>
      <c r="I6" s="270" t="s">
        <v>503</v>
      </c>
      <c r="J6" s="239"/>
    </row>
    <row r="7" spans="1:13" ht="96" customHeight="1">
      <c r="A7" s="245"/>
      <c r="B7" s="507"/>
      <c r="C7" s="285" t="s">
        <v>504</v>
      </c>
      <c r="D7" s="307" t="s">
        <v>499</v>
      </c>
      <c r="E7" s="306"/>
      <c r="F7" s="249" t="s">
        <v>505</v>
      </c>
      <c r="G7" s="303" t="s">
        <v>506</v>
      </c>
      <c r="H7" s="271" t="s">
        <v>507</v>
      </c>
      <c r="I7" s="305" t="s">
        <v>508</v>
      </c>
      <c r="J7" s="239"/>
    </row>
    <row r="8" spans="1:13" ht="48" customHeight="1">
      <c r="A8" s="245"/>
      <c r="B8" s="507"/>
      <c r="C8" s="275" t="s">
        <v>509</v>
      </c>
      <c r="D8" s="300" t="s">
        <v>499</v>
      </c>
      <c r="E8" s="304"/>
      <c r="F8" s="279" t="s">
        <v>510</v>
      </c>
      <c r="G8" s="303" t="s">
        <v>511</v>
      </c>
      <c r="H8" s="271" t="s">
        <v>512</v>
      </c>
      <c r="I8" s="302" t="s">
        <v>513</v>
      </c>
      <c r="J8" s="239"/>
    </row>
    <row r="9" spans="1:13" ht="49" customHeight="1" thickBot="1">
      <c r="A9" s="245"/>
      <c r="B9" s="508"/>
      <c r="C9" s="301" t="s">
        <v>514</v>
      </c>
      <c r="D9" s="300" t="s">
        <v>499</v>
      </c>
      <c r="E9" s="299"/>
      <c r="F9" s="298" t="s">
        <v>515</v>
      </c>
      <c r="G9" s="297" t="s">
        <v>516</v>
      </c>
      <c r="H9" s="296">
        <v>0.2</v>
      </c>
      <c r="I9" s="295">
        <v>0.2</v>
      </c>
      <c r="J9" s="239"/>
    </row>
    <row r="10" spans="1:13" ht="32" customHeight="1">
      <c r="A10" s="245"/>
      <c r="B10" s="506" t="s">
        <v>517</v>
      </c>
      <c r="C10" s="294" t="s">
        <v>518</v>
      </c>
      <c r="D10" s="281" t="s">
        <v>499</v>
      </c>
      <c r="E10" s="293"/>
      <c r="F10" s="292" t="s">
        <v>519</v>
      </c>
      <c r="G10" s="291" t="s">
        <v>520</v>
      </c>
      <c r="H10" s="290" t="s">
        <v>521</v>
      </c>
      <c r="I10" s="289" t="s">
        <v>522</v>
      </c>
      <c r="J10" s="239"/>
    </row>
    <row r="11" spans="1:13" ht="96" customHeight="1">
      <c r="A11" s="245"/>
      <c r="B11" s="507"/>
      <c r="C11" s="282" t="s">
        <v>523</v>
      </c>
      <c r="D11" s="281" t="s">
        <v>499</v>
      </c>
      <c r="E11" s="280"/>
      <c r="F11" s="288" t="s">
        <v>524</v>
      </c>
      <c r="G11" s="272" t="s">
        <v>525</v>
      </c>
      <c r="H11" s="287">
        <v>5</v>
      </c>
      <c r="I11" s="276">
        <v>5</v>
      </c>
      <c r="J11" s="239"/>
      <c r="L11" s="286"/>
    </row>
    <row r="12" spans="1:13" ht="160" customHeight="1">
      <c r="A12" s="245"/>
      <c r="B12" s="507"/>
      <c r="C12" s="285" t="s">
        <v>526</v>
      </c>
      <c r="D12" s="281" t="s">
        <v>499</v>
      </c>
      <c r="E12" s="284"/>
      <c r="F12" s="249" t="s">
        <v>527</v>
      </c>
      <c r="G12" s="272" t="s">
        <v>528</v>
      </c>
      <c r="H12" s="277">
        <v>5000000</v>
      </c>
      <c r="I12" s="276">
        <v>5000000</v>
      </c>
      <c r="J12" s="239"/>
      <c r="K12" s="245"/>
      <c r="L12" s="283"/>
      <c r="M12" s="239"/>
    </row>
    <row r="13" spans="1:13" ht="112" customHeight="1">
      <c r="A13" s="245"/>
      <c r="B13" s="507"/>
      <c r="C13" s="282" t="s">
        <v>529</v>
      </c>
      <c r="D13" s="281" t="s">
        <v>499</v>
      </c>
      <c r="E13" s="280"/>
      <c r="F13" s="279" t="s">
        <v>530</v>
      </c>
      <c r="G13" s="278" t="s">
        <v>531</v>
      </c>
      <c r="H13" s="277">
        <v>1200000</v>
      </c>
      <c r="I13" s="276">
        <v>1200000</v>
      </c>
      <c r="J13" s="239"/>
      <c r="L13" s="237"/>
    </row>
    <row r="14" spans="1:13" ht="32" customHeight="1">
      <c r="A14" s="245"/>
      <c r="B14" s="507"/>
      <c r="C14" s="275" t="s">
        <v>532</v>
      </c>
      <c r="D14" s="274" t="s">
        <v>533</v>
      </c>
      <c r="E14" s="273" t="s">
        <v>534</v>
      </c>
      <c r="F14" s="249" t="s">
        <v>535</v>
      </c>
      <c r="G14" s="272" t="s">
        <v>536</v>
      </c>
      <c r="H14" s="271" t="s">
        <v>537</v>
      </c>
      <c r="I14" s="270" t="s">
        <v>538</v>
      </c>
      <c r="J14" s="239"/>
    </row>
    <row r="15" spans="1:13" ht="33" customHeight="1" thickBot="1">
      <c r="A15" s="245"/>
      <c r="B15" s="508"/>
      <c r="C15" s="269" t="s">
        <v>539</v>
      </c>
      <c r="D15" s="268" t="s">
        <v>540</v>
      </c>
      <c r="E15" s="267" t="s">
        <v>541</v>
      </c>
      <c r="F15" s="266" t="s">
        <v>542</v>
      </c>
      <c r="G15" s="242" t="s">
        <v>543</v>
      </c>
      <c r="H15" s="265" t="s">
        <v>544</v>
      </c>
      <c r="I15" s="264" t="s">
        <v>545</v>
      </c>
      <c r="J15" s="239"/>
    </row>
    <row r="16" spans="1:13" ht="17" customHeight="1" thickBot="1">
      <c r="A16" s="245"/>
      <c r="B16" s="263"/>
      <c r="C16" s="262"/>
      <c r="D16" s="261"/>
      <c r="E16" s="260"/>
      <c r="F16" s="259"/>
      <c r="G16" s="258"/>
      <c r="H16" s="257"/>
      <c r="I16" s="256"/>
      <c r="J16" s="239"/>
    </row>
    <row r="17" spans="1:10" ht="129" customHeight="1" thickBot="1">
      <c r="A17" s="245"/>
      <c r="B17" s="509" t="s">
        <v>546</v>
      </c>
      <c r="C17" s="255" t="s">
        <v>547</v>
      </c>
      <c r="D17" s="490" t="s">
        <v>499</v>
      </c>
      <c r="E17" s="491"/>
      <c r="F17" s="254" t="s">
        <v>524</v>
      </c>
      <c r="G17" s="253" t="s">
        <v>548</v>
      </c>
      <c r="H17" s="252">
        <v>0.91</v>
      </c>
      <c r="I17" s="251">
        <v>0.91</v>
      </c>
      <c r="J17" s="239"/>
    </row>
    <row r="18" spans="1:10" ht="161" customHeight="1" thickBot="1">
      <c r="A18" s="245"/>
      <c r="B18" s="507"/>
      <c r="C18" s="250" t="s">
        <v>549</v>
      </c>
      <c r="D18" s="490" t="s">
        <v>499</v>
      </c>
      <c r="E18" s="492"/>
      <c r="F18" s="249" t="s">
        <v>527</v>
      </c>
      <c r="G18" s="248" t="s">
        <v>550</v>
      </c>
      <c r="H18" s="247">
        <v>0.91</v>
      </c>
      <c r="I18" s="246">
        <v>0.91</v>
      </c>
      <c r="J18" s="239"/>
    </row>
    <row r="19" spans="1:10" ht="113" customHeight="1" thickBot="1">
      <c r="A19" s="245"/>
      <c r="B19" s="508"/>
      <c r="C19" s="244" t="s">
        <v>551</v>
      </c>
      <c r="D19" s="490" t="s">
        <v>499</v>
      </c>
      <c r="E19" s="493"/>
      <c r="F19" s="243" t="s">
        <v>530</v>
      </c>
      <c r="G19" s="242" t="s">
        <v>552</v>
      </c>
      <c r="H19" s="241">
        <v>0.05</v>
      </c>
      <c r="I19" s="240">
        <v>0.05</v>
      </c>
      <c r="J19" s="239"/>
    </row>
    <row r="20" spans="1:10">
      <c r="B20" s="237"/>
      <c r="C20" s="237"/>
      <c r="D20" s="237"/>
      <c r="E20" s="237"/>
      <c r="F20" s="238"/>
      <c r="G20" s="238"/>
      <c r="H20" s="237"/>
      <c r="I20" s="237"/>
    </row>
  </sheetData>
  <mergeCells count="3">
    <mergeCell ref="B3:B9"/>
    <mergeCell ref="B10:B15"/>
    <mergeCell ref="B17:B19"/>
  </mergeCells>
  <dataValidations count="2">
    <dataValidation type="list" showInputMessage="1" showErrorMessage="1" sqref="E7" xr:uid="{00000000-0002-0000-0100-000000000000}">
      <formula1>"ليس في الموسم بعد,إعداد الأرض,الزرع,النمو المبكر,النمو,النضوج,الحصاد,انتهى مؤخرا"</formula1>
    </dataValidation>
    <dataValidation type="list" showInputMessage="1" showErrorMessage="1" sqref="E5" xr:uid="{00000000-0002-0000-0100-000001000000}">
      <formula1>"العام العادي,  العام الماضي"</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
  <sheetViews>
    <sheetView workbookViewId="0">
      <selection activeCell="F1" sqref="F1"/>
    </sheetView>
  </sheetViews>
  <sheetFormatPr baseColWidth="10" defaultColWidth="8.83203125" defaultRowHeight="15"/>
  <cols>
    <col min="4" max="4" width="66.1640625" customWidth="1"/>
    <col min="6" max="6" width="57.83203125" customWidth="1"/>
  </cols>
  <sheetData>
    <row r="1" spans="1:26" s="14" customFormat="1" ht="409.5" customHeight="1">
      <c r="A1" s="1" t="e">
        <f>#REF!+1</f>
        <v>#REF!</v>
      </c>
      <c r="B1" s="2" t="s">
        <v>205</v>
      </c>
      <c r="C1" s="8" t="s">
        <v>205</v>
      </c>
      <c r="D1" s="3" t="s">
        <v>553</v>
      </c>
      <c r="E1" s="4">
        <f>LEN(D1)</f>
        <v>1204</v>
      </c>
      <c r="F1" s="423" t="s">
        <v>207</v>
      </c>
      <c r="G1" s="4">
        <f>LEN(F1)</f>
        <v>1108</v>
      </c>
      <c r="H1" s="8" t="s">
        <v>36</v>
      </c>
      <c r="I1" s="4" t="s">
        <v>23</v>
      </c>
      <c r="J1" s="4" t="s">
        <v>23</v>
      </c>
      <c r="K1" s="4" t="s">
        <v>208</v>
      </c>
      <c r="L1" s="5" t="s">
        <v>554</v>
      </c>
      <c r="M1" s="6" t="s">
        <v>23</v>
      </c>
      <c r="N1" s="170" t="s">
        <v>210</v>
      </c>
      <c r="O1" s="171"/>
      <c r="P1" s="424"/>
      <c r="Q1" s="425">
        <f>1</f>
        <v>1</v>
      </c>
      <c r="R1" s="426"/>
      <c r="T1" s="427" t="s">
        <v>32</v>
      </c>
      <c r="U1" s="428"/>
      <c r="X1" s="494">
        <v>31.888334274291989</v>
      </c>
      <c r="Y1" s="494">
        <f>IF(X1="","",X1*Q1)</f>
        <v>31.888334274291989</v>
      </c>
      <c r="Z1" s="426">
        <f>IF(T1="yes",Y1,"")</f>
        <v>31.888334274291989</v>
      </c>
    </row>
  </sheetData>
  <conditionalFormatting sqref="B1">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6"/>
  <sheetViews>
    <sheetView workbookViewId="0">
      <selection activeCell="H9" sqref="H9"/>
    </sheetView>
  </sheetViews>
  <sheetFormatPr baseColWidth="10" defaultColWidth="8.83203125" defaultRowHeight="15"/>
  <cols>
    <col min="1" max="1" width="33.83203125" bestFit="1" customWidth="1"/>
    <col min="2" max="2" width="19.6640625" bestFit="1" customWidth="1"/>
    <col min="3" max="3" width="16" bestFit="1" customWidth="1"/>
    <col min="4" max="4" width="15.5" bestFit="1" customWidth="1"/>
    <col min="5" max="5" width="16" bestFit="1" customWidth="1"/>
    <col min="6" max="6" width="15.5" bestFit="1" customWidth="1"/>
    <col min="7" max="7" width="14.83203125" bestFit="1" customWidth="1"/>
  </cols>
  <sheetData>
    <row r="1" spans="1:7">
      <c r="A1" s="495" t="s">
        <v>555</v>
      </c>
      <c r="B1" s="495" t="s">
        <v>556</v>
      </c>
      <c r="C1" s="495" t="s">
        <v>557</v>
      </c>
      <c r="D1" s="495" t="s">
        <v>558</v>
      </c>
      <c r="E1" s="495" t="s">
        <v>559</v>
      </c>
      <c r="F1" s="495" t="s">
        <v>560</v>
      </c>
      <c r="G1" s="495" t="s">
        <v>561</v>
      </c>
    </row>
    <row r="2" spans="1:7">
      <c r="A2" t="s">
        <v>562</v>
      </c>
      <c r="B2" t="s">
        <v>563</v>
      </c>
      <c r="C2" t="s">
        <v>564</v>
      </c>
      <c r="D2" t="s">
        <v>565</v>
      </c>
      <c r="E2" t="s">
        <v>566</v>
      </c>
      <c r="F2" t="s">
        <v>567</v>
      </c>
      <c r="G2" t="s">
        <v>568</v>
      </c>
    </row>
    <row r="3" spans="1:7">
      <c r="A3" t="s">
        <v>569</v>
      </c>
      <c r="B3" t="s">
        <v>570</v>
      </c>
      <c r="C3" t="s">
        <v>571</v>
      </c>
      <c r="D3" t="s">
        <v>569</v>
      </c>
      <c r="E3" t="s">
        <v>572</v>
      </c>
      <c r="F3" t="s">
        <v>567</v>
      </c>
      <c r="G3" t="s">
        <v>568</v>
      </c>
    </row>
    <row r="4" spans="1:7">
      <c r="A4" t="s">
        <v>573</v>
      </c>
      <c r="B4" t="s">
        <v>574</v>
      </c>
      <c r="C4" t="s">
        <v>575</v>
      </c>
      <c r="D4" t="s">
        <v>576</v>
      </c>
      <c r="E4" t="s">
        <v>577</v>
      </c>
      <c r="F4" t="s">
        <v>567</v>
      </c>
      <c r="G4" t="s">
        <v>568</v>
      </c>
    </row>
    <row r="5" spans="1:7">
      <c r="A5" t="s">
        <v>578</v>
      </c>
      <c r="B5" t="s">
        <v>579</v>
      </c>
      <c r="C5" t="s">
        <v>580</v>
      </c>
      <c r="D5" t="s">
        <v>581</v>
      </c>
      <c r="E5" t="s">
        <v>582</v>
      </c>
      <c r="F5" t="s">
        <v>567</v>
      </c>
      <c r="G5" t="s">
        <v>568</v>
      </c>
    </row>
    <row r="6" spans="1:7">
      <c r="A6" t="s">
        <v>583</v>
      </c>
      <c r="B6" t="s">
        <v>584</v>
      </c>
      <c r="C6" t="s">
        <v>585</v>
      </c>
      <c r="D6" t="s">
        <v>576</v>
      </c>
      <c r="E6" t="s">
        <v>577</v>
      </c>
      <c r="F6" t="s">
        <v>567</v>
      </c>
      <c r="G6" t="s">
        <v>568</v>
      </c>
    </row>
    <row r="7" spans="1:7">
      <c r="A7" t="s">
        <v>586</v>
      </c>
      <c r="B7" t="s">
        <v>587</v>
      </c>
      <c r="C7" t="s">
        <v>588</v>
      </c>
      <c r="D7" t="s">
        <v>581</v>
      </c>
      <c r="E7" t="s">
        <v>582</v>
      </c>
      <c r="F7" t="s">
        <v>567</v>
      </c>
      <c r="G7" t="s">
        <v>568</v>
      </c>
    </row>
    <row r="8" spans="1:7">
      <c r="A8" t="s">
        <v>589</v>
      </c>
      <c r="B8" t="s">
        <v>590</v>
      </c>
      <c r="C8" t="s">
        <v>591</v>
      </c>
      <c r="D8" t="s">
        <v>592</v>
      </c>
      <c r="E8" t="s">
        <v>593</v>
      </c>
      <c r="F8" t="s">
        <v>567</v>
      </c>
      <c r="G8" t="s">
        <v>568</v>
      </c>
    </row>
    <row r="9" spans="1:7">
      <c r="A9" t="s">
        <v>594</v>
      </c>
      <c r="B9" t="s">
        <v>595</v>
      </c>
      <c r="C9" t="s">
        <v>596</v>
      </c>
      <c r="D9" t="s">
        <v>597</v>
      </c>
      <c r="E9" t="s">
        <v>598</v>
      </c>
      <c r="F9" t="s">
        <v>567</v>
      </c>
      <c r="G9" t="s">
        <v>568</v>
      </c>
    </row>
    <row r="10" spans="1:7">
      <c r="A10" t="s">
        <v>599</v>
      </c>
      <c r="B10" t="s">
        <v>600</v>
      </c>
      <c r="C10" t="s">
        <v>601</v>
      </c>
      <c r="D10" t="s">
        <v>565</v>
      </c>
      <c r="E10" t="s">
        <v>566</v>
      </c>
      <c r="F10" t="s">
        <v>567</v>
      </c>
      <c r="G10" t="s">
        <v>568</v>
      </c>
    </row>
    <row r="11" spans="1:7">
      <c r="A11" t="s">
        <v>602</v>
      </c>
      <c r="B11" t="s">
        <v>603</v>
      </c>
      <c r="C11" t="s">
        <v>604</v>
      </c>
      <c r="D11" t="s">
        <v>565</v>
      </c>
      <c r="E11" t="s">
        <v>566</v>
      </c>
      <c r="F11" t="s">
        <v>567</v>
      </c>
      <c r="G11" t="s">
        <v>568</v>
      </c>
    </row>
    <row r="12" spans="1:7">
      <c r="A12" t="s">
        <v>605</v>
      </c>
      <c r="B12" t="s">
        <v>606</v>
      </c>
      <c r="C12" t="s">
        <v>607</v>
      </c>
      <c r="D12" t="s">
        <v>608</v>
      </c>
      <c r="E12" t="s">
        <v>609</v>
      </c>
      <c r="F12" t="s">
        <v>567</v>
      </c>
      <c r="G12" t="s">
        <v>568</v>
      </c>
    </row>
    <row r="13" spans="1:7">
      <c r="A13" t="s">
        <v>610</v>
      </c>
      <c r="B13" t="s">
        <v>611</v>
      </c>
      <c r="C13" t="s">
        <v>612</v>
      </c>
      <c r="D13" t="s">
        <v>613</v>
      </c>
      <c r="E13" t="s">
        <v>614</v>
      </c>
      <c r="F13" t="s">
        <v>567</v>
      </c>
      <c r="G13" t="s">
        <v>568</v>
      </c>
    </row>
    <row r="14" spans="1:7">
      <c r="A14" t="s">
        <v>615</v>
      </c>
      <c r="B14" t="s">
        <v>616</v>
      </c>
      <c r="C14" t="s">
        <v>617</v>
      </c>
      <c r="D14" t="s">
        <v>576</v>
      </c>
      <c r="E14" t="s">
        <v>577</v>
      </c>
      <c r="F14" t="s">
        <v>567</v>
      </c>
      <c r="G14" t="s">
        <v>568</v>
      </c>
    </row>
    <row r="15" spans="1:7">
      <c r="A15" t="s">
        <v>618</v>
      </c>
      <c r="B15" t="s">
        <v>619</v>
      </c>
      <c r="C15" t="s">
        <v>620</v>
      </c>
      <c r="D15" t="s">
        <v>621</v>
      </c>
      <c r="E15" t="s">
        <v>622</v>
      </c>
      <c r="F15" t="s">
        <v>567</v>
      </c>
      <c r="G15" t="s">
        <v>568</v>
      </c>
    </row>
    <row r="16" spans="1:7">
      <c r="A16" t="s">
        <v>623</v>
      </c>
      <c r="B16" t="s">
        <v>624</v>
      </c>
      <c r="C16" t="s">
        <v>625</v>
      </c>
      <c r="D16" t="s">
        <v>626</v>
      </c>
      <c r="E16" t="s">
        <v>627</v>
      </c>
      <c r="F16" t="s">
        <v>567</v>
      </c>
      <c r="G16" t="s">
        <v>568</v>
      </c>
    </row>
    <row r="17" spans="1:7">
      <c r="A17" t="s">
        <v>628</v>
      </c>
      <c r="B17" t="s">
        <v>629</v>
      </c>
      <c r="C17" t="s">
        <v>630</v>
      </c>
      <c r="D17" t="s">
        <v>569</v>
      </c>
      <c r="E17" t="s">
        <v>572</v>
      </c>
      <c r="F17" t="s">
        <v>567</v>
      </c>
      <c r="G17" t="s">
        <v>568</v>
      </c>
    </row>
    <row r="18" spans="1:7">
      <c r="A18" t="s">
        <v>621</v>
      </c>
      <c r="B18" t="s">
        <v>631</v>
      </c>
      <c r="C18" t="s">
        <v>632</v>
      </c>
      <c r="D18" t="s">
        <v>621</v>
      </c>
      <c r="E18" t="s">
        <v>622</v>
      </c>
      <c r="F18" t="s">
        <v>567</v>
      </c>
      <c r="G18" t="s">
        <v>568</v>
      </c>
    </row>
    <row r="19" spans="1:7">
      <c r="A19" t="s">
        <v>633</v>
      </c>
      <c r="B19" t="s">
        <v>634</v>
      </c>
      <c r="C19" t="s">
        <v>635</v>
      </c>
      <c r="D19" t="s">
        <v>621</v>
      </c>
      <c r="E19" t="s">
        <v>622</v>
      </c>
      <c r="F19" t="s">
        <v>567</v>
      </c>
      <c r="G19" t="s">
        <v>568</v>
      </c>
    </row>
    <row r="20" spans="1:7">
      <c r="A20" t="s">
        <v>636</v>
      </c>
      <c r="B20" t="s">
        <v>637</v>
      </c>
      <c r="C20" t="s">
        <v>638</v>
      </c>
      <c r="D20" t="s">
        <v>639</v>
      </c>
      <c r="E20" t="s">
        <v>640</v>
      </c>
      <c r="F20" t="s">
        <v>567</v>
      </c>
      <c r="G20" t="s">
        <v>568</v>
      </c>
    </row>
    <row r="21" spans="1:7">
      <c r="A21" t="s">
        <v>641</v>
      </c>
      <c r="B21" t="s">
        <v>642</v>
      </c>
      <c r="C21" t="s">
        <v>643</v>
      </c>
      <c r="D21" t="s">
        <v>644</v>
      </c>
      <c r="E21" t="s">
        <v>645</v>
      </c>
      <c r="F21" t="s">
        <v>567</v>
      </c>
      <c r="G21" t="s">
        <v>568</v>
      </c>
    </row>
    <row r="22" spans="1:7">
      <c r="A22" t="s">
        <v>646</v>
      </c>
      <c r="B22" t="s">
        <v>647</v>
      </c>
      <c r="C22" t="s">
        <v>648</v>
      </c>
      <c r="D22" t="s">
        <v>649</v>
      </c>
      <c r="E22" t="s">
        <v>650</v>
      </c>
      <c r="F22" t="s">
        <v>567</v>
      </c>
      <c r="G22" t="s">
        <v>568</v>
      </c>
    </row>
    <row r="23" spans="1:7">
      <c r="A23" t="s">
        <v>651</v>
      </c>
      <c r="B23" t="s">
        <v>652</v>
      </c>
      <c r="C23" t="s">
        <v>653</v>
      </c>
      <c r="D23" t="s">
        <v>654</v>
      </c>
      <c r="E23" t="s">
        <v>655</v>
      </c>
      <c r="F23" t="s">
        <v>567</v>
      </c>
      <c r="G23" t="s">
        <v>568</v>
      </c>
    </row>
    <row r="24" spans="1:7">
      <c r="A24" t="s">
        <v>656</v>
      </c>
      <c r="B24" t="s">
        <v>657</v>
      </c>
      <c r="C24" t="s">
        <v>658</v>
      </c>
      <c r="D24" t="s">
        <v>659</v>
      </c>
      <c r="E24" t="s">
        <v>660</v>
      </c>
      <c r="F24" t="s">
        <v>567</v>
      </c>
      <c r="G24" t="s">
        <v>568</v>
      </c>
    </row>
    <row r="25" spans="1:7">
      <c r="A25" t="s">
        <v>661</v>
      </c>
      <c r="B25" t="s">
        <v>662</v>
      </c>
      <c r="C25" t="s">
        <v>663</v>
      </c>
      <c r="D25" t="s">
        <v>581</v>
      </c>
      <c r="E25" t="s">
        <v>582</v>
      </c>
      <c r="F25" t="s">
        <v>567</v>
      </c>
      <c r="G25" t="s">
        <v>568</v>
      </c>
    </row>
    <row r="26" spans="1:7">
      <c r="A26" t="s">
        <v>664</v>
      </c>
      <c r="B26" t="s">
        <v>665</v>
      </c>
      <c r="C26" t="s">
        <v>666</v>
      </c>
      <c r="D26" t="s">
        <v>569</v>
      </c>
      <c r="E26" t="s">
        <v>572</v>
      </c>
      <c r="F26" t="s">
        <v>567</v>
      </c>
      <c r="G26" t="s">
        <v>568</v>
      </c>
    </row>
    <row r="27" spans="1:7">
      <c r="A27" t="s">
        <v>667</v>
      </c>
      <c r="B27" t="s">
        <v>668</v>
      </c>
      <c r="C27" t="s">
        <v>669</v>
      </c>
      <c r="D27" t="s">
        <v>592</v>
      </c>
      <c r="E27" t="s">
        <v>593</v>
      </c>
      <c r="F27" t="s">
        <v>567</v>
      </c>
      <c r="G27" t="s">
        <v>568</v>
      </c>
    </row>
    <row r="28" spans="1:7">
      <c r="A28" t="s">
        <v>670</v>
      </c>
      <c r="B28" t="s">
        <v>671</v>
      </c>
      <c r="C28" t="s">
        <v>672</v>
      </c>
      <c r="D28" t="s">
        <v>581</v>
      </c>
      <c r="E28" t="s">
        <v>582</v>
      </c>
      <c r="F28" t="s">
        <v>567</v>
      </c>
      <c r="G28" t="s">
        <v>568</v>
      </c>
    </row>
    <row r="29" spans="1:7">
      <c r="A29" t="s">
        <v>673</v>
      </c>
      <c r="B29" t="s">
        <v>674</v>
      </c>
      <c r="C29" t="s">
        <v>675</v>
      </c>
      <c r="D29" t="s">
        <v>654</v>
      </c>
      <c r="E29" t="s">
        <v>655</v>
      </c>
      <c r="F29" t="s">
        <v>567</v>
      </c>
      <c r="G29" t="s">
        <v>568</v>
      </c>
    </row>
    <row r="30" spans="1:7">
      <c r="A30" t="s">
        <v>676</v>
      </c>
      <c r="B30" t="s">
        <v>677</v>
      </c>
      <c r="C30" t="s">
        <v>678</v>
      </c>
      <c r="D30" t="s">
        <v>679</v>
      </c>
      <c r="E30" t="s">
        <v>680</v>
      </c>
      <c r="F30" t="s">
        <v>567</v>
      </c>
      <c r="G30" t="s">
        <v>568</v>
      </c>
    </row>
    <row r="31" spans="1:7">
      <c r="A31" t="s">
        <v>681</v>
      </c>
      <c r="B31" t="s">
        <v>682</v>
      </c>
      <c r="C31" t="s">
        <v>683</v>
      </c>
      <c r="D31" t="s">
        <v>679</v>
      </c>
      <c r="E31" t="s">
        <v>680</v>
      </c>
      <c r="F31" t="s">
        <v>567</v>
      </c>
      <c r="G31" t="s">
        <v>568</v>
      </c>
    </row>
    <row r="32" spans="1:7">
      <c r="A32" t="s">
        <v>684</v>
      </c>
      <c r="B32" t="s">
        <v>685</v>
      </c>
      <c r="C32" t="s">
        <v>686</v>
      </c>
      <c r="D32" t="s">
        <v>649</v>
      </c>
      <c r="E32" t="s">
        <v>650</v>
      </c>
      <c r="F32" t="s">
        <v>567</v>
      </c>
      <c r="G32" t="s">
        <v>568</v>
      </c>
    </row>
    <row r="33" spans="1:7">
      <c r="A33" t="s">
        <v>687</v>
      </c>
      <c r="B33" t="s">
        <v>688</v>
      </c>
      <c r="C33" t="s">
        <v>689</v>
      </c>
      <c r="D33" t="s">
        <v>679</v>
      </c>
      <c r="E33" t="s">
        <v>680</v>
      </c>
      <c r="F33" t="s">
        <v>567</v>
      </c>
      <c r="G33" t="s">
        <v>568</v>
      </c>
    </row>
    <row r="34" spans="1:7">
      <c r="A34" t="s">
        <v>690</v>
      </c>
      <c r="B34" t="s">
        <v>691</v>
      </c>
      <c r="C34" t="s">
        <v>692</v>
      </c>
      <c r="D34" t="s">
        <v>581</v>
      </c>
      <c r="E34" t="s">
        <v>582</v>
      </c>
      <c r="F34" t="s">
        <v>567</v>
      </c>
      <c r="G34" t="s">
        <v>568</v>
      </c>
    </row>
    <row r="35" spans="1:7">
      <c r="A35" t="s">
        <v>693</v>
      </c>
      <c r="B35" t="s">
        <v>694</v>
      </c>
      <c r="C35" t="s">
        <v>695</v>
      </c>
      <c r="D35" t="s">
        <v>649</v>
      </c>
      <c r="E35" t="s">
        <v>650</v>
      </c>
      <c r="F35" t="s">
        <v>567</v>
      </c>
      <c r="G35" t="s">
        <v>568</v>
      </c>
    </row>
    <row r="36" spans="1:7">
      <c r="A36" t="s">
        <v>696</v>
      </c>
      <c r="B36" t="s">
        <v>697</v>
      </c>
      <c r="C36" t="s">
        <v>698</v>
      </c>
      <c r="D36" t="s">
        <v>569</v>
      </c>
      <c r="E36" t="s">
        <v>572</v>
      </c>
      <c r="F36" t="s">
        <v>567</v>
      </c>
      <c r="G36" t="s">
        <v>568</v>
      </c>
    </row>
    <row r="37" spans="1:7">
      <c r="A37" t="s">
        <v>699</v>
      </c>
      <c r="B37" t="s">
        <v>700</v>
      </c>
      <c r="C37" t="s">
        <v>701</v>
      </c>
      <c r="D37" t="s">
        <v>702</v>
      </c>
      <c r="E37" t="s">
        <v>703</v>
      </c>
      <c r="F37" t="s">
        <v>567</v>
      </c>
      <c r="G37" t="s">
        <v>568</v>
      </c>
    </row>
    <row r="38" spans="1:7">
      <c r="A38" t="s">
        <v>704</v>
      </c>
      <c r="B38" t="s">
        <v>705</v>
      </c>
      <c r="C38" t="s">
        <v>706</v>
      </c>
      <c r="D38" t="s">
        <v>702</v>
      </c>
      <c r="E38" t="s">
        <v>703</v>
      </c>
      <c r="F38" t="s">
        <v>567</v>
      </c>
      <c r="G38" t="s">
        <v>568</v>
      </c>
    </row>
    <row r="39" spans="1:7">
      <c r="A39" t="s">
        <v>707</v>
      </c>
      <c r="B39" t="s">
        <v>708</v>
      </c>
      <c r="C39" t="s">
        <v>709</v>
      </c>
      <c r="D39" t="s">
        <v>565</v>
      </c>
      <c r="E39" t="s">
        <v>566</v>
      </c>
      <c r="F39" t="s">
        <v>567</v>
      </c>
      <c r="G39" t="s">
        <v>568</v>
      </c>
    </row>
    <row r="40" spans="1:7">
      <c r="A40" t="s">
        <v>710</v>
      </c>
      <c r="B40" t="s">
        <v>711</v>
      </c>
      <c r="C40" t="s">
        <v>712</v>
      </c>
      <c r="D40" t="s">
        <v>581</v>
      </c>
      <c r="E40" t="s">
        <v>582</v>
      </c>
      <c r="F40" t="s">
        <v>567</v>
      </c>
      <c r="G40" t="s">
        <v>568</v>
      </c>
    </row>
    <row r="41" spans="1:7">
      <c r="A41" t="s">
        <v>713</v>
      </c>
      <c r="B41" t="s">
        <v>714</v>
      </c>
      <c r="C41" t="s">
        <v>715</v>
      </c>
      <c r="D41" t="s">
        <v>613</v>
      </c>
      <c r="E41" t="s">
        <v>614</v>
      </c>
      <c r="F41" t="s">
        <v>567</v>
      </c>
      <c r="G41" t="s">
        <v>568</v>
      </c>
    </row>
    <row r="42" spans="1:7">
      <c r="A42" t="s">
        <v>716</v>
      </c>
      <c r="B42" t="s">
        <v>717</v>
      </c>
      <c r="C42" t="s">
        <v>718</v>
      </c>
      <c r="D42" t="s">
        <v>719</v>
      </c>
      <c r="E42" t="s">
        <v>720</v>
      </c>
      <c r="F42" t="s">
        <v>567</v>
      </c>
      <c r="G42" t="s">
        <v>568</v>
      </c>
    </row>
    <row r="43" spans="1:7">
      <c r="A43" t="s">
        <v>721</v>
      </c>
      <c r="B43" t="s">
        <v>722</v>
      </c>
      <c r="C43" t="s">
        <v>723</v>
      </c>
      <c r="D43" t="s">
        <v>649</v>
      </c>
      <c r="E43" t="s">
        <v>650</v>
      </c>
      <c r="F43" t="s">
        <v>567</v>
      </c>
      <c r="G43" t="s">
        <v>568</v>
      </c>
    </row>
    <row r="44" spans="1:7">
      <c r="A44" t="s">
        <v>724</v>
      </c>
      <c r="B44" t="s">
        <v>725</v>
      </c>
      <c r="C44" t="s">
        <v>726</v>
      </c>
      <c r="D44" t="s">
        <v>581</v>
      </c>
      <c r="E44" t="s">
        <v>582</v>
      </c>
      <c r="F44" t="s">
        <v>567</v>
      </c>
      <c r="G44" t="s">
        <v>568</v>
      </c>
    </row>
    <row r="45" spans="1:7">
      <c r="A45" t="s">
        <v>727</v>
      </c>
      <c r="B45" t="s">
        <v>728</v>
      </c>
      <c r="C45" t="s">
        <v>729</v>
      </c>
      <c r="D45" t="s">
        <v>730</v>
      </c>
      <c r="E45" t="s">
        <v>731</v>
      </c>
      <c r="F45" t="s">
        <v>567</v>
      </c>
      <c r="G45" t="s">
        <v>568</v>
      </c>
    </row>
    <row r="46" spans="1:7">
      <c r="A46" t="s">
        <v>732</v>
      </c>
      <c r="B46" t="s">
        <v>733</v>
      </c>
      <c r="C46" t="s">
        <v>734</v>
      </c>
      <c r="D46" t="s">
        <v>626</v>
      </c>
      <c r="E46" t="s">
        <v>627</v>
      </c>
      <c r="F46" t="s">
        <v>567</v>
      </c>
      <c r="G46" t="s">
        <v>568</v>
      </c>
    </row>
    <row r="47" spans="1:7">
      <c r="A47" t="s">
        <v>735</v>
      </c>
      <c r="B47" t="s">
        <v>736</v>
      </c>
      <c r="C47" t="s">
        <v>737</v>
      </c>
      <c r="D47" t="s">
        <v>654</v>
      </c>
      <c r="E47" t="s">
        <v>655</v>
      </c>
      <c r="F47" t="s">
        <v>567</v>
      </c>
      <c r="G47" t="s">
        <v>568</v>
      </c>
    </row>
    <row r="48" spans="1:7">
      <c r="A48" t="s">
        <v>738</v>
      </c>
      <c r="B48" t="s">
        <v>739</v>
      </c>
      <c r="C48" t="s">
        <v>740</v>
      </c>
      <c r="D48" t="s">
        <v>654</v>
      </c>
      <c r="E48" t="s">
        <v>655</v>
      </c>
      <c r="F48" t="s">
        <v>567</v>
      </c>
      <c r="G48" t="s">
        <v>568</v>
      </c>
    </row>
    <row r="49" spans="1:7">
      <c r="A49" t="s">
        <v>741</v>
      </c>
      <c r="B49" t="s">
        <v>742</v>
      </c>
      <c r="C49" t="s">
        <v>743</v>
      </c>
      <c r="D49" t="s">
        <v>565</v>
      </c>
      <c r="E49" t="s">
        <v>566</v>
      </c>
      <c r="F49" t="s">
        <v>567</v>
      </c>
      <c r="G49" t="s">
        <v>568</v>
      </c>
    </row>
    <row r="50" spans="1:7">
      <c r="A50" t="s">
        <v>744</v>
      </c>
      <c r="B50" t="s">
        <v>745</v>
      </c>
      <c r="C50" t="s">
        <v>746</v>
      </c>
      <c r="D50" t="s">
        <v>565</v>
      </c>
      <c r="E50" t="s">
        <v>566</v>
      </c>
      <c r="F50" t="s">
        <v>567</v>
      </c>
      <c r="G50" t="s">
        <v>568</v>
      </c>
    </row>
    <row r="51" spans="1:7">
      <c r="A51" t="s">
        <v>747</v>
      </c>
      <c r="B51" t="s">
        <v>748</v>
      </c>
      <c r="C51" t="s">
        <v>749</v>
      </c>
      <c r="D51" t="s">
        <v>608</v>
      </c>
      <c r="E51" t="s">
        <v>609</v>
      </c>
      <c r="F51" t="s">
        <v>567</v>
      </c>
      <c r="G51" t="s">
        <v>568</v>
      </c>
    </row>
    <row r="52" spans="1:7">
      <c r="A52" t="s">
        <v>719</v>
      </c>
      <c r="B52" t="s">
        <v>750</v>
      </c>
      <c r="C52" t="s">
        <v>751</v>
      </c>
      <c r="D52" t="s">
        <v>719</v>
      </c>
      <c r="E52" t="s">
        <v>720</v>
      </c>
      <c r="F52" t="s">
        <v>567</v>
      </c>
      <c r="G52" t="s">
        <v>568</v>
      </c>
    </row>
    <row r="53" spans="1:7">
      <c r="A53" t="s">
        <v>752</v>
      </c>
      <c r="B53" t="s">
        <v>753</v>
      </c>
      <c r="C53" t="s">
        <v>754</v>
      </c>
      <c r="D53" t="s">
        <v>719</v>
      </c>
      <c r="E53" t="s">
        <v>720</v>
      </c>
      <c r="F53" t="s">
        <v>567</v>
      </c>
      <c r="G53" t="s">
        <v>568</v>
      </c>
    </row>
    <row r="54" spans="1:7">
      <c r="A54" t="s">
        <v>755</v>
      </c>
      <c r="B54" t="s">
        <v>756</v>
      </c>
      <c r="C54" t="s">
        <v>757</v>
      </c>
      <c r="D54" t="s">
        <v>730</v>
      </c>
      <c r="E54" t="s">
        <v>731</v>
      </c>
      <c r="F54" t="s">
        <v>567</v>
      </c>
      <c r="G54" t="s">
        <v>568</v>
      </c>
    </row>
    <row r="55" spans="1:7">
      <c r="A55" t="s">
        <v>758</v>
      </c>
      <c r="B55" t="s">
        <v>759</v>
      </c>
      <c r="C55" t="s">
        <v>760</v>
      </c>
      <c r="D55" t="s">
        <v>597</v>
      </c>
      <c r="E55" t="s">
        <v>598</v>
      </c>
      <c r="F55" t="s">
        <v>567</v>
      </c>
      <c r="G55" t="s">
        <v>568</v>
      </c>
    </row>
    <row r="56" spans="1:7">
      <c r="A56" t="s">
        <v>761</v>
      </c>
      <c r="B56" t="s">
        <v>762</v>
      </c>
      <c r="C56" t="s">
        <v>763</v>
      </c>
      <c r="D56" t="s">
        <v>654</v>
      </c>
      <c r="E56" t="s">
        <v>655</v>
      </c>
      <c r="F56" t="s">
        <v>567</v>
      </c>
      <c r="G56" t="s">
        <v>568</v>
      </c>
    </row>
    <row r="57" spans="1:7">
      <c r="A57" t="s">
        <v>764</v>
      </c>
      <c r="B57" t="s">
        <v>765</v>
      </c>
      <c r="C57" t="s">
        <v>766</v>
      </c>
      <c r="D57" t="s">
        <v>621</v>
      </c>
      <c r="E57" t="s">
        <v>622</v>
      </c>
      <c r="F57" t="s">
        <v>567</v>
      </c>
      <c r="G57" t="s">
        <v>568</v>
      </c>
    </row>
    <row r="58" spans="1:7">
      <c r="A58" t="s">
        <v>767</v>
      </c>
      <c r="B58" t="s">
        <v>768</v>
      </c>
      <c r="C58" t="s">
        <v>769</v>
      </c>
      <c r="D58" t="s">
        <v>659</v>
      </c>
      <c r="E58" t="s">
        <v>660</v>
      </c>
      <c r="F58" t="s">
        <v>567</v>
      </c>
      <c r="G58" t="s">
        <v>568</v>
      </c>
    </row>
    <row r="59" spans="1:7">
      <c r="A59" t="s">
        <v>770</v>
      </c>
      <c r="B59" t="s">
        <v>771</v>
      </c>
      <c r="C59" t="s">
        <v>772</v>
      </c>
      <c r="D59" t="s">
        <v>639</v>
      </c>
      <c r="E59" t="s">
        <v>640</v>
      </c>
      <c r="F59" t="s">
        <v>567</v>
      </c>
      <c r="G59" t="s">
        <v>568</v>
      </c>
    </row>
    <row r="60" spans="1:7">
      <c r="A60" t="s">
        <v>773</v>
      </c>
      <c r="B60" t="s">
        <v>774</v>
      </c>
      <c r="C60" t="s">
        <v>775</v>
      </c>
      <c r="D60" t="s">
        <v>581</v>
      </c>
      <c r="E60" t="s">
        <v>582</v>
      </c>
      <c r="F60" t="s">
        <v>567</v>
      </c>
      <c r="G60" t="s">
        <v>568</v>
      </c>
    </row>
    <row r="61" spans="1:7">
      <c r="A61" t="s">
        <v>776</v>
      </c>
      <c r="B61" t="s">
        <v>777</v>
      </c>
      <c r="C61" t="s">
        <v>778</v>
      </c>
      <c r="D61" t="s">
        <v>654</v>
      </c>
      <c r="E61" t="s">
        <v>655</v>
      </c>
      <c r="F61" t="s">
        <v>567</v>
      </c>
      <c r="G61" t="s">
        <v>568</v>
      </c>
    </row>
    <row r="62" spans="1:7">
      <c r="A62" t="s">
        <v>779</v>
      </c>
      <c r="B62" t="s">
        <v>780</v>
      </c>
      <c r="C62" t="s">
        <v>781</v>
      </c>
      <c r="D62" t="s">
        <v>581</v>
      </c>
      <c r="E62" t="s">
        <v>582</v>
      </c>
      <c r="F62" t="s">
        <v>567</v>
      </c>
      <c r="G62" t="s">
        <v>568</v>
      </c>
    </row>
    <row r="63" spans="1:7">
      <c r="A63" t="s">
        <v>782</v>
      </c>
      <c r="B63" t="s">
        <v>783</v>
      </c>
      <c r="C63" t="s">
        <v>784</v>
      </c>
      <c r="D63" t="s">
        <v>597</v>
      </c>
      <c r="E63" t="s">
        <v>598</v>
      </c>
      <c r="F63" t="s">
        <v>567</v>
      </c>
      <c r="G63" t="s">
        <v>568</v>
      </c>
    </row>
    <row r="64" spans="1:7">
      <c r="A64" t="s">
        <v>785</v>
      </c>
      <c r="B64" t="s">
        <v>786</v>
      </c>
      <c r="C64" t="s">
        <v>787</v>
      </c>
      <c r="D64" t="s">
        <v>644</v>
      </c>
      <c r="E64" t="s">
        <v>645</v>
      </c>
      <c r="F64" t="s">
        <v>567</v>
      </c>
      <c r="G64" t="s">
        <v>568</v>
      </c>
    </row>
    <row r="65" spans="1:7">
      <c r="A65" t="s">
        <v>788</v>
      </c>
      <c r="B65" t="s">
        <v>789</v>
      </c>
      <c r="C65" t="s">
        <v>790</v>
      </c>
      <c r="D65" t="s">
        <v>649</v>
      </c>
      <c r="E65" t="s">
        <v>650</v>
      </c>
      <c r="F65" t="s">
        <v>567</v>
      </c>
      <c r="G65" t="s">
        <v>568</v>
      </c>
    </row>
    <row r="66" spans="1:7">
      <c r="A66" t="s">
        <v>791</v>
      </c>
      <c r="B66" t="s">
        <v>792</v>
      </c>
      <c r="C66" t="s">
        <v>793</v>
      </c>
      <c r="D66" t="s">
        <v>649</v>
      </c>
      <c r="E66" t="s">
        <v>650</v>
      </c>
      <c r="F66" t="s">
        <v>567</v>
      </c>
      <c r="G66" t="s">
        <v>568</v>
      </c>
    </row>
    <row r="67" spans="1:7">
      <c r="A67" t="s">
        <v>794</v>
      </c>
      <c r="B67" t="s">
        <v>795</v>
      </c>
      <c r="C67" t="s">
        <v>796</v>
      </c>
      <c r="D67" t="s">
        <v>730</v>
      </c>
      <c r="E67" t="s">
        <v>731</v>
      </c>
      <c r="F67" t="s">
        <v>567</v>
      </c>
      <c r="G67" t="s">
        <v>568</v>
      </c>
    </row>
    <row r="68" spans="1:7">
      <c r="A68" t="s">
        <v>797</v>
      </c>
      <c r="B68" t="s">
        <v>798</v>
      </c>
      <c r="C68" t="s">
        <v>799</v>
      </c>
      <c r="D68" t="s">
        <v>565</v>
      </c>
      <c r="E68" t="s">
        <v>566</v>
      </c>
      <c r="F68" t="s">
        <v>567</v>
      </c>
      <c r="G68" t="s">
        <v>568</v>
      </c>
    </row>
    <row r="69" spans="1:7">
      <c r="A69" t="s">
        <v>800</v>
      </c>
      <c r="B69" t="s">
        <v>801</v>
      </c>
      <c r="C69" t="s">
        <v>802</v>
      </c>
      <c r="D69" t="s">
        <v>581</v>
      </c>
      <c r="E69" t="s">
        <v>582</v>
      </c>
      <c r="F69" t="s">
        <v>567</v>
      </c>
      <c r="G69" t="s">
        <v>568</v>
      </c>
    </row>
    <row r="70" spans="1:7">
      <c r="A70" t="s">
        <v>803</v>
      </c>
      <c r="B70" t="s">
        <v>804</v>
      </c>
      <c r="C70" t="s">
        <v>805</v>
      </c>
      <c r="D70" t="s">
        <v>581</v>
      </c>
      <c r="E70" t="s">
        <v>582</v>
      </c>
      <c r="F70" t="s">
        <v>567</v>
      </c>
      <c r="G70" t="s">
        <v>568</v>
      </c>
    </row>
    <row r="71" spans="1:7">
      <c r="A71" t="s">
        <v>806</v>
      </c>
      <c r="B71" t="s">
        <v>807</v>
      </c>
      <c r="C71" t="s">
        <v>808</v>
      </c>
      <c r="D71" t="s">
        <v>730</v>
      </c>
      <c r="E71" t="s">
        <v>731</v>
      </c>
      <c r="F71" t="s">
        <v>567</v>
      </c>
      <c r="G71" t="s">
        <v>568</v>
      </c>
    </row>
    <row r="72" spans="1:7">
      <c r="A72" t="s">
        <v>809</v>
      </c>
      <c r="B72" t="s">
        <v>810</v>
      </c>
      <c r="C72" t="s">
        <v>811</v>
      </c>
      <c r="D72" t="s">
        <v>639</v>
      </c>
      <c r="E72" t="s">
        <v>640</v>
      </c>
      <c r="F72" t="s">
        <v>567</v>
      </c>
      <c r="G72" t="s">
        <v>568</v>
      </c>
    </row>
    <row r="73" spans="1:7">
      <c r="A73" t="s">
        <v>812</v>
      </c>
      <c r="B73" t="s">
        <v>813</v>
      </c>
      <c r="C73" t="s">
        <v>814</v>
      </c>
      <c r="D73" t="s">
        <v>730</v>
      </c>
      <c r="E73" t="s">
        <v>731</v>
      </c>
      <c r="F73" t="s">
        <v>567</v>
      </c>
      <c r="G73" t="s">
        <v>568</v>
      </c>
    </row>
    <row r="74" spans="1:7">
      <c r="A74" t="s">
        <v>815</v>
      </c>
      <c r="B74" t="s">
        <v>816</v>
      </c>
      <c r="C74" t="s">
        <v>817</v>
      </c>
      <c r="D74" t="s">
        <v>576</v>
      </c>
      <c r="E74" t="s">
        <v>577</v>
      </c>
      <c r="F74" t="s">
        <v>567</v>
      </c>
      <c r="G74" t="s">
        <v>568</v>
      </c>
    </row>
    <row r="75" spans="1:7">
      <c r="A75" t="s">
        <v>818</v>
      </c>
      <c r="B75" t="s">
        <v>819</v>
      </c>
      <c r="C75" t="s">
        <v>820</v>
      </c>
      <c r="D75" t="s">
        <v>576</v>
      </c>
      <c r="E75" t="s">
        <v>577</v>
      </c>
      <c r="F75" t="s">
        <v>567</v>
      </c>
      <c r="G75" t="s">
        <v>568</v>
      </c>
    </row>
    <row r="76" spans="1:7">
      <c r="A76" t="s">
        <v>821</v>
      </c>
      <c r="B76" t="s">
        <v>822</v>
      </c>
      <c r="C76" t="s">
        <v>823</v>
      </c>
      <c r="D76" t="s">
        <v>581</v>
      </c>
      <c r="E76" t="s">
        <v>582</v>
      </c>
      <c r="F76" t="s">
        <v>567</v>
      </c>
      <c r="G76" t="s">
        <v>568</v>
      </c>
    </row>
    <row r="77" spans="1:7">
      <c r="A77" t="s">
        <v>824</v>
      </c>
      <c r="B77" t="s">
        <v>825</v>
      </c>
      <c r="C77" t="s">
        <v>826</v>
      </c>
      <c r="D77" t="s">
        <v>654</v>
      </c>
      <c r="E77" t="s">
        <v>655</v>
      </c>
      <c r="F77" t="s">
        <v>567</v>
      </c>
      <c r="G77" t="s">
        <v>568</v>
      </c>
    </row>
    <row r="78" spans="1:7">
      <c r="A78" t="s">
        <v>827</v>
      </c>
      <c r="B78" t="s">
        <v>828</v>
      </c>
      <c r="C78" t="s">
        <v>829</v>
      </c>
      <c r="D78" t="s">
        <v>649</v>
      </c>
      <c r="E78" t="s">
        <v>650</v>
      </c>
      <c r="F78" t="s">
        <v>567</v>
      </c>
      <c r="G78" t="s">
        <v>568</v>
      </c>
    </row>
    <row r="79" spans="1:7">
      <c r="A79" t="s">
        <v>830</v>
      </c>
      <c r="B79" t="s">
        <v>831</v>
      </c>
      <c r="C79" t="s">
        <v>832</v>
      </c>
      <c r="D79" t="s">
        <v>597</v>
      </c>
      <c r="E79" t="s">
        <v>598</v>
      </c>
      <c r="F79" t="s">
        <v>567</v>
      </c>
      <c r="G79" t="s">
        <v>568</v>
      </c>
    </row>
    <row r="80" spans="1:7">
      <c r="A80" t="s">
        <v>833</v>
      </c>
      <c r="B80" t="s">
        <v>834</v>
      </c>
      <c r="C80" t="s">
        <v>835</v>
      </c>
      <c r="D80" t="s">
        <v>576</v>
      </c>
      <c r="E80" t="s">
        <v>577</v>
      </c>
      <c r="F80" t="s">
        <v>567</v>
      </c>
      <c r="G80" t="s">
        <v>568</v>
      </c>
    </row>
    <row r="81" spans="1:7">
      <c r="A81" t="s">
        <v>836</v>
      </c>
      <c r="B81" t="s">
        <v>837</v>
      </c>
      <c r="C81" t="s">
        <v>838</v>
      </c>
      <c r="D81" t="s">
        <v>597</v>
      </c>
      <c r="E81" t="s">
        <v>598</v>
      </c>
      <c r="F81" t="s">
        <v>567</v>
      </c>
      <c r="G81" t="s">
        <v>568</v>
      </c>
    </row>
    <row r="82" spans="1:7">
      <c r="A82" t="s">
        <v>839</v>
      </c>
      <c r="B82" t="s">
        <v>840</v>
      </c>
      <c r="C82" t="s">
        <v>841</v>
      </c>
      <c r="D82" t="s">
        <v>730</v>
      </c>
      <c r="E82" t="s">
        <v>731</v>
      </c>
      <c r="F82" t="s">
        <v>567</v>
      </c>
      <c r="G82" t="s">
        <v>568</v>
      </c>
    </row>
    <row r="83" spans="1:7">
      <c r="A83" t="s">
        <v>842</v>
      </c>
      <c r="B83" t="s">
        <v>843</v>
      </c>
      <c r="C83" t="s">
        <v>844</v>
      </c>
      <c r="D83" t="s">
        <v>581</v>
      </c>
      <c r="E83" t="s">
        <v>582</v>
      </c>
      <c r="F83" t="s">
        <v>567</v>
      </c>
      <c r="G83" t="s">
        <v>568</v>
      </c>
    </row>
    <row r="84" spans="1:7">
      <c r="A84" t="s">
        <v>845</v>
      </c>
      <c r="B84" t="s">
        <v>846</v>
      </c>
      <c r="C84" t="s">
        <v>847</v>
      </c>
      <c r="D84" t="s">
        <v>576</v>
      </c>
      <c r="E84" t="s">
        <v>577</v>
      </c>
      <c r="F84" t="s">
        <v>567</v>
      </c>
      <c r="G84" t="s">
        <v>568</v>
      </c>
    </row>
    <row r="85" spans="1:7">
      <c r="A85" t="s">
        <v>848</v>
      </c>
      <c r="B85" t="s">
        <v>849</v>
      </c>
      <c r="C85" t="s">
        <v>850</v>
      </c>
      <c r="D85" t="s">
        <v>654</v>
      </c>
      <c r="E85" t="s">
        <v>655</v>
      </c>
      <c r="F85" t="s">
        <v>567</v>
      </c>
      <c r="G85" t="s">
        <v>568</v>
      </c>
    </row>
    <row r="86" spans="1:7">
      <c r="A86" t="s">
        <v>851</v>
      </c>
      <c r="B86" t="s">
        <v>852</v>
      </c>
      <c r="C86" t="s">
        <v>853</v>
      </c>
      <c r="D86" t="s">
        <v>621</v>
      </c>
      <c r="E86" t="s">
        <v>622</v>
      </c>
      <c r="F86" t="s">
        <v>567</v>
      </c>
      <c r="G86" t="s">
        <v>568</v>
      </c>
    </row>
    <row r="87" spans="1:7">
      <c r="A87" t="s">
        <v>854</v>
      </c>
      <c r="B87" t="s">
        <v>855</v>
      </c>
      <c r="C87" t="s">
        <v>856</v>
      </c>
      <c r="D87" t="s">
        <v>608</v>
      </c>
      <c r="E87" t="s">
        <v>609</v>
      </c>
      <c r="F87" t="s">
        <v>567</v>
      </c>
      <c r="G87" t="s">
        <v>568</v>
      </c>
    </row>
    <row r="88" spans="1:7">
      <c r="A88" t="s">
        <v>857</v>
      </c>
      <c r="B88" t="s">
        <v>858</v>
      </c>
      <c r="C88" t="s">
        <v>859</v>
      </c>
      <c r="D88" t="s">
        <v>730</v>
      </c>
      <c r="E88" t="s">
        <v>731</v>
      </c>
      <c r="F88" t="s">
        <v>567</v>
      </c>
      <c r="G88" t="s">
        <v>568</v>
      </c>
    </row>
    <row r="89" spans="1:7">
      <c r="A89" t="s">
        <v>860</v>
      </c>
      <c r="B89" t="s">
        <v>861</v>
      </c>
      <c r="C89" t="s">
        <v>862</v>
      </c>
      <c r="D89" t="s">
        <v>863</v>
      </c>
      <c r="E89" t="s">
        <v>864</v>
      </c>
      <c r="F89" t="s">
        <v>567</v>
      </c>
      <c r="G89" t="s">
        <v>568</v>
      </c>
    </row>
    <row r="90" spans="1:7">
      <c r="A90" t="s">
        <v>865</v>
      </c>
      <c r="B90" t="s">
        <v>866</v>
      </c>
      <c r="C90" t="s">
        <v>867</v>
      </c>
      <c r="D90" t="s">
        <v>581</v>
      </c>
      <c r="E90" t="s">
        <v>582</v>
      </c>
      <c r="F90" t="s">
        <v>567</v>
      </c>
      <c r="G90" t="s">
        <v>568</v>
      </c>
    </row>
    <row r="91" spans="1:7">
      <c r="A91" t="s">
        <v>868</v>
      </c>
      <c r="B91" t="s">
        <v>869</v>
      </c>
      <c r="C91" t="s">
        <v>870</v>
      </c>
      <c r="D91" t="s">
        <v>576</v>
      </c>
      <c r="E91" t="s">
        <v>577</v>
      </c>
      <c r="F91" t="s">
        <v>567</v>
      </c>
      <c r="G91" t="s">
        <v>568</v>
      </c>
    </row>
    <row r="92" spans="1:7">
      <c r="A92" t="s">
        <v>626</v>
      </c>
      <c r="B92" t="s">
        <v>871</v>
      </c>
      <c r="C92" t="s">
        <v>872</v>
      </c>
      <c r="D92" t="s">
        <v>626</v>
      </c>
      <c r="E92" t="s">
        <v>627</v>
      </c>
      <c r="F92" t="s">
        <v>567</v>
      </c>
      <c r="G92" t="s">
        <v>568</v>
      </c>
    </row>
    <row r="93" spans="1:7">
      <c r="A93" t="s">
        <v>873</v>
      </c>
      <c r="B93" t="s">
        <v>874</v>
      </c>
      <c r="C93" t="s">
        <v>875</v>
      </c>
      <c r="D93" t="s">
        <v>597</v>
      </c>
      <c r="E93" t="s">
        <v>598</v>
      </c>
      <c r="F93" t="s">
        <v>567</v>
      </c>
      <c r="G93" t="s">
        <v>568</v>
      </c>
    </row>
    <row r="94" spans="1:7">
      <c r="A94" t="s">
        <v>876</v>
      </c>
      <c r="B94" t="s">
        <v>877</v>
      </c>
      <c r="C94" t="s">
        <v>878</v>
      </c>
      <c r="D94" t="s">
        <v>659</v>
      </c>
      <c r="E94" t="s">
        <v>660</v>
      </c>
      <c r="F94" t="s">
        <v>567</v>
      </c>
      <c r="G94" t="s">
        <v>568</v>
      </c>
    </row>
    <row r="95" spans="1:7">
      <c r="A95" t="s">
        <v>879</v>
      </c>
      <c r="B95" t="s">
        <v>880</v>
      </c>
      <c r="C95" t="s">
        <v>881</v>
      </c>
      <c r="D95" t="s">
        <v>597</v>
      </c>
      <c r="E95" t="s">
        <v>598</v>
      </c>
      <c r="F95" t="s">
        <v>567</v>
      </c>
      <c r="G95" t="s">
        <v>568</v>
      </c>
    </row>
    <row r="96" spans="1:7">
      <c r="A96" t="s">
        <v>882</v>
      </c>
      <c r="B96" t="s">
        <v>883</v>
      </c>
      <c r="C96" t="s">
        <v>884</v>
      </c>
      <c r="D96" t="s">
        <v>885</v>
      </c>
      <c r="E96" t="s">
        <v>886</v>
      </c>
      <c r="F96" t="s">
        <v>567</v>
      </c>
      <c r="G96" t="s">
        <v>568</v>
      </c>
    </row>
    <row r="97" spans="1:7">
      <c r="A97" t="s">
        <v>887</v>
      </c>
      <c r="B97" t="s">
        <v>888</v>
      </c>
      <c r="C97" t="s">
        <v>889</v>
      </c>
      <c r="D97" t="s">
        <v>576</v>
      </c>
      <c r="E97" t="s">
        <v>577</v>
      </c>
      <c r="F97" t="s">
        <v>567</v>
      </c>
      <c r="G97" t="s">
        <v>568</v>
      </c>
    </row>
    <row r="98" spans="1:7">
      <c r="A98" t="s">
        <v>890</v>
      </c>
      <c r="B98" t="s">
        <v>891</v>
      </c>
      <c r="C98" t="s">
        <v>892</v>
      </c>
      <c r="D98" t="s">
        <v>719</v>
      </c>
      <c r="E98" t="s">
        <v>720</v>
      </c>
      <c r="F98" t="s">
        <v>567</v>
      </c>
      <c r="G98" t="s">
        <v>568</v>
      </c>
    </row>
    <row r="99" spans="1:7">
      <c r="A99" t="s">
        <v>893</v>
      </c>
      <c r="B99" t="s">
        <v>894</v>
      </c>
      <c r="C99" t="s">
        <v>895</v>
      </c>
      <c r="D99" t="s">
        <v>621</v>
      </c>
      <c r="E99" t="s">
        <v>622</v>
      </c>
      <c r="F99" t="s">
        <v>567</v>
      </c>
      <c r="G99" t="s">
        <v>568</v>
      </c>
    </row>
    <row r="100" spans="1:7">
      <c r="A100" t="s">
        <v>896</v>
      </c>
      <c r="B100" t="s">
        <v>897</v>
      </c>
      <c r="C100" t="s">
        <v>898</v>
      </c>
      <c r="D100" t="s">
        <v>679</v>
      </c>
      <c r="E100" t="s">
        <v>680</v>
      </c>
      <c r="F100" t="s">
        <v>567</v>
      </c>
      <c r="G100" t="s">
        <v>568</v>
      </c>
    </row>
    <row r="101" spans="1:7">
      <c r="A101" t="s">
        <v>899</v>
      </c>
      <c r="B101" t="s">
        <v>900</v>
      </c>
      <c r="C101" t="s">
        <v>901</v>
      </c>
      <c r="D101" t="s">
        <v>885</v>
      </c>
      <c r="E101" t="s">
        <v>886</v>
      </c>
      <c r="F101" t="s">
        <v>567</v>
      </c>
      <c r="G101" t="s">
        <v>568</v>
      </c>
    </row>
    <row r="102" spans="1:7">
      <c r="A102" t="s">
        <v>902</v>
      </c>
      <c r="B102" t="s">
        <v>903</v>
      </c>
      <c r="C102" t="s">
        <v>904</v>
      </c>
      <c r="D102" t="s">
        <v>885</v>
      </c>
      <c r="E102" t="s">
        <v>886</v>
      </c>
      <c r="F102" t="s">
        <v>567</v>
      </c>
      <c r="G102" t="s">
        <v>568</v>
      </c>
    </row>
    <row r="103" spans="1:7">
      <c r="A103" t="s">
        <v>905</v>
      </c>
      <c r="B103" t="s">
        <v>906</v>
      </c>
      <c r="C103" t="s">
        <v>907</v>
      </c>
      <c r="D103" t="s">
        <v>863</v>
      </c>
      <c r="E103" t="s">
        <v>864</v>
      </c>
      <c r="F103" t="s">
        <v>567</v>
      </c>
      <c r="G103" t="s">
        <v>568</v>
      </c>
    </row>
    <row r="104" spans="1:7">
      <c r="A104" t="s">
        <v>908</v>
      </c>
      <c r="B104" t="s">
        <v>909</v>
      </c>
      <c r="C104" t="s">
        <v>910</v>
      </c>
      <c r="D104" t="s">
        <v>597</v>
      </c>
      <c r="E104" t="s">
        <v>598</v>
      </c>
      <c r="F104" t="s">
        <v>567</v>
      </c>
      <c r="G104" t="s">
        <v>568</v>
      </c>
    </row>
    <row r="105" spans="1:7">
      <c r="A105" t="s">
        <v>911</v>
      </c>
      <c r="B105" t="s">
        <v>912</v>
      </c>
      <c r="C105" t="s">
        <v>913</v>
      </c>
      <c r="D105" t="s">
        <v>597</v>
      </c>
      <c r="E105" t="s">
        <v>598</v>
      </c>
      <c r="F105" t="s">
        <v>567</v>
      </c>
      <c r="G105" t="s">
        <v>568</v>
      </c>
    </row>
    <row r="106" spans="1:7">
      <c r="A106" t="s">
        <v>914</v>
      </c>
      <c r="B106" t="s">
        <v>915</v>
      </c>
      <c r="C106" t="s">
        <v>916</v>
      </c>
      <c r="D106" t="s">
        <v>863</v>
      </c>
      <c r="E106" t="s">
        <v>864</v>
      </c>
      <c r="F106" t="s">
        <v>567</v>
      </c>
      <c r="G106" t="s">
        <v>568</v>
      </c>
    </row>
    <row r="107" spans="1:7">
      <c r="A107" t="s">
        <v>917</v>
      </c>
      <c r="B107" t="s">
        <v>918</v>
      </c>
      <c r="C107" t="s">
        <v>919</v>
      </c>
      <c r="D107" t="s">
        <v>592</v>
      </c>
      <c r="E107" t="s">
        <v>593</v>
      </c>
      <c r="F107" t="s">
        <v>567</v>
      </c>
      <c r="G107" t="s">
        <v>568</v>
      </c>
    </row>
    <row r="108" spans="1:7">
      <c r="A108" t="s">
        <v>920</v>
      </c>
      <c r="B108" t="s">
        <v>921</v>
      </c>
      <c r="C108" t="s">
        <v>922</v>
      </c>
      <c r="D108" t="s">
        <v>597</v>
      </c>
      <c r="E108" t="s">
        <v>598</v>
      </c>
      <c r="F108" t="s">
        <v>567</v>
      </c>
      <c r="G108" t="s">
        <v>568</v>
      </c>
    </row>
    <row r="109" spans="1:7">
      <c r="A109" t="s">
        <v>923</v>
      </c>
      <c r="B109" t="s">
        <v>924</v>
      </c>
      <c r="C109" t="s">
        <v>925</v>
      </c>
      <c r="D109" t="s">
        <v>702</v>
      </c>
      <c r="E109" t="s">
        <v>703</v>
      </c>
      <c r="F109" t="s">
        <v>567</v>
      </c>
      <c r="G109" t="s">
        <v>568</v>
      </c>
    </row>
    <row r="110" spans="1:7">
      <c r="A110" t="s">
        <v>926</v>
      </c>
      <c r="B110" t="s">
        <v>927</v>
      </c>
      <c r="C110" t="s">
        <v>928</v>
      </c>
      <c r="D110" t="s">
        <v>581</v>
      </c>
      <c r="E110" t="s">
        <v>582</v>
      </c>
      <c r="F110" t="s">
        <v>567</v>
      </c>
      <c r="G110" t="s">
        <v>568</v>
      </c>
    </row>
    <row r="111" spans="1:7">
      <c r="A111" t="s">
        <v>929</v>
      </c>
      <c r="B111" t="s">
        <v>930</v>
      </c>
      <c r="C111" t="s">
        <v>931</v>
      </c>
      <c r="D111" t="s">
        <v>621</v>
      </c>
      <c r="E111" t="s">
        <v>622</v>
      </c>
      <c r="F111" t="s">
        <v>567</v>
      </c>
      <c r="G111" t="s">
        <v>568</v>
      </c>
    </row>
    <row r="112" spans="1:7">
      <c r="A112" t="s">
        <v>932</v>
      </c>
      <c r="B112" t="s">
        <v>933</v>
      </c>
      <c r="C112" t="s">
        <v>934</v>
      </c>
      <c r="D112" t="s">
        <v>626</v>
      </c>
      <c r="E112" t="s">
        <v>627</v>
      </c>
      <c r="F112" t="s">
        <v>567</v>
      </c>
      <c r="G112" t="s">
        <v>568</v>
      </c>
    </row>
    <row r="113" spans="1:7">
      <c r="A113" t="s">
        <v>935</v>
      </c>
      <c r="B113" t="s">
        <v>936</v>
      </c>
      <c r="C113" t="s">
        <v>937</v>
      </c>
      <c r="D113" t="s">
        <v>576</v>
      </c>
      <c r="E113" t="s">
        <v>577</v>
      </c>
      <c r="F113" t="s">
        <v>567</v>
      </c>
      <c r="G113" t="s">
        <v>568</v>
      </c>
    </row>
    <row r="114" spans="1:7">
      <c r="A114" t="s">
        <v>938</v>
      </c>
      <c r="B114" t="s">
        <v>939</v>
      </c>
      <c r="C114" t="s">
        <v>940</v>
      </c>
      <c r="D114" t="s">
        <v>621</v>
      </c>
      <c r="E114" t="s">
        <v>622</v>
      </c>
      <c r="F114" t="s">
        <v>567</v>
      </c>
      <c r="G114" t="s">
        <v>568</v>
      </c>
    </row>
    <row r="115" spans="1:7">
      <c r="A115" t="s">
        <v>941</v>
      </c>
      <c r="B115" t="s">
        <v>942</v>
      </c>
      <c r="C115" t="s">
        <v>943</v>
      </c>
      <c r="D115" t="s">
        <v>730</v>
      </c>
      <c r="E115" t="s">
        <v>731</v>
      </c>
      <c r="F115" t="s">
        <v>567</v>
      </c>
      <c r="G115" t="s">
        <v>568</v>
      </c>
    </row>
    <row r="116" spans="1:7">
      <c r="A116" t="s">
        <v>944</v>
      </c>
      <c r="B116" t="s">
        <v>945</v>
      </c>
      <c r="C116" t="s">
        <v>946</v>
      </c>
      <c r="D116" t="s">
        <v>626</v>
      </c>
      <c r="E116" t="s">
        <v>627</v>
      </c>
      <c r="F116" t="s">
        <v>567</v>
      </c>
      <c r="G116" t="s">
        <v>568</v>
      </c>
    </row>
    <row r="117" spans="1:7">
      <c r="A117" t="s">
        <v>947</v>
      </c>
      <c r="B117" t="s">
        <v>948</v>
      </c>
      <c r="C117" t="s">
        <v>949</v>
      </c>
      <c r="D117" t="s">
        <v>581</v>
      </c>
      <c r="E117" t="s">
        <v>582</v>
      </c>
      <c r="F117" t="s">
        <v>567</v>
      </c>
      <c r="G117" t="s">
        <v>568</v>
      </c>
    </row>
    <row r="118" spans="1:7">
      <c r="A118" t="s">
        <v>950</v>
      </c>
      <c r="B118" t="s">
        <v>951</v>
      </c>
      <c r="C118" t="s">
        <v>952</v>
      </c>
      <c r="D118" t="s">
        <v>597</v>
      </c>
      <c r="E118" t="s">
        <v>598</v>
      </c>
      <c r="F118" t="s">
        <v>567</v>
      </c>
      <c r="G118" t="s">
        <v>568</v>
      </c>
    </row>
    <row r="119" spans="1:7">
      <c r="A119" t="s">
        <v>953</v>
      </c>
      <c r="B119" t="s">
        <v>954</v>
      </c>
      <c r="C119" t="s">
        <v>955</v>
      </c>
      <c r="D119" t="s">
        <v>565</v>
      </c>
      <c r="E119" t="s">
        <v>566</v>
      </c>
      <c r="F119" t="s">
        <v>567</v>
      </c>
      <c r="G119" t="s">
        <v>568</v>
      </c>
    </row>
    <row r="120" spans="1:7">
      <c r="A120" t="s">
        <v>956</v>
      </c>
      <c r="B120" t="s">
        <v>957</v>
      </c>
      <c r="C120" t="s">
        <v>958</v>
      </c>
      <c r="D120" t="s">
        <v>565</v>
      </c>
      <c r="E120" t="s">
        <v>566</v>
      </c>
      <c r="F120" t="s">
        <v>567</v>
      </c>
      <c r="G120" t="s">
        <v>568</v>
      </c>
    </row>
    <row r="121" spans="1:7">
      <c r="A121" t="s">
        <v>959</v>
      </c>
      <c r="B121" t="s">
        <v>960</v>
      </c>
      <c r="C121" t="s">
        <v>961</v>
      </c>
      <c r="D121" t="s">
        <v>730</v>
      </c>
      <c r="E121" t="s">
        <v>731</v>
      </c>
      <c r="F121" t="s">
        <v>567</v>
      </c>
      <c r="G121" t="s">
        <v>568</v>
      </c>
    </row>
    <row r="122" spans="1:7">
      <c r="A122" t="s">
        <v>962</v>
      </c>
      <c r="B122" t="s">
        <v>963</v>
      </c>
      <c r="C122" t="s">
        <v>964</v>
      </c>
      <c r="D122" t="s">
        <v>621</v>
      </c>
      <c r="E122" t="s">
        <v>622</v>
      </c>
      <c r="F122" t="s">
        <v>567</v>
      </c>
      <c r="G122" t="s">
        <v>568</v>
      </c>
    </row>
    <row r="123" spans="1:7">
      <c r="A123" t="s">
        <v>965</v>
      </c>
      <c r="B123" t="s">
        <v>966</v>
      </c>
      <c r="C123" t="s">
        <v>967</v>
      </c>
      <c r="D123" t="s">
        <v>639</v>
      </c>
      <c r="E123" t="s">
        <v>640</v>
      </c>
      <c r="F123" t="s">
        <v>567</v>
      </c>
      <c r="G123" t="s">
        <v>568</v>
      </c>
    </row>
    <row r="124" spans="1:7">
      <c r="A124" t="s">
        <v>968</v>
      </c>
      <c r="B124" t="s">
        <v>969</v>
      </c>
      <c r="C124" t="s">
        <v>970</v>
      </c>
      <c r="D124" t="s">
        <v>576</v>
      </c>
      <c r="E124" t="s">
        <v>577</v>
      </c>
      <c r="F124" t="s">
        <v>567</v>
      </c>
      <c r="G124" t="s">
        <v>568</v>
      </c>
    </row>
    <row r="125" spans="1:7">
      <c r="A125" t="s">
        <v>971</v>
      </c>
      <c r="B125" t="s">
        <v>972</v>
      </c>
      <c r="C125" t="s">
        <v>973</v>
      </c>
      <c r="D125" t="s">
        <v>569</v>
      </c>
      <c r="E125" t="s">
        <v>572</v>
      </c>
      <c r="F125" t="s">
        <v>567</v>
      </c>
      <c r="G125" t="s">
        <v>568</v>
      </c>
    </row>
    <row r="126" spans="1:7">
      <c r="A126" t="s">
        <v>974</v>
      </c>
      <c r="B126" t="s">
        <v>975</v>
      </c>
      <c r="C126" t="s">
        <v>976</v>
      </c>
      <c r="D126" t="s">
        <v>565</v>
      </c>
      <c r="E126" t="s">
        <v>566</v>
      </c>
      <c r="F126" t="s">
        <v>567</v>
      </c>
      <c r="G126" t="s">
        <v>568</v>
      </c>
    </row>
    <row r="127" spans="1:7">
      <c r="A127" t="s">
        <v>977</v>
      </c>
      <c r="B127" t="s">
        <v>978</v>
      </c>
      <c r="C127" t="s">
        <v>979</v>
      </c>
      <c r="D127" t="s">
        <v>730</v>
      </c>
      <c r="E127" t="s">
        <v>731</v>
      </c>
      <c r="F127" t="s">
        <v>567</v>
      </c>
      <c r="G127" t="s">
        <v>568</v>
      </c>
    </row>
    <row r="128" spans="1:7">
      <c r="A128" t="s">
        <v>980</v>
      </c>
      <c r="B128" t="s">
        <v>981</v>
      </c>
      <c r="C128" t="s">
        <v>982</v>
      </c>
      <c r="D128" t="s">
        <v>621</v>
      </c>
      <c r="E128" t="s">
        <v>622</v>
      </c>
      <c r="F128" t="s">
        <v>567</v>
      </c>
      <c r="G128" t="s">
        <v>568</v>
      </c>
    </row>
    <row r="129" spans="1:7">
      <c r="A129" t="s">
        <v>983</v>
      </c>
      <c r="B129" t="s">
        <v>984</v>
      </c>
      <c r="C129" t="s">
        <v>985</v>
      </c>
      <c r="D129" t="s">
        <v>863</v>
      </c>
      <c r="E129" t="s">
        <v>864</v>
      </c>
      <c r="F129" t="s">
        <v>567</v>
      </c>
      <c r="G129" t="s">
        <v>568</v>
      </c>
    </row>
    <row r="130" spans="1:7">
      <c r="A130" t="s">
        <v>986</v>
      </c>
      <c r="B130" t="s">
        <v>987</v>
      </c>
      <c r="C130" t="s">
        <v>988</v>
      </c>
      <c r="D130" t="s">
        <v>885</v>
      </c>
      <c r="E130" t="s">
        <v>886</v>
      </c>
      <c r="F130" t="s">
        <v>567</v>
      </c>
      <c r="G130" t="s">
        <v>568</v>
      </c>
    </row>
    <row r="131" spans="1:7">
      <c r="A131" t="s">
        <v>989</v>
      </c>
      <c r="B131" t="s">
        <v>990</v>
      </c>
      <c r="C131" t="s">
        <v>991</v>
      </c>
      <c r="D131" t="s">
        <v>639</v>
      </c>
      <c r="E131" t="s">
        <v>640</v>
      </c>
      <c r="F131" t="s">
        <v>567</v>
      </c>
      <c r="G131" t="s">
        <v>568</v>
      </c>
    </row>
    <row r="132" spans="1:7">
      <c r="A132" t="s">
        <v>992</v>
      </c>
      <c r="B132" t="s">
        <v>993</v>
      </c>
      <c r="C132" t="s">
        <v>994</v>
      </c>
      <c r="D132" t="s">
        <v>719</v>
      </c>
      <c r="E132" t="s">
        <v>720</v>
      </c>
      <c r="F132" t="s">
        <v>567</v>
      </c>
      <c r="G132" t="s">
        <v>568</v>
      </c>
    </row>
    <row r="133" spans="1:7">
      <c r="A133" t="s">
        <v>995</v>
      </c>
      <c r="B133" t="s">
        <v>996</v>
      </c>
      <c r="C133" t="s">
        <v>997</v>
      </c>
      <c r="D133" t="s">
        <v>581</v>
      </c>
      <c r="E133" t="s">
        <v>582</v>
      </c>
      <c r="F133" t="s">
        <v>567</v>
      </c>
      <c r="G133" t="s">
        <v>568</v>
      </c>
    </row>
    <row r="134" spans="1:7">
      <c r="A134" t="s">
        <v>998</v>
      </c>
      <c r="B134" t="s">
        <v>999</v>
      </c>
      <c r="C134" t="s">
        <v>1000</v>
      </c>
      <c r="D134" t="s">
        <v>679</v>
      </c>
      <c r="E134" t="s">
        <v>680</v>
      </c>
      <c r="F134" t="s">
        <v>567</v>
      </c>
      <c r="G134" t="s">
        <v>568</v>
      </c>
    </row>
    <row r="135" spans="1:7">
      <c r="A135" t="s">
        <v>1001</v>
      </c>
      <c r="B135" t="s">
        <v>1002</v>
      </c>
      <c r="C135" t="s">
        <v>1003</v>
      </c>
      <c r="D135" t="s">
        <v>885</v>
      </c>
      <c r="E135" t="s">
        <v>886</v>
      </c>
      <c r="F135" t="s">
        <v>567</v>
      </c>
      <c r="G135" t="s">
        <v>568</v>
      </c>
    </row>
    <row r="136" spans="1:7">
      <c r="A136" t="s">
        <v>1004</v>
      </c>
      <c r="B136" t="s">
        <v>1005</v>
      </c>
      <c r="C136" t="s">
        <v>1006</v>
      </c>
      <c r="D136" t="s">
        <v>863</v>
      </c>
      <c r="E136" t="s">
        <v>864</v>
      </c>
      <c r="F136" t="s">
        <v>567</v>
      </c>
      <c r="G136" t="s">
        <v>568</v>
      </c>
    </row>
    <row r="137" spans="1:7">
      <c r="A137" t="s">
        <v>1007</v>
      </c>
      <c r="B137" t="s">
        <v>1008</v>
      </c>
      <c r="C137" t="s">
        <v>1009</v>
      </c>
      <c r="D137" t="s">
        <v>885</v>
      </c>
      <c r="E137" t="s">
        <v>886</v>
      </c>
      <c r="F137" t="s">
        <v>567</v>
      </c>
      <c r="G137" t="s">
        <v>568</v>
      </c>
    </row>
    <row r="138" spans="1:7">
      <c r="A138" t="s">
        <v>1010</v>
      </c>
      <c r="B138" t="s">
        <v>1011</v>
      </c>
      <c r="C138" t="s">
        <v>1012</v>
      </c>
      <c r="D138" t="s">
        <v>621</v>
      </c>
      <c r="E138" t="s">
        <v>622</v>
      </c>
      <c r="F138" t="s">
        <v>567</v>
      </c>
      <c r="G138" t="s">
        <v>568</v>
      </c>
    </row>
    <row r="139" spans="1:7">
      <c r="A139" t="s">
        <v>1010</v>
      </c>
      <c r="B139" t="s">
        <v>1011</v>
      </c>
      <c r="C139" t="s">
        <v>1013</v>
      </c>
      <c r="D139" t="s">
        <v>649</v>
      </c>
      <c r="E139" t="s">
        <v>650</v>
      </c>
      <c r="F139" t="s">
        <v>567</v>
      </c>
      <c r="G139" t="s">
        <v>568</v>
      </c>
    </row>
    <row r="140" spans="1:7">
      <c r="A140" t="s">
        <v>1014</v>
      </c>
      <c r="B140" t="s">
        <v>1015</v>
      </c>
      <c r="C140" t="s">
        <v>1016</v>
      </c>
      <c r="D140" t="s">
        <v>581</v>
      </c>
      <c r="E140" t="s">
        <v>582</v>
      </c>
      <c r="F140" t="s">
        <v>567</v>
      </c>
      <c r="G140" t="s">
        <v>568</v>
      </c>
    </row>
    <row r="141" spans="1:7">
      <c r="A141" t="s">
        <v>1017</v>
      </c>
      <c r="B141" t="s">
        <v>1018</v>
      </c>
      <c r="C141" t="s">
        <v>1019</v>
      </c>
      <c r="D141" t="s">
        <v>581</v>
      </c>
      <c r="E141" t="s">
        <v>582</v>
      </c>
      <c r="F141" t="s">
        <v>567</v>
      </c>
      <c r="G141" t="s">
        <v>568</v>
      </c>
    </row>
    <row r="142" spans="1:7">
      <c r="A142" t="s">
        <v>1020</v>
      </c>
      <c r="B142" t="s">
        <v>1021</v>
      </c>
      <c r="C142" t="s">
        <v>1022</v>
      </c>
      <c r="D142" t="s">
        <v>863</v>
      </c>
      <c r="E142" t="s">
        <v>864</v>
      </c>
      <c r="F142" t="s">
        <v>567</v>
      </c>
      <c r="G142" t="s">
        <v>568</v>
      </c>
    </row>
    <row r="143" spans="1:7">
      <c r="A143" t="s">
        <v>1023</v>
      </c>
      <c r="B143" t="s">
        <v>1024</v>
      </c>
      <c r="C143" t="s">
        <v>1025</v>
      </c>
      <c r="D143" t="s">
        <v>597</v>
      </c>
      <c r="E143" t="s">
        <v>598</v>
      </c>
      <c r="F143" t="s">
        <v>567</v>
      </c>
      <c r="G143" t="s">
        <v>568</v>
      </c>
    </row>
    <row r="144" spans="1:7">
      <c r="A144" t="s">
        <v>1026</v>
      </c>
      <c r="B144" t="s">
        <v>1027</v>
      </c>
      <c r="C144" t="s">
        <v>1028</v>
      </c>
      <c r="D144" t="s">
        <v>581</v>
      </c>
      <c r="E144" t="s">
        <v>582</v>
      </c>
      <c r="F144" t="s">
        <v>567</v>
      </c>
      <c r="G144" t="s">
        <v>568</v>
      </c>
    </row>
    <row r="145" spans="1:7">
      <c r="A145" t="s">
        <v>1029</v>
      </c>
      <c r="B145" t="s">
        <v>1030</v>
      </c>
      <c r="C145" t="s">
        <v>1031</v>
      </c>
      <c r="D145" t="s">
        <v>565</v>
      </c>
      <c r="E145" t="s">
        <v>566</v>
      </c>
      <c r="F145" t="s">
        <v>567</v>
      </c>
      <c r="G145" t="s">
        <v>568</v>
      </c>
    </row>
    <row r="146" spans="1:7">
      <c r="A146" t="s">
        <v>1032</v>
      </c>
      <c r="B146" t="s">
        <v>1033</v>
      </c>
      <c r="C146" t="s">
        <v>1034</v>
      </c>
      <c r="D146" t="s">
        <v>565</v>
      </c>
      <c r="E146" t="s">
        <v>566</v>
      </c>
      <c r="F146" t="s">
        <v>567</v>
      </c>
      <c r="G146" t="s">
        <v>568</v>
      </c>
    </row>
    <row r="147" spans="1:7">
      <c r="A147" t="s">
        <v>1035</v>
      </c>
      <c r="B147" t="s">
        <v>1036</v>
      </c>
      <c r="C147" t="s">
        <v>1037</v>
      </c>
      <c r="D147" t="s">
        <v>863</v>
      </c>
      <c r="E147" t="s">
        <v>864</v>
      </c>
      <c r="F147" t="s">
        <v>567</v>
      </c>
      <c r="G147" t="s">
        <v>568</v>
      </c>
    </row>
    <row r="148" spans="1:7">
      <c r="A148" t="s">
        <v>1038</v>
      </c>
      <c r="B148" t="s">
        <v>1039</v>
      </c>
      <c r="C148" t="s">
        <v>1040</v>
      </c>
      <c r="D148" t="s">
        <v>679</v>
      </c>
      <c r="E148" t="s">
        <v>680</v>
      </c>
      <c r="F148" t="s">
        <v>567</v>
      </c>
      <c r="G148" t="s">
        <v>568</v>
      </c>
    </row>
    <row r="149" spans="1:7">
      <c r="A149" t="s">
        <v>1041</v>
      </c>
      <c r="B149" t="s">
        <v>1042</v>
      </c>
      <c r="C149" t="s">
        <v>1043</v>
      </c>
      <c r="D149" t="s">
        <v>679</v>
      </c>
      <c r="E149" t="s">
        <v>680</v>
      </c>
      <c r="F149" t="s">
        <v>567</v>
      </c>
      <c r="G149" t="s">
        <v>568</v>
      </c>
    </row>
    <row r="150" spans="1:7">
      <c r="A150" t="s">
        <v>1044</v>
      </c>
      <c r="B150" t="s">
        <v>1045</v>
      </c>
      <c r="C150" t="s">
        <v>1046</v>
      </c>
      <c r="D150" t="s">
        <v>679</v>
      </c>
      <c r="E150" t="s">
        <v>680</v>
      </c>
      <c r="F150" t="s">
        <v>567</v>
      </c>
      <c r="G150" t="s">
        <v>568</v>
      </c>
    </row>
    <row r="151" spans="1:7">
      <c r="A151" t="s">
        <v>1047</v>
      </c>
      <c r="B151" t="s">
        <v>1048</v>
      </c>
      <c r="C151" t="s">
        <v>1049</v>
      </c>
      <c r="D151" t="s">
        <v>565</v>
      </c>
      <c r="E151" t="s">
        <v>566</v>
      </c>
      <c r="F151" t="s">
        <v>567</v>
      </c>
      <c r="G151" t="s">
        <v>568</v>
      </c>
    </row>
    <row r="152" spans="1:7">
      <c r="A152" t="s">
        <v>1050</v>
      </c>
      <c r="B152" t="s">
        <v>1051</v>
      </c>
      <c r="C152" t="s">
        <v>1052</v>
      </c>
      <c r="D152" t="s">
        <v>719</v>
      </c>
      <c r="E152" t="s">
        <v>720</v>
      </c>
      <c r="F152" t="s">
        <v>567</v>
      </c>
      <c r="G152" t="s">
        <v>568</v>
      </c>
    </row>
    <row r="153" spans="1:7">
      <c r="A153" t="s">
        <v>1053</v>
      </c>
      <c r="B153" t="s">
        <v>1054</v>
      </c>
      <c r="C153" t="s">
        <v>1055</v>
      </c>
      <c r="D153" t="s">
        <v>626</v>
      </c>
      <c r="E153" t="s">
        <v>627</v>
      </c>
      <c r="F153" t="s">
        <v>567</v>
      </c>
      <c r="G153" t="s">
        <v>568</v>
      </c>
    </row>
    <row r="154" spans="1:7">
      <c r="A154" t="s">
        <v>1056</v>
      </c>
      <c r="B154" t="s">
        <v>1057</v>
      </c>
      <c r="C154" t="s">
        <v>1058</v>
      </c>
      <c r="D154" t="s">
        <v>592</v>
      </c>
      <c r="E154" t="s">
        <v>593</v>
      </c>
      <c r="F154" t="s">
        <v>567</v>
      </c>
      <c r="G154" t="s">
        <v>568</v>
      </c>
    </row>
    <row r="155" spans="1:7">
      <c r="A155" t="s">
        <v>1059</v>
      </c>
      <c r="B155" t="s">
        <v>1060</v>
      </c>
      <c r="C155" t="s">
        <v>1061</v>
      </c>
      <c r="D155" t="s">
        <v>649</v>
      </c>
      <c r="E155" t="s">
        <v>650</v>
      </c>
      <c r="F155" t="s">
        <v>567</v>
      </c>
      <c r="G155" t="s">
        <v>568</v>
      </c>
    </row>
    <row r="156" spans="1:7">
      <c r="A156" t="s">
        <v>1062</v>
      </c>
      <c r="B156" t="s">
        <v>1063</v>
      </c>
      <c r="C156" t="s">
        <v>1064</v>
      </c>
      <c r="D156" t="s">
        <v>885</v>
      </c>
      <c r="E156" t="s">
        <v>886</v>
      </c>
      <c r="F156" t="s">
        <v>567</v>
      </c>
      <c r="G156" t="s">
        <v>568</v>
      </c>
    </row>
    <row r="157" spans="1:7">
      <c r="A157" t="s">
        <v>1065</v>
      </c>
      <c r="B157" t="s">
        <v>1066</v>
      </c>
      <c r="C157" t="s">
        <v>1067</v>
      </c>
      <c r="D157" t="s">
        <v>581</v>
      </c>
      <c r="E157" t="s">
        <v>582</v>
      </c>
      <c r="F157" t="s">
        <v>567</v>
      </c>
      <c r="G157" t="s">
        <v>568</v>
      </c>
    </row>
    <row r="158" spans="1:7">
      <c r="A158" t="s">
        <v>1068</v>
      </c>
      <c r="B158" t="s">
        <v>1069</v>
      </c>
      <c r="C158" t="s">
        <v>1070</v>
      </c>
      <c r="D158" t="s">
        <v>613</v>
      </c>
      <c r="E158" t="s">
        <v>614</v>
      </c>
      <c r="F158" t="s">
        <v>567</v>
      </c>
      <c r="G158" t="s">
        <v>568</v>
      </c>
    </row>
    <row r="159" spans="1:7">
      <c r="A159" t="s">
        <v>1071</v>
      </c>
      <c r="B159" t="s">
        <v>1072</v>
      </c>
      <c r="C159" t="s">
        <v>1073</v>
      </c>
      <c r="D159" t="s">
        <v>679</v>
      </c>
      <c r="E159" t="s">
        <v>680</v>
      </c>
      <c r="F159" t="s">
        <v>567</v>
      </c>
      <c r="G159" t="s">
        <v>568</v>
      </c>
    </row>
    <row r="160" spans="1:7">
      <c r="A160" t="s">
        <v>1074</v>
      </c>
      <c r="B160" t="s">
        <v>1075</v>
      </c>
      <c r="C160" t="s">
        <v>1076</v>
      </c>
      <c r="D160" t="s">
        <v>702</v>
      </c>
      <c r="E160" t="s">
        <v>703</v>
      </c>
      <c r="F160" t="s">
        <v>567</v>
      </c>
      <c r="G160" t="s">
        <v>568</v>
      </c>
    </row>
    <row r="161" spans="1:7">
      <c r="A161" t="s">
        <v>1077</v>
      </c>
      <c r="B161" t="s">
        <v>1078</v>
      </c>
      <c r="C161" t="s">
        <v>1079</v>
      </c>
      <c r="D161" t="s">
        <v>576</v>
      </c>
      <c r="E161" t="s">
        <v>577</v>
      </c>
      <c r="F161" t="s">
        <v>567</v>
      </c>
      <c r="G161" t="s">
        <v>568</v>
      </c>
    </row>
    <row r="162" spans="1:7">
      <c r="A162" t="s">
        <v>1080</v>
      </c>
      <c r="B162" t="s">
        <v>1081</v>
      </c>
      <c r="C162" t="s">
        <v>1082</v>
      </c>
      <c r="D162" t="s">
        <v>581</v>
      </c>
      <c r="E162" t="s">
        <v>582</v>
      </c>
      <c r="F162" t="s">
        <v>567</v>
      </c>
      <c r="G162" t="s">
        <v>568</v>
      </c>
    </row>
    <row r="163" spans="1:7">
      <c r="A163" t="s">
        <v>1083</v>
      </c>
      <c r="B163" t="s">
        <v>1084</v>
      </c>
      <c r="C163" t="s">
        <v>1085</v>
      </c>
      <c r="D163" t="s">
        <v>885</v>
      </c>
      <c r="E163" t="s">
        <v>886</v>
      </c>
      <c r="F163" t="s">
        <v>567</v>
      </c>
      <c r="G163" t="s">
        <v>568</v>
      </c>
    </row>
    <row r="164" spans="1:7">
      <c r="A164" t="s">
        <v>1086</v>
      </c>
      <c r="B164" t="s">
        <v>1087</v>
      </c>
      <c r="C164" t="s">
        <v>1088</v>
      </c>
      <c r="D164" t="s">
        <v>569</v>
      </c>
      <c r="E164" t="s">
        <v>572</v>
      </c>
      <c r="F164" t="s">
        <v>567</v>
      </c>
      <c r="G164" t="s">
        <v>568</v>
      </c>
    </row>
    <row r="165" spans="1:7">
      <c r="A165" t="s">
        <v>1089</v>
      </c>
      <c r="B165" t="s">
        <v>1090</v>
      </c>
      <c r="C165" t="s">
        <v>1091</v>
      </c>
      <c r="D165" t="s">
        <v>639</v>
      </c>
      <c r="E165" t="s">
        <v>640</v>
      </c>
      <c r="F165" t="s">
        <v>567</v>
      </c>
      <c r="G165" t="s">
        <v>568</v>
      </c>
    </row>
    <row r="166" spans="1:7">
      <c r="A166" t="s">
        <v>1092</v>
      </c>
      <c r="B166" t="s">
        <v>1093</v>
      </c>
      <c r="C166" t="s">
        <v>1094</v>
      </c>
      <c r="D166" t="s">
        <v>576</v>
      </c>
      <c r="E166" t="s">
        <v>577</v>
      </c>
      <c r="F166" t="s">
        <v>567</v>
      </c>
      <c r="G166" t="s">
        <v>568</v>
      </c>
    </row>
    <row r="167" spans="1:7">
      <c r="A167" t="s">
        <v>1095</v>
      </c>
      <c r="B167" t="s">
        <v>1096</v>
      </c>
      <c r="C167" t="s">
        <v>1097</v>
      </c>
      <c r="D167" t="s">
        <v>659</v>
      </c>
      <c r="E167" t="s">
        <v>660</v>
      </c>
      <c r="F167" t="s">
        <v>567</v>
      </c>
      <c r="G167" t="s">
        <v>568</v>
      </c>
    </row>
    <row r="168" spans="1:7">
      <c r="A168" t="s">
        <v>1098</v>
      </c>
      <c r="B168" t="s">
        <v>1099</v>
      </c>
      <c r="C168" t="s">
        <v>1100</v>
      </c>
      <c r="D168" t="s">
        <v>659</v>
      </c>
      <c r="E168" t="s">
        <v>660</v>
      </c>
      <c r="F168" t="s">
        <v>567</v>
      </c>
      <c r="G168" t="s">
        <v>568</v>
      </c>
    </row>
    <row r="169" spans="1:7">
      <c r="A169" t="s">
        <v>1101</v>
      </c>
      <c r="B169" t="s">
        <v>1102</v>
      </c>
      <c r="C169" t="s">
        <v>1103</v>
      </c>
      <c r="D169" t="s">
        <v>597</v>
      </c>
      <c r="E169" t="s">
        <v>598</v>
      </c>
      <c r="F169" t="s">
        <v>567</v>
      </c>
      <c r="G169" t="s">
        <v>568</v>
      </c>
    </row>
    <row r="170" spans="1:7">
      <c r="A170" t="s">
        <v>1104</v>
      </c>
      <c r="B170" t="s">
        <v>1105</v>
      </c>
      <c r="C170" t="s">
        <v>1106</v>
      </c>
      <c r="D170" t="s">
        <v>621</v>
      </c>
      <c r="E170" t="s">
        <v>622</v>
      </c>
      <c r="F170" t="s">
        <v>567</v>
      </c>
      <c r="G170" t="s">
        <v>568</v>
      </c>
    </row>
    <row r="171" spans="1:7">
      <c r="A171" t="s">
        <v>1107</v>
      </c>
      <c r="B171" t="s">
        <v>1108</v>
      </c>
      <c r="C171" t="s">
        <v>1109</v>
      </c>
      <c r="D171" t="s">
        <v>626</v>
      </c>
      <c r="E171" t="s">
        <v>627</v>
      </c>
      <c r="F171" t="s">
        <v>567</v>
      </c>
      <c r="G171" t="s">
        <v>568</v>
      </c>
    </row>
    <row r="172" spans="1:7">
      <c r="A172" t="s">
        <v>1110</v>
      </c>
      <c r="B172" t="s">
        <v>1111</v>
      </c>
      <c r="C172" t="s">
        <v>1112</v>
      </c>
      <c r="D172" t="s">
        <v>730</v>
      </c>
      <c r="E172" t="s">
        <v>731</v>
      </c>
      <c r="F172" t="s">
        <v>567</v>
      </c>
      <c r="G172" t="s">
        <v>568</v>
      </c>
    </row>
    <row r="173" spans="1:7">
      <c r="A173" t="s">
        <v>1113</v>
      </c>
      <c r="B173" t="s">
        <v>1114</v>
      </c>
      <c r="C173" t="s">
        <v>1115</v>
      </c>
      <c r="D173" t="s">
        <v>626</v>
      </c>
      <c r="E173" t="s">
        <v>627</v>
      </c>
      <c r="F173" t="s">
        <v>567</v>
      </c>
      <c r="G173" t="s">
        <v>568</v>
      </c>
    </row>
    <row r="174" spans="1:7">
      <c r="A174" t="s">
        <v>1116</v>
      </c>
      <c r="B174" t="s">
        <v>1117</v>
      </c>
      <c r="C174" t="s">
        <v>1118</v>
      </c>
      <c r="D174" t="s">
        <v>730</v>
      </c>
      <c r="E174" t="s">
        <v>731</v>
      </c>
      <c r="F174" t="s">
        <v>567</v>
      </c>
      <c r="G174" t="s">
        <v>568</v>
      </c>
    </row>
    <row r="175" spans="1:7">
      <c r="A175" t="s">
        <v>1119</v>
      </c>
      <c r="B175" t="s">
        <v>1120</v>
      </c>
      <c r="C175" t="s">
        <v>1121</v>
      </c>
      <c r="D175" t="s">
        <v>626</v>
      </c>
      <c r="E175" t="s">
        <v>627</v>
      </c>
      <c r="F175" t="s">
        <v>567</v>
      </c>
      <c r="G175" t="s">
        <v>568</v>
      </c>
    </row>
    <row r="176" spans="1:7">
      <c r="A176" t="s">
        <v>1122</v>
      </c>
      <c r="B176" t="s">
        <v>1123</v>
      </c>
      <c r="C176" t="s">
        <v>1124</v>
      </c>
      <c r="D176" t="s">
        <v>597</v>
      </c>
      <c r="E176" t="s">
        <v>598</v>
      </c>
      <c r="F176" t="s">
        <v>567</v>
      </c>
      <c r="G176" t="s">
        <v>568</v>
      </c>
    </row>
    <row r="177" spans="1:7">
      <c r="A177" t="s">
        <v>1125</v>
      </c>
      <c r="B177" t="s">
        <v>1126</v>
      </c>
      <c r="C177" t="s">
        <v>1127</v>
      </c>
      <c r="D177" t="s">
        <v>608</v>
      </c>
      <c r="E177" t="s">
        <v>609</v>
      </c>
      <c r="F177" t="s">
        <v>567</v>
      </c>
      <c r="G177" t="s">
        <v>568</v>
      </c>
    </row>
    <row r="178" spans="1:7">
      <c r="A178" t="s">
        <v>1128</v>
      </c>
      <c r="B178" t="s">
        <v>1129</v>
      </c>
      <c r="C178" t="s">
        <v>1130</v>
      </c>
      <c r="D178" t="s">
        <v>863</v>
      </c>
      <c r="E178" t="s">
        <v>864</v>
      </c>
      <c r="F178" t="s">
        <v>567</v>
      </c>
      <c r="G178" t="s">
        <v>568</v>
      </c>
    </row>
    <row r="179" spans="1:7">
      <c r="A179" t="s">
        <v>613</v>
      </c>
      <c r="B179" t="s">
        <v>1131</v>
      </c>
      <c r="C179" t="s">
        <v>1132</v>
      </c>
      <c r="D179" t="s">
        <v>613</v>
      </c>
      <c r="E179" t="s">
        <v>614</v>
      </c>
      <c r="F179" t="s">
        <v>567</v>
      </c>
      <c r="G179" t="s">
        <v>568</v>
      </c>
    </row>
    <row r="180" spans="1:7">
      <c r="A180" t="s">
        <v>1133</v>
      </c>
      <c r="B180" t="s">
        <v>1134</v>
      </c>
      <c r="C180" t="s">
        <v>1135</v>
      </c>
      <c r="D180" t="s">
        <v>613</v>
      </c>
      <c r="E180" t="s">
        <v>614</v>
      </c>
      <c r="F180" t="s">
        <v>567</v>
      </c>
      <c r="G180" t="s">
        <v>568</v>
      </c>
    </row>
    <row r="181" spans="1:7">
      <c r="A181" t="s">
        <v>1136</v>
      </c>
      <c r="B181" t="s">
        <v>1137</v>
      </c>
      <c r="C181" t="s">
        <v>1138</v>
      </c>
      <c r="D181" t="s">
        <v>565</v>
      </c>
      <c r="E181" t="s">
        <v>566</v>
      </c>
      <c r="F181" t="s">
        <v>567</v>
      </c>
      <c r="G181" t="s">
        <v>568</v>
      </c>
    </row>
    <row r="182" spans="1:7">
      <c r="A182" t="s">
        <v>1139</v>
      </c>
      <c r="B182" t="s">
        <v>1140</v>
      </c>
      <c r="C182" t="s">
        <v>1141</v>
      </c>
      <c r="D182" t="s">
        <v>613</v>
      </c>
      <c r="E182" t="s">
        <v>614</v>
      </c>
      <c r="F182" t="s">
        <v>567</v>
      </c>
      <c r="G182" t="s">
        <v>568</v>
      </c>
    </row>
    <row r="183" spans="1:7">
      <c r="A183" t="s">
        <v>1142</v>
      </c>
      <c r="B183" t="s">
        <v>1143</v>
      </c>
      <c r="C183" t="s">
        <v>1144</v>
      </c>
      <c r="D183" t="s">
        <v>659</v>
      </c>
      <c r="E183" t="s">
        <v>660</v>
      </c>
      <c r="F183" t="s">
        <v>567</v>
      </c>
      <c r="G183" t="s">
        <v>568</v>
      </c>
    </row>
    <row r="184" spans="1:7">
      <c r="A184" t="s">
        <v>1145</v>
      </c>
      <c r="B184" t="s">
        <v>1146</v>
      </c>
      <c r="C184" t="s">
        <v>1147</v>
      </c>
      <c r="D184" t="s">
        <v>613</v>
      </c>
      <c r="E184" t="s">
        <v>614</v>
      </c>
      <c r="F184" t="s">
        <v>567</v>
      </c>
      <c r="G184" t="s">
        <v>568</v>
      </c>
    </row>
    <row r="185" spans="1:7">
      <c r="A185" t="s">
        <v>1148</v>
      </c>
      <c r="B185" t="s">
        <v>1149</v>
      </c>
      <c r="C185" t="s">
        <v>1150</v>
      </c>
      <c r="D185" t="s">
        <v>592</v>
      </c>
      <c r="E185" t="s">
        <v>593</v>
      </c>
      <c r="F185" t="s">
        <v>567</v>
      </c>
      <c r="G185" t="s">
        <v>568</v>
      </c>
    </row>
    <row r="186" spans="1:7">
      <c r="A186" t="s">
        <v>1151</v>
      </c>
      <c r="B186" t="s">
        <v>1152</v>
      </c>
      <c r="C186" t="s">
        <v>1153</v>
      </c>
      <c r="D186" t="s">
        <v>613</v>
      </c>
      <c r="E186" t="s">
        <v>614</v>
      </c>
      <c r="F186" t="s">
        <v>567</v>
      </c>
      <c r="G186" t="s">
        <v>568</v>
      </c>
    </row>
    <row r="187" spans="1:7">
      <c r="A187" t="s">
        <v>1154</v>
      </c>
      <c r="B187" t="s">
        <v>1155</v>
      </c>
      <c r="C187" t="s">
        <v>1156</v>
      </c>
      <c r="D187" t="s">
        <v>644</v>
      </c>
      <c r="E187" t="s">
        <v>645</v>
      </c>
      <c r="F187" t="s">
        <v>567</v>
      </c>
      <c r="G187" t="s">
        <v>568</v>
      </c>
    </row>
    <row r="188" spans="1:7">
      <c r="A188" t="s">
        <v>1157</v>
      </c>
      <c r="B188" t="s">
        <v>1158</v>
      </c>
      <c r="C188" t="s">
        <v>1159</v>
      </c>
      <c r="D188" t="s">
        <v>679</v>
      </c>
      <c r="E188" t="s">
        <v>680</v>
      </c>
      <c r="F188" t="s">
        <v>567</v>
      </c>
      <c r="G188" t="s">
        <v>568</v>
      </c>
    </row>
    <row r="189" spans="1:7">
      <c r="A189" t="s">
        <v>1160</v>
      </c>
      <c r="B189" t="s">
        <v>1161</v>
      </c>
      <c r="C189" t="s">
        <v>1162</v>
      </c>
      <c r="D189" t="s">
        <v>608</v>
      </c>
      <c r="E189" t="s">
        <v>609</v>
      </c>
      <c r="F189" t="s">
        <v>567</v>
      </c>
      <c r="G189" t="s">
        <v>568</v>
      </c>
    </row>
    <row r="190" spans="1:7">
      <c r="A190" t="s">
        <v>1163</v>
      </c>
      <c r="B190" t="s">
        <v>1164</v>
      </c>
      <c r="C190" t="s">
        <v>1165</v>
      </c>
      <c r="D190" t="s">
        <v>576</v>
      </c>
      <c r="E190" t="s">
        <v>577</v>
      </c>
      <c r="F190" t="s">
        <v>567</v>
      </c>
      <c r="G190" t="s">
        <v>568</v>
      </c>
    </row>
    <row r="191" spans="1:7">
      <c r="A191" t="s">
        <v>1166</v>
      </c>
      <c r="B191" t="s">
        <v>1167</v>
      </c>
      <c r="C191" t="s">
        <v>1168</v>
      </c>
      <c r="D191" t="s">
        <v>581</v>
      </c>
      <c r="E191" t="s">
        <v>582</v>
      </c>
      <c r="F191" t="s">
        <v>567</v>
      </c>
      <c r="G191" t="s">
        <v>568</v>
      </c>
    </row>
    <row r="192" spans="1:7">
      <c r="A192" t="s">
        <v>1169</v>
      </c>
      <c r="B192" t="s">
        <v>1170</v>
      </c>
      <c r="C192" t="s">
        <v>1171</v>
      </c>
      <c r="D192" t="s">
        <v>597</v>
      </c>
      <c r="E192" t="s">
        <v>598</v>
      </c>
      <c r="F192" t="s">
        <v>567</v>
      </c>
      <c r="G192" t="s">
        <v>568</v>
      </c>
    </row>
    <row r="193" spans="1:7">
      <c r="A193" t="s">
        <v>1172</v>
      </c>
      <c r="B193" t="s">
        <v>1173</v>
      </c>
      <c r="C193" t="s">
        <v>1174</v>
      </c>
      <c r="D193" t="s">
        <v>654</v>
      </c>
      <c r="E193" t="s">
        <v>655</v>
      </c>
      <c r="F193" t="s">
        <v>567</v>
      </c>
      <c r="G193" t="s">
        <v>568</v>
      </c>
    </row>
    <row r="194" spans="1:7">
      <c r="A194" t="s">
        <v>1175</v>
      </c>
      <c r="B194" t="s">
        <v>1176</v>
      </c>
      <c r="C194" t="s">
        <v>1177</v>
      </c>
      <c r="D194" t="s">
        <v>654</v>
      </c>
      <c r="E194" t="s">
        <v>655</v>
      </c>
      <c r="F194" t="s">
        <v>567</v>
      </c>
      <c r="G194" t="s">
        <v>568</v>
      </c>
    </row>
    <row r="195" spans="1:7">
      <c r="A195" t="s">
        <v>1178</v>
      </c>
      <c r="B195" t="s">
        <v>1179</v>
      </c>
      <c r="C195" t="s">
        <v>1180</v>
      </c>
      <c r="D195" t="s">
        <v>576</v>
      </c>
      <c r="E195" t="s">
        <v>577</v>
      </c>
      <c r="F195" t="s">
        <v>567</v>
      </c>
      <c r="G195" t="s">
        <v>568</v>
      </c>
    </row>
    <row r="196" spans="1:7">
      <c r="A196" t="s">
        <v>1181</v>
      </c>
      <c r="B196" t="s">
        <v>1182</v>
      </c>
      <c r="C196" t="s">
        <v>1183</v>
      </c>
      <c r="D196" t="s">
        <v>659</v>
      </c>
      <c r="E196" t="s">
        <v>660</v>
      </c>
      <c r="F196" t="s">
        <v>567</v>
      </c>
      <c r="G196" t="s">
        <v>568</v>
      </c>
    </row>
    <row r="197" spans="1:7">
      <c r="A197" t="s">
        <v>1184</v>
      </c>
      <c r="B197" t="s">
        <v>1185</v>
      </c>
      <c r="C197" t="s">
        <v>1186</v>
      </c>
      <c r="D197" t="s">
        <v>659</v>
      </c>
      <c r="E197" t="s">
        <v>660</v>
      </c>
      <c r="F197" t="s">
        <v>567</v>
      </c>
      <c r="G197" t="s">
        <v>568</v>
      </c>
    </row>
    <row r="198" spans="1:7">
      <c r="A198" t="s">
        <v>1187</v>
      </c>
      <c r="B198" t="s">
        <v>1188</v>
      </c>
      <c r="C198" t="s">
        <v>1189</v>
      </c>
      <c r="D198" t="s">
        <v>565</v>
      </c>
      <c r="E198" t="s">
        <v>566</v>
      </c>
      <c r="F198" t="s">
        <v>567</v>
      </c>
      <c r="G198" t="s">
        <v>568</v>
      </c>
    </row>
    <row r="199" spans="1:7">
      <c r="A199" t="s">
        <v>1190</v>
      </c>
      <c r="B199" t="s">
        <v>1191</v>
      </c>
      <c r="C199" t="s">
        <v>1192</v>
      </c>
      <c r="D199" t="s">
        <v>621</v>
      </c>
      <c r="E199" t="s">
        <v>622</v>
      </c>
      <c r="F199" t="s">
        <v>567</v>
      </c>
      <c r="G199" t="s">
        <v>568</v>
      </c>
    </row>
    <row r="200" spans="1:7">
      <c r="A200" t="s">
        <v>1193</v>
      </c>
      <c r="B200" t="s">
        <v>1194</v>
      </c>
      <c r="C200" t="s">
        <v>1195</v>
      </c>
      <c r="D200" t="s">
        <v>565</v>
      </c>
      <c r="E200" t="s">
        <v>566</v>
      </c>
      <c r="F200" t="s">
        <v>567</v>
      </c>
      <c r="G200" t="s">
        <v>568</v>
      </c>
    </row>
    <row r="201" spans="1:7">
      <c r="A201" t="s">
        <v>1196</v>
      </c>
      <c r="B201" t="s">
        <v>1197</v>
      </c>
      <c r="C201" t="s">
        <v>1198</v>
      </c>
      <c r="D201" t="s">
        <v>576</v>
      </c>
      <c r="E201" t="s">
        <v>577</v>
      </c>
      <c r="F201" t="s">
        <v>567</v>
      </c>
      <c r="G201" t="s">
        <v>568</v>
      </c>
    </row>
    <row r="202" spans="1:7">
      <c r="A202" t="s">
        <v>1199</v>
      </c>
      <c r="B202" t="s">
        <v>1200</v>
      </c>
      <c r="C202" t="s">
        <v>1201</v>
      </c>
      <c r="D202" t="s">
        <v>654</v>
      </c>
      <c r="E202" t="s">
        <v>655</v>
      </c>
      <c r="F202" t="s">
        <v>567</v>
      </c>
      <c r="G202" t="s">
        <v>568</v>
      </c>
    </row>
    <row r="203" spans="1:7">
      <c r="A203" t="s">
        <v>1202</v>
      </c>
      <c r="B203" t="s">
        <v>1203</v>
      </c>
      <c r="C203" t="s">
        <v>1204</v>
      </c>
      <c r="D203" t="s">
        <v>654</v>
      </c>
      <c r="E203" t="s">
        <v>655</v>
      </c>
      <c r="F203" t="s">
        <v>567</v>
      </c>
      <c r="G203" t="s">
        <v>568</v>
      </c>
    </row>
    <row r="204" spans="1:7">
      <c r="A204" t="s">
        <v>1205</v>
      </c>
      <c r="B204" t="s">
        <v>1206</v>
      </c>
      <c r="C204" t="s">
        <v>1207</v>
      </c>
      <c r="D204" t="s">
        <v>626</v>
      </c>
      <c r="E204" t="s">
        <v>627</v>
      </c>
      <c r="F204" t="s">
        <v>567</v>
      </c>
      <c r="G204" t="s">
        <v>568</v>
      </c>
    </row>
    <row r="205" spans="1:7">
      <c r="A205" t="s">
        <v>1208</v>
      </c>
      <c r="B205" t="s">
        <v>1209</v>
      </c>
      <c r="C205" t="s">
        <v>1210</v>
      </c>
      <c r="D205" t="s">
        <v>576</v>
      </c>
      <c r="E205" t="s">
        <v>577</v>
      </c>
      <c r="F205" t="s">
        <v>567</v>
      </c>
      <c r="G205" t="s">
        <v>568</v>
      </c>
    </row>
    <row r="206" spans="1:7">
      <c r="A206" t="s">
        <v>1211</v>
      </c>
      <c r="B206" t="s">
        <v>1212</v>
      </c>
      <c r="C206" t="s">
        <v>1213</v>
      </c>
      <c r="D206" t="s">
        <v>576</v>
      </c>
      <c r="E206" t="s">
        <v>577</v>
      </c>
      <c r="F206" t="s">
        <v>567</v>
      </c>
      <c r="G206" t="s">
        <v>568</v>
      </c>
    </row>
    <row r="207" spans="1:7">
      <c r="A207" t="s">
        <v>1214</v>
      </c>
      <c r="B207" t="s">
        <v>1215</v>
      </c>
      <c r="C207" t="s">
        <v>1216</v>
      </c>
      <c r="D207" t="s">
        <v>626</v>
      </c>
      <c r="E207" t="s">
        <v>627</v>
      </c>
      <c r="F207" t="s">
        <v>567</v>
      </c>
      <c r="G207" t="s">
        <v>568</v>
      </c>
    </row>
    <row r="208" spans="1:7">
      <c r="A208" t="s">
        <v>1217</v>
      </c>
      <c r="B208" t="s">
        <v>1218</v>
      </c>
      <c r="C208" t="s">
        <v>1219</v>
      </c>
      <c r="D208" t="s">
        <v>613</v>
      </c>
      <c r="E208" t="s">
        <v>614</v>
      </c>
      <c r="F208" t="s">
        <v>567</v>
      </c>
      <c r="G208" t="s">
        <v>568</v>
      </c>
    </row>
    <row r="209" spans="1:7">
      <c r="A209" t="s">
        <v>1220</v>
      </c>
      <c r="B209" t="s">
        <v>1221</v>
      </c>
      <c r="C209" t="s">
        <v>1222</v>
      </c>
      <c r="D209" t="s">
        <v>608</v>
      </c>
      <c r="E209" t="s">
        <v>609</v>
      </c>
      <c r="F209" t="s">
        <v>567</v>
      </c>
      <c r="G209" t="s">
        <v>568</v>
      </c>
    </row>
    <row r="210" spans="1:7">
      <c r="A210" t="s">
        <v>1223</v>
      </c>
      <c r="B210" t="s">
        <v>1224</v>
      </c>
      <c r="C210" t="s">
        <v>1225</v>
      </c>
      <c r="D210" t="s">
        <v>863</v>
      </c>
      <c r="E210" t="s">
        <v>864</v>
      </c>
      <c r="F210" t="s">
        <v>567</v>
      </c>
      <c r="G210" t="s">
        <v>568</v>
      </c>
    </row>
    <row r="211" spans="1:7">
      <c r="A211" t="s">
        <v>1226</v>
      </c>
      <c r="B211" t="s">
        <v>1227</v>
      </c>
      <c r="C211" t="s">
        <v>1228</v>
      </c>
      <c r="D211" t="s">
        <v>719</v>
      </c>
      <c r="E211" t="s">
        <v>720</v>
      </c>
      <c r="F211" t="s">
        <v>567</v>
      </c>
      <c r="G211" t="s">
        <v>568</v>
      </c>
    </row>
    <row r="212" spans="1:7">
      <c r="A212" t="s">
        <v>1229</v>
      </c>
      <c r="B212" t="s">
        <v>1230</v>
      </c>
      <c r="C212" t="s">
        <v>1231</v>
      </c>
      <c r="D212" t="s">
        <v>576</v>
      </c>
      <c r="E212" t="s">
        <v>577</v>
      </c>
      <c r="F212" t="s">
        <v>567</v>
      </c>
      <c r="G212" t="s">
        <v>568</v>
      </c>
    </row>
    <row r="213" spans="1:7">
      <c r="A213" t="s">
        <v>1232</v>
      </c>
      <c r="B213" t="s">
        <v>1233</v>
      </c>
      <c r="C213" t="s">
        <v>1234</v>
      </c>
      <c r="D213" t="s">
        <v>565</v>
      </c>
      <c r="E213" t="s">
        <v>566</v>
      </c>
      <c r="F213" t="s">
        <v>567</v>
      </c>
      <c r="G213" t="s">
        <v>568</v>
      </c>
    </row>
    <row r="214" spans="1:7">
      <c r="A214" t="s">
        <v>1235</v>
      </c>
      <c r="B214" t="s">
        <v>1236</v>
      </c>
      <c r="C214" t="s">
        <v>1237</v>
      </c>
      <c r="D214" t="s">
        <v>730</v>
      </c>
      <c r="E214" t="s">
        <v>731</v>
      </c>
      <c r="F214" t="s">
        <v>567</v>
      </c>
      <c r="G214" t="s">
        <v>568</v>
      </c>
    </row>
    <row r="215" spans="1:7">
      <c r="A215" t="s">
        <v>1238</v>
      </c>
      <c r="B215" t="s">
        <v>1239</v>
      </c>
      <c r="C215" t="s">
        <v>1240</v>
      </c>
      <c r="D215" t="s">
        <v>730</v>
      </c>
      <c r="E215" t="s">
        <v>731</v>
      </c>
      <c r="F215" t="s">
        <v>567</v>
      </c>
      <c r="G215" t="s">
        <v>568</v>
      </c>
    </row>
    <row r="216" spans="1:7">
      <c r="A216" t="s">
        <v>1241</v>
      </c>
      <c r="B216" t="s">
        <v>1242</v>
      </c>
      <c r="C216" t="s">
        <v>1243</v>
      </c>
      <c r="D216" t="s">
        <v>644</v>
      </c>
      <c r="E216" t="s">
        <v>645</v>
      </c>
      <c r="F216" t="s">
        <v>567</v>
      </c>
      <c r="G216" t="s">
        <v>568</v>
      </c>
    </row>
    <row r="217" spans="1:7">
      <c r="A217" t="s">
        <v>1244</v>
      </c>
      <c r="B217" t="s">
        <v>1245</v>
      </c>
      <c r="C217" t="s">
        <v>1246</v>
      </c>
      <c r="D217" t="s">
        <v>626</v>
      </c>
      <c r="E217" t="s">
        <v>627</v>
      </c>
      <c r="F217" t="s">
        <v>567</v>
      </c>
      <c r="G217" t="s">
        <v>568</v>
      </c>
    </row>
    <row r="218" spans="1:7">
      <c r="A218" t="s">
        <v>1247</v>
      </c>
      <c r="B218" t="s">
        <v>1248</v>
      </c>
      <c r="C218" t="s">
        <v>1249</v>
      </c>
      <c r="D218" t="s">
        <v>592</v>
      </c>
      <c r="E218" t="s">
        <v>593</v>
      </c>
      <c r="F218" t="s">
        <v>567</v>
      </c>
      <c r="G218" t="s">
        <v>568</v>
      </c>
    </row>
    <row r="219" spans="1:7">
      <c r="A219" t="s">
        <v>1250</v>
      </c>
      <c r="B219" t="s">
        <v>1251</v>
      </c>
      <c r="C219" t="s">
        <v>1252</v>
      </c>
      <c r="D219" t="s">
        <v>576</v>
      </c>
      <c r="E219" t="s">
        <v>577</v>
      </c>
      <c r="F219" t="s">
        <v>567</v>
      </c>
      <c r="G219" t="s">
        <v>568</v>
      </c>
    </row>
    <row r="220" spans="1:7">
      <c r="A220" t="s">
        <v>1253</v>
      </c>
      <c r="B220" t="s">
        <v>1254</v>
      </c>
      <c r="C220" t="s">
        <v>1255</v>
      </c>
      <c r="D220" t="s">
        <v>644</v>
      </c>
      <c r="E220" t="s">
        <v>645</v>
      </c>
      <c r="F220" t="s">
        <v>567</v>
      </c>
      <c r="G220" t="s">
        <v>568</v>
      </c>
    </row>
    <row r="221" spans="1:7">
      <c r="A221" t="s">
        <v>1256</v>
      </c>
      <c r="B221" t="s">
        <v>1257</v>
      </c>
      <c r="C221" t="s">
        <v>1258</v>
      </c>
      <c r="D221" t="s">
        <v>608</v>
      </c>
      <c r="E221" t="s">
        <v>609</v>
      </c>
      <c r="F221" t="s">
        <v>567</v>
      </c>
      <c r="G221" t="s">
        <v>568</v>
      </c>
    </row>
    <row r="222" spans="1:7">
      <c r="A222" t="s">
        <v>1259</v>
      </c>
      <c r="B222" t="s">
        <v>1260</v>
      </c>
      <c r="C222" t="s">
        <v>1261</v>
      </c>
      <c r="D222" t="s">
        <v>592</v>
      </c>
      <c r="E222" t="s">
        <v>593</v>
      </c>
      <c r="F222" t="s">
        <v>567</v>
      </c>
      <c r="G222" t="s">
        <v>568</v>
      </c>
    </row>
    <row r="223" spans="1:7">
      <c r="A223" t="s">
        <v>1262</v>
      </c>
      <c r="B223" t="s">
        <v>1263</v>
      </c>
      <c r="C223" t="s">
        <v>1264</v>
      </c>
      <c r="D223" t="s">
        <v>679</v>
      </c>
      <c r="E223" t="s">
        <v>680</v>
      </c>
      <c r="F223" t="s">
        <v>567</v>
      </c>
      <c r="G223" t="s">
        <v>568</v>
      </c>
    </row>
    <row r="224" spans="1:7">
      <c r="A224" t="s">
        <v>1265</v>
      </c>
      <c r="B224" t="s">
        <v>1266</v>
      </c>
      <c r="C224" t="s">
        <v>1267</v>
      </c>
      <c r="D224" t="s">
        <v>863</v>
      </c>
      <c r="E224" t="s">
        <v>864</v>
      </c>
      <c r="F224" t="s">
        <v>567</v>
      </c>
      <c r="G224" t="s">
        <v>568</v>
      </c>
    </row>
    <row r="225" spans="1:7">
      <c r="A225" t="s">
        <v>1268</v>
      </c>
      <c r="B225" t="s">
        <v>1269</v>
      </c>
      <c r="C225" t="s">
        <v>1270</v>
      </c>
      <c r="D225" t="s">
        <v>863</v>
      </c>
      <c r="E225" t="s">
        <v>864</v>
      </c>
      <c r="F225" t="s">
        <v>567</v>
      </c>
      <c r="G225" t="s">
        <v>568</v>
      </c>
    </row>
    <row r="226" spans="1:7">
      <c r="A226" t="s">
        <v>1271</v>
      </c>
      <c r="B226" t="s">
        <v>1272</v>
      </c>
      <c r="C226" t="s">
        <v>1273</v>
      </c>
      <c r="D226" t="s">
        <v>730</v>
      </c>
      <c r="E226" t="s">
        <v>731</v>
      </c>
      <c r="F226" t="s">
        <v>567</v>
      </c>
      <c r="G226" t="s">
        <v>568</v>
      </c>
    </row>
    <row r="227" spans="1:7">
      <c r="A227" t="s">
        <v>1274</v>
      </c>
      <c r="B227" t="s">
        <v>1275</v>
      </c>
      <c r="C227" t="s">
        <v>1276</v>
      </c>
      <c r="D227" t="s">
        <v>730</v>
      </c>
      <c r="E227" t="s">
        <v>731</v>
      </c>
      <c r="F227" t="s">
        <v>567</v>
      </c>
      <c r="G227" t="s">
        <v>568</v>
      </c>
    </row>
    <row r="228" spans="1:7">
      <c r="A228" t="s">
        <v>1277</v>
      </c>
      <c r="B228" t="s">
        <v>1278</v>
      </c>
      <c r="C228" t="s">
        <v>1279</v>
      </c>
      <c r="D228" t="s">
        <v>592</v>
      </c>
      <c r="E228" t="s">
        <v>593</v>
      </c>
      <c r="F228" t="s">
        <v>567</v>
      </c>
      <c r="G228" t="s">
        <v>568</v>
      </c>
    </row>
    <row r="229" spans="1:7">
      <c r="A229" t="s">
        <v>1280</v>
      </c>
      <c r="B229" t="s">
        <v>1281</v>
      </c>
      <c r="C229" t="s">
        <v>1282</v>
      </c>
      <c r="D229" t="s">
        <v>576</v>
      </c>
      <c r="E229" t="s">
        <v>577</v>
      </c>
      <c r="F229" t="s">
        <v>567</v>
      </c>
      <c r="G229" t="s">
        <v>568</v>
      </c>
    </row>
    <row r="230" spans="1:7">
      <c r="A230" t="s">
        <v>1283</v>
      </c>
      <c r="B230" t="s">
        <v>1284</v>
      </c>
      <c r="C230" t="s">
        <v>1285</v>
      </c>
      <c r="D230" t="s">
        <v>730</v>
      </c>
      <c r="E230" t="s">
        <v>731</v>
      </c>
      <c r="F230" t="s">
        <v>567</v>
      </c>
      <c r="G230" t="s">
        <v>568</v>
      </c>
    </row>
    <row r="231" spans="1:7">
      <c r="A231" t="s">
        <v>1286</v>
      </c>
      <c r="B231" t="s">
        <v>1287</v>
      </c>
      <c r="C231" t="s">
        <v>1288</v>
      </c>
      <c r="D231" t="s">
        <v>621</v>
      </c>
      <c r="E231" t="s">
        <v>622</v>
      </c>
      <c r="F231" t="s">
        <v>567</v>
      </c>
      <c r="G231" t="s">
        <v>568</v>
      </c>
    </row>
    <row r="232" spans="1:7">
      <c r="A232" t="s">
        <v>1289</v>
      </c>
      <c r="B232" t="s">
        <v>1290</v>
      </c>
      <c r="C232" t="s">
        <v>1291</v>
      </c>
      <c r="D232" t="s">
        <v>679</v>
      </c>
      <c r="E232" t="s">
        <v>680</v>
      </c>
      <c r="F232" t="s">
        <v>567</v>
      </c>
      <c r="G232" t="s">
        <v>568</v>
      </c>
    </row>
    <row r="233" spans="1:7">
      <c r="A233" t="s">
        <v>592</v>
      </c>
      <c r="B233" t="s">
        <v>1292</v>
      </c>
      <c r="C233" t="s">
        <v>1293</v>
      </c>
      <c r="D233" t="s">
        <v>592</v>
      </c>
      <c r="E233" t="s">
        <v>593</v>
      </c>
      <c r="F233" t="s">
        <v>567</v>
      </c>
      <c r="G233" t="s">
        <v>568</v>
      </c>
    </row>
    <row r="234" spans="1:7">
      <c r="A234" t="s">
        <v>1294</v>
      </c>
      <c r="B234" t="s">
        <v>1295</v>
      </c>
      <c r="C234" t="s">
        <v>1296</v>
      </c>
      <c r="D234" t="s">
        <v>576</v>
      </c>
      <c r="E234" t="s">
        <v>577</v>
      </c>
      <c r="F234" t="s">
        <v>567</v>
      </c>
      <c r="G234" t="s">
        <v>568</v>
      </c>
    </row>
    <row r="235" spans="1:7">
      <c r="A235" t="s">
        <v>1297</v>
      </c>
      <c r="B235" t="s">
        <v>1298</v>
      </c>
      <c r="C235" t="s">
        <v>1299</v>
      </c>
      <c r="D235" t="s">
        <v>592</v>
      </c>
      <c r="E235" t="s">
        <v>593</v>
      </c>
      <c r="F235" t="s">
        <v>567</v>
      </c>
      <c r="G235" t="s">
        <v>568</v>
      </c>
    </row>
    <row r="236" spans="1:7">
      <c r="A236" t="s">
        <v>1300</v>
      </c>
      <c r="B236" t="s">
        <v>1301</v>
      </c>
      <c r="C236" t="s">
        <v>1302</v>
      </c>
      <c r="D236" t="s">
        <v>626</v>
      </c>
      <c r="E236" t="s">
        <v>627</v>
      </c>
      <c r="F236" t="s">
        <v>567</v>
      </c>
      <c r="G236" t="s">
        <v>568</v>
      </c>
    </row>
    <row r="237" spans="1:7">
      <c r="A237" t="s">
        <v>1303</v>
      </c>
      <c r="B237" t="s">
        <v>1304</v>
      </c>
      <c r="C237" t="s">
        <v>1305</v>
      </c>
      <c r="D237" t="s">
        <v>608</v>
      </c>
      <c r="E237" t="s">
        <v>609</v>
      </c>
      <c r="F237" t="s">
        <v>567</v>
      </c>
      <c r="G237" t="s">
        <v>568</v>
      </c>
    </row>
    <row r="238" spans="1:7">
      <c r="A238" t="s">
        <v>1306</v>
      </c>
      <c r="B238" t="s">
        <v>1307</v>
      </c>
      <c r="C238" t="s">
        <v>1308</v>
      </c>
      <c r="D238" t="s">
        <v>576</v>
      </c>
      <c r="E238" t="s">
        <v>577</v>
      </c>
      <c r="F238" t="s">
        <v>567</v>
      </c>
      <c r="G238" t="s">
        <v>568</v>
      </c>
    </row>
    <row r="239" spans="1:7">
      <c r="A239" t="s">
        <v>1309</v>
      </c>
      <c r="B239" t="s">
        <v>1310</v>
      </c>
      <c r="C239" t="s">
        <v>1311</v>
      </c>
      <c r="D239" t="s">
        <v>649</v>
      </c>
      <c r="E239" t="s">
        <v>650</v>
      </c>
      <c r="F239" t="s">
        <v>567</v>
      </c>
      <c r="G239" t="s">
        <v>568</v>
      </c>
    </row>
    <row r="240" spans="1:7">
      <c r="A240" t="s">
        <v>1312</v>
      </c>
      <c r="B240" t="s">
        <v>1313</v>
      </c>
      <c r="C240" t="s">
        <v>1314</v>
      </c>
      <c r="D240" t="s">
        <v>613</v>
      </c>
      <c r="E240" t="s">
        <v>614</v>
      </c>
      <c r="F240" t="s">
        <v>567</v>
      </c>
      <c r="G240" t="s">
        <v>568</v>
      </c>
    </row>
    <row r="241" spans="1:7">
      <c r="A241" t="s">
        <v>1315</v>
      </c>
      <c r="B241" t="s">
        <v>1316</v>
      </c>
      <c r="C241" t="s">
        <v>1317</v>
      </c>
      <c r="D241" t="s">
        <v>613</v>
      </c>
      <c r="E241" t="s">
        <v>614</v>
      </c>
      <c r="F241" t="s">
        <v>567</v>
      </c>
      <c r="G241" t="s">
        <v>568</v>
      </c>
    </row>
    <row r="242" spans="1:7">
      <c r="A242" t="s">
        <v>1318</v>
      </c>
      <c r="B242" t="s">
        <v>1319</v>
      </c>
      <c r="C242" t="s">
        <v>1320</v>
      </c>
      <c r="D242" t="s">
        <v>885</v>
      </c>
      <c r="E242" t="s">
        <v>886</v>
      </c>
      <c r="F242" t="s">
        <v>567</v>
      </c>
      <c r="G242" t="s">
        <v>568</v>
      </c>
    </row>
    <row r="243" spans="1:7">
      <c r="A243" t="s">
        <v>1321</v>
      </c>
      <c r="B243" t="s">
        <v>1322</v>
      </c>
      <c r="C243" t="s">
        <v>1323</v>
      </c>
      <c r="D243" t="s">
        <v>621</v>
      </c>
      <c r="E243" t="s">
        <v>622</v>
      </c>
      <c r="F243" t="s">
        <v>567</v>
      </c>
      <c r="G243" t="s">
        <v>568</v>
      </c>
    </row>
    <row r="244" spans="1:7">
      <c r="A244" t="s">
        <v>1324</v>
      </c>
      <c r="B244" t="s">
        <v>1325</v>
      </c>
      <c r="C244" t="s">
        <v>1326</v>
      </c>
      <c r="D244" t="s">
        <v>654</v>
      </c>
      <c r="E244" t="s">
        <v>655</v>
      </c>
      <c r="F244" t="s">
        <v>567</v>
      </c>
      <c r="G244" t="s">
        <v>568</v>
      </c>
    </row>
    <row r="245" spans="1:7">
      <c r="A245" t="s">
        <v>1327</v>
      </c>
      <c r="B245" t="s">
        <v>1328</v>
      </c>
      <c r="C245" t="s">
        <v>1329</v>
      </c>
      <c r="D245" t="s">
        <v>621</v>
      </c>
      <c r="E245" t="s">
        <v>622</v>
      </c>
      <c r="F245" t="s">
        <v>567</v>
      </c>
      <c r="G245" t="s">
        <v>568</v>
      </c>
    </row>
    <row r="246" spans="1:7">
      <c r="A246" t="s">
        <v>1330</v>
      </c>
      <c r="B246" t="s">
        <v>1331</v>
      </c>
      <c r="C246" t="s">
        <v>1332</v>
      </c>
      <c r="D246" t="s">
        <v>644</v>
      </c>
      <c r="E246" t="s">
        <v>645</v>
      </c>
      <c r="F246" t="s">
        <v>567</v>
      </c>
      <c r="G246" t="s">
        <v>568</v>
      </c>
    </row>
    <row r="247" spans="1:7">
      <c r="A247" t="s">
        <v>1333</v>
      </c>
      <c r="B247" t="s">
        <v>1334</v>
      </c>
      <c r="C247" t="s">
        <v>1335</v>
      </c>
      <c r="D247" t="s">
        <v>592</v>
      </c>
      <c r="E247" t="s">
        <v>593</v>
      </c>
      <c r="F247" t="s">
        <v>567</v>
      </c>
      <c r="G247" t="s">
        <v>568</v>
      </c>
    </row>
    <row r="248" spans="1:7">
      <c r="A248" t="s">
        <v>1336</v>
      </c>
      <c r="B248" t="s">
        <v>1337</v>
      </c>
      <c r="C248" t="s">
        <v>1338</v>
      </c>
      <c r="D248" t="s">
        <v>565</v>
      </c>
      <c r="E248" t="s">
        <v>566</v>
      </c>
      <c r="F248" t="s">
        <v>567</v>
      </c>
      <c r="G248" t="s">
        <v>568</v>
      </c>
    </row>
    <row r="249" spans="1:7">
      <c r="A249" t="s">
        <v>1339</v>
      </c>
      <c r="B249" t="s">
        <v>1340</v>
      </c>
      <c r="C249" t="s">
        <v>1341</v>
      </c>
      <c r="D249" t="s">
        <v>1342</v>
      </c>
      <c r="E249" t="s">
        <v>1343</v>
      </c>
      <c r="F249" t="s">
        <v>567</v>
      </c>
      <c r="G249" t="s">
        <v>568</v>
      </c>
    </row>
    <row r="250" spans="1:7">
      <c r="A250" t="s">
        <v>1344</v>
      </c>
      <c r="B250" t="s">
        <v>1345</v>
      </c>
      <c r="C250" t="s">
        <v>1346</v>
      </c>
      <c r="D250" t="s">
        <v>626</v>
      </c>
      <c r="E250" t="s">
        <v>627</v>
      </c>
      <c r="F250" t="s">
        <v>567</v>
      </c>
      <c r="G250" t="s">
        <v>568</v>
      </c>
    </row>
    <row r="251" spans="1:7">
      <c r="A251" t="s">
        <v>1347</v>
      </c>
      <c r="B251" t="s">
        <v>1348</v>
      </c>
      <c r="C251" t="s">
        <v>1349</v>
      </c>
      <c r="D251" t="s">
        <v>565</v>
      </c>
      <c r="E251" t="s">
        <v>566</v>
      </c>
      <c r="F251" t="s">
        <v>567</v>
      </c>
      <c r="G251" t="s">
        <v>568</v>
      </c>
    </row>
    <row r="252" spans="1:7">
      <c r="A252" t="s">
        <v>1350</v>
      </c>
      <c r="B252" t="s">
        <v>1351</v>
      </c>
      <c r="C252" t="s">
        <v>1352</v>
      </c>
      <c r="D252" t="s">
        <v>569</v>
      </c>
      <c r="E252" t="s">
        <v>572</v>
      </c>
      <c r="F252" t="s">
        <v>567</v>
      </c>
      <c r="G252" t="s">
        <v>568</v>
      </c>
    </row>
    <row r="253" spans="1:7">
      <c r="A253" t="s">
        <v>1353</v>
      </c>
      <c r="B253" t="s">
        <v>1354</v>
      </c>
      <c r="C253" t="s">
        <v>1355</v>
      </c>
      <c r="D253" t="s">
        <v>659</v>
      </c>
      <c r="E253" t="s">
        <v>660</v>
      </c>
      <c r="F253" t="s">
        <v>567</v>
      </c>
      <c r="G253" t="s">
        <v>568</v>
      </c>
    </row>
    <row r="254" spans="1:7">
      <c r="A254" t="s">
        <v>1356</v>
      </c>
      <c r="B254" t="s">
        <v>1357</v>
      </c>
      <c r="C254" t="s">
        <v>1358</v>
      </c>
      <c r="D254" t="s">
        <v>885</v>
      </c>
      <c r="E254" t="s">
        <v>886</v>
      </c>
      <c r="F254" t="s">
        <v>567</v>
      </c>
      <c r="G254" t="s">
        <v>568</v>
      </c>
    </row>
    <row r="255" spans="1:7">
      <c r="A255" t="s">
        <v>1359</v>
      </c>
      <c r="B255" t="s">
        <v>1360</v>
      </c>
      <c r="C255" t="s">
        <v>1361</v>
      </c>
      <c r="D255" t="s">
        <v>863</v>
      </c>
      <c r="E255" t="s">
        <v>864</v>
      </c>
      <c r="F255" t="s">
        <v>567</v>
      </c>
      <c r="G255" t="s">
        <v>568</v>
      </c>
    </row>
    <row r="256" spans="1:7">
      <c r="A256" t="s">
        <v>1362</v>
      </c>
      <c r="B256" t="s">
        <v>1363</v>
      </c>
      <c r="C256" t="s">
        <v>1364</v>
      </c>
      <c r="D256" t="s">
        <v>621</v>
      </c>
      <c r="E256" t="s">
        <v>622</v>
      </c>
      <c r="F256" t="s">
        <v>567</v>
      </c>
      <c r="G256" t="s">
        <v>568</v>
      </c>
    </row>
    <row r="257" spans="1:7">
      <c r="A257" t="s">
        <v>1365</v>
      </c>
      <c r="B257" t="s">
        <v>1366</v>
      </c>
      <c r="C257" t="s">
        <v>1367</v>
      </c>
      <c r="D257" t="s">
        <v>885</v>
      </c>
      <c r="E257" t="s">
        <v>886</v>
      </c>
      <c r="F257" t="s">
        <v>567</v>
      </c>
      <c r="G257" t="s">
        <v>568</v>
      </c>
    </row>
    <row r="258" spans="1:7">
      <c r="A258" t="s">
        <v>1368</v>
      </c>
      <c r="B258" t="s">
        <v>1369</v>
      </c>
      <c r="C258" t="s">
        <v>1370</v>
      </c>
      <c r="D258" t="s">
        <v>679</v>
      </c>
      <c r="E258" t="s">
        <v>680</v>
      </c>
      <c r="F258" t="s">
        <v>567</v>
      </c>
      <c r="G258" t="s">
        <v>568</v>
      </c>
    </row>
    <row r="259" spans="1:7">
      <c r="A259" t="s">
        <v>1371</v>
      </c>
      <c r="B259" t="s">
        <v>1372</v>
      </c>
      <c r="C259" t="s">
        <v>1373</v>
      </c>
      <c r="D259" t="s">
        <v>621</v>
      </c>
      <c r="E259" t="s">
        <v>622</v>
      </c>
      <c r="F259" t="s">
        <v>567</v>
      </c>
      <c r="G259" t="s">
        <v>568</v>
      </c>
    </row>
    <row r="260" spans="1:7">
      <c r="A260" t="s">
        <v>1374</v>
      </c>
      <c r="B260" t="s">
        <v>1375</v>
      </c>
      <c r="C260" t="s">
        <v>1376</v>
      </c>
      <c r="D260" t="s">
        <v>565</v>
      </c>
      <c r="E260" t="s">
        <v>566</v>
      </c>
      <c r="F260" t="s">
        <v>567</v>
      </c>
      <c r="G260" t="s">
        <v>568</v>
      </c>
    </row>
    <row r="261" spans="1:7">
      <c r="A261" t="s">
        <v>1377</v>
      </c>
      <c r="B261" t="s">
        <v>1378</v>
      </c>
      <c r="C261" t="s">
        <v>1379</v>
      </c>
      <c r="D261" t="s">
        <v>565</v>
      </c>
      <c r="E261" t="s">
        <v>566</v>
      </c>
      <c r="F261" t="s">
        <v>567</v>
      </c>
      <c r="G261" t="s">
        <v>568</v>
      </c>
    </row>
    <row r="262" spans="1:7">
      <c r="A262" t="s">
        <v>1380</v>
      </c>
      <c r="B262" t="s">
        <v>1381</v>
      </c>
      <c r="C262" t="s">
        <v>1382</v>
      </c>
      <c r="D262" t="s">
        <v>621</v>
      </c>
      <c r="E262" t="s">
        <v>622</v>
      </c>
      <c r="F262" t="s">
        <v>567</v>
      </c>
      <c r="G262" t="s">
        <v>568</v>
      </c>
    </row>
    <row r="263" spans="1:7">
      <c r="A263" t="s">
        <v>1383</v>
      </c>
      <c r="B263" t="s">
        <v>1384</v>
      </c>
      <c r="C263" t="s">
        <v>1385</v>
      </c>
      <c r="D263" t="s">
        <v>608</v>
      </c>
      <c r="E263" t="s">
        <v>609</v>
      </c>
      <c r="F263" t="s">
        <v>567</v>
      </c>
      <c r="G263" t="s">
        <v>568</v>
      </c>
    </row>
    <row r="264" spans="1:7">
      <c r="A264" t="s">
        <v>1386</v>
      </c>
      <c r="B264" t="s">
        <v>1387</v>
      </c>
      <c r="C264" t="s">
        <v>1388</v>
      </c>
      <c r="D264" t="s">
        <v>597</v>
      </c>
      <c r="E264" t="s">
        <v>598</v>
      </c>
      <c r="F264" t="s">
        <v>567</v>
      </c>
      <c r="G264" t="s">
        <v>568</v>
      </c>
    </row>
    <row r="265" spans="1:7">
      <c r="A265" t="s">
        <v>1389</v>
      </c>
      <c r="B265" t="s">
        <v>1390</v>
      </c>
      <c r="C265" t="s">
        <v>1391</v>
      </c>
      <c r="D265" t="s">
        <v>592</v>
      </c>
      <c r="E265" t="s">
        <v>593</v>
      </c>
      <c r="F265" t="s">
        <v>567</v>
      </c>
      <c r="G265" t="s">
        <v>568</v>
      </c>
    </row>
    <row r="266" spans="1:7">
      <c r="A266" t="s">
        <v>1392</v>
      </c>
      <c r="B266" t="s">
        <v>1393</v>
      </c>
      <c r="C266" t="s">
        <v>1394</v>
      </c>
      <c r="D266" t="s">
        <v>565</v>
      </c>
      <c r="E266" t="s">
        <v>566</v>
      </c>
      <c r="F266" t="s">
        <v>567</v>
      </c>
      <c r="G266" t="s">
        <v>568</v>
      </c>
    </row>
    <row r="267" spans="1:7">
      <c r="A267" t="s">
        <v>1395</v>
      </c>
      <c r="B267" t="s">
        <v>1396</v>
      </c>
      <c r="C267" t="s">
        <v>1397</v>
      </c>
      <c r="D267" t="s">
        <v>719</v>
      </c>
      <c r="E267" t="s">
        <v>720</v>
      </c>
      <c r="F267" t="s">
        <v>567</v>
      </c>
      <c r="G267" t="s">
        <v>568</v>
      </c>
    </row>
    <row r="268" spans="1:7">
      <c r="A268" t="s">
        <v>1398</v>
      </c>
      <c r="B268" t="s">
        <v>1399</v>
      </c>
      <c r="C268" t="s">
        <v>1400</v>
      </c>
      <c r="D268" t="s">
        <v>702</v>
      </c>
      <c r="E268" t="s">
        <v>703</v>
      </c>
      <c r="F268" t="s">
        <v>567</v>
      </c>
      <c r="G268" t="s">
        <v>568</v>
      </c>
    </row>
    <row r="269" spans="1:7">
      <c r="A269" t="s">
        <v>1401</v>
      </c>
      <c r="B269" t="s">
        <v>1402</v>
      </c>
      <c r="C269" t="s">
        <v>1403</v>
      </c>
      <c r="D269" t="s">
        <v>659</v>
      </c>
      <c r="E269" t="s">
        <v>660</v>
      </c>
      <c r="F269" t="s">
        <v>567</v>
      </c>
      <c r="G269" t="s">
        <v>568</v>
      </c>
    </row>
    <row r="270" spans="1:7">
      <c r="A270" t="s">
        <v>1404</v>
      </c>
      <c r="B270" t="s">
        <v>1405</v>
      </c>
      <c r="C270" t="s">
        <v>1406</v>
      </c>
      <c r="D270" t="s">
        <v>885</v>
      </c>
      <c r="E270" t="s">
        <v>886</v>
      </c>
      <c r="F270" t="s">
        <v>567</v>
      </c>
      <c r="G270" t="s">
        <v>568</v>
      </c>
    </row>
    <row r="271" spans="1:7">
      <c r="A271" t="s">
        <v>1407</v>
      </c>
      <c r="B271" t="s">
        <v>1408</v>
      </c>
      <c r="C271" t="s">
        <v>1409</v>
      </c>
      <c r="D271" t="s">
        <v>730</v>
      </c>
      <c r="E271" t="s">
        <v>731</v>
      </c>
      <c r="F271" t="s">
        <v>567</v>
      </c>
      <c r="G271" t="s">
        <v>568</v>
      </c>
    </row>
    <row r="272" spans="1:7">
      <c r="A272" t="s">
        <v>1410</v>
      </c>
      <c r="B272" t="s">
        <v>1411</v>
      </c>
      <c r="C272" t="s">
        <v>1412</v>
      </c>
      <c r="D272" t="s">
        <v>730</v>
      </c>
      <c r="E272" t="s">
        <v>731</v>
      </c>
      <c r="F272" t="s">
        <v>567</v>
      </c>
      <c r="G272" t="s">
        <v>568</v>
      </c>
    </row>
    <row r="273" spans="1:7">
      <c r="A273" t="s">
        <v>1413</v>
      </c>
      <c r="B273" t="s">
        <v>1414</v>
      </c>
      <c r="C273" t="s">
        <v>1415</v>
      </c>
      <c r="D273" t="s">
        <v>621</v>
      </c>
      <c r="E273" t="s">
        <v>622</v>
      </c>
      <c r="F273" t="s">
        <v>567</v>
      </c>
      <c r="G273" t="s">
        <v>568</v>
      </c>
    </row>
    <row r="274" spans="1:7">
      <c r="A274" t="s">
        <v>1416</v>
      </c>
      <c r="B274" t="s">
        <v>1417</v>
      </c>
      <c r="C274" t="s">
        <v>1418</v>
      </c>
      <c r="D274" t="s">
        <v>626</v>
      </c>
      <c r="E274" t="s">
        <v>627</v>
      </c>
      <c r="F274" t="s">
        <v>567</v>
      </c>
      <c r="G274" t="s">
        <v>568</v>
      </c>
    </row>
    <row r="275" spans="1:7">
      <c r="A275" t="s">
        <v>1419</v>
      </c>
      <c r="B275" t="s">
        <v>1420</v>
      </c>
      <c r="C275" t="s">
        <v>1421</v>
      </c>
      <c r="D275" t="s">
        <v>730</v>
      </c>
      <c r="E275" t="s">
        <v>731</v>
      </c>
      <c r="F275" t="s">
        <v>567</v>
      </c>
      <c r="G275" t="s">
        <v>568</v>
      </c>
    </row>
    <row r="276" spans="1:7">
      <c r="A276" t="s">
        <v>1422</v>
      </c>
      <c r="B276" t="s">
        <v>1423</v>
      </c>
      <c r="C276" t="s">
        <v>1424</v>
      </c>
      <c r="D276" t="s">
        <v>885</v>
      </c>
      <c r="E276" t="s">
        <v>886</v>
      </c>
      <c r="F276" t="s">
        <v>567</v>
      </c>
      <c r="G276" t="s">
        <v>568</v>
      </c>
    </row>
    <row r="277" spans="1:7">
      <c r="A277" t="s">
        <v>1425</v>
      </c>
      <c r="B277" t="s">
        <v>1426</v>
      </c>
      <c r="C277" t="s">
        <v>1427</v>
      </c>
      <c r="D277" t="s">
        <v>885</v>
      </c>
      <c r="E277" t="s">
        <v>886</v>
      </c>
      <c r="F277" t="s">
        <v>567</v>
      </c>
      <c r="G277" t="s">
        <v>568</v>
      </c>
    </row>
    <row r="278" spans="1:7">
      <c r="A278" t="s">
        <v>1428</v>
      </c>
      <c r="B278" t="s">
        <v>1429</v>
      </c>
      <c r="C278" t="s">
        <v>1430</v>
      </c>
      <c r="D278" t="s">
        <v>730</v>
      </c>
      <c r="E278" t="s">
        <v>731</v>
      </c>
      <c r="F278" t="s">
        <v>567</v>
      </c>
      <c r="G278" t="s">
        <v>568</v>
      </c>
    </row>
    <row r="279" spans="1:7">
      <c r="A279" t="s">
        <v>1431</v>
      </c>
      <c r="B279" t="s">
        <v>1432</v>
      </c>
      <c r="C279" t="s">
        <v>1433</v>
      </c>
      <c r="D279" t="s">
        <v>702</v>
      </c>
      <c r="E279" t="s">
        <v>703</v>
      </c>
      <c r="F279" t="s">
        <v>567</v>
      </c>
      <c r="G279" t="s">
        <v>568</v>
      </c>
    </row>
    <row r="280" spans="1:7">
      <c r="A280" t="s">
        <v>1434</v>
      </c>
      <c r="B280" t="s">
        <v>1435</v>
      </c>
      <c r="C280" t="s">
        <v>1436</v>
      </c>
      <c r="D280" t="s">
        <v>565</v>
      </c>
      <c r="E280" t="s">
        <v>566</v>
      </c>
      <c r="F280" t="s">
        <v>567</v>
      </c>
      <c r="G280" t="s">
        <v>568</v>
      </c>
    </row>
    <row r="281" spans="1:7">
      <c r="A281" t="s">
        <v>1437</v>
      </c>
      <c r="B281" t="s">
        <v>1438</v>
      </c>
      <c r="C281" t="s">
        <v>1439</v>
      </c>
      <c r="D281" t="s">
        <v>565</v>
      </c>
      <c r="E281" t="s">
        <v>566</v>
      </c>
      <c r="F281" t="s">
        <v>567</v>
      </c>
      <c r="G281" t="s">
        <v>568</v>
      </c>
    </row>
    <row r="282" spans="1:7">
      <c r="A282" t="s">
        <v>1440</v>
      </c>
      <c r="B282" t="s">
        <v>1441</v>
      </c>
      <c r="C282" t="s">
        <v>1442</v>
      </c>
      <c r="D282" t="s">
        <v>565</v>
      </c>
      <c r="E282" t="s">
        <v>566</v>
      </c>
      <c r="F282" t="s">
        <v>567</v>
      </c>
      <c r="G282" t="s">
        <v>568</v>
      </c>
    </row>
    <row r="283" spans="1:7">
      <c r="A283" t="s">
        <v>1443</v>
      </c>
      <c r="B283" t="s">
        <v>1444</v>
      </c>
      <c r="C283" t="s">
        <v>1445</v>
      </c>
      <c r="D283" t="s">
        <v>565</v>
      </c>
      <c r="E283" t="s">
        <v>566</v>
      </c>
      <c r="F283" t="s">
        <v>567</v>
      </c>
      <c r="G283" t="s">
        <v>568</v>
      </c>
    </row>
    <row r="284" spans="1:7">
      <c r="A284" t="s">
        <v>1446</v>
      </c>
      <c r="B284" t="s">
        <v>1447</v>
      </c>
      <c r="C284" t="s">
        <v>1448</v>
      </c>
      <c r="D284" t="s">
        <v>639</v>
      </c>
      <c r="E284" t="s">
        <v>640</v>
      </c>
      <c r="F284" t="s">
        <v>567</v>
      </c>
      <c r="G284" t="s">
        <v>568</v>
      </c>
    </row>
    <row r="285" spans="1:7">
      <c r="A285" t="s">
        <v>1449</v>
      </c>
      <c r="B285" t="s">
        <v>1450</v>
      </c>
      <c r="C285" t="s">
        <v>1451</v>
      </c>
      <c r="D285" t="s">
        <v>592</v>
      </c>
      <c r="E285" t="s">
        <v>593</v>
      </c>
      <c r="F285" t="s">
        <v>567</v>
      </c>
      <c r="G285" t="s">
        <v>568</v>
      </c>
    </row>
    <row r="286" spans="1:7">
      <c r="A286" t="s">
        <v>1452</v>
      </c>
      <c r="B286" t="s">
        <v>1453</v>
      </c>
      <c r="C286" t="s">
        <v>1454</v>
      </c>
      <c r="D286" t="s">
        <v>639</v>
      </c>
      <c r="E286" t="s">
        <v>640</v>
      </c>
      <c r="F286" t="s">
        <v>567</v>
      </c>
      <c r="G286" t="s">
        <v>568</v>
      </c>
    </row>
    <row r="287" spans="1:7">
      <c r="A287" t="s">
        <v>1455</v>
      </c>
      <c r="B287" t="s">
        <v>1456</v>
      </c>
      <c r="C287" t="s">
        <v>1457</v>
      </c>
      <c r="D287" t="s">
        <v>565</v>
      </c>
      <c r="E287" t="s">
        <v>566</v>
      </c>
      <c r="F287" t="s">
        <v>567</v>
      </c>
      <c r="G287" t="s">
        <v>568</v>
      </c>
    </row>
    <row r="288" spans="1:7">
      <c r="A288" t="s">
        <v>1458</v>
      </c>
      <c r="B288" t="s">
        <v>1459</v>
      </c>
      <c r="C288" t="s">
        <v>1460</v>
      </c>
      <c r="D288" t="s">
        <v>679</v>
      </c>
      <c r="E288" t="s">
        <v>680</v>
      </c>
      <c r="F288" t="s">
        <v>567</v>
      </c>
      <c r="G288" t="s">
        <v>568</v>
      </c>
    </row>
    <row r="289" spans="1:7">
      <c r="A289" t="s">
        <v>1461</v>
      </c>
      <c r="B289" t="s">
        <v>1462</v>
      </c>
      <c r="C289" t="s">
        <v>1463</v>
      </c>
      <c r="D289" t="s">
        <v>626</v>
      </c>
      <c r="E289" t="s">
        <v>627</v>
      </c>
      <c r="F289" t="s">
        <v>567</v>
      </c>
      <c r="G289" t="s">
        <v>568</v>
      </c>
    </row>
    <row r="290" spans="1:7">
      <c r="A290" t="s">
        <v>1464</v>
      </c>
      <c r="B290" t="s">
        <v>1465</v>
      </c>
      <c r="C290" t="s">
        <v>1466</v>
      </c>
      <c r="D290" t="s">
        <v>649</v>
      </c>
      <c r="E290" t="s">
        <v>650</v>
      </c>
      <c r="F290" t="s">
        <v>567</v>
      </c>
      <c r="G290" t="s">
        <v>568</v>
      </c>
    </row>
    <row r="291" spans="1:7">
      <c r="A291" t="s">
        <v>1467</v>
      </c>
      <c r="B291" t="s">
        <v>1468</v>
      </c>
      <c r="C291" t="s">
        <v>1469</v>
      </c>
      <c r="D291" t="s">
        <v>608</v>
      </c>
      <c r="E291" t="s">
        <v>609</v>
      </c>
      <c r="F291" t="s">
        <v>567</v>
      </c>
      <c r="G291" t="s">
        <v>568</v>
      </c>
    </row>
    <row r="292" spans="1:7">
      <c r="A292" t="s">
        <v>1470</v>
      </c>
      <c r="B292" t="s">
        <v>1471</v>
      </c>
      <c r="C292" t="s">
        <v>1472</v>
      </c>
      <c r="D292" t="s">
        <v>626</v>
      </c>
      <c r="E292" t="s">
        <v>627</v>
      </c>
      <c r="F292" t="s">
        <v>567</v>
      </c>
      <c r="G292" t="s">
        <v>568</v>
      </c>
    </row>
    <row r="293" spans="1:7">
      <c r="A293" t="s">
        <v>1473</v>
      </c>
      <c r="B293" t="s">
        <v>1474</v>
      </c>
      <c r="C293" t="s">
        <v>1475</v>
      </c>
      <c r="D293" t="s">
        <v>649</v>
      </c>
      <c r="E293" t="s">
        <v>650</v>
      </c>
      <c r="F293" t="s">
        <v>567</v>
      </c>
      <c r="G293" t="s">
        <v>568</v>
      </c>
    </row>
    <row r="294" spans="1:7">
      <c r="A294" t="s">
        <v>1476</v>
      </c>
      <c r="B294" t="s">
        <v>1477</v>
      </c>
      <c r="C294" t="s">
        <v>1478</v>
      </c>
      <c r="D294" t="s">
        <v>581</v>
      </c>
      <c r="E294" t="s">
        <v>582</v>
      </c>
      <c r="F294" t="s">
        <v>567</v>
      </c>
      <c r="G294" t="s">
        <v>568</v>
      </c>
    </row>
    <row r="295" spans="1:7">
      <c r="A295" t="s">
        <v>1479</v>
      </c>
      <c r="B295" t="s">
        <v>1480</v>
      </c>
      <c r="C295" t="s">
        <v>1481</v>
      </c>
      <c r="D295" t="s">
        <v>569</v>
      </c>
      <c r="E295" t="s">
        <v>572</v>
      </c>
      <c r="F295" t="s">
        <v>567</v>
      </c>
      <c r="G295" t="s">
        <v>568</v>
      </c>
    </row>
    <row r="296" spans="1:7">
      <c r="A296" t="s">
        <v>1482</v>
      </c>
      <c r="B296" t="s">
        <v>1483</v>
      </c>
      <c r="C296" t="s">
        <v>1484</v>
      </c>
      <c r="D296" t="s">
        <v>679</v>
      </c>
      <c r="E296" t="s">
        <v>680</v>
      </c>
      <c r="F296" t="s">
        <v>567</v>
      </c>
      <c r="G296" t="s">
        <v>568</v>
      </c>
    </row>
    <row r="297" spans="1:7">
      <c r="A297" t="s">
        <v>1485</v>
      </c>
      <c r="B297" t="s">
        <v>1486</v>
      </c>
      <c r="C297" t="s">
        <v>1487</v>
      </c>
      <c r="D297" t="s">
        <v>597</v>
      </c>
      <c r="E297" t="s">
        <v>598</v>
      </c>
      <c r="F297" t="s">
        <v>567</v>
      </c>
      <c r="G297" t="s">
        <v>568</v>
      </c>
    </row>
    <row r="298" spans="1:7">
      <c r="A298" t="s">
        <v>1488</v>
      </c>
      <c r="B298" t="s">
        <v>1489</v>
      </c>
      <c r="C298" t="s">
        <v>1490</v>
      </c>
      <c r="D298" t="s">
        <v>608</v>
      </c>
      <c r="E298" t="s">
        <v>609</v>
      </c>
      <c r="F298" t="s">
        <v>567</v>
      </c>
      <c r="G298" t="s">
        <v>568</v>
      </c>
    </row>
    <row r="299" spans="1:7">
      <c r="A299" t="s">
        <v>1491</v>
      </c>
      <c r="B299" t="s">
        <v>1492</v>
      </c>
      <c r="C299" t="s">
        <v>1493</v>
      </c>
      <c r="D299" t="s">
        <v>885</v>
      </c>
      <c r="E299" t="s">
        <v>886</v>
      </c>
      <c r="F299" t="s">
        <v>567</v>
      </c>
      <c r="G299" t="s">
        <v>568</v>
      </c>
    </row>
    <row r="300" spans="1:7">
      <c r="A300" t="s">
        <v>1494</v>
      </c>
      <c r="B300" t="s">
        <v>1495</v>
      </c>
      <c r="C300" t="s">
        <v>1496</v>
      </c>
      <c r="D300" t="s">
        <v>659</v>
      </c>
      <c r="E300" t="s">
        <v>660</v>
      </c>
      <c r="F300" t="s">
        <v>567</v>
      </c>
      <c r="G300" t="s">
        <v>568</v>
      </c>
    </row>
    <row r="301" spans="1:7">
      <c r="A301" t="s">
        <v>1497</v>
      </c>
      <c r="B301" t="s">
        <v>1498</v>
      </c>
      <c r="C301" t="s">
        <v>1499</v>
      </c>
      <c r="D301" t="s">
        <v>569</v>
      </c>
      <c r="E301" t="s">
        <v>572</v>
      </c>
      <c r="F301" t="s">
        <v>567</v>
      </c>
      <c r="G301" t="s">
        <v>568</v>
      </c>
    </row>
    <row r="302" spans="1:7">
      <c r="A302" t="s">
        <v>1500</v>
      </c>
      <c r="B302" t="s">
        <v>1501</v>
      </c>
      <c r="C302" t="s">
        <v>1502</v>
      </c>
      <c r="D302" t="s">
        <v>581</v>
      </c>
      <c r="E302" t="s">
        <v>582</v>
      </c>
      <c r="F302" t="s">
        <v>567</v>
      </c>
      <c r="G302" t="s">
        <v>568</v>
      </c>
    </row>
    <row r="303" spans="1:7">
      <c r="A303" t="s">
        <v>1503</v>
      </c>
      <c r="B303" t="s">
        <v>1504</v>
      </c>
      <c r="C303" t="s">
        <v>1505</v>
      </c>
      <c r="D303" t="s">
        <v>613</v>
      </c>
      <c r="E303" t="s">
        <v>614</v>
      </c>
      <c r="F303" t="s">
        <v>567</v>
      </c>
      <c r="G303" t="s">
        <v>568</v>
      </c>
    </row>
    <row r="304" spans="1:7">
      <c r="A304" t="s">
        <v>1506</v>
      </c>
      <c r="B304" t="s">
        <v>1507</v>
      </c>
      <c r="C304" t="s">
        <v>1508</v>
      </c>
      <c r="D304" t="s">
        <v>730</v>
      </c>
      <c r="E304" t="s">
        <v>731</v>
      </c>
      <c r="F304" t="s">
        <v>567</v>
      </c>
      <c r="G304" t="s">
        <v>568</v>
      </c>
    </row>
    <row r="305" spans="1:7">
      <c r="A305" t="s">
        <v>1509</v>
      </c>
      <c r="B305" t="s">
        <v>1510</v>
      </c>
      <c r="C305" t="s">
        <v>1511</v>
      </c>
      <c r="D305" t="s">
        <v>626</v>
      </c>
      <c r="E305" t="s">
        <v>627</v>
      </c>
      <c r="F305" t="s">
        <v>567</v>
      </c>
      <c r="G305" t="s">
        <v>568</v>
      </c>
    </row>
    <row r="306" spans="1:7">
      <c r="A306" t="s">
        <v>1512</v>
      </c>
      <c r="B306" t="s">
        <v>1513</v>
      </c>
      <c r="C306" t="s">
        <v>1514</v>
      </c>
      <c r="D306" t="s">
        <v>659</v>
      </c>
      <c r="E306" t="s">
        <v>660</v>
      </c>
      <c r="F306" t="s">
        <v>567</v>
      </c>
      <c r="G306" t="s">
        <v>568</v>
      </c>
    </row>
    <row r="307" spans="1:7">
      <c r="A307" t="s">
        <v>597</v>
      </c>
      <c r="B307" t="s">
        <v>1515</v>
      </c>
      <c r="C307" t="s">
        <v>1516</v>
      </c>
      <c r="D307" t="s">
        <v>597</v>
      </c>
      <c r="E307" t="s">
        <v>598</v>
      </c>
      <c r="F307" t="s">
        <v>567</v>
      </c>
      <c r="G307" t="s">
        <v>568</v>
      </c>
    </row>
    <row r="308" spans="1:7">
      <c r="A308" t="s">
        <v>1517</v>
      </c>
      <c r="B308" t="s">
        <v>1518</v>
      </c>
      <c r="C308" t="s">
        <v>1519</v>
      </c>
      <c r="D308" t="s">
        <v>626</v>
      </c>
      <c r="E308" t="s">
        <v>627</v>
      </c>
      <c r="F308" t="s">
        <v>567</v>
      </c>
      <c r="G308" t="s">
        <v>568</v>
      </c>
    </row>
    <row r="309" spans="1:7">
      <c r="A309" t="s">
        <v>1520</v>
      </c>
      <c r="B309" t="s">
        <v>1521</v>
      </c>
      <c r="C309" t="s">
        <v>1522</v>
      </c>
      <c r="D309" t="s">
        <v>719</v>
      </c>
      <c r="E309" t="s">
        <v>720</v>
      </c>
      <c r="F309" t="s">
        <v>567</v>
      </c>
      <c r="G309" t="s">
        <v>568</v>
      </c>
    </row>
    <row r="310" spans="1:7">
      <c r="A310" t="s">
        <v>1523</v>
      </c>
      <c r="B310" t="s">
        <v>1524</v>
      </c>
      <c r="C310" t="s">
        <v>1525</v>
      </c>
      <c r="D310" t="s">
        <v>597</v>
      </c>
      <c r="E310" t="s">
        <v>598</v>
      </c>
      <c r="F310" t="s">
        <v>567</v>
      </c>
      <c r="G310" t="s">
        <v>568</v>
      </c>
    </row>
    <row r="311" spans="1:7">
      <c r="A311" t="s">
        <v>1526</v>
      </c>
      <c r="B311" t="s">
        <v>1527</v>
      </c>
      <c r="C311" t="s">
        <v>1528</v>
      </c>
      <c r="D311" t="s">
        <v>597</v>
      </c>
      <c r="E311" t="s">
        <v>598</v>
      </c>
      <c r="F311" t="s">
        <v>567</v>
      </c>
      <c r="G311" t="s">
        <v>568</v>
      </c>
    </row>
    <row r="312" spans="1:7">
      <c r="A312" t="s">
        <v>1529</v>
      </c>
      <c r="B312" t="s">
        <v>1530</v>
      </c>
      <c r="C312" t="s">
        <v>1531</v>
      </c>
      <c r="D312" t="s">
        <v>581</v>
      </c>
      <c r="E312" t="s">
        <v>582</v>
      </c>
      <c r="F312" t="s">
        <v>567</v>
      </c>
      <c r="G312" t="s">
        <v>568</v>
      </c>
    </row>
    <row r="313" spans="1:7">
      <c r="A313" t="s">
        <v>1532</v>
      </c>
      <c r="B313" t="s">
        <v>1533</v>
      </c>
      <c r="C313" t="s">
        <v>1534</v>
      </c>
      <c r="D313" t="s">
        <v>565</v>
      </c>
      <c r="E313" t="s">
        <v>566</v>
      </c>
      <c r="F313" t="s">
        <v>567</v>
      </c>
      <c r="G313" t="s">
        <v>568</v>
      </c>
    </row>
    <row r="314" spans="1:7">
      <c r="A314" t="s">
        <v>1535</v>
      </c>
      <c r="B314" t="s">
        <v>1536</v>
      </c>
      <c r="C314" t="s">
        <v>1537</v>
      </c>
      <c r="D314" t="s">
        <v>730</v>
      </c>
      <c r="E314" t="s">
        <v>731</v>
      </c>
      <c r="F314" t="s">
        <v>567</v>
      </c>
      <c r="G314" t="s">
        <v>568</v>
      </c>
    </row>
    <row r="315" spans="1:7">
      <c r="A315" t="s">
        <v>1538</v>
      </c>
      <c r="B315" t="s">
        <v>1539</v>
      </c>
      <c r="C315" t="s">
        <v>1540</v>
      </c>
      <c r="D315" t="s">
        <v>592</v>
      </c>
      <c r="E315" t="s">
        <v>593</v>
      </c>
      <c r="F315" t="s">
        <v>567</v>
      </c>
      <c r="G315" t="s">
        <v>568</v>
      </c>
    </row>
    <row r="316" spans="1:7">
      <c r="A316" t="s">
        <v>1541</v>
      </c>
      <c r="B316" t="s">
        <v>1542</v>
      </c>
      <c r="C316" t="s">
        <v>1543</v>
      </c>
      <c r="D316" t="s">
        <v>644</v>
      </c>
      <c r="E316" t="s">
        <v>645</v>
      </c>
      <c r="F316" t="s">
        <v>567</v>
      </c>
      <c r="G316" t="s">
        <v>568</v>
      </c>
    </row>
    <row r="317" spans="1:7">
      <c r="A317" t="s">
        <v>1544</v>
      </c>
      <c r="B317" t="s">
        <v>1545</v>
      </c>
      <c r="C317" t="s">
        <v>1546</v>
      </c>
      <c r="D317" t="s">
        <v>885</v>
      </c>
      <c r="E317" t="s">
        <v>886</v>
      </c>
      <c r="F317" t="s">
        <v>567</v>
      </c>
      <c r="G317" t="s">
        <v>568</v>
      </c>
    </row>
    <row r="318" spans="1:7">
      <c r="A318" t="s">
        <v>1547</v>
      </c>
      <c r="B318" t="s">
        <v>1548</v>
      </c>
      <c r="C318" t="s">
        <v>1549</v>
      </c>
      <c r="D318" t="s">
        <v>644</v>
      </c>
      <c r="E318" t="s">
        <v>645</v>
      </c>
      <c r="F318" t="s">
        <v>567</v>
      </c>
      <c r="G318" t="s">
        <v>568</v>
      </c>
    </row>
    <row r="319" spans="1:7">
      <c r="A319" t="s">
        <v>1550</v>
      </c>
      <c r="B319" t="s">
        <v>1551</v>
      </c>
      <c r="C319" t="s">
        <v>1552</v>
      </c>
      <c r="D319" t="s">
        <v>644</v>
      </c>
      <c r="E319" t="s">
        <v>645</v>
      </c>
      <c r="F319" t="s">
        <v>567</v>
      </c>
      <c r="G319" t="s">
        <v>568</v>
      </c>
    </row>
    <row r="320" spans="1:7">
      <c r="A320" t="s">
        <v>1553</v>
      </c>
      <c r="B320" t="s">
        <v>1554</v>
      </c>
      <c r="C320" t="s">
        <v>1555</v>
      </c>
      <c r="D320" t="s">
        <v>576</v>
      </c>
      <c r="E320" t="s">
        <v>577</v>
      </c>
      <c r="F320" t="s">
        <v>567</v>
      </c>
      <c r="G320" t="s">
        <v>568</v>
      </c>
    </row>
    <row r="321" spans="1:7">
      <c r="A321" t="s">
        <v>1556</v>
      </c>
      <c r="B321" t="s">
        <v>1557</v>
      </c>
      <c r="C321" t="s">
        <v>1558</v>
      </c>
      <c r="D321" t="s">
        <v>613</v>
      </c>
      <c r="E321" t="s">
        <v>614</v>
      </c>
      <c r="F321" t="s">
        <v>567</v>
      </c>
      <c r="G321" t="s">
        <v>568</v>
      </c>
    </row>
    <row r="322" spans="1:7">
      <c r="A322" t="s">
        <v>1559</v>
      </c>
      <c r="B322" t="s">
        <v>1560</v>
      </c>
      <c r="C322" t="s">
        <v>1561</v>
      </c>
      <c r="D322" t="s">
        <v>613</v>
      </c>
      <c r="E322" t="s">
        <v>614</v>
      </c>
      <c r="F322" t="s">
        <v>567</v>
      </c>
      <c r="G322" t="s">
        <v>568</v>
      </c>
    </row>
    <row r="323" spans="1:7">
      <c r="A323" t="s">
        <v>1562</v>
      </c>
      <c r="B323" t="s">
        <v>1563</v>
      </c>
      <c r="C323" t="s">
        <v>1564</v>
      </c>
      <c r="D323" t="s">
        <v>626</v>
      </c>
      <c r="E323" t="s">
        <v>627</v>
      </c>
      <c r="F323" t="s">
        <v>567</v>
      </c>
      <c r="G323" t="s">
        <v>568</v>
      </c>
    </row>
    <row r="324" spans="1:7">
      <c r="A324" t="s">
        <v>1565</v>
      </c>
      <c r="B324" t="s">
        <v>1566</v>
      </c>
      <c r="C324" t="s">
        <v>1567</v>
      </c>
      <c r="D324" t="s">
        <v>565</v>
      </c>
      <c r="E324" t="s">
        <v>566</v>
      </c>
      <c r="F324" t="s">
        <v>567</v>
      </c>
      <c r="G324" t="s">
        <v>568</v>
      </c>
    </row>
    <row r="325" spans="1:7">
      <c r="A325" t="s">
        <v>1568</v>
      </c>
      <c r="B325" t="s">
        <v>1569</v>
      </c>
      <c r="C325" t="s">
        <v>1570</v>
      </c>
      <c r="D325" t="s">
        <v>679</v>
      </c>
      <c r="E325" t="s">
        <v>680</v>
      </c>
      <c r="F325" t="s">
        <v>567</v>
      </c>
      <c r="G325" t="s">
        <v>568</v>
      </c>
    </row>
    <row r="326" spans="1:7">
      <c r="A326" t="s">
        <v>1571</v>
      </c>
      <c r="B326" t="s">
        <v>1572</v>
      </c>
      <c r="C326" t="s">
        <v>1573</v>
      </c>
      <c r="D326" t="s">
        <v>654</v>
      </c>
      <c r="E326" t="s">
        <v>655</v>
      </c>
      <c r="F326" t="s">
        <v>567</v>
      </c>
      <c r="G326" t="s">
        <v>568</v>
      </c>
    </row>
    <row r="327" spans="1:7">
      <c r="A327" t="s">
        <v>1574</v>
      </c>
      <c r="B327" t="s">
        <v>1575</v>
      </c>
      <c r="C327" t="s">
        <v>1576</v>
      </c>
      <c r="D327" t="s">
        <v>565</v>
      </c>
      <c r="E327" t="s">
        <v>566</v>
      </c>
      <c r="F327" t="s">
        <v>567</v>
      </c>
      <c r="G327" t="s">
        <v>568</v>
      </c>
    </row>
    <row r="328" spans="1:7">
      <c r="A328" t="s">
        <v>565</v>
      </c>
      <c r="B328" t="s">
        <v>1577</v>
      </c>
      <c r="C328" t="s">
        <v>1578</v>
      </c>
      <c r="D328" t="s">
        <v>565</v>
      </c>
      <c r="E328" t="s">
        <v>566</v>
      </c>
      <c r="F328" t="s">
        <v>567</v>
      </c>
      <c r="G328" t="s">
        <v>568</v>
      </c>
    </row>
    <row r="329" spans="1:7">
      <c r="A329" t="s">
        <v>1579</v>
      </c>
      <c r="B329" t="s">
        <v>1580</v>
      </c>
      <c r="C329" t="s">
        <v>1581</v>
      </c>
      <c r="D329" t="s">
        <v>576</v>
      </c>
      <c r="E329" t="s">
        <v>577</v>
      </c>
      <c r="F329" t="s">
        <v>567</v>
      </c>
      <c r="G329" t="s">
        <v>568</v>
      </c>
    </row>
    <row r="330" spans="1:7">
      <c r="A330" t="s">
        <v>1582</v>
      </c>
      <c r="B330" t="s">
        <v>1583</v>
      </c>
      <c r="C330" t="s">
        <v>1584</v>
      </c>
      <c r="D330" t="s">
        <v>576</v>
      </c>
      <c r="E330" t="s">
        <v>577</v>
      </c>
      <c r="F330" t="s">
        <v>567</v>
      </c>
      <c r="G330" t="s">
        <v>568</v>
      </c>
    </row>
    <row r="331" spans="1:7">
      <c r="A331" t="s">
        <v>1585</v>
      </c>
      <c r="B331" t="s">
        <v>1586</v>
      </c>
      <c r="C331" t="s">
        <v>1587</v>
      </c>
      <c r="D331" t="s">
        <v>1342</v>
      </c>
      <c r="E331" t="s">
        <v>1343</v>
      </c>
      <c r="F331" t="s">
        <v>567</v>
      </c>
      <c r="G331" t="s">
        <v>568</v>
      </c>
    </row>
    <row r="332" spans="1:7">
      <c r="A332" t="s">
        <v>1588</v>
      </c>
      <c r="B332" t="s">
        <v>1589</v>
      </c>
      <c r="C332" t="s">
        <v>1590</v>
      </c>
      <c r="D332" t="s">
        <v>654</v>
      </c>
      <c r="E332" t="s">
        <v>655</v>
      </c>
      <c r="F332" t="s">
        <v>567</v>
      </c>
      <c r="G332" t="s">
        <v>568</v>
      </c>
    </row>
    <row r="333" spans="1:7">
      <c r="A333" t="s">
        <v>1591</v>
      </c>
      <c r="B333" t="s">
        <v>1592</v>
      </c>
      <c r="C333" t="s">
        <v>1593</v>
      </c>
      <c r="D333" t="s">
        <v>885</v>
      </c>
      <c r="E333" t="s">
        <v>886</v>
      </c>
      <c r="F333" t="s">
        <v>567</v>
      </c>
      <c r="G333" t="s">
        <v>568</v>
      </c>
    </row>
    <row r="334" spans="1:7">
      <c r="A334" t="s">
        <v>1594</v>
      </c>
      <c r="B334" t="s">
        <v>1595</v>
      </c>
      <c r="C334" t="s">
        <v>1596</v>
      </c>
      <c r="D334" t="s">
        <v>576</v>
      </c>
      <c r="E334" t="s">
        <v>577</v>
      </c>
      <c r="F334" t="s">
        <v>567</v>
      </c>
      <c r="G334" t="s">
        <v>568</v>
      </c>
    </row>
    <row r="335" spans="1:7">
      <c r="A335" t="s">
        <v>1597</v>
      </c>
      <c r="B335" t="s">
        <v>1598</v>
      </c>
      <c r="C335" t="s">
        <v>1599</v>
      </c>
      <c r="D335" t="s">
        <v>576</v>
      </c>
      <c r="E335" t="s">
        <v>577</v>
      </c>
      <c r="F335" t="s">
        <v>567</v>
      </c>
      <c r="G335" t="s">
        <v>568</v>
      </c>
    </row>
    <row r="336" spans="1:7">
      <c r="A336" t="s">
        <v>1600</v>
      </c>
      <c r="B336" t="s">
        <v>1601</v>
      </c>
      <c r="C336" t="s">
        <v>1602</v>
      </c>
      <c r="D336" t="s">
        <v>592</v>
      </c>
      <c r="E336" t="s">
        <v>593</v>
      </c>
      <c r="F336" t="s">
        <v>567</v>
      </c>
      <c r="G336" t="s">
        <v>568</v>
      </c>
    </row>
  </sheetData>
  <autoFilter ref="A1:G1" xr:uid="{00000000-0001-0000-03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Additional information</vt:lpstr>
      <vt:lpstr>Sheet1</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Nusha Choudhury</dc:creator>
  <cp:lastModifiedBy>Microsoft Office User</cp:lastModifiedBy>
  <dcterms:created xsi:type="dcterms:W3CDTF">2022-12-06T07:33:31Z</dcterms:created>
  <dcterms:modified xsi:type="dcterms:W3CDTF">2022-12-19T16:58:33Z</dcterms:modified>
</cp:coreProperties>
</file>