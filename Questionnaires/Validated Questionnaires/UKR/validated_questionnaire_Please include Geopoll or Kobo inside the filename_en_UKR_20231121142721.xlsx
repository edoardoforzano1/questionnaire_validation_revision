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UKR/"/>
    </mc:Choice>
  </mc:AlternateContent>
  <xr:revisionPtr revIDLastSave="0" documentId="13_ncr:1_{9498283E-DCBF-AE49-9331-ADA0C52C55AD}" xr6:coauthVersionLast="47" xr6:coauthVersionMax="47" xr10:uidLastSave="{00000000-0000-0000-0000-000000000000}"/>
  <bookViews>
    <workbookView xWindow="0" yWindow="500" windowWidth="33600" windowHeight="19580" activeTab="1"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24" i="1" l="1"/>
  <c r="X321" i="1"/>
  <c r="W321" i="1"/>
  <c r="X320" i="1"/>
  <c r="W320" i="1"/>
  <c r="X319" i="1"/>
  <c r="W319" i="1"/>
  <c r="X318" i="1"/>
  <c r="W318" i="1"/>
  <c r="X317" i="1"/>
  <c r="W317" i="1"/>
  <c r="X316" i="1"/>
  <c r="W316" i="1"/>
  <c r="X315" i="1"/>
  <c r="W315" i="1"/>
  <c r="X314" i="1"/>
  <c r="W314" i="1"/>
  <c r="X313" i="1"/>
  <c r="W313" i="1"/>
  <c r="X312" i="1"/>
  <c r="W312" i="1"/>
  <c r="X311" i="1"/>
  <c r="W311" i="1"/>
  <c r="X310" i="1"/>
  <c r="W310" i="1"/>
  <c r="X309" i="1"/>
  <c r="W309" i="1"/>
  <c r="X306" i="1"/>
  <c r="W306" i="1"/>
  <c r="X305" i="1"/>
  <c r="W305" i="1"/>
  <c r="X304" i="1"/>
  <c r="W304" i="1"/>
  <c r="X303" i="1"/>
  <c r="W303" i="1"/>
  <c r="X302" i="1"/>
  <c r="W302" i="1"/>
  <c r="X301" i="1"/>
  <c r="W301" i="1"/>
  <c r="X300" i="1"/>
  <c r="W300" i="1"/>
  <c r="X299" i="1"/>
  <c r="W299" i="1"/>
  <c r="X298" i="1"/>
  <c r="W298" i="1"/>
  <c r="X297" i="1"/>
  <c r="W297" i="1"/>
  <c r="X296" i="1"/>
  <c r="W296" i="1"/>
  <c r="X295" i="1"/>
  <c r="W295" i="1"/>
  <c r="X294" i="1"/>
  <c r="W294" i="1"/>
  <c r="X293" i="1"/>
  <c r="W293" i="1"/>
  <c r="X292" i="1"/>
  <c r="W292" i="1"/>
  <c r="X291" i="1"/>
  <c r="W291" i="1"/>
  <c r="X290" i="1"/>
  <c r="W290" i="1"/>
  <c r="X289" i="1"/>
  <c r="W289" i="1"/>
  <c r="X288" i="1"/>
  <c r="W288" i="1"/>
  <c r="X287" i="1"/>
  <c r="W287" i="1"/>
  <c r="X286" i="1"/>
  <c r="W286" i="1"/>
  <c r="X285" i="1"/>
  <c r="W285" i="1"/>
  <c r="X284" i="1"/>
  <c r="W284" i="1"/>
  <c r="X283" i="1"/>
  <c r="W283" i="1"/>
  <c r="X282" i="1"/>
  <c r="W282" i="1"/>
  <c r="X281" i="1"/>
  <c r="W281" i="1"/>
  <c r="X280" i="1"/>
  <c r="W280" i="1"/>
  <c r="X279" i="1"/>
  <c r="W279" i="1"/>
  <c r="X278" i="1"/>
  <c r="W278" i="1"/>
  <c r="X277" i="1"/>
  <c r="W277" i="1"/>
  <c r="X276" i="1"/>
  <c r="W276" i="1"/>
  <c r="X275" i="1"/>
  <c r="W275" i="1"/>
  <c r="X274" i="1"/>
  <c r="W274" i="1"/>
  <c r="X273" i="1"/>
  <c r="W273" i="1"/>
  <c r="X272" i="1"/>
  <c r="W272" i="1"/>
  <c r="X271" i="1"/>
  <c r="W271" i="1"/>
  <c r="X270" i="1"/>
  <c r="W270" i="1"/>
  <c r="X269" i="1"/>
  <c r="W269" i="1"/>
  <c r="X268" i="1"/>
  <c r="W268" i="1"/>
  <c r="X267" i="1"/>
  <c r="W267" i="1"/>
  <c r="X266" i="1"/>
  <c r="W266" i="1"/>
  <c r="X265" i="1"/>
  <c r="W265" i="1"/>
  <c r="X264" i="1"/>
  <c r="W264" i="1"/>
  <c r="X263" i="1"/>
  <c r="W263" i="1"/>
  <c r="X262" i="1"/>
  <c r="W262" i="1"/>
  <c r="X261" i="1"/>
  <c r="W261" i="1"/>
  <c r="X260" i="1"/>
  <c r="W260" i="1"/>
  <c r="X259" i="1"/>
  <c r="W259" i="1"/>
  <c r="X258" i="1"/>
  <c r="W258" i="1"/>
  <c r="X257" i="1"/>
  <c r="W257" i="1"/>
  <c r="X256" i="1"/>
  <c r="W256" i="1"/>
  <c r="X255" i="1"/>
  <c r="W255" i="1"/>
  <c r="X254" i="1"/>
  <c r="W254" i="1"/>
  <c r="X239" i="1"/>
  <c r="W239" i="1"/>
  <c r="X238" i="1"/>
  <c r="W238" i="1"/>
  <c r="V238" i="1"/>
  <c r="V237" i="1"/>
  <c r="X237" i="1" s="1"/>
  <c r="X236" i="1"/>
  <c r="W236" i="1"/>
  <c r="V236" i="1"/>
  <c r="X235" i="1"/>
  <c r="W235" i="1"/>
  <c r="V235" i="1"/>
  <c r="V234" i="1"/>
  <c r="X234" i="1" s="1"/>
  <c r="W233" i="1"/>
  <c r="V233" i="1"/>
  <c r="X233" i="1" s="1"/>
  <c r="X232" i="1"/>
  <c r="W232" i="1"/>
  <c r="V232" i="1"/>
  <c r="X231" i="1"/>
  <c r="W231" i="1"/>
  <c r="V231" i="1"/>
  <c r="X230" i="1"/>
  <c r="W230" i="1"/>
  <c r="V230" i="1"/>
  <c r="V229" i="1"/>
  <c r="X229" i="1" s="1"/>
  <c r="X228" i="1"/>
  <c r="W228" i="1"/>
  <c r="V228" i="1"/>
  <c r="X227" i="1"/>
  <c r="W227" i="1"/>
  <c r="X226" i="1"/>
  <c r="W226" i="1"/>
  <c r="X225" i="1"/>
  <c r="W225" i="1"/>
  <c r="V225" i="1"/>
  <c r="X224" i="1"/>
  <c r="W224" i="1"/>
  <c r="V224" i="1"/>
  <c r="X223" i="1"/>
  <c r="W223" i="1"/>
  <c r="V223" i="1"/>
  <c r="X219" i="1"/>
  <c r="W219" i="1"/>
  <c r="V219" i="1"/>
  <c r="W218" i="1"/>
  <c r="V218" i="1"/>
  <c r="X218" i="1" s="1"/>
  <c r="V217" i="1"/>
  <c r="X217" i="1" s="1"/>
  <c r="X216" i="1"/>
  <c r="W216" i="1"/>
  <c r="V216" i="1"/>
  <c r="V215" i="1"/>
  <c r="X215" i="1" s="1"/>
  <c r="X214" i="1"/>
  <c r="W214" i="1"/>
  <c r="V214" i="1"/>
  <c r="V213" i="1"/>
  <c r="X213" i="1" s="1"/>
  <c r="X212" i="1"/>
  <c r="W212" i="1"/>
  <c r="V212" i="1"/>
  <c r="X211" i="1"/>
  <c r="V211" i="1"/>
  <c r="W211" i="1" s="1"/>
  <c r="X210" i="1"/>
  <c r="W210" i="1"/>
  <c r="X209" i="1"/>
  <c r="W209" i="1"/>
  <c r="X194" i="1"/>
  <c r="W194" i="1"/>
  <c r="X193" i="1"/>
  <c r="W193" i="1"/>
  <c r="V193" i="1"/>
  <c r="X192" i="1"/>
  <c r="V192" i="1"/>
  <c r="W192" i="1" s="1"/>
  <c r="X191" i="1"/>
  <c r="W191" i="1"/>
  <c r="V191" i="1"/>
  <c r="X190" i="1"/>
  <c r="W190" i="1"/>
  <c r="V190" i="1"/>
  <c r="V189" i="1"/>
  <c r="X189" i="1" s="1"/>
  <c r="X188" i="1"/>
  <c r="W188" i="1"/>
  <c r="V188" i="1"/>
  <c r="X187" i="1"/>
  <c r="W187" i="1"/>
  <c r="V187" i="1"/>
  <c r="V186" i="1"/>
  <c r="W186" i="1" s="1"/>
  <c r="X185" i="1"/>
  <c r="W185" i="1"/>
  <c r="V185" i="1"/>
  <c r="X184" i="1"/>
  <c r="W184" i="1"/>
  <c r="X183" i="1"/>
  <c r="W183" i="1"/>
  <c r="X182" i="1"/>
  <c r="W182" i="1"/>
  <c r="V182" i="1"/>
  <c r="X181" i="1"/>
  <c r="W181" i="1"/>
  <c r="V181" i="1"/>
  <c r="V180" i="1"/>
  <c r="W180" i="1" s="1"/>
  <c r="V179" i="1"/>
  <c r="X179" i="1" s="1"/>
  <c r="X178" i="1"/>
  <c r="W178" i="1"/>
  <c r="V178" i="1"/>
  <c r="X174" i="1"/>
  <c r="W174" i="1"/>
  <c r="V174" i="1"/>
  <c r="X173" i="1"/>
  <c r="W173" i="1"/>
  <c r="V173" i="1"/>
  <c r="V172" i="1"/>
  <c r="X172" i="1" s="1"/>
  <c r="X171" i="1"/>
  <c r="W171" i="1"/>
  <c r="V171" i="1"/>
  <c r="X170" i="1"/>
  <c r="W170" i="1"/>
  <c r="V170" i="1"/>
  <c r="V169" i="1"/>
  <c r="X169" i="1" s="1"/>
  <c r="W168" i="1"/>
  <c r="V168" i="1"/>
  <c r="X168" i="1" s="1"/>
  <c r="X167" i="1"/>
  <c r="W167" i="1"/>
  <c r="V167" i="1"/>
  <c r="X166" i="1"/>
  <c r="W166" i="1"/>
  <c r="V166" i="1"/>
  <c r="X165" i="1"/>
  <c r="W165" i="1"/>
  <c r="V165" i="1"/>
  <c r="X164" i="1"/>
  <c r="W164" i="1"/>
  <c r="V164" i="1"/>
  <c r="X163" i="1"/>
  <c r="V163" i="1"/>
  <c r="W163" i="1" s="1"/>
  <c r="X162" i="1"/>
  <c r="W162" i="1"/>
  <c r="X161" i="1"/>
  <c r="W161" i="1"/>
  <c r="X146" i="1"/>
  <c r="W146" i="1"/>
  <c r="X145" i="1"/>
  <c r="W145" i="1"/>
  <c r="V145" i="1"/>
  <c r="V144" i="1"/>
  <c r="X144" i="1" s="1"/>
  <c r="X143" i="1"/>
  <c r="W143" i="1"/>
  <c r="V143" i="1"/>
  <c r="V142" i="1"/>
  <c r="X142" i="1" s="1"/>
  <c r="V141" i="1"/>
  <c r="X141" i="1" s="1"/>
  <c r="V140" i="1"/>
  <c r="V139" i="1"/>
  <c r="V138" i="1"/>
  <c r="W137" i="1"/>
  <c r="V137" i="1"/>
  <c r="V136" i="1"/>
  <c r="W136" i="1" s="1"/>
  <c r="X135" i="1"/>
  <c r="W135" i="1"/>
  <c r="X134" i="1"/>
  <c r="W134" i="1"/>
  <c r="X133" i="1"/>
  <c r="W133" i="1"/>
  <c r="V133" i="1"/>
  <c r="X132" i="1"/>
  <c r="W132" i="1"/>
  <c r="V132" i="1"/>
  <c r="V131" i="1"/>
  <c r="X131" i="1" s="1"/>
  <c r="V130" i="1"/>
  <c r="X130" i="1" s="1"/>
  <c r="X129" i="1"/>
  <c r="W129" i="1"/>
  <c r="V129" i="1"/>
  <c r="X128" i="1"/>
  <c r="V128" i="1"/>
  <c r="W128" i="1" s="1"/>
  <c r="X127" i="1"/>
  <c r="V127" i="1"/>
  <c r="W127" i="1" s="1"/>
  <c r="X126" i="1"/>
  <c r="W126" i="1"/>
  <c r="V126" i="1"/>
  <c r="X125" i="1"/>
  <c r="V125" i="1"/>
  <c r="W125" i="1" s="1"/>
  <c r="X124" i="1"/>
  <c r="V124" i="1"/>
  <c r="W124" i="1" s="1"/>
  <c r="W123" i="1"/>
  <c r="V123" i="1"/>
  <c r="X123" i="1" s="1"/>
  <c r="X122" i="1"/>
  <c r="W122" i="1"/>
  <c r="V122" i="1"/>
  <c r="X121" i="1"/>
  <c r="W121" i="1"/>
  <c r="V121" i="1"/>
  <c r="X120" i="1"/>
  <c r="W120" i="1"/>
  <c r="V120" i="1"/>
  <c r="X119" i="1"/>
  <c r="W119" i="1"/>
  <c r="V119" i="1"/>
  <c r="X114" i="1"/>
  <c r="W114" i="1"/>
  <c r="V114" i="1"/>
  <c r="X113" i="1"/>
  <c r="W113" i="1"/>
  <c r="V113" i="1"/>
  <c r="X112" i="1"/>
  <c r="W112" i="1"/>
  <c r="V112" i="1"/>
  <c r="V110" i="1"/>
  <c r="X110" i="1" s="1"/>
  <c r="X109" i="1"/>
  <c r="W109" i="1"/>
  <c r="V109" i="1"/>
  <c r="X108" i="1"/>
  <c r="W108" i="1"/>
  <c r="V108" i="1"/>
  <c r="X107" i="1"/>
  <c r="W107" i="1"/>
  <c r="V107" i="1"/>
  <c r="V106" i="1"/>
  <c r="X106" i="1" s="1"/>
  <c r="X105" i="1"/>
  <c r="W105" i="1"/>
  <c r="V105" i="1"/>
  <c r="X102" i="1"/>
  <c r="V102" i="1"/>
  <c r="W102" i="1" s="1"/>
  <c r="V101" i="1"/>
  <c r="W101" i="1" s="1"/>
  <c r="X100" i="1"/>
  <c r="W100" i="1"/>
  <c r="V100" i="1"/>
  <c r="X99" i="1"/>
  <c r="V99" i="1"/>
  <c r="W99" i="1" s="1"/>
  <c r="X98" i="1"/>
  <c r="W98" i="1"/>
  <c r="X97" i="1"/>
  <c r="W97" i="1"/>
  <c r="X96" i="1"/>
  <c r="W96" i="1"/>
  <c r="V96" i="1"/>
  <c r="X93" i="1"/>
  <c r="W93" i="1"/>
  <c r="V93" i="1"/>
  <c r="W92" i="1"/>
  <c r="V92" i="1"/>
  <c r="X92" i="1" s="1"/>
  <c r="X91" i="1"/>
  <c r="W91" i="1"/>
  <c r="V91" i="1"/>
  <c r="X90" i="1"/>
  <c r="W90" i="1"/>
  <c r="V90" i="1"/>
  <c r="X89" i="1"/>
  <c r="W89" i="1"/>
  <c r="V89" i="1"/>
  <c r="X88" i="1"/>
  <c r="W88" i="1"/>
  <c r="V88" i="1"/>
  <c r="X85" i="1"/>
  <c r="W85" i="1"/>
  <c r="V85" i="1"/>
  <c r="X84" i="1"/>
  <c r="W84" i="1"/>
  <c r="V84" i="1"/>
  <c r="V83" i="1"/>
  <c r="X83" i="1" s="1"/>
  <c r="V82" i="1"/>
  <c r="X82" i="1" s="1"/>
  <c r="V81" i="1"/>
  <c r="X81" i="1" s="1"/>
  <c r="X80" i="1"/>
  <c r="W80" i="1"/>
  <c r="V80" i="1"/>
  <c r="V79" i="1"/>
  <c r="X79" i="1" s="1"/>
  <c r="X78" i="1"/>
  <c r="W78" i="1"/>
  <c r="V78" i="1"/>
  <c r="X77" i="1"/>
  <c r="W77" i="1"/>
  <c r="V77" i="1"/>
  <c r="X76" i="1"/>
  <c r="W76" i="1"/>
  <c r="V76" i="1"/>
  <c r="X72" i="1"/>
  <c r="W72" i="1"/>
  <c r="V72" i="1"/>
  <c r="W71" i="1"/>
  <c r="V71" i="1"/>
  <c r="X71" i="1" s="1"/>
  <c r="X70" i="1"/>
  <c r="V70" i="1"/>
  <c r="W70" i="1" s="1"/>
  <c r="X69" i="1"/>
  <c r="W69" i="1"/>
  <c r="V69" i="1"/>
  <c r="X68" i="1"/>
  <c r="W68" i="1"/>
  <c r="V68" i="1"/>
  <c r="V67" i="1"/>
  <c r="X67" i="1" s="1"/>
  <c r="X66" i="1"/>
  <c r="W66" i="1"/>
  <c r="V66" i="1"/>
  <c r="X65" i="1"/>
  <c r="W65" i="1"/>
  <c r="V65" i="1"/>
  <c r="X64" i="1"/>
  <c r="W64" i="1"/>
  <c r="V64" i="1"/>
  <c r="X63" i="1"/>
  <c r="W63" i="1"/>
  <c r="V63" i="1"/>
  <c r="X54" i="1"/>
  <c r="V54" i="1"/>
  <c r="W54" i="1" s="1"/>
  <c r="X53" i="1"/>
  <c r="W53" i="1"/>
  <c r="V53" i="1"/>
  <c r="X52" i="1"/>
  <c r="V52" i="1"/>
  <c r="W52" i="1" s="1"/>
  <c r="X50" i="1"/>
  <c r="V50" i="1"/>
  <c r="W50" i="1" s="1"/>
  <c r="X49" i="1"/>
  <c r="W49" i="1"/>
  <c r="V49" i="1"/>
  <c r="X48" i="1"/>
  <c r="V48" i="1"/>
  <c r="W48" i="1" s="1"/>
  <c r="X47" i="1"/>
  <c r="W47" i="1"/>
  <c r="V47" i="1"/>
  <c r="W46" i="1"/>
  <c r="V46" i="1"/>
  <c r="X46" i="1" s="1"/>
  <c r="X45" i="1"/>
  <c r="W45" i="1"/>
  <c r="V45" i="1"/>
  <c r="X44" i="1"/>
  <c r="W44" i="1"/>
  <c r="V44" i="1"/>
  <c r="X42" i="1"/>
  <c r="W42" i="1"/>
  <c r="V42" i="1"/>
  <c r="X41" i="1"/>
  <c r="W41" i="1"/>
  <c r="X40" i="1"/>
  <c r="W40" i="1"/>
  <c r="X39" i="1"/>
  <c r="W39" i="1"/>
  <c r="V39" i="1"/>
  <c r="X38" i="1"/>
  <c r="V38" i="1"/>
  <c r="W38" i="1" s="1"/>
  <c r="X37" i="1"/>
  <c r="W37" i="1"/>
  <c r="V37" i="1"/>
  <c r="X36" i="1"/>
  <c r="W36" i="1"/>
  <c r="V36" i="1"/>
  <c r="X31" i="1"/>
  <c r="W31" i="1"/>
  <c r="V31" i="1"/>
  <c r="X30" i="1"/>
  <c r="V30" i="1"/>
  <c r="W30" i="1" s="1"/>
  <c r="X29" i="1"/>
  <c r="W29" i="1"/>
  <c r="V29" i="1"/>
  <c r="V28" i="1"/>
  <c r="X28" i="1" s="1"/>
  <c r="X27" i="1"/>
  <c r="W27" i="1"/>
  <c r="V27" i="1"/>
  <c r="X26" i="1"/>
  <c r="V26" i="1"/>
  <c r="W26" i="1" s="1"/>
  <c r="X25" i="1"/>
  <c r="W25" i="1"/>
  <c r="V25" i="1"/>
  <c r="X24" i="1"/>
  <c r="V24" i="1"/>
  <c r="W24" i="1" s="1"/>
  <c r="X23" i="1"/>
  <c r="W23" i="1"/>
  <c r="V23" i="1"/>
  <c r="X22" i="1"/>
  <c r="W22" i="1"/>
  <c r="V22" i="1"/>
  <c r="X21" i="1"/>
  <c r="W21" i="1"/>
  <c r="V21" i="1"/>
  <c r="V20" i="1"/>
  <c r="X20" i="1" s="1"/>
  <c r="W19" i="1"/>
  <c r="V19" i="1"/>
  <c r="X19" i="1" s="1"/>
  <c r="X18" i="1"/>
  <c r="W18" i="1"/>
  <c r="X17" i="1"/>
  <c r="W17" i="1"/>
  <c r="X16" i="1"/>
  <c r="W16" i="1"/>
  <c r="X15" i="1"/>
  <c r="W15" i="1"/>
  <c r="V14" i="1"/>
  <c r="X14" i="1" s="1"/>
  <c r="X13" i="1"/>
  <c r="W13" i="1"/>
  <c r="X11" i="1"/>
  <c r="W11" i="1"/>
  <c r="X10" i="1"/>
  <c r="W10" i="1"/>
  <c r="X5" i="1"/>
  <c r="W5" i="1"/>
  <c r="X4" i="1"/>
  <c r="W4" i="1"/>
  <c r="X3" i="1"/>
  <c r="W3" i="1"/>
  <c r="X2" i="1"/>
  <c r="W2" i="1"/>
  <c r="W83" i="1" l="1"/>
  <c r="W217" i="1"/>
  <c r="W106" i="1"/>
  <c r="W141" i="1"/>
  <c r="W172" i="1"/>
  <c r="X180" i="1"/>
  <c r="X186" i="1"/>
  <c r="W237" i="1"/>
  <c r="W28" i="1"/>
  <c r="W79" i="1"/>
  <c r="W142" i="1"/>
  <c r="W213" i="1"/>
  <c r="W20" i="1"/>
  <c r="W234" i="1"/>
  <c r="W67" i="1"/>
  <c r="W189" i="1"/>
  <c r="W229" i="1"/>
  <c r="W81" i="1"/>
  <c r="W130" i="1"/>
  <c r="W144" i="1"/>
  <c r="W215" i="1"/>
  <c r="W169" i="1"/>
  <c r="X101" i="1"/>
  <c r="X331" i="1" s="1"/>
  <c r="W14" i="1"/>
  <c r="W331" i="1" s="1"/>
  <c r="W82" i="1"/>
  <c r="W110" i="1"/>
  <c r="W131" i="1"/>
  <c r="W179" i="1"/>
</calcChain>
</file>

<file path=xl/sharedStrings.xml><?xml version="1.0" encoding="utf-8"?>
<sst xmlns="http://schemas.openxmlformats.org/spreadsheetml/2006/main" count="12943" uniqueCount="5865">
  <si>
    <t>type</t>
  </si>
  <si>
    <t>name</t>
  </si>
  <si>
    <t>label::English (en)</t>
  </si>
  <si>
    <t>label::Ukrainian (uk)</t>
  </si>
  <si>
    <t>hint::English (en)</t>
  </si>
  <si>
    <t>hint::Ukrainian (uk)</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</si>
  <si>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</si>
  <si>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</si>
  <si>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</si>
  <si>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</si>
  <si>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</si>
  <si>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</si>
  <si>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</si>
  <si>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</si>
  <si>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</si>
  <si>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</si>
  <si>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</si>
  <si>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</si>
  <si>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</si>
  <si>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</si>
  <si>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</si>
  <si>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</si>
  <si>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</si>
  <si>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</si>
  <si>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</si>
  <si>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</si>
  <si>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</si>
  <si>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</si>
  <si>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</si>
  <si>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</si>
  <si>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</si>
  <si>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</si>
  <si>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</si>
  <si>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</si>
  <si>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</si>
  <si>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</si>
  <si>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</si>
  <si>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</si>
  <si>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</si>
  <si>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</si>
  <si>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</si>
  <si>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</si>
  <si>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</si>
  <si>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</si>
  <si>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</si>
  <si>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false</t>
  </si>
  <si>
    <t>no</t>
  </si>
  <si>
    <t>select_one yesno</t>
  </si>
  <si>
    <t>resp_agree</t>
  </si>
  <si>
    <t>Are you interested in participating in this survey?</t>
  </si>
  <si>
    <t>Refusal</t>
  </si>
  <si>
    <t>Thank you for your time, you will be removed from today's survey.</t>
  </si>
  <si>
    <t>${resp_agree} = '2'</t>
  </si>
  <si>
    <t>begin_group</t>
  </si>
  <si>
    <t>eligibility</t>
  </si>
  <si>
    <t>ELIGIBILITY CRITERIA</t>
  </si>
  <si>
    <t>${resp_agree} = '1'</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</si>
  <si>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</si>
  <si>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</si>
  <si>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</si>
  <si>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</si>
  <si>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</si>
  <si>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</si>
  <si>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</si>
  <si>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</si>
  <si>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</si>
  <si>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</si>
  <si>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</si>
  <si>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t>(. &gt;= 18 and . &lt;= 100) or . = 888</t>
  </si>
  <si>
    <t>select_one gender</t>
  </si>
  <si>
    <t>resp_gender</t>
  </si>
  <si>
    <t>What is the gender of the respondent?</t>
  </si>
  <si>
    <t>[INSTRUCTIONS: DO NOT ASK THIS QUESTION OUT LOUD. SELECT THE GENDER OF THE RESPONDENT.]</t>
  </si>
  <si>
    <t>phone_number_personal</t>
  </si>
  <si>
    <t>What is your phone number?</t>
  </si>
  <si>
    <t>numbers</t>
  </si>
  <si>
    <t>regex(.,’^[0-9]{17}$’)</t>
  </si>
  <si>
    <t>Please enter the telephone number in the correct format, e.g. +38-0XX-XXX-XX-XX</t>
  </si>
  <si>
    <t>yes - panel</t>
  </si>
  <si>
    <t>select_one admin1</t>
  </si>
  <si>
    <t>adm1_pcode</t>
  </si>
  <si>
    <t>Currently, in which oblast does your household reside?</t>
  </si>
  <si>
    <t>[HINT: HOUSEHOLD CONSISTS OF ALL MEMBERS LIVING TOGETHER, SHARING RESOURCES &amp; EATING FROM THE SAME POT.]</t>
  </si>
  <si>
    <t>autocomplete</t>
  </si>
  <si>
    <t>adm1_name</t>
  </si>
  <si>
    <t>jr:choice-name(${adm1_pcode},'${adm1_pcode}')</t>
  </si>
  <si>
    <t>select_one admin2</t>
  </si>
  <si>
    <t xml:space="preserve">adm2_pcode </t>
  </si>
  <si>
    <t>Currently, in which rayon does your household reside?</t>
  </si>
  <si>
    <t>my_filter_admin=${adm1_pcode}</t>
  </si>
  <si>
    <t>adm2_name</t>
  </si>
  <si>
    <t>jr:choice-name(${adm2_pcode},'${adm2_pcode}')</t>
  </si>
  <si>
    <t>select_one admin3</t>
  </si>
  <si>
    <t>o_adm3_pcode</t>
  </si>
  <si>
    <t>my_filter_admin=${adm2_pcode}</t>
  </si>
  <si>
    <t>o_adm3_name</t>
  </si>
  <si>
    <t>jr:choice-name(${o_adm3_pcode},'${o_adm3_pcode}')</t>
  </si>
  <si>
    <t>select_one rural</t>
  </si>
  <si>
    <t>o_rural_urban</t>
  </si>
  <si>
    <t>Which of the following best describes your current location of residence?</t>
  </si>
  <si>
    <t>select_one frontline</t>
  </si>
  <si>
    <t>o_frontline</t>
  </si>
  <si>
    <t>Approximately how far from the front-line does your household reside?</t>
  </si>
  <si>
    <t>${adm1_pcode} = 'UA12' or ${adm1_pcode} = 'UA65' or ${adm1_pcode} = 'UA23' or ${adm1_pcode} = 'UA14' or ${adm1_pcode} = 'UA63' or ${adm1_pcode} = 'UA59' or ${adm1_pcode} = 'UA74'</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</si>
  <si>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</si>
  <si>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</si>
  <si>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</si>
  <si>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</si>
  <si>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select_one yes_no</t>
  </si>
  <si>
    <t>hh_fish</t>
  </si>
  <si>
    <t xml:space="preserve">Has anybody in your household been engaged in aquatic production [fish catch or aquaculture farming] for household consumption or for sales in the past 12 months? </t>
  </si>
  <si>
    <t>[HINT FOR PROBING: It should not include sports fishing. It should be about production of aquatic products [fish catch or aquaculture farming] for household consumption or sales.]</t>
  </si>
  <si>
    <t>end_group</t>
  </si>
  <si>
    <t>generalInfo</t>
  </si>
  <si>
    <t>GENERAL INFORMATION</t>
  </si>
  <si>
    <t>${resp_agree} = '1' and ${hh_agricactivity} != '5' and ${hh_agricactivity} != '6'</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</si>
  <si>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</si>
  <si>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</si>
  <si>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</si>
  <si>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</si>
  <si>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</si>
  <si>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</si>
  <si>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</si>
  <si>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</si>
  <si>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</si>
  <si>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</si>
  <si>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</si>
  <si>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residence</t>
  </si>
  <si>
    <t>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</si>
  <si>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</si>
  <si>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</si>
  <si>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o_hh_residencetype</t>
  </si>
  <si>
    <t>For how many months have you been living in your current location?</t>
  </si>
  <si>
    <t>[ROUND TO THE NEAREST WHOLE NUMBER]</t>
  </si>
  <si>
    <t>(. &gt;= 1 and . &lt;= 24)</t>
  </si>
  <si>
    <t>${hh_residencetype} = '2' or ${hh_residencetype} = '3' or ${hh_residencetype} =  '4' or ${hh_residencetype} = '5'</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</si>
  <si>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</si>
  <si>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</si>
  <si>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</si>
  <si>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</si>
  <si>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select_one maritalstat</t>
  </si>
  <si>
    <t>hh_maritalstat</t>
  </si>
  <si>
    <t xml:space="preserve">What is the head of household’s current marital status? </t>
  </si>
  <si>
    <t>select_one agegroup</t>
  </si>
  <si>
    <t>hh_age</t>
  </si>
  <si>
    <t xml:space="preserve">How old is the head of household? </t>
  </si>
  <si>
    <t>hhmodule</t>
  </si>
  <si>
    <t>[FOR DON'T KNOW, ENTER "888". FOR REFUSED ENTER "999"]</t>
  </si>
  <si>
    <t>field-list</t>
  </si>
  <si>
    <t>o_hh_label</t>
  </si>
  <si>
    <t>Of the ${hh_size} people, how many are …..?</t>
  </si>
  <si>
    <t>label</t>
  </si>
  <si>
    <t>o_hh_under5</t>
  </si>
  <si>
    <t>Of the ${hh_size} people, how many are children under 5?</t>
  </si>
  <si>
    <t>list-nolabel</t>
  </si>
  <si>
    <t xml:space="preserve">(. &gt;= 0 and . &lt;= ${hh_size}) or . = 888 or . = 999 </t>
  </si>
  <si>
    <t>o_hh_65plus</t>
  </si>
  <si>
    <t xml:space="preserve">Of the ${hh_size} people, how many were elderly (age 65+)? </t>
  </si>
  <si>
    <t>o_hh_ill</t>
  </si>
  <si>
    <t>Of the ${hh_size} people, how many have a chronic illness or disability (physical or mental)?</t>
  </si>
  <si>
    <t>o_hh_plw</t>
  </si>
  <si>
    <t xml:space="preserve">Of the ${hh_size} people, how many are pregnant or lactating women?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</si>
  <si>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</si>
  <si>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</si>
  <si>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</si>
  <si>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</si>
  <si>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</si>
  <si>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</si>
  <si>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</si>
  <si>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</si>
  <si>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</si>
  <si>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</si>
  <si>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</si>
  <si>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</si>
  <si>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</si>
  <si>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</si>
  <si>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</si>
  <si>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</si>
  <si>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</si>
  <si>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</si>
  <si>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select_one gender_inc_1</t>
  </si>
  <si>
    <t>income_main_gender</t>
  </si>
  <si>
    <t xml:space="preserve">What is the gender of the household member(s) generating income from this source? </t>
  </si>
  <si>
    <t>${income_main} != '19' and ${income_main} != '20'</t>
  </si>
  <si>
    <t>select_one gender_inc_2</t>
  </si>
  <si>
    <t>income_main_control</t>
  </si>
  <si>
    <t xml:space="preserve">Who controls the revenue that is earned from this source? </t>
  </si>
  <si>
    <t>select_one change</t>
  </si>
  <si>
    <t>income_main_comp</t>
  </si>
  <si>
    <t>Has your household's income from ${incomemain} changed in the last 3 months compared to the same period of last year?</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</si>
  <si>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</si>
  <si>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</si>
  <si>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</si>
  <si>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</si>
  <si>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</si>
  <si>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</si>
  <si>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</si>
  <si>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</si>
  <si>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</si>
  <si>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</si>
  <si>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</si>
  <si>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</si>
  <si>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</si>
  <si>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income_sec_gender</t>
  </si>
  <si>
    <t xml:space="preserve">${income_main} != '19' and ${income_main} != '20' and ${income_sec} != '19' and ${income_sec} != '20' and ${income_sec} != '21' </t>
  </si>
  <si>
    <t>income_sec_control</t>
  </si>
  <si>
    <t>income_sec_comp</t>
  </si>
  <si>
    <t>Has your household's income from ${incomesec} changed in the last 3 months compared to the same period of last year?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</si>
  <si>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</si>
  <si>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</si>
  <si>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</si>
  <si>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</si>
  <si>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</si>
  <si>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o_kakhovka</t>
  </si>
  <si>
    <t>Was your household directly or indirectly affected by the destruction of the Kakhovka dam?</t>
  </si>
  <si>
    <t>${adm1_pcode} = 'UA12' or ${adm1_pcode} = 'UA65' or ${adm1_pcode} = 'UA23' or ${adm1_pcode} =  'UA48'</t>
  </si>
  <si>
    <t>o_kakhovka_explain</t>
  </si>
  <si>
    <t>If the household was affected by the destruction of Kakhovka dam, what are the [expected] consequences for your household, in your own words?</t>
  </si>
  <si>
    <t>(${adm1_pcode} = 'UA12' or ${adm1_pcode} = 'UA65' or ${adm1_pcode} = 'UA23' or ${adm1_pcode} =  'UA48') and ${o_kakhovka} = '1'</t>
  </si>
  <si>
    <t>CropProduction_group</t>
  </si>
  <si>
    <t>CROP PRODUCTION</t>
  </si>
  <si>
    <t>${resp_agree} = '1' and (${hh_agricactivity}='1' or ${hh_agricactivity} = '3' or ${income_main_crop_check}='1' or ${income_sec_crop_check}='1')</t>
  </si>
  <si>
    <t>crp_intro</t>
  </si>
  <si>
    <t>We will now ask you some questions about crop production which apply to you and anyone in your household that is involved in crop production or sales. All questions refer to the crops grown during last season.</t>
  </si>
  <si>
    <t>decimal</t>
  </si>
  <si>
    <t>crp_landsize_num</t>
  </si>
  <si>
    <t>What is the total size of the land you can cultivate?</t>
  </si>
  <si>
    <t>[INSTRUCTIONS: RECORD THE TOTAL LAND SIZE PROVIDED BY THE RESPONDENT. WRITE 888 FOR DON'T KNOW AND 999 FOR REFUSED. MEASUREMENT UNIT WILL BE SPECIFIED IN THE FOLLOWING QUESTION.]
QUESTION REFERS TO THE LAST GROWING SEASON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</si>
  <si>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</si>
  <si>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</si>
  <si>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</si>
  <si>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</si>
  <si>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</si>
  <si>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</si>
  <si>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o_crp_landsize_change</t>
  </si>
  <si>
    <t>Has the total size of land that you can cultivate changed as compared to the summer growing season of 2021?</t>
  </si>
  <si>
    <t>o_crp_landsize_num</t>
  </si>
  <si>
    <t>What is the total size of the land you cultivated in the 2021 summer season?</t>
  </si>
  <si>
    <t>[INSTRUCTIONS: RECORD THE TOTAL LAND SIZE PROVIDED BY THE RESPONDENT. WRITE 888 FOR DON'T KNOW AND 999 FOR REFUSED. MEASUREMENT UNIT WILL BE SPECIFIED IN THE FOLLOWING QUESTION.]
QUESTION REFERS TO THE SUMMER GROWING SEASON in 2021</t>
  </si>
  <si>
    <t>${o_crp_landsize_change} != '3' or '6' or '7'</t>
  </si>
  <si>
    <t>o_crp_landsize_unit</t>
  </si>
  <si>
    <t>${o_crp_landsize_num} != 888 and ${o_crp_landsize_num} != 999</t>
  </si>
  <si>
    <t>select_one crop</t>
  </si>
  <si>
    <t>crp_main</t>
  </si>
  <si>
    <t>What is the main crop that your household grows for food or income generation in last season, if any?</t>
  </si>
  <si>
    <t>[INSTRUCTIONS: "NO CROP PRODUCTION" APPEARS AT THE END OF THE LIST OF OPTIONS.]</t>
  </si>
  <si>
    <t>crpmain</t>
  </si>
  <si>
    <t>jr:choice-name(${crp_main},'${crp_main}')</t>
  </si>
  <si>
    <t>select_one cropcheck</t>
  </si>
  <si>
    <t>crp_main_check</t>
  </si>
  <si>
    <t>Why did you not produce any crops in last season?</t>
  </si>
  <si>
    <t>${crp_main}='777'</t>
  </si>
  <si>
    <t>o_crp_mines</t>
  </si>
  <si>
    <t>Is any of your cropland currently affected by land mines, unexploded ordnance, or other remnants of war?</t>
  </si>
  <si>
    <t>select_one irrigation</t>
  </si>
  <si>
    <t>crp_irrig_source</t>
  </si>
  <si>
    <t xml:space="preserve">Where do you normally and mainly obtain water for the production of ${crpmain}? </t>
  </si>
  <si>
    <t>${crp_main} != '777' and ${crp_main} != '888' and ${crp_main} != '999'</t>
  </si>
  <si>
    <t>crp_irrig_source_otherspecify</t>
  </si>
  <si>
    <t>If other, specify.</t>
  </si>
  <si>
    <t>[INSTRUCTIONS: RECORD THE OPEN RESPONSE GIVEN IN FEW WORDS. ENTER 888 FOR DON'T KNOW AND 999 FOR REFUSED]</t>
  </si>
  <si>
    <t>${crp_irrig_source}='6' and (${crp_main} != '777' and ${crp_main} != '888' and ${crp_main} != '999')</t>
  </si>
  <si>
    <t>o_crp_irrig_kd_1</t>
  </si>
  <si>
    <t>Do you normally rely on irrigation water from the Kakhovka reservoir or Dnipro river?</t>
  </si>
  <si>
    <t>(${adm1_pcode} = 'UA12' or ${adm1_pcode} = 'UA65' or ${adm1_pcode} = 'UA23' or ${adm1_pcode} = 'UA48') and  (${crp_irrig_source} = '4')</t>
  </si>
  <si>
    <t>select_one yes_no_partial</t>
  </si>
  <si>
    <t>o_crp_irrig_kd_2</t>
  </si>
  <si>
    <t>In the last agricultural season, was irrigation water from the Kakhovka reservoir or Dnipro river available, functional, and sufficient?</t>
  </si>
  <si>
    <t>${o_crp_irrig_kd_1} = '1'</t>
  </si>
  <si>
    <t>select_one irrigation_kd</t>
  </si>
  <si>
    <t>o_crp_irrig_kd_3</t>
  </si>
  <si>
    <t>What actions did you take to mitigate the loss of irrigation water from from the Kakhovka reservoir or Dnipro river?</t>
  </si>
  <si>
    <t>${o_crp_irrig_kd_2} = '2' or ${o_crp_irrig_kd_2} =  '3'</t>
  </si>
  <si>
    <t>o_crp_irrig_kd_3_oth</t>
  </si>
  <si>
    <t>${o_crp_irrig_kd_3} = '3'</t>
  </si>
  <si>
    <t>crp_area_change</t>
  </si>
  <si>
    <t>How did the ***area planted*** for ${crpmain} from last season compare to last year?</t>
  </si>
  <si>
    <t>crp_harv_change</t>
  </si>
  <si>
    <t xml:space="preserve">How does the  ***harvest*** of ${crpmain} in the last season compare to last year? </t>
  </si>
  <si>
    <t>crp_harv_vol</t>
  </si>
  <si>
    <t>How much (threshed) ${crpmain} did you harvest this last season?</t>
  </si>
  <si>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</si>
  <si>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</si>
  <si>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</si>
  <si>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</si>
  <si>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</si>
  <si>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</si>
  <si>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</si>
  <si>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</si>
  <si>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</si>
  <si>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</si>
  <si>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</si>
  <si>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</si>
  <si>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</si>
  <si>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</si>
  <si>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</si>
  <si>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t>Has your household faced any significant difficulty ***in terms of crop production*** in last season?</t>
  </si>
  <si>
    <t>${crp_main} != '888' and ${crp_main} != '999' and ${crp_main_check} != 1</t>
  </si>
  <si>
    <t>select_multiple cropproddiff</t>
  </si>
  <si>
    <t>crp_proddif_</t>
  </si>
  <si>
    <t>Which difficulties has your household faced with crop production in last season?</t>
  </si>
  <si>
    <t>[INSTRUCTIONS: MULTIPLE RESPONSES POSSIBLE. SELECT OPTION(S) THAT BEST FIT THE INFORMATION PROVIDED BY THE RESPONDENTS.]</t>
  </si>
  <si>
    <t>if(selected(., 'ref') or selected(., 'dk'), count-selected(.) = 1, count-selected(.) &gt;= 1)</t>
  </si>
  <si>
    <t>${crp_proddif} = '1' and (${crp_main} != '888' and ${crp_main} != '999' and ${crp_main_check} != 1)</t>
  </si>
  <si>
    <t>CropSales_group</t>
  </si>
  <si>
    <t>CROP MARKETING</t>
  </si>
  <si>
    <t>${resp_agree} = '1' and (${income_main}='1' or ${income_sec}='1' or ${income_main}='2' or ${income_sec}='2' or ${income_main}='3' or ${income_sec}='3')</t>
  </si>
  <si>
    <t>crp_sales_main_1</t>
  </si>
  <si>
    <t xml:space="preserve">Was ${crpmain} the main crop that you sold over the *last 3 months*? </t>
  </si>
  <si>
    <t>select_one crop3</t>
  </si>
  <si>
    <t>crp_sales_main_2</t>
  </si>
  <si>
    <t>What was the main crop that you sold over the *last 3 months*?</t>
  </si>
  <si>
    <t>${crp_sales_main_1}='2'</t>
  </si>
  <si>
    <t>not(selected(${crp_main}, name))</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</si>
  <si>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</si>
  <si>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</si>
  <si>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</si>
  <si>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</si>
  <si>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</si>
  <si>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</si>
  <si>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</si>
  <si>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</si>
  <si>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</si>
  <si>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</si>
  <si>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</si>
  <si>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</si>
  <si>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t>How does the current price of your household's ${crp_sales_main} compare to the average price in the same period of last year?</t>
  </si>
  <si>
    <t>[INSTRUCTIONS: INSIST ON THE MAIN PRODUCT MENTIONED.]</t>
  </si>
  <si>
    <t>CropDL_group</t>
  </si>
  <si>
    <t>CROPS DAMAGE AND LOSS</t>
  </si>
  <si>
    <t>o_crp_dl</t>
  </si>
  <si>
    <t>Has your household experienced any damage or destruction to crop-related equipment, buildings or infrastructure since the start of the war?</t>
  </si>
  <si>
    <t>o_crp_dl_eq</t>
  </si>
  <si>
    <t>Damage to crop **equipment** (e.g. tractors, combines, cultivators, grass harvesters, baling equipment, etc)</t>
  </si>
  <si>
    <t>${o_crp_dl} = '1'</t>
  </si>
  <si>
    <t>o_crp_dl_eq_num</t>
  </si>
  <si>
    <t>How many items were damaged or destroyed?</t>
  </si>
  <si>
    <t>[FOR DON'T KNOW, ENTER "888". FOR REFUSED ENTER "999"] FOR NO DAMAGE TO THIS CATEGORY OF ITEMS, ENTER '0'</t>
  </si>
  <si>
    <t xml:space="preserve">(. &gt;= 0 and . &lt;= 10000) or . = 888 or . = 999 </t>
  </si>
  <si>
    <t>o_crp_dl_eq_value1</t>
  </si>
  <si>
    <t>What is the total replacement value of **completely destroyed** items in UAH?</t>
  </si>
  <si>
    <t xml:space="preserve">(. &gt;= 0 and . &lt;= 10000000000) or . = 888 or . = 999 </t>
  </si>
  <si>
    <t>${o_crp_dl_eq_num} &gt;= 1</t>
  </si>
  <si>
    <t>o_crp_dl_eq_value2</t>
  </si>
  <si>
    <t>What is the total repair value of **damaged** items in UAH?</t>
  </si>
  <si>
    <t>o_crp_dl_inf</t>
  </si>
  <si>
    <t>Damage to crop **buildings or infrastructure** (e.g. greenhouses, warehouses, storage, etc)</t>
  </si>
  <si>
    <t>o_crp_dl_inf_num</t>
  </si>
  <si>
    <t>o_crp_dl_inf_value1</t>
  </si>
  <si>
    <t>${o_crp_dl_inf_num} &gt;= 1</t>
  </si>
  <si>
    <t>o_crp_dl_inf_value2</t>
  </si>
  <si>
    <t>Livestock_group</t>
  </si>
  <si>
    <t>LIVESTOCK PRODUCTION</t>
  </si>
  <si>
    <t>${resp_agree} = '1' and (${hh_agricactivity}='2' or ${hh_agricactivity} = '3' or ${income_main_ls_check}='1' or ${income_sec_ls_check}='1')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</si>
  <si>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</si>
  <si>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</si>
  <si>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</si>
  <si>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</si>
  <si>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</si>
  <si>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</si>
  <si>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</si>
  <si>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</si>
  <si>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</si>
  <si>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</si>
  <si>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</si>
  <si>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</si>
  <si>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</si>
  <si>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</si>
  <si>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</si>
  <si>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</si>
  <si>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</si>
  <si>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</si>
  <si>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</si>
  <si>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</si>
  <si>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</si>
  <si>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</si>
  <si>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[INSTRUCTIONS: MULTIPLE RESPONSES POSSIBLE.]</t>
  </si>
  <si>
    <t>if(selected(., 'inc_dec_dk') or selected(., 'inc_dec_ref'), count-selected(.) = 1, count-selected(.) &gt;= 1)</t>
  </si>
  <si>
    <t>select_multiple lsfood</t>
  </si>
  <si>
    <t>ls_feed</t>
  </si>
  <si>
    <t xml:space="preserve">Where do you usually access feed for your ${lsmain}? </t>
  </si>
  <si>
    <t>o_ls_mines</t>
  </si>
  <si>
    <t>Is any of the land you use to raise livestock currently affected by land mines, unexploded ordnance, or other remnants of war?</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</si>
  <si>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</si>
  <si>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</si>
  <si>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</si>
  <si>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</si>
  <si>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</si>
  <si>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</si>
  <si>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LivestockSales_group</t>
  </si>
  <si>
    <t xml:space="preserve">LIVESTOCK &amp; LIVESTOCK PRODUCT MARKETING </t>
  </si>
  <si>
    <t>${resp_agree} = '1' and (${income_main}='4' or ${income_sec}='4')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</si>
  <si>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</si>
  <si>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</si>
  <si>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</si>
  <si>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</si>
  <si>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</si>
  <si>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</si>
  <si>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</si>
  <si>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</si>
  <si>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</si>
  <si>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</si>
  <si>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</si>
  <si>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</si>
  <si>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t>How does the current price of your household's ${lssalesmain} compare to the average price in the same period of last year?</t>
  </si>
  <si>
    <t>LivestockDL_group</t>
  </si>
  <si>
    <t>LIVESTOCK DAMAGE AND LOSS</t>
  </si>
  <si>
    <t>o_ls_dl</t>
  </si>
  <si>
    <t>Has your household experienced any damage or destruction to livestock-related equipment, buildings or infrastructure since the start of the war?</t>
  </si>
  <si>
    <t>o_ls_dl_eq</t>
  </si>
  <si>
    <t>Damage to livestock **equipment** (e.g. milking machines, etc)</t>
  </si>
  <si>
    <t>${o_ls_dl} = '1'</t>
  </si>
  <si>
    <t>o_ls_dl_eq_num</t>
  </si>
  <si>
    <t>o_ls_dl_eq_value1</t>
  </si>
  <si>
    <t>${o_ls_dl_eq_num} &gt;= 1</t>
  </si>
  <si>
    <t>o_ls_dl_eq_value2</t>
  </si>
  <si>
    <t>o_ls_dl_inf</t>
  </si>
  <si>
    <t>Damage to livestock **buildings or infrastructure** (e.g. animal pens/sheds, barns, warehouses, storage, etc)</t>
  </si>
  <si>
    <t>o_ls_dl_inf_num</t>
  </si>
  <si>
    <t>o_ls_dl_inf_value1</t>
  </si>
  <si>
    <t>${o_ls_dl_inf_num} &gt;= 1</t>
  </si>
  <si>
    <t>o_ls_dl_inf_value2</t>
  </si>
  <si>
    <t>Fishing_group</t>
  </si>
  <si>
    <t>FISHING / AQUACULTURE PRODUCTION</t>
  </si>
  <si>
    <t>${resp_agree} = '1' and (${income_main_fish_check}='1' or ${income_sec_fish_check}='1' or ${hh_fish}='1')</t>
  </si>
  <si>
    <t>fish_intro</t>
  </si>
  <si>
    <t>We will now ask you some questions about fishing and aquaculture production which apply to you and anyone in your household that is involved in the capture, culture, or harvest of fish and aquatic products.</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</si>
  <si>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</si>
  <si>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</si>
  <si>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</si>
  <si>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</si>
  <si>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</si>
  <si>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</si>
  <si>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</si>
  <si>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</si>
  <si>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</si>
  <si>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</si>
  <si>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</si>
  <si>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</si>
  <si>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</si>
  <si>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</si>
  <si>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o_fish_mines</t>
  </si>
  <si>
    <t>Are any of the areas you use for fishing or aquaculture currently affected by land mines, unexploded ordnance, or other remnants of war?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</si>
  <si>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</si>
  <si>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</si>
  <si>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</si>
  <si>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</si>
  <si>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</si>
  <si>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</si>
  <si>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</si>
  <si>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</si>
  <si>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</si>
  <si>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</si>
  <si>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</si>
  <si>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</si>
  <si>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</si>
  <si>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</si>
  <si>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</si>
  <si>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</si>
  <si>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</si>
  <si>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</si>
  <si>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</si>
  <si>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</si>
  <si>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</si>
  <si>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</si>
  <si>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</si>
  <si>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</si>
  <si>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</si>
  <si>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</si>
  <si>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FishDL_group</t>
  </si>
  <si>
    <t>FISHING / AQUACULTURE DAMAGE AND LOSS</t>
  </si>
  <si>
    <t>o_fish_dl</t>
  </si>
  <si>
    <t>Has your household experienced any damage or destruction to fishing or aquaculture equipment, buildings or infrastructure since the start of the war?</t>
  </si>
  <si>
    <t>o_fish_dl_eq</t>
  </si>
  <si>
    <t>Damage to fishing **equipment** (e.g. boats, fishing gear, engines, etc)</t>
  </si>
  <si>
    <t>${o_fish_dl} = '1'</t>
  </si>
  <si>
    <t>o_fish_dl_eq_num</t>
  </si>
  <si>
    <t>o_fish_dl_eq_value1</t>
  </si>
  <si>
    <t>${o_fish_dl_eq_num} &gt;= 1</t>
  </si>
  <si>
    <t>o_fish_dl_eq_value2</t>
  </si>
  <si>
    <t>o_fish_dl_inf</t>
  </si>
  <si>
    <t>Damage to fishing **buildings or infrastructure** (e.g. fish ponds, warehouses, storage, etc)</t>
  </si>
  <si>
    <t>o_fish_dl_inf_num</t>
  </si>
  <si>
    <t>o_fish_dl_inf_value1</t>
  </si>
  <si>
    <t>${o_fish_dl_inf_num} &gt;= 1</t>
  </si>
  <si>
    <t>o_fish_dl_inf_value2</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</si>
  <si>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</si>
  <si>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</si>
  <si>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</si>
  <si>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</si>
  <si>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</si>
  <si>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</si>
  <si>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</si>
  <si>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</si>
  <si>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</si>
  <si>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t>During the *last 30 days*, was there a time when you or others in your household were **worried about not having enough food to eat** because of lack of money or other resources?</t>
  </si>
  <si>
    <t>fies_healthy</t>
  </si>
  <si>
    <t>During the *last 30 days*, was there a time when you or others in your household were **unable to eat healthy and nutritious food** because of lack of money or other resources?</t>
  </si>
  <si>
    <t>fies_fewfoods</t>
  </si>
  <si>
    <t>During the *last 30 days*, was there a time when you or others in your household **ate only a few kinds of foods** because of lack of money or other resources?</t>
  </si>
  <si>
    <t>fies_skipped</t>
  </si>
  <si>
    <t>During the *last 30 days*, was there a time when you or others in your household **had to skip a meal** because of lack of money or other resources to get food?</t>
  </si>
  <si>
    <t>fies_ateless</t>
  </si>
  <si>
    <t>During the *last 30 days*, was there a time when you or others in your household **ate less than you thought you should** because of lack of money or other resources?</t>
  </si>
  <si>
    <t>fies_ranout</t>
  </si>
  <si>
    <t>In the *past 30 days*, was there ever **no food to eat of any kind** in your house because of lack of resources to get food?</t>
  </si>
  <si>
    <t>select_one frequency</t>
  </si>
  <si>
    <t>fies_ranout_hhs</t>
  </si>
  <si>
    <t xml:space="preserve">How often did this happen? </t>
  </si>
  <si>
    <t>${fies_ranout} = '1'</t>
  </si>
  <si>
    <t>fies_hungry</t>
  </si>
  <si>
    <t>In the *past 30 days*, did you or any household member ever **go to sleep at night hungry**because there was not enough food?</t>
  </si>
  <si>
    <t>fies_hungry_hhs</t>
  </si>
  <si>
    <t>${fies_hungry} = '1'</t>
  </si>
  <si>
    <t>fies_whlday</t>
  </si>
  <si>
    <t>In the *past 30 days*, did you or any household member ever **go a whole day and night without eating anything at all** because there was not enough food?</t>
  </si>
  <si>
    <t>fies_whlday_hhs</t>
  </si>
  <si>
    <t>${fies_whlday} = '1'</t>
  </si>
  <si>
    <t>grp_lcsi</t>
  </si>
  <si>
    <t>LCSI</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</si>
  <si>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</si>
  <si>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</si>
  <si>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</si>
  <si>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</si>
  <si>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</si>
  <si>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</si>
  <si>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</si>
  <si>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cs_stress_eat_elsewhere</t>
  </si>
  <si>
    <t>**Send household members to eat elsewhere**</t>
  </si>
  <si>
    <t>cs_stress_credit</t>
  </si>
  <si>
    <t>**Purchase food on credit or borrowed food**</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</si>
  <si>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</si>
  <si>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</si>
  <si>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</si>
  <si>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</si>
  <si>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</si>
  <si>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</si>
  <si>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cs_crisis_decrease_input_exp</t>
  </si>
  <si>
    <t>**Decrease expenditures on fertilizer, pesticide, fodder, animal feed, veterinary care, etc.**</t>
  </si>
  <si>
    <t>cs_emergency_sold_house</t>
  </si>
  <si>
    <t>**Sell a house or land**</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</si>
  <si>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</si>
  <si>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</si>
  <si>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</si>
  <si>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</si>
  <si>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</si>
  <si>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</si>
  <si>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</si>
  <si>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</si>
  <si>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</si>
  <si>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</si>
  <si>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</si>
  <si>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</si>
  <si>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</si>
  <si>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</si>
  <si>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</si>
  <si>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</si>
  <si>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</si>
  <si>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</si>
  <si>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</si>
  <si>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</si>
  <si>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</si>
  <si>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</si>
  <si>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</si>
  <si>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</si>
  <si>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</si>
  <si>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</si>
  <si>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</si>
  <si>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</si>
  <si>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</si>
  <si>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</si>
  <si>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</si>
  <si>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</si>
  <si>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</si>
  <si>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</si>
  <si>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</si>
  <si>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</si>
  <si>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</si>
  <si>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</si>
  <si>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</si>
  <si>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</si>
  <si>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</si>
  <si>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</si>
  <si>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</si>
  <si>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</si>
  <si>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</si>
  <si>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</si>
  <si>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select_multiple week</t>
  </si>
  <si>
    <t>future_int_day</t>
  </si>
  <si>
    <t>For future interviews, in which day(s) can I call you?</t>
  </si>
  <si>
    <t>[INSTRUCTIONS: MULTIPLE ANSWERS POSSIBLE.]</t>
  </si>
  <si>
    <t>${callback} = '1'</t>
  </si>
  <si>
    <t>select_multiple time</t>
  </si>
  <si>
    <t>future_int_time</t>
  </si>
  <si>
    <t>For future interviews, at what time(s) can I call you?</t>
  </si>
  <si>
    <t>select_one language</t>
  </si>
  <si>
    <t>language2</t>
  </si>
  <si>
    <t xml:space="preserve">Select the language that was mostly used to complete the interview. </t>
  </si>
  <si>
    <t>closeout</t>
  </si>
  <si>
    <t xml:space="preserve">Thank you for your time. The interview has come to an end. </t>
  </si>
  <si>
    <t>time</t>
  </si>
  <si>
    <t>Interview_End_Time</t>
  </si>
  <si>
    <t>Interview End Time</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</si>
  <si>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</si>
  <si>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</si>
  <si>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</si>
  <si>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</si>
  <si>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</si>
  <si>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</si>
  <si>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</si>
  <si>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</si>
  <si>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</si>
  <si>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</si>
  <si>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</si>
  <si>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</si>
  <si>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</si>
  <si>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</si>
  <si>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</si>
  <si>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</si>
  <si>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</si>
  <si>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</si>
  <si>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</si>
  <si>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</si>
  <si>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</si>
  <si>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</si>
  <si>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</si>
  <si>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</si>
  <si>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</si>
  <si>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</si>
  <si>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</si>
  <si>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</si>
  <si>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uk</t>
  </si>
  <si>
    <t>Ukrainian</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</si>
  <si>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</si>
  <si>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</si>
  <si>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</si>
  <si>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</si>
  <si>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</si>
  <si>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</si>
  <si>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</si>
  <si>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</si>
  <si>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</si>
  <si>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</si>
  <si>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</si>
  <si>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</si>
  <si>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</si>
  <si>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</si>
  <si>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</si>
  <si>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</si>
  <si>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</si>
  <si>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</si>
  <si>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</si>
  <si>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</si>
  <si>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</si>
  <si>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</si>
  <si>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</si>
  <si>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</si>
  <si>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</si>
  <si>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</si>
  <si>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</si>
  <si>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</si>
  <si>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</si>
  <si>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</si>
  <si>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</si>
  <si>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</si>
  <si>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</si>
  <si>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</si>
  <si>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</si>
  <si>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</si>
  <si>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</si>
  <si>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</si>
  <si>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</si>
  <si>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</si>
  <si>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</si>
  <si>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</si>
  <si>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</si>
  <si>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</si>
  <si>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</si>
  <si>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</si>
  <si>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</si>
  <si>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</si>
  <si>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</si>
  <si>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 fish tanks)</t>
  </si>
  <si>
    <t>farmmach</t>
  </si>
  <si>
    <t>Farm or fishing machinery (e.g. tractor, plough, sickle, boats, engines)</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</si>
  <si>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</si>
  <si>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</si>
  <si>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</si>
  <si>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</si>
  <si>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</si>
  <si>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</si>
  <si>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</si>
  <si>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</si>
  <si>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</si>
  <si>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</si>
  <si>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</si>
  <si>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</si>
  <si>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</si>
  <si>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</si>
  <si>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</si>
  <si>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</si>
  <si>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</si>
  <si>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boatmotor</t>
  </si>
  <si>
    <t>Boat with an engine [inboard or outboard]</t>
  </si>
  <si>
    <t>boatnomotor</t>
  </si>
  <si>
    <t>Unmotorized boat [e.g.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</si>
  <si>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</si>
  <si>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</si>
  <si>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</si>
  <si>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</si>
  <si>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</si>
  <si>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</si>
  <si>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</si>
  <si>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</si>
  <si>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</si>
  <si>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</si>
  <si>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</si>
  <si>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</si>
  <si>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</si>
  <si>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</si>
  <si>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</si>
  <si>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</si>
  <si>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</si>
  <si>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</si>
  <si>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</si>
  <si>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</si>
  <si>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</si>
  <si>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</si>
  <si>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</si>
  <si>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</si>
  <si>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</si>
  <si>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</si>
  <si>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</si>
  <si>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</si>
  <si>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</si>
  <si>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</si>
  <si>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</si>
  <si>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</si>
  <si>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</si>
  <si>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</si>
  <si>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</si>
  <si>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</si>
  <si>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</si>
  <si>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</si>
  <si>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</si>
  <si>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</si>
  <si>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</si>
  <si>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</si>
  <si>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</si>
  <si>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</si>
  <si>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</si>
  <si>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</si>
  <si>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</si>
  <si>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</si>
  <si>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</si>
  <si>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</si>
  <si>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</si>
  <si>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</si>
  <si>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</si>
  <si>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</si>
  <si>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</si>
  <si>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</si>
  <si>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</si>
  <si>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</si>
  <si>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</si>
  <si>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</si>
  <si>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</si>
  <si>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</si>
  <si>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</si>
  <si>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</si>
  <si>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</si>
  <si>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</si>
  <si>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</si>
  <si>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</si>
  <si>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</si>
  <si>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</si>
  <si>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</si>
  <si>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</si>
  <si>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</si>
  <si>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</si>
  <si>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</si>
  <si>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</si>
  <si>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</si>
  <si>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</si>
  <si>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</si>
  <si>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</si>
  <si>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</si>
  <si>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</si>
  <si>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</si>
  <si>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</si>
  <si>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</si>
  <si>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</si>
  <si>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</si>
  <si>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</si>
  <si>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</si>
  <si>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</si>
  <si>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</si>
  <si>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</si>
  <si>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</si>
  <si>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</si>
  <si>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</si>
  <si>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</si>
  <si>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</si>
  <si>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</si>
  <si>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</si>
  <si>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</si>
  <si>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</si>
  <si>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</si>
  <si>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</si>
  <si>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</si>
  <si>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</si>
  <si>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</si>
  <si>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</si>
  <si>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</si>
  <si>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</si>
  <si>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</si>
  <si>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</si>
  <si>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</si>
  <si>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</si>
  <si>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</si>
  <si>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</si>
  <si>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</si>
  <si>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</si>
  <si>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</si>
  <si>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</si>
  <si>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</si>
  <si>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</si>
  <si>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</si>
  <si>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</si>
  <si>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</si>
  <si>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</si>
  <si>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</si>
  <si>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</si>
  <si>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</si>
  <si>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</si>
  <si>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</si>
  <si>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</si>
  <si>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</si>
  <si>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</si>
  <si>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nan</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</si>
  <si>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</si>
  <si>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</si>
  <si>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</si>
  <si>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</si>
  <si>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</si>
  <si>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</si>
  <si>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</si>
  <si>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</si>
  <si>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</si>
  <si>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</si>
  <si>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</si>
  <si>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</si>
  <si>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</si>
  <si>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</si>
  <si>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</si>
  <si>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</si>
  <si>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</si>
  <si>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</si>
  <si>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</si>
  <si>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</si>
  <si>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</si>
  <si>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</si>
  <si>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</si>
  <si>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</si>
  <si>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</si>
  <si>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</si>
  <si>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</si>
  <si>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</si>
  <si>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</si>
  <si>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</si>
  <si>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</si>
  <si>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</si>
  <si>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</si>
  <si>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</si>
  <si>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</si>
  <si>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</si>
  <si>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</si>
  <si>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</si>
  <si>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</si>
  <si>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</si>
  <si>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</si>
  <si>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</si>
  <si>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</si>
  <si>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</si>
  <si>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</si>
  <si>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</si>
  <si>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</si>
  <si>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</si>
  <si>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</si>
  <si>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</si>
  <si>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</si>
  <si>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</si>
  <si>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</si>
  <si>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</si>
  <si>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</si>
  <si>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</si>
  <si>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</si>
  <si>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</si>
  <si>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</si>
  <si>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</si>
  <si>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</si>
  <si>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</si>
  <si>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</si>
  <si>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</si>
  <si>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</si>
  <si>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</si>
  <si>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</si>
  <si>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</si>
  <si>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</si>
  <si>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</si>
  <si>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</si>
  <si>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</si>
  <si>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</si>
  <si>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</si>
  <si>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</si>
  <si>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</si>
  <si>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</si>
  <si>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</si>
  <si>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</si>
  <si>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</si>
  <si>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</si>
  <si>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</si>
  <si>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</si>
  <si>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</si>
  <si>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</si>
  <si>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</si>
  <si>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</si>
  <si>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</si>
  <si>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</si>
  <si>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</si>
  <si>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</si>
  <si>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</si>
  <si>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</si>
  <si>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</si>
  <si>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</si>
  <si>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</si>
  <si>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</si>
  <si>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</si>
  <si>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</si>
  <si>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</si>
  <si>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</si>
  <si>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</si>
  <si>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</si>
  <si>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</si>
  <si>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</si>
  <si>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</si>
  <si>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</si>
  <si>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</si>
  <si>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</si>
  <si>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</si>
  <si>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</si>
  <si>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</si>
  <si>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</si>
  <si>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</si>
  <si>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</si>
  <si>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</si>
  <si>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</si>
  <si>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</si>
  <si>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</si>
  <si>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</si>
  <si>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</si>
  <si>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</si>
  <si>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</si>
  <si>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</si>
  <si>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</si>
  <si>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</si>
  <si>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</si>
  <si>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</si>
  <si>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</si>
  <si>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</si>
  <si>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</si>
  <si>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</si>
  <si>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</si>
  <si>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</si>
  <si>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</si>
  <si>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</si>
  <si>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</si>
  <si>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</si>
  <si>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</si>
  <si>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</si>
  <si>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</si>
  <si>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</si>
  <si>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</si>
  <si>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</si>
  <si>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</si>
  <si>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</si>
  <si>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</si>
  <si>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</si>
  <si>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</si>
  <si>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</si>
  <si>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</si>
  <si>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</si>
  <si>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</si>
  <si>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</si>
  <si>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</si>
  <si>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</si>
  <si>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</si>
  <si>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</si>
  <si>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</si>
  <si>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</si>
  <si>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</si>
  <si>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</si>
  <si>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</si>
  <si>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</si>
  <si>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</si>
  <si>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</si>
  <si>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</si>
  <si>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</si>
  <si>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</si>
  <si>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</si>
  <si>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</si>
  <si>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</si>
  <si>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</si>
  <si>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</si>
  <si>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</si>
  <si>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</si>
  <si>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</si>
  <si>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</si>
  <si>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</si>
  <si>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</si>
  <si>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</si>
  <si>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</si>
  <si>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</si>
  <si>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</si>
  <si>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</si>
  <si>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</si>
  <si>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</si>
  <si>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</si>
  <si>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</si>
  <si>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</si>
  <si>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</si>
  <si>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</si>
  <si>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</si>
  <si>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</si>
  <si>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</si>
  <si>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</si>
  <si>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</si>
  <si>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</si>
  <si>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</si>
  <si>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</si>
  <si>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</si>
  <si>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</si>
  <si>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</si>
  <si>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</si>
  <si>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</si>
  <si>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</si>
  <si>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</si>
  <si>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</si>
  <si>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</si>
  <si>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</si>
  <si>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</si>
  <si>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</si>
  <si>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</si>
  <si>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</si>
  <si>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7)REFUSED</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</si>
  <si>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</si>
  <si>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</si>
  <si>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</si>
  <si>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</si>
  <si>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</si>
  <si>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</si>
  <si>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</si>
  <si>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</si>
  <si>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</si>
  <si>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</si>
  <si>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</si>
  <si>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</si>
  <si>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</si>
  <si>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</si>
  <si>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</si>
  <si>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</si>
  <si>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</si>
  <si>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</si>
  <si>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</si>
  <si>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</si>
  <si>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</si>
  <si>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</si>
  <si>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</si>
  <si>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</si>
  <si>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</si>
  <si>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</si>
  <si>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</si>
  <si>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</si>
  <si>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</si>
  <si>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</si>
  <si>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</si>
  <si>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</si>
  <si>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</si>
  <si>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</si>
  <si>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</si>
  <si>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</si>
  <si>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</si>
  <si>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</si>
  <si>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</si>
  <si>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</si>
  <si>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</si>
  <si>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</si>
  <si>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</si>
  <si>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</si>
  <si>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</si>
  <si>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</si>
  <si>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</si>
  <si>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</si>
  <si>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</si>
  <si>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</si>
  <si>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</si>
  <si>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</si>
  <si>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</si>
  <si>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</si>
  <si>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</si>
  <si>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</si>
  <si>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</si>
  <si>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</si>
  <si>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</si>
  <si>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</si>
  <si>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</si>
  <si>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</si>
  <si>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</si>
  <si>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</si>
  <si>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</si>
  <si>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</si>
  <si>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</si>
  <si>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</si>
  <si>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</si>
  <si>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</si>
  <si>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</si>
  <si>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</si>
  <si>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</si>
  <si>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</si>
  <si>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</si>
  <si>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</si>
  <si>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</si>
  <si>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</si>
  <si>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</si>
  <si>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</si>
  <si>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</si>
  <si>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</si>
  <si>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</si>
  <si>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</si>
  <si>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</si>
  <si>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</si>
  <si>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</si>
  <si>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</si>
  <si>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</si>
  <si>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</si>
  <si>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</si>
  <si>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</si>
  <si>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</si>
  <si>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</si>
  <si>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</si>
  <si>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</si>
  <si>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</si>
  <si>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</si>
  <si>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</si>
  <si>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</si>
  <si>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</si>
  <si>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</si>
  <si>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</si>
  <si>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</si>
  <si>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</si>
  <si>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</si>
  <si>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</si>
  <si>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</si>
  <si>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</si>
  <si>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</si>
  <si>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</si>
  <si>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</si>
  <si>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</si>
  <si>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</si>
  <si>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</si>
  <si>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</si>
  <si>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</si>
  <si>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</si>
  <si>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</si>
  <si>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frontline</t>
  </si>
  <si>
    <t>30km or less from the front line</t>
  </si>
  <si>
    <t>31-70km from the front line</t>
  </si>
  <si>
    <t>71-100km from the front line</t>
  </si>
  <si>
    <t>More than 100km from the front line</t>
  </si>
  <si>
    <t>yes_no_partial</t>
  </si>
  <si>
    <t>YES, but only partially</t>
  </si>
  <si>
    <t>irrigation_kd</t>
  </si>
  <si>
    <t>Relied on rain for all or most irrigation water</t>
  </si>
  <si>
    <t>Relied on groundwater for all or most irrigation water</t>
  </si>
  <si>
    <t>Other (specify)</t>
  </si>
  <si>
    <t>light_o</t>
  </si>
  <si>
    <t>Electrical grid</t>
  </si>
  <si>
    <t>Generator</t>
  </si>
  <si>
    <t>Both</t>
  </si>
  <si>
    <t>admin1</t>
  </si>
  <si>
    <t>UA71</t>
  </si>
  <si>
    <t>Cherkaska</t>
  </si>
  <si>
    <t>Черкаська</t>
  </si>
  <si>
    <t>UA74</t>
  </si>
  <si>
    <t>Chernihivska</t>
  </si>
  <si>
    <t>Чернігівська</t>
  </si>
  <si>
    <t>UA73</t>
  </si>
  <si>
    <t>Chernivetska</t>
  </si>
  <si>
    <t>Чернівецька</t>
  </si>
  <si>
    <t>UA12</t>
  </si>
  <si>
    <t>Dnipropetrovska</t>
  </si>
  <si>
    <t>Дніпропетровська</t>
  </si>
  <si>
    <t>UA14</t>
  </si>
  <si>
    <t>Donetska</t>
  </si>
  <si>
    <t>Донецька</t>
  </si>
  <si>
    <t>UA26</t>
  </si>
  <si>
    <t>Ivano-Frankivska</t>
  </si>
  <si>
    <t>Івано-Франківська</t>
  </si>
  <si>
    <t>UA63</t>
  </si>
  <si>
    <t>Kharkivska</t>
  </si>
  <si>
    <t>Харківська</t>
  </si>
  <si>
    <t>UA65</t>
  </si>
  <si>
    <t>Khersonska</t>
  </si>
  <si>
    <t>Херсонська</t>
  </si>
  <si>
    <t>UA68</t>
  </si>
  <si>
    <t>Khmelnytska</t>
  </si>
  <si>
    <t>Хмельницька</t>
  </si>
  <si>
    <t>UA35</t>
  </si>
  <si>
    <t>Kirovohradska</t>
  </si>
  <si>
    <t>Кіровоградська</t>
  </si>
  <si>
    <t>UA80</t>
  </si>
  <si>
    <t>Kyiv</t>
  </si>
  <si>
    <t>Київ</t>
  </si>
  <si>
    <t>UA32</t>
  </si>
  <si>
    <t>Kyivska</t>
  </si>
  <si>
    <t>Київська</t>
  </si>
  <si>
    <t>UA46</t>
  </si>
  <si>
    <t>Lvivska</t>
  </si>
  <si>
    <t>Львівська</t>
  </si>
  <si>
    <t>UA48</t>
  </si>
  <si>
    <t>Mykolaivska</t>
  </si>
  <si>
    <t>Миколаївська</t>
  </si>
  <si>
    <t>UA51</t>
  </si>
  <si>
    <t>Odeska</t>
  </si>
  <si>
    <t>Одеська</t>
  </si>
  <si>
    <t>UA53</t>
  </si>
  <si>
    <t>Poltavska</t>
  </si>
  <si>
    <t>Полтавська</t>
  </si>
  <si>
    <t>UA56</t>
  </si>
  <si>
    <t>Rivnenska</t>
  </si>
  <si>
    <t>Рівненська</t>
  </si>
  <si>
    <t>UA59</t>
  </si>
  <si>
    <t>Sumska</t>
  </si>
  <si>
    <t>Сумська</t>
  </si>
  <si>
    <t>UA61</t>
  </si>
  <si>
    <t>Ternopilska</t>
  </si>
  <si>
    <t>Тернопільська</t>
  </si>
  <si>
    <t>UA05</t>
  </si>
  <si>
    <t>Vinnytska</t>
  </si>
  <si>
    <t>Вінницька</t>
  </si>
  <si>
    <t>UA07</t>
  </si>
  <si>
    <t>Volynska</t>
  </si>
  <si>
    <t>Волинська</t>
  </si>
  <si>
    <t>UA21</t>
  </si>
  <si>
    <t>Zakarpatska</t>
  </si>
  <si>
    <t>Закарпатська</t>
  </si>
  <si>
    <t>UA23</t>
  </si>
  <si>
    <t>Zaporizka</t>
  </si>
  <si>
    <t>Запорізька</t>
  </si>
  <si>
    <t>UA18</t>
  </si>
  <si>
    <t>Zhytomyrska</t>
  </si>
  <si>
    <t>Житомирська</t>
  </si>
  <si>
    <t>admin2</t>
  </si>
  <si>
    <t>UA0502</t>
  </si>
  <si>
    <t>Vinnytskyi</t>
  </si>
  <si>
    <t>Вінницький</t>
  </si>
  <si>
    <t>UA0504</t>
  </si>
  <si>
    <t>Haisynskyi</t>
  </si>
  <si>
    <t>Гайсинський</t>
  </si>
  <si>
    <t>UA0506</t>
  </si>
  <si>
    <t>Zhmerynskyi</t>
  </si>
  <si>
    <t>Жмеринський</t>
  </si>
  <si>
    <t>UA0508</t>
  </si>
  <si>
    <t>Mohyliv-Podilskyi</t>
  </si>
  <si>
    <t>Могилів-Подільський</t>
  </si>
  <si>
    <t>UA0510</t>
  </si>
  <si>
    <t>Tulchynskyi</t>
  </si>
  <si>
    <t>Тульчинський</t>
  </si>
  <si>
    <t>UA0512</t>
  </si>
  <si>
    <t>Khmilnytskyi</t>
  </si>
  <si>
    <t>Хмільницький</t>
  </si>
  <si>
    <t>UA0702</t>
  </si>
  <si>
    <t>Volodymyrskyi</t>
  </si>
  <si>
    <t>Володимирський</t>
  </si>
  <si>
    <t>UA0704</t>
  </si>
  <si>
    <t>Kamin-Kashyrskyi</t>
  </si>
  <si>
    <t>Камінь-Каширський</t>
  </si>
  <si>
    <t>UA0706</t>
  </si>
  <si>
    <t>Kovelskyi</t>
  </si>
  <si>
    <t>Ковельський</t>
  </si>
  <si>
    <t>UA0708</t>
  </si>
  <si>
    <t>Lutskyi</t>
  </si>
  <si>
    <t>Луцький</t>
  </si>
  <si>
    <t>UA1202</t>
  </si>
  <si>
    <t>Dniprovskyi</t>
  </si>
  <si>
    <t>Дніпровський</t>
  </si>
  <si>
    <t>UA1204</t>
  </si>
  <si>
    <t>Kamianskyi</t>
  </si>
  <si>
    <t>Кам’янський</t>
  </si>
  <si>
    <t>UA1206</t>
  </si>
  <si>
    <t>Kryvorizkyi</t>
  </si>
  <si>
    <t>Криворізький</t>
  </si>
  <si>
    <t>UA1208</t>
  </si>
  <si>
    <t>Nikopolskyi</t>
  </si>
  <si>
    <t>Нікопольський</t>
  </si>
  <si>
    <t>UA1210</t>
  </si>
  <si>
    <t>Novomoskovskyi</t>
  </si>
  <si>
    <t>Новомосковський</t>
  </si>
  <si>
    <t>UA1212</t>
  </si>
  <si>
    <t>Pavlohradskyi</t>
  </si>
  <si>
    <t>Павлоградський</t>
  </si>
  <si>
    <t>UA1214</t>
  </si>
  <si>
    <t>Synelnykivskyi</t>
  </si>
  <si>
    <t>Синельниківський</t>
  </si>
  <si>
    <t>UA1402</t>
  </si>
  <si>
    <t>Bakhmutskyi</t>
  </si>
  <si>
    <t>Бахмутський</t>
  </si>
  <si>
    <t>UA1404</t>
  </si>
  <si>
    <t>Volnovaskyi</t>
  </si>
  <si>
    <t>Волноваський</t>
  </si>
  <si>
    <t>UA1406</t>
  </si>
  <si>
    <t>Horlivskyi</t>
  </si>
  <si>
    <t>Горлівський</t>
  </si>
  <si>
    <t>UA1408</t>
  </si>
  <si>
    <t>Donetskyi</t>
  </si>
  <si>
    <t>Донецький</t>
  </si>
  <si>
    <t>UA1410</t>
  </si>
  <si>
    <t>Kalmiuskyi</t>
  </si>
  <si>
    <t>Кальміуський</t>
  </si>
  <si>
    <t>UA1412</t>
  </si>
  <si>
    <t>Kramatorskyi</t>
  </si>
  <si>
    <t>Краматорський</t>
  </si>
  <si>
    <t>UA1414</t>
  </si>
  <si>
    <t>Mariupolskyi</t>
  </si>
  <si>
    <t>Маріупольський</t>
  </si>
  <si>
    <t>UA1416</t>
  </si>
  <si>
    <t>Pokrovskyi</t>
  </si>
  <si>
    <t>Покровський</t>
  </si>
  <si>
    <t>UA1802</t>
  </si>
  <si>
    <t>Berdychivskyi</t>
  </si>
  <si>
    <t>Бердичівський</t>
  </si>
  <si>
    <t>UA1804</t>
  </si>
  <si>
    <t>Zhytomyrskyi</t>
  </si>
  <si>
    <t>Житомирський</t>
  </si>
  <si>
    <t>UA1806</t>
  </si>
  <si>
    <t>Korostenskyi</t>
  </si>
  <si>
    <t>Коростенський</t>
  </si>
  <si>
    <t>UA1808</t>
  </si>
  <si>
    <t>Zviahelskyi</t>
  </si>
  <si>
    <t>Звягельський</t>
  </si>
  <si>
    <t>UA2102</t>
  </si>
  <si>
    <t>Berehivskyi</t>
  </si>
  <si>
    <t>Берегівський</t>
  </si>
  <si>
    <t>UA2104</t>
  </si>
  <si>
    <t>Mukachivskyi</t>
  </si>
  <si>
    <t>Мукачівський</t>
  </si>
  <si>
    <t>UA2106</t>
  </si>
  <si>
    <t>Rakhivskyi</t>
  </si>
  <si>
    <t>Рахівський</t>
  </si>
  <si>
    <t>UA2108</t>
  </si>
  <si>
    <t>Tiachivskyi</t>
  </si>
  <si>
    <t>Тячівський</t>
  </si>
  <si>
    <t>UA2110</t>
  </si>
  <si>
    <t>Uzhhorodskyi</t>
  </si>
  <si>
    <t>Ужгородський</t>
  </si>
  <si>
    <t>UA2112</t>
  </si>
  <si>
    <t>Khustskyi</t>
  </si>
  <si>
    <t>Хустський</t>
  </si>
  <si>
    <t>UA2302</t>
  </si>
  <si>
    <t>Berdianskyi</t>
  </si>
  <si>
    <t>Бердянський</t>
  </si>
  <si>
    <t>UA2304</t>
  </si>
  <si>
    <t>Vasylivskyi</t>
  </si>
  <si>
    <t>Василівський</t>
  </si>
  <si>
    <t>UA2306</t>
  </si>
  <si>
    <t>Zaporizkyi</t>
  </si>
  <si>
    <t>Запорізький</t>
  </si>
  <si>
    <t>UA2308</t>
  </si>
  <si>
    <t>Melitopolskyi</t>
  </si>
  <si>
    <t>Мелітопольський</t>
  </si>
  <si>
    <t>UA2310</t>
  </si>
  <si>
    <t>Polohivskyi</t>
  </si>
  <si>
    <t>Пологівський</t>
  </si>
  <si>
    <t>UA2602</t>
  </si>
  <si>
    <t>Verkhovynskyi</t>
  </si>
  <si>
    <t>Верховинський</t>
  </si>
  <si>
    <t>UA2604</t>
  </si>
  <si>
    <t>Ivano-Frankivskyi</t>
  </si>
  <si>
    <t>Івано-Франківський</t>
  </si>
  <si>
    <t>UA2606</t>
  </si>
  <si>
    <t>Kaluskyi</t>
  </si>
  <si>
    <t>Калуський</t>
  </si>
  <si>
    <t>UA2608</t>
  </si>
  <si>
    <t>Kolomyiskyi</t>
  </si>
  <si>
    <t>Коломийський</t>
  </si>
  <si>
    <t>UA2610</t>
  </si>
  <si>
    <t>Kosivskyi</t>
  </si>
  <si>
    <t>Косівський</t>
  </si>
  <si>
    <t>UA2612</t>
  </si>
  <si>
    <t>Nadvirnianskyi</t>
  </si>
  <si>
    <t>Надвірнянський</t>
  </si>
  <si>
    <t>UA3200</t>
  </si>
  <si>
    <t>Chornobyl Exclusion Zone</t>
  </si>
  <si>
    <t>Чорнобильська зона відчуження</t>
  </si>
  <si>
    <t>UA3202</t>
  </si>
  <si>
    <t>Bilotserkivskyi</t>
  </si>
  <si>
    <t>Білоцерківський</t>
  </si>
  <si>
    <t>UA3204</t>
  </si>
  <si>
    <t>Boryspilskyi</t>
  </si>
  <si>
    <t>Бориспільський</t>
  </si>
  <si>
    <t>UA3206</t>
  </si>
  <si>
    <t>Brovarskyi</t>
  </si>
  <si>
    <t>Броварський</t>
  </si>
  <si>
    <t>UA3208</t>
  </si>
  <si>
    <t>Buchanskyi</t>
  </si>
  <si>
    <t>Бучанський</t>
  </si>
  <si>
    <t>UA3210</t>
  </si>
  <si>
    <t>Vyshhorodskyi</t>
  </si>
  <si>
    <t>Вишгородський</t>
  </si>
  <si>
    <t>UA3212</t>
  </si>
  <si>
    <t>Obukhivskyi</t>
  </si>
  <si>
    <t>Обухівський</t>
  </si>
  <si>
    <t>UA3214</t>
  </si>
  <si>
    <t>Fastivskyi</t>
  </si>
  <si>
    <t>Фастівський</t>
  </si>
  <si>
    <t>UA3502</t>
  </si>
  <si>
    <t>Holovanivskyi</t>
  </si>
  <si>
    <t>Голованівський</t>
  </si>
  <si>
    <t>UA3504</t>
  </si>
  <si>
    <t>Kropyvnytskyi</t>
  </si>
  <si>
    <t>Кропивницький</t>
  </si>
  <si>
    <t>UA3506</t>
  </si>
  <si>
    <t>Novoukrainskyi</t>
  </si>
  <si>
    <t>Новоукраїнський</t>
  </si>
  <si>
    <t>UA3508</t>
  </si>
  <si>
    <t>Oleksandriiskyi</t>
  </si>
  <si>
    <t>Олександрійський</t>
  </si>
  <si>
    <t>UA4602</t>
  </si>
  <si>
    <t>Drohobytskyi</t>
  </si>
  <si>
    <t>Дрогобицький</t>
  </si>
  <si>
    <t>UA4604</t>
  </si>
  <si>
    <t>Zolochivskyi</t>
  </si>
  <si>
    <t>Золочівський</t>
  </si>
  <si>
    <t>UA4606</t>
  </si>
  <si>
    <t>Lvivskyi</t>
  </si>
  <si>
    <t>Львівський</t>
  </si>
  <si>
    <t>UA4608</t>
  </si>
  <si>
    <t>Sambirskyi</t>
  </si>
  <si>
    <t>Самбірський</t>
  </si>
  <si>
    <t>UA4610</t>
  </si>
  <si>
    <t>Stryiskyi</t>
  </si>
  <si>
    <t>Стрийський</t>
  </si>
  <si>
    <t>UA4612</t>
  </si>
  <si>
    <t>Chervonohradskyi</t>
  </si>
  <si>
    <t>Червоноградський</t>
  </si>
  <si>
    <t>UA4614</t>
  </si>
  <si>
    <t>Yavorivskyi</t>
  </si>
  <si>
    <t>Яворівський</t>
  </si>
  <si>
    <t>UA4802</t>
  </si>
  <si>
    <t>Bashtanskyi</t>
  </si>
  <si>
    <t>Баштанський</t>
  </si>
  <si>
    <t>UA4804</t>
  </si>
  <si>
    <t>Voznesenskyi</t>
  </si>
  <si>
    <t>Вознесенський</t>
  </si>
  <si>
    <t>UA4806</t>
  </si>
  <si>
    <t>Mykolaivskyi</t>
  </si>
  <si>
    <t>Миколаївський</t>
  </si>
  <si>
    <t>UA4808</t>
  </si>
  <si>
    <t>Pervomaiskyi</t>
  </si>
  <si>
    <t>Первомайський</t>
  </si>
  <si>
    <t>UA5102</t>
  </si>
  <si>
    <t>Berezivskyi</t>
  </si>
  <si>
    <t>Березівський</t>
  </si>
  <si>
    <t>UA5104</t>
  </si>
  <si>
    <t>Bilhorod-Dnistrovskyi</t>
  </si>
  <si>
    <t>Білгород-Дністровський</t>
  </si>
  <si>
    <t>UA5106</t>
  </si>
  <si>
    <t>Bolhradskyi</t>
  </si>
  <si>
    <t>Болградський</t>
  </si>
  <si>
    <t>UA5108</t>
  </si>
  <si>
    <t>Izmailskyi</t>
  </si>
  <si>
    <t>Ізмаїльський</t>
  </si>
  <si>
    <t>UA5110</t>
  </si>
  <si>
    <t>Odeskyi</t>
  </si>
  <si>
    <t>Одеський</t>
  </si>
  <si>
    <t>UA5112</t>
  </si>
  <si>
    <t>Podilskyi</t>
  </si>
  <si>
    <t>Подільський</t>
  </si>
  <si>
    <t>UA5114</t>
  </si>
  <si>
    <t>Rozdilnianskyi</t>
  </si>
  <si>
    <t>Роздільнянський</t>
  </si>
  <si>
    <t>UA5302</t>
  </si>
  <si>
    <t>Kremenchutskyi</t>
  </si>
  <si>
    <t>Кременчуцький</t>
  </si>
  <si>
    <t>UA5304</t>
  </si>
  <si>
    <t>Lubenskyi</t>
  </si>
  <si>
    <t>Лубенський</t>
  </si>
  <si>
    <t>UA5306</t>
  </si>
  <si>
    <t>Myrhorodskyi</t>
  </si>
  <si>
    <t>Миргородський</t>
  </si>
  <si>
    <t>UA5308</t>
  </si>
  <si>
    <t>Poltavskyi</t>
  </si>
  <si>
    <t>Полтавський</t>
  </si>
  <si>
    <t>UA5602</t>
  </si>
  <si>
    <t>Varaskyi</t>
  </si>
  <si>
    <t>Вараський</t>
  </si>
  <si>
    <t>UA5604</t>
  </si>
  <si>
    <t>Dubenskyi</t>
  </si>
  <si>
    <t>Дубенський</t>
  </si>
  <si>
    <t>UA5606</t>
  </si>
  <si>
    <t>Rivnenskyi</t>
  </si>
  <si>
    <t>Рівненський</t>
  </si>
  <si>
    <t>UA5608</t>
  </si>
  <si>
    <t>Sarnenskyi</t>
  </si>
  <si>
    <t>Сарненський</t>
  </si>
  <si>
    <t>UA5902</t>
  </si>
  <si>
    <t>Konotopskyi</t>
  </si>
  <si>
    <t>Конотопський</t>
  </si>
  <si>
    <t>UA5904</t>
  </si>
  <si>
    <t>Okhtyrskyi</t>
  </si>
  <si>
    <t>Охтирський</t>
  </si>
  <si>
    <t>UA5906</t>
  </si>
  <si>
    <t>Romenskyi</t>
  </si>
  <si>
    <t>Роменський</t>
  </si>
  <si>
    <t>UA5908</t>
  </si>
  <si>
    <t>Sumskyi</t>
  </si>
  <si>
    <t>Сумський</t>
  </si>
  <si>
    <t>UA5910</t>
  </si>
  <si>
    <t>Shostkynskyi</t>
  </si>
  <si>
    <t>Шосткинський</t>
  </si>
  <si>
    <t>UA6102</t>
  </si>
  <si>
    <t>Kremenetskyi</t>
  </si>
  <si>
    <t>Кременецький</t>
  </si>
  <si>
    <t>UA6104</t>
  </si>
  <si>
    <t>Ternopilskyi</t>
  </si>
  <si>
    <t>Тернопільський</t>
  </si>
  <si>
    <t>UA6106</t>
  </si>
  <si>
    <t>Chortkivskyi</t>
  </si>
  <si>
    <t>Чортківський</t>
  </si>
  <si>
    <t>UA6302</t>
  </si>
  <si>
    <t>Bohodukhivskyi</t>
  </si>
  <si>
    <t>Богодухівський</t>
  </si>
  <si>
    <t>UA6304</t>
  </si>
  <si>
    <t>Iziumskyi</t>
  </si>
  <si>
    <t>Ізюмський</t>
  </si>
  <si>
    <t>UA6306</t>
  </si>
  <si>
    <t>Krasnohradskyi</t>
  </si>
  <si>
    <t>Красноградський</t>
  </si>
  <si>
    <t>UA6308</t>
  </si>
  <si>
    <t>Kupianskyi</t>
  </si>
  <si>
    <t>Куп'янський</t>
  </si>
  <si>
    <t>UA6310</t>
  </si>
  <si>
    <t>Lozivskyi</t>
  </si>
  <si>
    <t>Лозівський</t>
  </si>
  <si>
    <t>UA6312</t>
  </si>
  <si>
    <t>Kharkivskyi</t>
  </si>
  <si>
    <t>Харківський</t>
  </si>
  <si>
    <t>UA6314</t>
  </si>
  <si>
    <t>Chuhuivskyi</t>
  </si>
  <si>
    <t>Чугуївський</t>
  </si>
  <si>
    <t>UA6502</t>
  </si>
  <si>
    <t>Beryslavskyi</t>
  </si>
  <si>
    <t>Бериславський</t>
  </si>
  <si>
    <t>UA6504</t>
  </si>
  <si>
    <t>Henicheskyi</t>
  </si>
  <si>
    <t>Генічеський</t>
  </si>
  <si>
    <t>UA6506</t>
  </si>
  <si>
    <t>Kakhovskyi</t>
  </si>
  <si>
    <t>Каховський</t>
  </si>
  <si>
    <t>UA6508</t>
  </si>
  <si>
    <t>Skadovskyi</t>
  </si>
  <si>
    <t>Скадовський</t>
  </si>
  <si>
    <t>UA6510</t>
  </si>
  <si>
    <t>Khersonskyi</t>
  </si>
  <si>
    <t>Херсонський</t>
  </si>
  <si>
    <t>UA6802</t>
  </si>
  <si>
    <t>Kamianets-Podilskyi</t>
  </si>
  <si>
    <t>Кам'янець-Подільський</t>
  </si>
  <si>
    <t>UA6804</t>
  </si>
  <si>
    <t>Khmelnytskyi</t>
  </si>
  <si>
    <t>Хмельницький</t>
  </si>
  <si>
    <t>UA6806</t>
  </si>
  <si>
    <t>Shepetivskyi</t>
  </si>
  <si>
    <t>Шепетівський</t>
  </si>
  <si>
    <t>UA7102</t>
  </si>
  <si>
    <t>Zvenyhorodskyi</t>
  </si>
  <si>
    <t>Звенигородський</t>
  </si>
  <si>
    <t>UA7104</t>
  </si>
  <si>
    <t>Zolotoniskyi</t>
  </si>
  <si>
    <t>Золотоніський</t>
  </si>
  <si>
    <t>UA7106</t>
  </si>
  <si>
    <t>Umanskyi</t>
  </si>
  <si>
    <t>Уманський</t>
  </si>
  <si>
    <t>UA7108</t>
  </si>
  <si>
    <t>Cherkaskyi</t>
  </si>
  <si>
    <t>Черкаський</t>
  </si>
  <si>
    <t>UA7302</t>
  </si>
  <si>
    <t>Vyzhnytskyi</t>
  </si>
  <si>
    <t>Вижницький</t>
  </si>
  <si>
    <t>UA7304</t>
  </si>
  <si>
    <t>Dnistrovskyi</t>
  </si>
  <si>
    <t>Дністровський</t>
  </si>
  <si>
    <t>UA7306</t>
  </si>
  <si>
    <t>Chernivetskyi</t>
  </si>
  <si>
    <t>Чернівецький</t>
  </si>
  <si>
    <t>UA7402</t>
  </si>
  <si>
    <t>Koriukivskyi</t>
  </si>
  <si>
    <t>Корюківський</t>
  </si>
  <si>
    <t>UA7404</t>
  </si>
  <si>
    <t>Nizhynskyi</t>
  </si>
  <si>
    <t>Ніжинський</t>
  </si>
  <si>
    <t>UA7406</t>
  </si>
  <si>
    <t>Novhorod-Siverskyi</t>
  </si>
  <si>
    <t>Новгород-Сіверський</t>
  </si>
  <si>
    <t>UA7408</t>
  </si>
  <si>
    <t>Prylutskyi</t>
  </si>
  <si>
    <t>Прилуцький</t>
  </si>
  <si>
    <t>UA7410</t>
  </si>
  <si>
    <t>Chernihivskyi</t>
  </si>
  <si>
    <t>Чернігівський</t>
  </si>
  <si>
    <t>UA8000</t>
  </si>
  <si>
    <t>admin3</t>
  </si>
  <si>
    <t>UA0502001</t>
  </si>
  <si>
    <t>Ahronomichna</t>
  </si>
  <si>
    <t>Агрономічна</t>
  </si>
  <si>
    <t>UA0502003</t>
  </si>
  <si>
    <t>UA0502005</t>
  </si>
  <si>
    <t>Voronovytska</t>
  </si>
  <si>
    <t>Вороновицька</t>
  </si>
  <si>
    <t>UA0502007</t>
  </si>
  <si>
    <t>Hnivanska</t>
  </si>
  <si>
    <t>Гніванська</t>
  </si>
  <si>
    <t>UA0502009</t>
  </si>
  <si>
    <t>Illinetska</t>
  </si>
  <si>
    <t>Іллінецька</t>
  </si>
  <si>
    <t>UA0502011</t>
  </si>
  <si>
    <t>Lypovetska</t>
  </si>
  <si>
    <t>Липовецька</t>
  </si>
  <si>
    <t>UA0502013</t>
  </si>
  <si>
    <t>Litynska</t>
  </si>
  <si>
    <t>Літинська</t>
  </si>
  <si>
    <t>UA0502015</t>
  </si>
  <si>
    <t>Luka-Meleshkivska</t>
  </si>
  <si>
    <t>Лука-Мелешківська</t>
  </si>
  <si>
    <t>UA0502017</t>
  </si>
  <si>
    <t>Nemyrivska</t>
  </si>
  <si>
    <t>Немирівська</t>
  </si>
  <si>
    <t>UA0502019</t>
  </si>
  <si>
    <t>Orativska</t>
  </si>
  <si>
    <t>Оратівська</t>
  </si>
  <si>
    <t>UA0502021</t>
  </si>
  <si>
    <t>Pohrebyshchenska</t>
  </si>
  <si>
    <t>Погребищенська</t>
  </si>
  <si>
    <t>UA0502023</t>
  </si>
  <si>
    <t>Stryzhavska</t>
  </si>
  <si>
    <t>Стрижавська</t>
  </si>
  <si>
    <t>UA0502025</t>
  </si>
  <si>
    <t>Sutyskivska</t>
  </si>
  <si>
    <t>Сутисківська</t>
  </si>
  <si>
    <t>UA0502027</t>
  </si>
  <si>
    <t>Tyvrivska</t>
  </si>
  <si>
    <t>Тиврівська</t>
  </si>
  <si>
    <t>UA0502029</t>
  </si>
  <si>
    <t>Turbivska</t>
  </si>
  <si>
    <t>Турбівська</t>
  </si>
  <si>
    <t>UA0502031</t>
  </si>
  <si>
    <t>Yakushynetska</t>
  </si>
  <si>
    <t>Якушинецька</t>
  </si>
  <si>
    <t>UA0504001</t>
  </si>
  <si>
    <t>Bershadska</t>
  </si>
  <si>
    <t>Бершадська</t>
  </si>
  <si>
    <t>UA0504003</t>
  </si>
  <si>
    <t>Haisynska</t>
  </si>
  <si>
    <t>Гайсинська</t>
  </si>
  <si>
    <t>UA0504005</t>
  </si>
  <si>
    <t>Dashivska</t>
  </si>
  <si>
    <t>Дашівська</t>
  </si>
  <si>
    <t>UA0504007</t>
  </si>
  <si>
    <t>Dzhulynska</t>
  </si>
  <si>
    <t>Джулинська</t>
  </si>
  <si>
    <t>UA0504009</t>
  </si>
  <si>
    <t>Krasnopilska</t>
  </si>
  <si>
    <t>Краснопільська</t>
  </si>
  <si>
    <t>UA0504011</t>
  </si>
  <si>
    <t>Kunkivska</t>
  </si>
  <si>
    <t>Кунківська</t>
  </si>
  <si>
    <t>UA0504013</t>
  </si>
  <si>
    <t>Ladyzhynska</t>
  </si>
  <si>
    <t>Ладижинська</t>
  </si>
  <si>
    <t>UA0504015</t>
  </si>
  <si>
    <t>Obodivska</t>
  </si>
  <si>
    <t>Ободівська</t>
  </si>
  <si>
    <t>UA0504017</t>
  </si>
  <si>
    <t>Olhopilska</t>
  </si>
  <si>
    <t>Ольгопільська</t>
  </si>
  <si>
    <t>UA0504019</t>
  </si>
  <si>
    <t>Raihorodska</t>
  </si>
  <si>
    <t>Райгородська</t>
  </si>
  <si>
    <t>UA0504021</t>
  </si>
  <si>
    <t>Sobolivska</t>
  </si>
  <si>
    <t>Соболівська</t>
  </si>
  <si>
    <t>UA0504023</t>
  </si>
  <si>
    <t>Teplytska</t>
  </si>
  <si>
    <t>Теплицька</t>
  </si>
  <si>
    <t>UA0504025</t>
  </si>
  <si>
    <t>Trostianetska</t>
  </si>
  <si>
    <t>Тростянецька</t>
  </si>
  <si>
    <t>UA0504027</t>
  </si>
  <si>
    <t>Chechelnytska</t>
  </si>
  <si>
    <t>Чечельницька</t>
  </si>
  <si>
    <t>UA0506001</t>
  </si>
  <si>
    <t>Barska</t>
  </si>
  <si>
    <t>Барська</t>
  </si>
  <si>
    <t>UA0506003</t>
  </si>
  <si>
    <t>Dzhurynska</t>
  </si>
  <si>
    <t>Джуринська</t>
  </si>
  <si>
    <t>UA0506005</t>
  </si>
  <si>
    <t>Zhmerynska</t>
  </si>
  <si>
    <t>Жмеринська</t>
  </si>
  <si>
    <t>UA0506007</t>
  </si>
  <si>
    <t>Kopaihorodska</t>
  </si>
  <si>
    <t>Копайгородська</t>
  </si>
  <si>
    <t>UA0506009</t>
  </si>
  <si>
    <t>Murafska</t>
  </si>
  <si>
    <t>Мурафська</t>
  </si>
  <si>
    <t>UA0506011</t>
  </si>
  <si>
    <t>Severynivska</t>
  </si>
  <si>
    <t>Северинівська</t>
  </si>
  <si>
    <t>UA0506013</t>
  </si>
  <si>
    <t>Stanislavchytska</t>
  </si>
  <si>
    <t>Станіславчицька</t>
  </si>
  <si>
    <t>UA0506015</t>
  </si>
  <si>
    <t>Sharhorodska</t>
  </si>
  <si>
    <t>Шаргородська</t>
  </si>
  <si>
    <t>UA0508001</t>
  </si>
  <si>
    <t>Babchynetska</t>
  </si>
  <si>
    <t>Бабчинецька</t>
  </si>
  <si>
    <t>UA0508003</t>
  </si>
  <si>
    <t>Vendychanska</t>
  </si>
  <si>
    <t>Вендичанська</t>
  </si>
  <si>
    <t>UA0508005</t>
  </si>
  <si>
    <t>Mohyliv-Podilska</t>
  </si>
  <si>
    <t>Могилів-Подільська</t>
  </si>
  <si>
    <t>UA0508007</t>
  </si>
  <si>
    <t>Murovanokurylovetska</t>
  </si>
  <si>
    <t>Мурованокуриловецька</t>
  </si>
  <si>
    <t>UA0508009</t>
  </si>
  <si>
    <t>UA0508011</t>
  </si>
  <si>
    <t>Yampilska</t>
  </si>
  <si>
    <t>Ямпільська</t>
  </si>
  <si>
    <t>UA0508013</t>
  </si>
  <si>
    <t>Yaryshivska</t>
  </si>
  <si>
    <t>Яришівська</t>
  </si>
  <si>
    <t>UA0510001</t>
  </si>
  <si>
    <t>Bratslavska</t>
  </si>
  <si>
    <t>Брацлавська</t>
  </si>
  <si>
    <t>UA0510003</t>
  </si>
  <si>
    <t>Vapniarska</t>
  </si>
  <si>
    <t>Вапнярська</t>
  </si>
  <si>
    <t>UA0510005</t>
  </si>
  <si>
    <t>Horodkivska</t>
  </si>
  <si>
    <t>Городківська</t>
  </si>
  <si>
    <t>UA0510007</t>
  </si>
  <si>
    <t>Kryzhopilska</t>
  </si>
  <si>
    <t>Крижопільська</t>
  </si>
  <si>
    <t>UA0510009</t>
  </si>
  <si>
    <t>Pishchanska</t>
  </si>
  <si>
    <t>Піщанська</t>
  </si>
  <si>
    <t>UA0510011</t>
  </si>
  <si>
    <t>Studenianska</t>
  </si>
  <si>
    <t>Студенянська</t>
  </si>
  <si>
    <t>UA0510013</t>
  </si>
  <si>
    <t>Tomashpilska</t>
  </si>
  <si>
    <t>Томашпільська</t>
  </si>
  <si>
    <t>UA0510015</t>
  </si>
  <si>
    <t>Tulchynska</t>
  </si>
  <si>
    <t>Тульчинська</t>
  </si>
  <si>
    <t>UA0510017</t>
  </si>
  <si>
    <t>Shpykivska</t>
  </si>
  <si>
    <t>Шпиківська</t>
  </si>
  <si>
    <t>UA0512001</t>
  </si>
  <si>
    <t>Hlukhovetska</t>
  </si>
  <si>
    <t>Глуховецька</t>
  </si>
  <si>
    <t>UA0512003</t>
  </si>
  <si>
    <t>Zhdanivska</t>
  </si>
  <si>
    <t>Жданівська</t>
  </si>
  <si>
    <t>UA0512005</t>
  </si>
  <si>
    <t>Ivanivska</t>
  </si>
  <si>
    <t>Іванівська</t>
  </si>
  <si>
    <t>UA0512007</t>
  </si>
  <si>
    <t>Kalynivska</t>
  </si>
  <si>
    <t>Калинівська</t>
  </si>
  <si>
    <t>UA0512009</t>
  </si>
  <si>
    <t>Koziatynska</t>
  </si>
  <si>
    <t>Козятинська</t>
  </si>
  <si>
    <t>UA0512011</t>
  </si>
  <si>
    <t>Makhnivska</t>
  </si>
  <si>
    <t>Махнівська</t>
  </si>
  <si>
    <t>UA0512013</t>
  </si>
  <si>
    <t>Samhorodotska</t>
  </si>
  <si>
    <t>Самгородоцька</t>
  </si>
  <si>
    <t>UA0512015</t>
  </si>
  <si>
    <t>Ulanivska</t>
  </si>
  <si>
    <t>Уланівська</t>
  </si>
  <si>
    <t>UA0512017</t>
  </si>
  <si>
    <t>Khmilnytska</t>
  </si>
  <si>
    <t>Хмільницька</t>
  </si>
  <si>
    <t>UA0702001</t>
  </si>
  <si>
    <t>Volodymyr-Volynska</t>
  </si>
  <si>
    <t>Володимир-Волинська</t>
  </si>
  <si>
    <t>UA0702003</t>
  </si>
  <si>
    <t>Zaturtsivska</t>
  </si>
  <si>
    <t>Затурцівська</t>
  </si>
  <si>
    <t>UA0702005</t>
  </si>
  <si>
    <t>Zymnivska</t>
  </si>
  <si>
    <t>Зимнівська</t>
  </si>
  <si>
    <t>UA0702007</t>
  </si>
  <si>
    <t>Ivanychivska</t>
  </si>
  <si>
    <t>Іваничівська</t>
  </si>
  <si>
    <t>UA0702009</t>
  </si>
  <si>
    <t>Lytovezka</t>
  </si>
  <si>
    <t>Литовезька</t>
  </si>
  <si>
    <t>UA0702011</t>
  </si>
  <si>
    <t>Lokachynska</t>
  </si>
  <si>
    <t>Локачинська</t>
  </si>
  <si>
    <t>UA0702013</t>
  </si>
  <si>
    <t>Novovolynska</t>
  </si>
  <si>
    <t>Нововолинська</t>
  </si>
  <si>
    <t>UA0702015</t>
  </si>
  <si>
    <t>Ovadnivska</t>
  </si>
  <si>
    <t>Оваднівська</t>
  </si>
  <si>
    <t>UA0702017</t>
  </si>
  <si>
    <t>Pavlivska</t>
  </si>
  <si>
    <t>Павлівська</t>
  </si>
  <si>
    <t>UA0702019</t>
  </si>
  <si>
    <t>Poromivska</t>
  </si>
  <si>
    <t>Поромівська</t>
  </si>
  <si>
    <t>UA0702021</t>
  </si>
  <si>
    <t>Ustyluzka</t>
  </si>
  <si>
    <t>Устилузька</t>
  </si>
  <si>
    <t>UA0704001</t>
  </si>
  <si>
    <t>Kamin-Kashyrska</t>
  </si>
  <si>
    <t>Камінь-Каширська</t>
  </si>
  <si>
    <t>UA0704003</t>
  </si>
  <si>
    <t>Liubeshivska</t>
  </si>
  <si>
    <t>Любешівська</t>
  </si>
  <si>
    <t>UA0704005</t>
  </si>
  <si>
    <t>Manevytska</t>
  </si>
  <si>
    <t>Маневицька</t>
  </si>
  <si>
    <t>UA0704007</t>
  </si>
  <si>
    <t>Prylisnenska</t>
  </si>
  <si>
    <t>Прилісненська</t>
  </si>
  <si>
    <t>UA0704009</t>
  </si>
  <si>
    <t>Soshychnenska</t>
  </si>
  <si>
    <t>Сошичненська</t>
  </si>
  <si>
    <t>UA0706001</t>
  </si>
  <si>
    <t>Velymchenska</t>
  </si>
  <si>
    <t>Велимченська</t>
  </si>
  <si>
    <t>UA0706003</t>
  </si>
  <si>
    <t>Velytska</t>
  </si>
  <si>
    <t>Велицька</t>
  </si>
  <si>
    <t>UA0706005</t>
  </si>
  <si>
    <t>Vyshnivska</t>
  </si>
  <si>
    <t>Вишнівська</t>
  </si>
  <si>
    <t>UA0706007</t>
  </si>
  <si>
    <t>Holobska</t>
  </si>
  <si>
    <t>Голобська</t>
  </si>
  <si>
    <t>UA0706009</t>
  </si>
  <si>
    <t>Holovnenska</t>
  </si>
  <si>
    <t>Головненська</t>
  </si>
  <si>
    <t>UA0706011</t>
  </si>
  <si>
    <t>Dubechnenska</t>
  </si>
  <si>
    <t>Дубечненська</t>
  </si>
  <si>
    <t>UA0706013</t>
  </si>
  <si>
    <t>Dubivska</t>
  </si>
  <si>
    <t>Дубівська</t>
  </si>
  <si>
    <t>UA0706015</t>
  </si>
  <si>
    <t>Zabolottivska</t>
  </si>
  <si>
    <t>Заболоттівська</t>
  </si>
  <si>
    <t>UA0706017</t>
  </si>
  <si>
    <t>Zabrodivska</t>
  </si>
  <si>
    <t>Забродівська</t>
  </si>
  <si>
    <t>UA0706019</t>
  </si>
  <si>
    <t>Kovelska</t>
  </si>
  <si>
    <t>Ковельська</t>
  </si>
  <si>
    <t>UA0706021</t>
  </si>
  <si>
    <t>Kolodiazhnenska</t>
  </si>
  <si>
    <t>Колодяжненська</t>
  </si>
  <si>
    <t>UA0706023</t>
  </si>
  <si>
    <t>Lukivska</t>
  </si>
  <si>
    <t>Луківська</t>
  </si>
  <si>
    <t>UA0706025</t>
  </si>
  <si>
    <t>Liublynetska</t>
  </si>
  <si>
    <t>Люблинецька</t>
  </si>
  <si>
    <t>UA0706027</t>
  </si>
  <si>
    <t>Liubomlska</t>
  </si>
  <si>
    <t>Любомльська</t>
  </si>
  <si>
    <t>UA0706029</t>
  </si>
  <si>
    <t>Povorska</t>
  </si>
  <si>
    <t>Поворська</t>
  </si>
  <si>
    <t>UA0706031</t>
  </si>
  <si>
    <t>Ratnivska</t>
  </si>
  <si>
    <t>Ратнівська</t>
  </si>
  <si>
    <t>UA0706033</t>
  </si>
  <si>
    <t>UA0706035</t>
  </si>
  <si>
    <t>Samarivska</t>
  </si>
  <si>
    <t>Самарівська</t>
  </si>
  <si>
    <t>UA0706037</t>
  </si>
  <si>
    <t>Serekhovychivska</t>
  </si>
  <si>
    <t>Сереховичівська</t>
  </si>
  <si>
    <t>UA0706039</t>
  </si>
  <si>
    <t>Smidynska</t>
  </si>
  <si>
    <t>Смідинська</t>
  </si>
  <si>
    <t>UA0706041</t>
  </si>
  <si>
    <t>Starovyzhivska</t>
  </si>
  <si>
    <t>Старовижівська</t>
  </si>
  <si>
    <t>UA0706043</t>
  </si>
  <si>
    <t>Turiiska</t>
  </si>
  <si>
    <t>Турійська</t>
  </si>
  <si>
    <t>UA0706045</t>
  </si>
  <si>
    <t>Shatska</t>
  </si>
  <si>
    <t>Шацька</t>
  </si>
  <si>
    <t>UA0708001</t>
  </si>
  <si>
    <t>Berestechkivska</t>
  </si>
  <si>
    <t>Берестечківська</t>
  </si>
  <si>
    <t>UA0708003</t>
  </si>
  <si>
    <t>Boratynska</t>
  </si>
  <si>
    <t>Боратинська</t>
  </si>
  <si>
    <t>UA0708005</t>
  </si>
  <si>
    <t>Horodyshchenska</t>
  </si>
  <si>
    <t>Городищенська</t>
  </si>
  <si>
    <t>UA0708007</t>
  </si>
  <si>
    <t>Horokhivska</t>
  </si>
  <si>
    <t>Горохівська</t>
  </si>
  <si>
    <t>UA0708009</t>
  </si>
  <si>
    <t>Dorosynivska</t>
  </si>
  <si>
    <t>Доросинівська</t>
  </si>
  <si>
    <t>UA0708011</t>
  </si>
  <si>
    <t>Kivertsivska</t>
  </si>
  <si>
    <t>Ківерцівська</t>
  </si>
  <si>
    <t>UA0708013</t>
  </si>
  <si>
    <t>Kolkivska</t>
  </si>
  <si>
    <t>Колківська</t>
  </si>
  <si>
    <t>UA0708015</t>
  </si>
  <si>
    <t>Kopachivska</t>
  </si>
  <si>
    <t>Копачівська</t>
  </si>
  <si>
    <t>UA0708017</t>
  </si>
  <si>
    <t>Lutska</t>
  </si>
  <si>
    <t>Луцька</t>
  </si>
  <si>
    <t>UA0708019</t>
  </si>
  <si>
    <t>Marianivska</t>
  </si>
  <si>
    <t>Мар'янівська</t>
  </si>
  <si>
    <t>UA0708021</t>
  </si>
  <si>
    <t>Olytska</t>
  </si>
  <si>
    <t>Олицька</t>
  </si>
  <si>
    <t>UA0708023</t>
  </si>
  <si>
    <t>Pidhaitsivska</t>
  </si>
  <si>
    <t>Підгайцівська</t>
  </si>
  <si>
    <t>UA0708025</t>
  </si>
  <si>
    <t>Rozhyshchenska</t>
  </si>
  <si>
    <t>Рожищенська</t>
  </si>
  <si>
    <t>UA0708027</t>
  </si>
  <si>
    <t>Torchynska</t>
  </si>
  <si>
    <t>Торчинська</t>
  </si>
  <si>
    <t>UA0708029</t>
  </si>
  <si>
    <t>Tsumanska</t>
  </si>
  <si>
    <t>Цуманська</t>
  </si>
  <si>
    <t>UA1202001</t>
  </si>
  <si>
    <t>Dniprovska</t>
  </si>
  <si>
    <t>Дніпровська</t>
  </si>
  <si>
    <t>UA1202003</t>
  </si>
  <si>
    <t>Kytaihorodska</t>
  </si>
  <si>
    <t>Китайгородська</t>
  </si>
  <si>
    <t>UA1202005</t>
  </si>
  <si>
    <t>Liubymivska</t>
  </si>
  <si>
    <t>Любимівська</t>
  </si>
  <si>
    <t>UA1202007</t>
  </si>
  <si>
    <t>Liashkivska</t>
  </si>
  <si>
    <t>Ляшківська</t>
  </si>
  <si>
    <t>UA1202009</t>
  </si>
  <si>
    <t>UA1202011</t>
  </si>
  <si>
    <t>Mohylivska</t>
  </si>
  <si>
    <t>Могилівська</t>
  </si>
  <si>
    <t>UA1202013</t>
  </si>
  <si>
    <t>Novooleksandrivska</t>
  </si>
  <si>
    <t>Новоолександрівська</t>
  </si>
  <si>
    <t>UA1202015</t>
  </si>
  <si>
    <t>Novopokrovska</t>
  </si>
  <si>
    <t>Новопокровська</t>
  </si>
  <si>
    <t>UA1202017</t>
  </si>
  <si>
    <t>Obukhivska</t>
  </si>
  <si>
    <t>Обухівська</t>
  </si>
  <si>
    <t>UA1202019</t>
  </si>
  <si>
    <t>Petrykivska</t>
  </si>
  <si>
    <t>Петриківська</t>
  </si>
  <si>
    <t>UA1202021</t>
  </si>
  <si>
    <t>Pidhorodnenska</t>
  </si>
  <si>
    <t>Підгородненська</t>
  </si>
  <si>
    <t>UA1202023</t>
  </si>
  <si>
    <t>Sviatovasylivska</t>
  </si>
  <si>
    <t>Святовасилівська</t>
  </si>
  <si>
    <t>UA1202025</t>
  </si>
  <si>
    <t>Slobozhanska</t>
  </si>
  <si>
    <t>Слобожанська</t>
  </si>
  <si>
    <t>UA1202027</t>
  </si>
  <si>
    <t>Solonianska</t>
  </si>
  <si>
    <t>Солонянська</t>
  </si>
  <si>
    <t>UA1202029</t>
  </si>
  <si>
    <t>Sursko-Lytovska</t>
  </si>
  <si>
    <t>Сурсько-Литовська</t>
  </si>
  <si>
    <t>UA1202031</t>
  </si>
  <si>
    <t>Tsarychanska</t>
  </si>
  <si>
    <t>Царичанська</t>
  </si>
  <si>
    <t>UA1202033</t>
  </si>
  <si>
    <t>Chumakivska</t>
  </si>
  <si>
    <t>Чумаківська</t>
  </si>
  <si>
    <t>UA1204001</t>
  </si>
  <si>
    <t>Bozhedarivska</t>
  </si>
  <si>
    <t>Божедарівська</t>
  </si>
  <si>
    <t>UA1204003</t>
  </si>
  <si>
    <t>Verkhivtsivska</t>
  </si>
  <si>
    <t>Верхівцівська</t>
  </si>
  <si>
    <t>UA1204005</t>
  </si>
  <si>
    <t>Verkhnodniprovska</t>
  </si>
  <si>
    <t>Верхньодніпровська</t>
  </si>
  <si>
    <t>UA1204007</t>
  </si>
  <si>
    <t>UA1204009</t>
  </si>
  <si>
    <t>Vilnohirska</t>
  </si>
  <si>
    <t>Вільногірська</t>
  </si>
  <si>
    <t>UA1204011</t>
  </si>
  <si>
    <t>Zhovtovodska</t>
  </si>
  <si>
    <t>Жовтоводська</t>
  </si>
  <si>
    <t>UA1204013</t>
  </si>
  <si>
    <t>Zatyshnianska</t>
  </si>
  <si>
    <t>Затишнянська</t>
  </si>
  <si>
    <t>UA1204015</t>
  </si>
  <si>
    <t>Kamianska</t>
  </si>
  <si>
    <t>Кам'янська</t>
  </si>
  <si>
    <t>UA1204017</t>
  </si>
  <si>
    <t>Krynychanska</t>
  </si>
  <si>
    <t>Криничанська</t>
  </si>
  <si>
    <t>UA1204019</t>
  </si>
  <si>
    <t>Lykhivska</t>
  </si>
  <si>
    <t>Лихівська</t>
  </si>
  <si>
    <t>UA1204021</t>
  </si>
  <si>
    <t>Piatykhatska</t>
  </si>
  <si>
    <t>П'ятихатська</t>
  </si>
  <si>
    <t>UA1204023</t>
  </si>
  <si>
    <t>Saksahanska</t>
  </si>
  <si>
    <t>Саксаганська</t>
  </si>
  <si>
    <t>UA1206001</t>
  </si>
  <si>
    <t>Apostolivska</t>
  </si>
  <si>
    <t>Апостолівська</t>
  </si>
  <si>
    <t>UA1206003</t>
  </si>
  <si>
    <t>Vakulivska</t>
  </si>
  <si>
    <t>Вакулівська</t>
  </si>
  <si>
    <t>UA1206005</t>
  </si>
  <si>
    <t>Hleiuvatska</t>
  </si>
  <si>
    <t>Глеюватська</t>
  </si>
  <si>
    <t>UA1206007</t>
  </si>
  <si>
    <t>Hrechanopodivska</t>
  </si>
  <si>
    <t>Гречаноподівська</t>
  </si>
  <si>
    <t>UA1206009</t>
  </si>
  <si>
    <t>Hrushivska</t>
  </si>
  <si>
    <t>Грушівська</t>
  </si>
  <si>
    <t>UA1206011</t>
  </si>
  <si>
    <t>Devladivska</t>
  </si>
  <si>
    <t>Девладівська</t>
  </si>
  <si>
    <t>UA1206013</t>
  </si>
  <si>
    <t>Zelenodolska</t>
  </si>
  <si>
    <t>Зеленодольська</t>
  </si>
  <si>
    <t>UA1206015</t>
  </si>
  <si>
    <t>Karpivska</t>
  </si>
  <si>
    <t>Карпівська</t>
  </si>
  <si>
    <t>UA1206017</t>
  </si>
  <si>
    <t>Kryvorizka</t>
  </si>
  <si>
    <t>Криворізька</t>
  </si>
  <si>
    <t>UA1206019</t>
  </si>
  <si>
    <t>Lozuvatska</t>
  </si>
  <si>
    <t>Лозуватська</t>
  </si>
  <si>
    <t>UA1206021</t>
  </si>
  <si>
    <t>Nyvotrudivska</t>
  </si>
  <si>
    <t>Нивотрудівська</t>
  </si>
  <si>
    <t>UA1206023</t>
  </si>
  <si>
    <t>Novolativska</t>
  </si>
  <si>
    <t>Новолатівська</t>
  </si>
  <si>
    <t>UA1206025</t>
  </si>
  <si>
    <t>Novopilska</t>
  </si>
  <si>
    <t>Новопільська</t>
  </si>
  <si>
    <t>UA1206027</t>
  </si>
  <si>
    <t>Sofiivska</t>
  </si>
  <si>
    <t>Софіївська</t>
  </si>
  <si>
    <t>UA1206029</t>
  </si>
  <si>
    <t>Shyrokivska</t>
  </si>
  <si>
    <t>Широківська</t>
  </si>
  <si>
    <t>UA1208001</t>
  </si>
  <si>
    <t>Marhanetska</t>
  </si>
  <si>
    <t>Марганецька</t>
  </si>
  <si>
    <t>UA1208003</t>
  </si>
  <si>
    <t>Myrivska</t>
  </si>
  <si>
    <t>Мирівська</t>
  </si>
  <si>
    <t>UA1208005</t>
  </si>
  <si>
    <t>Nikopolska</t>
  </si>
  <si>
    <t>Нікопольська</t>
  </si>
  <si>
    <t>UA1208007</t>
  </si>
  <si>
    <t>Pershotravnevska</t>
  </si>
  <si>
    <t>Першотравневська</t>
  </si>
  <si>
    <t>UA1208009</t>
  </si>
  <si>
    <t>Pokrovska</t>
  </si>
  <si>
    <t>Покровська</t>
  </si>
  <si>
    <t>UA1208011</t>
  </si>
  <si>
    <t>UA1208013</t>
  </si>
  <si>
    <t>Tomakivska</t>
  </si>
  <si>
    <t>Томаківська</t>
  </si>
  <si>
    <t>UA1208015</t>
  </si>
  <si>
    <t>Chervonohryhorivska</t>
  </si>
  <si>
    <t>Червоногригорівська</t>
  </si>
  <si>
    <t>UA1210001</t>
  </si>
  <si>
    <t>Hubynyska</t>
  </si>
  <si>
    <t>Губиниська</t>
  </si>
  <si>
    <t>UA1210003</t>
  </si>
  <si>
    <t>Lychkivska</t>
  </si>
  <si>
    <t>Личківська</t>
  </si>
  <si>
    <t>UA1210005</t>
  </si>
  <si>
    <t>Mahdalynivska</t>
  </si>
  <si>
    <t>Магдалинівська</t>
  </si>
  <si>
    <t>UA1210007</t>
  </si>
  <si>
    <t>Novomoskovska</t>
  </si>
  <si>
    <t>Новомосковська</t>
  </si>
  <si>
    <t>UA1210009</t>
  </si>
  <si>
    <t>Pereshchepynska</t>
  </si>
  <si>
    <t>Перещепинська</t>
  </si>
  <si>
    <t>UA1210011</t>
  </si>
  <si>
    <t>UA1210013</t>
  </si>
  <si>
    <t>UA1210015</t>
  </si>
  <si>
    <t>Chernechchynska</t>
  </si>
  <si>
    <t>Чернеччинська</t>
  </si>
  <si>
    <t>UA1212001</t>
  </si>
  <si>
    <t>Bohdanivska</t>
  </si>
  <si>
    <t>Богданівська</t>
  </si>
  <si>
    <t>UA1212003</t>
  </si>
  <si>
    <t>Verbkivska</t>
  </si>
  <si>
    <t>Вербківська</t>
  </si>
  <si>
    <t>UA1212005</t>
  </si>
  <si>
    <t>Mezhyritska</t>
  </si>
  <si>
    <t>Межиріцька</t>
  </si>
  <si>
    <t>UA1212007</t>
  </si>
  <si>
    <t>Pavlohradska</t>
  </si>
  <si>
    <t>Павлоградська</t>
  </si>
  <si>
    <t>UA1212009</t>
  </si>
  <si>
    <t>Ternivska</t>
  </si>
  <si>
    <t>Тернівська</t>
  </si>
  <si>
    <t>UA1212011</t>
  </si>
  <si>
    <t>Troitska</t>
  </si>
  <si>
    <t>Троїцька</t>
  </si>
  <si>
    <t>UA1212013</t>
  </si>
  <si>
    <t>Yurivska</t>
  </si>
  <si>
    <t>Юр'ївська</t>
  </si>
  <si>
    <t>UA1214001</t>
  </si>
  <si>
    <t>Brahynivska</t>
  </si>
  <si>
    <t>Брагинівська</t>
  </si>
  <si>
    <t>UA1214003</t>
  </si>
  <si>
    <t>Vasylkivska</t>
  </si>
  <si>
    <t>Васильківська</t>
  </si>
  <si>
    <t>UA1214005</t>
  </si>
  <si>
    <t>Velykomykhailivska</t>
  </si>
  <si>
    <t>Великомихайлівська</t>
  </si>
  <si>
    <t>UA1214007</t>
  </si>
  <si>
    <t>Dubovykivska</t>
  </si>
  <si>
    <t>Дубовиківська</t>
  </si>
  <si>
    <t>UA1214009</t>
  </si>
  <si>
    <t>Zaitsivska</t>
  </si>
  <si>
    <t>Зайцівська</t>
  </si>
  <si>
    <t>UA1214011</t>
  </si>
  <si>
    <t>Ilarionivska</t>
  </si>
  <si>
    <t>Іларіонівська</t>
  </si>
  <si>
    <t>UA1214013</t>
  </si>
  <si>
    <t>Malomykhailivska</t>
  </si>
  <si>
    <t>Маломихайлівська</t>
  </si>
  <si>
    <t>UA1214015</t>
  </si>
  <si>
    <t>Mezhivska</t>
  </si>
  <si>
    <t>Межівська</t>
  </si>
  <si>
    <t>UA1214017</t>
  </si>
  <si>
    <t>UA1214019</t>
  </si>
  <si>
    <t>Novopavlivska</t>
  </si>
  <si>
    <t>Новопавлівська</t>
  </si>
  <si>
    <t>UA1214021</t>
  </si>
  <si>
    <t>Pershotravenska</t>
  </si>
  <si>
    <t>Першотравенська</t>
  </si>
  <si>
    <t>UA1214023</t>
  </si>
  <si>
    <t>Petropavlivska</t>
  </si>
  <si>
    <t>Петропавлівська</t>
  </si>
  <si>
    <t>UA1214025</t>
  </si>
  <si>
    <t>UA1214027</t>
  </si>
  <si>
    <t>Raivska</t>
  </si>
  <si>
    <t>Раївська</t>
  </si>
  <si>
    <t>UA1214029</t>
  </si>
  <si>
    <t>Rozdorska</t>
  </si>
  <si>
    <t>Роздорська</t>
  </si>
  <si>
    <t>UA1214031</t>
  </si>
  <si>
    <t>Synelnykivska</t>
  </si>
  <si>
    <t>Синельниківська</t>
  </si>
  <si>
    <t>UA1214033</t>
  </si>
  <si>
    <t>Slavhorodska</t>
  </si>
  <si>
    <t>Славгородська</t>
  </si>
  <si>
    <t>UA1214035</t>
  </si>
  <si>
    <t>Slovianska</t>
  </si>
  <si>
    <t>Слов'янська</t>
  </si>
  <si>
    <t>UA1214037</t>
  </si>
  <si>
    <t>Ukrainska</t>
  </si>
  <si>
    <t>Українська</t>
  </si>
  <si>
    <t>UA1402001</t>
  </si>
  <si>
    <t>Bakhmutska</t>
  </si>
  <si>
    <t>Бахмутська</t>
  </si>
  <si>
    <t>UA1402003</t>
  </si>
  <si>
    <t>Zvanivska</t>
  </si>
  <si>
    <t>Званівська</t>
  </si>
  <si>
    <t>UA1402005</t>
  </si>
  <si>
    <t>Svitlodarska</t>
  </si>
  <si>
    <t>Світлодарська</t>
  </si>
  <si>
    <t>UA1402007</t>
  </si>
  <si>
    <t>Siverska</t>
  </si>
  <si>
    <t>Сіверська</t>
  </si>
  <si>
    <t>UA1402009</t>
  </si>
  <si>
    <t>Soledarska</t>
  </si>
  <si>
    <t>Соледарська</t>
  </si>
  <si>
    <t>UA1402011</t>
  </si>
  <si>
    <t>Toretska</t>
  </si>
  <si>
    <t>Торецька</t>
  </si>
  <si>
    <t>UA1402013</t>
  </si>
  <si>
    <t>Chasovoiarska</t>
  </si>
  <si>
    <t>Часовоярська</t>
  </si>
  <si>
    <t>UA1404001</t>
  </si>
  <si>
    <t>Velykonovosilkivska</t>
  </si>
  <si>
    <t>Великоновосілківська</t>
  </si>
  <si>
    <t>UA1404003</t>
  </si>
  <si>
    <t>Volnovaska</t>
  </si>
  <si>
    <t>Волноваська</t>
  </si>
  <si>
    <t>UA1404005</t>
  </si>
  <si>
    <t>Vuhledarska</t>
  </si>
  <si>
    <t>Вугледарська</t>
  </si>
  <si>
    <t>UA1404007</t>
  </si>
  <si>
    <t>Komarska</t>
  </si>
  <si>
    <t>Комарська</t>
  </si>
  <si>
    <t>UA1404009</t>
  </si>
  <si>
    <t>Myrnenska</t>
  </si>
  <si>
    <t>Мирненська</t>
  </si>
  <si>
    <t>UA1404011</t>
  </si>
  <si>
    <t>Olhynska</t>
  </si>
  <si>
    <t>Ольгинська</t>
  </si>
  <si>
    <t>UA1404013</t>
  </si>
  <si>
    <t>Staromlynivska</t>
  </si>
  <si>
    <t>Старомлинівська</t>
  </si>
  <si>
    <t>UA1404015</t>
  </si>
  <si>
    <t>Khlibodarivska</t>
  </si>
  <si>
    <t>Хлібодарівська</t>
  </si>
  <si>
    <t>UA1406001</t>
  </si>
  <si>
    <t>Vuhlehirska</t>
  </si>
  <si>
    <t>Вуглегірська</t>
  </si>
  <si>
    <t>UA1406003</t>
  </si>
  <si>
    <t>Horlivska</t>
  </si>
  <si>
    <t>Горлівська</t>
  </si>
  <si>
    <t>UA1406005</t>
  </si>
  <si>
    <t>Debaltsivska</t>
  </si>
  <si>
    <t>Дебальцівська</t>
  </si>
  <si>
    <t>UA1406007</t>
  </si>
  <si>
    <t>Yenakiievska</t>
  </si>
  <si>
    <t>Єнакієвська</t>
  </si>
  <si>
    <t>UA1406009</t>
  </si>
  <si>
    <t>UA1406011</t>
  </si>
  <si>
    <t>Snizhnianska</t>
  </si>
  <si>
    <t>Сніжнянська</t>
  </si>
  <si>
    <t>UA1406013</t>
  </si>
  <si>
    <t>Khrestivska</t>
  </si>
  <si>
    <t>Хрестівська</t>
  </si>
  <si>
    <t>UA1406015</t>
  </si>
  <si>
    <t>Chystiakivska</t>
  </si>
  <si>
    <t>Чистяківська</t>
  </si>
  <si>
    <t>UA1406017</t>
  </si>
  <si>
    <t>Shakhtarska</t>
  </si>
  <si>
    <t>Шахтарська</t>
  </si>
  <si>
    <t>UA1408001</t>
  </si>
  <si>
    <t>Amvrosiivska</t>
  </si>
  <si>
    <t>Амвросіївська</t>
  </si>
  <si>
    <t>UA1408003</t>
  </si>
  <si>
    <t>UA1408005</t>
  </si>
  <si>
    <t>Ilovaiska</t>
  </si>
  <si>
    <t>Іловайська</t>
  </si>
  <si>
    <t>UA1408007</t>
  </si>
  <si>
    <t>Makiivska</t>
  </si>
  <si>
    <t>Макіївська</t>
  </si>
  <si>
    <t>UA1408009</t>
  </si>
  <si>
    <t>Khartsyzka</t>
  </si>
  <si>
    <t>Харцизька</t>
  </si>
  <si>
    <t>UA1408011</t>
  </si>
  <si>
    <t>Yasynuvatska</t>
  </si>
  <si>
    <t>Ясинуватська</t>
  </si>
  <si>
    <t>UA1410001</t>
  </si>
  <si>
    <t>Boikivska</t>
  </si>
  <si>
    <t>Бойківська</t>
  </si>
  <si>
    <t>UA1410003</t>
  </si>
  <si>
    <t>Dokuchaievska</t>
  </si>
  <si>
    <t>Докучаєвська</t>
  </si>
  <si>
    <t>UA1410005</t>
  </si>
  <si>
    <t>Kalmiuska</t>
  </si>
  <si>
    <t>Кальміуська</t>
  </si>
  <si>
    <t>UA1410007</t>
  </si>
  <si>
    <t>Novoazovska</t>
  </si>
  <si>
    <t>Новоазовська</t>
  </si>
  <si>
    <t>UA1410009</t>
  </si>
  <si>
    <t>Starobeshivska</t>
  </si>
  <si>
    <t>Старобешівська</t>
  </si>
  <si>
    <t>UA1412001</t>
  </si>
  <si>
    <t>Andriivska</t>
  </si>
  <si>
    <t>Андріївська</t>
  </si>
  <si>
    <t>UA1412003</t>
  </si>
  <si>
    <t>Druzhkivska</t>
  </si>
  <si>
    <t>Дружківська</t>
  </si>
  <si>
    <t>UA1412005</t>
  </si>
  <si>
    <t>Illinivska</t>
  </si>
  <si>
    <t>Іллінівська</t>
  </si>
  <si>
    <t>UA1412007</t>
  </si>
  <si>
    <t>Kostiantynivska</t>
  </si>
  <si>
    <t>Костянтинівська</t>
  </si>
  <si>
    <t>UA1412009</t>
  </si>
  <si>
    <t>Kramatorska</t>
  </si>
  <si>
    <t>Краматорська</t>
  </si>
  <si>
    <t>UA1412011</t>
  </si>
  <si>
    <t>Lymanska</t>
  </si>
  <si>
    <t>Лиманська</t>
  </si>
  <si>
    <t>UA1412013</t>
  </si>
  <si>
    <t>UA1412015</t>
  </si>
  <si>
    <t>Novodonetska</t>
  </si>
  <si>
    <t>Новодонецька</t>
  </si>
  <si>
    <t>UA1412017</t>
  </si>
  <si>
    <t>Oleksandrivska</t>
  </si>
  <si>
    <t>Олександрівська</t>
  </si>
  <si>
    <t>UA1412019</t>
  </si>
  <si>
    <t>Sviatohirska</t>
  </si>
  <si>
    <t>Святогірська</t>
  </si>
  <si>
    <t>UA1412021</t>
  </si>
  <si>
    <t>UA1412023</t>
  </si>
  <si>
    <t>UA1414001</t>
  </si>
  <si>
    <t>Kalchytska</t>
  </si>
  <si>
    <t>Кальчицька</t>
  </si>
  <si>
    <t>UA1414003</t>
  </si>
  <si>
    <t>Manhushska</t>
  </si>
  <si>
    <t>Мангушська</t>
  </si>
  <si>
    <t>UA1414005</t>
  </si>
  <si>
    <t>Mariupolska</t>
  </si>
  <si>
    <t>Маріупольська</t>
  </si>
  <si>
    <t>UA1414007</t>
  </si>
  <si>
    <t>Nikolska</t>
  </si>
  <si>
    <t>Нікольська</t>
  </si>
  <si>
    <t>UA1414009</t>
  </si>
  <si>
    <t>Sartanska</t>
  </si>
  <si>
    <t>Сартанська</t>
  </si>
  <si>
    <t>UA1416001</t>
  </si>
  <si>
    <t>Avdiivska</t>
  </si>
  <si>
    <t>Авдіївська</t>
  </si>
  <si>
    <t>UA1416003</t>
  </si>
  <si>
    <t>Bilozerska</t>
  </si>
  <si>
    <t>Білозерська</t>
  </si>
  <si>
    <t>UA1416005</t>
  </si>
  <si>
    <t>Hrodivska</t>
  </si>
  <si>
    <t>Гродівська</t>
  </si>
  <si>
    <t>UA1416007</t>
  </si>
  <si>
    <t>Dobropilska</t>
  </si>
  <si>
    <t>Добропільська</t>
  </si>
  <si>
    <t>UA1416009</t>
  </si>
  <si>
    <t>UA1416011</t>
  </si>
  <si>
    <t>Kurakhivska</t>
  </si>
  <si>
    <t>Курахівська</t>
  </si>
  <si>
    <t>UA1416013</t>
  </si>
  <si>
    <t>Marinska</t>
  </si>
  <si>
    <t>Мар'їнська</t>
  </si>
  <si>
    <t>UA1416015</t>
  </si>
  <si>
    <t>Myrnohradska</t>
  </si>
  <si>
    <t>Мирноградська</t>
  </si>
  <si>
    <t>UA1416017</t>
  </si>
  <si>
    <t>Novohrodivska</t>
  </si>
  <si>
    <t>Новогродівська</t>
  </si>
  <si>
    <t>UA1416019</t>
  </si>
  <si>
    <t>Ocheretynska</t>
  </si>
  <si>
    <t>Очеретинська</t>
  </si>
  <si>
    <t>UA1416021</t>
  </si>
  <si>
    <t>UA1416023</t>
  </si>
  <si>
    <t>Selydivska</t>
  </si>
  <si>
    <t>Селидівська</t>
  </si>
  <si>
    <t>UA1416025</t>
  </si>
  <si>
    <t>Udachnenska</t>
  </si>
  <si>
    <t>Удачненська</t>
  </si>
  <si>
    <t>UA1416027</t>
  </si>
  <si>
    <t>Shakhivska</t>
  </si>
  <si>
    <t>Шахівська</t>
  </si>
  <si>
    <t>UA1802001</t>
  </si>
  <si>
    <t>Andrushivska</t>
  </si>
  <si>
    <t>Андрушівська</t>
  </si>
  <si>
    <t>UA1802003</t>
  </si>
  <si>
    <t>Berdychivska</t>
  </si>
  <si>
    <t>Бердичівська</t>
  </si>
  <si>
    <t>UA1802005</t>
  </si>
  <si>
    <t>Vchoraishenska</t>
  </si>
  <si>
    <t>Вчорайшенська</t>
  </si>
  <si>
    <t>UA1802007</t>
  </si>
  <si>
    <t>Hryshkovetska</t>
  </si>
  <si>
    <t>Гришковецька</t>
  </si>
  <si>
    <t>UA1802009</t>
  </si>
  <si>
    <t>UA1802011</t>
  </si>
  <si>
    <t>Raihorodotska</t>
  </si>
  <si>
    <t>Райгородоцька</t>
  </si>
  <si>
    <t>UA1802013</t>
  </si>
  <si>
    <t>Ruzhynska</t>
  </si>
  <si>
    <t>Ружинська</t>
  </si>
  <si>
    <t>UA1802015</t>
  </si>
  <si>
    <t>Semenivska</t>
  </si>
  <si>
    <t>Семенівська</t>
  </si>
  <si>
    <t>UA1802017</t>
  </si>
  <si>
    <t>Chervonenska</t>
  </si>
  <si>
    <t>Червоненська</t>
  </si>
  <si>
    <t>UA1802019</t>
  </si>
  <si>
    <t>Shvaikivska</t>
  </si>
  <si>
    <t>Швайківська</t>
  </si>
  <si>
    <t>UA1804001</t>
  </si>
  <si>
    <t>Andrushkivska</t>
  </si>
  <si>
    <t>Андрушківська</t>
  </si>
  <si>
    <t>UA1804003</t>
  </si>
  <si>
    <t>Berezivska</t>
  </si>
  <si>
    <t>Березівська</t>
  </si>
  <si>
    <t>UA1804005</t>
  </si>
  <si>
    <t>Brusylivska</t>
  </si>
  <si>
    <t>Брусилівська</t>
  </si>
  <si>
    <t>UA1804007</t>
  </si>
  <si>
    <t>Vysokivska</t>
  </si>
  <si>
    <t>Високівська</t>
  </si>
  <si>
    <t>UA1804009</t>
  </si>
  <si>
    <t>Vyshevytska</t>
  </si>
  <si>
    <t>Вишевицька</t>
  </si>
  <si>
    <t>UA1804011</t>
  </si>
  <si>
    <t>Vilshanska</t>
  </si>
  <si>
    <t>Вільшанська</t>
  </si>
  <si>
    <t>UA1804013</t>
  </si>
  <si>
    <t>Volytska</t>
  </si>
  <si>
    <t>Волицька</t>
  </si>
  <si>
    <t>UA1804015</t>
  </si>
  <si>
    <t>Hlybochytska</t>
  </si>
  <si>
    <t>Глибочицька</t>
  </si>
  <si>
    <t>UA1804017</t>
  </si>
  <si>
    <t>Horodotska</t>
  </si>
  <si>
    <t>Городоцька</t>
  </si>
  <si>
    <t>UA1804019</t>
  </si>
  <si>
    <t>UA1804021</t>
  </si>
  <si>
    <t>Kvitneva</t>
  </si>
  <si>
    <t>Квітнева</t>
  </si>
  <si>
    <t>UA1804023</t>
  </si>
  <si>
    <t>Kornynska</t>
  </si>
  <si>
    <t>Корнинська</t>
  </si>
  <si>
    <t>UA1804025</t>
  </si>
  <si>
    <t>Korostyshivska</t>
  </si>
  <si>
    <t>Коростишівська</t>
  </si>
  <si>
    <t>UA1804027</t>
  </si>
  <si>
    <t>Kurnenska</t>
  </si>
  <si>
    <t>Курненська</t>
  </si>
  <si>
    <t>UA1804029</t>
  </si>
  <si>
    <t>Liubarska</t>
  </si>
  <si>
    <t>Любарська</t>
  </si>
  <si>
    <t>UA1804031</t>
  </si>
  <si>
    <t>Myropilska</t>
  </si>
  <si>
    <t>Миропільська</t>
  </si>
  <si>
    <t>UA1804033</t>
  </si>
  <si>
    <t>Novoborivska</t>
  </si>
  <si>
    <t>Новоборівська</t>
  </si>
  <si>
    <t>UA1804035</t>
  </si>
  <si>
    <t>Novohuivynska</t>
  </si>
  <si>
    <t>Новогуйвинська</t>
  </si>
  <si>
    <t>UA1804037</t>
  </si>
  <si>
    <t>Oliivska</t>
  </si>
  <si>
    <t>Оліївська</t>
  </si>
  <si>
    <t>UA1804039</t>
  </si>
  <si>
    <t>Popilnianska</t>
  </si>
  <si>
    <t>Попільнянська</t>
  </si>
  <si>
    <t>UA1804041</t>
  </si>
  <si>
    <t>Potiivska</t>
  </si>
  <si>
    <t>Потіївська</t>
  </si>
  <si>
    <t>UA1804043</t>
  </si>
  <si>
    <t>Pulynska</t>
  </si>
  <si>
    <t>Пулинська</t>
  </si>
  <si>
    <t>UA1804045</t>
  </si>
  <si>
    <t>Radomyshlska</t>
  </si>
  <si>
    <t>Радомишльська</t>
  </si>
  <si>
    <t>UA1804047</t>
  </si>
  <si>
    <t>Romanivska</t>
  </si>
  <si>
    <t>Романівська</t>
  </si>
  <si>
    <t>UA1804049</t>
  </si>
  <si>
    <t>Stanyshivska</t>
  </si>
  <si>
    <t>Станишівська</t>
  </si>
  <si>
    <t>UA1804051</t>
  </si>
  <si>
    <t>Starosiletska</t>
  </si>
  <si>
    <t>Старосілецька</t>
  </si>
  <si>
    <t>UA1804053</t>
  </si>
  <si>
    <t>Teterivska</t>
  </si>
  <si>
    <t>Тетерівська</t>
  </si>
  <si>
    <t>UA1804055</t>
  </si>
  <si>
    <t>Kharytonivska</t>
  </si>
  <si>
    <t>Харитонівська</t>
  </si>
  <si>
    <t>UA1804057</t>
  </si>
  <si>
    <t>Khoroshivska</t>
  </si>
  <si>
    <t>Хорошівська</t>
  </si>
  <si>
    <t>UA1804059</t>
  </si>
  <si>
    <t>Cherniakhivska</t>
  </si>
  <si>
    <t>Черняхівська</t>
  </si>
  <si>
    <t>UA1804061</t>
  </si>
  <si>
    <t>Chudniv</t>
  </si>
  <si>
    <t>Чуднівська</t>
  </si>
  <si>
    <t>UA1806001</t>
  </si>
  <si>
    <t>Bilokorovytska</t>
  </si>
  <si>
    <t>Білокоровицька</t>
  </si>
  <si>
    <t>UA1806003</t>
  </si>
  <si>
    <t>Hladkovytska</t>
  </si>
  <si>
    <t>Гладковицька</t>
  </si>
  <si>
    <t>UA1806005</t>
  </si>
  <si>
    <t>Horshchykivska</t>
  </si>
  <si>
    <t>Горщиківська</t>
  </si>
  <si>
    <t>UA1806007</t>
  </si>
  <si>
    <t>Irshanska</t>
  </si>
  <si>
    <t>Іршанська</t>
  </si>
  <si>
    <t>UA1806009</t>
  </si>
  <si>
    <t>Korostenska</t>
  </si>
  <si>
    <t>Коростенська</t>
  </si>
  <si>
    <t>UA1806011</t>
  </si>
  <si>
    <t>Luhynska</t>
  </si>
  <si>
    <t>Лугинська</t>
  </si>
  <si>
    <t>UA1806013</t>
  </si>
  <si>
    <t>Malynska</t>
  </si>
  <si>
    <t>Малинська</t>
  </si>
  <si>
    <t>UA1806015</t>
  </si>
  <si>
    <t>Narodytska</t>
  </si>
  <si>
    <t>Народицька</t>
  </si>
  <si>
    <t>UA1806017</t>
  </si>
  <si>
    <t>Ovrutska</t>
  </si>
  <si>
    <t>Овруцька</t>
  </si>
  <si>
    <t>UA1806019</t>
  </si>
  <si>
    <t>Olevska</t>
  </si>
  <si>
    <t>Олевська</t>
  </si>
  <si>
    <t>UA1806021</t>
  </si>
  <si>
    <t>Slovechanska</t>
  </si>
  <si>
    <t>Словечанська</t>
  </si>
  <si>
    <t>UA1806023</t>
  </si>
  <si>
    <t>Ushomyrska</t>
  </si>
  <si>
    <t>Ушомирська</t>
  </si>
  <si>
    <t>UA1806025</t>
  </si>
  <si>
    <t>Chopovytska</t>
  </si>
  <si>
    <t>Чоповицька</t>
  </si>
  <si>
    <t>UA1808001</t>
  </si>
  <si>
    <t>Baranivska</t>
  </si>
  <si>
    <t>Баранівська</t>
  </si>
  <si>
    <t>UA1808003</t>
  </si>
  <si>
    <t>Barashivska</t>
  </si>
  <si>
    <t>Барашівська</t>
  </si>
  <si>
    <t>UA1808005</t>
  </si>
  <si>
    <t>Bronykivska</t>
  </si>
  <si>
    <t>Брониківська</t>
  </si>
  <si>
    <t>UA1808007</t>
  </si>
  <si>
    <t>Horodnytska</t>
  </si>
  <si>
    <t>Городницька</t>
  </si>
  <si>
    <t>UA1808009</t>
  </si>
  <si>
    <t>Dovbyska</t>
  </si>
  <si>
    <t>Довбиська</t>
  </si>
  <si>
    <t>UA1808011</t>
  </si>
  <si>
    <t>Dubrivska</t>
  </si>
  <si>
    <t>Дубрівська</t>
  </si>
  <si>
    <t>UA1808013</t>
  </si>
  <si>
    <t>Yemilchynska</t>
  </si>
  <si>
    <t>Ємільчинська</t>
  </si>
  <si>
    <t>UA1808015</t>
  </si>
  <si>
    <t>Zviahelska</t>
  </si>
  <si>
    <t>Звягельська</t>
  </si>
  <si>
    <t>UA1808017</t>
  </si>
  <si>
    <t>Pishchivska</t>
  </si>
  <si>
    <t>Піщівська</t>
  </si>
  <si>
    <t>UA1808019</t>
  </si>
  <si>
    <t>Stryivska</t>
  </si>
  <si>
    <t>Стриївська</t>
  </si>
  <si>
    <t>UA1808021</t>
  </si>
  <si>
    <t>Chyzhivska</t>
  </si>
  <si>
    <t>Чижівська</t>
  </si>
  <si>
    <t>UA1808023</t>
  </si>
  <si>
    <t>Yarunska</t>
  </si>
  <si>
    <t>Ярунська</t>
  </si>
  <si>
    <t>UA2102001</t>
  </si>
  <si>
    <t>Bativska</t>
  </si>
  <si>
    <t>Батівська</t>
  </si>
  <si>
    <t>UA2102003</t>
  </si>
  <si>
    <t>Berehivska</t>
  </si>
  <si>
    <t>Берегівська</t>
  </si>
  <si>
    <t>UA2102005</t>
  </si>
  <si>
    <t>Velykoberezka</t>
  </si>
  <si>
    <t>Великоберезька</t>
  </si>
  <si>
    <t>UA2102007</t>
  </si>
  <si>
    <t>Velykobyihanska</t>
  </si>
  <si>
    <t>Великобийганська</t>
  </si>
  <si>
    <t>UA2102009</t>
  </si>
  <si>
    <t>Vylotska</t>
  </si>
  <si>
    <t>Вилоцька</t>
  </si>
  <si>
    <t>UA2102011</t>
  </si>
  <si>
    <t>Vynohradivska</t>
  </si>
  <si>
    <t>Виноградівська</t>
  </si>
  <si>
    <t>UA2102013</t>
  </si>
  <si>
    <t>UA2102015</t>
  </si>
  <si>
    <t>Korolivska</t>
  </si>
  <si>
    <t>Королівська</t>
  </si>
  <si>
    <t>UA2102017</t>
  </si>
  <si>
    <t>Kosonska</t>
  </si>
  <si>
    <t>Косоньська</t>
  </si>
  <si>
    <t>UA2102019</t>
  </si>
  <si>
    <t>Pyiterfolvivska</t>
  </si>
  <si>
    <t>Пийтерфолвівська</t>
  </si>
  <si>
    <t>UA2104001</t>
  </si>
  <si>
    <t>Velykoluchkivska</t>
  </si>
  <si>
    <t>Великолучківська</t>
  </si>
  <si>
    <t>UA2104003</t>
  </si>
  <si>
    <t>Verkhnokoropetska</t>
  </si>
  <si>
    <t>Верхньокоропецька</t>
  </si>
  <si>
    <t>UA2104005</t>
  </si>
  <si>
    <t>Volovetska</t>
  </si>
  <si>
    <t>Воловецька</t>
  </si>
  <si>
    <t>UA2104007</t>
  </si>
  <si>
    <t>Horondivska</t>
  </si>
  <si>
    <t>Горондівська</t>
  </si>
  <si>
    <t>UA2104009</t>
  </si>
  <si>
    <t>Zhdeniivska</t>
  </si>
  <si>
    <t>Жденіївська</t>
  </si>
  <si>
    <t>UA2104011</t>
  </si>
  <si>
    <t>Ivanovetska</t>
  </si>
  <si>
    <t>Івановецька</t>
  </si>
  <si>
    <t>UA2104013</t>
  </si>
  <si>
    <t>Kolchynska</t>
  </si>
  <si>
    <t>Кольчинська</t>
  </si>
  <si>
    <t>UA2104015</t>
  </si>
  <si>
    <t>Mukachivska</t>
  </si>
  <si>
    <t>Мукачівська</t>
  </si>
  <si>
    <t>UA2104017</t>
  </si>
  <si>
    <t>Nelipynska</t>
  </si>
  <si>
    <t>Неліпинська</t>
  </si>
  <si>
    <t>UA2104019</t>
  </si>
  <si>
    <t>Nyzhnovoritska</t>
  </si>
  <si>
    <t>Нижньоворітська</t>
  </si>
  <si>
    <t>UA2104021</t>
  </si>
  <si>
    <t>Polianska</t>
  </si>
  <si>
    <t>Полянська</t>
  </si>
  <si>
    <t>UA2104023</t>
  </si>
  <si>
    <t>Svaliavska</t>
  </si>
  <si>
    <t>Свалявська</t>
  </si>
  <si>
    <t>UA2104025</t>
  </si>
  <si>
    <t>Chynadiivska</t>
  </si>
  <si>
    <t>Чинадіївська</t>
  </si>
  <si>
    <t>UA2106001</t>
  </si>
  <si>
    <t>Bohdanska</t>
  </si>
  <si>
    <t>Богданська</t>
  </si>
  <si>
    <t>UA2106003</t>
  </si>
  <si>
    <t>Velykobychkivska</t>
  </si>
  <si>
    <t>Великобичківська</t>
  </si>
  <si>
    <t>UA2106005</t>
  </si>
  <si>
    <t>Rakhivska</t>
  </si>
  <si>
    <t>Рахівська</t>
  </si>
  <si>
    <t>UA2106007</t>
  </si>
  <si>
    <t>Yasinianska</t>
  </si>
  <si>
    <t>Ясінянська</t>
  </si>
  <si>
    <t>UA2108001</t>
  </si>
  <si>
    <t>Bedevlianska</t>
  </si>
  <si>
    <t>Бедевлянська</t>
  </si>
  <si>
    <t>UA2108003</t>
  </si>
  <si>
    <t>Bushtynska</t>
  </si>
  <si>
    <t>Буштинська</t>
  </si>
  <si>
    <t>UA2108005</t>
  </si>
  <si>
    <t>Vilkhovetska</t>
  </si>
  <si>
    <t>Вільховецька</t>
  </si>
  <si>
    <t>UA2108007</t>
  </si>
  <si>
    <t>UA2108009</t>
  </si>
  <si>
    <t>Neresnytska</t>
  </si>
  <si>
    <t>Нересницька</t>
  </si>
  <si>
    <t>UA2108011</t>
  </si>
  <si>
    <t>Solotvynska</t>
  </si>
  <si>
    <t>Солотвинська</t>
  </si>
  <si>
    <t>UA2108013</t>
  </si>
  <si>
    <t>Teresvianska</t>
  </si>
  <si>
    <t>Тересвянська</t>
  </si>
  <si>
    <t>UA2108015</t>
  </si>
  <si>
    <t>Tiachivska</t>
  </si>
  <si>
    <t>Тячівська</t>
  </si>
  <si>
    <t>UA2108017</t>
  </si>
  <si>
    <t>Uhlianska</t>
  </si>
  <si>
    <t>Углянська</t>
  </si>
  <si>
    <t>UA2108019</t>
  </si>
  <si>
    <t>Ust-Chornianska</t>
  </si>
  <si>
    <t>Усть-Чорнянська</t>
  </si>
  <si>
    <t>UA2110001</t>
  </si>
  <si>
    <t>Baranynska</t>
  </si>
  <si>
    <t>Баранинська</t>
  </si>
  <si>
    <t>UA2110003</t>
  </si>
  <si>
    <t>Velykobereznianska</t>
  </si>
  <si>
    <t>Великоберезнянська</t>
  </si>
  <si>
    <t>UA2110005</t>
  </si>
  <si>
    <t>Velykodobronska</t>
  </si>
  <si>
    <t>Великодобронська</t>
  </si>
  <si>
    <t>UA2110007</t>
  </si>
  <si>
    <t>Dubrynytska-Malobereznianska</t>
  </si>
  <si>
    <t>Дубриницько-Малоберезнянська</t>
  </si>
  <si>
    <t>UA2110009</t>
  </si>
  <si>
    <t>Kostrynska</t>
  </si>
  <si>
    <t>Костринська</t>
  </si>
  <si>
    <t>UA2110011</t>
  </si>
  <si>
    <t>Onokivska</t>
  </si>
  <si>
    <t>Оноківська</t>
  </si>
  <si>
    <t>UA2110013</t>
  </si>
  <si>
    <t>Perechynska</t>
  </si>
  <si>
    <t>Перечинська</t>
  </si>
  <si>
    <t>UA2110015</t>
  </si>
  <si>
    <t>Serednianska</t>
  </si>
  <si>
    <t>Середнянська</t>
  </si>
  <si>
    <t>UA2110017</t>
  </si>
  <si>
    <t>Stavnenska</t>
  </si>
  <si>
    <t>Ставненська</t>
  </si>
  <si>
    <t>UA2110019</t>
  </si>
  <si>
    <t>Siurtivska</t>
  </si>
  <si>
    <t>Сюртівська</t>
  </si>
  <si>
    <t>UA2110021</t>
  </si>
  <si>
    <t>Turie-Remetivska</t>
  </si>
  <si>
    <t>Тур'є-Реметівська</t>
  </si>
  <si>
    <t>UA2110023</t>
  </si>
  <si>
    <t>Uzhhorodska</t>
  </si>
  <si>
    <t>Ужгородська</t>
  </si>
  <si>
    <t>UA2110025</t>
  </si>
  <si>
    <t>Kholmkivska</t>
  </si>
  <si>
    <t>Холмківська</t>
  </si>
  <si>
    <t>UA2110027</t>
  </si>
  <si>
    <t>Chopska</t>
  </si>
  <si>
    <t>Чопська</t>
  </si>
  <si>
    <t>UA2112001</t>
  </si>
  <si>
    <t>Bilkivska</t>
  </si>
  <si>
    <t>Білківська</t>
  </si>
  <si>
    <t>UA2112003</t>
  </si>
  <si>
    <t>Vyshkivska</t>
  </si>
  <si>
    <t>Вишківська</t>
  </si>
  <si>
    <t>UA2112005</t>
  </si>
  <si>
    <t>Horinchivska</t>
  </si>
  <si>
    <t>Горінчівська</t>
  </si>
  <si>
    <t>UA2112007</t>
  </si>
  <si>
    <t>Dovzhanska</t>
  </si>
  <si>
    <t>Довжанська</t>
  </si>
  <si>
    <t>UA2112009</t>
  </si>
  <si>
    <t>Drahivska</t>
  </si>
  <si>
    <t>Драгівська</t>
  </si>
  <si>
    <t>UA2112011</t>
  </si>
  <si>
    <t>Zarichanska</t>
  </si>
  <si>
    <t>Зарічанська</t>
  </si>
  <si>
    <t>UA2112013</t>
  </si>
  <si>
    <t>Irshavska</t>
  </si>
  <si>
    <t>Іршавська</t>
  </si>
  <si>
    <t>UA2112015</t>
  </si>
  <si>
    <t>Keretskivska</t>
  </si>
  <si>
    <t>Керецьківська</t>
  </si>
  <si>
    <t>UA2112017</t>
  </si>
  <si>
    <t>Kolochavska</t>
  </si>
  <si>
    <t>Колочавська</t>
  </si>
  <si>
    <t>UA2112019</t>
  </si>
  <si>
    <t>Mizhhirska</t>
  </si>
  <si>
    <t>Міжгірська</t>
  </si>
  <si>
    <t>UA2112021</t>
  </si>
  <si>
    <t>Pylypetska</t>
  </si>
  <si>
    <t>Пилипецька</t>
  </si>
  <si>
    <t>UA2112023</t>
  </si>
  <si>
    <t>Synevyrska</t>
  </si>
  <si>
    <t>Синевирська</t>
  </si>
  <si>
    <t>UA2112025</t>
  </si>
  <si>
    <t>Khustska</t>
  </si>
  <si>
    <t>Хустська</t>
  </si>
  <si>
    <t>UA2302001</t>
  </si>
  <si>
    <t>Andrivska</t>
  </si>
  <si>
    <t>Андрівська</t>
  </si>
  <si>
    <t>UA2302003</t>
  </si>
  <si>
    <t>UA2302005</t>
  </si>
  <si>
    <t>Berdianska</t>
  </si>
  <si>
    <t>Бердянська</t>
  </si>
  <si>
    <t>UA2302007</t>
  </si>
  <si>
    <t>Berestivska</t>
  </si>
  <si>
    <t>Берестівська</t>
  </si>
  <si>
    <t>UA2302009</t>
  </si>
  <si>
    <t>Kolarivska</t>
  </si>
  <si>
    <t>Коларівська</t>
  </si>
  <si>
    <t>UA2302011</t>
  </si>
  <si>
    <t>Osypenkivska</t>
  </si>
  <si>
    <t>Осипенківська</t>
  </si>
  <si>
    <t>UA2302013</t>
  </si>
  <si>
    <t>Prymorska</t>
  </si>
  <si>
    <t>Приморська</t>
  </si>
  <si>
    <t>UA2302015</t>
  </si>
  <si>
    <t>UA2304001</t>
  </si>
  <si>
    <t>Blahovishchenska</t>
  </si>
  <si>
    <t>Благовіщенська</t>
  </si>
  <si>
    <t>UA2304003</t>
  </si>
  <si>
    <t>Vasylivska</t>
  </si>
  <si>
    <t>Василівська</t>
  </si>
  <si>
    <t>UA2304005</t>
  </si>
  <si>
    <t>Velykobilozerska</t>
  </si>
  <si>
    <t>Великобілозерська</t>
  </si>
  <si>
    <t>UA2304007</t>
  </si>
  <si>
    <t>Vodianska</t>
  </si>
  <si>
    <t>Водянська</t>
  </si>
  <si>
    <t>UA2304009</t>
  </si>
  <si>
    <t>Dniprorudnenska</t>
  </si>
  <si>
    <t>Дніпрорудненська</t>
  </si>
  <si>
    <t>UA2304011</t>
  </si>
  <si>
    <t>Enerhodarska</t>
  </si>
  <si>
    <t>Енергодарська</t>
  </si>
  <si>
    <t>UA2304013</t>
  </si>
  <si>
    <t>Kamiansko-Dniprovska</t>
  </si>
  <si>
    <t>Кам'янсько-Дніпровська</t>
  </si>
  <si>
    <t>UA2304015</t>
  </si>
  <si>
    <t>Malobilozerska</t>
  </si>
  <si>
    <t>Малобілозерська</t>
  </si>
  <si>
    <t>UA2304017</t>
  </si>
  <si>
    <t>Mykhailivska</t>
  </si>
  <si>
    <t>Михайлівська</t>
  </si>
  <si>
    <t>UA2304019</t>
  </si>
  <si>
    <t>Rozdolska</t>
  </si>
  <si>
    <t>Роздольська</t>
  </si>
  <si>
    <t>UA2304021</t>
  </si>
  <si>
    <t>Stepnohirska</t>
  </si>
  <si>
    <t>Степногірська</t>
  </si>
  <si>
    <t>UA2306001</t>
  </si>
  <si>
    <t>Bilenkivska</t>
  </si>
  <si>
    <t>Біленьківська</t>
  </si>
  <si>
    <t>UA2306003</t>
  </si>
  <si>
    <t>Vilnianska</t>
  </si>
  <si>
    <t>Вільнянська</t>
  </si>
  <si>
    <t>UA2306005</t>
  </si>
  <si>
    <t>Dolynska</t>
  </si>
  <si>
    <t>Долинська</t>
  </si>
  <si>
    <t>UA2306007</t>
  </si>
  <si>
    <t>UA2306009</t>
  </si>
  <si>
    <t>Komyshuvaska</t>
  </si>
  <si>
    <t>Комишуваська</t>
  </si>
  <si>
    <t>UA2306011</t>
  </si>
  <si>
    <t>Kushuhumska</t>
  </si>
  <si>
    <t>Кушугумська</t>
  </si>
  <si>
    <t>UA2306013</t>
  </si>
  <si>
    <t>Matviivska</t>
  </si>
  <si>
    <t>Матвіївська</t>
  </si>
  <si>
    <t>UA2306015</t>
  </si>
  <si>
    <t>UA2306017</t>
  </si>
  <si>
    <t>Mykhailo-Lukashivska</t>
  </si>
  <si>
    <t>Михайло-Лукашівська</t>
  </si>
  <si>
    <t>UA2306019</t>
  </si>
  <si>
    <t>Novomykolaivska</t>
  </si>
  <si>
    <t>Новомиколаївська</t>
  </si>
  <si>
    <t>UA2306021</t>
  </si>
  <si>
    <t>UA2306023</t>
  </si>
  <si>
    <t>UA2306025</t>
  </si>
  <si>
    <t>Petro-Mykhailivska</t>
  </si>
  <si>
    <t>Петро-Михайлівська</t>
  </si>
  <si>
    <t>UA2306027</t>
  </si>
  <si>
    <t>Stepnenska</t>
  </si>
  <si>
    <t>Степненська</t>
  </si>
  <si>
    <t>UA2306029</t>
  </si>
  <si>
    <t>Tavriiska</t>
  </si>
  <si>
    <t>Таврійська</t>
  </si>
  <si>
    <t>UA2306031</t>
  </si>
  <si>
    <t>Ternuvatska</t>
  </si>
  <si>
    <t>Тернуватська</t>
  </si>
  <si>
    <t>UA2306033</t>
  </si>
  <si>
    <t>UA2308001</t>
  </si>
  <si>
    <t>Veselivska</t>
  </si>
  <si>
    <t>Веселівська</t>
  </si>
  <si>
    <t>UA2308003</t>
  </si>
  <si>
    <t>Kyrylivska</t>
  </si>
  <si>
    <t>Кирилівська</t>
  </si>
  <si>
    <t>UA2308005</t>
  </si>
  <si>
    <t>UA2308007</t>
  </si>
  <si>
    <t>Melitopolska</t>
  </si>
  <si>
    <t>Мелітопольська</t>
  </si>
  <si>
    <t>UA2308009</t>
  </si>
  <si>
    <t>UA2308011</t>
  </si>
  <si>
    <t>Novenska</t>
  </si>
  <si>
    <t>Новенська</t>
  </si>
  <si>
    <t>UA2308013</t>
  </si>
  <si>
    <t>Novobohdanivska</t>
  </si>
  <si>
    <t>Новобогданівська</t>
  </si>
  <si>
    <t>UA2308015</t>
  </si>
  <si>
    <t>Novovasylivska</t>
  </si>
  <si>
    <t>Нововасилівська</t>
  </si>
  <si>
    <t>UA2308017</t>
  </si>
  <si>
    <t>Novouspenivska</t>
  </si>
  <si>
    <t>Новоуспенівська</t>
  </si>
  <si>
    <t>UA2308019</t>
  </si>
  <si>
    <t>UA2308021</t>
  </si>
  <si>
    <t>Plodorodnenska</t>
  </si>
  <si>
    <t>Плодородненська</t>
  </si>
  <si>
    <t>UA2308023</t>
  </si>
  <si>
    <t>Pryazovska</t>
  </si>
  <si>
    <t>Приазовська</t>
  </si>
  <si>
    <t>UA2308025</t>
  </si>
  <si>
    <t>UA2308027</t>
  </si>
  <si>
    <t>Terpinnivska</t>
  </si>
  <si>
    <t>Терпіннівська</t>
  </si>
  <si>
    <t>UA2308029</t>
  </si>
  <si>
    <t>Chkalovska</t>
  </si>
  <si>
    <t>Чкаловська</t>
  </si>
  <si>
    <t>UA2308031</t>
  </si>
  <si>
    <t>Yakymivska</t>
  </si>
  <si>
    <t>Якимівська</t>
  </si>
  <si>
    <t>UA2310001</t>
  </si>
  <si>
    <t>Bilmatska</t>
  </si>
  <si>
    <t>Більмацька</t>
  </si>
  <si>
    <t>UA2310003</t>
  </si>
  <si>
    <t>Vozdvyzhivska</t>
  </si>
  <si>
    <t>Воздвижівська</t>
  </si>
  <si>
    <t>UA2310005</t>
  </si>
  <si>
    <t>Voskresenska</t>
  </si>
  <si>
    <t>Воскресенська</t>
  </si>
  <si>
    <t>UA2310007</t>
  </si>
  <si>
    <t>Huliaipilska</t>
  </si>
  <si>
    <t>Гуляйпільська</t>
  </si>
  <si>
    <t>UA2310009</t>
  </si>
  <si>
    <t>Komysh-Zorianska</t>
  </si>
  <si>
    <t>Комиш-Зорянська</t>
  </si>
  <si>
    <t>UA2310011</t>
  </si>
  <si>
    <t>Malynivska</t>
  </si>
  <si>
    <t>Малинівська</t>
  </si>
  <si>
    <t>UA2310013</t>
  </si>
  <si>
    <t>Malotokmachanska</t>
  </si>
  <si>
    <t>Малотокмачанська</t>
  </si>
  <si>
    <t>UA2310015</t>
  </si>
  <si>
    <t>Molochanska</t>
  </si>
  <si>
    <t>Молочанська</t>
  </si>
  <si>
    <t>UA2310017</t>
  </si>
  <si>
    <t>Orikhivska</t>
  </si>
  <si>
    <t>Оріхівська</t>
  </si>
  <si>
    <t>UA2310019</t>
  </si>
  <si>
    <t>Polohivska</t>
  </si>
  <si>
    <t>Пологівська</t>
  </si>
  <si>
    <t>UA2310021</t>
  </si>
  <si>
    <t>Preobrazhenska</t>
  </si>
  <si>
    <t>Преображенська</t>
  </si>
  <si>
    <t>UA2310023</t>
  </si>
  <si>
    <t>Rozivska</t>
  </si>
  <si>
    <t>Розівська</t>
  </si>
  <si>
    <t>UA2310025</t>
  </si>
  <si>
    <t>Smyrnovska</t>
  </si>
  <si>
    <t>Смирновська</t>
  </si>
  <si>
    <t>UA2310027</t>
  </si>
  <si>
    <t>Tokmatska</t>
  </si>
  <si>
    <t>Токмацька</t>
  </si>
  <si>
    <t>UA2310029</t>
  </si>
  <si>
    <t>Fedorivska</t>
  </si>
  <si>
    <t>Федорівська</t>
  </si>
  <si>
    <t>UA2602001</t>
  </si>
  <si>
    <t>Biloberizka</t>
  </si>
  <si>
    <t>Білоберізька</t>
  </si>
  <si>
    <t>UA2602003</t>
  </si>
  <si>
    <t>Verkhovynska</t>
  </si>
  <si>
    <t>Верховинська</t>
  </si>
  <si>
    <t>UA2602005</t>
  </si>
  <si>
    <t>Zelenska</t>
  </si>
  <si>
    <t>Зеленська</t>
  </si>
  <si>
    <t>UA2604001</t>
  </si>
  <si>
    <t>Bilshivtsivska</t>
  </si>
  <si>
    <t>Більшівцівська</t>
  </si>
  <si>
    <t>UA2604003</t>
  </si>
  <si>
    <t>Bohorodchanska</t>
  </si>
  <si>
    <t>Богородчанська</t>
  </si>
  <si>
    <t>UA2604005</t>
  </si>
  <si>
    <t>Bukachivska</t>
  </si>
  <si>
    <t>Букачівська</t>
  </si>
  <si>
    <t>UA2604007</t>
  </si>
  <si>
    <t>Burshtynska</t>
  </si>
  <si>
    <t>Бурштинська</t>
  </si>
  <si>
    <t>UA2604009</t>
  </si>
  <si>
    <t>Halytska</t>
  </si>
  <si>
    <t>Галицька</t>
  </si>
  <si>
    <t>UA2604011</t>
  </si>
  <si>
    <t>Dzvyniatska</t>
  </si>
  <si>
    <t>Дзвиняцька</t>
  </si>
  <si>
    <t>UA2604013</t>
  </si>
  <si>
    <t>Dubovetska</t>
  </si>
  <si>
    <t>Дубовецька</t>
  </si>
  <si>
    <t>UA2604015</t>
  </si>
  <si>
    <t>Yezupilska</t>
  </si>
  <si>
    <t>Єзупільська</t>
  </si>
  <si>
    <t>UA2604017</t>
  </si>
  <si>
    <t>Zahvizdianska</t>
  </si>
  <si>
    <t>Загвіздянська</t>
  </si>
  <si>
    <t>UA2604019</t>
  </si>
  <si>
    <t>UA2604021</t>
  </si>
  <si>
    <t>Lysetska</t>
  </si>
  <si>
    <t>Лисецька</t>
  </si>
  <si>
    <t>UA2604023</t>
  </si>
  <si>
    <t>Obertynska</t>
  </si>
  <si>
    <t>Обертинська</t>
  </si>
  <si>
    <t>UA2604025</t>
  </si>
  <si>
    <t>Oleshanska</t>
  </si>
  <si>
    <t>Олешанська</t>
  </si>
  <si>
    <t>UA2604027</t>
  </si>
  <si>
    <t>Rohatynska</t>
  </si>
  <si>
    <t>Рогатинська</t>
  </si>
  <si>
    <t>UA2604029</t>
  </si>
  <si>
    <t>UA2604031</t>
  </si>
  <si>
    <t>Starobohorodchanska</t>
  </si>
  <si>
    <t>Старобогородчанська</t>
  </si>
  <si>
    <t>UA2604033</t>
  </si>
  <si>
    <t>Tysmenytska</t>
  </si>
  <si>
    <t>Тисменицька</t>
  </si>
  <si>
    <t>UA2604035</t>
  </si>
  <si>
    <t>Tlumatska</t>
  </si>
  <si>
    <t>Тлумацька</t>
  </si>
  <si>
    <t>UA2604037</t>
  </si>
  <si>
    <t>Uhrynivska</t>
  </si>
  <si>
    <t>Угринівська</t>
  </si>
  <si>
    <t>UA2604039</t>
  </si>
  <si>
    <t>Yamnytska</t>
  </si>
  <si>
    <t>Ямницька</t>
  </si>
  <si>
    <t>UA2606001</t>
  </si>
  <si>
    <t>Bolekhivska</t>
  </si>
  <si>
    <t>Болехівська</t>
  </si>
  <si>
    <t>UA2606003</t>
  </si>
  <si>
    <t>Broshniv-Osadska</t>
  </si>
  <si>
    <t>Брошнів-Осадська</t>
  </si>
  <si>
    <t>UA2606005</t>
  </si>
  <si>
    <t>Verkhnianska</t>
  </si>
  <si>
    <t>Верхнянська</t>
  </si>
  <si>
    <t>UA2606007</t>
  </si>
  <si>
    <t>Vyhodska</t>
  </si>
  <si>
    <t>Вигодська</t>
  </si>
  <si>
    <t>UA2606009</t>
  </si>
  <si>
    <t>Vytvytska</t>
  </si>
  <si>
    <t>Витвицька</t>
  </si>
  <si>
    <t>UA2606011</t>
  </si>
  <si>
    <t>Voinylivska</t>
  </si>
  <si>
    <t>Войнилівська</t>
  </si>
  <si>
    <t>UA2606013</t>
  </si>
  <si>
    <t>UA2606015</t>
  </si>
  <si>
    <t>UA2606017</t>
  </si>
  <si>
    <t>Kaluska</t>
  </si>
  <si>
    <t>Калуська</t>
  </si>
  <si>
    <t>UA2606019</t>
  </si>
  <si>
    <t>Novytska</t>
  </si>
  <si>
    <t>Новицька</t>
  </si>
  <si>
    <t>UA2606021</t>
  </si>
  <si>
    <t>Perehinska</t>
  </si>
  <si>
    <t>Перегінська</t>
  </si>
  <si>
    <t>UA2606023</t>
  </si>
  <si>
    <t>Rozhniativska</t>
  </si>
  <si>
    <t>Рожнятівська</t>
  </si>
  <si>
    <t>UA2606025</t>
  </si>
  <si>
    <t>Spaska</t>
  </si>
  <si>
    <t>Спаська</t>
  </si>
  <si>
    <t>UA2608001</t>
  </si>
  <si>
    <t>Hvizdetska</t>
  </si>
  <si>
    <t>Гвіздецька</t>
  </si>
  <si>
    <t>UA2608003</t>
  </si>
  <si>
    <t>Horodenkivska</t>
  </si>
  <si>
    <t>Городенківська</t>
  </si>
  <si>
    <t>UA2608005</t>
  </si>
  <si>
    <t>Zabolotivska</t>
  </si>
  <si>
    <t>Заболотівська</t>
  </si>
  <si>
    <t>UA2608007</t>
  </si>
  <si>
    <t>Kolomyiska</t>
  </si>
  <si>
    <t>Коломийська</t>
  </si>
  <si>
    <t>UA2608009</t>
  </si>
  <si>
    <t>Korshivska</t>
  </si>
  <si>
    <t>Коршівська</t>
  </si>
  <si>
    <t>UA2608011</t>
  </si>
  <si>
    <t>Mateievetska</t>
  </si>
  <si>
    <t>Матеївецька</t>
  </si>
  <si>
    <t>UA2608013</t>
  </si>
  <si>
    <t>Nyzhnoverbizka</t>
  </si>
  <si>
    <t>Нижньовербізька</t>
  </si>
  <si>
    <t>UA2608015</t>
  </si>
  <si>
    <t>Otyniiska</t>
  </si>
  <si>
    <t>Отинійська</t>
  </si>
  <si>
    <t>UA2608017</t>
  </si>
  <si>
    <t>Pechenizhynska</t>
  </si>
  <si>
    <t>Печеніжинська</t>
  </si>
  <si>
    <t>UA2608019</t>
  </si>
  <si>
    <t>Pidhaichykivska</t>
  </si>
  <si>
    <t>Підгайчиківська</t>
  </si>
  <si>
    <t>UA2608021</t>
  </si>
  <si>
    <t>Piadytska</t>
  </si>
  <si>
    <t>П'ядицька</t>
  </si>
  <si>
    <t>UA2608023</t>
  </si>
  <si>
    <t>Sniatynska</t>
  </si>
  <si>
    <t>Снятинська</t>
  </si>
  <si>
    <t>UA2608025</t>
  </si>
  <si>
    <t>Chernelytska</t>
  </si>
  <si>
    <t>Чернелицька</t>
  </si>
  <si>
    <t>UA2610001</t>
  </si>
  <si>
    <t>Kosivska</t>
  </si>
  <si>
    <t>Косівська</t>
  </si>
  <si>
    <t>UA2610003</t>
  </si>
  <si>
    <t>Kosmatska</t>
  </si>
  <si>
    <t>Космацька</t>
  </si>
  <si>
    <t>UA2610005</t>
  </si>
  <si>
    <t>Kutska</t>
  </si>
  <si>
    <t>Кутська</t>
  </si>
  <si>
    <t>UA2610007</t>
  </si>
  <si>
    <t>Rozhnivska</t>
  </si>
  <si>
    <t>Рожнівська</t>
  </si>
  <si>
    <t>UA2610009</t>
  </si>
  <si>
    <t>Yablunivska</t>
  </si>
  <si>
    <t>Яблунівська</t>
  </si>
  <si>
    <t>UA2612001</t>
  </si>
  <si>
    <t>Vorokhtianska</t>
  </si>
  <si>
    <t>Ворохтянська</t>
  </si>
  <si>
    <t>UA2612003</t>
  </si>
  <si>
    <t>Deliatynska</t>
  </si>
  <si>
    <t>Делятинська</t>
  </si>
  <si>
    <t>UA2612005</t>
  </si>
  <si>
    <t>Lanchynska</t>
  </si>
  <si>
    <t>Ланчинська</t>
  </si>
  <si>
    <t>UA2612007</t>
  </si>
  <si>
    <t>Nadvirnianska</t>
  </si>
  <si>
    <t>Надвірнянська</t>
  </si>
  <si>
    <t>UA2612009</t>
  </si>
  <si>
    <t>Pasichnianska</t>
  </si>
  <si>
    <t>Пасічнянська</t>
  </si>
  <si>
    <t>UA2612011</t>
  </si>
  <si>
    <t>Pererislianska</t>
  </si>
  <si>
    <t>Переріслянська</t>
  </si>
  <si>
    <t>UA2612013</t>
  </si>
  <si>
    <t>Polianytska</t>
  </si>
  <si>
    <t>Поляницька</t>
  </si>
  <si>
    <t>UA2612015</t>
  </si>
  <si>
    <t>Yaremchanska</t>
  </si>
  <si>
    <t>Яремчанська</t>
  </si>
  <si>
    <t>UA3200000</t>
  </si>
  <si>
    <t>UA3202001</t>
  </si>
  <si>
    <t>Bilotserkivska</t>
  </si>
  <si>
    <t>Білоцерківська</t>
  </si>
  <si>
    <t>UA3202003</t>
  </si>
  <si>
    <t>Volodarska</t>
  </si>
  <si>
    <t>Володарська</t>
  </si>
  <si>
    <t>UA3202005</t>
  </si>
  <si>
    <t>Hrebinkivska</t>
  </si>
  <si>
    <t>Гребінківська</t>
  </si>
  <si>
    <t>UA3202007</t>
  </si>
  <si>
    <t>Kovalivska</t>
  </si>
  <si>
    <t>Ковалівська</t>
  </si>
  <si>
    <t>UA3202009</t>
  </si>
  <si>
    <t>Malovilshanska</t>
  </si>
  <si>
    <t>Маловільшанська</t>
  </si>
  <si>
    <t>UA3202011</t>
  </si>
  <si>
    <t>Medvynska</t>
  </si>
  <si>
    <t>Медвинська</t>
  </si>
  <si>
    <t>UA3202013</t>
  </si>
  <si>
    <t>Rokytnianska</t>
  </si>
  <si>
    <t>Рокитнянська</t>
  </si>
  <si>
    <t>UA3202015</t>
  </si>
  <si>
    <t>Skvyrska</t>
  </si>
  <si>
    <t>Сквирська</t>
  </si>
  <si>
    <t>UA3202017</t>
  </si>
  <si>
    <t>Stavyshchenska</t>
  </si>
  <si>
    <t>Ставищенська</t>
  </si>
  <si>
    <t>UA3202019</t>
  </si>
  <si>
    <t>Tarashchanska</t>
  </si>
  <si>
    <t>Таращанська</t>
  </si>
  <si>
    <t>UA3202021</t>
  </si>
  <si>
    <t>Tetiivska</t>
  </si>
  <si>
    <t>Тетіївська</t>
  </si>
  <si>
    <t>UA3202023</t>
  </si>
  <si>
    <t>Uzynska</t>
  </si>
  <si>
    <t>Узинська</t>
  </si>
  <si>
    <t>UA3202025</t>
  </si>
  <si>
    <t>Fursivska</t>
  </si>
  <si>
    <t>Фурсівська</t>
  </si>
  <si>
    <t>UA3204001</t>
  </si>
  <si>
    <t>Boryspilska</t>
  </si>
  <si>
    <t>Бориспільська</t>
  </si>
  <si>
    <t>UA3204003</t>
  </si>
  <si>
    <t>Voronkivska</t>
  </si>
  <si>
    <t>Вороньківська</t>
  </si>
  <si>
    <t>UA3204005</t>
  </si>
  <si>
    <t>Hirska</t>
  </si>
  <si>
    <t>Гірська</t>
  </si>
  <si>
    <t>UA3204007</t>
  </si>
  <si>
    <t>Divychkivska</t>
  </si>
  <si>
    <t>Дівичківська</t>
  </si>
  <si>
    <t>UA3204009</t>
  </si>
  <si>
    <t>Zolochivska</t>
  </si>
  <si>
    <t>Золочівська</t>
  </si>
  <si>
    <t>UA3204011</t>
  </si>
  <si>
    <t>Pereiaslavcska</t>
  </si>
  <si>
    <t>Переяславська</t>
  </si>
  <si>
    <t>UA3204013</t>
  </si>
  <si>
    <t>Prystolychna</t>
  </si>
  <si>
    <t>Пристолична</t>
  </si>
  <si>
    <t>UA3204015</t>
  </si>
  <si>
    <t>Studenykivska</t>
  </si>
  <si>
    <t>Студениківська</t>
  </si>
  <si>
    <t>UA3204017</t>
  </si>
  <si>
    <t>Tashanska</t>
  </si>
  <si>
    <t>Ташанська</t>
  </si>
  <si>
    <t>UA3204019</t>
  </si>
  <si>
    <t>Tsyblivska</t>
  </si>
  <si>
    <t>Циблівська</t>
  </si>
  <si>
    <t>UA3204021</t>
  </si>
  <si>
    <t>Yahotynska</t>
  </si>
  <si>
    <t>Яготинська</t>
  </si>
  <si>
    <t>UA3206001</t>
  </si>
  <si>
    <t>Baryshivska</t>
  </si>
  <si>
    <t>Баришівська</t>
  </si>
  <si>
    <t>UA3206003</t>
  </si>
  <si>
    <t>Berezanska</t>
  </si>
  <si>
    <t>Березанська</t>
  </si>
  <si>
    <t>UA3206005</t>
  </si>
  <si>
    <t>Brovarska</t>
  </si>
  <si>
    <t>Броварська</t>
  </si>
  <si>
    <t>UA3206007</t>
  </si>
  <si>
    <t>Velykodymerska</t>
  </si>
  <si>
    <t>Великодимерська</t>
  </si>
  <si>
    <t>UA3206009</t>
  </si>
  <si>
    <t>Zazymska</t>
  </si>
  <si>
    <t>Зазимська</t>
  </si>
  <si>
    <t>UA3206011</t>
  </si>
  <si>
    <t>Zghurivska</t>
  </si>
  <si>
    <t>Згурівська</t>
  </si>
  <si>
    <t>UA3206013</t>
  </si>
  <si>
    <t>UA3206015</t>
  </si>
  <si>
    <t>Kalytianska</t>
  </si>
  <si>
    <t>Калитянська</t>
  </si>
  <si>
    <t>UA3208001</t>
  </si>
  <si>
    <t>Bilohorodska</t>
  </si>
  <si>
    <t>Білогородська</t>
  </si>
  <si>
    <t>UA3208003</t>
  </si>
  <si>
    <t>Borodianska</t>
  </si>
  <si>
    <t>Бородянська</t>
  </si>
  <si>
    <t>UA3208005</t>
  </si>
  <si>
    <t>Borshchahivska</t>
  </si>
  <si>
    <t>Борщагівська</t>
  </si>
  <si>
    <t>UA3208007</t>
  </si>
  <si>
    <t>Buchanska</t>
  </si>
  <si>
    <t>Бучанська</t>
  </si>
  <si>
    <t>UA3208009</t>
  </si>
  <si>
    <t>Vyshneva</t>
  </si>
  <si>
    <t>Вишнева</t>
  </si>
  <si>
    <t>UA3208011</t>
  </si>
  <si>
    <t>Hostomelska</t>
  </si>
  <si>
    <t>Гостомельська</t>
  </si>
  <si>
    <t>UA3208013</t>
  </si>
  <si>
    <t>Dmytrivska</t>
  </si>
  <si>
    <t>Дмитрівська</t>
  </si>
  <si>
    <t>UA3208015</t>
  </si>
  <si>
    <t>Irpinska</t>
  </si>
  <si>
    <t>Ірпінська</t>
  </si>
  <si>
    <t>UA3208017</t>
  </si>
  <si>
    <t>Kotsiubynska</t>
  </si>
  <si>
    <t>Коцюбинська</t>
  </si>
  <si>
    <t>UA3208019</t>
  </si>
  <si>
    <t>Makarivska</t>
  </si>
  <si>
    <t>Макарівська</t>
  </si>
  <si>
    <t>UA3208021</t>
  </si>
  <si>
    <t>Nemishaivska</t>
  </si>
  <si>
    <t>Немішаївська</t>
  </si>
  <si>
    <t>UA3208023</t>
  </si>
  <si>
    <t>Piskivska</t>
  </si>
  <si>
    <t>Пісківська</t>
  </si>
  <si>
    <t>UA3210001</t>
  </si>
  <si>
    <t>Vyshhorodska</t>
  </si>
  <si>
    <t>Вишгородська</t>
  </si>
  <si>
    <t>UA3210003</t>
  </si>
  <si>
    <t>Dymerska</t>
  </si>
  <si>
    <t>Димерська</t>
  </si>
  <si>
    <t>UA3210005</t>
  </si>
  <si>
    <t>Ivankivska</t>
  </si>
  <si>
    <t>Іванківська</t>
  </si>
  <si>
    <t>UA3210007</t>
  </si>
  <si>
    <t>Petrivska</t>
  </si>
  <si>
    <t>Петрівська</t>
  </si>
  <si>
    <t>UA3210009</t>
  </si>
  <si>
    <t>Pirnivska</t>
  </si>
  <si>
    <t>Пірнівська</t>
  </si>
  <si>
    <t>UA3210011</t>
  </si>
  <si>
    <t>Poliska</t>
  </si>
  <si>
    <t>Поліська</t>
  </si>
  <si>
    <t>UA3210013</t>
  </si>
  <si>
    <t>Slavutytska</t>
  </si>
  <si>
    <t>Славутицька</t>
  </si>
  <si>
    <t>UA3212001</t>
  </si>
  <si>
    <t>Bohuslavska</t>
  </si>
  <si>
    <t>Богуславська</t>
  </si>
  <si>
    <t>UA3212003</t>
  </si>
  <si>
    <t>UA3212005</t>
  </si>
  <si>
    <t>Kaharlytska</t>
  </si>
  <si>
    <t>Кагарлицька</t>
  </si>
  <si>
    <t>UA3212007</t>
  </si>
  <si>
    <t>Kozynska</t>
  </si>
  <si>
    <t>Козинська</t>
  </si>
  <si>
    <t>UA3212009</t>
  </si>
  <si>
    <t>Myronivska</t>
  </si>
  <si>
    <t>Миронівська</t>
  </si>
  <si>
    <t>UA3212011</t>
  </si>
  <si>
    <t>UA3212013</t>
  </si>
  <si>
    <t>Rzhyshchivska</t>
  </si>
  <si>
    <t>Ржищівська</t>
  </si>
  <si>
    <t>UA3212015</t>
  </si>
  <si>
    <t>UA3212017</t>
  </si>
  <si>
    <t>Feodosiivska</t>
  </si>
  <si>
    <t>Феодосіївська</t>
  </si>
  <si>
    <t>UA3214001</t>
  </si>
  <si>
    <t>Byshivska</t>
  </si>
  <si>
    <t>Бишівська</t>
  </si>
  <si>
    <t>UA3214003</t>
  </si>
  <si>
    <t>Boiarska</t>
  </si>
  <si>
    <t>Боярська</t>
  </si>
  <si>
    <t>UA3214005</t>
  </si>
  <si>
    <t>Hatnenska</t>
  </si>
  <si>
    <t>Гатненська</t>
  </si>
  <si>
    <t>UA3214007</t>
  </si>
  <si>
    <t>Hlevakhivska</t>
  </si>
  <si>
    <t>Глевахівська</t>
  </si>
  <si>
    <t>UA3214009</t>
  </si>
  <si>
    <t>UA3214011</t>
  </si>
  <si>
    <t>Kozhanska</t>
  </si>
  <si>
    <t>Кожанська</t>
  </si>
  <si>
    <t>UA3214013</t>
  </si>
  <si>
    <t>Tomashivska</t>
  </si>
  <si>
    <t>Томашівська</t>
  </si>
  <si>
    <t>UA3214015</t>
  </si>
  <si>
    <t>Fastivska</t>
  </si>
  <si>
    <t>Фастівська</t>
  </si>
  <si>
    <t>UA3214017</t>
  </si>
  <si>
    <t>Chabanivska</t>
  </si>
  <si>
    <t>Чабанівська</t>
  </si>
  <si>
    <t>UA3502001</t>
  </si>
  <si>
    <t>UA3502003</t>
  </si>
  <si>
    <t>UA3502005</t>
  </si>
  <si>
    <t>Haivoronska</t>
  </si>
  <si>
    <t>Гайворонська</t>
  </si>
  <si>
    <t>UA3502007</t>
  </si>
  <si>
    <t>Holovanivska</t>
  </si>
  <si>
    <t>Голованівська</t>
  </si>
  <si>
    <t>UA3502009</t>
  </si>
  <si>
    <t>Zavallivska</t>
  </si>
  <si>
    <t>Заваллівська</t>
  </si>
  <si>
    <t>UA3502011</t>
  </si>
  <si>
    <t>Nadlatska</t>
  </si>
  <si>
    <t>Надлацька</t>
  </si>
  <si>
    <t>UA3502013</t>
  </si>
  <si>
    <t>Novoarkhanhelska</t>
  </si>
  <si>
    <t>Новоархангельська</t>
  </si>
  <si>
    <t>UA3502015</t>
  </si>
  <si>
    <t>Perehonivska</t>
  </si>
  <si>
    <t>Перегонівська</t>
  </si>
  <si>
    <t>UA3502017</t>
  </si>
  <si>
    <t>Pidvysotska</t>
  </si>
  <si>
    <t>Підвисоцька</t>
  </si>
  <si>
    <t>UA3502019</t>
  </si>
  <si>
    <t>Pobuzka</t>
  </si>
  <si>
    <t>Побузька</t>
  </si>
  <si>
    <t>UA3504001</t>
  </si>
  <si>
    <t>Adzhamska</t>
  </si>
  <si>
    <t>Аджамська</t>
  </si>
  <si>
    <t>UA3504003</t>
  </si>
  <si>
    <t>Bobrynetska</t>
  </si>
  <si>
    <t>Бобринецька</t>
  </si>
  <si>
    <t>UA3504005</t>
  </si>
  <si>
    <t>Velykoseverynivska</t>
  </si>
  <si>
    <t>Великосеверинівська</t>
  </si>
  <si>
    <t>UA3504007</t>
  </si>
  <si>
    <t>Hurivska</t>
  </si>
  <si>
    <t>Гурівська</t>
  </si>
  <si>
    <t>UA3504009</t>
  </si>
  <si>
    <t>UA3504011</t>
  </si>
  <si>
    <t>UA3504013</t>
  </si>
  <si>
    <t>Znamianska</t>
  </si>
  <si>
    <t>Знам'янська</t>
  </si>
  <si>
    <t>UA3504015</t>
  </si>
  <si>
    <t>Katerynivska</t>
  </si>
  <si>
    <t>Катеринівська</t>
  </si>
  <si>
    <t>UA3504017</t>
  </si>
  <si>
    <t>Ketrysanivska</t>
  </si>
  <si>
    <t>Кетрисанівська</t>
  </si>
  <si>
    <t>UA3504019</t>
  </si>
  <si>
    <t>Kompaniivska</t>
  </si>
  <si>
    <t>Компаніївська</t>
  </si>
  <si>
    <t>UA3504021</t>
  </si>
  <si>
    <t>Кропивницька</t>
  </si>
  <si>
    <t>UA3504023</t>
  </si>
  <si>
    <t>Novhorodkivska</t>
  </si>
  <si>
    <t>Новгородківська</t>
  </si>
  <si>
    <t>UA3504025</t>
  </si>
  <si>
    <t>UA3504027</t>
  </si>
  <si>
    <t>Pervozvanivska</t>
  </si>
  <si>
    <t>Первозванівська</t>
  </si>
  <si>
    <t>UA3504029</t>
  </si>
  <si>
    <t>Sokolivska</t>
  </si>
  <si>
    <t>Соколівська</t>
  </si>
  <si>
    <t>UA3504031</t>
  </si>
  <si>
    <t>Subottsivska</t>
  </si>
  <si>
    <t>Суботцівська</t>
  </si>
  <si>
    <t>UA3504033</t>
  </si>
  <si>
    <t>Ustynivska</t>
  </si>
  <si>
    <t>Устинівська</t>
  </si>
  <si>
    <t>UA3506001</t>
  </si>
  <si>
    <t>Hannivska</t>
  </si>
  <si>
    <t>Ганнівська</t>
  </si>
  <si>
    <t>UA3506003</t>
  </si>
  <si>
    <t>Hlodoska</t>
  </si>
  <si>
    <t>Глодоська</t>
  </si>
  <si>
    <t>UA3506005</t>
  </si>
  <si>
    <t>Dobrovelychkivska</t>
  </si>
  <si>
    <t>Добровеличківська</t>
  </si>
  <si>
    <t>UA3506007</t>
  </si>
  <si>
    <t>Zlynska</t>
  </si>
  <si>
    <t>Злинська</t>
  </si>
  <si>
    <t>UA3506009</t>
  </si>
  <si>
    <t>Malovyskivska</t>
  </si>
  <si>
    <t>Маловисківська</t>
  </si>
  <si>
    <t>UA3506011</t>
  </si>
  <si>
    <t>UA3506013</t>
  </si>
  <si>
    <t>Novomyrhorodska</t>
  </si>
  <si>
    <t>Новомиргородська</t>
  </si>
  <si>
    <t>UA3506015</t>
  </si>
  <si>
    <t>Novoukrainska</t>
  </si>
  <si>
    <t>Новоукраїнська</t>
  </si>
  <si>
    <t>UA3506017</t>
  </si>
  <si>
    <t>Pishchanobridska</t>
  </si>
  <si>
    <t>Піщанобрідська</t>
  </si>
  <si>
    <t>UA3506019</t>
  </si>
  <si>
    <t>Pomichnianska</t>
  </si>
  <si>
    <t>Помічнянська</t>
  </si>
  <si>
    <t>UA3506021</t>
  </si>
  <si>
    <t>Rivnianska</t>
  </si>
  <si>
    <t>Рівнянська</t>
  </si>
  <si>
    <t>UA3506023</t>
  </si>
  <si>
    <t>Smolinska</t>
  </si>
  <si>
    <t>Смолінська</t>
  </si>
  <si>
    <t>UA3506025</t>
  </si>
  <si>
    <t>Tyshkivska</t>
  </si>
  <si>
    <t>Тишківська</t>
  </si>
  <si>
    <t>UA3508001</t>
  </si>
  <si>
    <t>Velykoandrusivska</t>
  </si>
  <si>
    <t>Великоандрусівська</t>
  </si>
  <si>
    <t>UA3508003</t>
  </si>
  <si>
    <t>Novoprazka</t>
  </si>
  <si>
    <t>Новопразька</t>
  </si>
  <si>
    <t>UA3508005</t>
  </si>
  <si>
    <t>Oleksandriiska</t>
  </si>
  <si>
    <t>Олександрійська</t>
  </si>
  <si>
    <t>UA3508007</t>
  </si>
  <si>
    <t>Onufriivska</t>
  </si>
  <si>
    <t>Онуфріївська</t>
  </si>
  <si>
    <t>UA3508009</t>
  </si>
  <si>
    <t>Pantaivska</t>
  </si>
  <si>
    <t>Пантаївська</t>
  </si>
  <si>
    <t>UA3508011</t>
  </si>
  <si>
    <t>UA3508013</t>
  </si>
  <si>
    <t>Popelnastivska</t>
  </si>
  <si>
    <t>Попельнастівська</t>
  </si>
  <si>
    <t>UA3508015</t>
  </si>
  <si>
    <t>Pryiutivska</t>
  </si>
  <si>
    <t>Приютівська</t>
  </si>
  <si>
    <t>UA3508017</t>
  </si>
  <si>
    <t>Svitlovodska</t>
  </si>
  <si>
    <t>Світловодська</t>
  </si>
  <si>
    <t>UA4602001</t>
  </si>
  <si>
    <t>Boryslavska</t>
  </si>
  <si>
    <t>Бориславська</t>
  </si>
  <si>
    <t>UA4602003</t>
  </si>
  <si>
    <t>Drohobytska</t>
  </si>
  <si>
    <t>Дрогобицька</t>
  </si>
  <si>
    <t>UA4602005</t>
  </si>
  <si>
    <t>Medenytska</t>
  </si>
  <si>
    <t>Меденицька</t>
  </si>
  <si>
    <t>UA4602007</t>
  </si>
  <si>
    <t>Skhidnytska</t>
  </si>
  <si>
    <t>Східницька</t>
  </si>
  <si>
    <t>UA4602009</t>
  </si>
  <si>
    <t>Truskavetska</t>
  </si>
  <si>
    <t>Трускавецька</t>
  </si>
  <si>
    <t>UA4604001</t>
  </si>
  <si>
    <t>Brodivska</t>
  </si>
  <si>
    <t>Бродівська</t>
  </si>
  <si>
    <t>UA4604003</t>
  </si>
  <si>
    <t>Buska</t>
  </si>
  <si>
    <t>Буська</t>
  </si>
  <si>
    <t>UA4604005</t>
  </si>
  <si>
    <t>Zabolottsivska</t>
  </si>
  <si>
    <t>Заболотцівська</t>
  </si>
  <si>
    <t>UA4604007</t>
  </si>
  <si>
    <t>UA4604009</t>
  </si>
  <si>
    <t>Krasnenska</t>
  </si>
  <si>
    <t>Красненська</t>
  </si>
  <si>
    <t>UA4604011</t>
  </si>
  <si>
    <t>Pidkaminska</t>
  </si>
  <si>
    <t>Підкамінська</t>
  </si>
  <si>
    <t>UA4604013</t>
  </si>
  <si>
    <t>Pomorianska</t>
  </si>
  <si>
    <t>Поморянська</t>
  </si>
  <si>
    <t>UA4606001</t>
  </si>
  <si>
    <t>Bibrska</t>
  </si>
  <si>
    <t>Бібрська</t>
  </si>
  <si>
    <t>UA4606003</t>
  </si>
  <si>
    <t>Velykoliubinska</t>
  </si>
  <si>
    <t>Великолюбінська</t>
  </si>
  <si>
    <t>UA4606005</t>
  </si>
  <si>
    <t>Hlynianska</t>
  </si>
  <si>
    <t>Глинянська</t>
  </si>
  <si>
    <t>UA4606007</t>
  </si>
  <si>
    <t>UA4606009</t>
  </si>
  <si>
    <t>Davydivska</t>
  </si>
  <si>
    <t>Давидівська</t>
  </si>
  <si>
    <t>UA4606011</t>
  </si>
  <si>
    <t>Dobrosynsko-Maherivska</t>
  </si>
  <si>
    <t>Добросинсько-Магерівська</t>
  </si>
  <si>
    <t>UA4606013</t>
  </si>
  <si>
    <t>Zhovkivska</t>
  </si>
  <si>
    <t>Жовківська</t>
  </si>
  <si>
    <t>UA4606015</t>
  </si>
  <si>
    <t>Zhovtanetska</t>
  </si>
  <si>
    <t>Жовтанецька</t>
  </si>
  <si>
    <t>UA4606017</t>
  </si>
  <si>
    <t>Zymnovodivska</t>
  </si>
  <si>
    <t>Зимноводівська</t>
  </si>
  <si>
    <t>UA4606019</t>
  </si>
  <si>
    <t>Kamianka-Buzka</t>
  </si>
  <si>
    <t>Кам'янка-Бузька</t>
  </si>
  <si>
    <t>UA4606021</t>
  </si>
  <si>
    <t>Komarnivska</t>
  </si>
  <si>
    <t>Комарнівська</t>
  </si>
  <si>
    <t>UA4606023</t>
  </si>
  <si>
    <t>Kulykivska</t>
  </si>
  <si>
    <t>Куликівська</t>
  </si>
  <si>
    <t>UA4606025</t>
  </si>
  <si>
    <t>UA4606027</t>
  </si>
  <si>
    <t>Murovanska</t>
  </si>
  <si>
    <t>Мурованська</t>
  </si>
  <si>
    <t>UA4606029</t>
  </si>
  <si>
    <t>Novoiarychivska</t>
  </si>
  <si>
    <t>Новояричівська</t>
  </si>
  <si>
    <t>UA4606031</t>
  </si>
  <si>
    <t>Obroshynska</t>
  </si>
  <si>
    <t>Оброшинська</t>
  </si>
  <si>
    <t>UA4606033</t>
  </si>
  <si>
    <t>Peremyshlianska</t>
  </si>
  <si>
    <t>Перемишлянська</t>
  </si>
  <si>
    <t>UA4606035</t>
  </si>
  <si>
    <t>Pidberiztsivska</t>
  </si>
  <si>
    <t>Підберізцівська</t>
  </si>
  <si>
    <t>UA4606037</t>
  </si>
  <si>
    <t>Pustomytivska</t>
  </si>
  <si>
    <t>Пустомитівська</t>
  </si>
  <si>
    <t>UA4606039</t>
  </si>
  <si>
    <t>Rava-Ruska</t>
  </si>
  <si>
    <t>Рава-Руська</t>
  </si>
  <si>
    <t>UA4606041</t>
  </si>
  <si>
    <t>Sokilnytska</t>
  </si>
  <si>
    <t>Сокільницька</t>
  </si>
  <si>
    <t>UA4606043</t>
  </si>
  <si>
    <t>Solonkivska</t>
  </si>
  <si>
    <t>Солонківська</t>
  </si>
  <si>
    <t>UA4606045</t>
  </si>
  <si>
    <t>Shchyretska</t>
  </si>
  <si>
    <t>Щирецька</t>
  </si>
  <si>
    <t>UA4608001</t>
  </si>
  <si>
    <t>Biskovytska</t>
  </si>
  <si>
    <t>Бісковицька</t>
  </si>
  <si>
    <t>UA4608003</t>
  </si>
  <si>
    <t>Borynska</t>
  </si>
  <si>
    <t>Боринська</t>
  </si>
  <si>
    <t>UA4608005</t>
  </si>
  <si>
    <t>Dobromylska</t>
  </si>
  <si>
    <t>Добромильська</t>
  </si>
  <si>
    <t>UA4608007</t>
  </si>
  <si>
    <t>Novokalynivska</t>
  </si>
  <si>
    <t>Новокалинівська</t>
  </si>
  <si>
    <t>UA4608009</t>
  </si>
  <si>
    <t>Ralivska</t>
  </si>
  <si>
    <t>Ралівська</t>
  </si>
  <si>
    <t>UA4608011</t>
  </si>
  <si>
    <t>Rudkivska</t>
  </si>
  <si>
    <t>Рудківська</t>
  </si>
  <si>
    <t>UA4608013</t>
  </si>
  <si>
    <t>Sambirska</t>
  </si>
  <si>
    <t>Самбірська</t>
  </si>
  <si>
    <t>UA4608015</t>
  </si>
  <si>
    <t>Starosambirska</t>
  </si>
  <si>
    <t>Старосамбірська</t>
  </si>
  <si>
    <t>UA4608017</t>
  </si>
  <si>
    <t>Strilkivska</t>
  </si>
  <si>
    <t>Стрілківська</t>
  </si>
  <si>
    <t>UA4608019</t>
  </si>
  <si>
    <t>Turkivska</t>
  </si>
  <si>
    <t>Турківська</t>
  </si>
  <si>
    <t>UA4608021</t>
  </si>
  <si>
    <t>Khyrivska</t>
  </si>
  <si>
    <t>Хирівська</t>
  </si>
  <si>
    <t>UA4610001</t>
  </si>
  <si>
    <t>Hnizdychivska</t>
  </si>
  <si>
    <t>Гніздичівська</t>
  </si>
  <si>
    <t>UA4610003</t>
  </si>
  <si>
    <t>Hrabovetsko-Dulibivska</t>
  </si>
  <si>
    <t>Грабовецько-Дулібівська</t>
  </si>
  <si>
    <t>UA4610005</t>
  </si>
  <si>
    <t>Zhydachivska</t>
  </si>
  <si>
    <t>Жидачівська</t>
  </si>
  <si>
    <t>UA4610007</t>
  </si>
  <si>
    <t>Zhuravnenska</t>
  </si>
  <si>
    <t>Журавненська</t>
  </si>
  <si>
    <t>UA4610009</t>
  </si>
  <si>
    <t>Kozivska</t>
  </si>
  <si>
    <t>Козівська</t>
  </si>
  <si>
    <t>UA4610011</t>
  </si>
  <si>
    <t>UA4610013</t>
  </si>
  <si>
    <t>Morshynska</t>
  </si>
  <si>
    <t>Моршинська</t>
  </si>
  <si>
    <t>UA4610015</t>
  </si>
  <si>
    <t>Novorozdilska</t>
  </si>
  <si>
    <t>Новороздільська</t>
  </si>
  <si>
    <t>UA4610017</t>
  </si>
  <si>
    <t>Rozvadivska</t>
  </si>
  <si>
    <t>Розвадівська</t>
  </si>
  <si>
    <t>UA4610019</t>
  </si>
  <si>
    <t>Skolivska</t>
  </si>
  <si>
    <t>Сколівська</t>
  </si>
  <si>
    <t>UA4610021</t>
  </si>
  <si>
    <t>Slavska</t>
  </si>
  <si>
    <t>Славська</t>
  </si>
  <si>
    <t>UA4610023</t>
  </si>
  <si>
    <t>Stryiska</t>
  </si>
  <si>
    <t>Стрийська</t>
  </si>
  <si>
    <t>UA4610025</t>
  </si>
  <si>
    <t>UA4610027</t>
  </si>
  <si>
    <t>Khodorivska</t>
  </si>
  <si>
    <t>Ходорівська</t>
  </si>
  <si>
    <t>UA4612001</t>
  </si>
  <si>
    <t>Belzka</t>
  </si>
  <si>
    <t>Белзька</t>
  </si>
  <si>
    <t>UA4612003</t>
  </si>
  <si>
    <t>Velykomostivska</t>
  </si>
  <si>
    <t>Великомостівська</t>
  </si>
  <si>
    <t>UA4612005</t>
  </si>
  <si>
    <t>Dobrotvirska</t>
  </si>
  <si>
    <t>Добротвірська</t>
  </si>
  <si>
    <t>UA4612007</t>
  </si>
  <si>
    <t>Lopatynska</t>
  </si>
  <si>
    <t>Лопатинська</t>
  </si>
  <si>
    <t>UA4612009</t>
  </si>
  <si>
    <t>Radekhivska</t>
  </si>
  <si>
    <t>Радехівська</t>
  </si>
  <si>
    <t>UA4612011</t>
  </si>
  <si>
    <t>Sokalska</t>
  </si>
  <si>
    <t>Сокальська</t>
  </si>
  <si>
    <t>UA4612013</t>
  </si>
  <si>
    <t>Chervonohradska</t>
  </si>
  <si>
    <t>Червоноградська</t>
  </si>
  <si>
    <t>UA4614001</t>
  </si>
  <si>
    <t>UA4614003</t>
  </si>
  <si>
    <t>Mostyska</t>
  </si>
  <si>
    <t>Мостиська</t>
  </si>
  <si>
    <t>UA4614005</t>
  </si>
  <si>
    <t>Novoiavorivska</t>
  </si>
  <si>
    <t>Новояворівська</t>
  </si>
  <si>
    <t>UA4614007</t>
  </si>
  <si>
    <t>Sudovovyshnianska</t>
  </si>
  <si>
    <t>Судововишнянська</t>
  </si>
  <si>
    <t>UA4614009</t>
  </si>
  <si>
    <t>Shehynivska</t>
  </si>
  <si>
    <t>Шегинівська</t>
  </si>
  <si>
    <t>UA4614011</t>
  </si>
  <si>
    <t>Yavorivska</t>
  </si>
  <si>
    <t>Яворівська</t>
  </si>
  <si>
    <t>UA4802001</t>
  </si>
  <si>
    <t>Bashtanska</t>
  </si>
  <si>
    <t>Баштанська</t>
  </si>
  <si>
    <t>UA4802003</t>
  </si>
  <si>
    <t>Bereznehuvatska</t>
  </si>
  <si>
    <t>Березнегуватська</t>
  </si>
  <si>
    <t>UA4802005</t>
  </si>
  <si>
    <t>Vilnozaporizka</t>
  </si>
  <si>
    <t>Вільнозапорізька</t>
  </si>
  <si>
    <t>UA4802007</t>
  </si>
  <si>
    <t>Volodymyrivska</t>
  </si>
  <si>
    <t>Володимирівська</t>
  </si>
  <si>
    <t>UA4802009</t>
  </si>
  <si>
    <t>UA4802011</t>
  </si>
  <si>
    <t>Inhulska</t>
  </si>
  <si>
    <t>Інгульська</t>
  </si>
  <si>
    <t>UA4802013</t>
  </si>
  <si>
    <t>Kazankivska</t>
  </si>
  <si>
    <t>Казанківська</t>
  </si>
  <si>
    <t>UA4802015</t>
  </si>
  <si>
    <t>Novobuzka</t>
  </si>
  <si>
    <t>Новобузька</t>
  </si>
  <si>
    <t>UA4802017</t>
  </si>
  <si>
    <t>Pryvilnenska</t>
  </si>
  <si>
    <t>Привільненська</t>
  </si>
  <si>
    <t>UA4802019</t>
  </si>
  <si>
    <t>Snihurivska</t>
  </si>
  <si>
    <t>Снігурівська</t>
  </si>
  <si>
    <t>UA4802021</t>
  </si>
  <si>
    <t>UA4802023</t>
  </si>
  <si>
    <t>UA4804001</t>
  </si>
  <si>
    <t>Bratska</t>
  </si>
  <si>
    <t>Братська</t>
  </si>
  <si>
    <t>UA4804003</t>
  </si>
  <si>
    <t>Buzka</t>
  </si>
  <si>
    <t>Бузька</t>
  </si>
  <si>
    <t>UA4804005</t>
  </si>
  <si>
    <t>Veselynivska</t>
  </si>
  <si>
    <t>Веселинівська</t>
  </si>
  <si>
    <t>UA4804007</t>
  </si>
  <si>
    <t>Voznesenska</t>
  </si>
  <si>
    <t>Вознесенська</t>
  </si>
  <si>
    <t>UA4804009</t>
  </si>
  <si>
    <t>Domanivska</t>
  </si>
  <si>
    <t>Доманівська</t>
  </si>
  <si>
    <t>UA4804011</t>
  </si>
  <si>
    <t>Doroshivska</t>
  </si>
  <si>
    <t>Дорошівська</t>
  </si>
  <si>
    <t>UA4804013</t>
  </si>
  <si>
    <t>Yelanetska</t>
  </si>
  <si>
    <t>Єланецька</t>
  </si>
  <si>
    <t>UA4804015</t>
  </si>
  <si>
    <t>Mostivska</t>
  </si>
  <si>
    <t>Мостівська</t>
  </si>
  <si>
    <t>UA4804017</t>
  </si>
  <si>
    <t>Novomarivska</t>
  </si>
  <si>
    <t>Новомар'ївська</t>
  </si>
  <si>
    <t>UA4804019</t>
  </si>
  <si>
    <t>UA4804021</t>
  </si>
  <si>
    <t>Prybuzhanivska</t>
  </si>
  <si>
    <t>Прибужанівська</t>
  </si>
  <si>
    <t>UA4804023</t>
  </si>
  <si>
    <t>Prybuzka</t>
  </si>
  <si>
    <t>Прибузька</t>
  </si>
  <si>
    <t>UA4804025</t>
  </si>
  <si>
    <t>Yuzhnoukrainska</t>
  </si>
  <si>
    <t>Южноукраїнська</t>
  </si>
  <si>
    <t>UA4806001</t>
  </si>
  <si>
    <t>UA4806003</t>
  </si>
  <si>
    <t>Vesnianska</t>
  </si>
  <si>
    <t>Веснянська</t>
  </si>
  <si>
    <t>UA4806005</t>
  </si>
  <si>
    <t>UA4806007</t>
  </si>
  <si>
    <t>Halytsynivska</t>
  </si>
  <si>
    <t>Галицинівська</t>
  </si>
  <si>
    <t>UA4806009</t>
  </si>
  <si>
    <t>Koblivska</t>
  </si>
  <si>
    <t>Коблівська</t>
  </si>
  <si>
    <t>UA4806011</t>
  </si>
  <si>
    <t>UA4806013</t>
  </si>
  <si>
    <t>Kutsurubska</t>
  </si>
  <si>
    <t>Куцурубська</t>
  </si>
  <si>
    <t>UA4806015</t>
  </si>
  <si>
    <t>UA4806017</t>
  </si>
  <si>
    <t>Mishkovo-Pohorilivska</t>
  </si>
  <si>
    <t>Мішково-Погорілівська</t>
  </si>
  <si>
    <t>UA4806019</t>
  </si>
  <si>
    <t>Nechaianska</t>
  </si>
  <si>
    <t>Нечаянська</t>
  </si>
  <si>
    <t>UA4806021</t>
  </si>
  <si>
    <t>Novoodeska</t>
  </si>
  <si>
    <t>Новоодеська</t>
  </si>
  <si>
    <t>UA4806023</t>
  </si>
  <si>
    <t>Olshanska</t>
  </si>
  <si>
    <t>Ольшанська</t>
  </si>
  <si>
    <t>UA4806025</t>
  </si>
  <si>
    <t>Ochakivska</t>
  </si>
  <si>
    <t>Очаківська</t>
  </si>
  <si>
    <t>UA4806027</t>
  </si>
  <si>
    <t>Pervomaiska</t>
  </si>
  <si>
    <t>Первомайська</t>
  </si>
  <si>
    <t>UA4806029</t>
  </si>
  <si>
    <t>Radsadivska</t>
  </si>
  <si>
    <t>Радсадівська</t>
  </si>
  <si>
    <t>UA4806031</t>
  </si>
  <si>
    <t>Stepivska</t>
  </si>
  <si>
    <t>Степівська</t>
  </si>
  <si>
    <t>UA4806033</t>
  </si>
  <si>
    <t>Sukhoielanetska</t>
  </si>
  <si>
    <t>Сухоєланецька</t>
  </si>
  <si>
    <t>UA4806035</t>
  </si>
  <si>
    <t>Chornomorska</t>
  </si>
  <si>
    <t>Чорноморська</t>
  </si>
  <si>
    <t>UA4806037</t>
  </si>
  <si>
    <t>Shevchenkivska</t>
  </si>
  <si>
    <t>Шевченківська</t>
  </si>
  <si>
    <t>UA4808001</t>
  </si>
  <si>
    <t>Arbuzynska</t>
  </si>
  <si>
    <t>Арбузинська</t>
  </si>
  <si>
    <t>UA4808003</t>
  </si>
  <si>
    <t>Blahodatnenska</t>
  </si>
  <si>
    <t>Благодатненська</t>
  </si>
  <si>
    <t>UA4808005</t>
  </si>
  <si>
    <t>Vradiivska</t>
  </si>
  <si>
    <t>Врадіївська</t>
  </si>
  <si>
    <t>UA4808007</t>
  </si>
  <si>
    <t>Kamianomostivska</t>
  </si>
  <si>
    <t>Кам'яномостівська</t>
  </si>
  <si>
    <t>UA4808009</t>
  </si>
  <si>
    <t>Kryvoozerska</t>
  </si>
  <si>
    <t>Кривоозерська</t>
  </si>
  <si>
    <t>UA4808011</t>
  </si>
  <si>
    <t>Myhiivska</t>
  </si>
  <si>
    <t>Мигіївська</t>
  </si>
  <si>
    <t>UA4808013</t>
  </si>
  <si>
    <t>UA4808015</t>
  </si>
  <si>
    <t>Syniukhynobridska</t>
  </si>
  <si>
    <t>Синюхинобрідська</t>
  </si>
  <si>
    <t>UA5102001</t>
  </si>
  <si>
    <t>Andriievo-Ivanivska</t>
  </si>
  <si>
    <t>Андрієво-Іванівська</t>
  </si>
  <si>
    <t>UA5102003</t>
  </si>
  <si>
    <t>UA5102005</t>
  </si>
  <si>
    <t>Velykobuialytska</t>
  </si>
  <si>
    <t>Великобуялицька</t>
  </si>
  <si>
    <t>UA5102007</t>
  </si>
  <si>
    <t>UA5102009</t>
  </si>
  <si>
    <t>UA5102011</t>
  </si>
  <si>
    <t>Konoplianska</t>
  </si>
  <si>
    <t>Коноплянська</t>
  </si>
  <si>
    <t>UA5102013</t>
  </si>
  <si>
    <t>Kurisovska</t>
  </si>
  <si>
    <t>Курісовська</t>
  </si>
  <si>
    <t>UA5102015</t>
  </si>
  <si>
    <t>UA5102017</t>
  </si>
  <si>
    <t>Novokalchevska</t>
  </si>
  <si>
    <t>Новокальчевська</t>
  </si>
  <si>
    <t>UA5102019</t>
  </si>
  <si>
    <t>Petrovirivska</t>
  </si>
  <si>
    <t>Петровірівська</t>
  </si>
  <si>
    <t>UA5102021</t>
  </si>
  <si>
    <t>Raukhivska</t>
  </si>
  <si>
    <t>Раухівська</t>
  </si>
  <si>
    <t>UA5102023</t>
  </si>
  <si>
    <t>Rozkvitivska</t>
  </si>
  <si>
    <t>Розквітівська</t>
  </si>
  <si>
    <t>UA5102025</t>
  </si>
  <si>
    <t>Staromaiakivska</t>
  </si>
  <si>
    <t>Старомаяківська</t>
  </si>
  <si>
    <t>UA5102027</t>
  </si>
  <si>
    <t>Striukivska</t>
  </si>
  <si>
    <t>Стрюківська</t>
  </si>
  <si>
    <t>UA5102029</t>
  </si>
  <si>
    <t>Chohodarivska</t>
  </si>
  <si>
    <t>Чогодарівська</t>
  </si>
  <si>
    <t>UA5102031</t>
  </si>
  <si>
    <t>Shyriaivska</t>
  </si>
  <si>
    <t>Ширяївська</t>
  </si>
  <si>
    <t>UA5104001</t>
  </si>
  <si>
    <t>Bilhorod-Dnistrovska</t>
  </si>
  <si>
    <t>Білгород-Дністровська</t>
  </si>
  <si>
    <t>UA5104003</t>
  </si>
  <si>
    <t>Dyviziiska</t>
  </si>
  <si>
    <t>Дивізійська</t>
  </si>
  <si>
    <t>UA5104005</t>
  </si>
  <si>
    <t>Karolino-Buhazka</t>
  </si>
  <si>
    <t>Кароліно-Бугазька</t>
  </si>
  <si>
    <t>UA5104007</t>
  </si>
  <si>
    <t>Kulevchanska</t>
  </si>
  <si>
    <t>Кулевчанська</t>
  </si>
  <si>
    <t>UA5104009</t>
  </si>
  <si>
    <t>UA5104011</t>
  </si>
  <si>
    <t>Marazliivska</t>
  </si>
  <si>
    <t>Маразліївська</t>
  </si>
  <si>
    <t>UA5104013</t>
  </si>
  <si>
    <t>Molohivska</t>
  </si>
  <si>
    <t>Мологівська</t>
  </si>
  <si>
    <t>UA5104015</t>
  </si>
  <si>
    <t>UA5104017</t>
  </si>
  <si>
    <t>Plakhtiivska</t>
  </si>
  <si>
    <t>Плахтіївська</t>
  </si>
  <si>
    <t>UA5104019</t>
  </si>
  <si>
    <t>Saratska</t>
  </si>
  <si>
    <t>Саратська</t>
  </si>
  <si>
    <t>UA5104021</t>
  </si>
  <si>
    <t>Serhiivska</t>
  </si>
  <si>
    <t>Сергіївська</t>
  </si>
  <si>
    <t>UA5104023</t>
  </si>
  <si>
    <t>Starokozatska</t>
  </si>
  <si>
    <t>Старокозацька</t>
  </si>
  <si>
    <t>UA5104025</t>
  </si>
  <si>
    <t>Tatarbunarska</t>
  </si>
  <si>
    <t>Татарбунарська</t>
  </si>
  <si>
    <t>UA5104027</t>
  </si>
  <si>
    <t>Tuzlivska</t>
  </si>
  <si>
    <t>Тузлівська</t>
  </si>
  <si>
    <t>UA5104029</t>
  </si>
  <si>
    <t>Uspenivska</t>
  </si>
  <si>
    <t>Успенівська</t>
  </si>
  <si>
    <t>UA5104031</t>
  </si>
  <si>
    <t>Shabivska</t>
  </si>
  <si>
    <t>Шабівська</t>
  </si>
  <si>
    <t>UA5106001</t>
  </si>
  <si>
    <t>Artsyzka</t>
  </si>
  <si>
    <t>Арцизька</t>
  </si>
  <si>
    <t>UA5106003</t>
  </si>
  <si>
    <t>Bolhradska</t>
  </si>
  <si>
    <t>Болградська</t>
  </si>
  <si>
    <t>UA5106005</t>
  </si>
  <si>
    <t>Borodinska</t>
  </si>
  <si>
    <t>Бородінська</t>
  </si>
  <si>
    <t>UA5106007</t>
  </si>
  <si>
    <t>UA5106009</t>
  </si>
  <si>
    <t>Horodnenska</t>
  </si>
  <si>
    <t>Городненська</t>
  </si>
  <si>
    <t>UA5106011</t>
  </si>
  <si>
    <t>Krynychnenska</t>
  </si>
  <si>
    <t>Криничненська</t>
  </si>
  <si>
    <t>UA5106013</t>
  </si>
  <si>
    <t>Kubeiska</t>
  </si>
  <si>
    <t>Кубейська</t>
  </si>
  <si>
    <t>UA5106015</t>
  </si>
  <si>
    <t>UA5106017</t>
  </si>
  <si>
    <t>Tarutynska</t>
  </si>
  <si>
    <t>Тарутинська</t>
  </si>
  <si>
    <t>UA5106019</t>
  </si>
  <si>
    <t>UA5108001</t>
  </si>
  <si>
    <t>Vylkivska</t>
  </si>
  <si>
    <t>Вилківська</t>
  </si>
  <si>
    <t>UA5108003</t>
  </si>
  <si>
    <t>Izmailska</t>
  </si>
  <si>
    <t>Ізмаїльська</t>
  </si>
  <si>
    <t>UA5108005</t>
  </si>
  <si>
    <t>Kiliiska</t>
  </si>
  <si>
    <t>Кілійська</t>
  </si>
  <si>
    <t>UA5108007</t>
  </si>
  <si>
    <t>Reniiska</t>
  </si>
  <si>
    <t>Ренійська</t>
  </si>
  <si>
    <t>UA5108009</t>
  </si>
  <si>
    <t>Safianivska</t>
  </si>
  <si>
    <t>Саф'янівська</t>
  </si>
  <si>
    <t>UA5108011</t>
  </si>
  <si>
    <t>Suvorovska</t>
  </si>
  <si>
    <t>Суворовська</t>
  </si>
  <si>
    <t>UA5110001</t>
  </si>
  <si>
    <t>Avanhardivska</t>
  </si>
  <si>
    <t>Авангардівська</t>
  </si>
  <si>
    <t>UA5110003</t>
  </si>
  <si>
    <t>Biliaivska</t>
  </si>
  <si>
    <t>Біляївська</t>
  </si>
  <si>
    <t>UA5110005</t>
  </si>
  <si>
    <t>Velykodalnytska</t>
  </si>
  <si>
    <t>Великодальницька</t>
  </si>
  <si>
    <t>UA5110007</t>
  </si>
  <si>
    <t>Velykodolynska</t>
  </si>
  <si>
    <t>Великодолинська</t>
  </si>
  <si>
    <t>UA5110009</t>
  </si>
  <si>
    <t>Vyhodianska</t>
  </si>
  <si>
    <t>Вигодянська</t>
  </si>
  <si>
    <t>UA5110011</t>
  </si>
  <si>
    <t>Vyzyrska</t>
  </si>
  <si>
    <t>Визирська</t>
  </si>
  <si>
    <t>UA5110013</t>
  </si>
  <si>
    <t>Dalnytska</t>
  </si>
  <si>
    <t>Дальницька</t>
  </si>
  <si>
    <t>UA5110015</t>
  </si>
  <si>
    <t>Dachnenska</t>
  </si>
  <si>
    <t>Дачненська</t>
  </si>
  <si>
    <t>UA5110017</t>
  </si>
  <si>
    <t>Dobroslavska</t>
  </si>
  <si>
    <t>Доброславська</t>
  </si>
  <si>
    <t>UA5110019</t>
  </si>
  <si>
    <t>Krasnosilska</t>
  </si>
  <si>
    <t>Красносільська</t>
  </si>
  <si>
    <t>UA5110021</t>
  </si>
  <si>
    <t>Maiakivska</t>
  </si>
  <si>
    <t>Маяківська</t>
  </si>
  <si>
    <t>UA5110023</t>
  </si>
  <si>
    <t>Nerubaiska</t>
  </si>
  <si>
    <t>Нерубайська</t>
  </si>
  <si>
    <t>UA5110025</t>
  </si>
  <si>
    <t>Ovidiopolska</t>
  </si>
  <si>
    <t>Овідіопольська</t>
  </si>
  <si>
    <t>UA5110027</t>
  </si>
  <si>
    <t>UA5110029</t>
  </si>
  <si>
    <t>Tairovska</t>
  </si>
  <si>
    <t>Таїровська</t>
  </si>
  <si>
    <t>UA5110031</t>
  </si>
  <si>
    <t>Teplodarska</t>
  </si>
  <si>
    <t>Теплодарська</t>
  </si>
  <si>
    <t>UA5110033</t>
  </si>
  <si>
    <t>Usativska</t>
  </si>
  <si>
    <t>Усатівська</t>
  </si>
  <si>
    <t>UA5110035</t>
  </si>
  <si>
    <t>Fontanska</t>
  </si>
  <si>
    <t>Фонтанська</t>
  </si>
  <si>
    <t>UA5110037</t>
  </si>
  <si>
    <t>UA5110039</t>
  </si>
  <si>
    <t>UA5110041</t>
  </si>
  <si>
    <t>Yuzhnenska</t>
  </si>
  <si>
    <t>Южненська</t>
  </si>
  <si>
    <t>UA5110043</t>
  </si>
  <si>
    <t>Yaskivska</t>
  </si>
  <si>
    <t>Яськівська</t>
  </si>
  <si>
    <t>UA5112001</t>
  </si>
  <si>
    <t>Ananivska</t>
  </si>
  <si>
    <t>Ананьївська</t>
  </si>
  <si>
    <t>UA5112003</t>
  </si>
  <si>
    <t>Baltska</t>
  </si>
  <si>
    <t>Балтська</t>
  </si>
  <si>
    <t>UA5112005</t>
  </si>
  <si>
    <t>UA5112007</t>
  </si>
  <si>
    <t>Zelenohirska</t>
  </si>
  <si>
    <t>Зеленогірська</t>
  </si>
  <si>
    <t>UA5112009</t>
  </si>
  <si>
    <t>Kodymska</t>
  </si>
  <si>
    <t>Кодимська</t>
  </si>
  <si>
    <t>UA5112011</t>
  </si>
  <si>
    <t>Kuialnytska</t>
  </si>
  <si>
    <t>Куяльницька</t>
  </si>
  <si>
    <t>UA5112013</t>
  </si>
  <si>
    <t>Liubashivska</t>
  </si>
  <si>
    <t>Любашівська</t>
  </si>
  <si>
    <t>UA5112015</t>
  </si>
  <si>
    <t>Oknianska</t>
  </si>
  <si>
    <t>Окнянська</t>
  </si>
  <si>
    <t>UA5112017</t>
  </si>
  <si>
    <t>UA5112019</t>
  </si>
  <si>
    <t>Podilska</t>
  </si>
  <si>
    <t>Подільська</t>
  </si>
  <si>
    <t>UA5112021</t>
  </si>
  <si>
    <t>Savranska</t>
  </si>
  <si>
    <t>Савранська</t>
  </si>
  <si>
    <t>UA5112023</t>
  </si>
  <si>
    <t>Slobidska</t>
  </si>
  <si>
    <t>Слобідська</t>
  </si>
  <si>
    <t>UA5114001</t>
  </si>
  <si>
    <t>UA5114003</t>
  </si>
  <si>
    <t>Velykoploskivska</t>
  </si>
  <si>
    <t>Великоплосківська</t>
  </si>
  <si>
    <t>UA5114005</t>
  </si>
  <si>
    <t>Zatyshanska</t>
  </si>
  <si>
    <t>Затишанська</t>
  </si>
  <si>
    <t>UA5114007</t>
  </si>
  <si>
    <t>Zakharivska</t>
  </si>
  <si>
    <t>Захарівська</t>
  </si>
  <si>
    <t>UA5114009</t>
  </si>
  <si>
    <t>UA5114011</t>
  </si>
  <si>
    <t>Novoborysivska</t>
  </si>
  <si>
    <t>Новоборисівська</t>
  </si>
  <si>
    <t>UA5114013</t>
  </si>
  <si>
    <t>Rozdilnianska</t>
  </si>
  <si>
    <t>Роздільнянська</t>
  </si>
  <si>
    <t>UA5114015</t>
  </si>
  <si>
    <t>Stepanivska</t>
  </si>
  <si>
    <t>Степанівська</t>
  </si>
  <si>
    <t>UA5114017</t>
  </si>
  <si>
    <t>Tsebrykivska</t>
  </si>
  <si>
    <t>Цебриківська</t>
  </si>
  <si>
    <t>UA5302001</t>
  </si>
  <si>
    <t>Hlobynska</t>
  </si>
  <si>
    <t>Глобинська</t>
  </si>
  <si>
    <t>UA5302003</t>
  </si>
  <si>
    <t>Horishnoplavnivska</t>
  </si>
  <si>
    <t>Горішньоплавнівська</t>
  </si>
  <si>
    <t>UA5302005</t>
  </si>
  <si>
    <t>Hradyzka</t>
  </si>
  <si>
    <t>Градизька</t>
  </si>
  <si>
    <t>UA5302007</t>
  </si>
  <si>
    <t>Kamianopotokivska</t>
  </si>
  <si>
    <t>Кам'янопотоківська</t>
  </si>
  <si>
    <t>UA5302009</t>
  </si>
  <si>
    <t>Kozelshchynska</t>
  </si>
  <si>
    <t>Козельщинська</t>
  </si>
  <si>
    <t>UA5302011</t>
  </si>
  <si>
    <t>Kremenchutska</t>
  </si>
  <si>
    <t>Кременчуцька</t>
  </si>
  <si>
    <t>UA5302013</t>
  </si>
  <si>
    <t>Novohaleshchynska</t>
  </si>
  <si>
    <t>Новогалещинська</t>
  </si>
  <si>
    <t>UA5302015</t>
  </si>
  <si>
    <t>Obolonska</t>
  </si>
  <si>
    <t>Оболонська</t>
  </si>
  <si>
    <t>UA5302017</t>
  </si>
  <si>
    <t>Omelnytska</t>
  </si>
  <si>
    <t>Омельницька</t>
  </si>
  <si>
    <t>UA5302019</t>
  </si>
  <si>
    <t>UA5302021</t>
  </si>
  <si>
    <t>Pryshybska</t>
  </si>
  <si>
    <t>Пришибська</t>
  </si>
  <si>
    <t>UA5302023</t>
  </si>
  <si>
    <t>UA5304001</t>
  </si>
  <si>
    <t>UA5304003</t>
  </si>
  <si>
    <t>Lubenska</t>
  </si>
  <si>
    <t>Лубенська</t>
  </si>
  <si>
    <t>UA5304005</t>
  </si>
  <si>
    <t>Novoorzhytska</t>
  </si>
  <si>
    <t>Новооржицька</t>
  </si>
  <si>
    <t>UA5304007</t>
  </si>
  <si>
    <t>Orzhytska</t>
  </si>
  <si>
    <t>Оржицька</t>
  </si>
  <si>
    <t>UA5304009</t>
  </si>
  <si>
    <t>Pyriatynska</t>
  </si>
  <si>
    <t>Пирятинська</t>
  </si>
  <si>
    <t>UA5304011</t>
  </si>
  <si>
    <t>Khorolska</t>
  </si>
  <si>
    <t>Хорольська</t>
  </si>
  <si>
    <t>UA5304013</t>
  </si>
  <si>
    <t>Chornukhynska</t>
  </si>
  <si>
    <t>Чорнухинська</t>
  </si>
  <si>
    <t>UA5306001</t>
  </si>
  <si>
    <t>UA5306003</t>
  </si>
  <si>
    <t>Velykobahachanska</t>
  </si>
  <si>
    <t>Великобагачанська</t>
  </si>
  <si>
    <t>UA5306005</t>
  </si>
  <si>
    <t>Velykobudyshchanska</t>
  </si>
  <si>
    <t>Великобудищанська</t>
  </si>
  <si>
    <t>UA5306007</t>
  </si>
  <si>
    <t>Velykosorochynska</t>
  </si>
  <si>
    <t>Великосорочинська</t>
  </si>
  <si>
    <t>UA5306009</t>
  </si>
  <si>
    <t>Hadiatska</t>
  </si>
  <si>
    <t>Гадяцька</t>
  </si>
  <si>
    <t>UA5306011</t>
  </si>
  <si>
    <t>Hoholivska</t>
  </si>
  <si>
    <t>Гоголівська</t>
  </si>
  <si>
    <t>UA5306013</t>
  </si>
  <si>
    <t>Zavodska</t>
  </si>
  <si>
    <t>Заводська</t>
  </si>
  <si>
    <t>UA5306015</t>
  </si>
  <si>
    <t>Komyshnianska</t>
  </si>
  <si>
    <t>Комишнянська</t>
  </si>
  <si>
    <t>UA5306017</t>
  </si>
  <si>
    <t>Krasnolutska</t>
  </si>
  <si>
    <t>Краснолуцька</t>
  </si>
  <si>
    <t>UA5306019</t>
  </si>
  <si>
    <t>Lokhvytska</t>
  </si>
  <si>
    <t>Лохвицька</t>
  </si>
  <si>
    <t>UA5306021</t>
  </si>
  <si>
    <t>Liutenska</t>
  </si>
  <si>
    <t>Лютенська</t>
  </si>
  <si>
    <t>UA5306023</t>
  </si>
  <si>
    <t>Myrhorodska</t>
  </si>
  <si>
    <t>Миргородська</t>
  </si>
  <si>
    <t>UA5306025</t>
  </si>
  <si>
    <t>Petrivsko-Romenska</t>
  </si>
  <si>
    <t>Петрівсько-Роменська</t>
  </si>
  <si>
    <t>UA5306027</t>
  </si>
  <si>
    <t>Romodanivska</t>
  </si>
  <si>
    <t>Ромоданівська</t>
  </si>
  <si>
    <t>UA5306029</t>
  </si>
  <si>
    <t>Senchanska</t>
  </si>
  <si>
    <t>Сенчанська</t>
  </si>
  <si>
    <t>UA5306031</t>
  </si>
  <si>
    <t>UA5306033</t>
  </si>
  <si>
    <t>Shyshatska</t>
  </si>
  <si>
    <t>Шишацька</t>
  </si>
  <si>
    <t>UA5308001</t>
  </si>
  <si>
    <t>Bilytska</t>
  </si>
  <si>
    <t>Білицька</t>
  </si>
  <si>
    <t>UA5308003</t>
  </si>
  <si>
    <t>Velykorublivska</t>
  </si>
  <si>
    <t>Великорублівська</t>
  </si>
  <si>
    <t>UA5308005</t>
  </si>
  <si>
    <t>Dykanska</t>
  </si>
  <si>
    <t>Диканська</t>
  </si>
  <si>
    <t>UA5308007</t>
  </si>
  <si>
    <t>Drabynivska</t>
  </si>
  <si>
    <t>Драбинівська</t>
  </si>
  <si>
    <t>UA5308009</t>
  </si>
  <si>
    <t>Zinkivska</t>
  </si>
  <si>
    <t>Зіньківська</t>
  </si>
  <si>
    <t>UA5308011</t>
  </si>
  <si>
    <t>Karlivska</t>
  </si>
  <si>
    <t>Карлівська</t>
  </si>
  <si>
    <t>UA5308013</t>
  </si>
  <si>
    <t>Kobeliatska</t>
  </si>
  <si>
    <t>Кобеляцька</t>
  </si>
  <si>
    <t>UA5308015</t>
  </si>
  <si>
    <t>Kolomatska</t>
  </si>
  <si>
    <t>Коломацька</t>
  </si>
  <si>
    <t>UA5308017</t>
  </si>
  <si>
    <t>Kotelevska</t>
  </si>
  <si>
    <t>Котелевська</t>
  </si>
  <si>
    <t>UA5308019</t>
  </si>
  <si>
    <t>Lannivska</t>
  </si>
  <si>
    <t>Ланнівська</t>
  </si>
  <si>
    <t>UA5308021</t>
  </si>
  <si>
    <t>Martynivska</t>
  </si>
  <si>
    <t>Мартинівська</t>
  </si>
  <si>
    <t>UA5308023</t>
  </si>
  <si>
    <t>Machukhivska</t>
  </si>
  <si>
    <t>Мачухівська</t>
  </si>
  <si>
    <t>UA5308025</t>
  </si>
  <si>
    <t>Mashivska</t>
  </si>
  <si>
    <t>Машівська</t>
  </si>
  <si>
    <t>UA5308027</t>
  </si>
  <si>
    <t>UA5308029</t>
  </si>
  <si>
    <t>Nekhvoroshchanska</t>
  </si>
  <si>
    <t>Нехворощанська</t>
  </si>
  <si>
    <t>UA5308031</t>
  </si>
  <si>
    <t>Novosanzharska</t>
  </si>
  <si>
    <t>Новосанжарська</t>
  </si>
  <si>
    <t>UA5308033</t>
  </si>
  <si>
    <t>Novoselivska</t>
  </si>
  <si>
    <t>Новоселівська</t>
  </si>
  <si>
    <t>UA5308035</t>
  </si>
  <si>
    <t>Opishnianska</t>
  </si>
  <si>
    <t>Опішнянська</t>
  </si>
  <si>
    <t>UA5308037</t>
  </si>
  <si>
    <t>UA5308039</t>
  </si>
  <si>
    <t>Reshetylivska</t>
  </si>
  <si>
    <t>Решетилівська</t>
  </si>
  <si>
    <t>UA5308041</t>
  </si>
  <si>
    <t>Skorokhodivska</t>
  </si>
  <si>
    <t>Скороходівська</t>
  </si>
  <si>
    <t>UA5308043</t>
  </si>
  <si>
    <t>Tereshkivska</t>
  </si>
  <si>
    <t>Терешківська</t>
  </si>
  <si>
    <t>UA5308045</t>
  </si>
  <si>
    <t>Chutivska</t>
  </si>
  <si>
    <t>Чутівська</t>
  </si>
  <si>
    <t>UA5308047</t>
  </si>
  <si>
    <t>Shcherbanivska</t>
  </si>
  <si>
    <t>Щербанівська</t>
  </si>
  <si>
    <t>UA5602001</t>
  </si>
  <si>
    <t>Antonivska</t>
  </si>
  <si>
    <t>Антонівська</t>
  </si>
  <si>
    <t>UA5602003</t>
  </si>
  <si>
    <t>Varaska</t>
  </si>
  <si>
    <t>Вараська</t>
  </si>
  <si>
    <t>UA5602005</t>
  </si>
  <si>
    <t>Volodymyretska</t>
  </si>
  <si>
    <t>Володимирецька</t>
  </si>
  <si>
    <t>UA5602007</t>
  </si>
  <si>
    <t>Zarichnenska</t>
  </si>
  <si>
    <t>Зарічненська</t>
  </si>
  <si>
    <t>UA5602009</t>
  </si>
  <si>
    <t>Kanonytska</t>
  </si>
  <si>
    <t>Каноницька</t>
  </si>
  <si>
    <t>UA5602011</t>
  </si>
  <si>
    <t>Loknytska</t>
  </si>
  <si>
    <t>Локницька</t>
  </si>
  <si>
    <t>UA5602013</t>
  </si>
  <si>
    <t>Polytska</t>
  </si>
  <si>
    <t>Полицька</t>
  </si>
  <si>
    <t>UA5602015</t>
  </si>
  <si>
    <t>Rafalivska</t>
  </si>
  <si>
    <t>Рафалівська</t>
  </si>
  <si>
    <t>UA5604001</t>
  </si>
  <si>
    <t>Bokiimivska</t>
  </si>
  <si>
    <t>Бокіймівська</t>
  </si>
  <si>
    <t>UA5604003</t>
  </si>
  <si>
    <t>Boremelska</t>
  </si>
  <si>
    <t>Боремельська</t>
  </si>
  <si>
    <t>UA5604005</t>
  </si>
  <si>
    <t>Varkovytska</t>
  </si>
  <si>
    <t>Варковицька</t>
  </si>
  <si>
    <t>UA5604007</t>
  </si>
  <si>
    <t>Verbska</t>
  </si>
  <si>
    <t>Вербська</t>
  </si>
  <si>
    <t>UA5604009</t>
  </si>
  <si>
    <t>Demydivska</t>
  </si>
  <si>
    <t>Демидівська</t>
  </si>
  <si>
    <t>UA5604011</t>
  </si>
  <si>
    <t>Dubenska</t>
  </si>
  <si>
    <t>Дубенська</t>
  </si>
  <si>
    <t>UA5604013</t>
  </si>
  <si>
    <t>UA5604015</t>
  </si>
  <si>
    <t>Krupetska</t>
  </si>
  <si>
    <t>Крупецька</t>
  </si>
  <si>
    <t>UA5604017</t>
  </si>
  <si>
    <t>Myrohoshchanska</t>
  </si>
  <si>
    <t>Мирогощанська</t>
  </si>
  <si>
    <t>UA5604019</t>
  </si>
  <si>
    <t>Mlynivska</t>
  </si>
  <si>
    <t>Млинівська</t>
  </si>
  <si>
    <t>UA5604021</t>
  </si>
  <si>
    <t>Ostrozhetska</t>
  </si>
  <si>
    <t>Острожецька</t>
  </si>
  <si>
    <t>UA5604023</t>
  </si>
  <si>
    <t>Pidloztsivska</t>
  </si>
  <si>
    <t>Підлозцівська</t>
  </si>
  <si>
    <t>UA5604025</t>
  </si>
  <si>
    <t>Povchanska</t>
  </si>
  <si>
    <t>Повчанська</t>
  </si>
  <si>
    <t>UA5604027</t>
  </si>
  <si>
    <t>UA5604029</t>
  </si>
  <si>
    <t>Radyvylivska</t>
  </si>
  <si>
    <t>Радивилівська</t>
  </si>
  <si>
    <t>UA5604031</t>
  </si>
  <si>
    <t>Semydubska</t>
  </si>
  <si>
    <t>Семидубська</t>
  </si>
  <si>
    <t>UA5604033</t>
  </si>
  <si>
    <t>Smyzka</t>
  </si>
  <si>
    <t>Смизька</t>
  </si>
  <si>
    <t>UA5604035</t>
  </si>
  <si>
    <t>Tarakanivska</t>
  </si>
  <si>
    <t>Тараканівська</t>
  </si>
  <si>
    <t>UA5604037</t>
  </si>
  <si>
    <t>Yaroslavytska</t>
  </si>
  <si>
    <t>Ярославицька</t>
  </si>
  <si>
    <t>UA5606001</t>
  </si>
  <si>
    <t>Babynska</t>
  </si>
  <si>
    <t>Бабинська</t>
  </si>
  <si>
    <t>UA5606003</t>
  </si>
  <si>
    <t>Bereznivska</t>
  </si>
  <si>
    <t>Березнівська</t>
  </si>
  <si>
    <t>UA5606005</t>
  </si>
  <si>
    <t>Bilokrynytska</t>
  </si>
  <si>
    <t>Білокриницька</t>
  </si>
  <si>
    <t>UA5606007</t>
  </si>
  <si>
    <t>Buhrynska</t>
  </si>
  <si>
    <t>Бугринська</t>
  </si>
  <si>
    <t>UA5606009</t>
  </si>
  <si>
    <t>Velykomezhyritska</t>
  </si>
  <si>
    <t>Великомежиріцька</t>
  </si>
  <si>
    <t>UA5606011</t>
  </si>
  <si>
    <t>Velykoomelianska</t>
  </si>
  <si>
    <t>Великоомелянська</t>
  </si>
  <si>
    <t>UA5606013</t>
  </si>
  <si>
    <t>Holovynska</t>
  </si>
  <si>
    <t>Головинська</t>
  </si>
  <si>
    <t>UA5606015</t>
  </si>
  <si>
    <t>UA5606017</t>
  </si>
  <si>
    <t>Hoshchanska</t>
  </si>
  <si>
    <t>Гощанська</t>
  </si>
  <si>
    <t>UA5606019</t>
  </si>
  <si>
    <t>Derazhnenska</t>
  </si>
  <si>
    <t>Деражненська</t>
  </si>
  <si>
    <t>UA5606021</t>
  </si>
  <si>
    <t>Diadkovytska</t>
  </si>
  <si>
    <t>Дядьковицька</t>
  </si>
  <si>
    <t>UA5606023</t>
  </si>
  <si>
    <t>Zdovbytska</t>
  </si>
  <si>
    <t>Здовбицька</t>
  </si>
  <si>
    <t>UA5606025</t>
  </si>
  <si>
    <t>Zdolbunivska</t>
  </si>
  <si>
    <t>Здолбунівська</t>
  </si>
  <si>
    <t>UA5606027</t>
  </si>
  <si>
    <t>Zorianska</t>
  </si>
  <si>
    <t>Зорянська</t>
  </si>
  <si>
    <t>UA5606029</t>
  </si>
  <si>
    <t>Klevanska</t>
  </si>
  <si>
    <t>Клеванська</t>
  </si>
  <si>
    <t>UA5606031</t>
  </si>
  <si>
    <t>Koretska</t>
  </si>
  <si>
    <t>Корецька</t>
  </si>
  <si>
    <t>UA5606033</t>
  </si>
  <si>
    <t>UA5606035</t>
  </si>
  <si>
    <t>Kostopilska</t>
  </si>
  <si>
    <t>Костопільська</t>
  </si>
  <si>
    <t>UA5606037</t>
  </si>
  <si>
    <t>UA5606039</t>
  </si>
  <si>
    <t>Maloliubashanska</t>
  </si>
  <si>
    <t>Малолюбашанська</t>
  </si>
  <si>
    <t>UA5606041</t>
  </si>
  <si>
    <t>Mizotska</t>
  </si>
  <si>
    <t>Мізоцька</t>
  </si>
  <si>
    <t>UA5606043</t>
  </si>
  <si>
    <t>UA5606045</t>
  </si>
  <si>
    <t>Ostrozka</t>
  </si>
  <si>
    <t>Острозька</t>
  </si>
  <si>
    <t>UA5606047</t>
  </si>
  <si>
    <t>UA5606049</t>
  </si>
  <si>
    <t>Sosnivska</t>
  </si>
  <si>
    <t>Соснівська</t>
  </si>
  <si>
    <t>UA5606051</t>
  </si>
  <si>
    <t>Shpanivska</t>
  </si>
  <si>
    <t>Шпанівська</t>
  </si>
  <si>
    <t>UA5608001</t>
  </si>
  <si>
    <t>UA5608003</t>
  </si>
  <si>
    <t>Vyrivska</t>
  </si>
  <si>
    <t>Вирівська</t>
  </si>
  <si>
    <t>UA5608005</t>
  </si>
  <si>
    <t>Vysotska</t>
  </si>
  <si>
    <t>Висоцька</t>
  </si>
  <si>
    <t>UA5608007</t>
  </si>
  <si>
    <t>Dubrovytska</t>
  </si>
  <si>
    <t>Дубровицька</t>
  </si>
  <si>
    <t>UA5608009</t>
  </si>
  <si>
    <t>Klesivska</t>
  </si>
  <si>
    <t>Клесівська</t>
  </si>
  <si>
    <t>UA5608011</t>
  </si>
  <si>
    <t>Myliatska</t>
  </si>
  <si>
    <t>Миляцька</t>
  </si>
  <si>
    <t>UA5608013</t>
  </si>
  <si>
    <t>Nemovytska</t>
  </si>
  <si>
    <t>Немовицька</t>
  </si>
  <si>
    <t>UA5608015</t>
  </si>
  <si>
    <t>Rokytnivska</t>
  </si>
  <si>
    <t>Рокитнівська</t>
  </si>
  <si>
    <t>UA5608017</t>
  </si>
  <si>
    <t>Sarnenska</t>
  </si>
  <si>
    <t>Сарненська</t>
  </si>
  <si>
    <t>UA5608019</t>
  </si>
  <si>
    <t>Starosilska</t>
  </si>
  <si>
    <t>Старосільська</t>
  </si>
  <si>
    <t>UA5608021</t>
  </si>
  <si>
    <t>Stepanska</t>
  </si>
  <si>
    <t>Степанська</t>
  </si>
  <si>
    <t>UA5902001</t>
  </si>
  <si>
    <t>Bochechkivska</t>
  </si>
  <si>
    <t>Бочечківська</t>
  </si>
  <si>
    <t>UA5902003</t>
  </si>
  <si>
    <t>Burynska</t>
  </si>
  <si>
    <t>Буринська</t>
  </si>
  <si>
    <t>UA5902005</t>
  </si>
  <si>
    <t>Duboviazivska</t>
  </si>
  <si>
    <t>Дубов'язівська</t>
  </si>
  <si>
    <t>UA5902007</t>
  </si>
  <si>
    <t>Konotopska</t>
  </si>
  <si>
    <t>Конотопська</t>
  </si>
  <si>
    <t>UA5902009</t>
  </si>
  <si>
    <t>Krolevetska</t>
  </si>
  <si>
    <t>Кролевецька</t>
  </si>
  <si>
    <t>UA5902011</t>
  </si>
  <si>
    <t>Novoslobidska</t>
  </si>
  <si>
    <t>Новослобідська</t>
  </si>
  <si>
    <t>UA5902013</t>
  </si>
  <si>
    <t>Popivska</t>
  </si>
  <si>
    <t>Попівська</t>
  </si>
  <si>
    <t>UA5902015</t>
  </si>
  <si>
    <t>Putyvlska</t>
  </si>
  <si>
    <t>Путивльська</t>
  </si>
  <si>
    <t>UA5904001</t>
  </si>
  <si>
    <t>Boromlianska</t>
  </si>
  <si>
    <t>Боромлянська</t>
  </si>
  <si>
    <t>UA5904003</t>
  </si>
  <si>
    <t>Velykopysarivska</t>
  </si>
  <si>
    <t>Великописарівська</t>
  </si>
  <si>
    <t>UA5904005</t>
  </si>
  <si>
    <t>Hrunska</t>
  </si>
  <si>
    <t>Грунська</t>
  </si>
  <si>
    <t>UA5904007</t>
  </si>
  <si>
    <t>Kyrykivska</t>
  </si>
  <si>
    <t>Кириківська</t>
  </si>
  <si>
    <t>UA5904009</t>
  </si>
  <si>
    <t>Komyshanska</t>
  </si>
  <si>
    <t>Комишанська</t>
  </si>
  <si>
    <t>UA5904011</t>
  </si>
  <si>
    <t>Okhtyrska</t>
  </si>
  <si>
    <t>Охтирська</t>
  </si>
  <si>
    <t>UA5904013</t>
  </si>
  <si>
    <t>UA5904015</t>
  </si>
  <si>
    <t>UA5904017</t>
  </si>
  <si>
    <t>Chupakhivska</t>
  </si>
  <si>
    <t>Чупахівська</t>
  </si>
  <si>
    <t>UA5906001</t>
  </si>
  <si>
    <t>Andriiashivska</t>
  </si>
  <si>
    <t>Андріяшівська</t>
  </si>
  <si>
    <t>UA5906003</t>
  </si>
  <si>
    <t>UA5906005</t>
  </si>
  <si>
    <t>Korovynska</t>
  </si>
  <si>
    <t>Коровинська</t>
  </si>
  <si>
    <t>UA5906007</t>
  </si>
  <si>
    <t>Lypovodolynska</t>
  </si>
  <si>
    <t>Липоводолинська</t>
  </si>
  <si>
    <t>UA5906009</t>
  </si>
  <si>
    <t>Nedryhailivska</t>
  </si>
  <si>
    <t>Недригайлівська</t>
  </si>
  <si>
    <t>UA5906011</t>
  </si>
  <si>
    <t>Romenska</t>
  </si>
  <si>
    <t>Роменська</t>
  </si>
  <si>
    <t>UA5906013</t>
  </si>
  <si>
    <t>Synivska</t>
  </si>
  <si>
    <t>Синівська</t>
  </si>
  <si>
    <t>UA5906015</t>
  </si>
  <si>
    <t>Khmelivska</t>
  </si>
  <si>
    <t>Хмелівська</t>
  </si>
  <si>
    <t>UA5908001</t>
  </si>
  <si>
    <t>Bezdrytska</t>
  </si>
  <si>
    <t>Бездрицька</t>
  </si>
  <si>
    <t>UA5908003</t>
  </si>
  <si>
    <t>Bilopilska</t>
  </si>
  <si>
    <t>Білопільська</t>
  </si>
  <si>
    <t>UA5908005</t>
  </si>
  <si>
    <t>Verkhnosyrovatska</t>
  </si>
  <si>
    <t>Верхньосироватська</t>
  </si>
  <si>
    <t>UA5908007</t>
  </si>
  <si>
    <t>Vorozhbianska</t>
  </si>
  <si>
    <t>Ворожбянська</t>
  </si>
  <si>
    <t>UA5908009</t>
  </si>
  <si>
    <t>UA5908011</t>
  </si>
  <si>
    <t>Lebedynska</t>
  </si>
  <si>
    <t>Лебединська</t>
  </si>
  <si>
    <t>UA5908013</t>
  </si>
  <si>
    <t>UA5908015</t>
  </si>
  <si>
    <t>UA5908017</t>
  </si>
  <si>
    <t>UA5908019</t>
  </si>
  <si>
    <t>Nyzhnosyrovatska</t>
  </si>
  <si>
    <t>Нижньосироватська</t>
  </si>
  <si>
    <t>UA5908021</t>
  </si>
  <si>
    <t>Richkivska</t>
  </si>
  <si>
    <t>Річківська</t>
  </si>
  <si>
    <t>UA5908023</t>
  </si>
  <si>
    <t>Sadivska</t>
  </si>
  <si>
    <t>Садівська</t>
  </si>
  <si>
    <t>UA5908025</t>
  </si>
  <si>
    <t>UA5908027</t>
  </si>
  <si>
    <t>UA5908029</t>
  </si>
  <si>
    <t>Khotinska</t>
  </si>
  <si>
    <t>Хотінська</t>
  </si>
  <si>
    <t>UA5908031</t>
  </si>
  <si>
    <t>Yunakivska</t>
  </si>
  <si>
    <t>Юнаківська</t>
  </si>
  <si>
    <t>UA5910001</t>
  </si>
  <si>
    <t>UA5910003</t>
  </si>
  <si>
    <t>Hlukhivska</t>
  </si>
  <si>
    <t>Глухівська</t>
  </si>
  <si>
    <t>UA5910005</t>
  </si>
  <si>
    <t>Druzhbivska</t>
  </si>
  <si>
    <t>Дружбівська</t>
  </si>
  <si>
    <t>UA5910007</t>
  </si>
  <si>
    <t>Esmanska</t>
  </si>
  <si>
    <t>Есманьська</t>
  </si>
  <si>
    <t>UA5910009</t>
  </si>
  <si>
    <t>Znob-Novhorodska</t>
  </si>
  <si>
    <t>Зноб-Новгородська</t>
  </si>
  <si>
    <t>UA5910011</t>
  </si>
  <si>
    <t>Sveska</t>
  </si>
  <si>
    <t>Свеська</t>
  </si>
  <si>
    <t>UA5910013</t>
  </si>
  <si>
    <t>Seredyno-Budska</t>
  </si>
  <si>
    <t>Середино-Будська</t>
  </si>
  <si>
    <t>UA5910015</t>
  </si>
  <si>
    <t>Shalyhynska</t>
  </si>
  <si>
    <t>Шалигинська</t>
  </si>
  <si>
    <t>UA5910017</t>
  </si>
  <si>
    <t>Shostkynska</t>
  </si>
  <si>
    <t>Шосткинська</t>
  </si>
  <si>
    <t>UA5910019</t>
  </si>
  <si>
    <t>UA6102001</t>
  </si>
  <si>
    <t>Borsukivska</t>
  </si>
  <si>
    <t>Борсуківська</t>
  </si>
  <si>
    <t>UA6102003</t>
  </si>
  <si>
    <t>Velykodederkalska</t>
  </si>
  <si>
    <t>Великодедеркальська</t>
  </si>
  <si>
    <t>UA6102005</t>
  </si>
  <si>
    <t>Vyshnivetska</t>
  </si>
  <si>
    <t>Вишнівецька</t>
  </si>
  <si>
    <t>UA6102007</t>
  </si>
  <si>
    <t>Kremenetska</t>
  </si>
  <si>
    <t>Кременецька</t>
  </si>
  <si>
    <t>UA6102009</t>
  </si>
  <si>
    <t>Lanovetska</t>
  </si>
  <si>
    <t>Лановецька</t>
  </si>
  <si>
    <t>UA6102011</t>
  </si>
  <si>
    <t>Lopushnenska</t>
  </si>
  <si>
    <t>Лопушненська</t>
  </si>
  <si>
    <t>UA6102013</t>
  </si>
  <si>
    <t>Pochaivska</t>
  </si>
  <si>
    <t>Почаївська</t>
  </si>
  <si>
    <t>UA6102015</t>
  </si>
  <si>
    <t>Shumska</t>
  </si>
  <si>
    <t>Шумська</t>
  </si>
  <si>
    <t>UA6104001</t>
  </si>
  <si>
    <t>Baikovetska</t>
  </si>
  <si>
    <t>Байковецька</t>
  </si>
  <si>
    <t>UA6104003</t>
  </si>
  <si>
    <t>Berezhanska</t>
  </si>
  <si>
    <t>Бережанська</t>
  </si>
  <si>
    <t>UA6104005</t>
  </si>
  <si>
    <t>Biletska</t>
  </si>
  <si>
    <t>Білецька</t>
  </si>
  <si>
    <t>UA6104007</t>
  </si>
  <si>
    <t>Velykoberezovytska</t>
  </si>
  <si>
    <t>Великоберезовицька</t>
  </si>
  <si>
    <t>UA6104009</t>
  </si>
  <si>
    <t>Velykobirkivska</t>
  </si>
  <si>
    <t>Великобірківська</t>
  </si>
  <si>
    <t>UA6104011</t>
  </si>
  <si>
    <t>Velykohaivska</t>
  </si>
  <si>
    <t>Великогаївська</t>
  </si>
  <si>
    <t>UA6104013</t>
  </si>
  <si>
    <t>Zalozetska</t>
  </si>
  <si>
    <t>Залозецька</t>
  </si>
  <si>
    <t>UA6104015</t>
  </si>
  <si>
    <t>Zbarazka</t>
  </si>
  <si>
    <t>Збаразька</t>
  </si>
  <si>
    <t>UA6104017</t>
  </si>
  <si>
    <t>Zborivska</t>
  </si>
  <si>
    <t>Зборівська</t>
  </si>
  <si>
    <t>UA6104019</t>
  </si>
  <si>
    <t>Zolotnykivska</t>
  </si>
  <si>
    <t>Золотниківська</t>
  </si>
  <si>
    <t>UA6104021</t>
  </si>
  <si>
    <t>UA6104023</t>
  </si>
  <si>
    <t>UA6104025</t>
  </si>
  <si>
    <t>Kozlivska</t>
  </si>
  <si>
    <t>Козлівська</t>
  </si>
  <si>
    <t>UA6104027</t>
  </si>
  <si>
    <t>Kupchynetska</t>
  </si>
  <si>
    <t>Купчинецька</t>
  </si>
  <si>
    <t>UA6104029</t>
  </si>
  <si>
    <t>Mykulynetska</t>
  </si>
  <si>
    <t>Микулинецька</t>
  </si>
  <si>
    <t>UA6104031</t>
  </si>
  <si>
    <t>Naraivska</t>
  </si>
  <si>
    <t>Нараївська</t>
  </si>
  <si>
    <t>UA6104033</t>
  </si>
  <si>
    <t>Ozernianska</t>
  </si>
  <si>
    <t>Озернянська</t>
  </si>
  <si>
    <t>UA6104035</t>
  </si>
  <si>
    <t>Pidvolochyska</t>
  </si>
  <si>
    <t>Підволочиська</t>
  </si>
  <si>
    <t>UA6104037</t>
  </si>
  <si>
    <t>Pidhaietska</t>
  </si>
  <si>
    <t>Підгаєцька</t>
  </si>
  <si>
    <t>UA6104039</t>
  </si>
  <si>
    <t>Pidhorodnianska</t>
  </si>
  <si>
    <t>Підгороднянська</t>
  </si>
  <si>
    <t>UA6104041</t>
  </si>
  <si>
    <t>Saranchukivska</t>
  </si>
  <si>
    <t>Саранчуківська</t>
  </si>
  <si>
    <t>UA6104043</t>
  </si>
  <si>
    <t>Skalatska</t>
  </si>
  <si>
    <t>Скалатська</t>
  </si>
  <si>
    <t>UA6104045</t>
  </si>
  <si>
    <t>Skorykivska</t>
  </si>
  <si>
    <t>Скориківська</t>
  </si>
  <si>
    <t>UA6104047</t>
  </si>
  <si>
    <t>Terebovlianska</t>
  </si>
  <si>
    <t>Теребовлянська</t>
  </si>
  <si>
    <t>UA6104049</t>
  </si>
  <si>
    <t>UA6106001</t>
  </si>
  <si>
    <t>Bilobozhnytska</t>
  </si>
  <si>
    <t>Білобожницька</t>
  </si>
  <si>
    <t>UA6106003</t>
  </si>
  <si>
    <t>Bilche-Zolotetska</t>
  </si>
  <si>
    <t>Більче-Золотецька</t>
  </si>
  <si>
    <t>UA6106005</t>
  </si>
  <si>
    <t>Borshchivska</t>
  </si>
  <si>
    <t>Борщівська</t>
  </si>
  <si>
    <t>UA6106007</t>
  </si>
  <si>
    <t>Buchatska</t>
  </si>
  <si>
    <t>Бучацька</t>
  </si>
  <si>
    <t>UA6106009</t>
  </si>
  <si>
    <t>Vasylkovetska</t>
  </si>
  <si>
    <t>Васильковецька</t>
  </si>
  <si>
    <t>UA6106011</t>
  </si>
  <si>
    <t>Hrymailivska</t>
  </si>
  <si>
    <t>Гримайлівська</t>
  </si>
  <si>
    <t>UA6106013</t>
  </si>
  <si>
    <t>Husiatynska</t>
  </si>
  <si>
    <t>Гусятинська</t>
  </si>
  <si>
    <t>UA6106015</t>
  </si>
  <si>
    <t>UA6106017</t>
  </si>
  <si>
    <t>Zalishchytska</t>
  </si>
  <si>
    <t>Заліщицька</t>
  </si>
  <si>
    <t>UA6106019</t>
  </si>
  <si>
    <t>Zolotopotitska</t>
  </si>
  <si>
    <t>Золотопотіцька</t>
  </si>
  <si>
    <t>UA6106021</t>
  </si>
  <si>
    <t>Ivane-Pustenska</t>
  </si>
  <si>
    <t>Іване-Пустенська</t>
  </si>
  <si>
    <t>UA6106023</t>
  </si>
  <si>
    <t>Kolyndianska</t>
  </si>
  <si>
    <t>Колиндянська</t>
  </si>
  <si>
    <t>UA6106025</t>
  </si>
  <si>
    <t>Kopychynetska</t>
  </si>
  <si>
    <t>Копичинецька</t>
  </si>
  <si>
    <t>UA6106027</t>
  </si>
  <si>
    <t>Koropetska</t>
  </si>
  <si>
    <t>Коропецька</t>
  </si>
  <si>
    <t>UA6106029</t>
  </si>
  <si>
    <t>Melnytse-Podilska</t>
  </si>
  <si>
    <t>Мельнице-Подільська</t>
  </si>
  <si>
    <t>UA6106031</t>
  </si>
  <si>
    <t>Monastyryska</t>
  </si>
  <si>
    <t>Монастириська</t>
  </si>
  <si>
    <t>UA6106033</t>
  </si>
  <si>
    <t>Nahirianska</t>
  </si>
  <si>
    <t>Нагірянська</t>
  </si>
  <si>
    <t>UA6106035</t>
  </si>
  <si>
    <t>Skala-Podilska</t>
  </si>
  <si>
    <t>Скала-Подільська</t>
  </si>
  <si>
    <t>UA6106037</t>
  </si>
  <si>
    <t>Tovstenska</t>
  </si>
  <si>
    <t>Товстенська</t>
  </si>
  <si>
    <t>UA6106039</t>
  </si>
  <si>
    <t>Trybukhivska</t>
  </si>
  <si>
    <t>Трибухівська</t>
  </si>
  <si>
    <t>UA6106041</t>
  </si>
  <si>
    <t>Khorostkivska</t>
  </si>
  <si>
    <t>Хоростківська</t>
  </si>
  <si>
    <t>UA6106043</t>
  </si>
  <si>
    <t>Chortkivska</t>
  </si>
  <si>
    <t>Чортківська</t>
  </si>
  <si>
    <t>UA6302001</t>
  </si>
  <si>
    <t>Bohodukhivska</t>
  </si>
  <si>
    <t>Богодухівська</t>
  </si>
  <si>
    <t>UA6302003</t>
  </si>
  <si>
    <t>Valkivska</t>
  </si>
  <si>
    <t>Валківська</t>
  </si>
  <si>
    <t>UA6302005</t>
  </si>
  <si>
    <t>UA6302007</t>
  </si>
  <si>
    <t>UA6302009</t>
  </si>
  <si>
    <t>Krasnokutska</t>
  </si>
  <si>
    <t>Краснокутська</t>
  </si>
  <si>
    <t>UA6304001</t>
  </si>
  <si>
    <t>Balakliiska</t>
  </si>
  <si>
    <t>Балаклійська</t>
  </si>
  <si>
    <t>UA6304003</t>
  </si>
  <si>
    <t>Barvinkivska</t>
  </si>
  <si>
    <t>Барвінківська</t>
  </si>
  <si>
    <t>UA6304005</t>
  </si>
  <si>
    <t>Borivska</t>
  </si>
  <si>
    <t>Борівська</t>
  </si>
  <si>
    <t>UA6304007</t>
  </si>
  <si>
    <t>UA6304009</t>
  </si>
  <si>
    <t>Iziumska</t>
  </si>
  <si>
    <t>Ізюмська</t>
  </si>
  <si>
    <t>UA6304011</t>
  </si>
  <si>
    <t>Kunievska</t>
  </si>
  <si>
    <t>Куньєвська</t>
  </si>
  <si>
    <t>UA6304013</t>
  </si>
  <si>
    <t>Oskilska</t>
  </si>
  <si>
    <t>Оскільська</t>
  </si>
  <si>
    <t>UA6304015</t>
  </si>
  <si>
    <t>Savynska</t>
  </si>
  <si>
    <t>Савинська</t>
  </si>
  <si>
    <t>UA6306001</t>
  </si>
  <si>
    <t>Zachepylivska</t>
  </si>
  <si>
    <t>Зачепилівська</t>
  </si>
  <si>
    <t>UA6306003</t>
  </si>
  <si>
    <t>Kehychivska</t>
  </si>
  <si>
    <t>Кегичівська</t>
  </si>
  <si>
    <t>UA6306005</t>
  </si>
  <si>
    <t>Krasnohradska</t>
  </si>
  <si>
    <t>Красноградська</t>
  </si>
  <si>
    <t>UA6306007</t>
  </si>
  <si>
    <t>Natalynska</t>
  </si>
  <si>
    <t>Наталинська</t>
  </si>
  <si>
    <t>UA6306009</t>
  </si>
  <si>
    <t>Sakhnovshchynska</t>
  </si>
  <si>
    <t>Сахновщинська</t>
  </si>
  <si>
    <t>UA6306011</t>
  </si>
  <si>
    <t>Starovirivska</t>
  </si>
  <si>
    <t>Старовірівська</t>
  </si>
  <si>
    <t>UA6308001</t>
  </si>
  <si>
    <t>Velykoburlutska</t>
  </si>
  <si>
    <t>Великобурлуцька</t>
  </si>
  <si>
    <t>UA6308003</t>
  </si>
  <si>
    <t>Vilkhuvatska</t>
  </si>
  <si>
    <t>Вільхуватська</t>
  </si>
  <si>
    <t>UA6308005</t>
  </si>
  <si>
    <t>Dvorichanska</t>
  </si>
  <si>
    <t>Дворічанська</t>
  </si>
  <si>
    <t>UA6308007</t>
  </si>
  <si>
    <t>Kindrashivska</t>
  </si>
  <si>
    <t>Кіндрашівська</t>
  </si>
  <si>
    <t>UA6308009</t>
  </si>
  <si>
    <t>Kupianska</t>
  </si>
  <si>
    <t>Куп'янська</t>
  </si>
  <si>
    <t>UA6308011</t>
  </si>
  <si>
    <t>Kurylivska</t>
  </si>
  <si>
    <t>Курилівська</t>
  </si>
  <si>
    <t>UA6308013</t>
  </si>
  <si>
    <t>UA6308015</t>
  </si>
  <si>
    <t>UA6310001</t>
  </si>
  <si>
    <t>UA6310003</t>
  </si>
  <si>
    <t>Blyzniukivska</t>
  </si>
  <si>
    <t>Близнюківська</t>
  </si>
  <si>
    <t>UA6310005</t>
  </si>
  <si>
    <t>Lozivska</t>
  </si>
  <si>
    <t>Лозівська</t>
  </si>
  <si>
    <t>UA6310007</t>
  </si>
  <si>
    <t>Oleksiivska</t>
  </si>
  <si>
    <t>Олексіївська</t>
  </si>
  <si>
    <t>UA6310009</t>
  </si>
  <si>
    <t>UA6312001</t>
  </si>
  <si>
    <t>Bezliudivska</t>
  </si>
  <si>
    <t>Безлюдівська</t>
  </si>
  <si>
    <t>UA6312003</t>
  </si>
  <si>
    <t>Vysochanska</t>
  </si>
  <si>
    <t>Височанська</t>
  </si>
  <si>
    <t>UA6312005</t>
  </si>
  <si>
    <t>Vilkhivska</t>
  </si>
  <si>
    <t>Вільхівська</t>
  </si>
  <si>
    <t>UA6312007</t>
  </si>
  <si>
    <t>Derhachivska</t>
  </si>
  <si>
    <t>Дергачівська</t>
  </si>
  <si>
    <t>UA6312009</t>
  </si>
  <si>
    <t>Lypetska</t>
  </si>
  <si>
    <t>Липецька</t>
  </si>
  <si>
    <t>UA6312011</t>
  </si>
  <si>
    <t>Liubotynska</t>
  </si>
  <si>
    <t>Люботинська</t>
  </si>
  <si>
    <t>UA6312013</t>
  </si>
  <si>
    <t>Malodanylivska</t>
  </si>
  <si>
    <t>Малоданилівська</t>
  </si>
  <si>
    <t>UA6312015</t>
  </si>
  <si>
    <t>Merefianska</t>
  </si>
  <si>
    <t>Мереф'янська</t>
  </si>
  <si>
    <t>UA6312017</t>
  </si>
  <si>
    <t>Novovodolazka</t>
  </si>
  <si>
    <t>Нововодолазька</t>
  </si>
  <si>
    <t>UA6312019</t>
  </si>
  <si>
    <t>Pivdennomiska</t>
  </si>
  <si>
    <t>Південноміська</t>
  </si>
  <si>
    <t>UA6312021</t>
  </si>
  <si>
    <t>Pisochynska</t>
  </si>
  <si>
    <t>Пісочинська</t>
  </si>
  <si>
    <t>UA6312023</t>
  </si>
  <si>
    <t>Rohanska</t>
  </si>
  <si>
    <t>Роганська</t>
  </si>
  <si>
    <t>UA6312025</t>
  </si>
  <si>
    <t>Solonytsivska</t>
  </si>
  <si>
    <t>Солоницівська</t>
  </si>
  <si>
    <t>UA6312027</t>
  </si>
  <si>
    <t>UA6312029</t>
  </si>
  <si>
    <t>Tsyrkunivska</t>
  </si>
  <si>
    <t>Циркунівська</t>
  </si>
  <si>
    <t>UA6314001</t>
  </si>
  <si>
    <t>Vovchanska</t>
  </si>
  <si>
    <t>Вовчанська</t>
  </si>
  <si>
    <t>UA6314003</t>
  </si>
  <si>
    <t>Zmiivska</t>
  </si>
  <si>
    <t>Зміївська</t>
  </si>
  <si>
    <t>UA6314005</t>
  </si>
  <si>
    <t>UA6314007</t>
  </si>
  <si>
    <t>UA6314009</t>
  </si>
  <si>
    <t>Pechenizka</t>
  </si>
  <si>
    <t>Печенізька</t>
  </si>
  <si>
    <t>UA6314011</t>
  </si>
  <si>
    <t>UA6314013</t>
  </si>
  <si>
    <t>Starosaltivska</t>
  </si>
  <si>
    <t>Старосалтівська</t>
  </si>
  <si>
    <t>UA6314015</t>
  </si>
  <si>
    <t>UA6314017</t>
  </si>
  <si>
    <t>Chuhuivska</t>
  </si>
  <si>
    <t>Чугуївська</t>
  </si>
  <si>
    <t>UA6502001</t>
  </si>
  <si>
    <t>Beryslavska</t>
  </si>
  <si>
    <t>Бериславська</t>
  </si>
  <si>
    <t>UA6502003</t>
  </si>
  <si>
    <t>Borozenska</t>
  </si>
  <si>
    <t>Борозенська</t>
  </si>
  <si>
    <t>UA6502005</t>
  </si>
  <si>
    <t>Velykooleksandrivska</t>
  </si>
  <si>
    <t>Великоолександрівська</t>
  </si>
  <si>
    <t>UA6502007</t>
  </si>
  <si>
    <t>Vysokopilska</t>
  </si>
  <si>
    <t>Високопільська</t>
  </si>
  <si>
    <t>UA6502009</t>
  </si>
  <si>
    <t>UA6502011</t>
  </si>
  <si>
    <t>Kochubeivska</t>
  </si>
  <si>
    <t>Кочубеївська</t>
  </si>
  <si>
    <t>UA6502013</t>
  </si>
  <si>
    <t>Mylivska</t>
  </si>
  <si>
    <t>Милівська</t>
  </si>
  <si>
    <t>UA6502015</t>
  </si>
  <si>
    <t>Novovorontsovska</t>
  </si>
  <si>
    <t>Нововоронцовська</t>
  </si>
  <si>
    <t>UA6502017</t>
  </si>
  <si>
    <t>UA6502019</t>
  </si>
  <si>
    <t>Novoraiska</t>
  </si>
  <si>
    <t>Новорайська</t>
  </si>
  <si>
    <t>UA6502021</t>
  </si>
  <si>
    <t>Tiahynska</t>
  </si>
  <si>
    <t>Тягинська</t>
  </si>
  <si>
    <t>UA6504001</t>
  </si>
  <si>
    <t>Henicheska</t>
  </si>
  <si>
    <t>Генічеська</t>
  </si>
  <si>
    <t>UA6504003</t>
  </si>
  <si>
    <t>UA6504005</t>
  </si>
  <si>
    <t>Nyzhnosirohozka</t>
  </si>
  <si>
    <t>Нижньосірогозька</t>
  </si>
  <si>
    <t>UA6504007</t>
  </si>
  <si>
    <t>Novotroitska</t>
  </si>
  <si>
    <t>Новотроїцька</t>
  </si>
  <si>
    <t>UA6506001</t>
  </si>
  <si>
    <t>Askaniia-Nova</t>
  </si>
  <si>
    <t>Асканія-Нова</t>
  </si>
  <si>
    <t>UA6506003</t>
  </si>
  <si>
    <t>Velykolepetyska</t>
  </si>
  <si>
    <t>Великолепетиська</t>
  </si>
  <si>
    <t>UA6506005</t>
  </si>
  <si>
    <t>Verkhnorohachytska</t>
  </si>
  <si>
    <t>Верхньорогачицька</t>
  </si>
  <si>
    <t>UA6506007</t>
  </si>
  <si>
    <t>Hornostaivska</t>
  </si>
  <si>
    <t>Горностаївська</t>
  </si>
  <si>
    <t>UA6506009</t>
  </si>
  <si>
    <t>Zelenopidska</t>
  </si>
  <si>
    <t>Зеленопідська</t>
  </si>
  <si>
    <t>UA6506011</t>
  </si>
  <si>
    <t>Kakhovska</t>
  </si>
  <si>
    <t>Каховська</t>
  </si>
  <si>
    <t>UA6506013</t>
  </si>
  <si>
    <t>UA6506015</t>
  </si>
  <si>
    <t>UA6506017</t>
  </si>
  <si>
    <t>Novokakhovska</t>
  </si>
  <si>
    <t>Новокаховська</t>
  </si>
  <si>
    <t>UA6506019</t>
  </si>
  <si>
    <t>Prysyvaska</t>
  </si>
  <si>
    <t>Присиваська</t>
  </si>
  <si>
    <t>UA6506021</t>
  </si>
  <si>
    <t>Rubanivska</t>
  </si>
  <si>
    <t>Рубанівська</t>
  </si>
  <si>
    <t>UA6506023</t>
  </si>
  <si>
    <t>Tavrychanska</t>
  </si>
  <si>
    <t>Тавричанська</t>
  </si>
  <si>
    <t>UA6506025</t>
  </si>
  <si>
    <t>UA6506027</t>
  </si>
  <si>
    <t>UA6506029</t>
  </si>
  <si>
    <t>Chaplynska</t>
  </si>
  <si>
    <t>Чаплинська</t>
  </si>
  <si>
    <t>UA6508001</t>
  </si>
  <si>
    <t>Bekhterska</t>
  </si>
  <si>
    <t>Бехтерська</t>
  </si>
  <si>
    <t>UA6508003</t>
  </si>
  <si>
    <t>Holoprystanska</t>
  </si>
  <si>
    <t>Голопристанська</t>
  </si>
  <si>
    <t>UA6508005</t>
  </si>
  <si>
    <t>Dolmativska</t>
  </si>
  <si>
    <t>Долматівська</t>
  </si>
  <si>
    <t>UA6508007</t>
  </si>
  <si>
    <t>Kalanchatska</t>
  </si>
  <si>
    <t>Каланчацька</t>
  </si>
  <si>
    <t>UA6508009</t>
  </si>
  <si>
    <t>Lazurnenska</t>
  </si>
  <si>
    <t>Лазурненська</t>
  </si>
  <si>
    <t>UA6508011</t>
  </si>
  <si>
    <t>UA6508013</t>
  </si>
  <si>
    <t>UA6508015</t>
  </si>
  <si>
    <t>Skadovska</t>
  </si>
  <si>
    <t>Скадовська</t>
  </si>
  <si>
    <t>UA6508017</t>
  </si>
  <si>
    <t>Chulakivska</t>
  </si>
  <si>
    <t>Чулаківська</t>
  </si>
  <si>
    <t>UA6510001</t>
  </si>
  <si>
    <t>UA6510003</t>
  </si>
  <si>
    <t>Velykokopanivska</t>
  </si>
  <si>
    <t>Великокопанівська</t>
  </si>
  <si>
    <t>UA6510005</t>
  </si>
  <si>
    <t>UA6510007</t>
  </si>
  <si>
    <t>Darivska</t>
  </si>
  <si>
    <t>Дар'ївська</t>
  </si>
  <si>
    <t>UA6510009</t>
  </si>
  <si>
    <t>Muzykivska</t>
  </si>
  <si>
    <t>Музиківська</t>
  </si>
  <si>
    <t>UA6510011</t>
  </si>
  <si>
    <t>Oleshkivska</t>
  </si>
  <si>
    <t>Олешківська</t>
  </si>
  <si>
    <t>UA6510013</t>
  </si>
  <si>
    <t>Stanislavska</t>
  </si>
  <si>
    <t>Станіславська</t>
  </si>
  <si>
    <t>UA6510015</t>
  </si>
  <si>
    <t>UA6510017</t>
  </si>
  <si>
    <t>Chornobaivska</t>
  </si>
  <si>
    <t>Чорнобаївська</t>
  </si>
  <si>
    <t>UA6510019</t>
  </si>
  <si>
    <t>Yuvileina</t>
  </si>
  <si>
    <t>Ювілейна</t>
  </si>
  <si>
    <t>UA6802001</t>
  </si>
  <si>
    <t>Hukivska</t>
  </si>
  <si>
    <t>Гуківська</t>
  </si>
  <si>
    <t>UA6802003</t>
  </si>
  <si>
    <t>Humenetska</t>
  </si>
  <si>
    <t>Гуменецька</t>
  </si>
  <si>
    <t>UA6802005</t>
  </si>
  <si>
    <t>Dunaievetska</t>
  </si>
  <si>
    <t>Дунаєвецька</t>
  </si>
  <si>
    <t>UA6802007</t>
  </si>
  <si>
    <t>Zhvanetska</t>
  </si>
  <si>
    <t>Жванецька</t>
  </si>
  <si>
    <t>UA6802009</t>
  </si>
  <si>
    <t>Zakupnenska</t>
  </si>
  <si>
    <t>Закупненська</t>
  </si>
  <si>
    <t>UA6802011</t>
  </si>
  <si>
    <t>Kamianets-Podilska</t>
  </si>
  <si>
    <t>Кам'янець-Подільська</t>
  </si>
  <si>
    <t>UA6802013</t>
  </si>
  <si>
    <t>UA6802015</t>
  </si>
  <si>
    <t>Makivska</t>
  </si>
  <si>
    <t>Маківська</t>
  </si>
  <si>
    <t>UA6802017</t>
  </si>
  <si>
    <t>Novounaievetska</t>
  </si>
  <si>
    <t>Новодунаєвецька</t>
  </si>
  <si>
    <t>UA6802019</t>
  </si>
  <si>
    <t>Novoushytska</t>
  </si>
  <si>
    <t>Новоушицька</t>
  </si>
  <si>
    <t>UA6802021</t>
  </si>
  <si>
    <t>Orynynska</t>
  </si>
  <si>
    <t>Орининська</t>
  </si>
  <si>
    <t>UA6802023</t>
  </si>
  <si>
    <t>Slobidsko-Kulchiievetska</t>
  </si>
  <si>
    <t>Слобідсько-Кульчієвецька</t>
  </si>
  <si>
    <t>UA6802025</t>
  </si>
  <si>
    <t>Smotrytska</t>
  </si>
  <si>
    <t>Смотрицька</t>
  </si>
  <si>
    <t>UA6802027</t>
  </si>
  <si>
    <t>Staroushytska</t>
  </si>
  <si>
    <t>Староушицька</t>
  </si>
  <si>
    <t>UA6802029</t>
  </si>
  <si>
    <t>Chemerovetska</t>
  </si>
  <si>
    <t>Чемеровецька</t>
  </si>
  <si>
    <t>UA6804001</t>
  </si>
  <si>
    <t>Antoninska</t>
  </si>
  <si>
    <t>Антонінська</t>
  </si>
  <si>
    <t>UA6804003</t>
  </si>
  <si>
    <t>Viitovetska</t>
  </si>
  <si>
    <t>Війтовецька</t>
  </si>
  <si>
    <t>UA6804005</t>
  </si>
  <si>
    <t>Vinkovetska</t>
  </si>
  <si>
    <t>Віньковецька</t>
  </si>
  <si>
    <t>UA6804007</t>
  </si>
  <si>
    <t>Vovkovynetska</t>
  </si>
  <si>
    <t>Вовковинецька</t>
  </si>
  <si>
    <t>UA6804009</t>
  </si>
  <si>
    <t>Volochyska</t>
  </si>
  <si>
    <t>Волочиська</t>
  </si>
  <si>
    <t>UA6804011</t>
  </si>
  <si>
    <t>Hvardiiska</t>
  </si>
  <si>
    <t>Гвардійська</t>
  </si>
  <si>
    <t>UA6804013</t>
  </si>
  <si>
    <t>UA6804015</t>
  </si>
  <si>
    <t>Derazhnianska</t>
  </si>
  <si>
    <t>Деражнянська</t>
  </si>
  <si>
    <t>UA6804017</t>
  </si>
  <si>
    <t>Zasluchnenska</t>
  </si>
  <si>
    <t>Заслучненська</t>
  </si>
  <si>
    <t>UA6804019</t>
  </si>
  <si>
    <t>UA6804021</t>
  </si>
  <si>
    <t>Krasylivska</t>
  </si>
  <si>
    <t>Красилівська</t>
  </si>
  <si>
    <t>UA6804023</t>
  </si>
  <si>
    <t>Letychivska</t>
  </si>
  <si>
    <t>Летичівська</t>
  </si>
  <si>
    <t>UA6804025</t>
  </si>
  <si>
    <t>Lisovohrynivetska</t>
  </si>
  <si>
    <t>Лісовогринівецька</t>
  </si>
  <si>
    <t>UA6804027</t>
  </si>
  <si>
    <t>Medzhybizka</t>
  </si>
  <si>
    <t>Меджибізька</t>
  </si>
  <si>
    <t>UA6804029</t>
  </si>
  <si>
    <t>Myroliubnenska</t>
  </si>
  <si>
    <t>Миролюбненська</t>
  </si>
  <si>
    <t>UA6804031</t>
  </si>
  <si>
    <t>Narkevytska</t>
  </si>
  <si>
    <t>Наркевицька</t>
  </si>
  <si>
    <t>UA6804033</t>
  </si>
  <si>
    <t>Rozsoshanska</t>
  </si>
  <si>
    <t>Розсошанська</t>
  </si>
  <si>
    <t>UA6804035</t>
  </si>
  <si>
    <t>Satanivska</t>
  </si>
  <si>
    <t>Сатанівська</t>
  </si>
  <si>
    <t>UA6804037</t>
  </si>
  <si>
    <t>Solobkovetska</t>
  </si>
  <si>
    <t>Солобковецька</t>
  </si>
  <si>
    <t>UA6804039</t>
  </si>
  <si>
    <t>Starokostiantynivska</t>
  </si>
  <si>
    <t>Старокостянтинівська</t>
  </si>
  <si>
    <t>UA6804041</t>
  </si>
  <si>
    <t>Staroostropilska</t>
  </si>
  <si>
    <t>Староостропільська</t>
  </si>
  <si>
    <t>UA6804043</t>
  </si>
  <si>
    <t>Starosyniavska</t>
  </si>
  <si>
    <t>Старосинявська</t>
  </si>
  <si>
    <t>UA6804045</t>
  </si>
  <si>
    <t>Teofipolska</t>
  </si>
  <si>
    <t>Теофіпольська</t>
  </si>
  <si>
    <t>UA6804047</t>
  </si>
  <si>
    <t>UA6804049</t>
  </si>
  <si>
    <t>Chornoostrivska</t>
  </si>
  <si>
    <t>Чорноострівська</t>
  </si>
  <si>
    <t>UA6804051</t>
  </si>
  <si>
    <t>Shchyborivska</t>
  </si>
  <si>
    <t>Щиборівська</t>
  </si>
  <si>
    <t>UA6804053</t>
  </si>
  <si>
    <t>Yarmolynetska</t>
  </si>
  <si>
    <t>Ярмолинецька</t>
  </si>
  <si>
    <t>UA6806001</t>
  </si>
  <si>
    <t>Berezdivska</t>
  </si>
  <si>
    <t>Берездівська</t>
  </si>
  <si>
    <t>UA6806003</t>
  </si>
  <si>
    <t>Bilohirska</t>
  </si>
  <si>
    <t>Білогірська</t>
  </si>
  <si>
    <t>UA6806005</t>
  </si>
  <si>
    <t>Hannopilska</t>
  </si>
  <si>
    <t>Ганнопільська</t>
  </si>
  <si>
    <t>UA6806007</t>
  </si>
  <si>
    <t>Hrytsivska</t>
  </si>
  <si>
    <t>Грицівська</t>
  </si>
  <si>
    <t>UA6806009</t>
  </si>
  <si>
    <t>Iziaslavska</t>
  </si>
  <si>
    <t>Ізяславська</t>
  </si>
  <si>
    <t>UA6806011</t>
  </si>
  <si>
    <t>UA6806013</t>
  </si>
  <si>
    <t>Lenkovetska</t>
  </si>
  <si>
    <t>Ленковецька</t>
  </si>
  <si>
    <t>UA6806015</t>
  </si>
  <si>
    <t>Mykhailiutska</t>
  </si>
  <si>
    <t>Михайлюцька</t>
  </si>
  <si>
    <t>UA6806017</t>
  </si>
  <si>
    <t>Netishynska</t>
  </si>
  <si>
    <t>Нетішинська</t>
  </si>
  <si>
    <t>UA6806019</t>
  </si>
  <si>
    <t>Pluzhnenska</t>
  </si>
  <si>
    <t>Плужненська</t>
  </si>
  <si>
    <t>UA6806021</t>
  </si>
  <si>
    <t>Polonska</t>
  </si>
  <si>
    <t>Полонська</t>
  </si>
  <si>
    <t>UA6806023</t>
  </si>
  <si>
    <t>Poninkivska</t>
  </si>
  <si>
    <t>Понінківська</t>
  </si>
  <si>
    <t>UA6806025</t>
  </si>
  <si>
    <t>Sakhnovetska</t>
  </si>
  <si>
    <t>Сахновецька</t>
  </si>
  <si>
    <t>UA6806027</t>
  </si>
  <si>
    <t>Slavutska</t>
  </si>
  <si>
    <t>Славутська</t>
  </si>
  <si>
    <t>UA6806029</t>
  </si>
  <si>
    <t>Sudylkivska</t>
  </si>
  <si>
    <t>Судилківська</t>
  </si>
  <si>
    <t>UA6806031</t>
  </si>
  <si>
    <t>Ulashanivska</t>
  </si>
  <si>
    <t>Улашанівська</t>
  </si>
  <si>
    <t>UA6806033</t>
  </si>
  <si>
    <t>Shepetivska</t>
  </si>
  <si>
    <t>Шепетівська</t>
  </si>
  <si>
    <t>UA6806035</t>
  </si>
  <si>
    <t>UA7102001</t>
  </si>
  <si>
    <t>Buzhanska</t>
  </si>
  <si>
    <t>Бужанська</t>
  </si>
  <si>
    <t>UA7102003</t>
  </si>
  <si>
    <t>Vatutinska</t>
  </si>
  <si>
    <t>Ватутінська</t>
  </si>
  <si>
    <t>UA7102005</t>
  </si>
  <si>
    <t>Vynohradska</t>
  </si>
  <si>
    <t>Виноградська</t>
  </si>
  <si>
    <t>UA7102007</t>
  </si>
  <si>
    <t>UA7102009</t>
  </si>
  <si>
    <t>Vodianytska</t>
  </si>
  <si>
    <t>Водяницька</t>
  </si>
  <si>
    <t>UA7102011</t>
  </si>
  <si>
    <t>Yerkivska</t>
  </si>
  <si>
    <t>Єрківська</t>
  </si>
  <si>
    <t>UA7102013</t>
  </si>
  <si>
    <t>Zvenyhorodska</t>
  </si>
  <si>
    <t>Звенигородська</t>
  </si>
  <si>
    <t>UA7102015</t>
  </si>
  <si>
    <t>Katerynopilska</t>
  </si>
  <si>
    <t>Катеринопільська</t>
  </si>
  <si>
    <t>UA7102017</t>
  </si>
  <si>
    <t>Lypianska</t>
  </si>
  <si>
    <t>Лип'янська</t>
  </si>
  <si>
    <t>UA7102019</t>
  </si>
  <si>
    <t>Lysianska</t>
  </si>
  <si>
    <t>Лисянська</t>
  </si>
  <si>
    <t>UA7102021</t>
  </si>
  <si>
    <t>Matusivska</t>
  </si>
  <si>
    <t>Матусівська</t>
  </si>
  <si>
    <t>UA7102023</t>
  </si>
  <si>
    <t>Mokrokalyhirska</t>
  </si>
  <si>
    <t>Мокрокалигірська</t>
  </si>
  <si>
    <t>UA7102025</t>
  </si>
  <si>
    <t>Selyshchenska</t>
  </si>
  <si>
    <t>Селищенська</t>
  </si>
  <si>
    <t>UA7102027</t>
  </si>
  <si>
    <t>Steblivska</t>
  </si>
  <si>
    <t>Стеблівська</t>
  </si>
  <si>
    <t>UA7102029</t>
  </si>
  <si>
    <t>Talnivska</t>
  </si>
  <si>
    <t>Тальнівська</t>
  </si>
  <si>
    <t>UA7102031</t>
  </si>
  <si>
    <t>UA7102033</t>
  </si>
  <si>
    <t>Shpolianska</t>
  </si>
  <si>
    <t>Шполянська</t>
  </si>
  <si>
    <t>UA7104001</t>
  </si>
  <si>
    <t>Velykokhutirska</t>
  </si>
  <si>
    <t>Великохутірська</t>
  </si>
  <si>
    <t>UA7104003</t>
  </si>
  <si>
    <t>UA7104005</t>
  </si>
  <si>
    <t>Helmiazivska</t>
  </si>
  <si>
    <t>Гельмязівська</t>
  </si>
  <si>
    <t>UA7104007</t>
  </si>
  <si>
    <t>Drabivska</t>
  </si>
  <si>
    <t>Драбівська</t>
  </si>
  <si>
    <t>UA7104009</t>
  </si>
  <si>
    <t>Zolotoniska</t>
  </si>
  <si>
    <t>Золотоніська</t>
  </si>
  <si>
    <t>UA7104011</t>
  </si>
  <si>
    <t>Zorivska</t>
  </si>
  <si>
    <t>Зорівська</t>
  </si>
  <si>
    <t>UA7104013</t>
  </si>
  <si>
    <t>Irkliivska</t>
  </si>
  <si>
    <t>Іркліївська</t>
  </si>
  <si>
    <t>UA7104015</t>
  </si>
  <si>
    <t>Novodmytrivska</t>
  </si>
  <si>
    <t>Новодмитрівська</t>
  </si>
  <si>
    <t>UA7104017</t>
  </si>
  <si>
    <t>UA7104019</t>
  </si>
  <si>
    <t>UA7104021</t>
  </si>
  <si>
    <t>Shramkivska</t>
  </si>
  <si>
    <t>Шрамківська</t>
  </si>
  <si>
    <t>UA7106001</t>
  </si>
  <si>
    <t>Babanska</t>
  </si>
  <si>
    <t>Бабанська</t>
  </si>
  <si>
    <t>UA7106003</t>
  </si>
  <si>
    <t>Bashtechkivska</t>
  </si>
  <si>
    <t>Баштечківська</t>
  </si>
  <si>
    <t>UA7106005</t>
  </si>
  <si>
    <t>Butska</t>
  </si>
  <si>
    <t>Буцька</t>
  </si>
  <si>
    <t>UA7106007</t>
  </si>
  <si>
    <t>Dmytrushkivska</t>
  </si>
  <si>
    <t>Дмитрушківська</t>
  </si>
  <si>
    <t>UA7106009</t>
  </si>
  <si>
    <t>Zhashkivska</t>
  </si>
  <si>
    <t>Жашківська</t>
  </si>
  <si>
    <t>UA7106011</t>
  </si>
  <si>
    <t>Іваньківська</t>
  </si>
  <si>
    <t>UA7106013</t>
  </si>
  <si>
    <t>UA7106015</t>
  </si>
  <si>
    <t>Mankivska</t>
  </si>
  <si>
    <t>Маньківська</t>
  </si>
  <si>
    <t>UA7106017</t>
  </si>
  <si>
    <t>Monastyryshchenska</t>
  </si>
  <si>
    <t>Монастирищенська</t>
  </si>
  <si>
    <t>UA7106019</t>
  </si>
  <si>
    <t>Palanska</t>
  </si>
  <si>
    <t>Паланська</t>
  </si>
  <si>
    <t>UA7106021</t>
  </si>
  <si>
    <t>Umanska</t>
  </si>
  <si>
    <t>Уманська</t>
  </si>
  <si>
    <t>UA7106023</t>
  </si>
  <si>
    <t>Khrystynivska</t>
  </si>
  <si>
    <t>Христинівська</t>
  </si>
  <si>
    <t>UA7108001</t>
  </si>
  <si>
    <t>Balakleivska</t>
  </si>
  <si>
    <t>Балаклеївська</t>
  </si>
  <si>
    <t>UA7108003</t>
  </si>
  <si>
    <t>Berezniakivska</t>
  </si>
  <si>
    <t>Березняківська</t>
  </si>
  <si>
    <t>UA7108005</t>
  </si>
  <si>
    <t>Bilozirska</t>
  </si>
  <si>
    <t>Білозірська</t>
  </si>
  <si>
    <t>UA7108007</t>
  </si>
  <si>
    <t>Bobrytska</t>
  </si>
  <si>
    <t>Бобрицька</t>
  </si>
  <si>
    <t>UA7108009</t>
  </si>
  <si>
    <t>Budyshchenska</t>
  </si>
  <si>
    <t>Будищенська</t>
  </si>
  <si>
    <t>UA7108011</t>
  </si>
  <si>
    <t>UA7108013</t>
  </si>
  <si>
    <t>UA7108015</t>
  </si>
  <si>
    <t>Kanivska</t>
  </si>
  <si>
    <t>Канівська</t>
  </si>
  <si>
    <t>UA7108017</t>
  </si>
  <si>
    <t>Korsun-Shevchenkivska</t>
  </si>
  <si>
    <t>Корсунь-Шевченківська</t>
  </si>
  <si>
    <t>UA7108019</t>
  </si>
  <si>
    <t>Leskivska</t>
  </si>
  <si>
    <t>Леськівська</t>
  </si>
  <si>
    <t>UA7108021</t>
  </si>
  <si>
    <t>Lipliavska</t>
  </si>
  <si>
    <t>Ліплявська</t>
  </si>
  <si>
    <t>UA7108023</t>
  </si>
  <si>
    <t>Medvedivska</t>
  </si>
  <si>
    <t>Медведівська</t>
  </si>
  <si>
    <t>UA7108025</t>
  </si>
  <si>
    <t>UA7108027</t>
  </si>
  <si>
    <t>Mliivska</t>
  </si>
  <si>
    <t>Мліївська</t>
  </si>
  <si>
    <t>UA7108029</t>
  </si>
  <si>
    <t>Moshnivska</t>
  </si>
  <si>
    <t>Мошнівська</t>
  </si>
  <si>
    <t>UA7108031</t>
  </si>
  <si>
    <t>Nabutivska</t>
  </si>
  <si>
    <t>Набутівська</t>
  </si>
  <si>
    <t>UA7108033</t>
  </si>
  <si>
    <t>Rotmistrivska</t>
  </si>
  <si>
    <t>Ротмістрівська</t>
  </si>
  <si>
    <t>UA7108035</t>
  </si>
  <si>
    <t>Ruskopolianska</t>
  </si>
  <si>
    <t>Руськополянська</t>
  </si>
  <si>
    <t>UA7108037</t>
  </si>
  <si>
    <t>Sahunivska</t>
  </si>
  <si>
    <t>Сагунівська</t>
  </si>
  <si>
    <t>UA7108039</t>
  </si>
  <si>
    <t>Smilianska</t>
  </si>
  <si>
    <t>Смілянська</t>
  </si>
  <si>
    <t>UA7108041</t>
  </si>
  <si>
    <t>Stepanetska</t>
  </si>
  <si>
    <t>Степанецька</t>
  </si>
  <si>
    <t>UA7108043</t>
  </si>
  <si>
    <t>Stepankivska</t>
  </si>
  <si>
    <t>Степанківська</t>
  </si>
  <si>
    <t>UA7108045</t>
  </si>
  <si>
    <t>UA7108047</t>
  </si>
  <si>
    <t>Chervonoslobidska</t>
  </si>
  <si>
    <t>Червонослобідська</t>
  </si>
  <si>
    <t>UA7108049</t>
  </si>
  <si>
    <t>UA7108051</t>
  </si>
  <si>
    <t>Chyhyrynska</t>
  </si>
  <si>
    <t>Чигиринська</t>
  </si>
  <si>
    <t>UA7302001</t>
  </si>
  <si>
    <t>Banylivska</t>
  </si>
  <si>
    <t>Банилівська</t>
  </si>
  <si>
    <t>UA7302003</t>
  </si>
  <si>
    <t>Berehometska</t>
  </si>
  <si>
    <t>Берегометська</t>
  </si>
  <si>
    <t>UA7302005</t>
  </si>
  <si>
    <t>Brusnytska</t>
  </si>
  <si>
    <t>Брусницька</t>
  </si>
  <si>
    <t>UA7302007</t>
  </si>
  <si>
    <t>Vashkivetska</t>
  </si>
  <si>
    <t>Вашківецька</t>
  </si>
  <si>
    <t>UA7302009</t>
  </si>
  <si>
    <t>Vyzhnytska</t>
  </si>
  <si>
    <t>Вижницька</t>
  </si>
  <si>
    <t>UA7302011</t>
  </si>
  <si>
    <t>Koniatynska</t>
  </si>
  <si>
    <t>Конятинська</t>
  </si>
  <si>
    <t>UA7302013</t>
  </si>
  <si>
    <t>Putylska</t>
  </si>
  <si>
    <t>Путильська</t>
  </si>
  <si>
    <t>UA7302015</t>
  </si>
  <si>
    <t>Seliatynska</t>
  </si>
  <si>
    <t>Селятинська</t>
  </si>
  <si>
    <t>UA7302017</t>
  </si>
  <si>
    <t>Ust-Putylska</t>
  </si>
  <si>
    <t>Усть-Путильська</t>
  </si>
  <si>
    <t>UA7304001</t>
  </si>
  <si>
    <t>Vashkovetska</t>
  </si>
  <si>
    <t>Вашковецька</t>
  </si>
  <si>
    <t>UA7304003</t>
  </si>
  <si>
    <t>Kelmenetska</t>
  </si>
  <si>
    <t>Кельменецька</t>
  </si>
  <si>
    <t>UA7304005</t>
  </si>
  <si>
    <t>Klishkovetska</t>
  </si>
  <si>
    <t>Клішковецька</t>
  </si>
  <si>
    <t>UA7304007</t>
  </si>
  <si>
    <t>Livynetska</t>
  </si>
  <si>
    <t>Лівинецька</t>
  </si>
  <si>
    <t>UA7304009</t>
  </si>
  <si>
    <t>Mamalyhivska</t>
  </si>
  <si>
    <t>Мамалигівська</t>
  </si>
  <si>
    <t>UA7304011</t>
  </si>
  <si>
    <t>Nedoboivska</t>
  </si>
  <si>
    <t>Недобоївська</t>
  </si>
  <si>
    <t>UA7304013</t>
  </si>
  <si>
    <t>Novodnistrovska</t>
  </si>
  <si>
    <t>Новодністровська</t>
  </si>
  <si>
    <t>UA7304015</t>
  </si>
  <si>
    <t>Rukshynska</t>
  </si>
  <si>
    <t>Рукшинська</t>
  </si>
  <si>
    <t>UA7304017</t>
  </si>
  <si>
    <t>Sokyrianska</t>
  </si>
  <si>
    <t>Сокирянська</t>
  </si>
  <si>
    <t>UA7304019</t>
  </si>
  <si>
    <t>Khotynska</t>
  </si>
  <si>
    <t>Хотинська</t>
  </si>
  <si>
    <t>UA7306001</t>
  </si>
  <si>
    <t>Boianska</t>
  </si>
  <si>
    <t>Боянська</t>
  </si>
  <si>
    <t>UA7306003</t>
  </si>
  <si>
    <t>Vanchykovetska</t>
  </si>
  <si>
    <t>Ванчиковецька</t>
  </si>
  <si>
    <t>UA7306005</t>
  </si>
  <si>
    <t>Velykokuchurivska</t>
  </si>
  <si>
    <t>Великокучурівська</t>
  </si>
  <si>
    <t>UA7306007</t>
  </si>
  <si>
    <t>Verenchanska</t>
  </si>
  <si>
    <t>Веренчанська</t>
  </si>
  <si>
    <t>UA7306009</t>
  </si>
  <si>
    <t>Viknianska</t>
  </si>
  <si>
    <t>Вікнянська</t>
  </si>
  <si>
    <t>UA7306011</t>
  </si>
  <si>
    <t>Volokivska</t>
  </si>
  <si>
    <t>Волоківська</t>
  </si>
  <si>
    <t>UA7306013</t>
  </si>
  <si>
    <t>Hertsaivska</t>
  </si>
  <si>
    <t>Герцаївська</t>
  </si>
  <si>
    <t>UA7306015</t>
  </si>
  <si>
    <t>Hlybotska</t>
  </si>
  <si>
    <t>Глибоцька</t>
  </si>
  <si>
    <t>UA7306017</t>
  </si>
  <si>
    <t>Horishnosherovetska</t>
  </si>
  <si>
    <t>Горішньошеровецька</t>
  </si>
  <si>
    <t>UA7306019</t>
  </si>
  <si>
    <t>Zastavnivska</t>
  </si>
  <si>
    <t>Заставнівська</t>
  </si>
  <si>
    <t>UA7306021</t>
  </si>
  <si>
    <t>Kadubovetska</t>
  </si>
  <si>
    <t>Кадубовецька</t>
  </si>
  <si>
    <t>UA7306023</t>
  </si>
  <si>
    <t>Kamianetska</t>
  </si>
  <si>
    <t>Кам'янецька</t>
  </si>
  <si>
    <t>UA7306025</t>
  </si>
  <si>
    <t>UA7306027</t>
  </si>
  <si>
    <t>Karapchivska</t>
  </si>
  <si>
    <t>Карапчівська</t>
  </si>
  <si>
    <t>UA7306029</t>
  </si>
  <si>
    <t>Kitsmanska</t>
  </si>
  <si>
    <t>Кіцманська</t>
  </si>
  <si>
    <t>UA7306031</t>
  </si>
  <si>
    <t>Kostryzhivska</t>
  </si>
  <si>
    <t>Кострижівська</t>
  </si>
  <si>
    <t>UA7306033</t>
  </si>
  <si>
    <t>Krasnoilska</t>
  </si>
  <si>
    <t>Красноїльська</t>
  </si>
  <si>
    <t>UA7306035</t>
  </si>
  <si>
    <t>Mahalska</t>
  </si>
  <si>
    <t>Магальська</t>
  </si>
  <si>
    <t>UA7306037</t>
  </si>
  <si>
    <t>Mamaivska</t>
  </si>
  <si>
    <t>Мамаївська</t>
  </si>
  <si>
    <t>UA7306039</t>
  </si>
  <si>
    <t>Nepolokovetska</t>
  </si>
  <si>
    <t>Неполоковецька</t>
  </si>
  <si>
    <t>UA7306041</t>
  </si>
  <si>
    <t>Novoselytska</t>
  </si>
  <si>
    <t>Новоселицька</t>
  </si>
  <si>
    <t>UA7306043</t>
  </si>
  <si>
    <t>Ostrytska</t>
  </si>
  <si>
    <t>Острицька</t>
  </si>
  <si>
    <t>UA7306045</t>
  </si>
  <si>
    <t>Petrovetska</t>
  </si>
  <si>
    <t>Петровецька</t>
  </si>
  <si>
    <t>UA7306047</t>
  </si>
  <si>
    <t>Stavchanska</t>
  </si>
  <si>
    <t>Ставчанська</t>
  </si>
  <si>
    <t>UA7306049</t>
  </si>
  <si>
    <t>Storozhynetska</t>
  </si>
  <si>
    <t>Сторожинецька</t>
  </si>
  <si>
    <t>UA7306051</t>
  </si>
  <si>
    <t>Suchevenska</t>
  </si>
  <si>
    <t>Сучевенська</t>
  </si>
  <si>
    <t>UA7306053</t>
  </si>
  <si>
    <t>Tarashanska</t>
  </si>
  <si>
    <t>Тарашанська</t>
  </si>
  <si>
    <t>UA7306055</t>
  </si>
  <si>
    <t>Tereblechenska</t>
  </si>
  <si>
    <t>Тереблеченська</t>
  </si>
  <si>
    <t>UA7306057</t>
  </si>
  <si>
    <t>Toporivska</t>
  </si>
  <si>
    <t>Топорівська</t>
  </si>
  <si>
    <t>UA7306059</t>
  </si>
  <si>
    <t>Chahorska</t>
  </si>
  <si>
    <t>Чагорська</t>
  </si>
  <si>
    <t>UA7306061</t>
  </si>
  <si>
    <t>UA7306063</t>
  </si>
  <si>
    <t>Chudeiska</t>
  </si>
  <si>
    <t>Чудейська</t>
  </si>
  <si>
    <t>UA7306065</t>
  </si>
  <si>
    <t>Yurkovetska</t>
  </si>
  <si>
    <t>Юрковецька</t>
  </si>
  <si>
    <t>UA7402001</t>
  </si>
  <si>
    <t>Koriukivska</t>
  </si>
  <si>
    <t>Корюківська</t>
  </si>
  <si>
    <t>UA7402003</t>
  </si>
  <si>
    <t>Menska</t>
  </si>
  <si>
    <t>Менська</t>
  </si>
  <si>
    <t>UA7402005</t>
  </si>
  <si>
    <t>Snovska</t>
  </si>
  <si>
    <t>Сновська</t>
  </si>
  <si>
    <t>UA7402007</t>
  </si>
  <si>
    <t>Sosnytska</t>
  </si>
  <si>
    <t>Сосницька</t>
  </si>
  <si>
    <t>UA7402009</t>
  </si>
  <si>
    <t>Kholmynska</t>
  </si>
  <si>
    <t>Холминська</t>
  </si>
  <si>
    <t>UA7404001</t>
  </si>
  <si>
    <t>Baturynska</t>
  </si>
  <si>
    <t>Батуринська</t>
  </si>
  <si>
    <t>UA7404003</t>
  </si>
  <si>
    <t>Bakhmatska</t>
  </si>
  <si>
    <t>Бахмацька</t>
  </si>
  <si>
    <t>UA7404005</t>
  </si>
  <si>
    <t>Bobrovytska</t>
  </si>
  <si>
    <t>Бобровицька</t>
  </si>
  <si>
    <t>UA7404007</t>
  </si>
  <si>
    <t>Borznianska</t>
  </si>
  <si>
    <t>Борзнянська</t>
  </si>
  <si>
    <t>UA7404009</t>
  </si>
  <si>
    <t>Vertiivska</t>
  </si>
  <si>
    <t>Вертіївська</t>
  </si>
  <si>
    <t>UA7404011</t>
  </si>
  <si>
    <t>UA7404013</t>
  </si>
  <si>
    <t>UA7404015</t>
  </si>
  <si>
    <t>Komarivska</t>
  </si>
  <si>
    <t>Комарівська</t>
  </si>
  <si>
    <t>UA7404017</t>
  </si>
  <si>
    <t>Krutivska</t>
  </si>
  <si>
    <t>Крутівська</t>
  </si>
  <si>
    <t>UA7404019</t>
  </si>
  <si>
    <t>Losynivska</t>
  </si>
  <si>
    <t>Лосинівська</t>
  </si>
  <si>
    <t>UA7404021</t>
  </si>
  <si>
    <t>UA7404023</t>
  </si>
  <si>
    <t>Mrynska</t>
  </si>
  <si>
    <t>Мринська</t>
  </si>
  <si>
    <t>UA7404025</t>
  </si>
  <si>
    <t>Nizhynska</t>
  </si>
  <si>
    <t>Ніжинська</t>
  </si>
  <si>
    <t>UA7404027</t>
  </si>
  <si>
    <t>Novobasanska</t>
  </si>
  <si>
    <t>Новобасанська</t>
  </si>
  <si>
    <t>UA7404029</t>
  </si>
  <si>
    <t>Nosivska</t>
  </si>
  <si>
    <t>Носівська</t>
  </si>
  <si>
    <t>UA7404031</t>
  </si>
  <si>
    <t>Plyskivska</t>
  </si>
  <si>
    <t>Плисківська</t>
  </si>
  <si>
    <t>UA7404033</t>
  </si>
  <si>
    <t>Talalaivska</t>
  </si>
  <si>
    <t>Талалаївська</t>
  </si>
  <si>
    <t>UA7406001</t>
  </si>
  <si>
    <t>Koropska</t>
  </si>
  <si>
    <t>Коропська</t>
  </si>
  <si>
    <t>UA7406003</t>
  </si>
  <si>
    <t>Novhorod-Siverska</t>
  </si>
  <si>
    <t>Новгород-Сіверська</t>
  </si>
  <si>
    <t>UA7406005</t>
  </si>
  <si>
    <t>Ponornytska</t>
  </si>
  <si>
    <t>Понорницька</t>
  </si>
  <si>
    <t>UA7406007</t>
  </si>
  <si>
    <t>UA7408001</t>
  </si>
  <si>
    <t>Varvynska</t>
  </si>
  <si>
    <t>Варвинська</t>
  </si>
  <si>
    <t>UA7408003</t>
  </si>
  <si>
    <t>Ichnianska</t>
  </si>
  <si>
    <t>Ічнянська</t>
  </si>
  <si>
    <t>UA7408005</t>
  </si>
  <si>
    <t>Ladanska</t>
  </si>
  <si>
    <t>Ладанська</t>
  </si>
  <si>
    <t>UA7408007</t>
  </si>
  <si>
    <t>Lynovytska</t>
  </si>
  <si>
    <t>Линовицька</t>
  </si>
  <si>
    <t>UA7408009</t>
  </si>
  <si>
    <t>Malodivytska</t>
  </si>
  <si>
    <t>Малодівицька</t>
  </si>
  <si>
    <t>UA7408011</t>
  </si>
  <si>
    <t>Parafiivska</t>
  </si>
  <si>
    <t>Парафіївська</t>
  </si>
  <si>
    <t>UA7408013</t>
  </si>
  <si>
    <t>Prylutska</t>
  </si>
  <si>
    <t>Прилуцька</t>
  </si>
  <si>
    <t>UA7408015</t>
  </si>
  <si>
    <t>Sribnianska</t>
  </si>
  <si>
    <t>Срібнянська</t>
  </si>
  <si>
    <t>UA7408017</t>
  </si>
  <si>
    <t>Sukhopolovianska</t>
  </si>
  <si>
    <t>Сухополов'янська</t>
  </si>
  <si>
    <t>UA7408019</t>
  </si>
  <si>
    <t>UA7408021</t>
  </si>
  <si>
    <t>UA7410001</t>
  </si>
  <si>
    <t>Bereznianska</t>
  </si>
  <si>
    <t>Березнянська</t>
  </si>
  <si>
    <t>UA7410003</t>
  </si>
  <si>
    <t>Honcharivska</t>
  </si>
  <si>
    <t>Гончарівська</t>
  </si>
  <si>
    <t>UA7410005</t>
  </si>
  <si>
    <t>Horodnianska</t>
  </si>
  <si>
    <t>Городнянська</t>
  </si>
  <si>
    <t>UA7410007</t>
  </si>
  <si>
    <t>Desnianska</t>
  </si>
  <si>
    <t>Деснянська</t>
  </si>
  <si>
    <t>UA7410009</t>
  </si>
  <si>
    <t>Dobrianska</t>
  </si>
  <si>
    <t>Добрянська</t>
  </si>
  <si>
    <t>UA7410011</t>
  </si>
  <si>
    <t>UA7410013</t>
  </si>
  <si>
    <t>Kyinska</t>
  </si>
  <si>
    <t>Киїнська</t>
  </si>
  <si>
    <t>UA7410015</t>
  </si>
  <si>
    <t>Kyselivska</t>
  </si>
  <si>
    <t>Киселівська</t>
  </si>
  <si>
    <t>UA7410017</t>
  </si>
  <si>
    <t>Kiptivska</t>
  </si>
  <si>
    <t>Кіптівська</t>
  </si>
  <si>
    <t>UA7410019</t>
  </si>
  <si>
    <t>Kozeletska</t>
  </si>
  <si>
    <t>Козелецька</t>
  </si>
  <si>
    <t>UA7410021</t>
  </si>
  <si>
    <t>UA7410023</t>
  </si>
  <si>
    <t>Liubetska</t>
  </si>
  <si>
    <t>Любецька</t>
  </si>
  <si>
    <t>UA7410025</t>
  </si>
  <si>
    <t>Mykhailo-Kotsiubynska</t>
  </si>
  <si>
    <t>Михайло-Коцюбинська</t>
  </si>
  <si>
    <t>UA7410027</t>
  </si>
  <si>
    <t>Novobilouska</t>
  </si>
  <si>
    <t>Новобілоуська</t>
  </si>
  <si>
    <t>UA7410029</t>
  </si>
  <si>
    <t>Olyshivska</t>
  </si>
  <si>
    <t>Олишівська</t>
  </si>
  <si>
    <t>UA7410031</t>
  </si>
  <si>
    <t>Osterska</t>
  </si>
  <si>
    <t>Остерська</t>
  </si>
  <si>
    <t>UA7410033</t>
  </si>
  <si>
    <t>Ripkynska</t>
  </si>
  <si>
    <t>Ріпкинська</t>
  </si>
  <si>
    <t>UA7410035</t>
  </si>
  <si>
    <t>Sednivska</t>
  </si>
  <si>
    <t>Седнівська</t>
  </si>
  <si>
    <t>UA7410037</t>
  </si>
  <si>
    <t>Tupychivska</t>
  </si>
  <si>
    <t>Тупичівська</t>
  </si>
  <si>
    <t>UA7410039</t>
  </si>
  <si>
    <t>UA8000000</t>
  </si>
  <si>
    <t>rural</t>
  </si>
  <si>
    <t>Rural area</t>
  </si>
  <si>
    <t>Urban area</t>
  </si>
  <si>
    <t>Peri-urban area</t>
  </si>
  <si>
    <t>Don't know</t>
  </si>
  <si>
    <t>Refused</t>
  </si>
  <si>
    <t>crop</t>
  </si>
  <si>
    <t>1.2</t>
  </si>
  <si>
    <t>Wheat</t>
  </si>
  <si>
    <t>1.5</t>
  </si>
  <si>
    <t>Maize</t>
  </si>
  <si>
    <t>1.6</t>
  </si>
  <si>
    <t>Barley</t>
  </si>
  <si>
    <t>2.2</t>
  </si>
  <si>
    <t>Potatoe</t>
  </si>
  <si>
    <t>3.4</t>
  </si>
  <si>
    <t>Soybeans</t>
  </si>
  <si>
    <t>4.1</t>
  </si>
  <si>
    <t>Cabbage</t>
  </si>
  <si>
    <t>5.1</t>
  </si>
  <si>
    <t>Tomatoes</t>
  </si>
  <si>
    <t>9.5</t>
  </si>
  <si>
    <t>Sunflower</t>
  </si>
  <si>
    <t>1.1</t>
  </si>
  <si>
    <t>Rice</t>
  </si>
  <si>
    <t>1.3</t>
  </si>
  <si>
    <t>Millet</t>
  </si>
  <si>
    <t>1.4</t>
  </si>
  <si>
    <t>Sorghum</t>
  </si>
  <si>
    <t>1.99</t>
  </si>
  <si>
    <t>Other Cereal</t>
  </si>
  <si>
    <t>2.1</t>
  </si>
  <si>
    <t>Cassava</t>
  </si>
  <si>
    <t>2.3</t>
  </si>
  <si>
    <t>Sweet Potatoes</t>
  </si>
  <si>
    <t>2.4</t>
  </si>
  <si>
    <t>Yams</t>
  </si>
  <si>
    <t>2.5</t>
  </si>
  <si>
    <t>Carrots</t>
  </si>
  <si>
    <t>2.6</t>
  </si>
  <si>
    <t>Cocoyam</t>
  </si>
  <si>
    <t>2.99</t>
  </si>
  <si>
    <t>Other tubers</t>
  </si>
  <si>
    <t>3.1</t>
  </si>
  <si>
    <t>Beans</t>
  </si>
  <si>
    <t>3.2</t>
  </si>
  <si>
    <t>Lentils</t>
  </si>
  <si>
    <t>3.3</t>
  </si>
  <si>
    <t>Peas</t>
  </si>
  <si>
    <t>3.5</t>
  </si>
  <si>
    <t>Chickpeas</t>
  </si>
  <si>
    <t>3.6</t>
  </si>
  <si>
    <t>Fava beans</t>
  </si>
  <si>
    <t>3.7</t>
  </si>
  <si>
    <t>Broad beans</t>
  </si>
  <si>
    <t>3.99</t>
  </si>
  <si>
    <t>Other pulses</t>
  </si>
  <si>
    <t>4.101</t>
  </si>
  <si>
    <t>Cauliflower</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</si>
  <si>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</si>
  <si>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</si>
  <si>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</si>
  <si>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</si>
  <si>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</si>
  <si>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</si>
  <si>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</si>
  <si>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</si>
  <si>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</si>
  <si>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</si>
  <si>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</si>
  <si>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</si>
  <si>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</si>
  <si>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</si>
  <si>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4.99</t>
  </si>
  <si>
    <t>Other leafy vegetables</t>
  </si>
  <si>
    <t>5.101</t>
  </si>
  <si>
    <t>Green peas</t>
  </si>
  <si>
    <t>5.11</t>
  </si>
  <si>
    <t>Fava beans green</t>
  </si>
  <si>
    <t>5.2</t>
  </si>
  <si>
    <t>Cucumber</t>
  </si>
  <si>
    <t>5.3</t>
  </si>
  <si>
    <t>Pumpkin</t>
  </si>
  <si>
    <t>5.4</t>
  </si>
  <si>
    <t>Eggplant/aubergine</t>
  </si>
  <si>
    <t>5.5</t>
  </si>
  <si>
    <t>Zucchini</t>
  </si>
  <si>
    <t>5.6</t>
  </si>
  <si>
    <t>Okra</t>
  </si>
  <si>
    <t>5.7</t>
  </si>
  <si>
    <t>Bell pepper</t>
  </si>
  <si>
    <t>5.8</t>
  </si>
  <si>
    <t>Onions</t>
  </si>
  <si>
    <t>5.9</t>
  </si>
  <si>
    <t>Haricot</t>
  </si>
  <si>
    <t>5.99</t>
  </si>
  <si>
    <t>Other non leafy vegs</t>
  </si>
  <si>
    <t>6.1</t>
  </si>
  <si>
    <t>Orange</t>
  </si>
  <si>
    <t>6.2</t>
  </si>
  <si>
    <t>Lemon</t>
  </si>
  <si>
    <t>6.3</t>
  </si>
  <si>
    <t>Grapefruit</t>
  </si>
  <si>
    <t>6.4</t>
  </si>
  <si>
    <t>Mandarins/clementines</t>
  </si>
  <si>
    <t>6.99</t>
  </si>
  <si>
    <t>Other citrus fruit</t>
  </si>
  <si>
    <t>7.1</t>
  </si>
  <si>
    <t>Sweet Banana</t>
  </si>
  <si>
    <t>7.101</t>
  </si>
  <si>
    <t>Figs</t>
  </si>
  <si>
    <t>7.11</t>
  </si>
  <si>
    <t>Grapes</t>
  </si>
  <si>
    <t>7.12</t>
  </si>
  <si>
    <t>Olives</t>
  </si>
  <si>
    <t>7.13</t>
  </si>
  <si>
    <t>Apple</t>
  </si>
  <si>
    <t>7.14</t>
  </si>
  <si>
    <t>Apricot</t>
  </si>
  <si>
    <t>7.15</t>
  </si>
  <si>
    <t>Cherries</t>
  </si>
  <si>
    <t>7.16</t>
  </si>
  <si>
    <t>Peach/nectarine</t>
  </si>
  <si>
    <t>7.17</t>
  </si>
  <si>
    <t>Strawberries</t>
  </si>
  <si>
    <t>7.18</t>
  </si>
  <si>
    <t>Melon (Cantaloupe)</t>
  </si>
  <si>
    <t>7.2</t>
  </si>
  <si>
    <t>Plantains</t>
  </si>
  <si>
    <t>7.3</t>
  </si>
  <si>
    <t>Papaya</t>
  </si>
  <si>
    <t>7.4</t>
  </si>
  <si>
    <t>Mango</t>
  </si>
  <si>
    <t>7.5</t>
  </si>
  <si>
    <t>Guava</t>
  </si>
  <si>
    <t>7.6</t>
  </si>
  <si>
    <t>Pineapple</t>
  </si>
  <si>
    <t>7.7</t>
  </si>
  <si>
    <t>Avocado</t>
  </si>
  <si>
    <t>7.8</t>
  </si>
  <si>
    <t>Water Melon</t>
  </si>
  <si>
    <t>7.9</t>
  </si>
  <si>
    <t>Dates</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</si>
  <si>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</si>
  <si>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</si>
  <si>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</si>
  <si>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</si>
  <si>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</si>
  <si>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</si>
  <si>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</si>
  <si>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</si>
  <si>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</si>
  <si>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</si>
  <si>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</si>
  <si>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</si>
  <si>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</si>
  <si>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</si>
  <si>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</si>
  <si>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</si>
  <si>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</si>
  <si>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</si>
  <si>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</si>
  <si>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</si>
  <si>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</si>
  <si>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</si>
  <si>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</si>
  <si>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</si>
  <si>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</si>
  <si>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</si>
  <si>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</si>
  <si>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</si>
  <si>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9.99</t>
  </si>
  <si>
    <t>Other food cash crop</t>
  </si>
  <si>
    <t>10.1</t>
  </si>
  <si>
    <t>Cotton</t>
  </si>
  <si>
    <t>10.2</t>
  </si>
  <si>
    <t>Rubber</t>
  </si>
  <si>
    <t>10.3</t>
  </si>
  <si>
    <t>Jute</t>
  </si>
  <si>
    <t>10.4</t>
  </si>
  <si>
    <t>Fodder</t>
  </si>
  <si>
    <t>10.5</t>
  </si>
  <si>
    <t>Tobacco</t>
  </si>
  <si>
    <t>10.6</t>
  </si>
  <si>
    <t>Qat</t>
  </si>
  <si>
    <t>10.99</t>
  </si>
  <si>
    <t>Other non-food cash crop</t>
  </si>
  <si>
    <t>777</t>
  </si>
  <si>
    <t>No crop production</t>
  </si>
  <si>
    <t>888</t>
  </si>
  <si>
    <t>999</t>
  </si>
  <si>
    <t>crop2</t>
  </si>
  <si>
    <t>666</t>
  </si>
  <si>
    <t>No other crop</t>
  </si>
  <si>
    <t>crop3</t>
  </si>
  <si>
    <t>oblast</t>
  </si>
  <si>
    <t>rayon</t>
  </si>
  <si>
    <t>version</t>
  </si>
  <si>
    <t>default_language</t>
  </si>
  <si>
    <t>allow_choice_duplicates</t>
  </si>
  <si>
    <t>style</t>
  </si>
  <si>
    <t>vM6cWXyHNhR3djPbARkHWi</t>
  </si>
  <si>
    <t>English (en)</t>
  </si>
  <si>
    <t>theme-grid no-text-transform</t>
  </si>
  <si>
    <t xml:space="preserve">Select top 10 crops </t>
  </si>
  <si>
    <t>Dataset code</t>
  </si>
  <si>
    <t>Label (EN)</t>
  </si>
  <si>
    <t>x</t>
  </si>
  <si>
    <t xml:space="preserve">Original </t>
  </si>
  <si>
    <t>Replacement</t>
  </si>
  <si>
    <t>Comment</t>
  </si>
  <si>
    <t>Example</t>
  </si>
  <si>
    <t>FOR CORE QUESTIONS    .
(Mandatory to fill out)    .</t>
  </si>
  <si>
    <t>phone number</t>
  </si>
  <si>
    <t>+38-0XX-XXX-XX-XX</t>
  </si>
  <si>
    <t>Type a phone number from your country in typical format, e.g. 77******* [please use exactly the number of characters that are found in a phone number].</t>
  </si>
  <si>
    <t>070******</t>
  </si>
  <si>
    <t>age</t>
  </si>
  <si>
    <t>Minimum age of respondent (recommend 18 years old)</t>
  </si>
  <si>
    <t>ADMIN1</t>
  </si>
  <si>
    <t>The first subdivision of the country, after national level; region; province; governorate; etc. Only one word should be inputted - Do not include spaces.</t>
  </si>
  <si>
    <t>region</t>
  </si>
  <si>
    <t>ADMIN2</t>
  </si>
  <si>
    <t>The second subdivision of the country; district; municipality; LGA; etc. Only one word should be inputted - Do not include spaces.</t>
  </si>
  <si>
    <t>district</t>
  </si>
  <si>
    <t>reference year</t>
  </si>
  <si>
    <t>last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</si>
  <si>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</si>
  <si>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</si>
  <si>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</si>
  <si>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last 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</si>
  <si>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</si>
  <si>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</si>
  <si>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</si>
  <si>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Recently finished</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</si>
  <si>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</si>
  <si>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</si>
  <si>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</si>
  <si>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</si>
  <si>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</si>
  <si>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</si>
  <si>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</si>
  <si>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</si>
  <si>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</si>
  <si>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</si>
  <si>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</si>
  <si>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</si>
  <si>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</si>
  <si>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</si>
  <si>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</si>
  <si>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</si>
  <si>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</si>
  <si>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</si>
  <si>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</si>
  <si>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</si>
  <si>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</si>
  <si>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</si>
  <si>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</si>
  <si>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</si>
  <si>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</si>
  <si>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</si>
  <si>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</si>
  <si>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</si>
  <si>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Currently, in which hromadas does your household reside?</t>
  </si>
  <si>
    <t>centner</t>
  </si>
  <si>
    <t xml:space="preserve">sugar beet </t>
  </si>
  <si>
    <t>9.6</t>
  </si>
  <si>
    <t>9.7</t>
  </si>
  <si>
    <t>rapeseed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</si>
</sst>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0" tint="-0.34998626667073579"/>
      <name val="Calibri"/>
      <family val="2"/>
      <scheme val="minor"/>
    </font>
    <font>
      <b/>
      <sz val="11"/>
      <color rgb="FF7030A0"/>
      <name val="Calibri"/>
      <family val="2"/>
      <scheme val="minor"/>
    </font>
    <font>
      <sz val="11"/>
      <color rgb="FF00B050"/>
      <name val="Calibri"/>
      <family val="2"/>
      <scheme val="minor"/>
    </font>
    <font>
      <sz val="11"/>
      <color theme="6" tint="-0.499984740745262"/>
      <name val="Calibri"/>
      <family val="2"/>
      <scheme val="minor"/>
    </font>
    <font>
      <sz val="11"/>
      <color rgb="FF000000"/>
      <name val="Calibri"/>
      <family val="2"/>
      <scheme val="minor"/>
    </font>
    <font>
      <sz val="11"/>
      <color rgb="FFA6A6A6"/>
      <name val="Calibri"/>
      <family val="2"/>
      <scheme val="minor"/>
    </font>
    <font>
      <b/>
      <sz val="11"/>
      <color theme="0" tint="-0.34998626667073579"/>
      <name val="Calibri"/>
      <family val="2"/>
      <scheme val="minor"/>
    </font>
    <font>
      <sz val="11"/>
      <color rgb="FF0070C0"/>
      <name val="Calibri"/>
      <family val="2"/>
      <scheme val="minor"/>
    </font>
    <font>
      <sz val="11"/>
      <color rgb="FF7030A0"/>
      <name val="Calibri"/>
      <family val="2"/>
      <scheme val="minor"/>
    </font>
    <font>
      <b/>
      <sz val="12"/>
      <name val="Calibri"/>
      <family val="2"/>
      <scheme val="minor"/>
    </font>
    <font>
      <b/>
      <sz val="12"/>
      <color theme="0"/>
      <name val="Calibri"/>
      <family val="2"/>
      <scheme val="minor"/>
    </font>
    <font>
      <sz val="12"/>
      <color theme="1"/>
      <name val="Calibri"/>
      <family val="2"/>
      <scheme val="minor"/>
    </font>
    <font>
      <b/>
      <sz val="11"/>
      <color rgb="FF000000"/>
      <name val="Calibri"/>
      <family val="2"/>
    </font>
    <font>
      <sz val="11"/>
      <color rgb="FF000000"/>
      <name val="Calibri"/>
      <family val="2"/>
    </font>
    <font>
      <sz val="11"/>
      <name val="Calibri"/>
      <family val="2"/>
    </font>
    <font>
      <sz val="12"/>
      <color rgb="FF000000"/>
      <name val="Calibri"/>
      <family val="2"/>
      <scheme val="minor"/>
    </font>
    <font>
      <i/>
      <sz val="11"/>
      <color rgb="FF000000"/>
      <name val="Calibri"/>
      <family val="2"/>
    </font>
    <font>
      <i/>
      <sz val="10.5"/>
      <name val="Calibri"/>
      <family val="2"/>
    </font>
    <font>
      <strike/>
      <sz val="11"/>
      <name val="Calibri"/>
      <family val="2"/>
      <scheme val="minor"/>
    </font>
    <font>
      <strike/>
      <sz val="11"/>
      <color theme="1"/>
      <name val="Calibri"/>
      <family val="2"/>
      <scheme val="minor"/>
    </font>
    <font>
      <sz val="11"/>
      <color theme="4"/>
      <name val="Calibri"/>
      <family val="2"/>
      <scheme val="minor"/>
    </font>
    <font>
      <b/>
      <sz val="11"/>
      <color theme="4"/>
      <name val="Calibri"/>
      <family val="2"/>
      <scheme val="minor"/>
    </font>
    <font>
      <sz val="11"/>
      <color theme="0" tint="-0.14999847407452621"/>
      <name val="Calibri"/>
      <family val="2"/>
      <scheme val="minor"/>
    </font>
    <font>
      <sz val="11"/>
      <color theme="9"/>
      <name val="Calibri"/>
      <family val="2"/>
      <scheme val="minor"/>
    </font>
    <font>
      <sz val="8"/>
      <name val="Calibri"/>
      <family val="2"/>
      <scheme val="minor"/>
    </font>
  </fonts>
  <fills count="10">
    <fill>
      <patternFill patternType="none"/>
    </fill>
    <fill>
      <patternFill patternType="gray125"/>
    </fill>
    <fill>
      <patternFill patternType="solid">
        <fgColor rgb="FFA5A5A5"/>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6DFDC"/>
        <bgColor indexed="64"/>
      </patternFill>
    </fill>
    <fill>
      <patternFill patternType="solid">
        <fgColor theme="0"/>
        <bgColor indexed="64"/>
      </patternFill>
    </fill>
    <fill>
      <patternFill patternType="solid">
        <fgColor theme="8"/>
        <bgColor indexed="64"/>
      </patternFill>
    </fill>
    <fill>
      <patternFill patternType="solid">
        <fgColor rgb="FFCCCCFF"/>
        <bgColor indexed="64"/>
      </patternFill>
    </fill>
  </fills>
  <borders count="45">
    <border>
      <left/>
      <right/>
      <top/>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theme="1"/>
      </bottom>
      <diagonal/>
    </border>
    <border>
      <left/>
      <right style="thin">
        <color indexed="64"/>
      </right>
      <top/>
      <bottom style="thin">
        <color indexed="64"/>
      </bottom>
      <diagonal/>
    </border>
    <border>
      <left/>
      <right style="medium">
        <color indexed="64"/>
      </right>
      <top/>
      <bottom style="thin">
        <color auto="1"/>
      </bottom>
      <diagonal/>
    </border>
    <border>
      <left/>
      <right style="thin">
        <color indexed="64"/>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theme="1"/>
      </right>
      <top style="thin">
        <color auto="1"/>
      </top>
      <bottom style="thin">
        <color auto="1"/>
      </bottom>
      <diagonal/>
    </border>
    <border>
      <left style="medium">
        <color indexed="64"/>
      </left>
      <right style="thin">
        <color auto="1"/>
      </right>
      <top style="thin">
        <color auto="1"/>
      </top>
      <bottom/>
      <diagonal/>
    </border>
    <border>
      <left style="medium">
        <color indexed="64"/>
      </left>
      <right style="medium">
        <color indexed="64"/>
      </right>
      <top/>
      <bottom style="medium">
        <color indexed="64"/>
      </bottom>
      <diagonal/>
    </border>
    <border>
      <left style="medium">
        <color indexed="64"/>
      </left>
      <right style="thin">
        <color auto="1"/>
      </right>
      <top/>
      <bottom style="medium">
        <color indexed="64"/>
      </bottom>
      <diagonal/>
    </border>
    <border>
      <left style="thin">
        <color indexed="64"/>
      </left>
      <right style="thin">
        <color indexed="64"/>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style="thin">
        <color auto="1"/>
      </left>
      <right style="thin">
        <color theme="1"/>
      </right>
      <top/>
      <bottom style="thin">
        <color auto="1"/>
      </bottom>
      <diagonal/>
    </border>
    <border>
      <left/>
      <right/>
      <top style="thin">
        <color theme="0"/>
      </top>
      <bottom style="thin">
        <color theme="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thin">
        <color theme="1"/>
      </right>
      <top style="thin">
        <color auto="1"/>
      </top>
      <bottom style="medium">
        <color indexed="64"/>
      </bottom>
      <diagonal/>
    </border>
    <border>
      <left/>
      <right style="medium">
        <color indexed="64"/>
      </right>
      <top style="thin">
        <color auto="1"/>
      </top>
      <bottom style="medium">
        <color indexed="64"/>
      </bottom>
      <diagonal/>
    </border>
    <border>
      <left/>
      <right style="medium">
        <color indexed="64"/>
      </right>
      <top style="medium">
        <color indexed="64"/>
      </top>
      <bottom/>
      <diagonal/>
    </border>
    <border>
      <left/>
      <right style="medium">
        <color indexed="64"/>
      </right>
      <top style="thin">
        <color auto="1"/>
      </top>
      <bottom/>
      <diagonal/>
    </border>
  </borders>
  <cellStyleXfs count="4">
    <xf numFmtId="0" fontId="0" fillId="0" borderId="0"/>
    <xf numFmtId="9" fontId="1" fillId="0" borderId="0"/>
    <xf numFmtId="0" fontId="16" fillId="2" borderId="1"/>
    <xf numFmtId="0" fontId="17" fillId="0" borderId="0"/>
  </cellStyleXfs>
  <cellXfs count="275">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3" fillId="3" borderId="0" xfId="0" applyFont="1" applyFill="1" applyAlignment="1" applyProtection="1">
      <alignment horizontal="center" vertical="center" wrapText="1"/>
      <protection locked="0"/>
    </xf>
    <xf numFmtId="0" fontId="3" fillId="3" borderId="0" xfId="0" applyFont="1" applyFill="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4" fillId="4" borderId="3" xfId="0" applyFont="1" applyFill="1" applyBorder="1" applyAlignment="1" applyProtection="1">
      <alignment horizontal="center" vertical="center" wrapText="1"/>
      <protection locked="0"/>
    </xf>
    <xf numFmtId="9" fontId="4" fillId="4" borderId="4" xfId="1" applyFont="1" applyFill="1" applyBorder="1" applyAlignment="1" applyProtection="1">
      <alignment horizontal="center" vertical="center" wrapText="1"/>
      <protection locked="0"/>
    </xf>
    <xf numFmtId="0" fontId="4" fillId="4" borderId="4" xfId="0" applyFont="1" applyFill="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0" fillId="0" borderId="0" xfId="0" applyAlignment="1">
      <alignment vertical="top"/>
    </xf>
    <xf numFmtId="0" fontId="0" fillId="0" borderId="0" xfId="0" applyAlignment="1">
      <alignment vertical="top"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0" fillId="0" borderId="0" xfId="0" applyAlignment="1">
      <alignment vertical="center"/>
    </xf>
    <xf numFmtId="0" fontId="0" fillId="0" borderId="0" xfId="0" applyAlignment="1" applyProtection="1">
      <alignment vertical="top"/>
      <protection locked="0"/>
    </xf>
    <xf numFmtId="164" fontId="5" fillId="0" borderId="0" xfId="0" applyNumberFormat="1" applyFont="1" applyAlignment="1" applyProtection="1">
      <alignment horizontal="right" vertical="top"/>
      <protection locked="0"/>
    </xf>
    <xf numFmtId="9" fontId="5" fillId="0" borderId="0" xfId="1" applyFont="1" applyAlignment="1" applyProtection="1">
      <alignment vertical="top"/>
      <protection locked="0"/>
    </xf>
    <xf numFmtId="164" fontId="5" fillId="0" borderId="0" xfId="0" applyNumberFormat="1" applyFont="1" applyAlignment="1" applyProtection="1">
      <alignment vertical="top"/>
      <protection locked="0"/>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6" fillId="0" borderId="0" xfId="0" applyFont="1" applyAlignment="1" applyProtection="1">
      <alignment vertical="top" wrapText="1"/>
      <protection locked="0"/>
    </xf>
    <xf numFmtId="0" fontId="6" fillId="3" borderId="0" xfId="0" applyFont="1" applyFill="1" applyAlignment="1" applyProtection="1">
      <alignment vertical="top" wrapText="1"/>
      <protection locked="0"/>
    </xf>
    <xf numFmtId="0" fontId="6" fillId="3" borderId="0" xfId="0" applyFont="1" applyFill="1" applyAlignment="1" applyProtection="1">
      <alignment vertical="top"/>
      <protection locked="0"/>
    </xf>
    <xf numFmtId="0" fontId="6" fillId="0" borderId="0" xfId="0" applyFont="1" applyAlignment="1" applyProtection="1">
      <alignment vertical="center"/>
      <protection locked="0"/>
    </xf>
    <xf numFmtId="164" fontId="6" fillId="0" borderId="0" xfId="0" applyNumberFormat="1" applyFont="1" applyAlignment="1" applyProtection="1">
      <alignment horizontal="right" vertical="top"/>
      <protection locked="0"/>
    </xf>
    <xf numFmtId="9" fontId="6" fillId="0" borderId="0" xfId="1" applyFont="1" applyAlignment="1" applyProtection="1">
      <alignment vertical="top"/>
      <protection locked="0"/>
    </xf>
    <xf numFmtId="164" fontId="6" fillId="0" borderId="0" xfId="0" applyNumberFormat="1" applyFont="1" applyAlignment="1" applyProtection="1">
      <alignment vertical="top"/>
      <protection locked="0"/>
    </xf>
    <xf numFmtId="0" fontId="6" fillId="0" borderId="6" xfId="0" applyFont="1" applyBorder="1" applyAlignment="1" applyProtection="1">
      <alignment vertical="top"/>
      <protection locked="0"/>
    </xf>
    <xf numFmtId="0" fontId="6" fillId="0" borderId="6" xfId="0" applyFont="1" applyBorder="1" applyAlignment="1" applyProtection="1">
      <alignment vertical="top" wrapText="1"/>
      <protection locked="0"/>
    </xf>
    <xf numFmtId="0" fontId="6" fillId="3" borderId="6" xfId="0" applyFont="1" applyFill="1" applyBorder="1" applyAlignment="1" applyProtection="1">
      <alignment vertical="top" wrapText="1"/>
      <protection locked="0"/>
    </xf>
    <xf numFmtId="0" fontId="6" fillId="3" borderId="6" xfId="0" applyFont="1" applyFill="1" applyBorder="1" applyAlignment="1" applyProtection="1">
      <alignment vertical="top"/>
      <protection locked="0"/>
    </xf>
    <xf numFmtId="0" fontId="6" fillId="0" borderId="6" xfId="0" applyFont="1" applyBorder="1" applyAlignment="1" applyProtection="1">
      <alignment vertical="center"/>
      <protection locked="0"/>
    </xf>
    <xf numFmtId="0" fontId="0" fillId="0" borderId="0" xfId="0" applyAlignment="1" applyProtection="1">
      <alignment horizontal="left" vertical="center" wrapText="1"/>
      <protection locked="0"/>
    </xf>
    <xf numFmtId="0" fontId="5" fillId="0" borderId="0" xfId="0" applyFont="1" applyAlignment="1" applyProtection="1">
      <alignment vertical="top" wrapText="1"/>
      <protection locked="0"/>
    </xf>
    <xf numFmtId="0" fontId="0" fillId="0" borderId="0" xfId="0" applyAlignment="1" applyProtection="1">
      <alignment vertical="center"/>
      <protection locked="0"/>
    </xf>
    <xf numFmtId="0" fontId="5" fillId="0" borderId="0" xfId="0" applyFont="1" applyAlignment="1">
      <alignment vertical="top"/>
    </xf>
    <xf numFmtId="0" fontId="5" fillId="0" borderId="0" xfId="0" applyFont="1" applyAlignment="1">
      <alignment vertical="top" wrapText="1"/>
    </xf>
    <xf numFmtId="0" fontId="5" fillId="3" borderId="0" xfId="0" applyFont="1" applyFill="1" applyAlignment="1" applyProtection="1">
      <alignment vertical="top" wrapText="1"/>
      <protection locked="0"/>
    </xf>
    <xf numFmtId="0" fontId="5" fillId="3" borderId="0" xfId="0" applyFont="1" applyFill="1" applyAlignment="1" applyProtection="1">
      <alignment vertical="top"/>
      <protection locked="0"/>
    </xf>
    <xf numFmtId="0" fontId="5" fillId="0" borderId="0" xfId="0" applyFont="1" applyAlignment="1">
      <alignment vertical="center"/>
    </xf>
    <xf numFmtId="0" fontId="5" fillId="0" borderId="6" xfId="0" applyFont="1" applyBorder="1" applyAlignment="1" applyProtection="1">
      <alignment vertical="top"/>
      <protection locked="0"/>
    </xf>
    <xf numFmtId="0" fontId="5" fillId="0" borderId="6" xfId="0" applyFont="1" applyBorder="1" applyAlignment="1" applyProtection="1">
      <alignment vertical="top" wrapText="1"/>
      <protection locked="0"/>
    </xf>
    <xf numFmtId="0" fontId="5" fillId="3" borderId="6" xfId="0" applyFont="1" applyFill="1" applyBorder="1" applyAlignment="1" applyProtection="1">
      <alignment vertical="top" wrapText="1"/>
      <protection locked="0"/>
    </xf>
    <xf numFmtId="0" fontId="5" fillId="3" borderId="6" xfId="0" applyFont="1" applyFill="1" applyBorder="1" applyAlignment="1" applyProtection="1">
      <alignment vertical="top"/>
      <protection locked="0"/>
    </xf>
    <xf numFmtId="0" fontId="5" fillId="0" borderId="6" xfId="0" applyFont="1" applyBorder="1" applyAlignment="1" applyProtection="1">
      <alignment vertical="center"/>
      <protection locked="0"/>
    </xf>
    <xf numFmtId="0" fontId="3" fillId="0" borderId="0" xfId="0" applyFont="1" applyAlignment="1">
      <alignment vertical="top"/>
    </xf>
    <xf numFmtId="0" fontId="3" fillId="0" borderId="0" xfId="0" applyFont="1" applyAlignment="1">
      <alignment vertical="top" wrapText="1"/>
    </xf>
    <xf numFmtId="0" fontId="3" fillId="3" borderId="0" xfId="0" applyFont="1" applyFill="1" applyAlignment="1" applyProtection="1">
      <alignment vertical="top" wrapText="1"/>
      <protection locked="0"/>
    </xf>
    <xf numFmtId="0" fontId="3" fillId="3" borderId="0" xfId="0" applyFont="1" applyFill="1" applyAlignment="1" applyProtection="1">
      <alignment vertical="top"/>
      <protection locked="0"/>
    </xf>
    <xf numFmtId="0" fontId="3" fillId="0" borderId="0" xfId="0" applyFont="1" applyAlignment="1">
      <alignment vertical="center"/>
    </xf>
    <xf numFmtId="0" fontId="3" fillId="0" borderId="0" xfId="0" applyFont="1" applyAlignment="1" applyProtection="1">
      <alignment vertical="top"/>
      <protection locked="0"/>
    </xf>
    <xf numFmtId="0" fontId="4" fillId="0" borderId="0" xfId="0" applyFont="1" applyAlignment="1" applyProtection="1">
      <alignment vertical="top"/>
      <protection locked="0"/>
    </xf>
    <xf numFmtId="0" fontId="0" fillId="0" borderId="0" xfId="0" applyAlignment="1" applyProtection="1">
      <alignment vertical="top" wrapText="1"/>
      <protection locked="0"/>
    </xf>
    <xf numFmtId="0" fontId="6" fillId="0" borderId="0" xfId="0" applyFont="1" applyAlignment="1">
      <alignment vertical="center"/>
    </xf>
    <xf numFmtId="0" fontId="8" fillId="0" borderId="0" xfId="0" applyFont="1" applyAlignment="1">
      <alignment vertical="center"/>
    </xf>
    <xf numFmtId="0" fontId="9" fillId="0" borderId="0" xfId="0" applyFont="1" applyAlignment="1">
      <alignment vertical="top"/>
    </xf>
    <xf numFmtId="0" fontId="9" fillId="0" borderId="0" xfId="0" applyFont="1" applyAlignment="1">
      <alignment vertical="top" wrapText="1"/>
    </xf>
    <xf numFmtId="0" fontId="9" fillId="3" borderId="0" xfId="0" applyFont="1" applyFill="1" applyAlignment="1" applyProtection="1">
      <alignment vertical="top" wrapText="1"/>
      <protection locked="0"/>
    </xf>
    <xf numFmtId="0" fontId="9" fillId="0" borderId="0" xfId="0" applyFont="1" applyAlignment="1" applyProtection="1">
      <alignment vertical="top"/>
      <protection locked="0"/>
    </xf>
    <xf numFmtId="0" fontId="9" fillId="3" borderId="0" xfId="0" applyFont="1" applyFill="1" applyAlignment="1" applyProtection="1">
      <alignment vertical="top"/>
      <protection locked="0"/>
    </xf>
    <xf numFmtId="0" fontId="9" fillId="0" borderId="0" xfId="0" applyFont="1" applyAlignment="1">
      <alignment vertical="center"/>
    </xf>
    <xf numFmtId="0" fontId="8" fillId="0" borderId="0" xfId="0" applyFont="1" applyAlignment="1" applyProtection="1">
      <alignment vertical="top"/>
      <protection locked="0"/>
    </xf>
    <xf numFmtId="0" fontId="8" fillId="0" borderId="0" xfId="0" applyFont="1" applyAlignment="1" applyProtection="1">
      <alignment vertical="center"/>
      <protection locked="0"/>
    </xf>
    <xf numFmtId="0" fontId="10" fillId="0" borderId="0" xfId="0" applyFont="1" applyAlignment="1">
      <alignment vertical="top"/>
    </xf>
    <xf numFmtId="0" fontId="0" fillId="0" borderId="0" xfId="0" applyAlignment="1">
      <alignment vertical="center" wrapText="1"/>
    </xf>
    <xf numFmtId="164" fontId="5" fillId="0" borderId="0" xfId="0" applyNumberFormat="1" applyFont="1" applyAlignment="1" applyProtection="1">
      <alignment horizontal="right" vertical="top" wrapText="1"/>
      <protection locked="0"/>
    </xf>
    <xf numFmtId="164" fontId="5" fillId="0" borderId="0" xfId="0" applyNumberFormat="1" applyFont="1" applyAlignment="1" applyProtection="1">
      <alignment vertical="top" wrapText="1"/>
      <protection locked="0"/>
    </xf>
    <xf numFmtId="0" fontId="5" fillId="0" borderId="6" xfId="0" applyFont="1" applyBorder="1" applyAlignment="1">
      <alignment vertical="top"/>
    </xf>
    <xf numFmtId="0" fontId="5" fillId="0" borderId="6" xfId="0" applyFont="1" applyBorder="1" applyAlignment="1">
      <alignment vertical="top" wrapText="1"/>
    </xf>
    <xf numFmtId="0" fontId="5" fillId="0" borderId="6" xfId="0" applyFont="1" applyBorder="1" applyAlignment="1">
      <alignment vertical="center"/>
    </xf>
    <xf numFmtId="164" fontId="5" fillId="5" borderId="0" xfId="0" applyNumberFormat="1" applyFont="1" applyFill="1" applyAlignment="1" applyProtection="1">
      <alignment horizontal="right" vertical="top"/>
      <protection locked="0"/>
    </xf>
    <xf numFmtId="9" fontId="5" fillId="5" borderId="0" xfId="1" applyFont="1" applyFill="1" applyAlignment="1" applyProtection="1">
      <alignment vertical="top"/>
      <protection locked="0"/>
    </xf>
    <xf numFmtId="164" fontId="5" fillId="5" borderId="0" xfId="0" applyNumberFormat="1" applyFont="1" applyFill="1" applyAlignment="1" applyProtection="1">
      <alignment vertical="top"/>
      <protection locked="0"/>
    </xf>
    <xf numFmtId="0" fontId="10" fillId="0" borderId="0" xfId="0" applyFont="1" applyAlignment="1" applyProtection="1">
      <alignment vertical="top"/>
      <protection locked="0"/>
    </xf>
    <xf numFmtId="0" fontId="5" fillId="0" borderId="0" xfId="0" applyFont="1" applyAlignment="1" applyProtection="1">
      <alignment vertical="center"/>
      <protection locked="0"/>
    </xf>
    <xf numFmtId="0" fontId="0" fillId="0" borderId="6" xfId="0" applyBorder="1" applyAlignment="1">
      <alignment vertical="top"/>
    </xf>
    <xf numFmtId="0" fontId="0" fillId="0" borderId="6" xfId="0" applyBorder="1" applyAlignment="1">
      <alignment vertical="top" wrapText="1"/>
    </xf>
    <xf numFmtId="0" fontId="0" fillId="3" borderId="6" xfId="0" applyFill="1" applyBorder="1" applyAlignment="1" applyProtection="1">
      <alignment vertical="top" wrapText="1"/>
      <protection locked="0"/>
    </xf>
    <xf numFmtId="0" fontId="0" fillId="3" borderId="6" xfId="0" applyFill="1" applyBorder="1" applyAlignment="1" applyProtection="1">
      <alignment vertical="top"/>
      <protection locked="0"/>
    </xf>
    <xf numFmtId="0" fontId="0" fillId="0" borderId="6" xfId="0" applyBorder="1" applyAlignment="1">
      <alignment vertical="center"/>
    </xf>
    <xf numFmtId="0" fontId="4" fillId="0" borderId="0" xfId="0" applyFont="1" applyAlignment="1">
      <alignment vertical="top"/>
    </xf>
    <xf numFmtId="0" fontId="4" fillId="0" borderId="0" xfId="0" applyFont="1" applyAlignment="1">
      <alignment vertical="top" wrapText="1"/>
    </xf>
    <xf numFmtId="0" fontId="4" fillId="3" borderId="0" xfId="0" applyFont="1" applyFill="1" applyAlignment="1" applyProtection="1">
      <alignment vertical="top" wrapText="1"/>
      <protection locked="0"/>
    </xf>
    <xf numFmtId="0" fontId="4" fillId="3" borderId="0" xfId="0" applyFont="1" applyFill="1" applyAlignment="1" applyProtection="1">
      <alignment vertical="top"/>
      <protection locked="0"/>
    </xf>
    <xf numFmtId="0" fontId="4" fillId="0" borderId="0" xfId="0" applyFont="1" applyAlignment="1">
      <alignment vertical="center"/>
    </xf>
    <xf numFmtId="0" fontId="5" fillId="0" borderId="0" xfId="0" applyFont="1" applyAlignment="1" applyProtection="1">
      <alignment horizontal="right" vertical="top"/>
      <protection locked="0"/>
    </xf>
    <xf numFmtId="164" fontId="5" fillId="0" borderId="0" xfId="0" applyNumberFormat="1" applyFont="1" applyAlignment="1">
      <alignment horizontal="right" vertical="top"/>
    </xf>
    <xf numFmtId="9" fontId="5" fillId="0" borderId="0" xfId="1" applyFont="1" applyAlignment="1">
      <alignment vertical="top"/>
    </xf>
    <xf numFmtId="164" fontId="5" fillId="0" borderId="0" xfId="0" applyNumberFormat="1" applyFont="1" applyAlignment="1">
      <alignment vertical="top"/>
    </xf>
    <xf numFmtId="0" fontId="11" fillId="0" borderId="0" xfId="0" applyFont="1" applyAlignment="1" applyProtection="1">
      <alignment vertical="center"/>
      <protection locked="0"/>
    </xf>
    <xf numFmtId="9" fontId="5" fillId="0" borderId="0" xfId="1" applyFont="1" applyAlignment="1" applyProtection="1">
      <alignment vertical="top" wrapText="1"/>
      <protection locked="0"/>
    </xf>
    <xf numFmtId="0" fontId="3" fillId="0" borderId="0" xfId="0" applyFont="1" applyAlignment="1" applyProtection="1">
      <alignment vertical="top" wrapText="1"/>
      <protection locked="0"/>
    </xf>
    <xf numFmtId="0" fontId="3" fillId="0" borderId="0" xfId="0" applyFont="1" applyAlignment="1" applyProtection="1">
      <alignment vertical="center"/>
      <protection locked="0"/>
    </xf>
    <xf numFmtId="0" fontId="10" fillId="3" borderId="0" xfId="0" applyFont="1" applyFill="1" applyAlignment="1" applyProtection="1">
      <alignment vertical="top"/>
      <protection locked="0"/>
    </xf>
    <xf numFmtId="165" fontId="5" fillId="0" borderId="0" xfId="0" applyNumberFormat="1" applyFont="1" applyAlignment="1" applyProtection="1">
      <alignment vertical="top"/>
      <protection locked="0"/>
    </xf>
    <xf numFmtId="9" fontId="5" fillId="0" borderId="0" xfId="0" applyNumberFormat="1" applyFont="1" applyAlignment="1" applyProtection="1">
      <alignment vertical="top"/>
      <protection locked="0"/>
    </xf>
    <xf numFmtId="0" fontId="12" fillId="0" borderId="0" xfId="0" applyFont="1" applyAlignment="1" applyProtection="1">
      <alignment vertical="top" wrapText="1"/>
      <protection locked="0"/>
    </xf>
    <xf numFmtId="9" fontId="6" fillId="0" borderId="0" xfId="0" applyNumberFormat="1" applyFont="1" applyAlignment="1" applyProtection="1">
      <alignment vertical="top"/>
      <protection locked="0"/>
    </xf>
    <xf numFmtId="0" fontId="13" fillId="3" borderId="0" xfId="0" applyFont="1" applyFill="1" applyAlignment="1" applyProtection="1">
      <alignment vertical="top" wrapText="1"/>
      <protection locked="0"/>
    </xf>
    <xf numFmtId="0" fontId="13" fillId="0" borderId="0" xfId="0" applyFont="1" applyAlignment="1" applyProtection="1">
      <alignment vertical="top"/>
      <protection locked="0"/>
    </xf>
    <xf numFmtId="0" fontId="13" fillId="3" borderId="0" xfId="0" applyFont="1" applyFill="1" applyAlignment="1" applyProtection="1">
      <alignment vertical="top"/>
      <protection locked="0"/>
    </xf>
    <xf numFmtId="0" fontId="13" fillId="0" borderId="0" xfId="0" applyFont="1" applyAlignment="1" applyProtection="1">
      <alignment vertical="center"/>
      <protection locked="0"/>
    </xf>
    <xf numFmtId="49" fontId="9" fillId="0" borderId="0" xfId="0" applyNumberFormat="1" applyFont="1" applyAlignment="1">
      <alignment horizontal="left" vertical="top" wrapText="1"/>
    </xf>
    <xf numFmtId="0" fontId="2" fillId="0" borderId="0" xfId="0" applyFont="1" applyAlignment="1">
      <alignment vertical="center"/>
    </xf>
    <xf numFmtId="0" fontId="15" fillId="0" borderId="7" xfId="0" applyFont="1" applyBorder="1" applyProtection="1">
      <protection locked="0"/>
    </xf>
    <xf numFmtId="0" fontId="0" fillId="0" borderId="8" xfId="0" applyBorder="1" applyAlignment="1" applyProtection="1">
      <alignment vertical="top"/>
      <protection locked="0"/>
    </xf>
    <xf numFmtId="0" fontId="4" fillId="0" borderId="8" xfId="0" applyFont="1" applyBorder="1" applyAlignment="1" applyProtection="1">
      <alignment horizontal="right" vertical="top"/>
      <protection locked="0"/>
    </xf>
    <xf numFmtId="9" fontId="4" fillId="0" borderId="8" xfId="1" applyFont="1" applyBorder="1" applyAlignment="1" applyProtection="1">
      <alignment vertical="top"/>
      <protection locked="0"/>
    </xf>
    <xf numFmtId="0" fontId="4" fillId="0" borderId="9" xfId="0" applyFont="1" applyBorder="1" applyAlignment="1" applyProtection="1">
      <alignment vertical="top"/>
      <protection locked="0"/>
    </xf>
    <xf numFmtId="0" fontId="3" fillId="0" borderId="0" xfId="0" applyFont="1"/>
    <xf numFmtId="0" fontId="3" fillId="3" borderId="0" xfId="0" applyFont="1" applyFill="1" applyProtection="1">
      <protection locked="0"/>
    </xf>
    <xf numFmtId="0" fontId="0" fillId="0" borderId="0" xfId="0" applyProtection="1">
      <protection locked="0"/>
    </xf>
    <xf numFmtId="0" fontId="6" fillId="0" borderId="0" xfId="0" applyFont="1" applyProtection="1">
      <protection locked="0"/>
    </xf>
    <xf numFmtId="0" fontId="6" fillId="6" borderId="0" xfId="0" applyFont="1" applyFill="1" applyProtection="1">
      <protection locked="0"/>
    </xf>
    <xf numFmtId="0" fontId="12" fillId="3" borderId="0" xfId="0" applyFont="1" applyFill="1" applyProtection="1">
      <protection locked="0"/>
    </xf>
    <xf numFmtId="0" fontId="12" fillId="0" borderId="0" xfId="0" applyFont="1" applyProtection="1">
      <protection locked="0"/>
    </xf>
    <xf numFmtId="0" fontId="3" fillId="0" borderId="0" xfId="0" applyFont="1" applyProtection="1">
      <protection locked="0"/>
    </xf>
    <xf numFmtId="0" fontId="5" fillId="3" borderId="0" xfId="0" applyFont="1" applyFill="1" applyProtection="1">
      <protection locked="0"/>
    </xf>
    <xf numFmtId="0" fontId="0" fillId="3" borderId="0" xfId="0" applyFill="1" applyProtection="1">
      <protection locked="0"/>
    </xf>
    <xf numFmtId="0" fontId="0" fillId="6" borderId="0" xfId="0" applyFill="1" applyProtection="1">
      <protection locked="0"/>
    </xf>
    <xf numFmtId="0" fontId="10" fillId="0" borderId="0" xfId="0" applyFont="1"/>
    <xf numFmtId="0" fontId="5" fillId="0" borderId="0" xfId="0" applyFont="1"/>
    <xf numFmtId="0" fontId="14" fillId="3" borderId="0" xfId="0" applyFont="1" applyFill="1" applyProtection="1">
      <protection locked="0"/>
    </xf>
    <xf numFmtId="0" fontId="14" fillId="0" borderId="0" xfId="0" applyFont="1" applyProtection="1">
      <protection locked="0"/>
    </xf>
    <xf numFmtId="0" fontId="5" fillId="0" borderId="0" xfId="0" applyFont="1" applyProtection="1">
      <protection locked="0"/>
    </xf>
    <xf numFmtId="0" fontId="10" fillId="0" borderId="0" xfId="0" applyFont="1" applyProtection="1">
      <protection locked="0"/>
    </xf>
    <xf numFmtId="0" fontId="6" fillId="0" borderId="0" xfId="0" applyFont="1"/>
    <xf numFmtId="0" fontId="2" fillId="0" borderId="0" xfId="0" applyFont="1" applyProtection="1">
      <protection locked="0"/>
    </xf>
    <xf numFmtId="0" fontId="2" fillId="3" borderId="0" xfId="0" applyFont="1" applyFill="1" applyProtection="1">
      <protection locked="0"/>
    </xf>
    <xf numFmtId="0" fontId="6" fillId="3" borderId="0" xfId="0" applyFont="1" applyFill="1" applyProtection="1">
      <protection locked="0"/>
    </xf>
    <xf numFmtId="0" fontId="7" fillId="0" borderId="0" xfId="0" applyFont="1"/>
    <xf numFmtId="0" fontId="0" fillId="0" borderId="10" xfId="0" applyBorder="1"/>
    <xf numFmtId="0" fontId="5" fillId="0" borderId="11" xfId="0" applyFont="1" applyBorder="1" applyAlignment="1">
      <alignment horizontal="center" vertical="center"/>
    </xf>
    <xf numFmtId="0" fontId="0" fillId="0" borderId="11" xfId="0" applyBorder="1" applyAlignment="1">
      <alignment vertical="center"/>
    </xf>
    <xf numFmtId="0" fontId="0" fillId="0" borderId="11" xfId="0" applyBorder="1" applyAlignment="1">
      <alignment wrapText="1"/>
    </xf>
    <xf numFmtId="0" fontId="0" fillId="0" borderId="12" xfId="0" applyBorder="1"/>
    <xf numFmtId="0" fontId="3" fillId="0" borderId="13" xfId="0" applyFont="1" applyBorder="1" applyAlignment="1">
      <alignment horizontal="center" vertical="center" wrapText="1"/>
    </xf>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0" fontId="15" fillId="3" borderId="13" xfId="2" applyFont="1" applyFill="1" applyBorder="1" applyAlignment="1" applyProtection="1">
      <alignment horizontal="center" vertical="center"/>
      <protection locked="0"/>
    </xf>
    <xf numFmtId="0" fontId="5" fillId="0" borderId="13" xfId="0" applyFont="1" applyBorder="1" applyAlignment="1">
      <alignment horizontal="center" vertical="center"/>
    </xf>
    <xf numFmtId="0" fontId="5" fillId="0" borderId="13" xfId="0" applyFont="1" applyBorder="1" applyAlignment="1">
      <alignment wrapText="1"/>
    </xf>
    <xf numFmtId="0" fontId="15" fillId="0" borderId="13" xfId="2" applyFont="1" applyFill="1" applyBorder="1" applyAlignment="1">
      <alignment horizontal="center" vertical="center"/>
    </xf>
    <xf numFmtId="0" fontId="4" fillId="0" borderId="13" xfId="0" applyFont="1" applyBorder="1" applyAlignment="1">
      <alignment wrapText="1"/>
    </xf>
    <xf numFmtId="0" fontId="5" fillId="0" borderId="14" xfId="0" applyFont="1" applyBorder="1" applyAlignment="1">
      <alignment horizontal="center" vertical="center"/>
    </xf>
    <xf numFmtId="0" fontId="0" fillId="0" borderId="14" xfId="0" applyBorder="1" applyAlignment="1">
      <alignment vertical="center"/>
    </xf>
    <xf numFmtId="0" fontId="0" fillId="0" borderId="14" xfId="0" applyBorder="1" applyAlignment="1">
      <alignment wrapText="1"/>
    </xf>
    <xf numFmtId="0" fontId="5" fillId="0" borderId="10" xfId="0" applyFont="1" applyBorder="1" applyAlignment="1">
      <alignment horizontal="center" vertical="center"/>
    </xf>
    <xf numFmtId="0" fontId="0" fillId="0" borderId="10" xfId="0" applyBorder="1" applyAlignment="1">
      <alignment vertical="center"/>
    </xf>
    <xf numFmtId="0" fontId="0" fillId="0" borderId="10" xfId="0" applyBorder="1" applyAlignment="1">
      <alignment wrapText="1"/>
    </xf>
    <xf numFmtId="0" fontId="17" fillId="0" borderId="10" xfId="3" applyBorder="1"/>
    <xf numFmtId="0" fontId="17" fillId="0" borderId="11" xfId="3" applyBorder="1"/>
    <xf numFmtId="0" fontId="17" fillId="0" borderId="11" xfId="3" applyBorder="1" applyAlignment="1">
      <alignment vertical="center"/>
    </xf>
    <xf numFmtId="0" fontId="17" fillId="0" borderId="12" xfId="3" applyBorder="1" applyAlignment="1">
      <alignment vertical="center"/>
    </xf>
    <xf numFmtId="0" fontId="17" fillId="0" borderId="15" xfId="3" applyBorder="1" applyAlignment="1">
      <alignment vertical="center"/>
    </xf>
    <xf numFmtId="0" fontId="18" fillId="0" borderId="3" xfId="3" applyFont="1" applyBorder="1" applyAlignment="1">
      <alignment horizontal="center" vertical="center" wrapText="1"/>
    </xf>
    <xf numFmtId="0" fontId="18" fillId="0" borderId="4" xfId="3" applyFont="1" applyBorder="1" applyAlignment="1">
      <alignment horizontal="center" vertical="center"/>
    </xf>
    <xf numFmtId="0" fontId="18" fillId="0" borderId="16" xfId="3" applyFont="1" applyBorder="1" applyAlignment="1">
      <alignment horizontal="center" vertical="center"/>
    </xf>
    <xf numFmtId="0" fontId="18" fillId="0" borderId="9" xfId="3" applyFont="1" applyBorder="1" applyAlignment="1">
      <alignment horizontal="center" vertical="center"/>
    </xf>
    <xf numFmtId="0" fontId="17" fillId="0" borderId="17" xfId="3" applyBorder="1" applyAlignment="1">
      <alignment vertical="center"/>
    </xf>
    <xf numFmtId="0" fontId="17" fillId="0" borderId="10" xfId="3" applyBorder="1" applyAlignment="1">
      <alignment vertical="center"/>
    </xf>
    <xf numFmtId="0" fontId="17" fillId="0" borderId="12" xfId="3" applyBorder="1"/>
    <xf numFmtId="0" fontId="19" fillId="0" borderId="18" xfId="3" applyFont="1" applyBorder="1" applyAlignment="1">
      <alignment horizontal="left" vertical="center" wrapText="1"/>
    </xf>
    <xf numFmtId="49" fontId="17" fillId="6" borderId="19" xfId="3" applyNumberFormat="1" applyFill="1" applyBorder="1" applyAlignment="1" applyProtection="1">
      <alignment horizontal="center" vertical="center"/>
      <protection locked="0"/>
    </xf>
    <xf numFmtId="0" fontId="20" fillId="0" borderId="19" xfId="3" applyFont="1" applyBorder="1" applyAlignment="1">
      <alignment vertical="center" wrapText="1"/>
    </xf>
    <xf numFmtId="0" fontId="1" fillId="0" borderId="20" xfId="3" applyFont="1" applyBorder="1" applyAlignment="1">
      <alignment horizontal="center" vertical="center"/>
    </xf>
    <xf numFmtId="0" fontId="17" fillId="0" borderId="17" xfId="3" applyBorder="1"/>
    <xf numFmtId="0" fontId="19" fillId="0" borderId="22" xfId="3" applyFont="1" applyBorder="1" applyAlignment="1">
      <alignment horizontal="left" vertical="center"/>
    </xf>
    <xf numFmtId="1" fontId="21" fillId="3" borderId="13" xfId="3" applyNumberFormat="1" applyFont="1" applyFill="1" applyBorder="1" applyAlignment="1" applyProtection="1">
      <alignment horizontal="center" vertical="center"/>
      <protection locked="0"/>
    </xf>
    <xf numFmtId="0" fontId="19" fillId="0" borderId="23" xfId="3" applyFont="1" applyBorder="1" applyAlignment="1">
      <alignment vertical="center" wrapText="1"/>
    </xf>
    <xf numFmtId="0" fontId="1" fillId="0" borderId="24" xfId="3" applyFont="1" applyBorder="1" applyAlignment="1">
      <alignment horizontal="center" vertical="center"/>
    </xf>
    <xf numFmtId="0" fontId="19" fillId="0" borderId="25" xfId="3" applyFont="1" applyBorder="1" applyAlignment="1">
      <alignment horizontal="left" vertical="center"/>
    </xf>
    <xf numFmtId="0" fontId="17" fillId="6" borderId="13" xfId="3" applyFill="1" applyBorder="1" applyAlignment="1" applyProtection="1">
      <alignment horizontal="center" vertical="center"/>
      <protection locked="0"/>
    </xf>
    <xf numFmtId="0" fontId="19" fillId="0" borderId="26" xfId="3" applyFont="1" applyBorder="1" applyAlignment="1">
      <alignment horizontal="center" vertical="center" wrapText="1"/>
    </xf>
    <xf numFmtId="0" fontId="19" fillId="0" borderId="27" xfId="3" applyFont="1" applyBorder="1" applyAlignment="1">
      <alignment horizontal="left" vertical="center"/>
    </xf>
    <xf numFmtId="0" fontId="19" fillId="0" borderId="13" xfId="3" applyFont="1" applyBorder="1" applyAlignment="1">
      <alignment vertical="center" wrapText="1"/>
    </xf>
    <xf numFmtId="0" fontId="19" fillId="0" borderId="28" xfId="3" applyFont="1" applyBorder="1" applyAlignment="1">
      <alignment horizontal="center" vertical="center" wrapText="1"/>
    </xf>
    <xf numFmtId="0" fontId="19" fillId="0" borderId="29" xfId="3" applyFont="1" applyBorder="1" applyAlignment="1">
      <alignment vertical="center"/>
    </xf>
    <xf numFmtId="0" fontId="19" fillId="0" borderId="30" xfId="3" applyFont="1" applyBorder="1" applyAlignment="1">
      <alignment horizontal="left" vertical="center" wrapText="1"/>
    </xf>
    <xf numFmtId="0" fontId="20" fillId="0" borderId="13" xfId="3" applyFont="1" applyBorder="1" applyAlignment="1">
      <alignment vertical="center" wrapText="1"/>
    </xf>
    <xf numFmtId="0" fontId="20" fillId="0" borderId="28" xfId="3" applyFont="1" applyBorder="1" applyAlignment="1">
      <alignment horizontal="center" vertical="center" wrapText="1"/>
    </xf>
    <xf numFmtId="0" fontId="19" fillId="0" borderId="31" xfId="3" applyFont="1" applyBorder="1" applyAlignment="1">
      <alignment vertical="center"/>
    </xf>
    <xf numFmtId="0" fontId="20" fillId="0" borderId="30" xfId="3" applyFont="1" applyBorder="1" applyAlignment="1">
      <alignment vertical="center" wrapText="1"/>
    </xf>
    <xf numFmtId="0" fontId="19" fillId="0" borderId="33" xfId="3" applyFont="1" applyBorder="1" applyAlignment="1">
      <alignment vertical="center"/>
    </xf>
    <xf numFmtId="2" fontId="17" fillId="6" borderId="34" xfId="3" applyNumberFormat="1" applyFill="1" applyBorder="1" applyAlignment="1" applyProtection="1">
      <alignment horizontal="center" vertical="center"/>
      <protection locked="0"/>
    </xf>
    <xf numFmtId="0" fontId="20" fillId="0" borderId="35" xfId="3" applyFont="1" applyBorder="1" applyAlignment="1">
      <alignment vertical="center" wrapText="1"/>
    </xf>
    <xf numFmtId="0" fontId="20" fillId="0" borderId="36" xfId="3" applyFont="1" applyBorder="1" applyAlignment="1">
      <alignment horizontal="center" vertical="center" wrapText="1"/>
    </xf>
    <xf numFmtId="0" fontId="17" fillId="6" borderId="23" xfId="3" applyFill="1" applyBorder="1" applyAlignment="1" applyProtection="1">
      <alignment horizontal="center" vertical="center"/>
      <protection locked="0"/>
    </xf>
    <xf numFmtId="0" fontId="19" fillId="0" borderId="37" xfId="3" applyFont="1" applyBorder="1" applyAlignment="1">
      <alignment vertical="center" wrapText="1"/>
    </xf>
    <xf numFmtId="0" fontId="19" fillId="0" borderId="29" xfId="3" applyFont="1" applyBorder="1" applyAlignment="1">
      <alignment horizontal="left" vertical="center"/>
    </xf>
    <xf numFmtId="2" fontId="17" fillId="6" borderId="13" xfId="3" applyNumberFormat="1" applyFill="1" applyBorder="1" applyAlignment="1" applyProtection="1">
      <alignment horizontal="center" vertical="center"/>
      <protection locked="0"/>
    </xf>
    <xf numFmtId="0" fontId="17" fillId="0" borderId="38" xfId="3" applyBorder="1"/>
    <xf numFmtId="0" fontId="17" fillId="7" borderId="17" xfId="3" applyFill="1" applyBorder="1"/>
    <xf numFmtId="0" fontId="19" fillId="0" borderId="29" xfId="3" applyFont="1" applyBorder="1" applyAlignment="1">
      <alignment horizontal="left" vertical="center" wrapText="1"/>
    </xf>
    <xf numFmtId="0" fontId="19" fillId="0" borderId="39" xfId="3" applyFont="1" applyBorder="1" applyAlignment="1">
      <alignment horizontal="left" vertical="center" wrapText="1"/>
    </xf>
    <xf numFmtId="0" fontId="17" fillId="6" borderId="40" xfId="3" applyFill="1" applyBorder="1" applyAlignment="1" applyProtection="1">
      <alignment horizontal="center" vertical="center"/>
      <protection locked="0"/>
    </xf>
    <xf numFmtId="0" fontId="20" fillId="0" borderId="41" xfId="3" applyFont="1" applyBorder="1" applyAlignment="1">
      <alignment vertical="center" wrapText="1"/>
    </xf>
    <xf numFmtId="0" fontId="20" fillId="0" borderId="42" xfId="3" applyFont="1" applyBorder="1" applyAlignment="1">
      <alignment horizontal="center" vertical="center" wrapText="1"/>
    </xf>
    <xf numFmtId="0" fontId="17" fillId="7" borderId="12" xfId="3" applyFill="1" applyBorder="1"/>
    <xf numFmtId="0" fontId="17" fillId="7" borderId="2" xfId="3" applyFill="1" applyBorder="1" applyAlignment="1">
      <alignment wrapText="1"/>
    </xf>
    <xf numFmtId="0" fontId="19" fillId="7" borderId="33" xfId="3" applyFont="1" applyFill="1" applyBorder="1" applyAlignment="1">
      <alignment vertical="center"/>
    </xf>
    <xf numFmtId="0" fontId="17" fillId="7" borderId="34" xfId="3" applyFill="1" applyBorder="1" applyAlignment="1">
      <alignment horizontal="center" vertical="center"/>
    </xf>
    <xf numFmtId="0" fontId="20" fillId="7" borderId="35" xfId="3" applyFont="1" applyFill="1" applyBorder="1" applyAlignment="1">
      <alignment vertical="center" wrapText="1"/>
    </xf>
    <xf numFmtId="0" fontId="20" fillId="7" borderId="36" xfId="3" applyFont="1" applyFill="1" applyBorder="1" applyAlignment="1">
      <alignment horizontal="center" vertical="center" wrapText="1"/>
    </xf>
    <xf numFmtId="0" fontId="17" fillId="7" borderId="10" xfId="3" applyFill="1" applyBorder="1"/>
    <xf numFmtId="0" fontId="22" fillId="0" borderId="18" xfId="3" applyFont="1" applyBorder="1" applyAlignment="1">
      <alignment horizontal="center" vertical="center" wrapText="1"/>
    </xf>
    <xf numFmtId="165" fontId="17" fillId="3" borderId="19" xfId="3" applyNumberFormat="1" applyFill="1" applyBorder="1" applyAlignment="1" applyProtection="1">
      <alignment horizontal="center" vertical="center"/>
      <protection locked="0"/>
    </xf>
    <xf numFmtId="0" fontId="23" fillId="0" borderId="19" xfId="3" applyFont="1" applyBorder="1" applyAlignment="1">
      <alignment vertical="center" wrapText="1"/>
    </xf>
    <xf numFmtId="9" fontId="20" fillId="0" borderId="43" xfId="1" applyFont="1" applyBorder="1" applyAlignment="1">
      <alignment horizontal="center" vertical="center" wrapText="1"/>
    </xf>
    <xf numFmtId="0" fontId="22" fillId="0" borderId="29" xfId="3" applyFont="1" applyBorder="1" applyAlignment="1">
      <alignment horizontal="center" vertical="center" wrapText="1"/>
    </xf>
    <xf numFmtId="165" fontId="17" fillId="3" borderId="13" xfId="3" applyNumberFormat="1" applyFill="1" applyBorder="1" applyAlignment="1" applyProtection="1">
      <alignment horizontal="center" vertical="center"/>
      <protection locked="0"/>
    </xf>
    <xf numFmtId="0" fontId="23" fillId="0" borderId="13" xfId="3" applyFont="1" applyBorder="1" applyAlignment="1">
      <alignment vertical="center" wrapText="1"/>
    </xf>
    <xf numFmtId="9" fontId="20" fillId="0" borderId="44" xfId="1" applyFont="1" applyBorder="1" applyAlignment="1">
      <alignment horizontal="center" vertical="center" wrapText="1"/>
    </xf>
    <xf numFmtId="0" fontId="22" fillId="0" borderId="39" xfId="3" applyFont="1" applyBorder="1" applyAlignment="1">
      <alignment horizontal="center" vertical="center" wrapText="1"/>
    </xf>
    <xf numFmtId="165" fontId="17" fillId="3" borderId="40" xfId="3" applyNumberFormat="1" applyFill="1" applyBorder="1" applyAlignment="1" applyProtection="1">
      <alignment horizontal="center" vertical="center"/>
      <protection locked="0"/>
    </xf>
    <xf numFmtId="0" fontId="23" fillId="0" borderId="40" xfId="3" applyFont="1" applyBorder="1" applyAlignment="1">
      <alignment vertical="center" wrapText="1"/>
    </xf>
    <xf numFmtId="9" fontId="20" fillId="0" borderId="42" xfId="1" applyFont="1" applyBorder="1" applyAlignment="1">
      <alignment horizontal="center" vertical="center" wrapText="1"/>
    </xf>
    <xf numFmtId="0" fontId="17" fillId="0" borderId="14" xfId="3" applyBorder="1"/>
    <xf numFmtId="0" fontId="17" fillId="0" borderId="14" xfId="3" applyBorder="1" applyAlignment="1">
      <alignment vertical="center"/>
    </xf>
    <xf numFmtId="0" fontId="24" fillId="0" borderId="0" xfId="0" applyFont="1" applyAlignment="1" applyProtection="1">
      <alignment vertical="top"/>
      <protection locked="0"/>
    </xf>
    <xf numFmtId="0" fontId="25" fillId="0" borderId="0" xfId="0" applyFont="1" applyAlignment="1" applyProtection="1">
      <alignment vertical="center"/>
      <protection locked="0"/>
    </xf>
    <xf numFmtId="164" fontId="24" fillId="0" borderId="0" xfId="0" applyNumberFormat="1" applyFont="1" applyAlignment="1" applyProtection="1">
      <alignment horizontal="right" vertical="top"/>
      <protection locked="0"/>
    </xf>
    <xf numFmtId="9" fontId="24" fillId="0" borderId="0" xfId="1" applyFont="1" applyAlignment="1" applyProtection="1">
      <alignment vertical="top"/>
      <protection locked="0"/>
    </xf>
    <xf numFmtId="164" fontId="24" fillId="0" borderId="0" xfId="0" applyNumberFormat="1" applyFont="1" applyAlignment="1" applyProtection="1">
      <alignment vertical="top"/>
      <protection locked="0"/>
    </xf>
    <xf numFmtId="0" fontId="24" fillId="0" borderId="0" xfId="0" applyFont="1" applyAlignment="1">
      <alignment vertical="top"/>
    </xf>
    <xf numFmtId="0" fontId="24" fillId="0" borderId="0" xfId="0" applyFont="1" applyAlignment="1">
      <alignment vertical="top" wrapText="1"/>
    </xf>
    <xf numFmtId="0" fontId="24" fillId="3" borderId="0" xfId="0" applyFont="1" applyFill="1" applyAlignment="1" applyProtection="1">
      <alignment vertical="top" wrapText="1"/>
      <protection locked="0"/>
    </xf>
    <xf numFmtId="0" fontId="24" fillId="3" borderId="0" xfId="0" applyFont="1" applyFill="1" applyAlignment="1" applyProtection="1">
      <alignment vertical="top"/>
      <protection locked="0"/>
    </xf>
    <xf numFmtId="0" fontId="24" fillId="0" borderId="0" xfId="0" applyFont="1" applyAlignment="1">
      <alignment vertical="center"/>
    </xf>
    <xf numFmtId="0" fontId="25" fillId="0" borderId="0" xfId="0" applyFont="1" applyAlignment="1" applyProtection="1">
      <alignment vertical="top"/>
      <protection locked="0"/>
    </xf>
    <xf numFmtId="0" fontId="25" fillId="0" borderId="0" xfId="0" applyFont="1" applyAlignment="1" applyProtection="1">
      <alignment vertical="top" wrapText="1"/>
      <protection locked="0"/>
    </xf>
    <xf numFmtId="0" fontId="25" fillId="3" borderId="0" xfId="0" applyFont="1" applyFill="1" applyAlignment="1" applyProtection="1">
      <alignment vertical="top" wrapText="1"/>
      <protection locked="0"/>
    </xf>
    <xf numFmtId="0" fontId="25" fillId="3" borderId="0" xfId="0" applyFont="1" applyFill="1" applyAlignment="1" applyProtection="1">
      <alignment vertical="top"/>
      <protection locked="0"/>
    </xf>
    <xf numFmtId="0" fontId="24" fillId="0" borderId="0" xfId="0" applyFont="1" applyAlignment="1" applyProtection="1">
      <alignment vertical="center"/>
      <protection locked="0"/>
    </xf>
    <xf numFmtId="0" fontId="0" fillId="8" borderId="0" xfId="0" applyFill="1" applyAlignment="1">
      <alignment vertical="top"/>
    </xf>
    <xf numFmtId="0" fontId="0" fillId="8" borderId="0" xfId="0" applyFill="1" applyAlignment="1" applyProtection="1">
      <alignment vertical="top"/>
      <protection locked="0"/>
    </xf>
    <xf numFmtId="0" fontId="5" fillId="8" borderId="0" xfId="0" applyFont="1" applyFill="1" applyAlignment="1">
      <alignment vertical="top" wrapText="1"/>
    </xf>
    <xf numFmtId="0" fontId="5" fillId="8" borderId="0" xfId="0" applyFont="1" applyFill="1" applyAlignment="1">
      <alignment vertical="top"/>
    </xf>
    <xf numFmtId="0" fontId="0" fillId="8" borderId="0" xfId="0" applyFill="1" applyAlignment="1">
      <alignment vertical="top" wrapText="1"/>
    </xf>
    <xf numFmtId="9" fontId="24" fillId="0" borderId="0" xfId="0" applyNumberFormat="1" applyFont="1" applyAlignment="1" applyProtection="1">
      <alignment vertical="top"/>
      <protection locked="0"/>
    </xf>
    <xf numFmtId="0" fontId="0" fillId="8" borderId="0" xfId="0" applyFill="1" applyProtection="1">
      <protection locked="0"/>
    </xf>
    <xf numFmtId="0" fontId="0" fillId="8" borderId="0" xfId="0" applyFill="1"/>
    <xf numFmtId="0" fontId="26" fillId="0" borderId="0" xfId="0" applyFont="1" applyAlignment="1" applyProtection="1">
      <alignment vertical="top" wrapText="1"/>
      <protection locked="0"/>
    </xf>
    <xf numFmtId="0" fontId="3" fillId="8" borderId="0" xfId="0" applyFont="1" applyFill="1" applyAlignment="1">
      <alignment vertical="top"/>
    </xf>
    <xf numFmtId="0" fontId="6" fillId="8" borderId="0" xfId="0" applyFont="1" applyFill="1" applyAlignment="1" applyProtection="1">
      <alignment vertical="top"/>
      <protection locked="0"/>
    </xf>
    <xf numFmtId="0" fontId="5" fillId="8" borderId="0" xfId="0" applyFont="1" applyFill="1" applyAlignment="1" applyProtection="1">
      <alignment vertical="top"/>
      <protection locked="0"/>
    </xf>
    <xf numFmtId="0" fontId="26" fillId="0" borderId="0" xfId="0" applyFont="1" applyAlignment="1">
      <alignment vertical="center"/>
    </xf>
    <xf numFmtId="0" fontId="26" fillId="0" borderId="0" xfId="0" applyFont="1" applyAlignment="1" applyProtection="1">
      <alignment vertical="top"/>
      <protection locked="0"/>
    </xf>
    <xf numFmtId="0" fontId="27" fillId="9" borderId="0" xfId="0" applyFont="1" applyFill="1" applyAlignment="1">
      <alignment vertical="center"/>
    </xf>
    <xf numFmtId="0" fontId="26" fillId="9" borderId="0" xfId="0" applyFont="1" applyFill="1" applyAlignment="1">
      <alignment vertical="center"/>
    </xf>
    <xf numFmtId="0" fontId="28" fillId="0" borderId="0" xfId="0" applyFont="1"/>
    <xf numFmtId="0" fontId="6" fillId="9" borderId="0" xfId="0" applyFont="1" applyFill="1" applyAlignment="1" applyProtection="1">
      <alignment vertical="center"/>
      <protection locked="0"/>
    </xf>
    <xf numFmtId="0" fontId="0" fillId="9" borderId="0" xfId="0" applyFill="1" applyAlignment="1">
      <alignment vertical="center"/>
    </xf>
    <xf numFmtId="0" fontId="29" fillId="0" borderId="0" xfId="0" applyFont="1" applyAlignment="1">
      <alignment vertical="top" wrapText="1"/>
    </xf>
    <xf numFmtId="0" fontId="26" fillId="3" borderId="0" xfId="0" applyFont="1" applyFill="1" applyAlignment="1" applyProtection="1">
      <alignment vertical="top" wrapText="1"/>
      <protection locked="0"/>
    </xf>
    <xf numFmtId="0" fontId="26" fillId="3" borderId="0" xfId="0" applyFont="1" applyFill="1" applyAlignment="1" applyProtection="1">
      <alignment vertical="top"/>
      <protection locked="0"/>
    </xf>
    <xf numFmtId="0" fontId="26" fillId="0" borderId="0" xfId="0" applyFont="1" applyAlignment="1" applyProtection="1">
      <alignment vertical="center"/>
      <protection locked="0"/>
    </xf>
    <xf numFmtId="164" fontId="26" fillId="0" borderId="0" xfId="0" applyNumberFormat="1" applyFont="1" applyAlignment="1" applyProtection="1">
      <alignment horizontal="right" vertical="top"/>
      <protection locked="0"/>
    </xf>
    <xf numFmtId="165" fontId="26" fillId="0" borderId="0" xfId="0" applyNumberFormat="1" applyFont="1" applyAlignment="1" applyProtection="1">
      <alignment vertical="top"/>
      <protection locked="0"/>
    </xf>
    <xf numFmtId="164" fontId="26" fillId="0" borderId="0" xfId="0" applyNumberFormat="1" applyFont="1" applyAlignment="1" applyProtection="1">
      <alignment vertical="top"/>
      <protection locked="0"/>
    </xf>
    <xf numFmtId="0" fontId="26" fillId="9" borderId="0" xfId="0" applyFont="1" applyFill="1" applyAlignment="1" applyProtection="1">
      <alignment vertical="center"/>
      <protection locked="0"/>
    </xf>
    <xf numFmtId="0" fontId="3" fillId="8" borderId="0" xfId="0" applyFont="1" applyFill="1" applyAlignment="1">
      <alignment vertical="top" wrapText="1"/>
    </xf>
    <xf numFmtId="0" fontId="26" fillId="0" borderId="6" xfId="0" applyFont="1" applyBorder="1" applyAlignment="1">
      <alignment vertical="top"/>
    </xf>
    <xf numFmtId="0" fontId="29" fillId="0" borderId="0" xfId="0" applyFont="1" applyAlignment="1" applyProtection="1">
      <alignment vertical="top"/>
      <protection locked="0"/>
    </xf>
    <xf numFmtId="0" fontId="3" fillId="9" borderId="0" xfId="0" applyFont="1" applyFill="1" applyAlignment="1">
      <alignment vertical="center"/>
    </xf>
    <xf numFmtId="9" fontId="26" fillId="0" borderId="0" xfId="1" applyFont="1" applyAlignment="1" applyProtection="1">
      <alignment vertical="top"/>
      <protection locked="0"/>
    </xf>
    <xf numFmtId="0" fontId="0" fillId="9" borderId="0" xfId="0" applyFill="1" applyAlignment="1" applyProtection="1">
      <alignment vertical="center"/>
      <protection locked="0"/>
    </xf>
    <xf numFmtId="0" fontId="17" fillId="0" borderId="2" xfId="3" applyBorder="1" applyAlignment="1">
      <alignment horizontal="center" vertical="top" textRotation="90" wrapText="1"/>
    </xf>
    <xf numFmtId="0" fontId="0" fillId="0" borderId="21" xfId="0" applyBorder="1"/>
    <xf numFmtId="0" fontId="0" fillId="0" borderId="32" xfId="0" applyBorder="1"/>
    <xf numFmtId="0" fontId="17" fillId="0" borderId="32" xfId="3" applyBorder="1" applyAlignment="1">
      <alignment horizontal="center" vertical="top" textRotation="90" wrapText="1"/>
    </xf>
    <xf numFmtId="0" fontId="17" fillId="0" borderId="2" xfId="3" applyBorder="1" applyAlignment="1">
      <alignment horizontal="center" vertical="top" textRotation="90"/>
    </xf>
  </cellXfs>
  <cellStyles count="4">
    <cellStyle name="Check Cell 2" xfId="2" xr:uid="{00000000-0005-0000-0000-000002000000}"/>
    <cellStyle name="Normal" xfId="0" builtinId="0"/>
    <cellStyle name="Normal 4 2 2" xfId="3" xr:uid="{00000000-0005-0000-0000-000003000000}"/>
    <cellStyle name="Percent" xfId="1" builtinId="5"/>
  </cellStyles>
  <dxfs count="4">
    <dxf>
      <fill>
        <patternFill>
          <bgColor rgb="FFF648D1"/>
        </patternFill>
      </fill>
    </dxf>
    <dxf>
      <fill>
        <patternFill>
          <bgColor rgb="FFFFCCFF"/>
        </patternFill>
      </fill>
    </dxf>
    <dxf>
      <fill>
        <patternFill>
          <bgColor rgb="FFF648D1"/>
        </patternFill>
      </fill>
    </dxf>
    <dxf>
      <fill>
        <patternFill>
          <bgColor rgb="FFFF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row r="19">
          <cell r="D19">
            <v>0.91</v>
          </cell>
        </row>
        <row r="20">
          <cell r="D20">
            <v>0.05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1"/>
  <sheetViews>
    <sheetView zoomScale="90" zoomScaleNormal="90" workbookViewId="0">
      <pane ySplit="1" topLeftCell="A105" activePane="bottomLeft" state="frozen"/>
      <selection pane="bottomLeft" activeCell="A125" sqref="A125"/>
    </sheetView>
  </sheetViews>
  <sheetFormatPr baseColWidth="10" defaultColWidth="8.83203125" defaultRowHeight="15" x14ac:dyDescent="0.2"/>
  <cols>
    <col min="1" max="1" width="29" style="17" customWidth="1"/>
    <col min="2" max="2" width="25.83203125" style="17" customWidth="1"/>
    <col min="3" max="3" width="63.5" style="55" customWidth="1"/>
    <col min="4" max="4" width="16.83203125" style="55" customWidth="1"/>
    <col min="5" max="5" width="28" style="17" customWidth="1"/>
    <col min="6" max="6" width="15.5" style="17" customWidth="1"/>
    <col min="7" max="8" width="8.83203125" style="37" customWidth="1"/>
    <col min="9" max="9" width="30.6640625" style="37" customWidth="1"/>
    <col min="10" max="10" width="8.83203125" style="37" customWidth="1"/>
    <col min="11" max="11" width="28" style="37" customWidth="1"/>
    <col min="12" max="14" width="8.83203125" style="37" customWidth="1"/>
    <col min="15" max="18" width="8.83203125" style="17" customWidth="1"/>
    <col min="19" max="19" width="9.5" style="17" customWidth="1"/>
    <col min="20" max="20" width="8.83203125" style="17" customWidth="1"/>
    <col min="21" max="21" width="18.1640625" style="88" customWidth="1"/>
    <col min="22" max="22" width="18.33203125" style="19" customWidth="1"/>
    <col min="23" max="23" width="14.1640625" style="21" customWidth="1"/>
    <col min="24" max="24" width="19.6640625" style="21" customWidth="1"/>
    <col min="25" max="25" width="8.83203125" style="21" customWidth="1"/>
    <col min="26" max="26" width="13" style="17" hidden="1" customWidth="1"/>
    <col min="27" max="27" width="8.83203125" style="17" customWidth="1"/>
    <col min="28" max="16384" width="8.83203125" style="17"/>
  </cols>
  <sheetData>
    <row r="1" spans="1:25" s="5" customFormat="1" ht="49" customHeight="1" thickBot="1" x14ac:dyDescent="0.25">
      <c r="A1" s="1" t="s">
        <v>0</v>
      </c>
      <c r="B1" s="1" t="s">
        <v>1</v>
      </c>
      <c r="C1" s="2" t="s">
        <v>2</v>
      </c>
      <c r="D1" s="3" t="s">
        <v>3</v>
      </c>
      <c r="E1" s="1" t="s">
        <v>4</v>
      </c>
      <c r="F1" s="4" t="s">
        <v>5</v>
      </c>
      <c r="G1" s="1" t="s">
        <v>6</v>
      </c>
      <c r="H1" s="1" t="s">
        <v>7</v>
      </c>
      <c r="I1" s="1" t="s">
        <v>8</v>
      </c>
      <c r="J1" s="1" t="s">
        <v>9</v>
      </c>
      <c r="K1" s="1" t="s">
        <v>10</v>
      </c>
      <c r="L1" s="1" t="s">
        <v>11</v>
      </c>
      <c r="M1" s="1" t="s">
        <v>12</v>
      </c>
      <c r="N1" s="1" t="s">
        <v>13</v>
      </c>
      <c r="S1" s="6" t="s">
        <v>14</v>
      </c>
      <c r="U1" s="7" t="s">
        <v>15</v>
      </c>
      <c r="V1" s="8" t="s">
        <v>16</v>
      </c>
      <c r="W1" s="9" t="s">
        <v>17</v>
      </c>
      <c r="X1" s="10" t="s">
        <v>18</v>
      </c>
      <c r="Y1" s="11"/>
    </row>
    <row r="2" spans="1:25" x14ac:dyDescent="0.2">
      <c r="A2" s="12" t="s">
        <v>19</v>
      </c>
      <c r="B2" s="12" t="s">
        <v>19</v>
      </c>
      <c r="C2" s="13"/>
      <c r="D2" s="14"/>
      <c r="E2" s="12"/>
      <c r="F2" s="15"/>
      <c r="G2" s="16"/>
      <c r="H2" s="16"/>
      <c r="I2" s="16"/>
      <c r="J2" s="16"/>
      <c r="K2" s="16"/>
      <c r="L2" s="16"/>
      <c r="M2" s="16"/>
      <c r="N2" s="16"/>
      <c r="U2" s="18"/>
      <c r="W2" s="20" t="str">
        <f>IF(U2&lt;&gt;"",U2*V2,"")</f>
        <v/>
      </c>
      <c r="X2" s="20" t="str">
        <f>IF(AND(U2&lt;&gt;"",S2="yes"),U2*V2,"")</f>
        <v/>
      </c>
    </row>
    <row r="3" spans="1:25" x14ac:dyDescent="0.2">
      <c r="A3" s="12" t="s">
        <v>20</v>
      </c>
      <c r="B3" s="12" t="s">
        <v>20</v>
      </c>
      <c r="C3" s="13"/>
      <c r="D3" s="14"/>
      <c r="E3" s="12"/>
      <c r="F3" s="15"/>
      <c r="G3" s="16"/>
      <c r="H3" s="16"/>
      <c r="I3" s="16"/>
      <c r="J3" s="16"/>
      <c r="K3" s="16"/>
      <c r="L3" s="16"/>
      <c r="M3" s="16"/>
      <c r="N3" s="16"/>
      <c r="U3" s="18"/>
      <c r="W3" s="20" t="str">
        <f>IF(U3&lt;&gt;"",U3*V3,"")</f>
        <v/>
      </c>
      <c r="X3" s="20" t="str">
        <f>IF(AND(U3&lt;&gt;"",S3="yes"),U3*V3,"")</f>
        <v/>
      </c>
    </row>
    <row r="4" spans="1:25" x14ac:dyDescent="0.2">
      <c r="A4" s="12" t="s">
        <v>21</v>
      </c>
      <c r="B4" s="12" t="s">
        <v>21</v>
      </c>
      <c r="C4" s="13"/>
      <c r="D4" s="14"/>
      <c r="E4" s="12"/>
      <c r="F4" s="15"/>
      <c r="G4" s="16"/>
      <c r="H4" s="16"/>
      <c r="I4" s="16"/>
      <c r="J4" s="16"/>
      <c r="K4" s="16"/>
      <c r="L4" s="16"/>
      <c r="M4" s="16"/>
      <c r="N4" s="16"/>
      <c r="U4" s="18"/>
      <c r="W4" s="20" t="str">
        <f>IF(U4&lt;&gt;"",U4*V4,"")</f>
        <v/>
      </c>
      <c r="X4" s="20" t="str">
        <f>IF(AND(U4&lt;&gt;"",S4="yes"),U4*V4,"")</f>
        <v/>
      </c>
    </row>
    <row r="5" spans="1:25" x14ac:dyDescent="0.2">
      <c r="A5" s="12" t="s">
        <v>22</v>
      </c>
      <c r="B5" s="12" t="s">
        <v>22</v>
      </c>
      <c r="C5" s="13"/>
      <c r="D5" s="14"/>
      <c r="E5" s="12"/>
      <c r="F5" s="15"/>
      <c r="G5" s="16"/>
      <c r="H5" s="16"/>
      <c r="I5" s="16"/>
      <c r="J5" s="16"/>
      <c r="K5" s="16"/>
      <c r="L5" s="16"/>
      <c r="M5" s="16"/>
      <c r="N5" s="16"/>
      <c r="U5" s="18"/>
      <c r="W5" s="20" t="str">
        <f>IF(U5&lt;&gt;"",U5*V5,"")</f>
        <v/>
      </c>
      <c r="X5" s="20" t="str">
        <f>IF(AND(U5&lt;&gt;"",S5="yes"),U5*V5,"")</f>
        <v/>
      </c>
    </row>
    <row r="6" spans="1:25" x14ac:dyDescent="0.2">
      <c r="A6" s="12" t="s">
        <v>23</v>
      </c>
      <c r="B6" s="12" t="s">
        <v>23</v>
      </c>
      <c r="C6" s="13"/>
      <c r="D6" s="14"/>
      <c r="E6" s="12"/>
      <c r="F6" s="15"/>
      <c r="G6" s="16"/>
      <c r="H6" s="16"/>
      <c r="I6" s="16"/>
      <c r="J6" s="16"/>
      <c r="K6" s="16"/>
      <c r="L6" s="16"/>
      <c r="M6" s="16"/>
      <c r="N6" s="16"/>
      <c r="U6" s="18"/>
      <c r="W6" s="20"/>
      <c r="X6" s="20"/>
    </row>
    <row r="7" spans="1:25" x14ac:dyDescent="0.2">
      <c r="A7" s="12" t="s">
        <v>24</v>
      </c>
      <c r="B7" s="12" t="s">
        <v>25</v>
      </c>
      <c r="C7" s="13"/>
      <c r="D7" s="14"/>
      <c r="E7" s="12"/>
      <c r="F7" s="15"/>
      <c r="G7" s="16"/>
      <c r="H7" s="16"/>
      <c r="I7" s="16"/>
      <c r="J7" s="16"/>
      <c r="K7" s="17"/>
      <c r="L7" s="16"/>
      <c r="M7" s="16"/>
      <c r="N7" s="16" t="s">
        <v>26</v>
      </c>
      <c r="U7" s="18"/>
      <c r="W7" s="20"/>
      <c r="X7" s="20"/>
    </row>
    <row r="8" spans="1:25" x14ac:dyDescent="0.2">
      <c r="A8" s="12" t="s">
        <v>27</v>
      </c>
      <c r="B8" s="12" t="s">
        <v>27</v>
      </c>
      <c r="C8" s="13"/>
      <c r="D8" s="14"/>
      <c r="E8" s="12"/>
      <c r="F8" s="15"/>
      <c r="G8" s="16"/>
      <c r="H8" s="16"/>
      <c r="I8" s="16"/>
      <c r="J8" s="16"/>
      <c r="K8" s="16" t="s">
        <v>28</v>
      </c>
      <c r="L8" s="16"/>
      <c r="M8" s="16" t="s">
        <v>29</v>
      </c>
      <c r="N8" s="16"/>
      <c r="U8" s="18"/>
      <c r="W8" s="20"/>
      <c r="X8" s="20"/>
    </row>
    <row r="9" spans="1:25" s="22" customFormat="1" ht="16" customHeight="1" x14ac:dyDescent="0.2">
      <c r="A9" s="22" t="s">
        <v>30</v>
      </c>
      <c r="B9" s="22" t="s">
        <v>31</v>
      </c>
      <c r="C9" s="23" t="s">
        <v>32</v>
      </c>
      <c r="D9" s="24"/>
      <c r="F9" s="25"/>
      <c r="G9" s="26"/>
      <c r="H9" s="26"/>
      <c r="J9" s="26"/>
      <c r="K9" s="26"/>
      <c r="L9" s="26"/>
      <c r="M9" s="26"/>
      <c r="N9" s="26"/>
      <c r="U9" s="27"/>
      <c r="V9" s="28"/>
      <c r="W9" s="29"/>
      <c r="X9" s="29"/>
    </row>
    <row r="10" spans="1:25" ht="16" customHeight="1" x14ac:dyDescent="0.2">
      <c r="A10" s="12" t="s">
        <v>33</v>
      </c>
      <c r="B10" s="12" t="s">
        <v>34</v>
      </c>
      <c r="C10" s="13" t="s">
        <v>35</v>
      </c>
      <c r="D10" s="14"/>
      <c r="E10" s="12"/>
      <c r="F10" s="15"/>
      <c r="G10" s="16" t="s">
        <v>36</v>
      </c>
      <c r="H10" s="16"/>
      <c r="I10" s="16"/>
      <c r="J10" s="16"/>
      <c r="K10" s="16"/>
      <c r="L10" s="26" t="s">
        <v>37</v>
      </c>
      <c r="M10" s="16"/>
      <c r="N10" s="16"/>
      <c r="S10" s="17" t="s">
        <v>38</v>
      </c>
      <c r="U10" s="18"/>
      <c r="W10" s="20" t="str">
        <f>IF(U10&lt;&gt;"",U10*V10,"")</f>
        <v/>
      </c>
      <c r="X10" s="20" t="str">
        <f>IF(AND(U10&lt;&gt;"",S10="yes"),U10*V10,"")</f>
        <v/>
      </c>
    </row>
    <row r="11" spans="1:25" x14ac:dyDescent="0.2">
      <c r="A11" s="12" t="s">
        <v>24</v>
      </c>
      <c r="B11" s="12" t="s">
        <v>39</v>
      </c>
      <c r="C11" s="13"/>
      <c r="D11" s="14"/>
      <c r="E11" s="12"/>
      <c r="F11" s="15"/>
      <c r="G11" s="16"/>
      <c r="H11" s="16"/>
      <c r="I11" s="16"/>
      <c r="J11" s="16"/>
      <c r="K11" s="16"/>
      <c r="L11" s="16"/>
      <c r="M11" s="16"/>
      <c r="N11" s="16" t="s">
        <v>40</v>
      </c>
      <c r="S11" s="17" t="s">
        <v>38</v>
      </c>
      <c r="U11" s="18"/>
      <c r="W11" s="20" t="str">
        <f>IF(U11&lt;&gt;"",U11*V11,"")</f>
        <v/>
      </c>
      <c r="X11" s="20" t="str">
        <f>IF(AND(U11&lt;&gt;"",S11="yes"),U11*V11,"")</f>
        <v/>
      </c>
    </row>
    <row r="12" spans="1:25" s="22" customFormat="1" ht="16" customHeight="1" thickBot="1" x14ac:dyDescent="0.25">
      <c r="A12" s="30"/>
      <c r="B12" s="30"/>
      <c r="C12" s="31"/>
      <c r="D12" s="32"/>
      <c r="E12" s="30"/>
      <c r="F12" s="33"/>
      <c r="G12" s="34"/>
      <c r="H12" s="34"/>
      <c r="I12" s="34"/>
      <c r="J12" s="34"/>
      <c r="K12" s="34"/>
      <c r="L12" s="34"/>
      <c r="M12" s="34"/>
      <c r="N12" s="34"/>
      <c r="U12" s="18"/>
      <c r="V12" s="19"/>
      <c r="W12" s="20"/>
      <c r="X12" s="20"/>
      <c r="Y12" s="21"/>
    </row>
    <row r="13" spans="1:25" ht="225" customHeight="1" thickTop="1" x14ac:dyDescent="0.2">
      <c r="A13" s="12" t="s">
        <v>41</v>
      </c>
      <c r="B13" s="12" t="s">
        <v>42</v>
      </c>
      <c r="C13" s="35" t="s">
        <v>43</v>
      </c>
      <c r="D13" s="14"/>
      <c r="E13" s="12" t="s">
        <v>44</v>
      </c>
      <c r="F13" s="15"/>
      <c r="G13" s="16" t="s">
        <v>45</v>
      </c>
      <c r="H13" s="16"/>
      <c r="I13" s="16"/>
      <c r="J13" s="16"/>
      <c r="K13" s="16"/>
      <c r="L13" s="16"/>
      <c r="M13" s="16"/>
      <c r="N13" s="16"/>
      <c r="S13" s="17" t="s">
        <v>46</v>
      </c>
      <c r="U13" s="18">
        <v>50.822540283203118</v>
      </c>
      <c r="W13" s="20">
        <f t="shared" ref="W13:W31" si="0">IF(U13&lt;&gt;"",U13*V13,"")</f>
        <v>0</v>
      </c>
      <c r="X13" s="20" t="str">
        <f t="shared" ref="X13:X31" si="1">IF(AND(U13&lt;&gt;"",S13="yes"),U13*V13,"")</f>
        <v/>
      </c>
    </row>
    <row r="14" spans="1:25" ht="16" customHeight="1" x14ac:dyDescent="0.2">
      <c r="A14" s="12" t="s">
        <v>47</v>
      </c>
      <c r="B14" s="12" t="s">
        <v>48</v>
      </c>
      <c r="C14" s="13" t="s">
        <v>49</v>
      </c>
      <c r="D14" s="14"/>
      <c r="E14" s="12"/>
      <c r="F14" s="15"/>
      <c r="G14" s="16" t="s">
        <v>45</v>
      </c>
      <c r="H14" s="16"/>
      <c r="I14" s="16"/>
      <c r="J14" s="16"/>
      <c r="K14" s="16"/>
      <c r="L14" s="16"/>
      <c r="M14" s="16"/>
      <c r="N14" s="16"/>
      <c r="S14" s="17" t="s">
        <v>38</v>
      </c>
      <c r="U14" s="18">
        <v>3.5</v>
      </c>
      <c r="V14" s="19">
        <f>1</f>
        <v>1</v>
      </c>
      <c r="W14" s="20">
        <f t="shared" si="0"/>
        <v>3.5</v>
      </c>
      <c r="X14" s="20">
        <f t="shared" si="1"/>
        <v>3.5</v>
      </c>
    </row>
    <row r="15" spans="1:25" s="21" customFormat="1" ht="16" customHeight="1" x14ac:dyDescent="0.2">
      <c r="A15" s="38" t="s">
        <v>41</v>
      </c>
      <c r="B15" s="38" t="s">
        <v>50</v>
      </c>
      <c r="C15" s="39" t="s">
        <v>51</v>
      </c>
      <c r="D15" s="40"/>
      <c r="E15" s="38"/>
      <c r="F15" s="41"/>
      <c r="G15" s="42" t="s">
        <v>45</v>
      </c>
      <c r="H15" s="42"/>
      <c r="I15" s="42"/>
      <c r="J15" s="42"/>
      <c r="K15" s="42" t="s">
        <v>52</v>
      </c>
      <c r="L15" s="42"/>
      <c r="M15" s="42"/>
      <c r="N15" s="42"/>
      <c r="S15" s="21" t="s">
        <v>46</v>
      </c>
      <c r="U15" s="18">
        <v>0</v>
      </c>
      <c r="V15" s="19">
        <v>1</v>
      </c>
      <c r="W15" s="20">
        <f t="shared" si="0"/>
        <v>0</v>
      </c>
      <c r="X15" s="20" t="str">
        <f t="shared" si="1"/>
        <v/>
      </c>
    </row>
    <row r="16" spans="1:25" s="21" customFormat="1" ht="16" customHeight="1" thickBot="1" x14ac:dyDescent="0.25">
      <c r="A16" s="43"/>
      <c r="B16" s="43"/>
      <c r="C16" s="44"/>
      <c r="D16" s="45"/>
      <c r="E16" s="43"/>
      <c r="F16" s="46"/>
      <c r="G16" s="47"/>
      <c r="H16" s="47"/>
      <c r="I16" s="47"/>
      <c r="J16" s="47"/>
      <c r="K16" s="47"/>
      <c r="L16" s="47"/>
      <c r="M16" s="47"/>
      <c r="N16" s="47"/>
      <c r="U16" s="18"/>
      <c r="V16" s="19"/>
      <c r="W16" s="20" t="str">
        <f t="shared" si="0"/>
        <v/>
      </c>
      <c r="X16" s="20" t="str">
        <f t="shared" si="1"/>
        <v/>
      </c>
    </row>
    <row r="17" spans="1:25" s="53" customFormat="1" ht="17" customHeight="1" thickTop="1" x14ac:dyDescent="0.2">
      <c r="A17" s="48" t="s">
        <v>53</v>
      </c>
      <c r="B17" s="48" t="s">
        <v>54</v>
      </c>
      <c r="C17" s="49" t="s">
        <v>55</v>
      </c>
      <c r="D17" s="50"/>
      <c r="E17" s="48"/>
      <c r="F17" s="51"/>
      <c r="G17" s="52" t="s">
        <v>45</v>
      </c>
      <c r="H17" s="52"/>
      <c r="I17" s="52"/>
      <c r="J17" s="52"/>
      <c r="K17" s="52" t="s">
        <v>56</v>
      </c>
      <c r="L17" s="52"/>
      <c r="M17" s="52"/>
      <c r="N17" s="52"/>
      <c r="S17" s="17" t="s">
        <v>38</v>
      </c>
      <c r="U17" s="18"/>
      <c r="V17" s="19"/>
      <c r="W17" s="20" t="str">
        <f t="shared" si="0"/>
        <v/>
      </c>
      <c r="X17" s="20" t="str">
        <f t="shared" si="1"/>
        <v/>
      </c>
      <c r="Y17" s="54"/>
    </row>
    <row r="18" spans="1:25" s="22" customFormat="1" x14ac:dyDescent="0.2">
      <c r="C18" s="23"/>
      <c r="D18" s="24"/>
      <c r="F18" s="25"/>
      <c r="G18" s="26"/>
      <c r="H18" s="26"/>
      <c r="I18" s="26"/>
      <c r="J18" s="26"/>
      <c r="K18" s="26"/>
      <c r="L18" s="26"/>
      <c r="M18" s="26"/>
      <c r="N18" s="26"/>
      <c r="U18" s="18"/>
      <c r="V18" s="21"/>
      <c r="W18" s="20" t="str">
        <f t="shared" si="0"/>
        <v/>
      </c>
      <c r="X18" s="20" t="str">
        <f t="shared" si="1"/>
        <v/>
      </c>
      <c r="Y18" s="21"/>
    </row>
    <row r="19" spans="1:25" s="22" customFormat="1" ht="16" customHeight="1" x14ac:dyDescent="0.2">
      <c r="A19" s="38" t="s">
        <v>57</v>
      </c>
      <c r="B19" s="38" t="s">
        <v>58</v>
      </c>
      <c r="C19" s="39" t="s">
        <v>59</v>
      </c>
      <c r="D19" s="24"/>
      <c r="E19" s="21" t="s">
        <v>60</v>
      </c>
      <c r="F19" s="25"/>
      <c r="G19" s="42" t="s">
        <v>36</v>
      </c>
      <c r="H19" s="42"/>
      <c r="I19" s="42"/>
      <c r="J19" s="42"/>
      <c r="K19" s="42"/>
      <c r="L19" s="42"/>
      <c r="M19" s="42"/>
      <c r="N19" s="42"/>
      <c r="S19" s="21" t="s">
        <v>38</v>
      </c>
      <c r="U19" s="18">
        <v>10</v>
      </c>
      <c r="V19" s="19">
        <f>1</f>
        <v>1</v>
      </c>
      <c r="W19" s="20">
        <f t="shared" si="0"/>
        <v>10</v>
      </c>
      <c r="X19" s="20">
        <f t="shared" si="1"/>
        <v>10</v>
      </c>
      <c r="Y19" s="21"/>
    </row>
    <row r="20" spans="1:25" s="22" customFormat="1" ht="16" customHeight="1" x14ac:dyDescent="0.2">
      <c r="A20" s="38" t="s">
        <v>57</v>
      </c>
      <c r="B20" s="38" t="s">
        <v>61</v>
      </c>
      <c r="C20" s="39" t="s">
        <v>62</v>
      </c>
      <c r="D20" s="24"/>
      <c r="E20" s="21" t="s">
        <v>63</v>
      </c>
      <c r="F20" s="25"/>
      <c r="G20" s="42" t="s">
        <v>36</v>
      </c>
      <c r="H20" s="42"/>
      <c r="I20" s="42"/>
      <c r="J20" s="42"/>
      <c r="K20" s="42"/>
      <c r="L20" s="42"/>
      <c r="M20" s="42"/>
      <c r="N20" s="42"/>
      <c r="S20" s="21" t="s">
        <v>38</v>
      </c>
      <c r="U20" s="18">
        <v>10</v>
      </c>
      <c r="V20" s="19">
        <f>1</f>
        <v>1</v>
      </c>
      <c r="W20" s="20">
        <f t="shared" si="0"/>
        <v>10</v>
      </c>
      <c r="X20" s="20">
        <f t="shared" si="1"/>
        <v>10</v>
      </c>
      <c r="Y20" s="21"/>
    </row>
    <row r="21" spans="1:25" s="22" customFormat="1" x14ac:dyDescent="0.2">
      <c r="C21" s="23"/>
      <c r="D21" s="24"/>
      <c r="F21" s="25"/>
      <c r="G21" s="26"/>
      <c r="H21" s="26"/>
      <c r="I21" s="26"/>
      <c r="J21" s="26"/>
      <c r="K21" s="26"/>
      <c r="L21" s="26"/>
      <c r="M21" s="26"/>
      <c r="N21" s="26"/>
      <c r="U21" s="18"/>
      <c r="V21" s="19">
        <f>1</f>
        <v>1</v>
      </c>
      <c r="W21" s="20" t="str">
        <f t="shared" si="0"/>
        <v/>
      </c>
      <c r="X21" s="20" t="str">
        <f t="shared" si="1"/>
        <v/>
      </c>
      <c r="Y21" s="21"/>
    </row>
    <row r="22" spans="1:25" ht="16" customHeight="1" x14ac:dyDescent="0.2">
      <c r="A22" s="12" t="s">
        <v>64</v>
      </c>
      <c r="B22" s="12" t="s">
        <v>65</v>
      </c>
      <c r="C22" s="13" t="s">
        <v>66</v>
      </c>
      <c r="D22" s="40"/>
      <c r="E22" s="38" t="s">
        <v>67</v>
      </c>
      <c r="F22" s="15"/>
      <c r="G22" s="16" t="s">
        <v>36</v>
      </c>
      <c r="H22" s="16"/>
      <c r="I22" s="16" t="s">
        <v>68</v>
      </c>
      <c r="J22" s="16"/>
      <c r="K22" s="16"/>
      <c r="L22" s="16"/>
      <c r="M22" s="16"/>
      <c r="N22" s="16"/>
      <c r="S22" s="17" t="s">
        <v>38</v>
      </c>
      <c r="U22" s="18">
        <v>13.753072738647459</v>
      </c>
      <c r="V22" s="19">
        <f>1</f>
        <v>1</v>
      </c>
      <c r="W22" s="20">
        <f t="shared" si="0"/>
        <v>13.753072738647459</v>
      </c>
      <c r="X22" s="20">
        <f t="shared" si="1"/>
        <v>13.753072738647459</v>
      </c>
    </row>
    <row r="23" spans="1:25" x14ac:dyDescent="0.2">
      <c r="D23" s="14"/>
      <c r="F23" s="15"/>
      <c r="U23" s="18"/>
      <c r="V23" s="19">
        <f>1</f>
        <v>1</v>
      </c>
      <c r="W23" s="20" t="str">
        <f t="shared" si="0"/>
        <v/>
      </c>
      <c r="X23" s="20" t="str">
        <f t="shared" si="1"/>
        <v/>
      </c>
    </row>
    <row r="24" spans="1:25" s="22" customFormat="1" ht="16" customHeight="1" x14ac:dyDescent="0.2">
      <c r="A24" s="22" t="s">
        <v>69</v>
      </c>
      <c r="B24" s="22" t="s">
        <v>70</v>
      </c>
      <c r="C24" s="23" t="s">
        <v>71</v>
      </c>
      <c r="D24" s="24"/>
      <c r="E24" s="22" t="s">
        <v>72</v>
      </c>
      <c r="F24" s="25"/>
      <c r="G24" s="26" t="s">
        <v>36</v>
      </c>
      <c r="H24" s="26"/>
      <c r="I24" s="26"/>
      <c r="J24" s="26"/>
      <c r="K24" s="26"/>
      <c r="L24" s="26"/>
      <c r="M24" s="26"/>
      <c r="N24" s="26"/>
      <c r="S24" s="22" t="s">
        <v>46</v>
      </c>
      <c r="U24" s="18">
        <v>2.1173560619354248</v>
      </c>
      <c r="V24" s="19">
        <f>1</f>
        <v>1</v>
      </c>
      <c r="W24" s="20">
        <f t="shared" si="0"/>
        <v>2.1173560619354248</v>
      </c>
      <c r="X24" s="20" t="str">
        <f t="shared" si="1"/>
        <v/>
      </c>
      <c r="Y24" s="21"/>
    </row>
    <row r="25" spans="1:25" s="22" customFormat="1" x14ac:dyDescent="0.2">
      <c r="C25" s="23"/>
      <c r="D25" s="24"/>
      <c r="F25" s="25"/>
      <c r="G25" s="56"/>
      <c r="H25" s="56"/>
      <c r="I25" s="56"/>
      <c r="J25" s="57"/>
      <c r="K25" s="56"/>
      <c r="L25" s="56"/>
      <c r="M25" s="26"/>
      <c r="N25" s="26"/>
      <c r="U25" s="18"/>
      <c r="V25" s="19">
        <f>1</f>
        <v>1</v>
      </c>
      <c r="W25" s="20" t="str">
        <f t="shared" si="0"/>
        <v/>
      </c>
      <c r="X25" s="20" t="str">
        <f t="shared" si="1"/>
        <v/>
      </c>
      <c r="Y25" s="21"/>
    </row>
    <row r="26" spans="1:25" s="64" customFormat="1" ht="16" customHeight="1" x14ac:dyDescent="0.2">
      <c r="A26" s="58" t="s">
        <v>57</v>
      </c>
      <c r="B26" s="58" t="s">
        <v>73</v>
      </c>
      <c r="C26" s="59" t="s">
        <v>74</v>
      </c>
      <c r="D26" s="60"/>
      <c r="E26" s="61"/>
      <c r="F26" s="62"/>
      <c r="G26" s="63" t="s">
        <v>36</v>
      </c>
      <c r="H26" s="63" t="s">
        <v>75</v>
      </c>
      <c r="I26" s="56" t="s">
        <v>76</v>
      </c>
      <c r="J26" s="63" t="s">
        <v>77</v>
      </c>
      <c r="K26" s="63"/>
      <c r="L26" s="63"/>
      <c r="M26" s="63"/>
      <c r="N26" s="57"/>
      <c r="S26" s="61" t="s">
        <v>78</v>
      </c>
      <c r="U26" s="18">
        <v>10</v>
      </c>
      <c r="V26" s="19">
        <f>1</f>
        <v>1</v>
      </c>
      <c r="W26" s="20">
        <f t="shared" si="0"/>
        <v>10</v>
      </c>
      <c r="X26" s="20" t="str">
        <f t="shared" si="1"/>
        <v/>
      </c>
    </row>
    <row r="27" spans="1:25" s="22" customFormat="1" x14ac:dyDescent="0.2">
      <c r="C27" s="23"/>
      <c r="D27" s="24"/>
      <c r="F27" s="25"/>
      <c r="G27" s="26"/>
      <c r="H27" s="26"/>
      <c r="I27" s="26"/>
      <c r="J27" s="65"/>
      <c r="K27" s="26"/>
      <c r="L27" s="26"/>
      <c r="M27" s="26"/>
      <c r="N27" s="26"/>
      <c r="U27" s="18"/>
      <c r="V27" s="19">
        <f>1</f>
        <v>1</v>
      </c>
      <c r="W27" s="20" t="str">
        <f t="shared" si="0"/>
        <v/>
      </c>
      <c r="X27" s="20" t="str">
        <f t="shared" si="1"/>
        <v/>
      </c>
      <c r="Y27" s="21"/>
    </row>
    <row r="28" spans="1:25" ht="16" customHeight="1" x14ac:dyDescent="0.2">
      <c r="A28" s="12" t="s">
        <v>79</v>
      </c>
      <c r="B28" s="12" t="s">
        <v>80</v>
      </c>
      <c r="C28" s="13" t="s">
        <v>81</v>
      </c>
      <c r="D28" s="14"/>
      <c r="E28" s="12" t="s">
        <v>82</v>
      </c>
      <c r="F28" s="15"/>
      <c r="G28" s="16" t="s">
        <v>36</v>
      </c>
      <c r="H28" s="42" t="s">
        <v>83</v>
      </c>
      <c r="I28" s="16"/>
      <c r="J28" s="57"/>
      <c r="K28" s="16"/>
      <c r="L28" s="16"/>
      <c r="M28" s="16"/>
      <c r="N28" s="16"/>
      <c r="S28" s="17" t="s">
        <v>38</v>
      </c>
      <c r="U28" s="18">
        <v>8.8000000000000007</v>
      </c>
      <c r="V28" s="19">
        <f>1</f>
        <v>1</v>
      </c>
      <c r="W28" s="20">
        <f t="shared" si="0"/>
        <v>8.8000000000000007</v>
      </c>
      <c r="X28" s="20">
        <f t="shared" si="1"/>
        <v>8.8000000000000007</v>
      </c>
    </row>
    <row r="29" spans="1:25" x14ac:dyDescent="0.2">
      <c r="A29" s="12" t="s">
        <v>24</v>
      </c>
      <c r="B29" s="12" t="s">
        <v>84</v>
      </c>
      <c r="C29" s="13"/>
      <c r="D29" s="14"/>
      <c r="E29" s="12"/>
      <c r="F29" s="15"/>
      <c r="G29" s="16"/>
      <c r="H29" s="16"/>
      <c r="I29" s="16"/>
      <c r="J29" s="16"/>
      <c r="K29" s="16"/>
      <c r="L29" s="16"/>
      <c r="M29" s="16"/>
      <c r="N29" s="16" t="s">
        <v>85</v>
      </c>
      <c r="S29" s="17" t="s">
        <v>38</v>
      </c>
      <c r="U29" s="18"/>
      <c r="V29" s="19">
        <f>1</f>
        <v>1</v>
      </c>
      <c r="W29" s="20" t="str">
        <f t="shared" si="0"/>
        <v/>
      </c>
      <c r="X29" s="20" t="str">
        <f t="shared" si="1"/>
        <v/>
      </c>
    </row>
    <row r="30" spans="1:25" ht="16" customHeight="1" x14ac:dyDescent="0.2">
      <c r="A30" s="12" t="s">
        <v>86</v>
      </c>
      <c r="B30" s="12" t="s">
        <v>87</v>
      </c>
      <c r="C30" s="13" t="s">
        <v>88</v>
      </c>
      <c r="D30" s="14"/>
      <c r="E30" s="12"/>
      <c r="F30" s="15"/>
      <c r="G30" s="16" t="s">
        <v>36</v>
      </c>
      <c r="H30" s="42" t="s">
        <v>83</v>
      </c>
      <c r="I30" s="16"/>
      <c r="J30" s="16"/>
      <c r="K30" s="16"/>
      <c r="L30" s="16" t="s">
        <v>89</v>
      </c>
      <c r="M30" s="16"/>
      <c r="N30" s="16"/>
      <c r="S30" s="17" t="s">
        <v>38</v>
      </c>
      <c r="U30" s="18">
        <v>10.4</v>
      </c>
      <c r="V30" s="19">
        <f>1</f>
        <v>1</v>
      </c>
      <c r="W30" s="20">
        <f t="shared" si="0"/>
        <v>10.4</v>
      </c>
      <c r="X30" s="20">
        <f t="shared" si="1"/>
        <v>10.4</v>
      </c>
    </row>
    <row r="31" spans="1:25" x14ac:dyDescent="0.2">
      <c r="A31" s="12" t="s">
        <v>24</v>
      </c>
      <c r="B31" s="12" t="s">
        <v>90</v>
      </c>
      <c r="C31" s="13"/>
      <c r="D31" s="14"/>
      <c r="E31" s="12"/>
      <c r="F31" s="15"/>
      <c r="G31" s="16"/>
      <c r="H31" s="16"/>
      <c r="I31" s="16"/>
      <c r="J31" s="16"/>
      <c r="K31" s="16"/>
      <c r="L31" s="16"/>
      <c r="M31" s="16"/>
      <c r="N31" s="16" t="s">
        <v>91</v>
      </c>
      <c r="S31" s="17" t="s">
        <v>38</v>
      </c>
      <c r="U31" s="18"/>
      <c r="V31" s="19">
        <f>1</f>
        <v>1</v>
      </c>
      <c r="W31" s="20" t="str">
        <f t="shared" si="0"/>
        <v/>
      </c>
      <c r="X31" s="20" t="str">
        <f t="shared" si="1"/>
        <v/>
      </c>
    </row>
    <row r="32" spans="1:25" ht="16" customHeight="1" x14ac:dyDescent="0.2">
      <c r="A32" s="12" t="s">
        <v>92</v>
      </c>
      <c r="B32" s="237" t="s">
        <v>93</v>
      </c>
      <c r="C32" s="13" t="s">
        <v>5859</v>
      </c>
      <c r="D32" s="14"/>
      <c r="E32" s="12"/>
      <c r="F32" s="15"/>
      <c r="G32" s="252" t="s">
        <v>36</v>
      </c>
      <c r="H32" s="252" t="s">
        <v>83</v>
      </c>
      <c r="I32" s="16"/>
      <c r="J32" s="16"/>
      <c r="K32" s="16"/>
      <c r="L32" s="252" t="s">
        <v>94</v>
      </c>
      <c r="M32" s="249"/>
      <c r="N32" s="249"/>
      <c r="O32" s="250"/>
      <c r="P32" s="250"/>
      <c r="Q32" s="250"/>
      <c r="R32" s="250"/>
      <c r="S32" s="250" t="s">
        <v>38</v>
      </c>
      <c r="U32" s="18"/>
      <c r="W32" s="20"/>
      <c r="X32" s="20"/>
    </row>
    <row r="33" spans="1:25" x14ac:dyDescent="0.2">
      <c r="A33" s="12" t="s">
        <v>24</v>
      </c>
      <c r="B33" s="237" t="s">
        <v>95</v>
      </c>
      <c r="C33" s="17"/>
      <c r="D33" s="14"/>
      <c r="E33" s="12"/>
      <c r="F33" s="15"/>
      <c r="G33" s="16"/>
      <c r="H33" s="16"/>
      <c r="I33" s="16"/>
      <c r="J33" s="16"/>
      <c r="K33" s="16"/>
      <c r="L33" s="249"/>
      <c r="M33" s="249"/>
      <c r="N33" s="252" t="s">
        <v>96</v>
      </c>
      <c r="O33" s="250"/>
      <c r="P33" s="250"/>
      <c r="Q33" s="250"/>
      <c r="R33" s="250"/>
      <c r="S33" s="250" t="s">
        <v>38</v>
      </c>
      <c r="U33" s="18"/>
      <c r="W33" s="20"/>
      <c r="X33" s="20"/>
    </row>
    <row r="34" spans="1:25" x14ac:dyDescent="0.2">
      <c r="A34" s="12" t="s">
        <v>97</v>
      </c>
      <c r="B34" s="237" t="s">
        <v>98</v>
      </c>
      <c r="C34" s="17" t="s">
        <v>99</v>
      </c>
      <c r="D34" s="14"/>
      <c r="E34" s="12"/>
      <c r="F34" s="15"/>
      <c r="G34" s="16" t="b">
        <v>1</v>
      </c>
      <c r="H34" s="16"/>
      <c r="I34" s="16"/>
      <c r="J34" s="16"/>
      <c r="K34" s="16"/>
      <c r="L34" s="249"/>
      <c r="M34" s="249"/>
      <c r="N34" s="249"/>
      <c r="O34" s="249"/>
      <c r="P34" s="250"/>
      <c r="Q34" s="250"/>
      <c r="R34" s="250"/>
      <c r="S34" s="250"/>
      <c r="U34" s="18"/>
      <c r="W34" s="20"/>
      <c r="X34" s="20"/>
    </row>
    <row r="35" spans="1:25" x14ac:dyDescent="0.2">
      <c r="A35" s="12" t="s">
        <v>100</v>
      </c>
      <c r="B35" s="237" t="s">
        <v>101</v>
      </c>
      <c r="C35" s="17" t="s">
        <v>102</v>
      </c>
      <c r="D35" s="14"/>
      <c r="E35" s="12"/>
      <c r="F35" s="15"/>
      <c r="G35" s="252" t="s">
        <v>36</v>
      </c>
      <c r="H35" s="16"/>
      <c r="I35" s="106"/>
      <c r="J35" s="16"/>
      <c r="K35" s="251" t="s">
        <v>103</v>
      </c>
      <c r="L35" s="16"/>
      <c r="M35" s="16"/>
      <c r="N35" s="16"/>
      <c r="U35" s="18"/>
      <c r="W35" s="20"/>
      <c r="X35" s="20"/>
    </row>
    <row r="36" spans="1:25" x14ac:dyDescent="0.2">
      <c r="D36" s="14"/>
      <c r="F36" s="15"/>
      <c r="U36" s="18"/>
      <c r="V36" s="19">
        <f>1</f>
        <v>1</v>
      </c>
      <c r="W36" s="20" t="str">
        <f t="shared" ref="W36:W42" si="2">IF(U36&lt;&gt;"",U36*V36,"")</f>
        <v/>
      </c>
      <c r="X36" s="20" t="str">
        <f t="shared" ref="X36:X42" si="3">IF(AND(U36&lt;&gt;"",S36="yes"),U36*V36,"")</f>
        <v/>
      </c>
    </row>
    <row r="37" spans="1:25" s="55" customFormat="1" ht="48" customHeight="1" x14ac:dyDescent="0.2">
      <c r="A37" s="13" t="s">
        <v>104</v>
      </c>
      <c r="B37" s="13" t="s">
        <v>105</v>
      </c>
      <c r="C37" s="13" t="s">
        <v>106</v>
      </c>
      <c r="D37" s="14"/>
      <c r="E37" s="66" t="s">
        <v>107</v>
      </c>
      <c r="F37" s="14"/>
      <c r="G37" s="67" t="s">
        <v>36</v>
      </c>
      <c r="H37" s="67"/>
      <c r="I37" s="67"/>
      <c r="J37" s="67"/>
      <c r="K37" s="67"/>
      <c r="L37" s="67"/>
      <c r="M37" s="67"/>
      <c r="N37" s="67"/>
      <c r="S37" s="55" t="s">
        <v>38</v>
      </c>
      <c r="U37" s="68">
        <v>31.372377395629879</v>
      </c>
      <c r="V37" s="19">
        <f>1</f>
        <v>1</v>
      </c>
      <c r="W37" s="69">
        <f t="shared" si="2"/>
        <v>31.372377395629879</v>
      </c>
      <c r="X37" s="69">
        <f t="shared" si="3"/>
        <v>31.372377395629879</v>
      </c>
      <c r="Y37" s="36"/>
    </row>
    <row r="38" spans="1:25" s="22" customFormat="1" ht="48" customHeight="1" x14ac:dyDescent="0.2">
      <c r="A38" s="22" t="s">
        <v>108</v>
      </c>
      <c r="B38" s="22" t="s">
        <v>109</v>
      </c>
      <c r="C38" s="23" t="s">
        <v>110</v>
      </c>
      <c r="D38" s="25"/>
      <c r="E38" s="22" t="s">
        <v>111</v>
      </c>
      <c r="F38" s="25"/>
      <c r="G38" s="26" t="s">
        <v>36</v>
      </c>
      <c r="H38" s="26"/>
      <c r="I38" s="26"/>
      <c r="J38" s="26"/>
      <c r="K38" s="26"/>
      <c r="L38" s="26"/>
      <c r="M38" s="26"/>
      <c r="N38" s="26"/>
      <c r="S38" s="22" t="s">
        <v>46</v>
      </c>
      <c r="U38" s="18">
        <v>17</v>
      </c>
      <c r="V38" s="19">
        <f>1</f>
        <v>1</v>
      </c>
      <c r="W38" s="20">
        <f t="shared" si="2"/>
        <v>17</v>
      </c>
      <c r="X38" s="20" t="str">
        <f t="shared" si="3"/>
        <v/>
      </c>
      <c r="Y38" s="21"/>
    </row>
    <row r="39" spans="1:25" x14ac:dyDescent="0.2">
      <c r="D39" s="14"/>
      <c r="F39" s="15"/>
      <c r="U39" s="18"/>
      <c r="V39" s="19">
        <f>1</f>
        <v>1</v>
      </c>
      <c r="W39" s="20" t="str">
        <f t="shared" si="2"/>
        <v/>
      </c>
      <c r="X39" s="20" t="str">
        <f t="shared" si="3"/>
        <v/>
      </c>
    </row>
    <row r="40" spans="1:25" s="21" customFormat="1" ht="16" customHeight="1" thickBot="1" x14ac:dyDescent="0.25">
      <c r="A40" s="70" t="s">
        <v>112</v>
      </c>
      <c r="B40" s="70"/>
      <c r="C40" s="71"/>
      <c r="D40" s="45"/>
      <c r="E40" s="70"/>
      <c r="F40" s="46"/>
      <c r="G40" s="72"/>
      <c r="H40" s="72"/>
      <c r="I40" s="72"/>
      <c r="J40" s="72"/>
      <c r="K40" s="72"/>
      <c r="L40" s="72"/>
      <c r="M40" s="72"/>
      <c r="N40" s="72"/>
      <c r="U40" s="18"/>
      <c r="V40" s="19"/>
      <c r="W40" s="20" t="str">
        <f t="shared" si="2"/>
        <v/>
      </c>
      <c r="X40" s="20" t="str">
        <f t="shared" si="3"/>
        <v/>
      </c>
    </row>
    <row r="41" spans="1:25" s="53" customFormat="1" ht="17" customHeight="1" thickTop="1" x14ac:dyDescent="0.2">
      <c r="A41" s="48" t="s">
        <v>53</v>
      </c>
      <c r="B41" s="48" t="s">
        <v>113</v>
      </c>
      <c r="C41" s="49" t="s">
        <v>114</v>
      </c>
      <c r="D41" s="50"/>
      <c r="E41" s="48"/>
      <c r="F41" s="51"/>
      <c r="G41" s="52" t="s">
        <v>45</v>
      </c>
      <c r="H41" s="52"/>
      <c r="I41" s="52"/>
      <c r="J41" s="52"/>
      <c r="K41" s="52" t="s">
        <v>115</v>
      </c>
      <c r="L41" s="52"/>
      <c r="M41" s="52"/>
      <c r="N41" s="52"/>
      <c r="S41" s="17" t="s">
        <v>38</v>
      </c>
      <c r="U41" s="18"/>
      <c r="V41" s="19"/>
      <c r="W41" s="20" t="str">
        <f t="shared" si="2"/>
        <v/>
      </c>
      <c r="X41" s="20" t="str">
        <f t="shared" si="3"/>
        <v/>
      </c>
      <c r="Y41" s="54"/>
    </row>
    <row r="42" spans="1:25" x14ac:dyDescent="0.2">
      <c r="D42" s="14"/>
      <c r="F42" s="15"/>
      <c r="U42" s="18"/>
      <c r="V42" s="19">
        <f>1</f>
        <v>1</v>
      </c>
      <c r="W42" s="20" t="str">
        <f t="shared" si="2"/>
        <v/>
      </c>
      <c r="X42" s="20" t="str">
        <f t="shared" si="3"/>
        <v/>
      </c>
    </row>
    <row r="43" spans="1:25" ht="16" customHeight="1" x14ac:dyDescent="0.2">
      <c r="A43" s="12" t="s">
        <v>108</v>
      </c>
      <c r="B43" s="12" t="s">
        <v>116</v>
      </c>
      <c r="C43" s="13" t="s">
        <v>117</v>
      </c>
      <c r="D43" s="14"/>
      <c r="E43" s="12"/>
      <c r="F43" s="15"/>
      <c r="G43" s="16" t="s">
        <v>36</v>
      </c>
      <c r="H43" s="16"/>
      <c r="I43" s="16"/>
      <c r="J43" s="16"/>
      <c r="K43" s="16"/>
      <c r="L43" s="16"/>
      <c r="M43" s="16"/>
      <c r="N43" s="16"/>
      <c r="S43" s="17" t="s">
        <v>38</v>
      </c>
      <c r="U43" s="73"/>
      <c r="V43" s="74"/>
      <c r="W43" s="75"/>
      <c r="X43" s="20"/>
    </row>
    <row r="44" spans="1:25" ht="16" customHeight="1" x14ac:dyDescent="0.2">
      <c r="A44" s="12" t="s">
        <v>69</v>
      </c>
      <c r="B44" s="12" t="s">
        <v>118</v>
      </c>
      <c r="C44" s="13" t="s">
        <v>119</v>
      </c>
      <c r="D44" s="14"/>
      <c r="E44" s="12"/>
      <c r="F44" s="15"/>
      <c r="G44" s="16" t="s">
        <v>36</v>
      </c>
      <c r="H44" s="16"/>
      <c r="I44" s="16"/>
      <c r="J44" s="16"/>
      <c r="K44" s="16" t="s">
        <v>120</v>
      </c>
      <c r="L44" s="16"/>
      <c r="M44" s="16"/>
      <c r="N44" s="16"/>
      <c r="S44" s="17" t="s">
        <v>38</v>
      </c>
      <c r="U44" s="18">
        <v>10.08573150634766</v>
      </c>
      <c r="V44" s="19">
        <f>1</f>
        <v>1</v>
      </c>
      <c r="W44" s="20">
        <f t="shared" ref="W44:W50" si="4">IF(U44&lt;&gt;"",U44*V44,"")</f>
        <v>10.08573150634766</v>
      </c>
      <c r="X44" s="20">
        <f t="shared" ref="X44:X50" si="5">IF(AND(U44&lt;&gt;"",S44="yes"),U44*V44,"")</f>
        <v>10.08573150634766</v>
      </c>
    </row>
    <row r="45" spans="1:25" x14ac:dyDescent="0.2">
      <c r="D45" s="14"/>
      <c r="F45" s="15"/>
      <c r="U45" s="18"/>
      <c r="V45" s="19">
        <f>1</f>
        <v>1</v>
      </c>
      <c r="W45" s="20" t="str">
        <f t="shared" si="4"/>
        <v/>
      </c>
      <c r="X45" s="20" t="str">
        <f t="shared" si="5"/>
        <v/>
      </c>
    </row>
    <row r="46" spans="1:25" ht="16" customHeight="1" x14ac:dyDescent="0.2">
      <c r="A46" s="12" t="s">
        <v>121</v>
      </c>
      <c r="B46" s="12" t="s">
        <v>122</v>
      </c>
      <c r="C46" s="13" t="s">
        <v>123</v>
      </c>
      <c r="D46" s="14"/>
      <c r="E46" s="12"/>
      <c r="F46" s="15"/>
      <c r="G46" s="16" t="s">
        <v>36</v>
      </c>
      <c r="H46" s="16"/>
      <c r="I46" s="16"/>
      <c r="J46" s="16"/>
      <c r="K46" s="16"/>
      <c r="L46" s="16"/>
      <c r="M46" s="16"/>
      <c r="N46" s="16"/>
      <c r="S46" s="17" t="s">
        <v>38</v>
      </c>
      <c r="U46" s="18">
        <v>12.894034385681151</v>
      </c>
      <c r="V46" s="19">
        <f>1</f>
        <v>1</v>
      </c>
      <c r="W46" s="20">
        <f t="shared" si="4"/>
        <v>12.894034385681151</v>
      </c>
      <c r="X46" s="20">
        <f t="shared" si="5"/>
        <v>12.894034385681151</v>
      </c>
    </row>
    <row r="47" spans="1:25" x14ac:dyDescent="0.2">
      <c r="D47" s="14"/>
      <c r="F47" s="15"/>
      <c r="U47" s="18"/>
      <c r="V47" s="19">
        <f>1</f>
        <v>1</v>
      </c>
      <c r="W47" s="20" t="str">
        <f t="shared" si="4"/>
        <v/>
      </c>
      <c r="X47" s="20" t="str">
        <f t="shared" si="5"/>
        <v/>
      </c>
    </row>
    <row r="48" spans="1:25" s="21" customFormat="1" x14ac:dyDescent="0.2">
      <c r="A48" s="21" t="s">
        <v>124</v>
      </c>
      <c r="B48" s="21" t="s">
        <v>125</v>
      </c>
      <c r="C48" s="21" t="s">
        <v>126</v>
      </c>
      <c r="D48" s="40"/>
      <c r="E48" s="76"/>
      <c r="F48" s="41"/>
      <c r="G48" s="37" t="s">
        <v>36</v>
      </c>
      <c r="H48" s="77"/>
      <c r="I48" s="77"/>
      <c r="J48" s="77"/>
      <c r="K48" s="77"/>
      <c r="L48" s="77"/>
      <c r="M48" s="77"/>
      <c r="N48" s="77"/>
      <c r="S48" s="21" t="s">
        <v>38</v>
      </c>
      <c r="U48" s="18">
        <v>15.265829086303709</v>
      </c>
      <c r="V48" s="19">
        <f>1</f>
        <v>1</v>
      </c>
      <c r="W48" s="20">
        <f t="shared" si="4"/>
        <v>15.265829086303709</v>
      </c>
      <c r="X48" s="20">
        <f t="shared" si="5"/>
        <v>15.265829086303709</v>
      </c>
    </row>
    <row r="49" spans="1:25" s="21" customFormat="1" x14ac:dyDescent="0.2">
      <c r="C49" s="36"/>
      <c r="D49" s="40"/>
      <c r="E49" s="76"/>
      <c r="F49" s="41"/>
      <c r="G49" s="77"/>
      <c r="H49" s="77"/>
      <c r="I49" s="77"/>
      <c r="J49" s="77"/>
      <c r="K49" s="77"/>
      <c r="L49" s="77"/>
      <c r="M49" s="77"/>
      <c r="N49" s="77"/>
      <c r="U49" s="18"/>
      <c r="V49" s="19">
        <f>1</f>
        <v>1</v>
      </c>
      <c r="W49" s="20" t="str">
        <f t="shared" si="4"/>
        <v/>
      </c>
      <c r="X49" s="20" t="str">
        <f t="shared" si="5"/>
        <v/>
      </c>
    </row>
    <row r="50" spans="1:25" s="22" customFormat="1" ht="24" customHeight="1" x14ac:dyDescent="0.2">
      <c r="A50" s="22" t="s">
        <v>127</v>
      </c>
      <c r="B50" s="22" t="s">
        <v>128</v>
      </c>
      <c r="C50" s="23" t="s">
        <v>129</v>
      </c>
      <c r="D50" s="24"/>
      <c r="E50" s="22" t="s">
        <v>130</v>
      </c>
      <c r="F50" s="25"/>
      <c r="G50" s="26" t="s">
        <v>36</v>
      </c>
      <c r="H50" s="26"/>
      <c r="I50" s="26"/>
      <c r="J50" s="26"/>
      <c r="K50" s="26"/>
      <c r="L50" s="26"/>
      <c r="M50" s="26"/>
      <c r="N50" s="26"/>
      <c r="S50" s="22" t="s">
        <v>46</v>
      </c>
      <c r="U50" s="18">
        <v>30.646188735961911</v>
      </c>
      <c r="V50" s="19">
        <f>1</f>
        <v>1</v>
      </c>
      <c r="W50" s="20">
        <f t="shared" si="4"/>
        <v>30.646188735961911</v>
      </c>
      <c r="X50" s="20" t="str">
        <f t="shared" si="5"/>
        <v/>
      </c>
      <c r="Y50" s="21"/>
    </row>
    <row r="51" spans="1:25" s="250" customFormat="1" ht="16" customHeight="1" x14ac:dyDescent="0.2">
      <c r="A51" s="250" t="s">
        <v>64</v>
      </c>
      <c r="B51" s="248" t="s">
        <v>131</v>
      </c>
      <c r="C51" s="245" t="s">
        <v>132</v>
      </c>
      <c r="D51" s="257"/>
      <c r="E51" s="250" t="s">
        <v>133</v>
      </c>
      <c r="F51" s="258"/>
      <c r="G51" s="263" t="b">
        <v>1</v>
      </c>
      <c r="H51" s="259"/>
      <c r="I51" s="263" t="s">
        <v>134</v>
      </c>
      <c r="J51" s="259"/>
      <c r="K51" s="252" t="s">
        <v>135</v>
      </c>
      <c r="L51" s="259"/>
      <c r="M51" s="259"/>
      <c r="N51" s="259"/>
      <c r="U51" s="260"/>
      <c r="V51" s="268"/>
      <c r="W51" s="262"/>
      <c r="X51" s="262"/>
    </row>
    <row r="52" spans="1:25" s="22" customFormat="1" ht="16" customHeight="1" x14ac:dyDescent="0.2">
      <c r="A52" s="22" t="s">
        <v>64</v>
      </c>
      <c r="B52" s="22" t="s">
        <v>136</v>
      </c>
      <c r="C52" s="23" t="s">
        <v>137</v>
      </c>
      <c r="D52" s="24"/>
      <c r="E52" s="22" t="s">
        <v>138</v>
      </c>
      <c r="F52" s="25"/>
      <c r="G52" s="26" t="s">
        <v>36</v>
      </c>
      <c r="H52" s="26"/>
      <c r="I52" s="26" t="s">
        <v>139</v>
      </c>
      <c r="J52" s="26"/>
      <c r="K52" s="26"/>
      <c r="L52" s="26"/>
      <c r="M52" s="26"/>
      <c r="N52" s="26"/>
      <c r="S52" s="22" t="s">
        <v>46</v>
      </c>
      <c r="U52" s="18">
        <v>15.21184825897217</v>
      </c>
      <c r="V52" s="19">
        <f>1</f>
        <v>1</v>
      </c>
      <c r="W52" s="20">
        <f>IF(U52&lt;&gt;"",U52*V52,"")</f>
        <v>15.21184825897217</v>
      </c>
      <c r="X52" s="20" t="str">
        <f>IF(AND(U52&lt;&gt;"",S52="yes"),U52*V52,"")</f>
        <v/>
      </c>
      <c r="Y52" s="21"/>
    </row>
    <row r="53" spans="1:25" s="22" customFormat="1" ht="16" customHeight="1" x14ac:dyDescent="0.2">
      <c r="A53" s="22" t="s">
        <v>140</v>
      </c>
      <c r="B53" s="22" t="s">
        <v>141</v>
      </c>
      <c r="C53" s="23" t="s">
        <v>142</v>
      </c>
      <c r="D53" s="24"/>
      <c r="F53" s="25"/>
      <c r="G53" s="26" t="s">
        <v>36</v>
      </c>
      <c r="H53" s="26"/>
      <c r="I53" s="26"/>
      <c r="J53" s="26"/>
      <c r="K53" s="26"/>
      <c r="L53" s="26"/>
      <c r="M53" s="26"/>
      <c r="N53" s="26"/>
      <c r="S53" s="22" t="s">
        <v>46</v>
      </c>
      <c r="U53" s="18">
        <v>17</v>
      </c>
      <c r="V53" s="19">
        <f>1</f>
        <v>1</v>
      </c>
      <c r="W53" s="20">
        <f>IF(U53&lt;&gt;"",U53*V53,"")</f>
        <v>17</v>
      </c>
      <c r="X53" s="20" t="str">
        <f>IF(AND(U53&lt;&gt;"",S53="yes"),U53*V53,"")</f>
        <v/>
      </c>
      <c r="Y53" s="21"/>
    </row>
    <row r="54" spans="1:25" s="22" customFormat="1" ht="16" customHeight="1" x14ac:dyDescent="0.2">
      <c r="A54" s="22" t="s">
        <v>143</v>
      </c>
      <c r="B54" s="22" t="s">
        <v>144</v>
      </c>
      <c r="C54" s="23" t="s">
        <v>145</v>
      </c>
      <c r="D54" s="24"/>
      <c r="F54" s="25"/>
      <c r="G54" s="26" t="s">
        <v>36</v>
      </c>
      <c r="H54" s="26"/>
      <c r="I54" s="26"/>
      <c r="J54" s="26"/>
      <c r="K54" s="26"/>
      <c r="L54" s="26"/>
      <c r="M54" s="26"/>
      <c r="N54" s="26"/>
      <c r="S54" s="22" t="s">
        <v>46</v>
      </c>
      <c r="U54" s="18">
        <v>8.2288064956665039</v>
      </c>
      <c r="V54" s="19">
        <f>1</f>
        <v>1</v>
      </c>
      <c r="W54" s="20">
        <f>IF(U54&lt;&gt;"",U54*V54,"")</f>
        <v>8.2288064956665039</v>
      </c>
      <c r="X54" s="20" t="str">
        <f>IF(AND(U54&lt;&gt;"",S54="yes"),U54*V54,"")</f>
        <v/>
      </c>
      <c r="Y54" s="21"/>
    </row>
    <row r="55" spans="1:25" s="22" customFormat="1" x14ac:dyDescent="0.2">
      <c r="C55" s="23"/>
      <c r="D55" s="24"/>
      <c r="F55" s="25"/>
      <c r="G55" s="26"/>
      <c r="J55" s="26"/>
      <c r="K55" s="26"/>
      <c r="L55" s="26"/>
      <c r="M55" s="26"/>
      <c r="N55" s="26"/>
      <c r="U55" s="18"/>
      <c r="V55" s="19"/>
      <c r="W55" s="20"/>
      <c r="X55" s="20"/>
      <c r="Y55" s="21"/>
    </row>
    <row r="56" spans="1:25" s="22" customFormat="1" ht="18.75" customHeight="1" x14ac:dyDescent="0.2">
      <c r="A56" s="48" t="s">
        <v>53</v>
      </c>
      <c r="B56" s="246" t="s">
        <v>146</v>
      </c>
      <c r="C56" s="245"/>
      <c r="D56" s="24"/>
      <c r="E56" s="23" t="s">
        <v>147</v>
      </c>
      <c r="F56" s="25"/>
      <c r="G56" s="26" t="s">
        <v>36</v>
      </c>
      <c r="H56" s="26" t="s">
        <v>148</v>
      </c>
      <c r="I56" s="26"/>
      <c r="J56" s="26"/>
      <c r="K56" s="26"/>
      <c r="L56" s="26"/>
      <c r="M56" s="26"/>
      <c r="N56" s="26"/>
      <c r="U56" s="18"/>
      <c r="V56" s="19"/>
      <c r="W56" s="20"/>
      <c r="X56" s="20"/>
      <c r="Y56" s="21"/>
    </row>
    <row r="57" spans="1:25" s="22" customFormat="1" ht="16" customHeight="1" x14ac:dyDescent="0.2">
      <c r="A57" s="17" t="s">
        <v>41</v>
      </c>
      <c r="B57" s="246" t="s">
        <v>149</v>
      </c>
      <c r="C57" s="55" t="s">
        <v>150</v>
      </c>
      <c r="D57" s="24"/>
      <c r="F57" s="25"/>
      <c r="G57" s="26" t="s">
        <v>36</v>
      </c>
      <c r="H57" s="26" t="s">
        <v>151</v>
      </c>
      <c r="I57" s="26"/>
      <c r="J57" s="26"/>
      <c r="K57" s="26"/>
      <c r="L57" s="26"/>
      <c r="M57" s="26"/>
      <c r="N57" s="26"/>
      <c r="U57" s="18"/>
      <c r="V57" s="19"/>
      <c r="W57" s="20"/>
      <c r="X57" s="20"/>
      <c r="Y57" s="21"/>
    </row>
    <row r="58" spans="1:25" s="22" customFormat="1" ht="16" customHeight="1" x14ac:dyDescent="0.2">
      <c r="A58" s="17" t="s">
        <v>64</v>
      </c>
      <c r="B58" s="238" t="s">
        <v>152</v>
      </c>
      <c r="C58" s="55" t="s">
        <v>153</v>
      </c>
      <c r="D58" s="24"/>
      <c r="F58" s="25"/>
      <c r="G58" s="26" t="s">
        <v>36</v>
      </c>
      <c r="H58" s="26" t="s">
        <v>154</v>
      </c>
      <c r="I58" s="26" t="s">
        <v>155</v>
      </c>
      <c r="J58" s="26"/>
      <c r="K58" s="26"/>
      <c r="L58" s="26"/>
      <c r="M58" s="26"/>
      <c r="N58" s="26"/>
      <c r="U58" s="18">
        <v>17</v>
      </c>
      <c r="V58" s="19"/>
      <c r="W58" s="20"/>
      <c r="X58" s="20"/>
      <c r="Y58" s="21"/>
    </row>
    <row r="59" spans="1:25" s="22" customFormat="1" ht="16" customHeight="1" x14ac:dyDescent="0.2">
      <c r="A59" s="17" t="s">
        <v>64</v>
      </c>
      <c r="B59" s="238" t="s">
        <v>156</v>
      </c>
      <c r="C59" s="55" t="s">
        <v>157</v>
      </c>
      <c r="D59" s="24"/>
      <c r="F59" s="25"/>
      <c r="G59" s="26" t="s">
        <v>36</v>
      </c>
      <c r="H59" s="26" t="s">
        <v>154</v>
      </c>
      <c r="I59" s="26" t="s">
        <v>155</v>
      </c>
      <c r="J59" s="26"/>
      <c r="K59" s="26"/>
      <c r="L59" s="26"/>
      <c r="M59" s="26"/>
      <c r="N59" s="26"/>
      <c r="U59" s="18">
        <v>17</v>
      </c>
      <c r="V59" s="19"/>
      <c r="W59" s="20"/>
      <c r="X59" s="20"/>
      <c r="Y59" s="21"/>
    </row>
    <row r="60" spans="1:25" s="22" customFormat="1" ht="32" customHeight="1" x14ac:dyDescent="0.2">
      <c r="A60" s="17" t="s">
        <v>64</v>
      </c>
      <c r="B60" s="238" t="s">
        <v>158</v>
      </c>
      <c r="C60" s="55" t="s">
        <v>159</v>
      </c>
      <c r="D60" s="24"/>
      <c r="F60" s="25"/>
      <c r="G60" s="26" t="s">
        <v>36</v>
      </c>
      <c r="H60" s="26" t="s">
        <v>154</v>
      </c>
      <c r="I60" s="26" t="s">
        <v>155</v>
      </c>
      <c r="J60" s="26"/>
      <c r="K60" s="26"/>
      <c r="L60" s="26"/>
      <c r="M60" s="26"/>
      <c r="N60" s="26"/>
      <c r="U60" s="18">
        <v>17</v>
      </c>
      <c r="V60" s="19"/>
      <c r="W60" s="20"/>
      <c r="X60" s="20"/>
      <c r="Y60" s="21"/>
    </row>
    <row r="61" spans="1:25" s="22" customFormat="1" ht="16" customHeight="1" x14ac:dyDescent="0.2">
      <c r="A61" s="17" t="s">
        <v>64</v>
      </c>
      <c r="B61" s="238" t="s">
        <v>160</v>
      </c>
      <c r="C61" s="55" t="s">
        <v>161</v>
      </c>
      <c r="D61" s="24"/>
      <c r="F61" s="25"/>
      <c r="G61" s="26" t="s">
        <v>36</v>
      </c>
      <c r="H61" s="26" t="s">
        <v>154</v>
      </c>
      <c r="I61" s="26" t="s">
        <v>155</v>
      </c>
      <c r="J61" s="26"/>
      <c r="K61" s="26"/>
      <c r="L61" s="26"/>
      <c r="M61" s="26"/>
      <c r="N61" s="26"/>
      <c r="U61" s="18">
        <v>17</v>
      </c>
      <c r="V61" s="19"/>
      <c r="W61" s="20"/>
      <c r="X61" s="20"/>
      <c r="Y61" s="21"/>
    </row>
    <row r="62" spans="1:25" s="22" customFormat="1" x14ac:dyDescent="0.2">
      <c r="A62" s="12" t="s">
        <v>112</v>
      </c>
      <c r="B62" s="247"/>
      <c r="C62" s="245"/>
      <c r="D62" s="24"/>
      <c r="F62" s="25"/>
      <c r="G62" s="26"/>
      <c r="H62" s="26"/>
      <c r="I62" s="26"/>
      <c r="J62" s="26"/>
      <c r="K62" s="26"/>
      <c r="L62" s="26"/>
      <c r="M62" s="26"/>
      <c r="N62" s="26"/>
      <c r="U62" s="18"/>
      <c r="V62" s="19"/>
      <c r="W62" s="20"/>
      <c r="X62" s="20"/>
      <c r="Y62" s="21"/>
    </row>
    <row r="63" spans="1:25" s="22" customFormat="1" x14ac:dyDescent="0.2">
      <c r="C63" s="23"/>
      <c r="D63" s="24"/>
      <c r="F63" s="25"/>
      <c r="G63" s="26"/>
      <c r="H63" s="26"/>
      <c r="I63" s="26"/>
      <c r="J63" s="26"/>
      <c r="K63" s="26"/>
      <c r="L63" s="26"/>
      <c r="M63" s="26"/>
      <c r="N63" s="26"/>
      <c r="U63" s="18"/>
      <c r="V63" s="19">
        <f>1</f>
        <v>1</v>
      </c>
      <c r="W63" s="20" t="str">
        <f t="shared" ref="W63:W72" si="6">IF(U63&lt;&gt;"",U63*V63,"")</f>
        <v/>
      </c>
      <c r="X63" s="20" t="str">
        <f t="shared" ref="X63:X72" si="7">IF(AND(U63&lt;&gt;"",S63="yes"),U63*V63,"")</f>
        <v/>
      </c>
      <c r="Y63" s="21"/>
    </row>
    <row r="64" spans="1:25" ht="16" customHeight="1" thickBot="1" x14ac:dyDescent="0.25">
      <c r="A64" s="78" t="s">
        <v>112</v>
      </c>
      <c r="B64" s="78"/>
      <c r="C64" s="79"/>
      <c r="D64" s="80"/>
      <c r="E64" s="78"/>
      <c r="F64" s="81"/>
      <c r="G64" s="82"/>
      <c r="H64" s="82"/>
      <c r="I64" s="82"/>
      <c r="J64" s="82"/>
      <c r="K64" s="82"/>
      <c r="L64" s="82"/>
      <c r="M64" s="82"/>
      <c r="N64" s="82"/>
      <c r="U64" s="18"/>
      <c r="V64" s="19">
        <f>1</f>
        <v>1</v>
      </c>
      <c r="W64" s="20" t="str">
        <f t="shared" si="6"/>
        <v/>
      </c>
      <c r="X64" s="20" t="str">
        <f t="shared" si="7"/>
        <v/>
      </c>
    </row>
    <row r="65" spans="1:25" s="53" customFormat="1" ht="17" customHeight="1" thickTop="1" x14ac:dyDescent="0.2">
      <c r="A65" s="83" t="s">
        <v>53</v>
      </c>
      <c r="B65" s="83" t="s">
        <v>162</v>
      </c>
      <c r="C65" s="84" t="s">
        <v>163</v>
      </c>
      <c r="D65" s="85"/>
      <c r="E65" s="83"/>
      <c r="F65" s="86"/>
      <c r="G65" s="87" t="s">
        <v>45</v>
      </c>
      <c r="H65" s="87"/>
      <c r="I65" s="87"/>
      <c r="J65" s="87"/>
      <c r="K65" s="87" t="s">
        <v>115</v>
      </c>
      <c r="L65" s="87"/>
      <c r="M65" s="87"/>
      <c r="N65" s="87"/>
      <c r="S65" s="17" t="s">
        <v>38</v>
      </c>
      <c r="U65" s="18"/>
      <c r="V65" s="19">
        <f>1</f>
        <v>1</v>
      </c>
      <c r="W65" s="20" t="str">
        <f t="shared" si="6"/>
        <v/>
      </c>
      <c r="X65" s="20" t="str">
        <f t="shared" si="7"/>
        <v/>
      </c>
      <c r="Y65" s="54"/>
    </row>
    <row r="66" spans="1:25" x14ac:dyDescent="0.2">
      <c r="D66" s="14"/>
      <c r="F66" s="15"/>
      <c r="U66" s="18"/>
      <c r="V66" s="19">
        <f>1</f>
        <v>1</v>
      </c>
      <c r="W66" s="20" t="str">
        <f t="shared" si="6"/>
        <v/>
      </c>
      <c r="X66" s="20" t="str">
        <f t="shared" si="7"/>
        <v/>
      </c>
    </row>
    <row r="67" spans="1:25" ht="16" customHeight="1" x14ac:dyDescent="0.2">
      <c r="A67" s="38" t="s">
        <v>164</v>
      </c>
      <c r="B67" s="38" t="s">
        <v>165</v>
      </c>
      <c r="C67" s="39" t="s">
        <v>166</v>
      </c>
      <c r="D67" s="40"/>
      <c r="E67" s="21" t="s">
        <v>167</v>
      </c>
      <c r="F67" s="41"/>
      <c r="G67" s="42" t="s">
        <v>36</v>
      </c>
      <c r="H67" s="42" t="s">
        <v>168</v>
      </c>
      <c r="I67" s="42"/>
      <c r="J67" s="42"/>
      <c r="K67" s="42"/>
      <c r="L67" s="42"/>
      <c r="M67" s="42"/>
      <c r="N67" s="42"/>
      <c r="S67" s="17" t="s">
        <v>38</v>
      </c>
      <c r="U67" s="18">
        <v>36.928733825683587</v>
      </c>
      <c r="V67" s="19">
        <f>1</f>
        <v>1</v>
      </c>
      <c r="W67" s="20">
        <f t="shared" si="6"/>
        <v>36.928733825683587</v>
      </c>
      <c r="X67" s="20">
        <f t="shared" si="7"/>
        <v>36.928733825683587</v>
      </c>
    </row>
    <row r="68" spans="1:25" x14ac:dyDescent="0.2">
      <c r="A68" s="38" t="s">
        <v>24</v>
      </c>
      <c r="B68" s="38" t="s">
        <v>169</v>
      </c>
      <c r="C68" s="39"/>
      <c r="D68" s="40"/>
      <c r="E68" s="21"/>
      <c r="F68" s="41"/>
      <c r="G68" s="42"/>
      <c r="H68" s="42"/>
      <c r="I68" s="42"/>
      <c r="J68" s="42"/>
      <c r="K68" s="42"/>
      <c r="L68" s="42"/>
      <c r="M68" s="42"/>
      <c r="N68" s="42" t="s">
        <v>170</v>
      </c>
      <c r="S68" s="17" t="s">
        <v>38</v>
      </c>
      <c r="U68" s="18"/>
      <c r="V68" s="19">
        <f>1</f>
        <v>1</v>
      </c>
      <c r="W68" s="20" t="str">
        <f t="shared" si="6"/>
        <v/>
      </c>
      <c r="X68" s="20" t="str">
        <f t="shared" si="7"/>
        <v/>
      </c>
    </row>
    <row r="69" spans="1:25" ht="16" customHeight="1" x14ac:dyDescent="0.2">
      <c r="A69" s="38" t="s">
        <v>108</v>
      </c>
      <c r="B69" s="38" t="s">
        <v>171</v>
      </c>
      <c r="C69" s="39" t="s">
        <v>172</v>
      </c>
      <c r="D69" s="40"/>
      <c r="E69" s="21"/>
      <c r="F69" s="41"/>
      <c r="G69" s="42" t="s">
        <v>36</v>
      </c>
      <c r="H69" s="42"/>
      <c r="I69" s="42"/>
      <c r="J69" s="42"/>
      <c r="K69" s="42" t="s">
        <v>173</v>
      </c>
      <c r="L69" s="42"/>
      <c r="M69" s="42"/>
      <c r="N69" s="42"/>
      <c r="S69" s="17" t="s">
        <v>38</v>
      </c>
      <c r="U69" s="18">
        <v>0</v>
      </c>
      <c r="V69" s="19">
        <f>1</f>
        <v>1</v>
      </c>
      <c r="W69" s="20">
        <f t="shared" si="6"/>
        <v>0</v>
      </c>
      <c r="X69" s="20">
        <f t="shared" si="7"/>
        <v>0</v>
      </c>
    </row>
    <row r="70" spans="1:25" ht="32" customHeight="1" x14ac:dyDescent="0.2">
      <c r="A70" s="38" t="s">
        <v>108</v>
      </c>
      <c r="B70" s="38" t="s">
        <v>174</v>
      </c>
      <c r="C70" s="39" t="s">
        <v>175</v>
      </c>
      <c r="D70" s="40"/>
      <c r="E70" s="21"/>
      <c r="F70" s="41"/>
      <c r="G70" s="42" t="s">
        <v>36</v>
      </c>
      <c r="H70" s="42"/>
      <c r="I70" s="42"/>
      <c r="J70" s="42"/>
      <c r="K70" s="42" t="s">
        <v>176</v>
      </c>
      <c r="L70" s="42"/>
      <c r="M70" s="42"/>
      <c r="N70" s="42"/>
      <c r="S70" s="17" t="s">
        <v>38</v>
      </c>
      <c r="U70" s="18">
        <v>0</v>
      </c>
      <c r="V70" s="19">
        <f>1</f>
        <v>1</v>
      </c>
      <c r="W70" s="20">
        <f t="shared" si="6"/>
        <v>0</v>
      </c>
      <c r="X70" s="20">
        <f t="shared" si="7"/>
        <v>0</v>
      </c>
    </row>
    <row r="71" spans="1:25" ht="32" customHeight="1" x14ac:dyDescent="0.2">
      <c r="A71" s="38" t="s">
        <v>108</v>
      </c>
      <c r="B71" s="38" t="s">
        <v>177</v>
      </c>
      <c r="C71" s="39" t="s">
        <v>178</v>
      </c>
      <c r="D71" s="40"/>
      <c r="E71" s="21"/>
      <c r="F71" s="41"/>
      <c r="G71" s="42" t="s">
        <v>36</v>
      </c>
      <c r="H71" s="42"/>
      <c r="I71" s="42"/>
      <c r="J71" s="42"/>
      <c r="K71" s="42" t="s">
        <v>179</v>
      </c>
      <c r="L71" s="42"/>
      <c r="M71" s="42"/>
      <c r="N71" s="42"/>
      <c r="S71" s="17" t="s">
        <v>38</v>
      </c>
      <c r="U71" s="18">
        <v>0</v>
      </c>
      <c r="V71" s="19">
        <f>1</f>
        <v>1</v>
      </c>
      <c r="W71" s="20">
        <f t="shared" si="6"/>
        <v>0</v>
      </c>
      <c r="X71" s="20">
        <f t="shared" si="7"/>
        <v>0</v>
      </c>
    </row>
    <row r="72" spans="1:25" x14ac:dyDescent="0.2">
      <c r="D72" s="14"/>
      <c r="F72" s="15"/>
      <c r="U72" s="18"/>
      <c r="V72" s="19">
        <f>1</f>
        <v>1</v>
      </c>
      <c r="W72" s="20" t="str">
        <f t="shared" si="6"/>
        <v/>
      </c>
      <c r="X72" s="20" t="str">
        <f t="shared" si="7"/>
        <v/>
      </c>
    </row>
    <row r="73" spans="1:25" x14ac:dyDescent="0.2">
      <c r="D73" s="25"/>
      <c r="F73" s="25"/>
    </row>
    <row r="74" spans="1:25" s="38" customFormat="1" x14ac:dyDescent="0.2">
      <c r="A74" s="38" t="s">
        <v>180</v>
      </c>
      <c r="B74" s="38" t="s">
        <v>181</v>
      </c>
      <c r="C74" s="38" t="s">
        <v>182</v>
      </c>
      <c r="D74" s="41"/>
      <c r="F74" s="41"/>
      <c r="G74" s="42" t="s">
        <v>36</v>
      </c>
      <c r="H74" s="42"/>
      <c r="I74" s="42"/>
      <c r="J74" s="42"/>
      <c r="K74" s="42" t="s">
        <v>183</v>
      </c>
      <c r="L74" s="42"/>
      <c r="M74" s="42"/>
      <c r="N74" s="42"/>
      <c r="U74" s="89"/>
      <c r="V74" s="90"/>
      <c r="W74" s="91"/>
      <c r="X74" s="91"/>
    </row>
    <row r="75" spans="1:25" s="38" customFormat="1" x14ac:dyDescent="0.2">
      <c r="A75" s="38" t="s">
        <v>184</v>
      </c>
      <c r="B75" s="38" t="s">
        <v>185</v>
      </c>
      <c r="C75" s="38" t="s">
        <v>186</v>
      </c>
      <c r="D75" s="41"/>
      <c r="F75" s="41"/>
      <c r="G75" s="42" t="s">
        <v>36</v>
      </c>
      <c r="H75" s="42"/>
      <c r="I75" s="42"/>
      <c r="J75" s="42"/>
      <c r="K75" s="42" t="s">
        <v>183</v>
      </c>
      <c r="L75" s="42"/>
      <c r="M75" s="42"/>
      <c r="N75" s="42"/>
      <c r="U75" s="89"/>
      <c r="V75" s="90"/>
      <c r="W75" s="91"/>
      <c r="X75" s="91"/>
    </row>
    <row r="76" spans="1:25" x14ac:dyDescent="0.2">
      <c r="D76" s="14"/>
      <c r="F76" s="15"/>
      <c r="U76" s="18"/>
      <c r="V76" s="19">
        <f>1</f>
        <v>1</v>
      </c>
      <c r="W76" s="20" t="str">
        <f t="shared" ref="W76:W85" si="8">IF(U76&lt;&gt;"",U76*V76,"")</f>
        <v/>
      </c>
      <c r="X76" s="20" t="str">
        <f t="shared" ref="X76:X85" si="9">IF(AND(U76&lt;&gt;"",S76="yes"),U76*V76,"")</f>
        <v/>
      </c>
    </row>
    <row r="77" spans="1:25" ht="32" customHeight="1" x14ac:dyDescent="0.2">
      <c r="A77" s="38" t="s">
        <v>187</v>
      </c>
      <c r="B77" s="38" t="s">
        <v>188</v>
      </c>
      <c r="C77" s="39" t="s">
        <v>189</v>
      </c>
      <c r="D77" s="40"/>
      <c r="E77" s="38"/>
      <c r="F77" s="41"/>
      <c r="G77" s="42" t="s">
        <v>36</v>
      </c>
      <c r="H77" s="42"/>
      <c r="I77" s="42"/>
      <c r="J77" s="42"/>
      <c r="K77" s="42" t="s">
        <v>183</v>
      </c>
      <c r="L77" s="42"/>
      <c r="M77" s="42"/>
      <c r="N77" s="42"/>
      <c r="S77" s="17" t="s">
        <v>38</v>
      </c>
      <c r="U77" s="18">
        <v>27.242166519165039</v>
      </c>
      <c r="V77" s="19">
        <f>1</f>
        <v>1</v>
      </c>
      <c r="W77" s="20">
        <f t="shared" si="8"/>
        <v>27.242166519165039</v>
      </c>
      <c r="X77" s="20">
        <f t="shared" si="9"/>
        <v>27.242166519165039</v>
      </c>
    </row>
    <row r="78" spans="1:25" x14ac:dyDescent="0.2">
      <c r="D78" s="14"/>
      <c r="F78" s="15"/>
      <c r="U78" s="18"/>
      <c r="V78" s="19">
        <f>1</f>
        <v>1</v>
      </c>
      <c r="W78" s="20" t="str">
        <f t="shared" si="8"/>
        <v/>
      </c>
      <c r="X78" s="20" t="str">
        <f t="shared" si="9"/>
        <v/>
      </c>
    </row>
    <row r="79" spans="1:25" ht="32" customHeight="1" x14ac:dyDescent="0.2">
      <c r="A79" s="38" t="s">
        <v>190</v>
      </c>
      <c r="B79" s="38" t="s">
        <v>191</v>
      </c>
      <c r="C79" s="39" t="s">
        <v>192</v>
      </c>
      <c r="D79" s="40"/>
      <c r="E79" s="21" t="s">
        <v>193</v>
      </c>
      <c r="F79" s="41"/>
      <c r="G79" s="42" t="s">
        <v>36</v>
      </c>
      <c r="H79" s="42" t="s">
        <v>168</v>
      </c>
      <c r="I79" s="42"/>
      <c r="J79" s="42"/>
      <c r="K79" s="42" t="s">
        <v>183</v>
      </c>
      <c r="L79" s="42" t="s">
        <v>194</v>
      </c>
      <c r="M79" s="42"/>
      <c r="N79" s="42"/>
      <c r="S79" s="17" t="s">
        <v>38</v>
      </c>
      <c r="U79" s="18">
        <v>25.308004379272461</v>
      </c>
      <c r="V79" s="19">
        <f>1</f>
        <v>1</v>
      </c>
      <c r="W79" s="20">
        <f t="shared" si="8"/>
        <v>25.308004379272461</v>
      </c>
      <c r="X79" s="20">
        <f t="shared" si="9"/>
        <v>25.308004379272461</v>
      </c>
    </row>
    <row r="80" spans="1:25" x14ac:dyDescent="0.2">
      <c r="A80" s="38" t="s">
        <v>24</v>
      </c>
      <c r="B80" s="38" t="s">
        <v>195</v>
      </c>
      <c r="C80" s="39"/>
      <c r="D80" s="40"/>
      <c r="E80" s="21"/>
      <c r="F80" s="41"/>
      <c r="G80" s="42"/>
      <c r="H80" s="42"/>
      <c r="I80" s="42"/>
      <c r="J80" s="42"/>
      <c r="K80" s="42"/>
      <c r="L80" s="42"/>
      <c r="M80" s="42"/>
      <c r="N80" s="42" t="s">
        <v>196</v>
      </c>
      <c r="S80" s="17" t="s">
        <v>38</v>
      </c>
      <c r="U80" s="18"/>
      <c r="V80" s="19">
        <f>1</f>
        <v>1</v>
      </c>
      <c r="W80" s="20" t="str">
        <f t="shared" si="8"/>
        <v/>
      </c>
      <c r="X80" s="20" t="str">
        <f t="shared" si="9"/>
        <v/>
      </c>
    </row>
    <row r="81" spans="1:25" ht="16" customHeight="1" x14ac:dyDescent="0.2">
      <c r="A81" s="38" t="s">
        <v>108</v>
      </c>
      <c r="B81" s="38" t="s">
        <v>197</v>
      </c>
      <c r="C81" s="39" t="s">
        <v>172</v>
      </c>
      <c r="D81" s="40"/>
      <c r="E81" s="21"/>
      <c r="F81" s="41"/>
      <c r="G81" s="42" t="s">
        <v>36</v>
      </c>
      <c r="H81" s="42"/>
      <c r="I81" s="42"/>
      <c r="J81" s="42"/>
      <c r="K81" s="42" t="s">
        <v>198</v>
      </c>
      <c r="L81" s="42"/>
      <c r="M81" s="42"/>
      <c r="N81" s="42"/>
      <c r="S81" s="17" t="s">
        <v>38</v>
      </c>
      <c r="U81" s="18">
        <v>0</v>
      </c>
      <c r="V81" s="19">
        <f>1</f>
        <v>1</v>
      </c>
      <c r="W81" s="20">
        <f t="shared" si="8"/>
        <v>0</v>
      </c>
      <c r="X81" s="20">
        <f t="shared" si="9"/>
        <v>0</v>
      </c>
    </row>
    <row r="82" spans="1:25" ht="32" customHeight="1" x14ac:dyDescent="0.2">
      <c r="A82" s="38" t="s">
        <v>108</v>
      </c>
      <c r="B82" s="38" t="s">
        <v>199</v>
      </c>
      <c r="C82" s="39" t="s">
        <v>175</v>
      </c>
      <c r="D82" s="40"/>
      <c r="E82" s="21"/>
      <c r="F82" s="41"/>
      <c r="G82" s="42" t="s">
        <v>36</v>
      </c>
      <c r="H82" s="42"/>
      <c r="I82" s="42"/>
      <c r="J82" s="42"/>
      <c r="K82" s="42" t="s">
        <v>200</v>
      </c>
      <c r="L82" s="42"/>
      <c r="M82" s="42"/>
      <c r="N82" s="42"/>
      <c r="S82" s="17" t="s">
        <v>38</v>
      </c>
      <c r="U82" s="18">
        <v>0</v>
      </c>
      <c r="V82" s="19">
        <f>1</f>
        <v>1</v>
      </c>
      <c r="W82" s="20">
        <f t="shared" si="8"/>
        <v>0</v>
      </c>
      <c r="X82" s="20">
        <f t="shared" si="9"/>
        <v>0</v>
      </c>
    </row>
    <row r="83" spans="1:25" ht="32" customHeight="1" x14ac:dyDescent="0.2">
      <c r="A83" s="38" t="s">
        <v>108</v>
      </c>
      <c r="B83" s="38" t="s">
        <v>201</v>
      </c>
      <c r="C83" s="39" t="s">
        <v>178</v>
      </c>
      <c r="D83" s="40"/>
      <c r="E83" s="21"/>
      <c r="F83" s="41"/>
      <c r="G83" s="42" t="s">
        <v>36</v>
      </c>
      <c r="H83" s="42"/>
      <c r="I83" s="42"/>
      <c r="J83" s="42"/>
      <c r="K83" s="42" t="s">
        <v>202</v>
      </c>
      <c r="L83" s="42"/>
      <c r="M83" s="42"/>
      <c r="N83" s="42"/>
      <c r="S83" s="17" t="s">
        <v>38</v>
      </c>
      <c r="U83" s="18">
        <v>0</v>
      </c>
      <c r="V83" s="19">
        <f>1</f>
        <v>1</v>
      </c>
      <c r="W83" s="20">
        <f t="shared" si="8"/>
        <v>0</v>
      </c>
      <c r="X83" s="20">
        <f t="shared" si="9"/>
        <v>0</v>
      </c>
    </row>
    <row r="84" spans="1:25" x14ac:dyDescent="0.2">
      <c r="D84" s="14"/>
      <c r="F84" s="15"/>
      <c r="U84" s="18"/>
      <c r="V84" s="19">
        <f>1</f>
        <v>1</v>
      </c>
      <c r="W84" s="20" t="str">
        <f t="shared" si="8"/>
        <v/>
      </c>
      <c r="X84" s="20" t="str">
        <f t="shared" si="9"/>
        <v/>
      </c>
    </row>
    <row r="85" spans="1:25" s="22" customFormat="1" x14ac:dyDescent="0.2">
      <c r="C85" s="23"/>
      <c r="D85" s="24"/>
      <c r="F85" s="25"/>
      <c r="G85" s="26"/>
      <c r="H85" s="26"/>
      <c r="I85" s="26"/>
      <c r="J85" s="26"/>
      <c r="K85" s="26"/>
      <c r="L85" s="26"/>
      <c r="M85" s="26"/>
      <c r="N85" s="26"/>
      <c r="U85" s="18"/>
      <c r="V85" s="19">
        <f>1</f>
        <v>1</v>
      </c>
      <c r="W85" s="20" t="str">
        <f t="shared" si="8"/>
        <v/>
      </c>
      <c r="X85" s="20" t="str">
        <f t="shared" si="9"/>
        <v/>
      </c>
      <c r="Y85" s="21"/>
    </row>
    <row r="86" spans="1:25" s="22" customFormat="1" x14ac:dyDescent="0.2">
      <c r="A86" s="22" t="s">
        <v>180</v>
      </c>
      <c r="B86" s="22" t="s">
        <v>203</v>
      </c>
      <c r="C86" s="22" t="s">
        <v>182</v>
      </c>
      <c r="D86" s="25"/>
      <c r="F86" s="25"/>
      <c r="G86" s="26" t="s">
        <v>36</v>
      </c>
      <c r="H86" s="26"/>
      <c r="I86" s="26"/>
      <c r="J86" s="26"/>
      <c r="K86" s="26" t="s">
        <v>204</v>
      </c>
      <c r="L86" s="26"/>
      <c r="M86" s="26"/>
      <c r="N86" s="26"/>
      <c r="U86" s="18"/>
      <c r="V86" s="19"/>
      <c r="W86" s="20"/>
      <c r="X86" s="20"/>
      <c r="Y86" s="21"/>
    </row>
    <row r="87" spans="1:25" s="22" customFormat="1" x14ac:dyDescent="0.2">
      <c r="A87" s="22" t="s">
        <v>184</v>
      </c>
      <c r="B87" s="22" t="s">
        <v>205</v>
      </c>
      <c r="C87" s="22" t="s">
        <v>186</v>
      </c>
      <c r="D87" s="25"/>
      <c r="F87" s="25"/>
      <c r="G87" s="26" t="s">
        <v>36</v>
      </c>
      <c r="H87" s="26"/>
      <c r="I87" s="26"/>
      <c r="J87" s="26"/>
      <c r="K87" s="26" t="s">
        <v>204</v>
      </c>
      <c r="L87" s="26"/>
      <c r="M87" s="26"/>
      <c r="N87" s="26"/>
      <c r="U87" s="18"/>
      <c r="V87" s="19"/>
      <c r="W87" s="20"/>
      <c r="X87" s="20"/>
      <c r="Y87" s="21"/>
    </row>
    <row r="88" spans="1:25" s="22" customFormat="1" x14ac:dyDescent="0.2">
      <c r="C88" s="23"/>
      <c r="D88" s="24"/>
      <c r="F88" s="25"/>
      <c r="G88" s="26"/>
      <c r="H88" s="26"/>
      <c r="I88" s="26"/>
      <c r="J88" s="26"/>
      <c r="K88" s="26"/>
      <c r="L88" s="26"/>
      <c r="M88" s="26"/>
      <c r="N88" s="26"/>
      <c r="U88" s="18"/>
      <c r="V88" s="19">
        <f>1</f>
        <v>1</v>
      </c>
      <c r="W88" s="20" t="str">
        <f t="shared" ref="W88:W93" si="10">IF(U88&lt;&gt;"",U88*V88,"")</f>
        <v/>
      </c>
      <c r="X88" s="20" t="str">
        <f t="shared" ref="X88:X93" si="11">IF(AND(U88&lt;&gt;"",S88="yes"),U88*V88,"")</f>
        <v/>
      </c>
      <c r="Y88" s="21"/>
    </row>
    <row r="89" spans="1:25" ht="32" customHeight="1" x14ac:dyDescent="0.2">
      <c r="A89" s="38" t="s">
        <v>187</v>
      </c>
      <c r="B89" s="38" t="s">
        <v>206</v>
      </c>
      <c r="C89" s="39" t="s">
        <v>207</v>
      </c>
      <c r="D89" s="40"/>
      <c r="E89" s="38"/>
      <c r="F89" s="41"/>
      <c r="G89" s="42" t="s">
        <v>36</v>
      </c>
      <c r="H89" s="42"/>
      <c r="I89" s="42"/>
      <c r="J89" s="42"/>
      <c r="K89" s="42" t="s">
        <v>204</v>
      </c>
      <c r="L89" s="42"/>
      <c r="M89" s="42"/>
      <c r="N89" s="42"/>
      <c r="S89" s="17" t="s">
        <v>38</v>
      </c>
      <c r="U89" s="18">
        <v>21.193256378173832</v>
      </c>
      <c r="V89" s="19">
        <f>1</f>
        <v>1</v>
      </c>
      <c r="W89" s="20">
        <f t="shared" si="10"/>
        <v>21.193256378173832</v>
      </c>
      <c r="X89" s="20">
        <f t="shared" si="11"/>
        <v>21.193256378173832</v>
      </c>
    </row>
    <row r="90" spans="1:25" s="232" customFormat="1" x14ac:dyDescent="0.2">
      <c r="C90" s="233"/>
      <c r="D90" s="234"/>
      <c r="F90" s="235"/>
      <c r="G90" s="223"/>
      <c r="H90" s="223"/>
      <c r="I90" s="223"/>
      <c r="J90" s="223"/>
      <c r="K90" s="236"/>
      <c r="L90" s="223"/>
      <c r="M90" s="223"/>
      <c r="N90" s="223"/>
      <c r="U90" s="224"/>
      <c r="V90" s="225">
        <f>1</f>
        <v>1</v>
      </c>
      <c r="W90" s="226" t="str">
        <f t="shared" si="10"/>
        <v/>
      </c>
      <c r="X90" s="226" t="str">
        <f t="shared" si="11"/>
        <v/>
      </c>
      <c r="Y90" s="222"/>
    </row>
    <row r="91" spans="1:25" s="22" customFormat="1" x14ac:dyDescent="0.2">
      <c r="C91" s="23"/>
      <c r="D91" s="24"/>
      <c r="F91" s="25"/>
      <c r="G91" s="26"/>
      <c r="H91" s="26"/>
      <c r="I91" s="26"/>
      <c r="J91" s="26"/>
      <c r="K91" s="26"/>
      <c r="L91" s="26"/>
      <c r="M91" s="26"/>
      <c r="N91" s="26"/>
      <c r="U91" s="18"/>
      <c r="V91" s="19">
        <f>1</f>
        <v>1</v>
      </c>
      <c r="W91" s="20" t="str">
        <f t="shared" si="10"/>
        <v/>
      </c>
      <c r="X91" s="20" t="str">
        <f t="shared" si="11"/>
        <v/>
      </c>
      <c r="Y91" s="21"/>
    </row>
    <row r="92" spans="1:25" ht="48" customHeight="1" x14ac:dyDescent="0.2">
      <c r="A92" s="38" t="s">
        <v>208</v>
      </c>
      <c r="B92" s="38" t="s">
        <v>209</v>
      </c>
      <c r="C92" s="39" t="s">
        <v>210</v>
      </c>
      <c r="D92" s="40"/>
      <c r="E92" s="38" t="s">
        <v>211</v>
      </c>
      <c r="F92" s="41"/>
      <c r="G92" s="42" t="s">
        <v>36</v>
      </c>
      <c r="H92" s="42"/>
      <c r="I92" s="42" t="s">
        <v>212</v>
      </c>
      <c r="J92" s="42"/>
      <c r="K92" s="42"/>
      <c r="L92" s="42"/>
      <c r="M92" s="42"/>
      <c r="N92" s="42"/>
      <c r="S92" s="17" t="s">
        <v>38</v>
      </c>
      <c r="U92" s="18">
        <v>46.247528076171882</v>
      </c>
      <c r="V92" s="19">
        <f>1</f>
        <v>1</v>
      </c>
      <c r="W92" s="20">
        <f t="shared" si="10"/>
        <v>46.247528076171882</v>
      </c>
      <c r="X92" s="20">
        <f t="shared" si="11"/>
        <v>46.247528076171882</v>
      </c>
    </row>
    <row r="93" spans="1:25" x14ac:dyDescent="0.2">
      <c r="D93" s="14"/>
      <c r="F93" s="15"/>
      <c r="U93" s="18"/>
      <c r="V93" s="19">
        <f>1</f>
        <v>1</v>
      </c>
      <c r="W93" s="20" t="str">
        <f t="shared" si="10"/>
        <v/>
      </c>
      <c r="X93" s="20" t="str">
        <f t="shared" si="11"/>
        <v/>
      </c>
    </row>
    <row r="94" spans="1:25" ht="32" customHeight="1" x14ac:dyDescent="0.2">
      <c r="A94" s="38" t="s">
        <v>108</v>
      </c>
      <c r="B94" s="238" t="s">
        <v>213</v>
      </c>
      <c r="C94" s="55" t="s">
        <v>214</v>
      </c>
      <c r="D94" s="14"/>
      <c r="F94" s="15"/>
      <c r="K94" s="252" t="s">
        <v>215</v>
      </c>
      <c r="U94" s="18"/>
      <c r="W94" s="20"/>
      <c r="X94" s="20"/>
    </row>
    <row r="95" spans="1:25" ht="32" customHeight="1" x14ac:dyDescent="0.2">
      <c r="A95" s="38" t="s">
        <v>57</v>
      </c>
      <c r="B95" s="238" t="s">
        <v>216</v>
      </c>
      <c r="C95" s="23" t="s">
        <v>217</v>
      </c>
      <c r="D95" s="14"/>
      <c r="F95" s="15"/>
      <c r="K95" s="269" t="s">
        <v>218</v>
      </c>
      <c r="U95" s="18"/>
      <c r="W95" s="20"/>
      <c r="X95" s="20"/>
    </row>
    <row r="96" spans="1:25" s="22" customFormat="1" x14ac:dyDescent="0.2">
      <c r="C96" s="23"/>
      <c r="D96" s="24"/>
      <c r="F96" s="25"/>
      <c r="G96" s="26"/>
      <c r="H96" s="26"/>
      <c r="I96" s="37"/>
      <c r="J96" s="26"/>
      <c r="K96" s="26"/>
      <c r="L96" s="26"/>
      <c r="M96" s="26"/>
      <c r="N96" s="26"/>
      <c r="U96" s="18"/>
      <c r="V96" s="19">
        <f>1</f>
        <v>1</v>
      </c>
      <c r="W96" s="20" t="str">
        <f t="shared" ref="W96:W102" si="12">IF(U96&lt;&gt;"",U96*V96,"")</f>
        <v/>
      </c>
      <c r="X96" s="20" t="str">
        <f t="shared" ref="X96:X102" si="13">IF(AND(U96&lt;&gt;"",S96="yes"),U96*V96,"")</f>
        <v/>
      </c>
      <c r="Y96" s="21"/>
    </row>
    <row r="97" spans="1:25" ht="16" customHeight="1" thickBot="1" x14ac:dyDescent="0.25">
      <c r="A97" s="70" t="s">
        <v>112</v>
      </c>
      <c r="B97" s="70"/>
      <c r="C97" s="71"/>
      <c r="D97" s="45"/>
      <c r="E97" s="70"/>
      <c r="F97" s="46"/>
      <c r="G97" s="72"/>
      <c r="H97" s="72"/>
      <c r="I97" s="72"/>
      <c r="J97" s="72"/>
      <c r="K97" s="72"/>
      <c r="L97" s="72"/>
      <c r="M97" s="72"/>
      <c r="N97" s="72"/>
      <c r="U97" s="18"/>
      <c r="V97" s="21"/>
      <c r="W97" s="20" t="str">
        <f t="shared" si="12"/>
        <v/>
      </c>
      <c r="X97" s="20" t="str">
        <f t="shared" si="13"/>
        <v/>
      </c>
    </row>
    <row r="98" spans="1:25" s="53" customFormat="1" ht="17" customHeight="1" thickTop="1" x14ac:dyDescent="0.2">
      <c r="A98" s="48" t="s">
        <v>53</v>
      </c>
      <c r="B98" s="48" t="s">
        <v>219</v>
      </c>
      <c r="C98" s="49" t="s">
        <v>220</v>
      </c>
      <c r="D98" s="50"/>
      <c r="E98" s="48"/>
      <c r="F98" s="51"/>
      <c r="G98" s="52" t="s">
        <v>45</v>
      </c>
      <c r="H98" s="52"/>
      <c r="I98" s="52"/>
      <c r="J98" s="52"/>
      <c r="K98" s="267" t="s">
        <v>221</v>
      </c>
      <c r="L98" s="52"/>
      <c r="M98" s="52"/>
      <c r="N98" s="52"/>
      <c r="S98" s="17" t="s">
        <v>38</v>
      </c>
      <c r="U98" s="18"/>
      <c r="V98" s="54"/>
      <c r="W98" s="20" t="str">
        <f t="shared" si="12"/>
        <v/>
      </c>
      <c r="X98" s="20" t="str">
        <f t="shared" si="13"/>
        <v/>
      </c>
      <c r="Y98" s="54"/>
    </row>
    <row r="99" spans="1:25" s="55" customFormat="1" ht="49" customHeight="1" x14ac:dyDescent="0.2">
      <c r="A99" s="13" t="s">
        <v>41</v>
      </c>
      <c r="B99" s="13" t="s">
        <v>222</v>
      </c>
      <c r="C99" s="13" t="s">
        <v>223</v>
      </c>
      <c r="D99" s="14"/>
      <c r="E99" s="13"/>
      <c r="F99" s="14"/>
      <c r="G99" s="67"/>
      <c r="H99" s="67"/>
      <c r="I99" s="67"/>
      <c r="J99" s="67"/>
      <c r="K99" s="67"/>
      <c r="L99" s="67"/>
      <c r="M99" s="67"/>
      <c r="N99" s="67"/>
      <c r="S99" s="55" t="s">
        <v>38</v>
      </c>
      <c r="U99" s="68">
        <v>7.5</v>
      </c>
      <c r="V99" s="93">
        <f>'[1]Additional information'!$D$18</f>
        <v>0.91</v>
      </c>
      <c r="W99" s="69">
        <f t="shared" si="12"/>
        <v>6.8250000000000002</v>
      </c>
      <c r="X99" s="69">
        <f t="shared" si="13"/>
        <v>6.8250000000000002</v>
      </c>
      <c r="Y99" s="36"/>
    </row>
    <row r="100" spans="1:25" x14ac:dyDescent="0.2">
      <c r="D100" s="14"/>
      <c r="F100" s="15"/>
      <c r="U100" s="18"/>
      <c r="V100" s="19">
        <f>'[1]Additional information'!$D$18</f>
        <v>0.91</v>
      </c>
      <c r="W100" s="20" t="str">
        <f t="shared" si="12"/>
        <v/>
      </c>
      <c r="X100" s="20" t="str">
        <f t="shared" si="13"/>
        <v/>
      </c>
    </row>
    <row r="101" spans="1:25" s="21" customFormat="1" ht="51" customHeight="1" x14ac:dyDescent="0.2">
      <c r="A101" s="38" t="s">
        <v>224</v>
      </c>
      <c r="B101" s="38" t="s">
        <v>225</v>
      </c>
      <c r="C101" s="39" t="s">
        <v>226</v>
      </c>
      <c r="D101" s="40"/>
      <c r="E101" s="39" t="s">
        <v>227</v>
      </c>
      <c r="F101" s="41"/>
      <c r="G101" s="42" t="s">
        <v>36</v>
      </c>
      <c r="H101" s="42"/>
      <c r="I101" s="42" t="s">
        <v>228</v>
      </c>
      <c r="J101" s="42"/>
      <c r="K101" s="42"/>
      <c r="L101" s="42"/>
      <c r="M101" s="42"/>
      <c r="N101" s="42"/>
      <c r="S101" s="21" t="s">
        <v>38</v>
      </c>
      <c r="U101" s="18">
        <v>17</v>
      </c>
      <c r="V101" s="19">
        <f>'[1]Additional information'!$D$18</f>
        <v>0.91</v>
      </c>
      <c r="W101" s="20">
        <f t="shared" si="12"/>
        <v>15.47</v>
      </c>
      <c r="X101" s="20">
        <f t="shared" si="13"/>
        <v>15.47</v>
      </c>
    </row>
    <row r="102" spans="1:25" s="21" customFormat="1" ht="16" customHeight="1" x14ac:dyDescent="0.2">
      <c r="A102" s="38" t="s">
        <v>229</v>
      </c>
      <c r="B102" s="38" t="s">
        <v>230</v>
      </c>
      <c r="C102" s="39" t="s">
        <v>231</v>
      </c>
      <c r="D102" s="40"/>
      <c r="E102" s="38" t="s">
        <v>232</v>
      </c>
      <c r="F102" s="41"/>
      <c r="G102" s="42" t="s">
        <v>36</v>
      </c>
      <c r="H102" s="42"/>
      <c r="I102" s="42"/>
      <c r="J102" s="42"/>
      <c r="K102" s="42" t="s">
        <v>233</v>
      </c>
      <c r="L102" s="42"/>
      <c r="M102" s="42"/>
      <c r="N102" s="42"/>
      <c r="S102" s="21" t="s">
        <v>38</v>
      </c>
      <c r="U102" s="18">
        <v>0</v>
      </c>
      <c r="V102" s="19">
        <f>'[1]Additional information'!$D$18</f>
        <v>0.91</v>
      </c>
      <c r="W102" s="20">
        <f t="shared" si="12"/>
        <v>0</v>
      </c>
      <c r="X102" s="20">
        <f t="shared" si="13"/>
        <v>0</v>
      </c>
    </row>
    <row r="103" spans="1:25" s="21" customFormat="1" x14ac:dyDescent="0.2">
      <c r="A103" s="38"/>
      <c r="B103" s="38"/>
      <c r="C103" s="39"/>
      <c r="D103" s="40"/>
      <c r="E103" s="38"/>
      <c r="F103" s="41"/>
      <c r="G103" s="42"/>
      <c r="H103" s="42"/>
      <c r="I103" s="42"/>
      <c r="J103" s="42"/>
      <c r="K103" s="42"/>
      <c r="L103" s="42"/>
      <c r="M103" s="42"/>
      <c r="N103" s="42"/>
      <c r="U103" s="18"/>
      <c r="V103" s="19"/>
      <c r="W103" s="20"/>
      <c r="X103" s="20"/>
    </row>
    <row r="104" spans="1:25" s="21" customFormat="1" ht="32" customHeight="1" x14ac:dyDescent="0.2">
      <c r="A104" s="12" t="s">
        <v>187</v>
      </c>
      <c r="B104" s="240" t="s">
        <v>234</v>
      </c>
      <c r="C104" s="256" t="s">
        <v>235</v>
      </c>
      <c r="D104" s="40"/>
      <c r="E104" s="38"/>
      <c r="F104" s="41"/>
      <c r="G104" s="42" t="s">
        <v>36</v>
      </c>
      <c r="H104" s="42"/>
      <c r="I104" s="42"/>
      <c r="J104" s="42"/>
      <c r="K104" s="42"/>
      <c r="L104" s="42"/>
      <c r="M104" s="42"/>
      <c r="N104" s="42"/>
      <c r="U104" s="18"/>
      <c r="V104" s="19"/>
      <c r="W104" s="20"/>
      <c r="X104" s="20"/>
    </row>
    <row r="105" spans="1:25" s="21" customFormat="1" ht="31.5" customHeight="1" x14ac:dyDescent="0.2">
      <c r="A105" s="38" t="s">
        <v>224</v>
      </c>
      <c r="B105" s="240" t="s">
        <v>236</v>
      </c>
      <c r="C105" s="256" t="s">
        <v>237</v>
      </c>
      <c r="D105" s="40"/>
      <c r="E105" s="39" t="s">
        <v>238</v>
      </c>
      <c r="F105" s="41"/>
      <c r="G105" s="42" t="s">
        <v>36</v>
      </c>
      <c r="H105" s="42"/>
      <c r="I105" s="42" t="s">
        <v>228</v>
      </c>
      <c r="J105" s="42"/>
      <c r="K105" s="252" t="s">
        <v>239</v>
      </c>
      <c r="L105" s="42"/>
      <c r="M105" s="42"/>
      <c r="N105" s="42"/>
      <c r="S105" s="21" t="s">
        <v>38</v>
      </c>
      <c r="U105" s="18">
        <v>17</v>
      </c>
      <c r="V105" s="19">
        <f>'[1]Additional information'!$D$18</f>
        <v>0.91</v>
      </c>
      <c r="W105" s="20">
        <f t="shared" ref="W105:W110" si="14">IF(U105&lt;&gt;"",U105*V105,"")</f>
        <v>15.47</v>
      </c>
      <c r="X105" s="20">
        <f t="shared" ref="X105:X110" si="15">IF(AND(U105&lt;&gt;"",S105="yes"),U105*V105,"")</f>
        <v>15.47</v>
      </c>
    </row>
    <row r="106" spans="1:25" s="21" customFormat="1" ht="16" customHeight="1" x14ac:dyDescent="0.2">
      <c r="A106" s="38" t="s">
        <v>229</v>
      </c>
      <c r="B106" s="240" t="s">
        <v>240</v>
      </c>
      <c r="C106" s="256" t="s">
        <v>231</v>
      </c>
      <c r="D106" s="40"/>
      <c r="E106" s="38" t="s">
        <v>232</v>
      </c>
      <c r="F106" s="41"/>
      <c r="G106" s="42" t="s">
        <v>36</v>
      </c>
      <c r="H106" s="42"/>
      <c r="I106" s="42"/>
      <c r="J106" s="42"/>
      <c r="K106" s="252" t="s">
        <v>241</v>
      </c>
      <c r="L106" s="42"/>
      <c r="M106" s="42"/>
      <c r="N106" s="42"/>
      <c r="S106" s="21" t="s">
        <v>38</v>
      </c>
      <c r="U106" s="18">
        <v>0</v>
      </c>
      <c r="V106" s="19">
        <f>'[1]Additional information'!$D$18</f>
        <v>0.91</v>
      </c>
      <c r="W106" s="20">
        <f t="shared" si="14"/>
        <v>0</v>
      </c>
      <c r="X106" s="20">
        <f t="shared" si="15"/>
        <v>0</v>
      </c>
    </row>
    <row r="107" spans="1:25" s="53" customFormat="1" x14ac:dyDescent="0.2">
      <c r="C107" s="94"/>
      <c r="D107" s="50"/>
      <c r="F107" s="51"/>
      <c r="G107" s="95"/>
      <c r="H107" s="95"/>
      <c r="I107" s="95"/>
      <c r="J107" s="95"/>
      <c r="K107" s="95"/>
      <c r="L107" s="95"/>
      <c r="M107" s="95"/>
      <c r="N107" s="95"/>
      <c r="S107" s="17"/>
      <c r="U107" s="18"/>
      <c r="V107" s="19">
        <f>'[1]Additional information'!$D$18</f>
        <v>0.91</v>
      </c>
      <c r="W107" s="20" t="str">
        <f t="shared" si="14"/>
        <v/>
      </c>
      <c r="X107" s="20" t="str">
        <f t="shared" si="15"/>
        <v/>
      </c>
      <c r="Y107" s="54"/>
    </row>
    <row r="108" spans="1:25" ht="32" customHeight="1" x14ac:dyDescent="0.2">
      <c r="A108" s="12" t="s">
        <v>242</v>
      </c>
      <c r="B108" s="12" t="s">
        <v>243</v>
      </c>
      <c r="C108" s="13" t="s">
        <v>244</v>
      </c>
      <c r="D108" s="14"/>
      <c r="E108" s="12" t="s">
        <v>245</v>
      </c>
      <c r="F108" s="15"/>
      <c r="G108" s="16" t="s">
        <v>36</v>
      </c>
      <c r="H108" s="42" t="s">
        <v>83</v>
      </c>
      <c r="I108" s="16"/>
      <c r="J108" s="16"/>
      <c r="K108" s="16"/>
      <c r="L108" s="16"/>
      <c r="M108" s="16"/>
      <c r="N108" s="16"/>
      <c r="S108" s="17" t="s">
        <v>38</v>
      </c>
      <c r="U108" s="18">
        <v>27.057552337646481</v>
      </c>
      <c r="V108" s="19">
        <f>'[1]Additional information'!$D$18</f>
        <v>0.91</v>
      </c>
      <c r="W108" s="20">
        <f t="shared" si="14"/>
        <v>24.622372627258297</v>
      </c>
      <c r="X108" s="20">
        <f t="shared" si="15"/>
        <v>24.622372627258297</v>
      </c>
    </row>
    <row r="109" spans="1:25" x14ac:dyDescent="0.2">
      <c r="A109" s="12" t="s">
        <v>24</v>
      </c>
      <c r="B109" s="12" t="s">
        <v>246</v>
      </c>
      <c r="C109" s="13"/>
      <c r="D109" s="14"/>
      <c r="F109" s="15"/>
      <c r="G109" s="16"/>
      <c r="H109" s="16"/>
      <c r="I109" s="16"/>
      <c r="J109" s="16"/>
      <c r="K109" s="16"/>
      <c r="L109" s="16"/>
      <c r="M109" s="16"/>
      <c r="N109" s="16" t="s">
        <v>247</v>
      </c>
      <c r="S109" s="17" t="s">
        <v>38</v>
      </c>
      <c r="U109" s="18"/>
      <c r="V109" s="19">
        <f>'[1]Additional information'!$D$18</f>
        <v>0.91</v>
      </c>
      <c r="W109" s="20" t="str">
        <f t="shared" si="14"/>
        <v/>
      </c>
      <c r="X109" s="20" t="str">
        <f t="shared" si="15"/>
        <v/>
      </c>
    </row>
    <row r="110" spans="1:25" ht="16" customHeight="1" x14ac:dyDescent="0.2">
      <c r="A110" s="12" t="s">
        <v>248</v>
      </c>
      <c r="B110" s="12" t="s">
        <v>249</v>
      </c>
      <c r="C110" s="13" t="s">
        <v>250</v>
      </c>
      <c r="D110" s="14"/>
      <c r="F110" s="15"/>
      <c r="G110" s="16" t="s">
        <v>36</v>
      </c>
      <c r="H110" s="16"/>
      <c r="I110" s="16"/>
      <c r="J110" s="16"/>
      <c r="K110" s="16" t="s">
        <v>251</v>
      </c>
      <c r="L110" s="16"/>
      <c r="M110" s="16"/>
      <c r="N110" s="16"/>
      <c r="S110" s="17" t="s">
        <v>38</v>
      </c>
      <c r="U110" s="18">
        <v>0</v>
      </c>
      <c r="V110" s="19">
        <f>'[1]Additional information'!$D$18</f>
        <v>0.91</v>
      </c>
      <c r="W110" s="20">
        <f t="shared" si="14"/>
        <v>0</v>
      </c>
      <c r="X110" s="20">
        <f t="shared" si="15"/>
        <v>0</v>
      </c>
    </row>
    <row r="111" spans="1:25" ht="32" customHeight="1" x14ac:dyDescent="0.2">
      <c r="A111" s="12" t="s">
        <v>108</v>
      </c>
      <c r="B111" s="240" t="s">
        <v>252</v>
      </c>
      <c r="C111" s="241" t="s">
        <v>253</v>
      </c>
      <c r="D111" s="14"/>
      <c r="F111" s="15"/>
      <c r="G111" s="255" t="b">
        <v>1</v>
      </c>
      <c r="H111" s="16"/>
      <c r="I111" s="16"/>
      <c r="J111" s="16"/>
      <c r="K111" s="16"/>
      <c r="L111" s="16"/>
      <c r="M111" s="16"/>
      <c r="N111" s="16"/>
      <c r="U111" s="18"/>
      <c r="W111" s="20"/>
      <c r="X111" s="20"/>
    </row>
    <row r="112" spans="1:25" s="21" customFormat="1" x14ac:dyDescent="0.2">
      <c r="C112" s="36"/>
      <c r="D112" s="40"/>
      <c r="F112" s="41"/>
      <c r="G112" s="77"/>
      <c r="H112" s="77"/>
      <c r="I112" s="77"/>
      <c r="J112" s="77"/>
      <c r="K112" s="77"/>
      <c r="L112" s="77"/>
      <c r="M112" s="77"/>
      <c r="N112" s="77"/>
      <c r="U112" s="18"/>
      <c r="V112" s="19">
        <f>'[1]Additional information'!$D$18</f>
        <v>0.91</v>
      </c>
      <c r="W112" s="20" t="str">
        <f>IF(U112&lt;&gt;"",U112*V112,"")</f>
        <v/>
      </c>
      <c r="X112" s="20" t="str">
        <f>IF(AND(U112&lt;&gt;"",S112="yes"),U112*V112,"")</f>
        <v/>
      </c>
    </row>
    <row r="113" spans="1:25" ht="31.75" customHeight="1" x14ac:dyDescent="0.2">
      <c r="A113" s="12" t="s">
        <v>254</v>
      </c>
      <c r="B113" s="12" t="s">
        <v>255</v>
      </c>
      <c r="C113" s="12" t="s">
        <v>256</v>
      </c>
      <c r="D113" s="15"/>
      <c r="F113" s="15"/>
      <c r="G113" s="16" t="s">
        <v>36</v>
      </c>
      <c r="H113" s="16"/>
      <c r="I113" s="16"/>
      <c r="J113" s="16"/>
      <c r="K113" s="16" t="s">
        <v>257</v>
      </c>
      <c r="L113" s="16"/>
      <c r="M113" s="16"/>
      <c r="N113" s="16"/>
      <c r="S113" s="17" t="s">
        <v>38</v>
      </c>
      <c r="U113" s="18">
        <v>15.95429515838623</v>
      </c>
      <c r="V113" s="19">
        <f>'[1]Additional information'!$D$18</f>
        <v>0.91</v>
      </c>
      <c r="W113" s="20">
        <f>IF(U113&lt;&gt;"",U113*V113,"")</f>
        <v>14.51840859413147</v>
      </c>
      <c r="X113" s="20">
        <f>IF(AND(U113&lt;&gt;"",S113="yes"),U113*V113,"")</f>
        <v>14.51840859413147</v>
      </c>
    </row>
    <row r="114" spans="1:25" ht="15.75" customHeight="1" x14ac:dyDescent="0.2">
      <c r="A114" s="12" t="s">
        <v>57</v>
      </c>
      <c r="B114" s="12" t="s">
        <v>258</v>
      </c>
      <c r="C114" s="39" t="s">
        <v>259</v>
      </c>
      <c r="D114" s="40"/>
      <c r="E114" s="21" t="s">
        <v>260</v>
      </c>
      <c r="F114" s="15"/>
      <c r="G114" s="16" t="s">
        <v>36</v>
      </c>
      <c r="H114" s="16"/>
      <c r="I114" s="16"/>
      <c r="J114" s="16"/>
      <c r="K114" s="16" t="s">
        <v>261</v>
      </c>
      <c r="L114" s="16"/>
      <c r="M114" s="16"/>
      <c r="N114" s="16"/>
      <c r="S114" s="17" t="s">
        <v>38</v>
      </c>
      <c r="U114" s="18"/>
      <c r="V114" s="19">
        <f>'[1]Additional information'!$D$18</f>
        <v>0.91</v>
      </c>
      <c r="W114" s="20" t="str">
        <f>IF(U114&lt;&gt;"",U114*V114,"")</f>
        <v/>
      </c>
      <c r="X114" s="20" t="str">
        <f>IF(AND(U114&lt;&gt;"",S114="yes"),U114*V114,"")</f>
        <v/>
      </c>
    </row>
    <row r="115" spans="1:25" ht="15.75" customHeight="1" x14ac:dyDescent="0.2">
      <c r="A115" s="12" t="s">
        <v>108</v>
      </c>
      <c r="B115" s="237" t="s">
        <v>262</v>
      </c>
      <c r="C115" s="239" t="s">
        <v>263</v>
      </c>
      <c r="D115" s="40"/>
      <c r="E115" s="21"/>
      <c r="F115" s="15"/>
      <c r="G115" s="255" t="b">
        <v>1</v>
      </c>
      <c r="H115" s="16"/>
      <c r="I115" s="16"/>
      <c r="J115" s="16"/>
      <c r="K115" s="252" t="s">
        <v>264</v>
      </c>
      <c r="L115" s="16"/>
      <c r="M115" s="16"/>
      <c r="N115" s="16"/>
      <c r="U115" s="18"/>
      <c r="W115" s="20"/>
      <c r="X115" s="20"/>
    </row>
    <row r="116" spans="1:25" ht="15.75" customHeight="1" x14ac:dyDescent="0.2">
      <c r="A116" s="12" t="s">
        <v>265</v>
      </c>
      <c r="B116" s="237" t="s">
        <v>266</v>
      </c>
      <c r="C116" s="239" t="s">
        <v>267</v>
      </c>
      <c r="D116" s="40"/>
      <c r="E116" s="21"/>
      <c r="F116" s="15"/>
      <c r="G116" s="16"/>
      <c r="H116" s="16"/>
      <c r="I116" s="16"/>
      <c r="J116" s="16"/>
      <c r="K116" s="252" t="s">
        <v>268</v>
      </c>
      <c r="L116" s="16"/>
      <c r="M116" s="16"/>
      <c r="N116" s="16"/>
      <c r="U116" s="18"/>
      <c r="W116" s="20"/>
      <c r="X116" s="20"/>
    </row>
    <row r="117" spans="1:25" ht="15.75" customHeight="1" x14ac:dyDescent="0.2">
      <c r="A117" s="12" t="s">
        <v>269</v>
      </c>
      <c r="B117" s="237" t="s">
        <v>270</v>
      </c>
      <c r="C117" s="239" t="s">
        <v>271</v>
      </c>
      <c r="D117" s="40"/>
      <c r="E117" s="21"/>
      <c r="F117" s="15"/>
      <c r="G117" s="16"/>
      <c r="H117" s="16"/>
      <c r="I117" s="16"/>
      <c r="J117" s="16"/>
      <c r="K117" s="252" t="s">
        <v>272</v>
      </c>
      <c r="L117" s="16"/>
      <c r="M117" s="16"/>
      <c r="N117" s="16"/>
      <c r="U117" s="18"/>
      <c r="W117" s="20"/>
      <c r="X117" s="20"/>
    </row>
    <row r="118" spans="1:25" ht="15.75" customHeight="1" x14ac:dyDescent="0.2">
      <c r="A118" s="12" t="s">
        <v>57</v>
      </c>
      <c r="B118" s="237" t="s">
        <v>273</v>
      </c>
      <c r="C118" s="239" t="s">
        <v>259</v>
      </c>
      <c r="D118" s="40"/>
      <c r="E118" s="21"/>
      <c r="F118" s="15"/>
      <c r="G118" s="16"/>
      <c r="H118" s="16"/>
      <c r="I118" s="16"/>
      <c r="J118" s="16"/>
      <c r="K118" s="252" t="s">
        <v>274</v>
      </c>
      <c r="L118" s="16"/>
      <c r="M118" s="16"/>
      <c r="N118" s="16"/>
      <c r="U118" s="18"/>
      <c r="W118" s="20"/>
      <c r="X118" s="20"/>
    </row>
    <row r="119" spans="1:25" s="22" customFormat="1" ht="15.75" customHeight="1" x14ac:dyDescent="0.2">
      <c r="C119" s="23"/>
      <c r="D119" s="24"/>
      <c r="F119" s="25"/>
      <c r="G119" s="26"/>
      <c r="H119" s="26"/>
      <c r="I119" s="26"/>
      <c r="J119" s="26"/>
      <c r="K119" s="26"/>
      <c r="L119" s="26"/>
      <c r="M119" s="26"/>
      <c r="N119" s="26"/>
      <c r="U119" s="18"/>
      <c r="V119" s="19">
        <f>'[1]Additional information'!$D$18</f>
        <v>0.91</v>
      </c>
      <c r="W119" s="20" t="str">
        <f t="shared" ref="W119:W137" si="16">IF(U119&lt;&gt;"",U119*V119,"")</f>
        <v/>
      </c>
      <c r="X119" s="20" t="str">
        <f t="shared" ref="X119:X135" si="17">IF(AND(U119&lt;&gt;"",S119="yes"),U119*V119,"")</f>
        <v/>
      </c>
      <c r="Y119" s="21"/>
    </row>
    <row r="120" spans="1:25" s="22" customFormat="1" x14ac:dyDescent="0.2">
      <c r="C120" s="23"/>
      <c r="D120" s="24"/>
      <c r="F120" s="25"/>
      <c r="G120" s="26"/>
      <c r="H120" s="26"/>
      <c r="I120" s="26"/>
      <c r="J120" s="26"/>
      <c r="K120" s="26"/>
      <c r="L120" s="26"/>
      <c r="M120" s="26"/>
      <c r="N120" s="26"/>
      <c r="U120" s="18"/>
      <c r="V120" s="19">
        <f>'[1]Additional information'!$D$18</f>
        <v>0.91</v>
      </c>
      <c r="W120" s="20" t="str">
        <f t="shared" si="16"/>
        <v/>
      </c>
      <c r="X120" s="20" t="str">
        <f t="shared" si="17"/>
        <v/>
      </c>
      <c r="Y120" s="21"/>
    </row>
    <row r="121" spans="1:25" ht="32" customHeight="1" x14ac:dyDescent="0.2">
      <c r="A121" s="12" t="s">
        <v>187</v>
      </c>
      <c r="B121" s="12" t="s">
        <v>275</v>
      </c>
      <c r="C121" s="13" t="s">
        <v>276</v>
      </c>
      <c r="D121" s="14"/>
      <c r="E121" s="12"/>
      <c r="F121" s="15"/>
      <c r="G121" s="16" t="s">
        <v>36</v>
      </c>
      <c r="H121" s="16"/>
      <c r="I121" s="16"/>
      <c r="J121" s="16"/>
      <c r="K121" s="42" t="s">
        <v>257</v>
      </c>
      <c r="L121" s="16"/>
      <c r="M121" s="16"/>
      <c r="N121" s="16"/>
      <c r="S121" s="17" t="s">
        <v>38</v>
      </c>
      <c r="U121" s="18">
        <v>25.436874389648441</v>
      </c>
      <c r="V121" s="19">
        <f>'[1]Additional information'!$D$18</f>
        <v>0.91</v>
      </c>
      <c r="W121" s="20">
        <f t="shared" si="16"/>
        <v>23.147555694580081</v>
      </c>
      <c r="X121" s="20">
        <f t="shared" si="17"/>
        <v>23.147555694580081</v>
      </c>
    </row>
    <row r="122" spans="1:25" x14ac:dyDescent="0.2">
      <c r="D122" s="14"/>
      <c r="F122" s="15"/>
      <c r="K122" s="77"/>
      <c r="U122" s="18"/>
      <c r="V122" s="19">
        <f>'[1]Additional information'!$D$18</f>
        <v>0.91</v>
      </c>
      <c r="W122" s="20" t="str">
        <f t="shared" si="16"/>
        <v/>
      </c>
      <c r="X122" s="20" t="str">
        <f t="shared" si="17"/>
        <v/>
      </c>
    </row>
    <row r="123" spans="1:25" ht="32" customHeight="1" x14ac:dyDescent="0.2">
      <c r="A123" s="12" t="s">
        <v>187</v>
      </c>
      <c r="B123" s="12" t="s">
        <v>277</v>
      </c>
      <c r="C123" s="13" t="s">
        <v>278</v>
      </c>
      <c r="D123" s="14"/>
      <c r="F123" s="15"/>
      <c r="G123" s="16" t="s">
        <v>36</v>
      </c>
      <c r="H123" s="16"/>
      <c r="I123" s="16"/>
      <c r="J123" s="16"/>
      <c r="K123" s="42" t="s">
        <v>257</v>
      </c>
      <c r="L123" s="16"/>
      <c r="M123" s="16"/>
      <c r="N123" s="16"/>
      <c r="S123" s="17" t="s">
        <v>38</v>
      </c>
      <c r="U123" s="18">
        <v>19.364946365356449</v>
      </c>
      <c r="V123" s="19">
        <f>'[1]Additional information'!$D$18</f>
        <v>0.91</v>
      </c>
      <c r="W123" s="20">
        <f t="shared" si="16"/>
        <v>17.622101192474368</v>
      </c>
      <c r="X123" s="20">
        <f t="shared" si="17"/>
        <v>17.622101192474368</v>
      </c>
    </row>
    <row r="124" spans="1:25" s="22" customFormat="1" ht="16" customHeight="1" x14ac:dyDescent="0.2">
      <c r="A124" s="22" t="s">
        <v>224</v>
      </c>
      <c r="B124" s="22" t="s">
        <v>279</v>
      </c>
      <c r="C124" s="23" t="s">
        <v>280</v>
      </c>
      <c r="D124" s="24"/>
      <c r="E124" s="22" t="s">
        <v>281</v>
      </c>
      <c r="F124" s="25"/>
      <c r="G124" s="26" t="s">
        <v>36</v>
      </c>
      <c r="H124" s="77"/>
      <c r="I124" s="92" t="s">
        <v>228</v>
      </c>
      <c r="J124" s="26"/>
      <c r="K124" s="26" t="s">
        <v>257</v>
      </c>
      <c r="L124" s="26"/>
      <c r="M124" s="26"/>
      <c r="N124" s="26"/>
      <c r="S124" s="22" t="s">
        <v>46</v>
      </c>
      <c r="U124" s="18">
        <v>17</v>
      </c>
      <c r="V124" s="19">
        <f>'[1]Additional information'!$D$18</f>
        <v>0.91</v>
      </c>
      <c r="W124" s="20">
        <f t="shared" si="16"/>
        <v>15.47</v>
      </c>
      <c r="X124" s="20" t="str">
        <f t="shared" si="17"/>
        <v/>
      </c>
      <c r="Y124" s="21"/>
    </row>
    <row r="125" spans="1:25" s="22" customFormat="1" ht="16" customHeight="1" x14ac:dyDescent="0.2">
      <c r="A125" s="22" t="s">
        <v>282</v>
      </c>
      <c r="B125" s="22" t="s">
        <v>283</v>
      </c>
      <c r="C125" s="23" t="s">
        <v>284</v>
      </c>
      <c r="D125" s="24"/>
      <c r="F125" s="25"/>
      <c r="G125" s="26" t="s">
        <v>36</v>
      </c>
      <c r="H125" s="77"/>
      <c r="I125" s="26"/>
      <c r="J125" s="26"/>
      <c r="K125" s="26" t="s">
        <v>285</v>
      </c>
      <c r="L125" s="26"/>
      <c r="M125" s="26"/>
      <c r="N125" s="26"/>
      <c r="S125" s="22" t="s">
        <v>46</v>
      </c>
      <c r="U125" s="18">
        <v>17</v>
      </c>
      <c r="V125" s="19">
        <f>'[1]Additional information'!$D$18</f>
        <v>0.91</v>
      </c>
      <c r="W125" s="20">
        <f t="shared" si="16"/>
        <v>15.47</v>
      </c>
      <c r="X125" s="20" t="str">
        <f t="shared" si="17"/>
        <v/>
      </c>
      <c r="Y125" s="21"/>
    </row>
    <row r="126" spans="1:25" s="22" customFormat="1" x14ac:dyDescent="0.2">
      <c r="A126" s="22" t="s">
        <v>24</v>
      </c>
      <c r="B126" s="22" t="s">
        <v>286</v>
      </c>
      <c r="C126" s="23"/>
      <c r="D126" s="24"/>
      <c r="F126" s="25"/>
      <c r="G126" s="26"/>
      <c r="H126" s="26"/>
      <c r="I126" s="26"/>
      <c r="J126" s="26"/>
      <c r="K126" s="26"/>
      <c r="L126" s="26"/>
      <c r="M126" s="26"/>
      <c r="N126" s="26" t="s">
        <v>287</v>
      </c>
      <c r="S126" s="22" t="s">
        <v>46</v>
      </c>
      <c r="U126" s="18"/>
      <c r="V126" s="19">
        <f>'[1]Additional information'!$D$18</f>
        <v>0.91</v>
      </c>
      <c r="W126" s="20" t="str">
        <f t="shared" si="16"/>
        <v/>
      </c>
      <c r="X126" s="20" t="str">
        <f t="shared" si="17"/>
        <v/>
      </c>
      <c r="Y126" s="21"/>
    </row>
    <row r="127" spans="1:25" s="22" customFormat="1" ht="16" customHeight="1" x14ac:dyDescent="0.2">
      <c r="A127" s="22" t="s">
        <v>224</v>
      </c>
      <c r="B127" s="22" t="s">
        <v>288</v>
      </c>
      <c r="C127" s="23" t="s">
        <v>289</v>
      </c>
      <c r="D127" s="24"/>
      <c r="E127" s="22" t="s">
        <v>290</v>
      </c>
      <c r="F127" s="25"/>
      <c r="G127" s="26" t="s">
        <v>36</v>
      </c>
      <c r="H127" s="77"/>
      <c r="I127" s="26"/>
      <c r="J127" s="26"/>
      <c r="K127" s="26" t="s">
        <v>291</v>
      </c>
      <c r="L127" s="26"/>
      <c r="M127" s="26"/>
      <c r="N127" s="26"/>
      <c r="S127" s="22" t="s">
        <v>46</v>
      </c>
      <c r="U127" s="18">
        <v>17</v>
      </c>
      <c r="V127" s="19">
        <f>'[1]Additional information'!$D$18</f>
        <v>0.91</v>
      </c>
      <c r="W127" s="20">
        <f t="shared" si="16"/>
        <v>15.47</v>
      </c>
      <c r="X127" s="20" t="str">
        <f t="shared" si="17"/>
        <v/>
      </c>
      <c r="Y127" s="21"/>
    </row>
    <row r="128" spans="1:25" s="22" customFormat="1" ht="32" customHeight="1" x14ac:dyDescent="0.2">
      <c r="A128" s="22" t="s">
        <v>64</v>
      </c>
      <c r="B128" s="22" t="s">
        <v>292</v>
      </c>
      <c r="C128" s="23" t="s">
        <v>293</v>
      </c>
      <c r="D128" s="24"/>
      <c r="E128" s="22" t="s">
        <v>290</v>
      </c>
      <c r="F128" s="25"/>
      <c r="G128" s="26" t="s">
        <v>36</v>
      </c>
      <c r="H128" s="77"/>
      <c r="I128" s="92" t="s">
        <v>228</v>
      </c>
      <c r="J128" s="26"/>
      <c r="K128" s="26" t="s">
        <v>294</v>
      </c>
      <c r="L128" s="26"/>
      <c r="M128" s="26"/>
      <c r="N128" s="26"/>
      <c r="S128" s="22" t="s">
        <v>46</v>
      </c>
      <c r="U128" s="18">
        <v>17</v>
      </c>
      <c r="V128" s="19">
        <f>'[1]Additional information'!$D$18</f>
        <v>0.91</v>
      </c>
      <c r="W128" s="20">
        <f t="shared" si="16"/>
        <v>15.47</v>
      </c>
      <c r="X128" s="20" t="str">
        <f t="shared" si="17"/>
        <v/>
      </c>
      <c r="Y128" s="21"/>
    </row>
    <row r="129" spans="1:25" s="22" customFormat="1" x14ac:dyDescent="0.2">
      <c r="C129" s="23"/>
      <c r="D129" s="24"/>
      <c r="F129" s="25"/>
      <c r="G129" s="26"/>
      <c r="H129" s="26"/>
      <c r="I129" s="26"/>
      <c r="J129" s="26"/>
      <c r="K129" s="26"/>
      <c r="L129" s="26"/>
      <c r="M129" s="26"/>
      <c r="N129" s="26"/>
      <c r="U129" s="18"/>
      <c r="V129" s="19">
        <f>'[1]Additional information'!$D$18</f>
        <v>0.91</v>
      </c>
      <c r="W129" s="20" t="str">
        <f t="shared" si="16"/>
        <v/>
      </c>
      <c r="X129" s="20" t="str">
        <f t="shared" si="17"/>
        <v/>
      </c>
      <c r="Y129" s="21"/>
    </row>
    <row r="130" spans="1:25" ht="32" customHeight="1" x14ac:dyDescent="0.2">
      <c r="A130" s="12" t="s">
        <v>108</v>
      </c>
      <c r="B130" s="12" t="s">
        <v>295</v>
      </c>
      <c r="C130" s="13" t="s">
        <v>296</v>
      </c>
      <c r="D130" s="14"/>
      <c r="F130" s="15"/>
      <c r="G130" s="16" t="s">
        <v>36</v>
      </c>
      <c r="H130" s="16"/>
      <c r="I130" s="16"/>
      <c r="J130" s="16"/>
      <c r="K130" s="42" t="s">
        <v>297</v>
      </c>
      <c r="L130" s="16"/>
      <c r="M130" s="16"/>
      <c r="N130" s="16"/>
      <c r="S130" s="17" t="s">
        <v>38</v>
      </c>
      <c r="U130" s="18">
        <v>13.458864212036129</v>
      </c>
      <c r="V130" s="19">
        <f>'[1]Additional information'!$D$18</f>
        <v>0.91</v>
      </c>
      <c r="W130" s="20">
        <f t="shared" si="16"/>
        <v>12.247566432952878</v>
      </c>
      <c r="X130" s="20">
        <f t="shared" si="17"/>
        <v>12.247566432952878</v>
      </c>
    </row>
    <row r="131" spans="1:25" ht="16" customHeight="1" x14ac:dyDescent="0.2">
      <c r="A131" s="12" t="s">
        <v>298</v>
      </c>
      <c r="B131" s="12" t="s">
        <v>299</v>
      </c>
      <c r="C131" s="13" t="s">
        <v>300</v>
      </c>
      <c r="D131" s="14"/>
      <c r="E131" s="17" t="s">
        <v>301</v>
      </c>
      <c r="F131" s="15"/>
      <c r="G131" s="16" t="s">
        <v>36</v>
      </c>
      <c r="H131" s="16"/>
      <c r="I131" s="42" t="s">
        <v>302</v>
      </c>
      <c r="J131" s="16"/>
      <c r="K131" s="42" t="s">
        <v>303</v>
      </c>
      <c r="L131" s="16"/>
      <c r="M131" s="16"/>
      <c r="N131" s="16"/>
      <c r="S131" s="17" t="s">
        <v>38</v>
      </c>
      <c r="U131" s="18">
        <v>37.523288726806641</v>
      </c>
      <c r="V131" s="19">
        <f>'[1]Additional information'!$D$18</f>
        <v>0.91</v>
      </c>
      <c r="W131" s="20">
        <f t="shared" si="16"/>
        <v>34.146192741394046</v>
      </c>
      <c r="X131" s="20">
        <f t="shared" si="17"/>
        <v>34.146192741394046</v>
      </c>
    </row>
    <row r="132" spans="1:25" x14ac:dyDescent="0.2">
      <c r="D132" s="14"/>
      <c r="F132" s="15"/>
      <c r="K132" s="77"/>
      <c r="U132" s="18"/>
      <c r="V132" s="19">
        <f>'[1]Additional information'!$D$18</f>
        <v>0.91</v>
      </c>
      <c r="W132" s="20" t="str">
        <f t="shared" si="16"/>
        <v/>
      </c>
      <c r="X132" s="20" t="str">
        <f t="shared" si="17"/>
        <v/>
      </c>
    </row>
    <row r="133" spans="1:25" x14ac:dyDescent="0.2">
      <c r="D133" s="14"/>
      <c r="F133" s="15"/>
      <c r="K133" s="77"/>
      <c r="U133" s="18"/>
      <c r="V133" s="19">
        <f>'[1]Additional information'!$D$18</f>
        <v>0.91</v>
      </c>
      <c r="W133" s="20" t="str">
        <f t="shared" si="16"/>
        <v/>
      </c>
      <c r="X133" s="20" t="str">
        <f t="shared" si="17"/>
        <v/>
      </c>
    </row>
    <row r="134" spans="1:25" ht="16" customHeight="1" thickBot="1" x14ac:dyDescent="0.25">
      <c r="A134" s="78" t="s">
        <v>112</v>
      </c>
      <c r="B134" s="78"/>
      <c r="C134" s="79"/>
      <c r="D134" s="80"/>
      <c r="E134" s="78"/>
      <c r="F134" s="81"/>
      <c r="G134" s="82"/>
      <c r="H134" s="82"/>
      <c r="I134" s="82"/>
      <c r="J134" s="82"/>
      <c r="K134" s="82"/>
      <c r="L134" s="82"/>
      <c r="M134" s="82"/>
      <c r="N134" s="82"/>
      <c r="U134" s="18"/>
      <c r="W134" s="20" t="str">
        <f t="shared" si="16"/>
        <v/>
      </c>
      <c r="X134" s="20" t="str">
        <f t="shared" si="17"/>
        <v/>
      </c>
    </row>
    <row r="135" spans="1:25" s="53" customFormat="1" ht="17" customHeight="1" thickTop="1" x14ac:dyDescent="0.2">
      <c r="A135" s="48" t="s">
        <v>53</v>
      </c>
      <c r="B135" s="48" t="s">
        <v>304</v>
      </c>
      <c r="C135" s="49" t="s">
        <v>305</v>
      </c>
      <c r="D135" s="50"/>
      <c r="E135" s="48"/>
      <c r="F135" s="51"/>
      <c r="G135" s="52" t="s">
        <v>45</v>
      </c>
      <c r="H135" s="52"/>
      <c r="I135" s="52"/>
      <c r="J135" s="52"/>
      <c r="K135" s="267" t="s">
        <v>306</v>
      </c>
      <c r="L135" s="52"/>
      <c r="M135" s="52"/>
      <c r="N135" s="52"/>
      <c r="S135" s="17" t="s">
        <v>38</v>
      </c>
      <c r="U135" s="18"/>
      <c r="V135" s="19"/>
      <c r="W135" s="20" t="str">
        <f t="shared" si="16"/>
        <v/>
      </c>
      <c r="X135" s="20" t="str">
        <f t="shared" si="17"/>
        <v/>
      </c>
      <c r="Y135" s="54"/>
    </row>
    <row r="136" spans="1:25" ht="16" customHeight="1" x14ac:dyDescent="0.2">
      <c r="A136" s="12" t="s">
        <v>108</v>
      </c>
      <c r="B136" s="12" t="s">
        <v>307</v>
      </c>
      <c r="C136" s="39" t="s">
        <v>308</v>
      </c>
      <c r="D136" s="14"/>
      <c r="F136" s="15"/>
      <c r="G136" s="42" t="s">
        <v>36</v>
      </c>
      <c r="H136" s="42"/>
      <c r="I136" s="42"/>
      <c r="J136" s="42"/>
      <c r="K136" s="42"/>
      <c r="L136" s="38"/>
      <c r="M136" s="42"/>
      <c r="N136" s="42"/>
      <c r="S136" s="17" t="s">
        <v>38</v>
      </c>
      <c r="U136" s="18">
        <v>13.55</v>
      </c>
      <c r="V136" s="19">
        <f>'[1]Additional information'!$D$18</f>
        <v>0.91</v>
      </c>
      <c r="W136" s="20">
        <f t="shared" si="16"/>
        <v>12.330500000000001</v>
      </c>
      <c r="X136" s="20"/>
    </row>
    <row r="137" spans="1:25" ht="16" customHeight="1" x14ac:dyDescent="0.2">
      <c r="A137" s="12" t="s">
        <v>309</v>
      </c>
      <c r="B137" s="12" t="s">
        <v>310</v>
      </c>
      <c r="C137" s="13" t="s">
        <v>311</v>
      </c>
      <c r="D137" s="14"/>
      <c r="F137" s="15"/>
      <c r="G137" s="42" t="s">
        <v>36</v>
      </c>
      <c r="H137" s="42" t="s">
        <v>83</v>
      </c>
      <c r="I137" s="42"/>
      <c r="J137" s="42"/>
      <c r="K137" s="42" t="s">
        <v>312</v>
      </c>
      <c r="L137" s="42" t="s">
        <v>313</v>
      </c>
      <c r="M137" s="42"/>
      <c r="N137" s="42"/>
      <c r="S137" s="17" t="s">
        <v>38</v>
      </c>
      <c r="U137" s="18">
        <v>13.55</v>
      </c>
      <c r="V137" s="19">
        <f>'[1]Additional information'!$D$18</f>
        <v>0.91</v>
      </c>
      <c r="W137" s="20">
        <f t="shared" si="16"/>
        <v>12.330500000000001</v>
      </c>
      <c r="X137" s="20"/>
    </row>
    <row r="138" spans="1:25" x14ac:dyDescent="0.2">
      <c r="A138" s="12" t="s">
        <v>24</v>
      </c>
      <c r="B138" s="12" t="s">
        <v>314</v>
      </c>
      <c r="C138" s="13"/>
      <c r="D138" s="14"/>
      <c r="F138" s="15"/>
      <c r="G138" s="42"/>
      <c r="H138" s="42"/>
      <c r="I138" s="42"/>
      <c r="J138" s="42"/>
      <c r="K138" s="42"/>
      <c r="L138" s="42"/>
      <c r="M138" s="42"/>
      <c r="N138" s="42" t="s">
        <v>315</v>
      </c>
      <c r="S138" s="17" t="s">
        <v>38</v>
      </c>
      <c r="U138" s="18"/>
      <c r="V138" s="19">
        <f>'[1]Additional information'!$D$18</f>
        <v>0.91</v>
      </c>
      <c r="W138" s="20"/>
      <c r="X138" s="20"/>
    </row>
    <row r="139" spans="1:25" x14ac:dyDescent="0.2">
      <c r="A139" s="12" t="s">
        <v>24</v>
      </c>
      <c r="B139" s="12" t="s">
        <v>316</v>
      </c>
      <c r="C139" s="13"/>
      <c r="D139" s="14"/>
      <c r="F139" s="15"/>
      <c r="G139" s="42"/>
      <c r="H139" s="42"/>
      <c r="I139" s="42"/>
      <c r="J139" s="42"/>
      <c r="K139" s="42"/>
      <c r="L139" s="42"/>
      <c r="M139" s="42"/>
      <c r="N139" s="42" t="s">
        <v>317</v>
      </c>
      <c r="S139" s="17" t="s">
        <v>38</v>
      </c>
      <c r="U139" s="18"/>
      <c r="V139" s="19">
        <f>'[1]Additional information'!$D$18</f>
        <v>0.91</v>
      </c>
      <c r="W139" s="20"/>
      <c r="X139" s="20"/>
    </row>
    <row r="140" spans="1:25" x14ac:dyDescent="0.2">
      <c r="D140" s="14"/>
      <c r="F140" s="15"/>
      <c r="U140" s="18"/>
      <c r="V140" s="19">
        <f>'[1]Additional information'!$D$18</f>
        <v>0.91</v>
      </c>
      <c r="W140" s="20"/>
      <c r="X140" s="20"/>
    </row>
    <row r="141" spans="1:25" ht="32" customHeight="1" x14ac:dyDescent="0.2">
      <c r="A141" s="12" t="s">
        <v>108</v>
      </c>
      <c r="B141" s="12" t="s">
        <v>318</v>
      </c>
      <c r="C141" s="13" t="s">
        <v>319</v>
      </c>
      <c r="D141" s="14"/>
      <c r="E141" s="76"/>
      <c r="F141" s="96"/>
      <c r="G141" s="16" t="s">
        <v>36</v>
      </c>
      <c r="H141" s="16"/>
      <c r="I141" s="16"/>
      <c r="J141" s="16"/>
      <c r="K141" s="16"/>
      <c r="L141" s="16"/>
      <c r="M141" s="16"/>
      <c r="N141" s="16"/>
      <c r="S141" s="17" t="s">
        <v>38</v>
      </c>
      <c r="U141" s="18">
        <v>12.68148708343506</v>
      </c>
      <c r="V141" s="19">
        <f>'[1]Additional information'!$D$18</f>
        <v>0.91</v>
      </c>
      <c r="W141" s="20">
        <f t="shared" ref="W141:W146" si="18">IF(U141&lt;&gt;"",U141*V141,"")</f>
        <v>11.540153245925906</v>
      </c>
      <c r="X141" s="20">
        <f t="shared" ref="X141:X146" si="19">IF(AND(U141&lt;&gt;"",S141="yes"),U141*V141,"")</f>
        <v>11.540153245925906</v>
      </c>
    </row>
    <row r="142" spans="1:25" ht="32" customHeight="1" x14ac:dyDescent="0.2">
      <c r="A142" s="12" t="s">
        <v>320</v>
      </c>
      <c r="B142" s="12" t="s">
        <v>321</v>
      </c>
      <c r="C142" s="39" t="s">
        <v>322</v>
      </c>
      <c r="D142" s="40"/>
      <c r="E142" s="17" t="s">
        <v>301</v>
      </c>
      <c r="F142" s="15"/>
      <c r="G142" s="16" t="s">
        <v>36</v>
      </c>
      <c r="H142" s="16"/>
      <c r="I142" s="42" t="s">
        <v>323</v>
      </c>
      <c r="J142" s="16"/>
      <c r="K142" s="42" t="s">
        <v>324</v>
      </c>
      <c r="L142" s="16"/>
      <c r="M142" s="16"/>
      <c r="N142" s="16"/>
      <c r="S142" s="17" t="s">
        <v>38</v>
      </c>
      <c r="U142" s="18">
        <v>22.61360931396484</v>
      </c>
      <c r="V142" s="19">
        <f>'[1]Additional information'!$D$18</f>
        <v>0.91</v>
      </c>
      <c r="W142" s="20">
        <f t="shared" si="18"/>
        <v>20.578384475708006</v>
      </c>
      <c r="X142" s="20">
        <f t="shared" si="19"/>
        <v>20.578384475708006</v>
      </c>
    </row>
    <row r="143" spans="1:25" x14ac:dyDescent="0.2">
      <c r="D143" s="14"/>
      <c r="F143" s="15"/>
      <c r="K143" s="77"/>
      <c r="U143" s="18"/>
      <c r="V143" s="19">
        <f>'[1]Additional information'!$D$18</f>
        <v>0.91</v>
      </c>
      <c r="W143" s="20" t="str">
        <f t="shared" si="18"/>
        <v/>
      </c>
      <c r="X143" s="20" t="str">
        <f t="shared" si="19"/>
        <v/>
      </c>
    </row>
    <row r="144" spans="1:25" ht="32" customHeight="1" x14ac:dyDescent="0.2">
      <c r="A144" s="12" t="s">
        <v>187</v>
      </c>
      <c r="B144" s="12" t="s">
        <v>325</v>
      </c>
      <c r="C144" s="39" t="s">
        <v>326</v>
      </c>
      <c r="D144" s="40"/>
      <c r="E144" s="66" t="s">
        <v>327</v>
      </c>
      <c r="F144" s="96"/>
      <c r="G144" s="16" t="s">
        <v>36</v>
      </c>
      <c r="H144" s="16"/>
      <c r="I144" s="16"/>
      <c r="J144" s="16"/>
      <c r="K144" s="42"/>
      <c r="L144" s="16"/>
      <c r="M144" s="16"/>
      <c r="N144" s="16"/>
      <c r="S144" s="17" t="s">
        <v>38</v>
      </c>
      <c r="U144" s="18">
        <v>21.701908111572269</v>
      </c>
      <c r="V144" s="19">
        <f>'[1]Additional information'!$D$18</f>
        <v>0.91</v>
      </c>
      <c r="W144" s="20">
        <f t="shared" si="18"/>
        <v>19.748736381530765</v>
      </c>
      <c r="X144" s="20">
        <f t="shared" si="19"/>
        <v>19.748736381530765</v>
      </c>
    </row>
    <row r="145" spans="1:25" x14ac:dyDescent="0.2">
      <c r="C145" s="36"/>
      <c r="D145" s="40"/>
      <c r="E145" s="76"/>
      <c r="F145" s="96"/>
      <c r="K145" s="77"/>
      <c r="U145" s="18"/>
      <c r="V145" s="19">
        <f>'[1]Additional information'!$D$18</f>
        <v>0.91</v>
      </c>
      <c r="W145" s="20" t="str">
        <f t="shared" si="18"/>
        <v/>
      </c>
      <c r="X145" s="20" t="str">
        <f t="shared" si="19"/>
        <v/>
      </c>
    </row>
    <row r="146" spans="1:25" ht="16" customHeight="1" thickBot="1" x14ac:dyDescent="0.25">
      <c r="A146" s="78" t="s">
        <v>112</v>
      </c>
      <c r="B146" s="78"/>
      <c r="C146" s="79"/>
      <c r="D146" s="80"/>
      <c r="E146" s="78"/>
      <c r="F146" s="81"/>
      <c r="G146" s="82"/>
      <c r="H146" s="82"/>
      <c r="I146" s="82"/>
      <c r="J146" s="82"/>
      <c r="K146" s="82"/>
      <c r="L146" s="82"/>
      <c r="M146" s="82"/>
      <c r="N146" s="82"/>
      <c r="U146" s="18"/>
      <c r="W146" s="20" t="str">
        <f t="shared" si="18"/>
        <v/>
      </c>
      <c r="X146" s="20" t="str">
        <f t="shared" si="19"/>
        <v/>
      </c>
    </row>
    <row r="147" spans="1:25" ht="16" customHeight="1" thickTop="1" x14ac:dyDescent="0.2">
      <c r="A147" s="12"/>
      <c r="B147" s="12"/>
      <c r="C147" s="13"/>
      <c r="D147" s="14"/>
      <c r="E147" s="12"/>
      <c r="F147" s="15"/>
      <c r="G147" s="16"/>
      <c r="H147" s="16"/>
      <c r="I147" s="16"/>
      <c r="J147" s="16"/>
      <c r="K147" s="16"/>
      <c r="L147" s="16"/>
      <c r="M147" s="16"/>
      <c r="N147" s="16"/>
      <c r="U147" s="18"/>
      <c r="W147" s="20"/>
      <c r="X147" s="20"/>
    </row>
    <row r="148" spans="1:25" s="22" customFormat="1" ht="16" customHeight="1" x14ac:dyDescent="0.2">
      <c r="A148" s="250" t="s">
        <v>53</v>
      </c>
      <c r="B148" s="250" t="s">
        <v>328</v>
      </c>
      <c r="C148" s="264" t="s">
        <v>329</v>
      </c>
      <c r="D148" s="24"/>
      <c r="F148" s="25"/>
      <c r="G148" s="26"/>
      <c r="H148" s="26"/>
      <c r="I148" s="26"/>
      <c r="J148" s="26"/>
      <c r="K148" s="26" t="s">
        <v>221</v>
      </c>
      <c r="L148" s="26"/>
      <c r="M148" s="26"/>
      <c r="N148" s="26"/>
      <c r="U148" s="18"/>
      <c r="V148" s="97"/>
      <c r="W148" s="20"/>
      <c r="X148" s="20"/>
      <c r="Y148" s="21"/>
    </row>
    <row r="149" spans="1:25" s="22" customFormat="1" x14ac:dyDescent="0.2">
      <c r="A149" s="250"/>
      <c r="D149" s="24"/>
      <c r="F149" s="25"/>
      <c r="G149" s="26"/>
      <c r="H149" s="26"/>
      <c r="I149" s="26"/>
      <c r="J149" s="26"/>
      <c r="K149" s="26"/>
      <c r="L149" s="26"/>
      <c r="M149" s="26"/>
      <c r="N149" s="26"/>
      <c r="U149" s="18"/>
      <c r="V149" s="97"/>
      <c r="W149" s="20"/>
      <c r="X149" s="20"/>
      <c r="Y149" s="21"/>
    </row>
    <row r="150" spans="1:25" s="250" customFormat="1" ht="32" customHeight="1" x14ac:dyDescent="0.2">
      <c r="A150" s="250" t="s">
        <v>108</v>
      </c>
      <c r="B150" s="248" t="s">
        <v>330</v>
      </c>
      <c r="C150" s="245" t="s">
        <v>331</v>
      </c>
      <c r="D150" s="257"/>
      <c r="F150" s="258"/>
      <c r="G150" s="259"/>
      <c r="H150" s="259"/>
      <c r="I150" s="259"/>
      <c r="J150" s="259"/>
      <c r="K150" s="259"/>
      <c r="L150" s="259"/>
      <c r="M150" s="259"/>
      <c r="N150" s="259"/>
      <c r="U150" s="260"/>
      <c r="V150" s="261"/>
      <c r="W150" s="262"/>
      <c r="X150" s="262"/>
    </row>
    <row r="151" spans="1:25" s="250" customFormat="1" ht="32" customHeight="1" x14ac:dyDescent="0.2">
      <c r="A151" s="250" t="s">
        <v>41</v>
      </c>
      <c r="B151" s="248" t="s">
        <v>332</v>
      </c>
      <c r="C151" s="245" t="s">
        <v>333</v>
      </c>
      <c r="D151" s="257"/>
      <c r="F151" s="258"/>
      <c r="G151" s="263" t="b">
        <v>0</v>
      </c>
      <c r="H151" s="259"/>
      <c r="I151" s="259"/>
      <c r="J151" s="259"/>
      <c r="K151" s="254" t="s">
        <v>334</v>
      </c>
      <c r="L151" s="259"/>
      <c r="M151" s="259"/>
      <c r="N151" s="259"/>
      <c r="U151" s="260"/>
      <c r="V151" s="261"/>
      <c r="W151" s="262"/>
      <c r="X151" s="262"/>
    </row>
    <row r="152" spans="1:25" s="250" customFormat="1" ht="16" customHeight="1" x14ac:dyDescent="0.2">
      <c r="A152" s="250" t="s">
        <v>64</v>
      </c>
      <c r="B152" s="248" t="s">
        <v>335</v>
      </c>
      <c r="C152" s="245" t="s">
        <v>336</v>
      </c>
      <c r="D152" s="257"/>
      <c r="E152" s="250" t="s">
        <v>337</v>
      </c>
      <c r="F152" s="258"/>
      <c r="G152" s="263" t="b">
        <v>1</v>
      </c>
      <c r="H152" s="259"/>
      <c r="I152" s="254" t="s">
        <v>338</v>
      </c>
      <c r="J152" s="259"/>
      <c r="K152" s="254" t="s">
        <v>334</v>
      </c>
      <c r="L152" s="259"/>
      <c r="M152" s="259"/>
      <c r="N152" s="259"/>
      <c r="U152" s="260"/>
      <c r="V152" s="261"/>
      <c r="W152" s="262"/>
      <c r="X152" s="262"/>
    </row>
    <row r="153" spans="1:25" s="250" customFormat="1" ht="16" customHeight="1" x14ac:dyDescent="0.2">
      <c r="A153" s="250" t="s">
        <v>64</v>
      </c>
      <c r="B153" s="248" t="s">
        <v>339</v>
      </c>
      <c r="C153" s="245" t="s">
        <v>340</v>
      </c>
      <c r="D153" s="257"/>
      <c r="E153" s="250" t="s">
        <v>147</v>
      </c>
      <c r="F153" s="258"/>
      <c r="G153" s="263" t="b">
        <v>1</v>
      </c>
      <c r="H153" s="259"/>
      <c r="I153" s="254" t="s">
        <v>341</v>
      </c>
      <c r="J153" s="259"/>
      <c r="K153" s="254" t="s">
        <v>342</v>
      </c>
      <c r="L153" s="259"/>
      <c r="M153" s="259"/>
      <c r="N153" s="259"/>
      <c r="U153" s="260"/>
      <c r="V153" s="261"/>
      <c r="W153" s="262"/>
      <c r="X153" s="262"/>
    </row>
    <row r="154" spans="1:25" s="250" customFormat="1" ht="16" customHeight="1" x14ac:dyDescent="0.2">
      <c r="A154" s="250" t="s">
        <v>64</v>
      </c>
      <c r="B154" s="248" t="s">
        <v>343</v>
      </c>
      <c r="C154" s="245" t="s">
        <v>344</v>
      </c>
      <c r="D154" s="257"/>
      <c r="E154" s="250" t="s">
        <v>147</v>
      </c>
      <c r="F154" s="258"/>
      <c r="G154" s="263" t="b">
        <v>1</v>
      </c>
      <c r="H154" s="259"/>
      <c r="I154" s="254" t="s">
        <v>341</v>
      </c>
      <c r="J154" s="259"/>
      <c r="K154" s="254" t="s">
        <v>342</v>
      </c>
      <c r="L154" s="259"/>
      <c r="M154" s="259"/>
      <c r="N154" s="259"/>
      <c r="U154" s="260"/>
      <c r="V154" s="261"/>
      <c r="W154" s="262"/>
      <c r="X154" s="262"/>
    </row>
    <row r="155" spans="1:25" s="250" customFormat="1" x14ac:dyDescent="0.2">
      <c r="B155" s="248"/>
      <c r="C155" s="245"/>
      <c r="D155" s="257"/>
      <c r="F155" s="258"/>
      <c r="G155" s="259"/>
      <c r="H155" s="259"/>
      <c r="I155" s="26"/>
      <c r="J155" s="259"/>
      <c r="K155" s="259"/>
      <c r="L155" s="259"/>
      <c r="M155" s="259"/>
      <c r="N155" s="259"/>
      <c r="U155" s="260"/>
      <c r="V155" s="261"/>
      <c r="W155" s="262"/>
      <c r="X155" s="262"/>
    </row>
    <row r="156" spans="1:25" s="250" customFormat="1" ht="32" customHeight="1" x14ac:dyDescent="0.2">
      <c r="A156" s="250" t="s">
        <v>41</v>
      </c>
      <c r="B156" s="248" t="s">
        <v>345</v>
      </c>
      <c r="C156" s="245" t="s">
        <v>346</v>
      </c>
      <c r="D156" s="257"/>
      <c r="F156" s="258"/>
      <c r="G156" s="263" t="b">
        <v>0</v>
      </c>
      <c r="H156" s="259"/>
      <c r="I156" s="259"/>
      <c r="J156" s="259"/>
      <c r="K156" s="254" t="s">
        <v>334</v>
      </c>
      <c r="L156" s="259"/>
      <c r="M156" s="259"/>
      <c r="N156" s="259"/>
      <c r="U156" s="260"/>
      <c r="V156" s="261"/>
      <c r="W156" s="262"/>
      <c r="X156" s="262"/>
    </row>
    <row r="157" spans="1:25" s="250" customFormat="1" ht="16" customHeight="1" x14ac:dyDescent="0.2">
      <c r="A157" s="250" t="s">
        <v>64</v>
      </c>
      <c r="B157" s="248" t="s">
        <v>347</v>
      </c>
      <c r="C157" s="245" t="s">
        <v>336</v>
      </c>
      <c r="D157" s="257"/>
      <c r="E157" s="250" t="s">
        <v>337</v>
      </c>
      <c r="F157" s="258"/>
      <c r="G157" s="263" t="b">
        <v>1</v>
      </c>
      <c r="H157" s="259"/>
      <c r="I157" s="254" t="s">
        <v>338</v>
      </c>
      <c r="J157" s="259"/>
      <c r="K157" s="254" t="s">
        <v>334</v>
      </c>
      <c r="L157" s="259"/>
      <c r="M157" s="259"/>
      <c r="N157" s="259"/>
      <c r="U157" s="260"/>
      <c r="V157" s="261"/>
      <c r="W157" s="262"/>
      <c r="X157" s="262"/>
    </row>
    <row r="158" spans="1:25" s="250" customFormat="1" ht="16" customHeight="1" x14ac:dyDescent="0.2">
      <c r="A158" s="250" t="s">
        <v>64</v>
      </c>
      <c r="B158" s="248" t="s">
        <v>348</v>
      </c>
      <c r="C158" s="245" t="s">
        <v>340</v>
      </c>
      <c r="D158" s="257"/>
      <c r="E158" s="250" t="s">
        <v>147</v>
      </c>
      <c r="F158" s="258"/>
      <c r="G158" s="263" t="b">
        <v>1</v>
      </c>
      <c r="H158" s="259"/>
      <c r="I158" s="254" t="s">
        <v>341</v>
      </c>
      <c r="J158" s="259"/>
      <c r="K158" s="254" t="s">
        <v>349</v>
      </c>
      <c r="L158" s="259"/>
      <c r="M158" s="259"/>
      <c r="N158" s="259"/>
      <c r="U158" s="260"/>
      <c r="V158" s="261"/>
      <c r="W158" s="262"/>
      <c r="X158" s="262"/>
    </row>
    <row r="159" spans="1:25" s="250" customFormat="1" ht="16" customHeight="1" x14ac:dyDescent="0.2">
      <c r="A159" s="250" t="s">
        <v>64</v>
      </c>
      <c r="B159" s="248" t="s">
        <v>350</v>
      </c>
      <c r="C159" s="245" t="s">
        <v>344</v>
      </c>
      <c r="D159" s="257"/>
      <c r="E159" s="250" t="s">
        <v>147</v>
      </c>
      <c r="F159" s="258"/>
      <c r="G159" s="263" t="b">
        <v>1</v>
      </c>
      <c r="H159" s="259"/>
      <c r="I159" s="254" t="s">
        <v>341</v>
      </c>
      <c r="J159" s="259"/>
      <c r="K159" s="254" t="s">
        <v>349</v>
      </c>
      <c r="L159" s="259"/>
      <c r="M159" s="259"/>
      <c r="N159" s="259"/>
      <c r="U159" s="260"/>
      <c r="V159" s="261"/>
      <c r="W159" s="262"/>
      <c r="X159" s="262"/>
    </row>
    <row r="160" spans="1:25" s="22" customFormat="1" x14ac:dyDescent="0.2">
      <c r="C160" s="23"/>
      <c r="D160" s="24"/>
      <c r="F160" s="25"/>
      <c r="G160" s="26"/>
      <c r="H160" s="26"/>
      <c r="I160" s="26"/>
      <c r="J160" s="26"/>
      <c r="K160" s="26"/>
      <c r="L160" s="26"/>
      <c r="M160" s="26"/>
      <c r="N160" s="26"/>
      <c r="U160" s="18"/>
      <c r="V160" s="97"/>
      <c r="W160" s="20"/>
      <c r="X160" s="20"/>
      <c r="Y160" s="21"/>
    </row>
    <row r="161" spans="1:25" ht="16" customHeight="1" thickBot="1" x14ac:dyDescent="0.25">
      <c r="A161" s="265" t="s">
        <v>112</v>
      </c>
      <c r="B161" s="70"/>
      <c r="C161" s="71"/>
      <c r="D161" s="45"/>
      <c r="E161" s="70"/>
      <c r="F161" s="46"/>
      <c r="G161" s="72"/>
      <c r="H161" s="72"/>
      <c r="I161" s="72"/>
      <c r="J161" s="72"/>
      <c r="K161" s="72"/>
      <c r="L161" s="72"/>
      <c r="M161" s="72"/>
      <c r="N161" s="72"/>
      <c r="U161" s="18"/>
      <c r="W161" s="20" t="str">
        <f t="shared" ref="W161:W174" si="20">IF(U161&lt;&gt;"",U161*V161,"")</f>
        <v/>
      </c>
      <c r="X161" s="20" t="str">
        <f t="shared" ref="X161:X174" si="21">IF(AND(U161&lt;&gt;"",S161="yes"),U161*V161,"")</f>
        <v/>
      </c>
    </row>
    <row r="162" spans="1:25" s="53" customFormat="1" ht="17" customHeight="1" thickTop="1" x14ac:dyDescent="0.2">
      <c r="A162" s="48" t="s">
        <v>53</v>
      </c>
      <c r="B162" s="48" t="s">
        <v>351</v>
      </c>
      <c r="C162" s="49" t="s">
        <v>352</v>
      </c>
      <c r="D162" s="50"/>
      <c r="E162" s="48"/>
      <c r="F162" s="51"/>
      <c r="G162" s="52" t="s">
        <v>45</v>
      </c>
      <c r="H162" s="52"/>
      <c r="I162" s="52"/>
      <c r="J162" s="52"/>
      <c r="K162" s="267" t="s">
        <v>353</v>
      </c>
      <c r="L162" s="52"/>
      <c r="M162" s="52"/>
      <c r="N162" s="52"/>
      <c r="S162" s="17" t="s">
        <v>38</v>
      </c>
      <c r="U162" s="18"/>
      <c r="V162" s="54"/>
      <c r="W162" s="20" t="str">
        <f t="shared" si="20"/>
        <v/>
      </c>
      <c r="X162" s="20" t="str">
        <f t="shared" si="21"/>
        <v/>
      </c>
      <c r="Y162" s="54"/>
    </row>
    <row r="163" spans="1:25" ht="48" customHeight="1" x14ac:dyDescent="0.2">
      <c r="A163" s="12" t="s">
        <v>41</v>
      </c>
      <c r="B163" s="12" t="s">
        <v>354</v>
      </c>
      <c r="C163" s="13" t="s">
        <v>355</v>
      </c>
      <c r="D163" s="14"/>
      <c r="E163" s="12"/>
      <c r="F163" s="15"/>
      <c r="G163" s="16"/>
      <c r="H163" s="16"/>
      <c r="I163" s="16"/>
      <c r="J163" s="16"/>
      <c r="K163" s="16"/>
      <c r="L163" s="16"/>
      <c r="M163" s="16"/>
      <c r="N163" s="16"/>
      <c r="S163" s="17" t="s">
        <v>38</v>
      </c>
      <c r="U163" s="18">
        <v>7.5</v>
      </c>
      <c r="V163" s="97">
        <f>'[1]Additional information'!$D$19</f>
        <v>0.91</v>
      </c>
      <c r="W163" s="20">
        <f t="shared" si="20"/>
        <v>6.8250000000000002</v>
      </c>
      <c r="X163" s="20">
        <f t="shared" si="21"/>
        <v>6.8250000000000002</v>
      </c>
    </row>
    <row r="164" spans="1:25" s="53" customFormat="1" x14ac:dyDescent="0.2">
      <c r="C164" s="94"/>
      <c r="D164" s="50"/>
      <c r="F164" s="51"/>
      <c r="G164" s="95"/>
      <c r="H164" s="95"/>
      <c r="I164" s="95"/>
      <c r="J164" s="95"/>
      <c r="K164" s="95"/>
      <c r="L164" s="95"/>
      <c r="M164" s="95"/>
      <c r="N164" s="95"/>
      <c r="S164" s="17"/>
      <c r="U164" s="18"/>
      <c r="V164" s="97">
        <f>'[1]Additional information'!$D$19</f>
        <v>0.91</v>
      </c>
      <c r="W164" s="20" t="str">
        <f t="shared" si="20"/>
        <v/>
      </c>
      <c r="X164" s="20" t="str">
        <f t="shared" si="21"/>
        <v/>
      </c>
      <c r="Y164" s="54"/>
    </row>
    <row r="165" spans="1:25" ht="32" customHeight="1" x14ac:dyDescent="0.2">
      <c r="A165" s="12" t="s">
        <v>356</v>
      </c>
      <c r="B165" s="12" t="s">
        <v>357</v>
      </c>
      <c r="C165" s="13" t="s">
        <v>358</v>
      </c>
      <c r="D165" s="14"/>
      <c r="E165" s="17" t="s">
        <v>359</v>
      </c>
      <c r="F165" s="15"/>
      <c r="G165" s="16" t="s">
        <v>36</v>
      </c>
      <c r="H165" s="16" t="s">
        <v>168</v>
      </c>
      <c r="I165" s="16"/>
      <c r="J165" s="16"/>
      <c r="K165" s="16"/>
      <c r="L165" s="16"/>
      <c r="M165" s="16"/>
      <c r="N165" s="16"/>
      <c r="S165" s="17" t="s">
        <v>38</v>
      </c>
      <c r="U165" s="18">
        <v>20.2944221496582</v>
      </c>
      <c r="V165" s="97">
        <f>'[1]Additional information'!$D$19</f>
        <v>0.91</v>
      </c>
      <c r="W165" s="20">
        <f t="shared" si="20"/>
        <v>18.467924156188964</v>
      </c>
      <c r="X165" s="20">
        <f t="shared" si="21"/>
        <v>18.467924156188964</v>
      </c>
    </row>
    <row r="166" spans="1:25" x14ac:dyDescent="0.2">
      <c r="A166" s="12" t="s">
        <v>24</v>
      </c>
      <c r="B166" s="12" t="s">
        <v>360</v>
      </c>
      <c r="C166" s="13"/>
      <c r="D166" s="14"/>
      <c r="F166" s="15"/>
      <c r="G166" s="16"/>
      <c r="H166" s="16"/>
      <c r="I166" s="16"/>
      <c r="J166" s="16"/>
      <c r="K166" s="16"/>
      <c r="L166" s="16"/>
      <c r="M166" s="16"/>
      <c r="N166" s="16" t="s">
        <v>361</v>
      </c>
      <c r="S166" s="17" t="s">
        <v>38</v>
      </c>
      <c r="U166" s="18"/>
      <c r="V166" s="97">
        <f>'[1]Additional information'!$D$19</f>
        <v>0.91</v>
      </c>
      <c r="W166" s="20" t="str">
        <f t="shared" si="20"/>
        <v/>
      </c>
      <c r="X166" s="20" t="str">
        <f t="shared" si="21"/>
        <v/>
      </c>
    </row>
    <row r="167" spans="1:25" x14ac:dyDescent="0.2">
      <c r="D167" s="14"/>
      <c r="F167" s="15"/>
      <c r="K167" s="77"/>
      <c r="U167" s="18"/>
      <c r="V167" s="97">
        <f>'[1]Additional information'!$D$19</f>
        <v>0.91</v>
      </c>
      <c r="W167" s="20" t="str">
        <f t="shared" si="20"/>
        <v/>
      </c>
      <c r="X167" s="20" t="str">
        <f t="shared" si="21"/>
        <v/>
      </c>
    </row>
    <row r="168" spans="1:25" ht="16" customHeight="1" x14ac:dyDescent="0.2">
      <c r="A168" s="12" t="s">
        <v>64</v>
      </c>
      <c r="B168" s="12" t="s">
        <v>362</v>
      </c>
      <c r="C168" s="13" t="s">
        <v>363</v>
      </c>
      <c r="D168" s="14"/>
      <c r="E168" s="12" t="s">
        <v>364</v>
      </c>
      <c r="F168" s="15"/>
      <c r="G168" s="16" t="s">
        <v>36</v>
      </c>
      <c r="H168" s="16"/>
      <c r="I168" s="16" t="s">
        <v>365</v>
      </c>
      <c r="J168" s="16"/>
      <c r="K168" s="16" t="s">
        <v>366</v>
      </c>
      <c r="L168" s="16"/>
      <c r="M168" s="16"/>
      <c r="N168" s="16"/>
      <c r="S168" s="17" t="s">
        <v>38</v>
      </c>
      <c r="U168" s="18">
        <v>18.539077758789059</v>
      </c>
      <c r="V168" s="97">
        <f>'[1]Additional information'!$D$19</f>
        <v>0.91</v>
      </c>
      <c r="W168" s="20">
        <f t="shared" si="20"/>
        <v>16.870560760498044</v>
      </c>
      <c r="X168" s="20">
        <f t="shared" si="21"/>
        <v>16.870560760498044</v>
      </c>
    </row>
    <row r="169" spans="1:25" ht="16" customHeight="1" x14ac:dyDescent="0.2">
      <c r="A169" s="12" t="s">
        <v>64</v>
      </c>
      <c r="B169" s="12" t="s">
        <v>367</v>
      </c>
      <c r="C169" s="13" t="s">
        <v>368</v>
      </c>
      <c r="D169" s="14"/>
      <c r="E169" s="12" t="s">
        <v>364</v>
      </c>
      <c r="F169" s="15"/>
      <c r="G169" s="16" t="s">
        <v>36</v>
      </c>
      <c r="H169" s="16"/>
      <c r="I169" s="16" t="s">
        <v>365</v>
      </c>
      <c r="J169" s="16"/>
      <c r="K169" s="16" t="s">
        <v>366</v>
      </c>
      <c r="L169" s="16"/>
      <c r="M169" s="16"/>
      <c r="N169" s="16"/>
      <c r="S169" s="17" t="s">
        <v>38</v>
      </c>
      <c r="U169" s="18">
        <v>8.9158916473388672</v>
      </c>
      <c r="V169" s="97">
        <f>'[1]Additional information'!$D$19</f>
        <v>0.91</v>
      </c>
      <c r="W169" s="20">
        <f t="shared" si="20"/>
        <v>8.1134613990783695</v>
      </c>
      <c r="X169" s="20">
        <f t="shared" si="21"/>
        <v>8.1134613990783695</v>
      </c>
    </row>
    <row r="170" spans="1:25" ht="16" customHeight="1" x14ac:dyDescent="0.2">
      <c r="A170" s="12" t="s">
        <v>24</v>
      </c>
      <c r="B170" s="12" t="s">
        <v>369</v>
      </c>
      <c r="C170" s="13" t="s">
        <v>370</v>
      </c>
      <c r="D170" s="14"/>
      <c r="E170" s="12"/>
      <c r="F170" s="15"/>
      <c r="G170" s="16" t="s">
        <v>36</v>
      </c>
      <c r="H170" s="16"/>
      <c r="I170" s="16"/>
      <c r="J170" s="16"/>
      <c r="K170" s="16" t="s">
        <v>371</v>
      </c>
      <c r="L170" s="16"/>
      <c r="M170" s="16"/>
      <c r="N170" s="16" t="s">
        <v>372</v>
      </c>
      <c r="S170" s="17" t="s">
        <v>38</v>
      </c>
      <c r="U170" s="18"/>
      <c r="V170" s="97">
        <f>'[1]Additional information'!$D$19</f>
        <v>0.91</v>
      </c>
      <c r="W170" s="20" t="str">
        <f t="shared" si="20"/>
        <v/>
      </c>
      <c r="X170" s="20" t="str">
        <f t="shared" si="21"/>
        <v/>
      </c>
    </row>
    <row r="171" spans="1:25" x14ac:dyDescent="0.2">
      <c r="D171" s="14"/>
      <c r="F171" s="15"/>
      <c r="U171" s="18"/>
      <c r="V171" s="97">
        <f>'[1]Additional information'!$D$19</f>
        <v>0.91</v>
      </c>
      <c r="W171" s="20" t="str">
        <f t="shared" si="20"/>
        <v/>
      </c>
      <c r="X171" s="20" t="str">
        <f t="shared" si="21"/>
        <v/>
      </c>
    </row>
    <row r="172" spans="1:25" ht="16" customHeight="1" x14ac:dyDescent="0.2">
      <c r="A172" s="12" t="s">
        <v>373</v>
      </c>
      <c r="B172" s="12" t="s">
        <v>374</v>
      </c>
      <c r="C172" s="13" t="s">
        <v>375</v>
      </c>
      <c r="D172" s="14"/>
      <c r="E172" s="17" t="s">
        <v>376</v>
      </c>
      <c r="F172" s="15"/>
      <c r="G172" s="16" t="s">
        <v>36</v>
      </c>
      <c r="H172" s="16"/>
      <c r="I172" s="16" t="s">
        <v>377</v>
      </c>
      <c r="J172" s="16"/>
      <c r="K172" s="16" t="s">
        <v>366</v>
      </c>
      <c r="L172" s="16"/>
      <c r="M172" s="16"/>
      <c r="N172" s="16"/>
      <c r="S172" s="17" t="s">
        <v>38</v>
      </c>
      <c r="U172" s="18">
        <v>25.81001091003418</v>
      </c>
      <c r="V172" s="97">
        <f>'[1]Additional information'!$D$19</f>
        <v>0.91</v>
      </c>
      <c r="W172" s="20">
        <f t="shared" si="20"/>
        <v>23.487109928131105</v>
      </c>
      <c r="X172" s="20">
        <f t="shared" si="21"/>
        <v>23.487109928131105</v>
      </c>
    </row>
    <row r="173" spans="1:25" x14ac:dyDescent="0.2">
      <c r="D173" s="14"/>
      <c r="F173" s="15"/>
      <c r="K173" s="77"/>
      <c r="U173" s="18"/>
      <c r="V173" s="97">
        <f>'[1]Additional information'!$D$19</f>
        <v>0.91</v>
      </c>
      <c r="W173" s="20" t="str">
        <f t="shared" si="20"/>
        <v/>
      </c>
      <c r="X173" s="20" t="str">
        <f t="shared" si="21"/>
        <v/>
      </c>
    </row>
    <row r="174" spans="1:25" s="22" customFormat="1" ht="16" customHeight="1" x14ac:dyDescent="0.2">
      <c r="A174" s="22" t="s">
        <v>378</v>
      </c>
      <c r="B174" s="22" t="s">
        <v>379</v>
      </c>
      <c r="C174" s="23" t="s">
        <v>380</v>
      </c>
      <c r="D174" s="24"/>
      <c r="E174" s="22" t="s">
        <v>376</v>
      </c>
      <c r="F174" s="25"/>
      <c r="G174" s="26" t="s">
        <v>36</v>
      </c>
      <c r="H174" s="26"/>
      <c r="I174" s="26" t="s">
        <v>323</v>
      </c>
      <c r="J174" s="26"/>
      <c r="K174" s="26"/>
      <c r="L174" s="26"/>
      <c r="M174" s="26"/>
      <c r="N174" s="26"/>
      <c r="S174" s="22" t="s">
        <v>46</v>
      </c>
      <c r="U174" s="18">
        <v>19.55319786071777</v>
      </c>
      <c r="V174" s="97">
        <f>'[1]Additional information'!$D$19</f>
        <v>0.91</v>
      </c>
      <c r="W174" s="20">
        <f t="shared" si="20"/>
        <v>17.793410053253172</v>
      </c>
      <c r="X174" s="20" t="str">
        <f t="shared" si="21"/>
        <v/>
      </c>
      <c r="Y174" s="21"/>
    </row>
    <row r="175" spans="1:25" s="22" customFormat="1" x14ac:dyDescent="0.2">
      <c r="C175" s="23"/>
      <c r="D175" s="24"/>
      <c r="F175" s="25"/>
      <c r="G175" s="26"/>
      <c r="H175" s="26"/>
      <c r="I175" s="26"/>
      <c r="J175" s="26"/>
      <c r="K175" s="26"/>
      <c r="L175" s="26"/>
      <c r="M175" s="26"/>
      <c r="N175" s="26"/>
      <c r="U175" s="18"/>
      <c r="V175" s="97"/>
      <c r="W175" s="20"/>
      <c r="X175" s="20"/>
      <c r="Y175" s="21"/>
    </row>
    <row r="176" spans="1:25" ht="32" customHeight="1" x14ac:dyDescent="0.2">
      <c r="A176" s="12" t="s">
        <v>108</v>
      </c>
      <c r="B176" s="240" t="s">
        <v>381</v>
      </c>
      <c r="C176" s="241" t="s">
        <v>382</v>
      </c>
      <c r="D176" s="14"/>
      <c r="F176" s="15"/>
      <c r="G176" s="255" t="b">
        <v>1</v>
      </c>
      <c r="H176" s="16"/>
      <c r="I176" s="16"/>
      <c r="J176" s="16"/>
      <c r="K176" s="16"/>
      <c r="L176" s="16"/>
      <c r="M176" s="16"/>
      <c r="N176" s="16"/>
      <c r="U176" s="18"/>
      <c r="W176" s="20"/>
      <c r="X176" s="20"/>
    </row>
    <row r="177" spans="1:25" s="22" customFormat="1" x14ac:dyDescent="0.2">
      <c r="C177" s="23"/>
      <c r="D177" s="24"/>
      <c r="F177" s="25"/>
      <c r="G177" s="26"/>
      <c r="H177" s="26"/>
      <c r="I177" s="26"/>
      <c r="J177" s="26"/>
      <c r="K177" s="26"/>
      <c r="L177" s="26"/>
      <c r="M177" s="26"/>
      <c r="N177" s="26"/>
      <c r="U177" s="18"/>
      <c r="V177" s="97"/>
      <c r="W177" s="20"/>
      <c r="X177" s="20"/>
      <c r="Y177" s="21"/>
    </row>
    <row r="178" spans="1:25" s="22" customFormat="1" x14ac:dyDescent="0.2">
      <c r="C178" s="23"/>
      <c r="D178" s="24"/>
      <c r="F178" s="25"/>
      <c r="G178" s="26"/>
      <c r="H178" s="26"/>
      <c r="I178" s="26"/>
      <c r="J178" s="26"/>
      <c r="K178" s="26"/>
      <c r="L178" s="26"/>
      <c r="M178" s="26"/>
      <c r="N178" s="26"/>
      <c r="U178" s="18"/>
      <c r="V178" s="97">
        <f>'[1]Additional information'!$D$19</f>
        <v>0.91</v>
      </c>
      <c r="W178" s="20" t="str">
        <f t="shared" ref="W178:W194" si="22">IF(U178&lt;&gt;"",U178*V178,"")</f>
        <v/>
      </c>
      <c r="X178" s="20" t="str">
        <f t="shared" ref="X178:X194" si="23">IF(AND(U178&lt;&gt;"",S178="yes"),U178*V178,"")</f>
        <v/>
      </c>
      <c r="Y178" s="21"/>
    </row>
    <row r="179" spans="1:25" ht="32" customHeight="1" x14ac:dyDescent="0.2">
      <c r="A179" s="12" t="s">
        <v>108</v>
      </c>
      <c r="B179" s="12" t="s">
        <v>383</v>
      </c>
      <c r="C179" s="13" t="s">
        <v>384</v>
      </c>
      <c r="D179" s="14"/>
      <c r="F179" s="15"/>
      <c r="G179" s="16" t="s">
        <v>36</v>
      </c>
      <c r="H179" s="16"/>
      <c r="I179" s="16"/>
      <c r="J179" s="16"/>
      <c r="K179" s="42"/>
      <c r="L179" s="16"/>
      <c r="M179" s="16"/>
      <c r="N179" s="16"/>
      <c r="S179" s="17" t="s">
        <v>38</v>
      </c>
      <c r="U179" s="18">
        <v>13.613316535949711</v>
      </c>
      <c r="V179" s="97">
        <f>'[1]Additional information'!$D$19</f>
        <v>0.91</v>
      </c>
      <c r="W179" s="20">
        <f t="shared" si="22"/>
        <v>12.388118047714237</v>
      </c>
      <c r="X179" s="20">
        <f t="shared" si="23"/>
        <v>12.388118047714237</v>
      </c>
    </row>
    <row r="180" spans="1:25" ht="32" customHeight="1" x14ac:dyDescent="0.2">
      <c r="A180" s="12" t="s">
        <v>385</v>
      </c>
      <c r="B180" s="12" t="s">
        <v>386</v>
      </c>
      <c r="C180" s="13" t="s">
        <v>387</v>
      </c>
      <c r="D180" s="14"/>
      <c r="E180" s="17" t="s">
        <v>301</v>
      </c>
      <c r="F180" s="15"/>
      <c r="G180" s="16" t="s">
        <v>36</v>
      </c>
      <c r="H180" s="16"/>
      <c r="I180" s="42" t="s">
        <v>323</v>
      </c>
      <c r="J180" s="16"/>
      <c r="K180" s="42" t="s">
        <v>388</v>
      </c>
      <c r="L180" s="16"/>
      <c r="M180" s="16"/>
      <c r="N180" s="16"/>
      <c r="S180" s="17" t="s">
        <v>38</v>
      </c>
      <c r="U180" s="18">
        <v>27.754648208618161</v>
      </c>
      <c r="V180" s="97">
        <f>'[1]Additional information'!$D$19</f>
        <v>0.91</v>
      </c>
      <c r="W180" s="20">
        <f t="shared" si="22"/>
        <v>25.256729869842527</v>
      </c>
      <c r="X180" s="20">
        <f t="shared" si="23"/>
        <v>25.256729869842527</v>
      </c>
    </row>
    <row r="181" spans="1:25" x14ac:dyDescent="0.2">
      <c r="D181" s="14"/>
      <c r="F181" s="15"/>
      <c r="K181" s="77"/>
      <c r="U181" s="18"/>
      <c r="V181" s="97">
        <f>'[1]Additional information'!$D$19</f>
        <v>0.91</v>
      </c>
      <c r="W181" s="20" t="str">
        <f t="shared" si="22"/>
        <v/>
      </c>
      <c r="X181" s="20" t="str">
        <f t="shared" si="23"/>
        <v/>
      </c>
    </row>
    <row r="182" spans="1:25" x14ac:dyDescent="0.2">
      <c r="D182" s="14"/>
      <c r="F182" s="15"/>
      <c r="K182" s="77"/>
      <c r="U182" s="18"/>
      <c r="V182" s="97">
        <f>'[1]Additional information'!$D$19</f>
        <v>0.91</v>
      </c>
      <c r="W182" s="20" t="str">
        <f t="shared" si="22"/>
        <v/>
      </c>
      <c r="X182" s="20" t="str">
        <f t="shared" si="23"/>
        <v/>
      </c>
    </row>
    <row r="183" spans="1:25" ht="16" customHeight="1" thickBot="1" x14ac:dyDescent="0.25">
      <c r="A183" s="78" t="s">
        <v>112</v>
      </c>
      <c r="B183" s="78"/>
      <c r="C183" s="79"/>
      <c r="D183" s="80"/>
      <c r="E183" s="78"/>
      <c r="F183" s="81"/>
      <c r="G183" s="82"/>
      <c r="H183" s="82"/>
      <c r="I183" s="82"/>
      <c r="J183" s="82"/>
      <c r="K183" s="82"/>
      <c r="L183" s="82"/>
      <c r="M183" s="82"/>
      <c r="N183" s="82"/>
      <c r="U183" s="18"/>
      <c r="W183" s="20" t="str">
        <f t="shared" si="22"/>
        <v/>
      </c>
      <c r="X183" s="20" t="str">
        <f t="shared" si="23"/>
        <v/>
      </c>
    </row>
    <row r="184" spans="1:25" s="53" customFormat="1" ht="17" customHeight="1" thickTop="1" x14ac:dyDescent="0.2">
      <c r="A184" s="48" t="s">
        <v>53</v>
      </c>
      <c r="B184" s="48" t="s">
        <v>389</v>
      </c>
      <c r="C184" s="49" t="s">
        <v>390</v>
      </c>
      <c r="D184" s="50"/>
      <c r="E184" s="48"/>
      <c r="F184" s="51"/>
      <c r="G184" s="52" t="s">
        <v>45</v>
      </c>
      <c r="H184" s="52"/>
      <c r="I184" s="52"/>
      <c r="J184" s="52"/>
      <c r="K184" s="267" t="s">
        <v>391</v>
      </c>
      <c r="L184" s="52"/>
      <c r="M184" s="52"/>
      <c r="N184" s="52"/>
      <c r="S184" s="17" t="s">
        <v>38</v>
      </c>
      <c r="U184" s="18"/>
      <c r="V184" s="19"/>
      <c r="W184" s="20" t="str">
        <f t="shared" si="22"/>
        <v/>
      </c>
      <c r="X184" s="20" t="str">
        <f t="shared" si="23"/>
        <v/>
      </c>
      <c r="Y184" s="54"/>
    </row>
    <row r="185" spans="1:25" s="53" customFormat="1" x14ac:dyDescent="0.2">
      <c r="C185" s="94"/>
      <c r="D185" s="50"/>
      <c r="F185" s="51"/>
      <c r="G185" s="95"/>
      <c r="H185" s="95"/>
      <c r="I185" s="95"/>
      <c r="J185" s="95"/>
      <c r="K185" s="95"/>
      <c r="L185" s="95"/>
      <c r="M185" s="95"/>
      <c r="N185" s="95"/>
      <c r="S185" s="17"/>
      <c r="U185" s="18"/>
      <c r="V185" s="97">
        <f>'[1]Additional information'!$D$19</f>
        <v>0.91</v>
      </c>
      <c r="W185" s="20" t="str">
        <f t="shared" si="22"/>
        <v/>
      </c>
      <c r="X185" s="20" t="str">
        <f t="shared" si="23"/>
        <v/>
      </c>
      <c r="Y185" s="54"/>
    </row>
    <row r="186" spans="1:25" s="53" customFormat="1" ht="32" customHeight="1" x14ac:dyDescent="0.2">
      <c r="A186" s="12" t="s">
        <v>392</v>
      </c>
      <c r="B186" s="12" t="s">
        <v>393</v>
      </c>
      <c r="C186" s="13" t="s">
        <v>394</v>
      </c>
      <c r="D186" s="14"/>
      <c r="E186" s="17"/>
      <c r="F186" s="15"/>
      <c r="G186" s="16" t="s">
        <v>36</v>
      </c>
      <c r="H186" s="16" t="s">
        <v>168</v>
      </c>
      <c r="I186" s="52"/>
      <c r="J186" s="52"/>
      <c r="K186" s="52"/>
      <c r="L186" s="52"/>
      <c r="M186" s="52"/>
      <c r="N186" s="52"/>
      <c r="S186" s="17" t="s">
        <v>38</v>
      </c>
      <c r="U186" s="18">
        <v>13.99939060211182</v>
      </c>
      <c r="V186" s="97">
        <f>'[1]Additional information'!$D$19</f>
        <v>0.91</v>
      </c>
      <c r="W186" s="20">
        <f t="shared" si="22"/>
        <v>12.739445447921756</v>
      </c>
      <c r="X186" s="20">
        <f t="shared" si="23"/>
        <v>12.739445447921756</v>
      </c>
      <c r="Y186" s="54"/>
    </row>
    <row r="187" spans="1:25" x14ac:dyDescent="0.2">
      <c r="A187" s="12" t="s">
        <v>24</v>
      </c>
      <c r="B187" s="12" t="s">
        <v>395</v>
      </c>
      <c r="C187" s="13"/>
      <c r="D187" s="14"/>
      <c r="F187" s="15"/>
      <c r="G187" s="16"/>
      <c r="H187" s="16"/>
      <c r="I187" s="16"/>
      <c r="J187" s="16"/>
      <c r="K187" s="16"/>
      <c r="L187" s="16"/>
      <c r="M187" s="16"/>
      <c r="N187" s="16" t="s">
        <v>396</v>
      </c>
      <c r="S187" s="17" t="s">
        <v>38</v>
      </c>
      <c r="U187" s="18"/>
      <c r="V187" s="97">
        <f>'[1]Additional information'!$D$19</f>
        <v>0.91</v>
      </c>
      <c r="W187" s="20" t="str">
        <f t="shared" si="22"/>
        <v/>
      </c>
      <c r="X187" s="20" t="str">
        <f t="shared" si="23"/>
        <v/>
      </c>
    </row>
    <row r="188" spans="1:25" x14ac:dyDescent="0.2">
      <c r="D188" s="14"/>
      <c r="F188" s="15"/>
      <c r="U188" s="18"/>
      <c r="V188" s="97">
        <f>'[1]Additional information'!$D$19</f>
        <v>0.91</v>
      </c>
      <c r="W188" s="20" t="str">
        <f t="shared" si="22"/>
        <v/>
      </c>
      <c r="X188" s="20" t="str">
        <f t="shared" si="23"/>
        <v/>
      </c>
    </row>
    <row r="189" spans="1:25" ht="32" customHeight="1" x14ac:dyDescent="0.2">
      <c r="A189" s="12" t="s">
        <v>108</v>
      </c>
      <c r="B189" s="12" t="s">
        <v>397</v>
      </c>
      <c r="C189" s="13" t="s">
        <v>398</v>
      </c>
      <c r="D189" s="14"/>
      <c r="F189" s="15"/>
      <c r="G189" s="16" t="s">
        <v>36</v>
      </c>
      <c r="H189" s="16"/>
      <c r="I189" s="16"/>
      <c r="J189" s="16"/>
      <c r="K189" s="16"/>
      <c r="L189" s="16"/>
      <c r="M189" s="16"/>
      <c r="N189" s="16"/>
      <c r="S189" s="17" t="s">
        <v>38</v>
      </c>
      <c r="U189" s="18">
        <v>10.25279426574707</v>
      </c>
      <c r="V189" s="97">
        <f>'[1]Additional information'!$D$19</f>
        <v>0.91</v>
      </c>
      <c r="W189" s="20">
        <f t="shared" si="22"/>
        <v>9.3300427818298335</v>
      </c>
      <c r="X189" s="20">
        <f t="shared" si="23"/>
        <v>9.3300427818298335</v>
      </c>
    </row>
    <row r="190" spans="1:25" ht="32" customHeight="1" x14ac:dyDescent="0.2">
      <c r="A190" s="12" t="s">
        <v>399</v>
      </c>
      <c r="B190" s="12" t="s">
        <v>400</v>
      </c>
      <c r="C190" s="13" t="s">
        <v>401</v>
      </c>
      <c r="D190" s="14"/>
      <c r="E190" s="17" t="s">
        <v>301</v>
      </c>
      <c r="F190" s="15"/>
      <c r="G190" s="16" t="s">
        <v>36</v>
      </c>
      <c r="H190" s="16"/>
      <c r="I190" s="42" t="s">
        <v>323</v>
      </c>
      <c r="J190" s="42"/>
      <c r="K190" s="42" t="s">
        <v>402</v>
      </c>
      <c r="L190" s="16"/>
      <c r="M190" s="16"/>
      <c r="N190" s="16"/>
      <c r="S190" s="17" t="s">
        <v>38</v>
      </c>
      <c r="U190" s="18">
        <v>24.194343566894531</v>
      </c>
      <c r="V190" s="97">
        <f>'[1]Additional information'!$D$19</f>
        <v>0.91</v>
      </c>
      <c r="W190" s="20">
        <f t="shared" si="22"/>
        <v>22.016852645874025</v>
      </c>
      <c r="X190" s="20">
        <f t="shared" si="23"/>
        <v>22.016852645874025</v>
      </c>
    </row>
    <row r="191" spans="1:25" x14ac:dyDescent="0.2">
      <c r="D191" s="14"/>
      <c r="F191" s="15"/>
      <c r="K191" s="77"/>
      <c r="U191" s="18"/>
      <c r="V191" s="97">
        <f>'[1]Additional information'!$D$19</f>
        <v>0.91</v>
      </c>
      <c r="W191" s="20" t="str">
        <f t="shared" si="22"/>
        <v/>
      </c>
      <c r="X191" s="20" t="str">
        <f t="shared" si="23"/>
        <v/>
      </c>
    </row>
    <row r="192" spans="1:25" ht="32" customHeight="1" x14ac:dyDescent="0.2">
      <c r="A192" s="12" t="s">
        <v>187</v>
      </c>
      <c r="B192" s="12" t="s">
        <v>403</v>
      </c>
      <c r="C192" s="39" t="s">
        <v>404</v>
      </c>
      <c r="D192" s="14"/>
      <c r="E192" s="12" t="s">
        <v>327</v>
      </c>
      <c r="F192" s="15"/>
      <c r="G192" s="16" t="s">
        <v>36</v>
      </c>
      <c r="H192" s="16"/>
      <c r="I192" s="16"/>
      <c r="J192" s="16"/>
      <c r="K192" s="42"/>
      <c r="L192" s="16"/>
      <c r="M192" s="16"/>
      <c r="N192" s="16"/>
      <c r="S192" s="17" t="s">
        <v>38</v>
      </c>
      <c r="U192" s="18">
        <v>19.321737289428711</v>
      </c>
      <c r="V192" s="97">
        <f>'[1]Additional information'!$D$19</f>
        <v>0.91</v>
      </c>
      <c r="W192" s="20">
        <f t="shared" si="22"/>
        <v>17.582780933380128</v>
      </c>
      <c r="X192" s="20">
        <f t="shared" si="23"/>
        <v>17.582780933380128</v>
      </c>
    </row>
    <row r="193" spans="1:25" x14ac:dyDescent="0.2">
      <c r="C193" s="36"/>
      <c r="D193" s="14"/>
      <c r="F193" s="15"/>
      <c r="K193" s="77"/>
      <c r="U193" s="18"/>
      <c r="V193" s="97">
        <f>'[1]Additional information'!$D$19</f>
        <v>0.91</v>
      </c>
      <c r="W193" s="20" t="str">
        <f t="shared" si="22"/>
        <v/>
      </c>
      <c r="X193" s="20" t="str">
        <f t="shared" si="23"/>
        <v/>
      </c>
    </row>
    <row r="194" spans="1:25" ht="16" customHeight="1" thickBot="1" x14ac:dyDescent="0.25">
      <c r="A194" s="78" t="s">
        <v>112</v>
      </c>
      <c r="B194" s="78"/>
      <c r="C194" s="79"/>
      <c r="D194" s="80"/>
      <c r="E194" s="78"/>
      <c r="F194" s="81"/>
      <c r="G194" s="82"/>
      <c r="H194" s="82"/>
      <c r="I194" s="82"/>
      <c r="J194" s="82"/>
      <c r="K194" s="82"/>
      <c r="L194" s="82"/>
      <c r="M194" s="82"/>
      <c r="N194" s="82"/>
      <c r="U194" s="18"/>
      <c r="W194" s="20" t="str">
        <f t="shared" si="22"/>
        <v/>
      </c>
      <c r="X194" s="20" t="str">
        <f t="shared" si="23"/>
        <v/>
      </c>
    </row>
    <row r="195" spans="1:25" ht="16" customHeight="1" thickTop="1" x14ac:dyDescent="0.2">
      <c r="A195" s="12"/>
      <c r="B195" s="12"/>
      <c r="C195" s="13"/>
      <c r="D195" s="14"/>
      <c r="E195" s="12"/>
      <c r="F195" s="15"/>
      <c r="G195" s="16"/>
      <c r="H195" s="16"/>
      <c r="I195" s="16"/>
      <c r="J195" s="16"/>
      <c r="K195" s="16"/>
      <c r="L195" s="16"/>
      <c r="M195" s="16"/>
      <c r="N195" s="16"/>
      <c r="U195" s="18"/>
      <c r="W195" s="20"/>
      <c r="X195" s="20"/>
    </row>
    <row r="196" spans="1:25" s="22" customFormat="1" ht="16" customHeight="1" x14ac:dyDescent="0.2">
      <c r="A196" s="250" t="s">
        <v>53</v>
      </c>
      <c r="B196" s="250" t="s">
        <v>405</v>
      </c>
      <c r="C196" s="264" t="s">
        <v>406</v>
      </c>
      <c r="D196" s="24"/>
      <c r="F196" s="25"/>
      <c r="G196" s="26"/>
      <c r="H196" s="26"/>
      <c r="I196" s="26"/>
      <c r="J196" s="26"/>
      <c r="K196" s="267" t="s">
        <v>353</v>
      </c>
      <c r="L196" s="26"/>
      <c r="M196" s="26"/>
      <c r="N196" s="26"/>
      <c r="U196" s="18"/>
      <c r="V196" s="97"/>
      <c r="W196" s="20"/>
      <c r="X196" s="20"/>
      <c r="Y196" s="21"/>
    </row>
    <row r="197" spans="1:25" s="22" customFormat="1" x14ac:dyDescent="0.2">
      <c r="A197" s="250"/>
      <c r="D197" s="24"/>
      <c r="F197" s="25"/>
      <c r="G197" s="26"/>
      <c r="H197" s="26"/>
      <c r="I197" s="26"/>
      <c r="J197" s="26"/>
      <c r="K197" s="26"/>
      <c r="L197" s="26"/>
      <c r="M197" s="26"/>
      <c r="N197" s="26"/>
      <c r="U197" s="18"/>
      <c r="V197" s="97"/>
      <c r="W197" s="20"/>
      <c r="X197" s="20"/>
      <c r="Y197" s="21"/>
    </row>
    <row r="198" spans="1:25" s="250" customFormat="1" ht="32" customHeight="1" x14ac:dyDescent="0.2">
      <c r="A198" s="250" t="s">
        <v>108</v>
      </c>
      <c r="B198" s="248" t="s">
        <v>407</v>
      </c>
      <c r="C198" s="245" t="s">
        <v>408</v>
      </c>
      <c r="D198" s="257"/>
      <c r="F198" s="258"/>
      <c r="G198" s="259"/>
      <c r="H198" s="259"/>
      <c r="I198" s="259"/>
      <c r="J198" s="259"/>
      <c r="K198" s="259"/>
      <c r="L198" s="259"/>
      <c r="M198" s="259"/>
      <c r="N198" s="259"/>
      <c r="U198" s="260"/>
      <c r="V198" s="261"/>
      <c r="W198" s="262"/>
      <c r="X198" s="262"/>
    </row>
    <row r="199" spans="1:25" s="250" customFormat="1" ht="16" customHeight="1" x14ac:dyDescent="0.2">
      <c r="A199" s="250" t="s">
        <v>41</v>
      </c>
      <c r="B199" s="248" t="s">
        <v>409</v>
      </c>
      <c r="C199" s="245" t="s">
        <v>410</v>
      </c>
      <c r="D199" s="257"/>
      <c r="F199" s="258"/>
      <c r="G199" s="263" t="b">
        <v>0</v>
      </c>
      <c r="H199" s="259"/>
      <c r="I199" s="259"/>
      <c r="J199" s="259"/>
      <c r="K199" s="254" t="s">
        <v>411</v>
      </c>
      <c r="L199" s="259"/>
      <c r="M199" s="259"/>
      <c r="N199" s="259"/>
      <c r="U199" s="260"/>
      <c r="V199" s="261"/>
      <c r="W199" s="262"/>
      <c r="X199" s="262"/>
    </row>
    <row r="200" spans="1:25" s="250" customFormat="1" ht="16" customHeight="1" x14ac:dyDescent="0.2">
      <c r="A200" s="250" t="s">
        <v>64</v>
      </c>
      <c r="B200" s="248" t="s">
        <v>412</v>
      </c>
      <c r="C200" s="245" t="s">
        <v>336</v>
      </c>
      <c r="D200" s="257"/>
      <c r="E200" s="250" t="s">
        <v>337</v>
      </c>
      <c r="F200" s="258"/>
      <c r="G200" s="263" t="b">
        <v>1</v>
      </c>
      <c r="H200" s="259"/>
      <c r="I200" s="254" t="s">
        <v>338</v>
      </c>
      <c r="J200" s="259"/>
      <c r="K200" s="254" t="s">
        <v>411</v>
      </c>
      <c r="L200" s="259"/>
      <c r="M200" s="259"/>
      <c r="N200" s="259"/>
      <c r="U200" s="260"/>
      <c r="V200" s="261"/>
      <c r="W200" s="262"/>
      <c r="X200" s="262"/>
    </row>
    <row r="201" spans="1:25" s="250" customFormat="1" ht="16" customHeight="1" x14ac:dyDescent="0.2">
      <c r="A201" s="250" t="s">
        <v>64</v>
      </c>
      <c r="B201" s="248" t="s">
        <v>413</v>
      </c>
      <c r="C201" s="245" t="s">
        <v>340</v>
      </c>
      <c r="D201" s="257"/>
      <c r="E201" s="250" t="s">
        <v>147</v>
      </c>
      <c r="F201" s="258"/>
      <c r="G201" s="263" t="b">
        <v>1</v>
      </c>
      <c r="H201" s="259"/>
      <c r="I201" s="254" t="s">
        <v>341</v>
      </c>
      <c r="J201" s="259"/>
      <c r="K201" s="254" t="s">
        <v>414</v>
      </c>
      <c r="L201" s="259"/>
      <c r="M201" s="259"/>
      <c r="N201" s="259"/>
      <c r="U201" s="260"/>
      <c r="V201" s="261"/>
      <c r="W201" s="262"/>
      <c r="X201" s="262"/>
    </row>
    <row r="202" spans="1:25" s="250" customFormat="1" ht="16" customHeight="1" x14ac:dyDescent="0.2">
      <c r="A202" s="250" t="s">
        <v>64</v>
      </c>
      <c r="B202" s="248" t="s">
        <v>415</v>
      </c>
      <c r="C202" s="245" t="s">
        <v>344</v>
      </c>
      <c r="D202" s="257"/>
      <c r="E202" s="250" t="s">
        <v>147</v>
      </c>
      <c r="F202" s="258"/>
      <c r="G202" s="263" t="b">
        <v>1</v>
      </c>
      <c r="H202" s="259"/>
      <c r="I202" s="254" t="s">
        <v>341</v>
      </c>
      <c r="J202" s="259"/>
      <c r="K202" s="254" t="s">
        <v>414</v>
      </c>
      <c r="L202" s="259"/>
      <c r="M202" s="259"/>
      <c r="N202" s="259"/>
      <c r="U202" s="260"/>
      <c r="V202" s="261"/>
      <c r="W202" s="262"/>
      <c r="X202" s="262"/>
    </row>
    <row r="203" spans="1:25" s="250" customFormat="1" x14ac:dyDescent="0.2">
      <c r="B203" s="248"/>
      <c r="C203" s="245"/>
      <c r="D203" s="257"/>
      <c r="F203" s="258"/>
      <c r="G203" s="259"/>
      <c r="H203" s="259"/>
      <c r="I203" s="26"/>
      <c r="J203" s="259"/>
      <c r="K203" s="259"/>
      <c r="L203" s="259"/>
      <c r="M203" s="259"/>
      <c r="N203" s="259"/>
      <c r="U203" s="260"/>
      <c r="V203" s="261"/>
      <c r="W203" s="262"/>
      <c r="X203" s="262"/>
    </row>
    <row r="204" spans="1:25" s="250" customFormat="1" ht="32" customHeight="1" x14ac:dyDescent="0.2">
      <c r="A204" s="250" t="s">
        <v>41</v>
      </c>
      <c r="B204" s="248" t="s">
        <v>416</v>
      </c>
      <c r="C204" s="245" t="s">
        <v>417</v>
      </c>
      <c r="D204" s="257"/>
      <c r="F204" s="258"/>
      <c r="G204" s="263" t="b">
        <v>0</v>
      </c>
      <c r="H204" s="259"/>
      <c r="I204" s="259"/>
      <c r="J204" s="259"/>
      <c r="K204" s="254" t="s">
        <v>411</v>
      </c>
      <c r="L204" s="259"/>
      <c r="M204" s="259"/>
      <c r="N204" s="259"/>
      <c r="U204" s="260"/>
      <c r="V204" s="261"/>
      <c r="W204" s="262"/>
      <c r="X204" s="262"/>
    </row>
    <row r="205" spans="1:25" s="250" customFormat="1" ht="16" customHeight="1" x14ac:dyDescent="0.2">
      <c r="A205" s="250" t="s">
        <v>64</v>
      </c>
      <c r="B205" s="248" t="s">
        <v>418</v>
      </c>
      <c r="C205" s="245" t="s">
        <v>336</v>
      </c>
      <c r="D205" s="257"/>
      <c r="E205" s="250" t="s">
        <v>337</v>
      </c>
      <c r="F205" s="258"/>
      <c r="G205" s="263" t="b">
        <v>1</v>
      </c>
      <c r="H205" s="259"/>
      <c r="I205" s="254" t="s">
        <v>338</v>
      </c>
      <c r="J205" s="259"/>
      <c r="K205" s="254" t="s">
        <v>411</v>
      </c>
      <c r="L205" s="259"/>
      <c r="M205" s="259"/>
      <c r="N205" s="259"/>
      <c r="U205" s="260"/>
      <c r="V205" s="261"/>
      <c r="W205" s="262"/>
      <c r="X205" s="262"/>
    </row>
    <row r="206" spans="1:25" s="250" customFormat="1" ht="16" customHeight="1" x14ac:dyDescent="0.2">
      <c r="A206" s="250" t="s">
        <v>64</v>
      </c>
      <c r="B206" s="248" t="s">
        <v>419</v>
      </c>
      <c r="C206" s="245" t="s">
        <v>340</v>
      </c>
      <c r="D206" s="257"/>
      <c r="E206" s="250" t="s">
        <v>147</v>
      </c>
      <c r="F206" s="258"/>
      <c r="G206" s="263" t="b">
        <v>1</v>
      </c>
      <c r="H206" s="259"/>
      <c r="I206" s="254" t="s">
        <v>341</v>
      </c>
      <c r="J206" s="259"/>
      <c r="K206" s="254" t="s">
        <v>420</v>
      </c>
      <c r="L206" s="259"/>
      <c r="M206" s="259"/>
      <c r="N206" s="259"/>
      <c r="U206" s="260"/>
      <c r="V206" s="261"/>
      <c r="W206" s="262"/>
      <c r="X206" s="262"/>
    </row>
    <row r="207" spans="1:25" s="250" customFormat="1" ht="16" customHeight="1" x14ac:dyDescent="0.2">
      <c r="A207" s="250" t="s">
        <v>64</v>
      </c>
      <c r="B207" s="248" t="s">
        <v>421</v>
      </c>
      <c r="C207" s="245" t="s">
        <v>344</v>
      </c>
      <c r="D207" s="257"/>
      <c r="E207" s="250" t="s">
        <v>147</v>
      </c>
      <c r="F207" s="258"/>
      <c r="G207" s="263" t="b">
        <v>1</v>
      </c>
      <c r="H207" s="259"/>
      <c r="I207" s="254" t="s">
        <v>341</v>
      </c>
      <c r="J207" s="259"/>
      <c r="K207" s="254" t="s">
        <v>420</v>
      </c>
      <c r="L207" s="259"/>
      <c r="M207" s="259"/>
      <c r="N207" s="259"/>
      <c r="U207" s="260"/>
      <c r="V207" s="261"/>
      <c r="W207" s="262"/>
      <c r="X207" s="262"/>
    </row>
    <row r="208" spans="1:25" s="22" customFormat="1" x14ac:dyDescent="0.2">
      <c r="C208" s="23"/>
      <c r="D208" s="24"/>
      <c r="F208" s="25"/>
      <c r="G208" s="26"/>
      <c r="H208" s="26"/>
      <c r="I208" s="26"/>
      <c r="J208" s="26"/>
      <c r="K208" s="26"/>
      <c r="L208" s="26"/>
      <c r="M208" s="26"/>
      <c r="N208" s="26"/>
      <c r="U208" s="18"/>
      <c r="V208" s="97"/>
      <c r="W208" s="20"/>
      <c r="X208" s="20"/>
      <c r="Y208" s="21"/>
    </row>
    <row r="209" spans="1:25" ht="16" customHeight="1" thickBot="1" x14ac:dyDescent="0.25">
      <c r="A209" s="265" t="s">
        <v>112</v>
      </c>
      <c r="B209" s="70"/>
      <c r="C209" s="71"/>
      <c r="D209" s="45"/>
      <c r="E209" s="70"/>
      <c r="F209" s="46"/>
      <c r="G209" s="72"/>
      <c r="H209" s="72"/>
      <c r="I209" s="72"/>
      <c r="J209" s="72"/>
      <c r="K209" s="72"/>
      <c r="L209" s="72"/>
      <c r="M209" s="72"/>
      <c r="N209" s="72"/>
      <c r="U209" s="18"/>
      <c r="W209" s="20" t="str">
        <f t="shared" ref="W209:W219" si="24">IF(U209&lt;&gt;"",U209*V209,"")</f>
        <v/>
      </c>
      <c r="X209" s="20" t="str">
        <f t="shared" ref="X209:X219" si="25">IF(AND(U209&lt;&gt;"",S209="yes"),U209*V209,"")</f>
        <v/>
      </c>
    </row>
    <row r="210" spans="1:25" s="53" customFormat="1" ht="17" customHeight="1" thickTop="1" x14ac:dyDescent="0.2">
      <c r="A210" s="48" t="s">
        <v>53</v>
      </c>
      <c r="B210" s="48" t="s">
        <v>422</v>
      </c>
      <c r="C210" s="49" t="s">
        <v>423</v>
      </c>
      <c r="D210" s="50"/>
      <c r="E210" s="48"/>
      <c r="F210" s="51"/>
      <c r="G210" s="52" t="s">
        <v>45</v>
      </c>
      <c r="H210" s="52"/>
      <c r="I210" s="52"/>
      <c r="J210" s="52"/>
      <c r="K210" s="267" t="s">
        <v>424</v>
      </c>
      <c r="L210" s="52"/>
      <c r="M210" s="52"/>
      <c r="N210" s="52"/>
      <c r="S210" s="17" t="s">
        <v>38</v>
      </c>
      <c r="U210" s="18"/>
      <c r="V210" s="54"/>
      <c r="W210" s="20" t="str">
        <f t="shared" si="24"/>
        <v/>
      </c>
      <c r="X210" s="20" t="str">
        <f t="shared" si="25"/>
        <v/>
      </c>
      <c r="Y210" s="54"/>
    </row>
    <row r="211" spans="1:25" s="21" customFormat="1" ht="48" customHeight="1" x14ac:dyDescent="0.2">
      <c r="A211" s="38" t="s">
        <v>41</v>
      </c>
      <c r="B211" s="38" t="s">
        <v>425</v>
      </c>
      <c r="C211" s="39" t="s">
        <v>426</v>
      </c>
      <c r="D211" s="40"/>
      <c r="F211" s="41"/>
      <c r="G211" s="42"/>
      <c r="H211" s="42"/>
      <c r="I211" s="42"/>
      <c r="J211" s="42"/>
      <c r="K211" s="42"/>
      <c r="L211" s="42"/>
      <c r="M211" s="42"/>
      <c r="N211" s="42"/>
      <c r="S211" s="21" t="s">
        <v>38</v>
      </c>
      <c r="U211" s="18">
        <v>7.5</v>
      </c>
      <c r="V211" s="97">
        <f>'[1]Additional information'!$D$20</f>
        <v>0.05</v>
      </c>
      <c r="W211" s="20">
        <f t="shared" si="24"/>
        <v>0.375</v>
      </c>
      <c r="X211" s="20">
        <f t="shared" si="25"/>
        <v>0.375</v>
      </c>
    </row>
    <row r="212" spans="1:25" s="53" customFormat="1" x14ac:dyDescent="0.2">
      <c r="C212" s="94"/>
      <c r="D212" s="50"/>
      <c r="F212" s="51"/>
      <c r="G212" s="95"/>
      <c r="H212" s="95"/>
      <c r="I212" s="95"/>
      <c r="J212" s="95"/>
      <c r="K212" s="95"/>
      <c r="L212" s="95"/>
      <c r="M212" s="95"/>
      <c r="N212" s="95"/>
      <c r="S212" s="17"/>
      <c r="U212" s="18"/>
      <c r="V212" s="97">
        <f>'[1]Additional information'!$D$20</f>
        <v>0.05</v>
      </c>
      <c r="W212" s="20" t="str">
        <f t="shared" si="24"/>
        <v/>
      </c>
      <c r="X212" s="20" t="str">
        <f t="shared" si="25"/>
        <v/>
      </c>
      <c r="Y212" s="54"/>
    </row>
    <row r="213" spans="1:25" ht="16" customHeight="1" x14ac:dyDescent="0.2">
      <c r="A213" s="12" t="s">
        <v>427</v>
      </c>
      <c r="B213" s="12" t="s">
        <v>428</v>
      </c>
      <c r="C213" s="13" t="s">
        <v>429</v>
      </c>
      <c r="D213" s="14"/>
      <c r="E213" s="17" t="s">
        <v>430</v>
      </c>
      <c r="F213" s="15"/>
      <c r="G213" s="16" t="s">
        <v>36</v>
      </c>
      <c r="H213" s="16"/>
      <c r="I213" s="16" t="s">
        <v>323</v>
      </c>
      <c r="J213" s="16"/>
      <c r="K213" s="16"/>
      <c r="L213" s="16"/>
      <c r="M213" s="16"/>
      <c r="N213" s="16"/>
      <c r="S213" s="17" t="s">
        <v>38</v>
      </c>
      <c r="U213" s="18">
        <v>19.090116500854489</v>
      </c>
      <c r="V213" s="97">
        <f>'[1]Additional information'!$D$20</f>
        <v>0.05</v>
      </c>
      <c r="W213" s="20">
        <f t="shared" si="24"/>
        <v>0.95450582504272452</v>
      </c>
      <c r="X213" s="20">
        <f t="shared" si="25"/>
        <v>0.95450582504272452</v>
      </c>
    </row>
    <row r="214" spans="1:25" x14ac:dyDescent="0.2">
      <c r="D214" s="14"/>
      <c r="F214" s="15"/>
      <c r="U214" s="18"/>
      <c r="V214" s="97">
        <f>'[1]Additional information'!$D$20</f>
        <v>0.05</v>
      </c>
      <c r="W214" s="20" t="str">
        <f t="shared" si="24"/>
        <v/>
      </c>
      <c r="X214" s="20" t="str">
        <f t="shared" si="25"/>
        <v/>
      </c>
    </row>
    <row r="215" spans="1:25" ht="32" customHeight="1" x14ac:dyDescent="0.2">
      <c r="A215" s="12" t="s">
        <v>187</v>
      </c>
      <c r="B215" s="12" t="s">
        <v>431</v>
      </c>
      <c r="C215" s="13" t="s">
        <v>432</v>
      </c>
      <c r="D215" s="14"/>
      <c r="F215" s="15"/>
      <c r="G215" s="16" t="s">
        <v>36</v>
      </c>
      <c r="H215" s="16"/>
      <c r="I215" s="16"/>
      <c r="J215" s="16"/>
      <c r="K215" s="16"/>
      <c r="L215" s="16"/>
      <c r="M215" s="16"/>
      <c r="N215" s="16"/>
      <c r="S215" s="17" t="s">
        <v>38</v>
      </c>
      <c r="U215" s="18">
        <v>17.656976699829102</v>
      </c>
      <c r="V215" s="97">
        <f>'[1]Additional information'!$D$20</f>
        <v>0.05</v>
      </c>
      <c r="W215" s="20">
        <f t="shared" si="24"/>
        <v>0.88284883499145517</v>
      </c>
      <c r="X215" s="20">
        <f t="shared" si="25"/>
        <v>0.88284883499145517</v>
      </c>
    </row>
    <row r="216" spans="1:25" x14ac:dyDescent="0.2">
      <c r="D216" s="14"/>
      <c r="F216" s="15"/>
      <c r="U216" s="18"/>
      <c r="V216" s="97">
        <f>'[1]Additional information'!$D$20</f>
        <v>0.05</v>
      </c>
      <c r="W216" s="20" t="str">
        <f t="shared" si="24"/>
        <v/>
      </c>
      <c r="X216" s="20" t="str">
        <f t="shared" si="25"/>
        <v/>
      </c>
    </row>
    <row r="217" spans="1:25" ht="32" customHeight="1" x14ac:dyDescent="0.2">
      <c r="A217" s="12" t="s">
        <v>108</v>
      </c>
      <c r="B217" s="12" t="s">
        <v>433</v>
      </c>
      <c r="C217" s="13" t="s">
        <v>434</v>
      </c>
      <c r="D217" s="14"/>
      <c r="F217" s="15"/>
      <c r="G217" s="16" t="s">
        <v>36</v>
      </c>
      <c r="H217" s="16"/>
      <c r="I217" s="16"/>
      <c r="J217" s="16"/>
      <c r="K217" s="16"/>
      <c r="L217" s="16"/>
      <c r="M217" s="16"/>
      <c r="N217" s="16"/>
      <c r="S217" s="17" t="s">
        <v>38</v>
      </c>
      <c r="U217" s="89">
        <v>8.7647056579589844</v>
      </c>
      <c r="V217" s="97">
        <f>'[1]Additional information'!$D$20</f>
        <v>0.05</v>
      </c>
      <c r="W217" s="20">
        <f t="shared" si="24"/>
        <v>0.43823528289794922</v>
      </c>
      <c r="X217" s="20">
        <f t="shared" si="25"/>
        <v>0.43823528289794922</v>
      </c>
    </row>
    <row r="218" spans="1:25" ht="32" customHeight="1" x14ac:dyDescent="0.2">
      <c r="A218" s="12" t="s">
        <v>435</v>
      </c>
      <c r="B218" s="12" t="s">
        <v>436</v>
      </c>
      <c r="C218" s="13" t="s">
        <v>437</v>
      </c>
      <c r="D218" s="14"/>
      <c r="E218" s="17" t="s">
        <v>301</v>
      </c>
      <c r="F218" s="15"/>
      <c r="G218" s="16"/>
      <c r="H218" s="16"/>
      <c r="I218" s="42" t="s">
        <v>323</v>
      </c>
      <c r="J218" s="16"/>
      <c r="K218" s="42" t="s">
        <v>438</v>
      </c>
      <c r="L218" s="16"/>
      <c r="M218" s="16"/>
      <c r="N218" s="16"/>
      <c r="S218" s="17" t="s">
        <v>38</v>
      </c>
      <c r="U218" s="89">
        <v>27.9538459777832</v>
      </c>
      <c r="V218" s="97">
        <f>'[1]Additional information'!$D$20</f>
        <v>0.05</v>
      </c>
      <c r="W218" s="20">
        <f t="shared" si="24"/>
        <v>1.39769229888916</v>
      </c>
      <c r="X218" s="20">
        <f t="shared" si="25"/>
        <v>1.39769229888916</v>
      </c>
    </row>
    <row r="219" spans="1:25" ht="16" customHeight="1" x14ac:dyDescent="0.2">
      <c r="A219" s="12" t="s">
        <v>57</v>
      </c>
      <c r="B219" s="12" t="s">
        <v>439</v>
      </c>
      <c r="C219" s="39" t="s">
        <v>259</v>
      </c>
      <c r="D219" s="40"/>
      <c r="E219" s="21" t="s">
        <v>260</v>
      </c>
      <c r="F219" s="15"/>
      <c r="G219" s="16" t="s">
        <v>36</v>
      </c>
      <c r="H219" s="16"/>
      <c r="I219" s="16"/>
      <c r="J219" s="16"/>
      <c r="K219" s="16" t="s">
        <v>440</v>
      </c>
      <c r="L219" s="16"/>
      <c r="M219" s="16"/>
      <c r="N219" s="16"/>
      <c r="S219" s="17" t="s">
        <v>38</v>
      </c>
      <c r="U219" s="18"/>
      <c r="V219" s="97">
        <f>'[1]Additional information'!$D$20</f>
        <v>0.05</v>
      </c>
      <c r="W219" s="20" t="str">
        <f t="shared" si="24"/>
        <v/>
      </c>
      <c r="X219" s="20" t="str">
        <f t="shared" si="25"/>
        <v/>
      </c>
    </row>
    <row r="220" spans="1:25" x14ac:dyDescent="0.2">
      <c r="A220" s="12"/>
      <c r="B220" s="12"/>
      <c r="C220" s="39"/>
      <c r="D220" s="40"/>
      <c r="E220" s="21"/>
      <c r="F220" s="15"/>
      <c r="G220" s="16"/>
      <c r="H220" s="16"/>
      <c r="I220" s="16"/>
      <c r="J220" s="16"/>
      <c r="K220" s="16"/>
      <c r="L220" s="16"/>
      <c r="M220" s="16"/>
      <c r="N220" s="16"/>
      <c r="U220" s="18"/>
      <c r="V220" s="97"/>
      <c r="W220" s="20"/>
      <c r="X220" s="20"/>
    </row>
    <row r="221" spans="1:25" ht="32" customHeight="1" x14ac:dyDescent="0.2">
      <c r="A221" s="12" t="s">
        <v>108</v>
      </c>
      <c r="B221" s="240" t="s">
        <v>441</v>
      </c>
      <c r="C221" s="241" t="s">
        <v>442</v>
      </c>
      <c r="D221" s="14"/>
      <c r="F221" s="15"/>
      <c r="G221" s="255" t="b">
        <v>1</v>
      </c>
      <c r="H221" s="16"/>
      <c r="I221" s="16"/>
      <c r="J221" s="16"/>
      <c r="K221" s="16"/>
      <c r="L221" s="16"/>
      <c r="M221" s="16"/>
      <c r="N221" s="16"/>
      <c r="U221" s="18"/>
      <c r="W221" s="20"/>
      <c r="X221" s="20"/>
    </row>
    <row r="222" spans="1:25" x14ac:dyDescent="0.2">
      <c r="A222" s="12"/>
      <c r="B222" s="12"/>
      <c r="C222" s="39"/>
      <c r="D222" s="40"/>
      <c r="E222" s="21"/>
      <c r="F222" s="15"/>
      <c r="G222" s="16"/>
      <c r="H222" s="16"/>
      <c r="I222" s="16"/>
      <c r="J222" s="16"/>
      <c r="K222" s="16"/>
      <c r="L222" s="16"/>
      <c r="M222" s="16"/>
      <c r="N222" s="16"/>
      <c r="U222" s="18"/>
      <c r="V222" s="97"/>
      <c r="W222" s="20"/>
      <c r="X222" s="20"/>
    </row>
    <row r="223" spans="1:25" x14ac:dyDescent="0.2">
      <c r="D223" s="14"/>
      <c r="F223" s="15"/>
      <c r="U223" s="18"/>
      <c r="V223" s="97">
        <f>'[1]Additional information'!$D$20</f>
        <v>0.05</v>
      </c>
      <c r="W223" s="20" t="str">
        <f t="shared" ref="W223:W239" si="26">IF(U223&lt;&gt;"",U223*V223,"")</f>
        <v/>
      </c>
      <c r="X223" s="20" t="str">
        <f t="shared" ref="X223:X239" si="27">IF(AND(U223&lt;&gt;"",S223="yes"),U223*V223,"")</f>
        <v/>
      </c>
    </row>
    <row r="224" spans="1:25" s="22" customFormat="1" ht="32" customHeight="1" x14ac:dyDescent="0.2">
      <c r="A224" s="22" t="s">
        <v>443</v>
      </c>
      <c r="B224" s="22" t="s">
        <v>444</v>
      </c>
      <c r="C224" s="23" t="s">
        <v>445</v>
      </c>
      <c r="D224" s="24"/>
      <c r="E224" s="22" t="s">
        <v>430</v>
      </c>
      <c r="F224" s="25"/>
      <c r="G224" s="26" t="s">
        <v>36</v>
      </c>
      <c r="H224" s="26"/>
      <c r="I224" s="26" t="s">
        <v>323</v>
      </c>
      <c r="J224" s="26"/>
      <c r="K224" s="26" t="s">
        <v>446</v>
      </c>
      <c r="L224" s="26"/>
      <c r="M224" s="26"/>
      <c r="N224" s="26"/>
      <c r="S224" s="22" t="s">
        <v>46</v>
      </c>
      <c r="U224" s="18">
        <v>21.25</v>
      </c>
      <c r="V224" s="97">
        <f>'[1]Additional information'!$D$20</f>
        <v>0.05</v>
      </c>
      <c r="W224" s="20">
        <f t="shared" si="26"/>
        <v>1.0625</v>
      </c>
      <c r="X224" s="20" t="str">
        <f t="shared" si="27"/>
        <v/>
      </c>
      <c r="Y224" s="21"/>
    </row>
    <row r="225" spans="1:25" s="22" customFormat="1" ht="16" customHeight="1" x14ac:dyDescent="0.2">
      <c r="A225" s="22" t="s">
        <v>57</v>
      </c>
      <c r="B225" s="22" t="s">
        <v>447</v>
      </c>
      <c r="C225" s="23" t="s">
        <v>259</v>
      </c>
      <c r="D225" s="24"/>
      <c r="E225" s="22" t="s">
        <v>260</v>
      </c>
      <c r="F225" s="25"/>
      <c r="G225" s="26" t="s">
        <v>36</v>
      </c>
      <c r="H225" s="26"/>
      <c r="I225" s="26"/>
      <c r="J225" s="26"/>
      <c r="K225" s="26" t="s">
        <v>448</v>
      </c>
      <c r="L225" s="26"/>
      <c r="M225" s="26"/>
      <c r="N225" s="26"/>
      <c r="S225" s="22" t="s">
        <v>46</v>
      </c>
      <c r="U225" s="18"/>
      <c r="V225" s="97">
        <f>'[1]Additional information'!$D$20</f>
        <v>0.05</v>
      </c>
      <c r="W225" s="20" t="str">
        <f t="shared" si="26"/>
        <v/>
      </c>
      <c r="X225" s="20" t="str">
        <f t="shared" si="27"/>
        <v/>
      </c>
      <c r="Y225" s="21"/>
    </row>
    <row r="226" spans="1:25" ht="16" customHeight="1" thickBot="1" x14ac:dyDescent="0.25">
      <c r="A226" s="70" t="s">
        <v>112</v>
      </c>
      <c r="B226" s="70"/>
      <c r="C226" s="71"/>
      <c r="D226" s="45"/>
      <c r="E226" s="70"/>
      <c r="F226" s="46"/>
      <c r="G226" s="72"/>
      <c r="H226" s="72"/>
      <c r="I226" s="72"/>
      <c r="J226" s="72"/>
      <c r="K226" s="72"/>
      <c r="L226" s="72"/>
      <c r="M226" s="72"/>
      <c r="N226" s="72"/>
      <c r="U226" s="18"/>
      <c r="W226" s="20" t="str">
        <f t="shared" si="26"/>
        <v/>
      </c>
      <c r="X226" s="20" t="str">
        <f t="shared" si="27"/>
        <v/>
      </c>
    </row>
    <row r="227" spans="1:25" s="53" customFormat="1" ht="17" customHeight="1" thickTop="1" x14ac:dyDescent="0.2">
      <c r="A227" s="48" t="s">
        <v>53</v>
      </c>
      <c r="B227" s="48" t="s">
        <v>449</v>
      </c>
      <c r="C227" s="49" t="s">
        <v>450</v>
      </c>
      <c r="D227" s="50"/>
      <c r="E227" s="48"/>
      <c r="F227" s="51"/>
      <c r="G227" s="52" t="s">
        <v>45</v>
      </c>
      <c r="H227" s="52"/>
      <c r="I227" s="52"/>
      <c r="J227" s="52"/>
      <c r="K227" s="267" t="s">
        <v>451</v>
      </c>
      <c r="L227" s="52"/>
      <c r="M227" s="52"/>
      <c r="N227" s="52"/>
      <c r="S227" s="17" t="s">
        <v>38</v>
      </c>
      <c r="U227" s="18"/>
      <c r="V227" s="54"/>
      <c r="W227" s="20" t="str">
        <f t="shared" si="26"/>
        <v/>
      </c>
      <c r="X227" s="20" t="str">
        <f t="shared" si="27"/>
        <v/>
      </c>
      <c r="Y227" s="54"/>
    </row>
    <row r="228" spans="1:25" s="53" customFormat="1" x14ac:dyDescent="0.2">
      <c r="C228" s="94"/>
      <c r="D228" s="50"/>
      <c r="F228" s="51"/>
      <c r="G228" s="95"/>
      <c r="H228" s="95"/>
      <c r="I228" s="95"/>
      <c r="J228" s="95"/>
      <c r="K228" s="95"/>
      <c r="L228" s="95"/>
      <c r="M228" s="95"/>
      <c r="N228" s="95"/>
      <c r="S228" s="17"/>
      <c r="U228" s="18"/>
      <c r="V228" s="97">
        <f>'[1]Additional information'!$D$20</f>
        <v>0.05</v>
      </c>
      <c r="W228" s="20" t="str">
        <f t="shared" si="26"/>
        <v/>
      </c>
      <c r="X228" s="20" t="str">
        <f t="shared" si="27"/>
        <v/>
      </c>
      <c r="Y228" s="54"/>
    </row>
    <row r="229" spans="1:25" s="53" customFormat="1" ht="32" customHeight="1" x14ac:dyDescent="0.2">
      <c r="A229" s="12" t="s">
        <v>452</v>
      </c>
      <c r="B229" s="12" t="s">
        <v>453</v>
      </c>
      <c r="C229" s="13" t="s">
        <v>454</v>
      </c>
      <c r="D229" s="14"/>
      <c r="E229" s="12"/>
      <c r="F229" s="15"/>
      <c r="G229" s="16" t="s">
        <v>36</v>
      </c>
      <c r="H229" s="52"/>
      <c r="I229" s="52"/>
      <c r="J229" s="52"/>
      <c r="K229" s="52"/>
      <c r="L229" s="52"/>
      <c r="M229" s="52"/>
      <c r="N229" s="52"/>
      <c r="S229" s="17" t="s">
        <v>38</v>
      </c>
      <c r="U229" s="18">
        <v>14.38495540618896</v>
      </c>
      <c r="V229" s="97">
        <f>'[1]Additional information'!$D$20</f>
        <v>0.05</v>
      </c>
      <c r="W229" s="20">
        <f t="shared" si="26"/>
        <v>0.71924777030944798</v>
      </c>
      <c r="X229" s="20">
        <f t="shared" si="27"/>
        <v>0.71924777030944798</v>
      </c>
      <c r="Y229" s="54"/>
    </row>
    <row r="230" spans="1:25" x14ac:dyDescent="0.2">
      <c r="A230" s="12" t="s">
        <v>24</v>
      </c>
      <c r="B230" s="12" t="s">
        <v>455</v>
      </c>
      <c r="C230" s="13"/>
      <c r="D230" s="14"/>
      <c r="E230" s="12"/>
      <c r="F230" s="15"/>
      <c r="G230" s="16"/>
      <c r="H230" s="16"/>
      <c r="I230" s="16"/>
      <c r="J230" s="16"/>
      <c r="K230" s="16"/>
      <c r="L230" s="16"/>
      <c r="M230" s="16"/>
      <c r="N230" s="16" t="s">
        <v>456</v>
      </c>
      <c r="S230" s="17" t="s">
        <v>38</v>
      </c>
      <c r="U230" s="18"/>
      <c r="V230" s="97">
        <f>'[1]Additional information'!$D$20</f>
        <v>0.05</v>
      </c>
      <c r="W230" s="20" t="str">
        <f t="shared" si="26"/>
        <v/>
      </c>
      <c r="X230" s="20" t="str">
        <f t="shared" si="27"/>
        <v/>
      </c>
    </row>
    <row r="231" spans="1:25" ht="16" customHeight="1" x14ac:dyDescent="0.2">
      <c r="A231" s="12" t="s">
        <v>57</v>
      </c>
      <c r="B231" s="12" t="s">
        <v>457</v>
      </c>
      <c r="C231" s="39" t="s">
        <v>259</v>
      </c>
      <c r="D231" s="40"/>
      <c r="E231" s="21" t="s">
        <v>260</v>
      </c>
      <c r="F231" s="15"/>
      <c r="G231" s="16" t="s">
        <v>36</v>
      </c>
      <c r="H231" s="16"/>
      <c r="I231" s="16"/>
      <c r="J231" s="16"/>
      <c r="K231" s="42" t="s">
        <v>458</v>
      </c>
      <c r="L231" s="16"/>
      <c r="M231" s="16"/>
      <c r="N231" s="16"/>
      <c r="S231" s="17" t="s">
        <v>38</v>
      </c>
      <c r="U231" s="18"/>
      <c r="V231" s="97">
        <f>'[1]Additional information'!$D$20</f>
        <v>0.05</v>
      </c>
      <c r="W231" s="20" t="str">
        <f t="shared" si="26"/>
        <v/>
      </c>
      <c r="X231" s="20" t="str">
        <f t="shared" si="27"/>
        <v/>
      </c>
    </row>
    <row r="232" spans="1:25" x14ac:dyDescent="0.2">
      <c r="D232" s="14"/>
      <c r="F232" s="15"/>
      <c r="K232" s="77"/>
      <c r="U232" s="18"/>
      <c r="V232" s="97">
        <f>'[1]Additional information'!$D$20</f>
        <v>0.05</v>
      </c>
      <c r="W232" s="20" t="str">
        <f t="shared" si="26"/>
        <v/>
      </c>
      <c r="X232" s="20" t="str">
        <f t="shared" si="27"/>
        <v/>
      </c>
    </row>
    <row r="233" spans="1:25" ht="32" customHeight="1" x14ac:dyDescent="0.2">
      <c r="A233" s="12" t="s">
        <v>108</v>
      </c>
      <c r="B233" s="12" t="s">
        <v>459</v>
      </c>
      <c r="C233" s="13" t="s">
        <v>460</v>
      </c>
      <c r="D233" s="14"/>
      <c r="E233" s="12"/>
      <c r="F233" s="15"/>
      <c r="G233" s="16" t="s">
        <v>36</v>
      </c>
      <c r="H233" s="16"/>
      <c r="I233" s="16"/>
      <c r="J233" s="16"/>
      <c r="K233" s="16"/>
      <c r="L233" s="16"/>
      <c r="M233" s="16"/>
      <c r="N233" s="16"/>
      <c r="S233" s="17" t="s">
        <v>38</v>
      </c>
      <c r="U233" s="18">
        <v>9.4380531311035156</v>
      </c>
      <c r="V233" s="97">
        <f>'[1]Additional information'!$D$20</f>
        <v>0.05</v>
      </c>
      <c r="W233" s="20">
        <f t="shared" si="26"/>
        <v>0.47190265655517583</v>
      </c>
      <c r="X233" s="20">
        <f t="shared" si="27"/>
        <v>0.47190265655517583</v>
      </c>
    </row>
    <row r="234" spans="1:25" ht="32" customHeight="1" x14ac:dyDescent="0.2">
      <c r="A234" s="12" t="s">
        <v>461</v>
      </c>
      <c r="B234" s="12" t="s">
        <v>462</v>
      </c>
      <c r="C234" s="13" t="s">
        <v>463</v>
      </c>
      <c r="D234" s="14"/>
      <c r="E234" s="12" t="s">
        <v>376</v>
      </c>
      <c r="F234" s="15"/>
      <c r="G234" s="16" t="s">
        <v>36</v>
      </c>
      <c r="H234" s="16"/>
      <c r="I234" s="42" t="s">
        <v>323</v>
      </c>
      <c r="J234" s="16"/>
      <c r="K234" s="42" t="s">
        <v>464</v>
      </c>
      <c r="L234" s="16"/>
      <c r="M234" s="16"/>
      <c r="N234" s="16"/>
      <c r="S234" s="17" t="s">
        <v>38</v>
      </c>
      <c r="U234" s="18">
        <v>27.76699066162109</v>
      </c>
      <c r="V234" s="97">
        <f>'[1]Additional information'!$D$20</f>
        <v>0.05</v>
      </c>
      <c r="W234" s="20">
        <f t="shared" si="26"/>
        <v>1.3883495330810547</v>
      </c>
      <c r="X234" s="20">
        <f t="shared" si="27"/>
        <v>1.3883495330810547</v>
      </c>
    </row>
    <row r="235" spans="1:25" ht="16" customHeight="1" x14ac:dyDescent="0.2">
      <c r="A235" s="12" t="s">
        <v>57</v>
      </c>
      <c r="B235" s="12" t="s">
        <v>465</v>
      </c>
      <c r="C235" s="39" t="s">
        <v>259</v>
      </c>
      <c r="D235" s="40"/>
      <c r="E235" s="21" t="s">
        <v>260</v>
      </c>
      <c r="F235" s="15"/>
      <c r="G235" s="16" t="s">
        <v>36</v>
      </c>
      <c r="H235" s="16"/>
      <c r="I235" s="16"/>
      <c r="J235" s="16"/>
      <c r="K235" s="42" t="s">
        <v>466</v>
      </c>
      <c r="L235" s="16"/>
      <c r="M235" s="16"/>
      <c r="N235" s="16"/>
      <c r="S235" s="17" t="s">
        <v>38</v>
      </c>
      <c r="U235" s="18"/>
      <c r="V235" s="97">
        <f>'[1]Additional information'!$D$20</f>
        <v>0.05</v>
      </c>
      <c r="W235" s="20" t="str">
        <f t="shared" si="26"/>
        <v/>
      </c>
      <c r="X235" s="20" t="str">
        <f t="shared" si="27"/>
        <v/>
      </c>
    </row>
    <row r="236" spans="1:25" x14ac:dyDescent="0.2">
      <c r="D236" s="14"/>
      <c r="F236" s="15"/>
      <c r="K236" s="77"/>
      <c r="U236" s="18"/>
      <c r="V236" s="97">
        <f>'[1]Additional information'!$D$20</f>
        <v>0.05</v>
      </c>
      <c r="W236" s="20" t="str">
        <f t="shared" si="26"/>
        <v/>
      </c>
      <c r="X236" s="20" t="str">
        <f t="shared" si="27"/>
        <v/>
      </c>
    </row>
    <row r="237" spans="1:25" ht="32" customHeight="1" x14ac:dyDescent="0.2">
      <c r="A237" s="12" t="s">
        <v>187</v>
      </c>
      <c r="B237" s="12" t="s">
        <v>467</v>
      </c>
      <c r="C237" s="39" t="s">
        <v>468</v>
      </c>
      <c r="D237" s="14"/>
      <c r="E237" s="12" t="s">
        <v>327</v>
      </c>
      <c r="F237" s="15"/>
      <c r="G237" s="16" t="s">
        <v>36</v>
      </c>
      <c r="H237" s="16"/>
      <c r="I237" s="16"/>
      <c r="J237" s="16"/>
      <c r="K237" s="42"/>
      <c r="L237" s="16"/>
      <c r="M237" s="16"/>
      <c r="N237" s="16"/>
      <c r="S237" s="17" t="s">
        <v>38</v>
      </c>
      <c r="U237" s="18">
        <v>13.705752372741699</v>
      </c>
      <c r="V237" s="97">
        <f>'[1]Additional information'!$D$20</f>
        <v>0.05</v>
      </c>
      <c r="W237" s="20">
        <f t="shared" si="26"/>
        <v>0.68528761863708498</v>
      </c>
      <c r="X237" s="20">
        <f t="shared" si="27"/>
        <v>0.68528761863708498</v>
      </c>
    </row>
    <row r="238" spans="1:25" x14ac:dyDescent="0.2">
      <c r="C238" s="36"/>
      <c r="D238" s="14"/>
      <c r="F238" s="15"/>
      <c r="K238" s="77"/>
      <c r="U238" s="18"/>
      <c r="V238" s="97">
        <f>'[1]Additional information'!$D$20</f>
        <v>0.05</v>
      </c>
      <c r="W238" s="20" t="str">
        <f t="shared" si="26"/>
        <v/>
      </c>
      <c r="X238" s="20" t="str">
        <f t="shared" si="27"/>
        <v/>
      </c>
    </row>
    <row r="239" spans="1:25" ht="16" customHeight="1" thickBot="1" x14ac:dyDescent="0.25">
      <c r="A239" s="78" t="s">
        <v>112</v>
      </c>
      <c r="B239" s="78"/>
      <c r="C239" s="79"/>
      <c r="D239" s="80"/>
      <c r="E239" s="78"/>
      <c r="F239" s="81"/>
      <c r="G239" s="82"/>
      <c r="H239" s="82"/>
      <c r="I239" s="82"/>
      <c r="J239" s="82"/>
      <c r="K239" s="82"/>
      <c r="L239" s="82"/>
      <c r="M239" s="82"/>
      <c r="N239" s="82"/>
      <c r="U239" s="18"/>
      <c r="W239" s="20" t="str">
        <f t="shared" si="26"/>
        <v/>
      </c>
      <c r="X239" s="20" t="str">
        <f t="shared" si="27"/>
        <v/>
      </c>
    </row>
    <row r="240" spans="1:25" ht="16" customHeight="1" thickTop="1" x14ac:dyDescent="0.2">
      <c r="A240" s="12"/>
      <c r="B240" s="12"/>
      <c r="C240" s="13"/>
      <c r="D240" s="14"/>
      <c r="E240" s="12"/>
      <c r="F240" s="15"/>
      <c r="G240" s="16"/>
      <c r="H240" s="16"/>
      <c r="I240" s="16"/>
      <c r="J240" s="16"/>
      <c r="K240" s="16"/>
      <c r="L240" s="16"/>
      <c r="M240" s="16"/>
      <c r="N240" s="16"/>
      <c r="U240" s="18"/>
      <c r="W240" s="20"/>
      <c r="X240" s="20"/>
    </row>
    <row r="241" spans="1:25" s="22" customFormat="1" ht="16" customHeight="1" x14ac:dyDescent="0.2">
      <c r="A241" s="250" t="s">
        <v>53</v>
      </c>
      <c r="B241" s="250" t="s">
        <v>469</v>
      </c>
      <c r="C241" s="264" t="s">
        <v>470</v>
      </c>
      <c r="D241" s="24"/>
      <c r="F241" s="25"/>
      <c r="G241" s="26"/>
      <c r="H241" s="26"/>
      <c r="I241" s="26"/>
      <c r="J241" s="26"/>
      <c r="K241" s="267" t="s">
        <v>424</v>
      </c>
      <c r="L241" s="26"/>
      <c r="M241" s="26"/>
      <c r="N241" s="26"/>
      <c r="U241" s="18"/>
      <c r="V241" s="97"/>
      <c r="W241" s="20"/>
      <c r="X241" s="20"/>
      <c r="Y241" s="21"/>
    </row>
    <row r="242" spans="1:25" s="22" customFormat="1" x14ac:dyDescent="0.2">
      <c r="A242" s="250"/>
      <c r="D242" s="24"/>
      <c r="F242" s="25"/>
      <c r="G242" s="26"/>
      <c r="H242" s="26"/>
      <c r="I242" s="26"/>
      <c r="J242" s="26"/>
      <c r="K242" s="26"/>
      <c r="L242" s="26"/>
      <c r="M242" s="26"/>
      <c r="N242" s="26"/>
      <c r="U242" s="18"/>
      <c r="V242" s="97"/>
      <c r="W242" s="20"/>
      <c r="X242" s="20"/>
      <c r="Y242" s="21"/>
    </row>
    <row r="243" spans="1:25" s="250" customFormat="1" ht="32" customHeight="1" x14ac:dyDescent="0.2">
      <c r="A243" s="250" t="s">
        <v>108</v>
      </c>
      <c r="B243" s="248" t="s">
        <v>471</v>
      </c>
      <c r="C243" s="245" t="s">
        <v>472</v>
      </c>
      <c r="D243" s="257"/>
      <c r="F243" s="258"/>
      <c r="G243" s="259"/>
      <c r="H243" s="259"/>
      <c r="I243" s="259"/>
      <c r="J243" s="259"/>
      <c r="K243" s="259"/>
      <c r="L243" s="259"/>
      <c r="M243" s="259"/>
      <c r="N243" s="259"/>
      <c r="U243" s="260"/>
      <c r="V243" s="261"/>
      <c r="W243" s="262"/>
      <c r="X243" s="262"/>
    </row>
    <row r="244" spans="1:25" s="250" customFormat="1" ht="16" customHeight="1" x14ac:dyDescent="0.2">
      <c r="A244" s="250" t="s">
        <v>41</v>
      </c>
      <c r="B244" s="248" t="s">
        <v>473</v>
      </c>
      <c r="C244" s="245" t="s">
        <v>474</v>
      </c>
      <c r="D244" s="257"/>
      <c r="F244" s="258"/>
      <c r="G244" s="263" t="b">
        <v>0</v>
      </c>
      <c r="H244" s="259"/>
      <c r="I244" s="259"/>
      <c r="J244" s="259"/>
      <c r="K244" s="254" t="s">
        <v>475</v>
      </c>
      <c r="L244" s="259"/>
      <c r="M244" s="259"/>
      <c r="N244" s="259"/>
      <c r="U244" s="260"/>
      <c r="V244" s="261"/>
      <c r="W244" s="262"/>
      <c r="X244" s="262"/>
    </row>
    <row r="245" spans="1:25" s="250" customFormat="1" ht="16" customHeight="1" x14ac:dyDescent="0.2">
      <c r="A245" s="250" t="s">
        <v>64</v>
      </c>
      <c r="B245" s="248" t="s">
        <v>476</v>
      </c>
      <c r="C245" s="245" t="s">
        <v>336</v>
      </c>
      <c r="D245" s="257"/>
      <c r="E245" s="250" t="s">
        <v>337</v>
      </c>
      <c r="F245" s="258"/>
      <c r="G245" s="263" t="b">
        <v>1</v>
      </c>
      <c r="H245" s="259"/>
      <c r="I245" s="254" t="s">
        <v>338</v>
      </c>
      <c r="J245" s="259"/>
      <c r="K245" s="254" t="s">
        <v>475</v>
      </c>
      <c r="L245" s="259"/>
      <c r="M245" s="259"/>
      <c r="N245" s="259"/>
      <c r="U245" s="260"/>
      <c r="V245" s="261"/>
      <c r="W245" s="262"/>
      <c r="X245" s="262"/>
    </row>
    <row r="246" spans="1:25" s="250" customFormat="1" ht="16" customHeight="1" x14ac:dyDescent="0.2">
      <c r="A246" s="250" t="s">
        <v>64</v>
      </c>
      <c r="B246" s="248" t="s">
        <v>477</v>
      </c>
      <c r="C246" s="245" t="s">
        <v>340</v>
      </c>
      <c r="D246" s="257"/>
      <c r="E246" s="250" t="s">
        <v>147</v>
      </c>
      <c r="F246" s="258"/>
      <c r="G246" s="263" t="b">
        <v>1</v>
      </c>
      <c r="H246" s="259"/>
      <c r="I246" s="254" t="s">
        <v>341</v>
      </c>
      <c r="J246" s="259"/>
      <c r="K246" s="254" t="s">
        <v>478</v>
      </c>
      <c r="L246" s="259"/>
      <c r="M246" s="259"/>
      <c r="N246" s="259"/>
      <c r="U246" s="260"/>
      <c r="V246" s="261"/>
      <c r="W246" s="262"/>
      <c r="X246" s="262"/>
    </row>
    <row r="247" spans="1:25" s="250" customFormat="1" ht="16" customHeight="1" x14ac:dyDescent="0.2">
      <c r="A247" s="250" t="s">
        <v>64</v>
      </c>
      <c r="B247" s="248" t="s">
        <v>479</v>
      </c>
      <c r="C247" s="245" t="s">
        <v>344</v>
      </c>
      <c r="D247" s="257"/>
      <c r="E247" s="250" t="s">
        <v>147</v>
      </c>
      <c r="F247" s="258"/>
      <c r="G247" s="263" t="b">
        <v>1</v>
      </c>
      <c r="H247" s="259"/>
      <c r="I247" s="254" t="s">
        <v>341</v>
      </c>
      <c r="J247" s="259"/>
      <c r="K247" s="254" t="s">
        <v>478</v>
      </c>
      <c r="L247" s="259"/>
      <c r="M247" s="259"/>
      <c r="N247" s="259"/>
      <c r="U247" s="260"/>
      <c r="V247" s="261"/>
      <c r="W247" s="262"/>
      <c r="X247" s="262"/>
    </row>
    <row r="248" spans="1:25" s="250" customFormat="1" x14ac:dyDescent="0.2">
      <c r="B248" s="248"/>
      <c r="C248" s="245"/>
      <c r="D248" s="257"/>
      <c r="F248" s="258"/>
      <c r="G248" s="259"/>
      <c r="H248" s="259"/>
      <c r="I248" s="26"/>
      <c r="J248" s="259"/>
      <c r="K248" s="259"/>
      <c r="L248" s="259"/>
      <c r="M248" s="259"/>
      <c r="N248" s="259"/>
      <c r="U248" s="260"/>
      <c r="V248" s="261"/>
      <c r="W248" s="262"/>
      <c r="X248" s="262"/>
    </row>
    <row r="249" spans="1:25" s="250" customFormat="1" ht="32" customHeight="1" x14ac:dyDescent="0.2">
      <c r="A249" s="250" t="s">
        <v>41</v>
      </c>
      <c r="B249" s="248" t="s">
        <v>480</v>
      </c>
      <c r="C249" s="245" t="s">
        <v>481</v>
      </c>
      <c r="D249" s="257"/>
      <c r="F249" s="258"/>
      <c r="G249" s="263" t="b">
        <v>0</v>
      </c>
      <c r="H249" s="259"/>
      <c r="I249" s="259"/>
      <c r="J249" s="259"/>
      <c r="K249" s="254" t="s">
        <v>475</v>
      </c>
      <c r="L249" s="259"/>
      <c r="M249" s="259"/>
      <c r="N249" s="259"/>
      <c r="U249" s="260"/>
      <c r="V249" s="261"/>
      <c r="W249" s="262"/>
      <c r="X249" s="262"/>
    </row>
    <row r="250" spans="1:25" s="250" customFormat="1" ht="16" customHeight="1" x14ac:dyDescent="0.2">
      <c r="A250" s="250" t="s">
        <v>64</v>
      </c>
      <c r="B250" s="248" t="s">
        <v>482</v>
      </c>
      <c r="C250" s="245" t="s">
        <v>336</v>
      </c>
      <c r="D250" s="257"/>
      <c r="E250" s="250" t="s">
        <v>337</v>
      </c>
      <c r="F250" s="258"/>
      <c r="G250" s="263" t="b">
        <v>1</v>
      </c>
      <c r="H250" s="259"/>
      <c r="I250" s="254" t="s">
        <v>338</v>
      </c>
      <c r="J250" s="259"/>
      <c r="K250" s="254" t="s">
        <v>475</v>
      </c>
      <c r="L250" s="259"/>
      <c r="M250" s="259"/>
      <c r="N250" s="259"/>
      <c r="U250" s="260"/>
      <c r="V250" s="261"/>
      <c r="W250" s="262"/>
      <c r="X250" s="262"/>
    </row>
    <row r="251" spans="1:25" s="250" customFormat="1" ht="16" customHeight="1" x14ac:dyDescent="0.2">
      <c r="A251" s="250" t="s">
        <v>64</v>
      </c>
      <c r="B251" s="248" t="s">
        <v>483</v>
      </c>
      <c r="C251" s="245" t="s">
        <v>340</v>
      </c>
      <c r="D251" s="257"/>
      <c r="E251" s="250" t="s">
        <v>147</v>
      </c>
      <c r="F251" s="258"/>
      <c r="G251" s="263" t="b">
        <v>1</v>
      </c>
      <c r="H251" s="259"/>
      <c r="I251" s="254" t="s">
        <v>341</v>
      </c>
      <c r="J251" s="259"/>
      <c r="K251" s="254" t="s">
        <v>484</v>
      </c>
      <c r="L251" s="259"/>
      <c r="M251" s="259"/>
      <c r="N251" s="259"/>
      <c r="U251" s="260"/>
      <c r="V251" s="261"/>
      <c r="W251" s="262"/>
      <c r="X251" s="262"/>
    </row>
    <row r="252" spans="1:25" s="250" customFormat="1" ht="16" customHeight="1" x14ac:dyDescent="0.2">
      <c r="A252" s="250" t="s">
        <v>64</v>
      </c>
      <c r="B252" s="248" t="s">
        <v>485</v>
      </c>
      <c r="C252" s="245" t="s">
        <v>344</v>
      </c>
      <c r="D252" s="257"/>
      <c r="E252" s="250" t="s">
        <v>147</v>
      </c>
      <c r="F252" s="258"/>
      <c r="G252" s="263" t="b">
        <v>1</v>
      </c>
      <c r="H252" s="259"/>
      <c r="I252" s="254" t="s">
        <v>341</v>
      </c>
      <c r="J252" s="259"/>
      <c r="K252" s="254" t="s">
        <v>484</v>
      </c>
      <c r="L252" s="259"/>
      <c r="M252" s="259"/>
      <c r="N252" s="259"/>
      <c r="U252" s="260"/>
      <c r="V252" s="261"/>
      <c r="W252" s="262"/>
      <c r="X252" s="262"/>
    </row>
    <row r="253" spans="1:25" s="22" customFormat="1" x14ac:dyDescent="0.2">
      <c r="C253" s="23"/>
      <c r="D253" s="24"/>
      <c r="F253" s="25"/>
      <c r="G253" s="26"/>
      <c r="H253" s="26"/>
      <c r="I253" s="26"/>
      <c r="J253" s="26"/>
      <c r="K253" s="26"/>
      <c r="L253" s="26"/>
      <c r="M253" s="26"/>
      <c r="N253" s="26"/>
      <c r="U253" s="18"/>
      <c r="V253" s="97"/>
      <c r="W253" s="20"/>
      <c r="X253" s="20"/>
      <c r="Y253" s="21"/>
    </row>
    <row r="254" spans="1:25" ht="16" customHeight="1" thickBot="1" x14ac:dyDescent="0.25">
      <c r="A254" s="265" t="s">
        <v>112</v>
      </c>
      <c r="B254" s="70"/>
      <c r="C254" s="71"/>
      <c r="D254" s="45"/>
      <c r="E254" s="70"/>
      <c r="F254" s="46"/>
      <c r="G254" s="72"/>
      <c r="H254" s="72"/>
      <c r="I254" s="72"/>
      <c r="J254" s="72"/>
      <c r="K254" s="72"/>
      <c r="L254" s="72"/>
      <c r="M254" s="72"/>
      <c r="N254" s="72"/>
      <c r="U254" s="18"/>
      <c r="W254" s="20" t="str">
        <f t="shared" ref="W254:W285" si="28">IF(U254&lt;&gt;"",U254*V254,"")</f>
        <v/>
      </c>
      <c r="X254" s="20" t="str">
        <f t="shared" ref="X254:X285" si="29">IF(AND(U254&lt;&gt;"",S254="yes"),U254*V254,"")</f>
        <v/>
      </c>
    </row>
    <row r="255" spans="1:25" s="53" customFormat="1" ht="17" customHeight="1" thickTop="1" x14ac:dyDescent="0.2">
      <c r="A255" s="48" t="s">
        <v>53</v>
      </c>
      <c r="B255" s="48" t="s">
        <v>486</v>
      </c>
      <c r="C255" s="49" t="s">
        <v>487</v>
      </c>
      <c r="D255" s="50"/>
      <c r="E255" s="48"/>
      <c r="F255" s="51"/>
      <c r="G255" s="52" t="s">
        <v>45</v>
      </c>
      <c r="H255" s="52"/>
      <c r="I255" s="52"/>
      <c r="J255" s="52"/>
      <c r="K255" s="52" t="s">
        <v>115</v>
      </c>
      <c r="L255" s="52"/>
      <c r="M255" s="52"/>
      <c r="N255" s="52"/>
      <c r="S255" s="17" t="s">
        <v>38</v>
      </c>
      <c r="U255" s="18"/>
      <c r="V255" s="54"/>
      <c r="W255" s="20" t="str">
        <f t="shared" si="28"/>
        <v/>
      </c>
      <c r="X255" s="20" t="str">
        <f t="shared" si="29"/>
        <v/>
      </c>
      <c r="Y255" s="54"/>
    </row>
    <row r="256" spans="1:25" x14ac:dyDescent="0.2">
      <c r="C256" s="36"/>
      <c r="D256" s="14"/>
      <c r="F256" s="15"/>
      <c r="K256" s="77"/>
      <c r="U256" s="18"/>
      <c r="V256" s="97">
        <v>1</v>
      </c>
      <c r="W256" s="20" t="str">
        <f t="shared" si="28"/>
        <v/>
      </c>
      <c r="X256" s="20" t="str">
        <f t="shared" si="29"/>
        <v/>
      </c>
    </row>
    <row r="257" spans="1:25" s="53" customFormat="1" ht="48" customHeight="1" x14ac:dyDescent="0.2">
      <c r="A257" s="12" t="s">
        <v>41</v>
      </c>
      <c r="B257" s="12" t="s">
        <v>488</v>
      </c>
      <c r="C257" s="13" t="s">
        <v>489</v>
      </c>
      <c r="D257" s="50"/>
      <c r="F257" s="51"/>
      <c r="G257" s="52"/>
      <c r="H257" s="52"/>
      <c r="I257" s="52"/>
      <c r="J257" s="52"/>
      <c r="K257" s="52"/>
      <c r="L257" s="52"/>
      <c r="M257" s="52"/>
      <c r="N257" s="52"/>
      <c r="S257" s="17" t="s">
        <v>46</v>
      </c>
      <c r="U257" s="18"/>
      <c r="V257" s="98">
        <v>1</v>
      </c>
      <c r="W257" s="20" t="str">
        <f t="shared" si="28"/>
        <v/>
      </c>
      <c r="X257" s="20" t="str">
        <f t="shared" si="29"/>
        <v/>
      </c>
      <c r="Y257" s="54"/>
    </row>
    <row r="258" spans="1:25" x14ac:dyDescent="0.2">
      <c r="C258" s="36"/>
      <c r="D258" s="14"/>
      <c r="F258" s="15"/>
      <c r="K258" s="77"/>
      <c r="U258" s="18"/>
      <c r="V258" s="97">
        <v>1</v>
      </c>
      <c r="W258" s="20" t="str">
        <f t="shared" si="28"/>
        <v/>
      </c>
      <c r="X258" s="20" t="str">
        <f t="shared" si="29"/>
        <v/>
      </c>
    </row>
    <row r="259" spans="1:25" s="53" customFormat="1" ht="16" customHeight="1" x14ac:dyDescent="0.2">
      <c r="A259" s="12" t="s">
        <v>53</v>
      </c>
      <c r="B259" s="12" t="s">
        <v>490</v>
      </c>
      <c r="C259" s="49" t="s">
        <v>491</v>
      </c>
      <c r="D259" s="50"/>
      <c r="E259" s="48"/>
      <c r="F259" s="51"/>
      <c r="G259" s="52"/>
      <c r="H259" s="52"/>
      <c r="I259" s="52"/>
      <c r="J259" s="52"/>
      <c r="K259" s="52"/>
      <c r="L259" s="52"/>
      <c r="M259" s="52"/>
      <c r="N259" s="52"/>
      <c r="S259" s="17"/>
      <c r="U259" s="18"/>
      <c r="V259" s="98">
        <v>1</v>
      </c>
      <c r="W259" s="20" t="str">
        <f t="shared" si="28"/>
        <v/>
      </c>
      <c r="X259" s="20" t="str">
        <f t="shared" si="29"/>
        <v/>
      </c>
      <c r="Y259" s="54"/>
    </row>
    <row r="260" spans="1:25" ht="32" customHeight="1" x14ac:dyDescent="0.2">
      <c r="A260" s="12" t="s">
        <v>41</v>
      </c>
      <c r="B260" s="12" t="s">
        <v>492</v>
      </c>
      <c r="C260" s="13" t="s">
        <v>493</v>
      </c>
      <c r="D260" s="14"/>
      <c r="E260" s="12"/>
      <c r="F260" s="15"/>
      <c r="G260" s="16" t="s">
        <v>45</v>
      </c>
      <c r="H260" s="16"/>
      <c r="I260" s="16"/>
      <c r="J260" s="16"/>
      <c r="K260" s="16"/>
      <c r="L260" s="16"/>
      <c r="M260" s="16"/>
      <c r="N260" s="16"/>
      <c r="S260" s="17" t="s">
        <v>38</v>
      </c>
      <c r="U260" s="18">
        <v>12.77690315246582</v>
      </c>
      <c r="V260" s="98">
        <v>1</v>
      </c>
      <c r="W260" s="20">
        <f t="shared" si="28"/>
        <v>12.77690315246582</v>
      </c>
      <c r="X260" s="20">
        <f t="shared" si="29"/>
        <v>12.77690315246582</v>
      </c>
    </row>
    <row r="261" spans="1:25" ht="48" customHeight="1" x14ac:dyDescent="0.2">
      <c r="A261" s="12" t="s">
        <v>108</v>
      </c>
      <c r="B261" s="12" t="s">
        <v>494</v>
      </c>
      <c r="C261" s="13" t="s">
        <v>495</v>
      </c>
      <c r="D261" s="14"/>
      <c r="E261" s="12"/>
      <c r="F261" s="15"/>
      <c r="G261" s="16" t="s">
        <v>36</v>
      </c>
      <c r="H261" s="16"/>
      <c r="I261" s="16"/>
      <c r="J261" s="16"/>
      <c r="K261" s="16"/>
      <c r="L261" s="16"/>
      <c r="M261" s="16"/>
      <c r="N261" s="16"/>
      <c r="S261" s="17" t="s">
        <v>38</v>
      </c>
      <c r="U261" s="18">
        <v>21.398605346679691</v>
      </c>
      <c r="V261" s="98">
        <v>1</v>
      </c>
      <c r="W261" s="20">
        <f t="shared" si="28"/>
        <v>21.398605346679691</v>
      </c>
      <c r="X261" s="20">
        <f t="shared" si="29"/>
        <v>21.398605346679691</v>
      </c>
    </row>
    <row r="262" spans="1:25" ht="48" customHeight="1" x14ac:dyDescent="0.2">
      <c r="A262" s="12" t="s">
        <v>108</v>
      </c>
      <c r="B262" s="12" t="s">
        <v>496</v>
      </c>
      <c r="C262" s="13" t="s">
        <v>497</v>
      </c>
      <c r="D262" s="14"/>
      <c r="E262" s="12"/>
      <c r="F262" s="15"/>
      <c r="G262" s="16" t="s">
        <v>36</v>
      </c>
      <c r="H262" s="16"/>
      <c r="I262" s="16"/>
      <c r="J262" s="16"/>
      <c r="K262" s="16"/>
      <c r="L262" s="16"/>
      <c r="M262" s="16"/>
      <c r="N262" s="16"/>
      <c r="S262" s="17" t="s">
        <v>38</v>
      </c>
      <c r="U262" s="18">
        <v>14.980740547180179</v>
      </c>
      <c r="V262" s="98">
        <v>1</v>
      </c>
      <c r="W262" s="20">
        <f t="shared" si="28"/>
        <v>14.980740547180179</v>
      </c>
      <c r="X262" s="20">
        <f t="shared" si="29"/>
        <v>14.980740547180179</v>
      </c>
    </row>
    <row r="263" spans="1:25" ht="48" customHeight="1" x14ac:dyDescent="0.2">
      <c r="A263" s="12" t="s">
        <v>108</v>
      </c>
      <c r="B263" s="12" t="s">
        <v>498</v>
      </c>
      <c r="C263" s="13" t="s">
        <v>499</v>
      </c>
      <c r="D263" s="14"/>
      <c r="E263" s="12"/>
      <c r="F263" s="15"/>
      <c r="G263" s="16" t="s">
        <v>36</v>
      </c>
      <c r="H263" s="16"/>
      <c r="I263" s="16"/>
      <c r="J263" s="16"/>
      <c r="K263" s="16"/>
      <c r="L263" s="16"/>
      <c r="M263" s="16"/>
      <c r="N263" s="16"/>
      <c r="S263" s="17" t="s">
        <v>38</v>
      </c>
      <c r="U263" s="18">
        <v>13.72302150726318</v>
      </c>
      <c r="V263" s="98">
        <v>1</v>
      </c>
      <c r="W263" s="20">
        <f t="shared" si="28"/>
        <v>13.72302150726318</v>
      </c>
      <c r="X263" s="20">
        <f t="shared" si="29"/>
        <v>13.72302150726318</v>
      </c>
    </row>
    <row r="264" spans="1:25" ht="48" customHeight="1" x14ac:dyDescent="0.2">
      <c r="A264" s="12" t="s">
        <v>108</v>
      </c>
      <c r="B264" s="12" t="s">
        <v>500</v>
      </c>
      <c r="C264" s="13" t="s">
        <v>501</v>
      </c>
      <c r="D264" s="14"/>
      <c r="E264" s="12"/>
      <c r="F264" s="15"/>
      <c r="G264" s="16" t="s">
        <v>36</v>
      </c>
      <c r="H264" s="16"/>
      <c r="I264" s="16"/>
      <c r="J264" s="16"/>
      <c r="K264" s="16"/>
      <c r="L264" s="16"/>
      <c r="M264" s="16"/>
      <c r="N264" s="16"/>
      <c r="S264" s="17" t="s">
        <v>38</v>
      </c>
      <c r="U264" s="18">
        <v>13.06220054626465</v>
      </c>
      <c r="V264" s="98">
        <v>1</v>
      </c>
      <c r="W264" s="20">
        <f t="shared" si="28"/>
        <v>13.06220054626465</v>
      </c>
      <c r="X264" s="20">
        <f t="shared" si="29"/>
        <v>13.06220054626465</v>
      </c>
    </row>
    <row r="265" spans="1:25" ht="48" customHeight="1" x14ac:dyDescent="0.2">
      <c r="A265" s="12" t="s">
        <v>108</v>
      </c>
      <c r="B265" s="12" t="s">
        <v>502</v>
      </c>
      <c r="C265" s="13" t="s">
        <v>503</v>
      </c>
      <c r="D265" s="14"/>
      <c r="E265" s="12"/>
      <c r="F265" s="15"/>
      <c r="G265" s="16" t="s">
        <v>36</v>
      </c>
      <c r="H265" s="16"/>
      <c r="I265" s="16"/>
      <c r="J265" s="16"/>
      <c r="K265" s="16"/>
      <c r="L265" s="16"/>
      <c r="M265" s="16"/>
      <c r="N265" s="16"/>
      <c r="S265" s="17" t="s">
        <v>38</v>
      </c>
      <c r="U265" s="18">
        <v>13.09532356262207</v>
      </c>
      <c r="V265" s="98">
        <v>1</v>
      </c>
      <c r="W265" s="20">
        <f t="shared" si="28"/>
        <v>13.09532356262207</v>
      </c>
      <c r="X265" s="20">
        <f t="shared" si="29"/>
        <v>13.09532356262207</v>
      </c>
    </row>
    <row r="266" spans="1:25" ht="32" customHeight="1" x14ac:dyDescent="0.2">
      <c r="A266" s="12" t="s">
        <v>108</v>
      </c>
      <c r="B266" s="12" t="s">
        <v>504</v>
      </c>
      <c r="C266" s="13" t="s">
        <v>505</v>
      </c>
      <c r="D266" s="14"/>
      <c r="E266" s="12"/>
      <c r="F266" s="15"/>
      <c r="G266" s="16" t="s">
        <v>36</v>
      </c>
      <c r="H266" s="16"/>
      <c r="I266" s="16"/>
      <c r="J266" s="16"/>
      <c r="K266" s="16"/>
      <c r="L266" s="16"/>
      <c r="M266" s="16"/>
      <c r="N266" s="16"/>
      <c r="S266" s="17" t="s">
        <v>38</v>
      </c>
      <c r="U266" s="18">
        <v>16.10101918465228</v>
      </c>
      <c r="V266" s="98">
        <v>1</v>
      </c>
      <c r="W266" s="20">
        <f t="shared" si="28"/>
        <v>16.10101918465228</v>
      </c>
      <c r="X266" s="20">
        <f t="shared" si="29"/>
        <v>16.10101918465228</v>
      </c>
    </row>
    <row r="267" spans="1:25" s="21" customFormat="1" ht="16" customHeight="1" x14ac:dyDescent="0.2">
      <c r="A267" s="38" t="s">
        <v>506</v>
      </c>
      <c r="B267" s="38" t="s">
        <v>507</v>
      </c>
      <c r="C267" s="39" t="s">
        <v>508</v>
      </c>
      <c r="D267" s="40"/>
      <c r="E267" s="38"/>
      <c r="F267" s="41"/>
      <c r="G267" s="42" t="s">
        <v>36</v>
      </c>
      <c r="H267" s="42"/>
      <c r="I267" s="42"/>
      <c r="J267" s="42"/>
      <c r="K267" s="42" t="s">
        <v>509</v>
      </c>
      <c r="L267" s="42"/>
      <c r="M267" s="42"/>
      <c r="N267" s="42"/>
      <c r="S267" s="21" t="s">
        <v>38</v>
      </c>
      <c r="U267" s="18">
        <v>11.76504325866699</v>
      </c>
      <c r="V267" s="98">
        <v>1</v>
      </c>
      <c r="W267" s="20">
        <f t="shared" si="28"/>
        <v>11.76504325866699</v>
      </c>
      <c r="X267" s="20">
        <f t="shared" si="29"/>
        <v>11.76504325866699</v>
      </c>
    </row>
    <row r="268" spans="1:25" s="21" customFormat="1" ht="32" customHeight="1" x14ac:dyDescent="0.2">
      <c r="A268" s="38" t="s">
        <v>108</v>
      </c>
      <c r="B268" s="38" t="s">
        <v>510</v>
      </c>
      <c r="C268" s="39" t="s">
        <v>511</v>
      </c>
      <c r="D268" s="40"/>
      <c r="E268" s="38"/>
      <c r="F268" s="41"/>
      <c r="G268" s="42" t="s">
        <v>36</v>
      </c>
      <c r="H268" s="42"/>
      <c r="I268" s="42"/>
      <c r="J268" s="42"/>
      <c r="K268" s="42"/>
      <c r="L268" s="42"/>
      <c r="M268" s="42"/>
      <c r="N268" s="42"/>
      <c r="S268" s="21" t="s">
        <v>38</v>
      </c>
      <c r="U268" s="18">
        <v>12.432478904724119</v>
      </c>
      <c r="V268" s="98">
        <v>1</v>
      </c>
      <c r="W268" s="20">
        <f t="shared" si="28"/>
        <v>12.432478904724119</v>
      </c>
      <c r="X268" s="20">
        <f t="shared" si="29"/>
        <v>12.432478904724119</v>
      </c>
    </row>
    <row r="269" spans="1:25" s="21" customFormat="1" ht="16" customHeight="1" x14ac:dyDescent="0.2">
      <c r="A269" s="38" t="s">
        <v>506</v>
      </c>
      <c r="B269" s="38" t="s">
        <v>512</v>
      </c>
      <c r="C269" s="39" t="s">
        <v>508</v>
      </c>
      <c r="D269" s="40"/>
      <c r="E269" s="38"/>
      <c r="F269" s="41"/>
      <c r="G269" s="42" t="s">
        <v>36</v>
      </c>
      <c r="H269" s="42"/>
      <c r="I269" s="42"/>
      <c r="J269" s="42"/>
      <c r="K269" s="42" t="s">
        <v>513</v>
      </c>
      <c r="L269" s="42"/>
      <c r="M269" s="42"/>
      <c r="N269" s="42"/>
      <c r="S269" s="21" t="s">
        <v>38</v>
      </c>
      <c r="U269" s="18">
        <v>8.9801836013793945</v>
      </c>
      <c r="V269" s="98">
        <v>1</v>
      </c>
      <c r="W269" s="20">
        <f t="shared" si="28"/>
        <v>8.9801836013793945</v>
      </c>
      <c r="X269" s="20">
        <f t="shared" si="29"/>
        <v>8.9801836013793945</v>
      </c>
    </row>
    <row r="270" spans="1:25" s="21" customFormat="1" ht="32" customHeight="1" x14ac:dyDescent="0.2">
      <c r="A270" s="38" t="s">
        <v>108</v>
      </c>
      <c r="B270" s="38" t="s">
        <v>514</v>
      </c>
      <c r="C270" s="39" t="s">
        <v>515</v>
      </c>
      <c r="D270" s="40"/>
      <c r="E270" s="38"/>
      <c r="F270" s="41"/>
      <c r="G270" s="42" t="s">
        <v>36</v>
      </c>
      <c r="H270" s="42"/>
      <c r="I270" s="42"/>
      <c r="J270" s="42"/>
      <c r="K270" s="42"/>
      <c r="L270" s="42"/>
      <c r="M270" s="42"/>
      <c r="N270" s="42"/>
      <c r="S270" s="21" t="s">
        <v>38</v>
      </c>
      <c r="U270" s="18">
        <v>11.089328765869141</v>
      </c>
      <c r="V270" s="98">
        <v>1</v>
      </c>
      <c r="W270" s="20">
        <f t="shared" si="28"/>
        <v>11.089328765869141</v>
      </c>
      <c r="X270" s="20">
        <f t="shared" si="29"/>
        <v>11.089328765869141</v>
      </c>
    </row>
    <row r="271" spans="1:25" s="21" customFormat="1" ht="16" customHeight="1" x14ac:dyDescent="0.2">
      <c r="A271" s="38" t="s">
        <v>506</v>
      </c>
      <c r="B271" s="38" t="s">
        <v>516</v>
      </c>
      <c r="C271" s="39" t="s">
        <v>508</v>
      </c>
      <c r="D271" s="40"/>
      <c r="E271" s="38"/>
      <c r="F271" s="41"/>
      <c r="G271" s="42" t="s">
        <v>36</v>
      </c>
      <c r="H271" s="42"/>
      <c r="I271" s="42"/>
      <c r="J271" s="42"/>
      <c r="K271" s="42" t="s">
        <v>517</v>
      </c>
      <c r="L271" s="42"/>
      <c r="M271" s="42"/>
      <c r="N271" s="42"/>
      <c r="S271" s="21" t="s">
        <v>38</v>
      </c>
      <c r="U271" s="18">
        <v>8.0683355331420898</v>
      </c>
      <c r="V271" s="98">
        <v>1</v>
      </c>
      <c r="W271" s="20">
        <f t="shared" si="28"/>
        <v>8.0683355331420898</v>
      </c>
      <c r="X271" s="20">
        <f t="shared" si="29"/>
        <v>8.0683355331420898</v>
      </c>
    </row>
    <row r="272" spans="1:25" x14ac:dyDescent="0.2">
      <c r="A272" s="38" t="s">
        <v>112</v>
      </c>
      <c r="B272" s="38"/>
      <c r="C272" s="13"/>
      <c r="D272" s="14"/>
      <c r="E272" s="12"/>
      <c r="F272" s="15"/>
      <c r="G272" s="16"/>
      <c r="H272" s="16"/>
      <c r="I272" s="16"/>
      <c r="J272" s="16"/>
      <c r="K272" s="16"/>
      <c r="L272" s="16"/>
      <c r="M272" s="16"/>
      <c r="N272" s="16"/>
      <c r="U272" s="18"/>
      <c r="V272" s="98">
        <v>1</v>
      </c>
      <c r="W272" s="20" t="str">
        <f t="shared" si="28"/>
        <v/>
      </c>
      <c r="X272" s="20" t="str">
        <f t="shared" si="29"/>
        <v/>
      </c>
    </row>
    <row r="273" spans="1:25" x14ac:dyDescent="0.2">
      <c r="A273" s="21"/>
      <c r="B273" s="21"/>
      <c r="D273" s="14"/>
      <c r="F273" s="15"/>
      <c r="U273" s="18"/>
      <c r="V273" s="98">
        <v>1</v>
      </c>
      <c r="W273" s="20" t="str">
        <f t="shared" si="28"/>
        <v/>
      </c>
      <c r="X273" s="20" t="str">
        <f t="shared" si="29"/>
        <v/>
      </c>
    </row>
    <row r="274" spans="1:25" s="22" customFormat="1" ht="16" customHeight="1" x14ac:dyDescent="0.2">
      <c r="A274" s="22" t="s">
        <v>53</v>
      </c>
      <c r="B274" s="22" t="s">
        <v>518</v>
      </c>
      <c r="C274" s="99" t="s">
        <v>519</v>
      </c>
      <c r="D274" s="24"/>
      <c r="F274" s="25"/>
      <c r="G274" s="26"/>
      <c r="H274" s="26" t="s">
        <v>148</v>
      </c>
      <c r="I274" s="26"/>
      <c r="J274" s="26"/>
      <c r="K274" s="26"/>
      <c r="L274" s="26"/>
      <c r="M274" s="26"/>
      <c r="N274" s="26"/>
      <c r="U274" s="27"/>
      <c r="V274" s="100">
        <v>1</v>
      </c>
      <c r="W274" s="29" t="str">
        <f t="shared" si="28"/>
        <v/>
      </c>
      <c r="X274" s="29" t="str">
        <f t="shared" si="29"/>
        <v/>
      </c>
    </row>
    <row r="275" spans="1:25" s="22" customFormat="1" ht="64" customHeight="1" x14ac:dyDescent="0.2">
      <c r="A275" s="22" t="s">
        <v>41</v>
      </c>
      <c r="B275" s="22" t="s">
        <v>520</v>
      </c>
      <c r="C275" s="23" t="s">
        <v>521</v>
      </c>
      <c r="D275" s="24"/>
      <c r="F275" s="25"/>
      <c r="G275" s="26"/>
      <c r="H275" s="26"/>
      <c r="I275" s="26"/>
      <c r="J275" s="26"/>
      <c r="K275" s="26"/>
      <c r="L275" s="26"/>
      <c r="M275" s="26"/>
      <c r="N275" s="26"/>
      <c r="S275" s="22" t="s">
        <v>46</v>
      </c>
      <c r="U275" s="27">
        <v>5.7112536430358887</v>
      </c>
      <c r="V275" s="100">
        <v>1</v>
      </c>
      <c r="W275" s="29">
        <f t="shared" si="28"/>
        <v>5.7112536430358887</v>
      </c>
      <c r="X275" s="29" t="str">
        <f t="shared" si="29"/>
        <v/>
      </c>
    </row>
    <row r="276" spans="1:25" s="102" customFormat="1" ht="16" customHeight="1" x14ac:dyDescent="0.2">
      <c r="A276" s="22" t="s">
        <v>522</v>
      </c>
      <c r="B276" s="266" t="s">
        <v>523</v>
      </c>
      <c r="C276" s="23" t="s">
        <v>524</v>
      </c>
      <c r="D276" s="101"/>
      <c r="F276" s="103"/>
      <c r="G276" s="26" t="s">
        <v>36</v>
      </c>
      <c r="H276" s="26" t="s">
        <v>168</v>
      </c>
      <c r="I276" s="104"/>
      <c r="J276" s="104"/>
      <c r="K276" s="104"/>
      <c r="L276" s="104"/>
      <c r="M276" s="104"/>
      <c r="N276" s="104"/>
      <c r="S276" s="22" t="s">
        <v>46</v>
      </c>
      <c r="U276" s="18">
        <v>19.851530075073239</v>
      </c>
      <c r="V276" s="98">
        <v>1</v>
      </c>
      <c r="W276" s="20">
        <f t="shared" si="28"/>
        <v>19.851530075073239</v>
      </c>
      <c r="X276" s="20" t="str">
        <f t="shared" si="29"/>
        <v/>
      </c>
      <c r="Y276" s="21"/>
    </row>
    <row r="277" spans="1:25" s="102" customFormat="1" ht="16" customHeight="1" x14ac:dyDescent="0.2">
      <c r="A277" s="22" t="s">
        <v>522</v>
      </c>
      <c r="B277" s="266" t="s">
        <v>525</v>
      </c>
      <c r="C277" s="23" t="s">
        <v>526</v>
      </c>
      <c r="D277" s="101"/>
      <c r="F277" s="103"/>
      <c r="G277" s="26" t="s">
        <v>36</v>
      </c>
      <c r="H277" s="26" t="s">
        <v>168</v>
      </c>
      <c r="I277" s="104"/>
      <c r="J277" s="104"/>
      <c r="K277" s="104"/>
      <c r="L277" s="104"/>
      <c r="M277" s="104"/>
      <c r="N277" s="104"/>
      <c r="S277" s="22" t="s">
        <v>46</v>
      </c>
      <c r="U277" s="18">
        <v>15.436671257019039</v>
      </c>
      <c r="V277" s="98">
        <v>1</v>
      </c>
      <c r="W277" s="20">
        <f t="shared" si="28"/>
        <v>15.436671257019039</v>
      </c>
      <c r="X277" s="20" t="str">
        <f t="shared" si="29"/>
        <v/>
      </c>
      <c r="Y277" s="21"/>
    </row>
    <row r="278" spans="1:25" s="102" customFormat="1" ht="16" customHeight="1" x14ac:dyDescent="0.2">
      <c r="A278" s="22" t="s">
        <v>522</v>
      </c>
      <c r="B278" s="266" t="s">
        <v>527</v>
      </c>
      <c r="C278" s="23" t="s">
        <v>528</v>
      </c>
      <c r="D278" s="101"/>
      <c r="F278" s="103"/>
      <c r="G278" s="26" t="s">
        <v>36</v>
      </c>
      <c r="H278" s="26" t="s">
        <v>168</v>
      </c>
      <c r="I278" s="104"/>
      <c r="J278" s="104"/>
      <c r="K278" s="104"/>
      <c r="L278" s="104"/>
      <c r="M278" s="104"/>
      <c r="N278" s="104"/>
      <c r="S278" s="22" t="s">
        <v>46</v>
      </c>
      <c r="U278" s="18">
        <v>14.62593364715576</v>
      </c>
      <c r="V278" s="98">
        <v>1</v>
      </c>
      <c r="W278" s="20">
        <f t="shared" si="28"/>
        <v>14.62593364715576</v>
      </c>
      <c r="X278" s="20" t="str">
        <f t="shared" si="29"/>
        <v/>
      </c>
      <c r="Y278" s="21"/>
    </row>
    <row r="279" spans="1:25" s="102" customFormat="1" ht="16" customHeight="1" x14ac:dyDescent="0.2">
      <c r="A279" s="22" t="s">
        <v>522</v>
      </c>
      <c r="B279" s="266" t="s">
        <v>529</v>
      </c>
      <c r="C279" s="23" t="s">
        <v>530</v>
      </c>
      <c r="D279" s="101"/>
      <c r="F279" s="103"/>
      <c r="G279" s="26" t="s">
        <v>36</v>
      </c>
      <c r="H279" s="26" t="s">
        <v>168</v>
      </c>
      <c r="I279" s="104"/>
      <c r="J279" s="104"/>
      <c r="K279" s="104"/>
      <c r="L279" s="104"/>
      <c r="M279" s="104"/>
      <c r="N279" s="104"/>
      <c r="S279" s="22" t="s">
        <v>46</v>
      </c>
      <c r="U279" s="18">
        <v>12.4080867767334</v>
      </c>
      <c r="V279" s="98">
        <v>1</v>
      </c>
      <c r="W279" s="20">
        <f t="shared" si="28"/>
        <v>12.4080867767334</v>
      </c>
      <c r="X279" s="20" t="str">
        <f t="shared" si="29"/>
        <v/>
      </c>
      <c r="Y279" s="21"/>
    </row>
    <row r="280" spans="1:25" s="102" customFormat="1" ht="32" customHeight="1" x14ac:dyDescent="0.2">
      <c r="A280" s="22" t="s">
        <v>522</v>
      </c>
      <c r="B280" s="266" t="s">
        <v>531</v>
      </c>
      <c r="C280" s="23" t="s">
        <v>532</v>
      </c>
      <c r="D280" s="101"/>
      <c r="F280" s="103"/>
      <c r="G280" s="26" t="s">
        <v>36</v>
      </c>
      <c r="H280" s="26" t="s">
        <v>168</v>
      </c>
      <c r="I280" s="104"/>
      <c r="J280" s="104"/>
      <c r="K280" s="104"/>
      <c r="L280" s="104"/>
      <c r="M280" s="104"/>
      <c r="N280" s="104"/>
      <c r="S280" s="22" t="s">
        <v>46</v>
      </c>
      <c r="U280" s="18">
        <v>14.41095890410959</v>
      </c>
      <c r="V280" s="98">
        <v>1</v>
      </c>
      <c r="W280" s="20">
        <f t="shared" si="28"/>
        <v>14.41095890410959</v>
      </c>
      <c r="X280" s="20" t="str">
        <f t="shared" si="29"/>
        <v/>
      </c>
      <c r="Y280" s="21"/>
    </row>
    <row r="281" spans="1:25" s="102" customFormat="1" ht="16" customHeight="1" x14ac:dyDescent="0.2">
      <c r="A281" s="22" t="s">
        <v>522</v>
      </c>
      <c r="B281" s="266" t="s">
        <v>533</v>
      </c>
      <c r="C281" s="23" t="s">
        <v>534</v>
      </c>
      <c r="D281" s="101"/>
      <c r="F281" s="103"/>
      <c r="G281" s="26" t="s">
        <v>36</v>
      </c>
      <c r="H281" s="26" t="s">
        <v>168</v>
      </c>
      <c r="I281" s="104"/>
      <c r="J281" s="104"/>
      <c r="K281" s="104"/>
      <c r="L281" s="104"/>
      <c r="M281" s="104"/>
      <c r="N281" s="104"/>
      <c r="S281" s="22" t="s">
        <v>46</v>
      </c>
      <c r="U281" s="18">
        <v>15.40838527679443</v>
      </c>
      <c r="V281" s="98">
        <v>1</v>
      </c>
      <c r="W281" s="20">
        <f t="shared" si="28"/>
        <v>15.40838527679443</v>
      </c>
      <c r="X281" s="20" t="str">
        <f t="shared" si="29"/>
        <v/>
      </c>
      <c r="Y281" s="21"/>
    </row>
    <row r="282" spans="1:25" s="102" customFormat="1" ht="16" customHeight="1" x14ac:dyDescent="0.2">
      <c r="A282" s="22" t="s">
        <v>522</v>
      </c>
      <c r="B282" s="266" t="s">
        <v>535</v>
      </c>
      <c r="C282" s="23" t="s">
        <v>536</v>
      </c>
      <c r="D282" s="101"/>
      <c r="F282" s="103"/>
      <c r="G282" s="26" t="s">
        <v>36</v>
      </c>
      <c r="H282" s="26" t="s">
        <v>168</v>
      </c>
      <c r="I282" s="104"/>
      <c r="J282" s="104"/>
      <c r="K282" s="104"/>
      <c r="L282" s="104"/>
      <c r="M282" s="104"/>
      <c r="N282" s="104"/>
      <c r="S282" s="22" t="s">
        <v>46</v>
      </c>
      <c r="U282" s="18">
        <v>15.543986320495611</v>
      </c>
      <c r="V282" s="98">
        <v>1</v>
      </c>
      <c r="W282" s="20">
        <f t="shared" si="28"/>
        <v>15.543986320495611</v>
      </c>
      <c r="X282" s="20" t="str">
        <f t="shared" si="29"/>
        <v/>
      </c>
      <c r="Y282" s="21"/>
    </row>
    <row r="283" spans="1:25" s="102" customFormat="1" ht="32" customHeight="1" x14ac:dyDescent="0.2">
      <c r="A283" s="22" t="s">
        <v>522</v>
      </c>
      <c r="B283" s="266" t="s">
        <v>537</v>
      </c>
      <c r="C283" s="23" t="s">
        <v>538</v>
      </c>
      <c r="D283" s="101"/>
      <c r="F283" s="103"/>
      <c r="G283" s="26" t="s">
        <v>36</v>
      </c>
      <c r="H283" s="26" t="s">
        <v>168</v>
      </c>
      <c r="I283" s="104"/>
      <c r="J283" s="104"/>
      <c r="K283" s="104"/>
      <c r="L283" s="104"/>
      <c r="M283" s="104"/>
      <c r="N283" s="104"/>
      <c r="S283" s="22" t="s">
        <v>46</v>
      </c>
      <c r="U283" s="18">
        <v>14.752389907836911</v>
      </c>
      <c r="V283" s="98">
        <v>1</v>
      </c>
      <c r="W283" s="20">
        <f t="shared" si="28"/>
        <v>14.752389907836911</v>
      </c>
      <c r="X283" s="20" t="str">
        <f t="shared" si="29"/>
        <v/>
      </c>
      <c r="Y283" s="21"/>
    </row>
    <row r="284" spans="1:25" s="102" customFormat="1" ht="16" customHeight="1" x14ac:dyDescent="0.2">
      <c r="A284" s="22" t="s">
        <v>522</v>
      </c>
      <c r="B284" s="266" t="s">
        <v>539</v>
      </c>
      <c r="C284" s="23" t="s">
        <v>540</v>
      </c>
      <c r="D284" s="101"/>
      <c r="F284" s="103"/>
      <c r="G284" s="26" t="s">
        <v>36</v>
      </c>
      <c r="H284" s="26" t="s">
        <v>168</v>
      </c>
      <c r="I284" s="104"/>
      <c r="J284" s="104"/>
      <c r="K284" s="104"/>
      <c r="L284" s="104"/>
      <c r="M284" s="104"/>
      <c r="N284" s="104"/>
      <c r="S284" s="22" t="s">
        <v>46</v>
      </c>
      <c r="U284" s="18">
        <v>10.668112754821779</v>
      </c>
      <c r="V284" s="98">
        <v>1</v>
      </c>
      <c r="W284" s="20">
        <f t="shared" si="28"/>
        <v>10.668112754821779</v>
      </c>
      <c r="X284" s="20" t="str">
        <f t="shared" si="29"/>
        <v/>
      </c>
      <c r="Y284" s="21"/>
    </row>
    <row r="285" spans="1:25" s="102" customFormat="1" ht="16" customHeight="1" x14ac:dyDescent="0.2">
      <c r="A285" s="22" t="s">
        <v>522</v>
      </c>
      <c r="B285" s="266" t="s">
        <v>541</v>
      </c>
      <c r="C285" s="23" t="s">
        <v>542</v>
      </c>
      <c r="D285" s="101"/>
      <c r="F285" s="103"/>
      <c r="G285" s="26" t="s">
        <v>36</v>
      </c>
      <c r="H285" s="26" t="s">
        <v>168</v>
      </c>
      <c r="I285" s="104"/>
      <c r="J285" s="104"/>
      <c r="K285" s="104"/>
      <c r="L285" s="104"/>
      <c r="M285" s="104"/>
      <c r="N285" s="104"/>
      <c r="S285" s="22" t="s">
        <v>46</v>
      </c>
      <c r="U285" s="18">
        <v>10.114131927490231</v>
      </c>
      <c r="V285" s="98">
        <v>1</v>
      </c>
      <c r="W285" s="20">
        <f t="shared" si="28"/>
        <v>10.114131927490231</v>
      </c>
      <c r="X285" s="20" t="str">
        <f t="shared" si="29"/>
        <v/>
      </c>
      <c r="Y285" s="21"/>
    </row>
    <row r="286" spans="1:25" s="102" customFormat="1" ht="16" customHeight="1" x14ac:dyDescent="0.2">
      <c r="A286" s="22" t="s">
        <v>522</v>
      </c>
      <c r="B286" s="266" t="s">
        <v>543</v>
      </c>
      <c r="C286" s="23" t="s">
        <v>544</v>
      </c>
      <c r="D286" s="101"/>
      <c r="F286" s="103"/>
      <c r="G286" s="26" t="s">
        <v>36</v>
      </c>
      <c r="H286" s="26" t="s">
        <v>168</v>
      </c>
      <c r="I286" s="104"/>
      <c r="J286" s="104"/>
      <c r="K286" s="104"/>
      <c r="L286" s="104"/>
      <c r="M286" s="104"/>
      <c r="N286" s="104"/>
      <c r="S286" s="22" t="s">
        <v>46</v>
      </c>
      <c r="U286" s="18">
        <v>10.86770534515381</v>
      </c>
      <c r="V286" s="98">
        <v>1</v>
      </c>
      <c r="W286" s="20">
        <f t="shared" ref="W286:W306" si="30">IF(U286&lt;&gt;"",U286*V286,"")</f>
        <v>10.86770534515381</v>
      </c>
      <c r="X286" s="20" t="str">
        <f t="shared" ref="X286:X306" si="31">IF(AND(U286&lt;&gt;"",S286="yes"),U286*V286,"")</f>
        <v/>
      </c>
      <c r="Y286" s="21"/>
    </row>
    <row r="287" spans="1:25" x14ac:dyDescent="0.2">
      <c r="A287" s="22" t="s">
        <v>112</v>
      </c>
      <c r="B287" s="22"/>
      <c r="C287" s="23"/>
      <c r="D287" s="14"/>
      <c r="F287" s="15"/>
      <c r="G287" s="26"/>
      <c r="U287" s="18"/>
      <c r="V287" s="98">
        <v>1</v>
      </c>
      <c r="W287" s="20" t="str">
        <f t="shared" si="30"/>
        <v/>
      </c>
      <c r="X287" s="20" t="str">
        <f t="shared" si="31"/>
        <v/>
      </c>
    </row>
    <row r="288" spans="1:25" x14ac:dyDescent="0.2">
      <c r="A288" s="21"/>
      <c r="B288" s="21"/>
      <c r="D288" s="14"/>
      <c r="F288" s="15"/>
      <c r="U288" s="18"/>
      <c r="V288" s="98">
        <v>1</v>
      </c>
      <c r="W288" s="20" t="str">
        <f t="shared" si="30"/>
        <v/>
      </c>
      <c r="X288" s="20" t="str">
        <f t="shared" si="31"/>
        <v/>
      </c>
    </row>
    <row r="289" spans="1:25" ht="16" customHeight="1" x14ac:dyDescent="0.2">
      <c r="A289" s="38" t="s">
        <v>53</v>
      </c>
      <c r="B289" s="38" t="s">
        <v>545</v>
      </c>
      <c r="C289" s="49" t="s">
        <v>546</v>
      </c>
      <c r="D289" s="14"/>
      <c r="E289" s="12"/>
      <c r="F289" s="15"/>
      <c r="G289" s="16"/>
      <c r="H289" s="16"/>
      <c r="I289" s="16"/>
      <c r="J289" s="16"/>
      <c r="K289" s="16"/>
      <c r="L289" s="16"/>
      <c r="M289" s="16"/>
      <c r="N289" s="16"/>
      <c r="U289" s="18"/>
      <c r="V289" s="98">
        <v>1</v>
      </c>
      <c r="W289" s="20" t="str">
        <f t="shared" si="30"/>
        <v/>
      </c>
      <c r="X289" s="20" t="str">
        <f t="shared" si="31"/>
        <v/>
      </c>
    </row>
    <row r="290" spans="1:25" ht="32" customHeight="1" x14ac:dyDescent="0.2">
      <c r="A290" s="12" t="s">
        <v>41</v>
      </c>
      <c r="B290" s="12" t="s">
        <v>547</v>
      </c>
      <c r="C290" s="13" t="s">
        <v>548</v>
      </c>
      <c r="D290" s="14"/>
      <c r="E290" s="12"/>
      <c r="F290" s="15"/>
      <c r="G290" s="16" t="s">
        <v>45</v>
      </c>
      <c r="H290" s="16"/>
      <c r="I290" s="16"/>
      <c r="J290" s="16"/>
      <c r="K290" s="16"/>
      <c r="L290" s="16"/>
      <c r="M290" s="16"/>
      <c r="N290" s="16"/>
      <c r="S290" s="17" t="s">
        <v>38</v>
      </c>
      <c r="U290" s="18"/>
      <c r="V290" s="98">
        <v>1</v>
      </c>
      <c r="W290" s="20" t="str">
        <f t="shared" si="30"/>
        <v/>
      </c>
      <c r="X290" s="20" t="str">
        <f t="shared" si="31"/>
        <v/>
      </c>
    </row>
    <row r="291" spans="1:25" ht="48" customHeight="1" x14ac:dyDescent="0.2">
      <c r="A291" s="12" t="s">
        <v>549</v>
      </c>
      <c r="B291" s="12" t="s">
        <v>550</v>
      </c>
      <c r="C291" s="13" t="s">
        <v>551</v>
      </c>
      <c r="D291" s="14"/>
      <c r="E291" s="12" t="s">
        <v>552</v>
      </c>
      <c r="F291" s="15"/>
      <c r="G291" s="16" t="s">
        <v>36</v>
      </c>
      <c r="H291" s="16"/>
      <c r="I291" s="16"/>
      <c r="J291" s="16"/>
      <c r="K291" s="16"/>
      <c r="L291" s="16"/>
      <c r="M291" s="16"/>
      <c r="N291" s="16"/>
      <c r="S291" s="17" t="s">
        <v>38</v>
      </c>
      <c r="U291" s="18">
        <v>72.295135498046875</v>
      </c>
      <c r="V291" s="98">
        <v>1</v>
      </c>
      <c r="W291" s="20">
        <f t="shared" si="30"/>
        <v>72.295135498046875</v>
      </c>
      <c r="X291" s="20">
        <f t="shared" si="31"/>
        <v>72.295135498046875</v>
      </c>
    </row>
    <row r="292" spans="1:25" ht="48" customHeight="1" x14ac:dyDescent="0.2">
      <c r="A292" s="12" t="s">
        <v>41</v>
      </c>
      <c r="B292" s="12" t="s">
        <v>553</v>
      </c>
      <c r="C292" s="13" t="s">
        <v>554</v>
      </c>
      <c r="D292" s="14"/>
      <c r="E292" s="12"/>
      <c r="F292" s="15"/>
      <c r="G292" s="16" t="s">
        <v>45</v>
      </c>
      <c r="H292" s="16"/>
      <c r="I292" s="16"/>
      <c r="J292" s="16"/>
      <c r="K292" s="16"/>
      <c r="L292" s="16"/>
      <c r="M292" s="16"/>
      <c r="N292" s="16"/>
      <c r="S292" s="17" t="s">
        <v>38</v>
      </c>
      <c r="U292" s="18">
        <v>3.7052218914031978</v>
      </c>
      <c r="V292" s="98">
        <v>1</v>
      </c>
      <c r="W292" s="20">
        <f t="shared" si="30"/>
        <v>3.7052218914031978</v>
      </c>
      <c r="X292" s="20">
        <f t="shared" si="31"/>
        <v>3.7052218914031978</v>
      </c>
    </row>
    <row r="293" spans="1:25" ht="16" customHeight="1" x14ac:dyDescent="0.2">
      <c r="A293" s="12" t="s">
        <v>112</v>
      </c>
      <c r="B293" s="12"/>
      <c r="C293" s="13"/>
      <c r="D293" s="14"/>
      <c r="E293" s="12"/>
      <c r="F293" s="15"/>
      <c r="G293" s="16"/>
      <c r="H293" s="16"/>
      <c r="I293" s="16"/>
      <c r="J293" s="16"/>
      <c r="K293" s="16"/>
      <c r="L293" s="16"/>
      <c r="M293" s="16"/>
      <c r="N293" s="16"/>
      <c r="U293" s="18"/>
      <c r="V293" s="98">
        <v>1</v>
      </c>
      <c r="W293" s="20" t="str">
        <f t="shared" si="30"/>
        <v/>
      </c>
      <c r="X293" s="20" t="str">
        <f t="shared" si="31"/>
        <v/>
      </c>
    </row>
    <row r="294" spans="1:25" x14ac:dyDescent="0.2">
      <c r="A294" s="21"/>
      <c r="B294" s="21"/>
      <c r="D294" s="14"/>
      <c r="F294" s="15"/>
      <c r="U294" s="18"/>
      <c r="V294" s="98">
        <v>1</v>
      </c>
      <c r="W294" s="20" t="str">
        <f t="shared" si="30"/>
        <v/>
      </c>
      <c r="X294" s="20" t="str">
        <f t="shared" si="31"/>
        <v/>
      </c>
    </row>
    <row r="295" spans="1:25" s="22" customFormat="1" x14ac:dyDescent="0.2">
      <c r="C295" s="23"/>
      <c r="D295" s="24"/>
      <c r="F295" s="25"/>
      <c r="G295" s="26"/>
      <c r="H295" s="26"/>
      <c r="I295" s="26"/>
      <c r="J295" s="26"/>
      <c r="K295" s="26"/>
      <c r="L295" s="26"/>
      <c r="M295" s="26"/>
      <c r="N295" s="26"/>
      <c r="U295" s="18"/>
      <c r="V295" s="98">
        <v>1</v>
      </c>
      <c r="W295" s="20" t="str">
        <f t="shared" si="30"/>
        <v/>
      </c>
      <c r="X295" s="20" t="str">
        <f t="shared" si="31"/>
        <v/>
      </c>
    </row>
    <row r="296" spans="1:25" ht="16" customHeight="1" thickBot="1" x14ac:dyDescent="0.25">
      <c r="A296" s="78" t="s">
        <v>112</v>
      </c>
      <c r="B296" s="78"/>
      <c r="C296" s="79"/>
      <c r="D296" s="80"/>
      <c r="E296" s="78"/>
      <c r="F296" s="81"/>
      <c r="G296" s="82"/>
      <c r="H296" s="82"/>
      <c r="I296" s="82"/>
      <c r="J296" s="82"/>
      <c r="K296" s="82"/>
      <c r="L296" s="82"/>
      <c r="M296" s="82"/>
      <c r="N296" s="82"/>
      <c r="U296" s="18"/>
      <c r="W296" s="20" t="str">
        <f t="shared" si="30"/>
        <v/>
      </c>
      <c r="X296" s="20" t="str">
        <f t="shared" si="31"/>
        <v/>
      </c>
    </row>
    <row r="297" spans="1:25" s="53" customFormat="1" ht="15" customHeight="1" thickTop="1" x14ac:dyDescent="0.2">
      <c r="A297" s="48" t="s">
        <v>53</v>
      </c>
      <c r="B297" s="48" t="s">
        <v>555</v>
      </c>
      <c r="C297" s="49" t="s">
        <v>556</v>
      </c>
      <c r="D297" s="50"/>
      <c r="E297" s="48"/>
      <c r="F297" s="51"/>
      <c r="G297" s="52" t="s">
        <v>45</v>
      </c>
      <c r="H297" s="52"/>
      <c r="I297" s="52"/>
      <c r="J297" s="52"/>
      <c r="K297" s="267" t="s">
        <v>557</v>
      </c>
      <c r="L297" s="52"/>
      <c r="M297" s="52"/>
      <c r="N297" s="52"/>
      <c r="S297" s="17" t="s">
        <v>38</v>
      </c>
      <c r="U297" s="18"/>
      <c r="V297" s="54"/>
      <c r="W297" s="20" t="str">
        <f t="shared" si="30"/>
        <v/>
      </c>
      <c r="X297" s="20" t="str">
        <f t="shared" si="31"/>
        <v/>
      </c>
      <c r="Y297" s="54"/>
    </row>
    <row r="298" spans="1:25" s="53" customFormat="1" ht="15" customHeight="1" x14ac:dyDescent="0.2">
      <c r="C298" s="94"/>
      <c r="D298" s="50"/>
      <c r="F298" s="51"/>
      <c r="G298" s="95"/>
      <c r="H298" s="95"/>
      <c r="I298" s="95"/>
      <c r="J298" s="95"/>
      <c r="K298" s="95"/>
      <c r="L298" s="95"/>
      <c r="M298" s="95"/>
      <c r="N298" s="95"/>
      <c r="S298" s="17"/>
      <c r="U298" s="18"/>
      <c r="V298" s="98">
        <v>1</v>
      </c>
      <c r="W298" s="20" t="str">
        <f t="shared" si="30"/>
        <v/>
      </c>
      <c r="X298" s="20" t="str">
        <f t="shared" si="31"/>
        <v/>
      </c>
      <c r="Y298" s="54"/>
    </row>
    <row r="299" spans="1:25" ht="32" customHeight="1" x14ac:dyDescent="0.2">
      <c r="A299" s="12" t="s">
        <v>108</v>
      </c>
      <c r="B299" s="12" t="s">
        <v>558</v>
      </c>
      <c r="C299" s="13" t="s">
        <v>559</v>
      </c>
      <c r="D299" s="14"/>
      <c r="E299" s="12"/>
      <c r="F299" s="15"/>
      <c r="G299" s="16" t="s">
        <v>36</v>
      </c>
      <c r="H299" s="16"/>
      <c r="I299" s="16"/>
      <c r="J299" s="16"/>
      <c r="K299" s="16"/>
      <c r="L299" s="16"/>
      <c r="M299" s="16"/>
      <c r="N299" s="16"/>
      <c r="S299" s="17" t="s">
        <v>38</v>
      </c>
      <c r="U299" s="18">
        <v>19.828245162963871</v>
      </c>
      <c r="V299" s="98">
        <v>1</v>
      </c>
      <c r="W299" s="20">
        <f t="shared" si="30"/>
        <v>19.828245162963871</v>
      </c>
      <c r="X299" s="20">
        <f t="shared" si="31"/>
        <v>19.828245162963871</v>
      </c>
    </row>
    <row r="300" spans="1:25" ht="48" customHeight="1" x14ac:dyDescent="0.2">
      <c r="A300" s="12" t="s">
        <v>560</v>
      </c>
      <c r="B300" s="12" t="s">
        <v>561</v>
      </c>
      <c r="C300" s="13" t="s">
        <v>562</v>
      </c>
      <c r="D300" s="14"/>
      <c r="E300" s="12" t="s">
        <v>563</v>
      </c>
      <c r="F300" s="15"/>
      <c r="G300" s="16" t="s">
        <v>36</v>
      </c>
      <c r="H300" s="16"/>
      <c r="I300" s="42" t="s">
        <v>323</v>
      </c>
      <c r="J300" s="16"/>
      <c r="K300" s="16" t="s">
        <v>564</v>
      </c>
      <c r="L300" s="16"/>
      <c r="M300" s="16"/>
      <c r="N300" s="16"/>
      <c r="S300" s="17" t="s">
        <v>38</v>
      </c>
      <c r="U300" s="18">
        <v>49.529693603515618</v>
      </c>
      <c r="V300" s="98">
        <v>1</v>
      </c>
      <c r="W300" s="20">
        <f t="shared" si="30"/>
        <v>49.529693603515618</v>
      </c>
      <c r="X300" s="20">
        <f t="shared" si="31"/>
        <v>49.529693603515618</v>
      </c>
    </row>
    <row r="301" spans="1:25" ht="16" customHeight="1" x14ac:dyDescent="0.2">
      <c r="A301" s="12" t="s">
        <v>57</v>
      </c>
      <c r="B301" s="12" t="s">
        <v>565</v>
      </c>
      <c r="C301" s="39" t="s">
        <v>259</v>
      </c>
      <c r="D301" s="40"/>
      <c r="E301" s="21" t="s">
        <v>260</v>
      </c>
      <c r="F301" s="15"/>
      <c r="G301" s="16" t="s">
        <v>36</v>
      </c>
      <c r="H301" s="16"/>
      <c r="I301" s="16"/>
      <c r="J301" s="16"/>
      <c r="K301" s="16" t="s">
        <v>566</v>
      </c>
      <c r="L301" s="16"/>
      <c r="M301" s="16"/>
      <c r="N301" s="16"/>
      <c r="S301" s="17" t="s">
        <v>38</v>
      </c>
      <c r="U301" s="18"/>
      <c r="V301" s="98">
        <v>1</v>
      </c>
      <c r="W301" s="20" t="str">
        <f t="shared" si="30"/>
        <v/>
      </c>
      <c r="X301" s="20" t="str">
        <f t="shared" si="31"/>
        <v/>
      </c>
    </row>
    <row r="302" spans="1:25" x14ac:dyDescent="0.2">
      <c r="D302" s="14"/>
      <c r="F302" s="15"/>
      <c r="U302" s="18"/>
      <c r="V302" s="98">
        <v>1</v>
      </c>
      <c r="W302" s="20" t="str">
        <f t="shared" si="30"/>
        <v/>
      </c>
      <c r="X302" s="20" t="str">
        <f t="shared" si="31"/>
        <v/>
      </c>
    </row>
    <row r="303" spans="1:25" s="21" customFormat="1" ht="32" customHeight="1" x14ac:dyDescent="0.2">
      <c r="A303" s="38" t="s">
        <v>567</v>
      </c>
      <c r="B303" s="38" t="s">
        <v>568</v>
      </c>
      <c r="C303" s="39" t="s">
        <v>569</v>
      </c>
      <c r="D303" s="40"/>
      <c r="E303" s="38" t="s">
        <v>570</v>
      </c>
      <c r="F303" s="41"/>
      <c r="G303" s="42" t="s">
        <v>36</v>
      </c>
      <c r="H303" s="42"/>
      <c r="I303" s="42" t="s">
        <v>571</v>
      </c>
      <c r="J303" s="42"/>
      <c r="K303" s="42"/>
      <c r="L303" s="42"/>
      <c r="M303" s="42"/>
      <c r="N303" s="42"/>
      <c r="S303" s="21" t="s">
        <v>46</v>
      </c>
      <c r="U303" s="18">
        <v>22.029750823974609</v>
      </c>
      <c r="V303" s="98">
        <v>1</v>
      </c>
      <c r="W303" s="20">
        <f t="shared" si="30"/>
        <v>22.029750823974609</v>
      </c>
      <c r="X303" s="20" t="str">
        <f t="shared" si="31"/>
        <v/>
      </c>
    </row>
    <row r="304" spans="1:25" s="21" customFormat="1" ht="16" customHeight="1" x14ac:dyDescent="0.2">
      <c r="A304" s="38" t="s">
        <v>57</v>
      </c>
      <c r="B304" s="38" t="s">
        <v>572</v>
      </c>
      <c r="C304" s="39" t="s">
        <v>259</v>
      </c>
      <c r="D304" s="40"/>
      <c r="E304" s="38" t="s">
        <v>260</v>
      </c>
      <c r="F304" s="41"/>
      <c r="G304" s="42" t="s">
        <v>36</v>
      </c>
      <c r="H304" s="42"/>
      <c r="I304" s="42"/>
      <c r="J304" s="42"/>
      <c r="K304" s="42" t="s">
        <v>573</v>
      </c>
      <c r="L304" s="42"/>
      <c r="M304" s="42"/>
      <c r="N304" s="42"/>
      <c r="S304" s="21" t="s">
        <v>46</v>
      </c>
      <c r="U304" s="18"/>
      <c r="V304" s="98">
        <v>1</v>
      </c>
      <c r="W304" s="20" t="str">
        <f t="shared" si="30"/>
        <v/>
      </c>
      <c r="X304" s="20" t="str">
        <f t="shared" si="31"/>
        <v/>
      </c>
    </row>
    <row r="305" spans="1:25" s="222" customFormat="1" ht="16" hidden="1" customHeight="1" x14ac:dyDescent="0.2">
      <c r="A305" s="227" t="s">
        <v>574</v>
      </c>
      <c r="B305" s="227" t="s">
        <v>575</v>
      </c>
      <c r="C305" s="228" t="s">
        <v>576</v>
      </c>
      <c r="D305" s="229"/>
      <c r="E305" s="227" t="s">
        <v>577</v>
      </c>
      <c r="F305" s="230"/>
      <c r="G305" s="231" t="s">
        <v>36</v>
      </c>
      <c r="H305" s="231"/>
      <c r="I305" s="231"/>
      <c r="J305" s="231"/>
      <c r="K305" s="231" t="s">
        <v>578</v>
      </c>
      <c r="L305" s="231"/>
      <c r="M305" s="231"/>
      <c r="N305" s="231"/>
      <c r="S305" s="222" t="s">
        <v>46</v>
      </c>
      <c r="U305" s="224">
        <v>17</v>
      </c>
      <c r="V305" s="242">
        <v>1</v>
      </c>
      <c r="W305" s="226">
        <f t="shared" si="30"/>
        <v>17</v>
      </c>
      <c r="X305" s="226" t="str">
        <f t="shared" si="31"/>
        <v/>
      </c>
    </row>
    <row r="306" spans="1:25" s="22" customFormat="1" x14ac:dyDescent="0.2">
      <c r="C306" s="23"/>
      <c r="D306" s="24"/>
      <c r="F306" s="25"/>
      <c r="G306" s="26"/>
      <c r="H306" s="26"/>
      <c r="I306" s="26"/>
      <c r="J306" s="26"/>
      <c r="K306" s="26"/>
      <c r="L306" s="26"/>
      <c r="M306" s="26"/>
      <c r="N306" s="26"/>
      <c r="P306" s="17"/>
      <c r="U306" s="18"/>
      <c r="V306" s="98">
        <v>1</v>
      </c>
      <c r="W306" s="20" t="str">
        <f t="shared" si="30"/>
        <v/>
      </c>
      <c r="X306" s="20" t="str">
        <f t="shared" si="31"/>
        <v/>
      </c>
      <c r="Y306" s="21"/>
    </row>
    <row r="307" spans="1:25" s="22" customFormat="1" ht="16" customHeight="1" x14ac:dyDescent="0.2">
      <c r="A307" s="22" t="s">
        <v>579</v>
      </c>
      <c r="B307" s="22" t="s">
        <v>580</v>
      </c>
      <c r="C307" s="23" t="s">
        <v>581</v>
      </c>
      <c r="D307" s="24"/>
      <c r="E307" s="22" t="s">
        <v>582</v>
      </c>
      <c r="F307" s="25"/>
      <c r="G307" s="26" t="s">
        <v>36</v>
      </c>
      <c r="H307" s="26"/>
      <c r="I307" s="77" t="s">
        <v>323</v>
      </c>
      <c r="J307" s="26"/>
      <c r="K307" s="77" t="s">
        <v>578</v>
      </c>
      <c r="L307" s="26"/>
      <c r="M307" s="26"/>
      <c r="N307" s="26"/>
      <c r="P307" s="17"/>
      <c r="U307" s="18"/>
      <c r="V307" s="98"/>
      <c r="W307" s="20"/>
      <c r="X307" s="20"/>
      <c r="Y307" s="21"/>
    </row>
    <row r="308" spans="1:25" s="22" customFormat="1" x14ac:dyDescent="0.2">
      <c r="C308" s="23"/>
      <c r="D308" s="24"/>
      <c r="F308" s="25"/>
      <c r="G308" s="26"/>
      <c r="H308" s="26"/>
      <c r="I308" s="26"/>
      <c r="J308" s="26"/>
      <c r="K308" s="26"/>
      <c r="L308" s="26"/>
      <c r="M308" s="26"/>
      <c r="N308" s="26"/>
      <c r="P308" s="17"/>
      <c r="U308" s="18"/>
      <c r="V308" s="98"/>
      <c r="W308" s="20"/>
      <c r="X308" s="20"/>
      <c r="Y308" s="21"/>
    </row>
    <row r="309" spans="1:25" ht="16" customHeight="1" thickBot="1" x14ac:dyDescent="0.25">
      <c r="A309" s="78" t="s">
        <v>112</v>
      </c>
      <c r="B309" s="78"/>
      <c r="C309" s="79"/>
      <c r="D309" s="80"/>
      <c r="E309" s="78"/>
      <c r="F309" s="81"/>
      <c r="G309" s="82"/>
      <c r="H309" s="82"/>
      <c r="I309" s="82"/>
      <c r="J309" s="82"/>
      <c r="K309" s="82"/>
      <c r="L309" s="82"/>
      <c r="M309" s="82"/>
      <c r="N309" s="82"/>
      <c r="U309" s="18"/>
      <c r="W309" s="20" t="str">
        <f t="shared" ref="W309:W321" si="32">IF(U309&lt;&gt;"",U309*V309,"")</f>
        <v/>
      </c>
      <c r="X309" s="20" t="str">
        <f t="shared" ref="X309:X321" si="33">IF(AND(U309&lt;&gt;"",S309="yes"),U309*V309,"")</f>
        <v/>
      </c>
    </row>
    <row r="310" spans="1:25" s="53" customFormat="1" ht="17" customHeight="1" thickTop="1" x14ac:dyDescent="0.2">
      <c r="A310" s="48" t="s">
        <v>53</v>
      </c>
      <c r="B310" s="48" t="s">
        <v>583</v>
      </c>
      <c r="C310" s="49" t="s">
        <v>584</v>
      </c>
      <c r="D310" s="50"/>
      <c r="E310" s="48"/>
      <c r="F310" s="51"/>
      <c r="G310" s="52" t="s">
        <v>45</v>
      </c>
      <c r="H310" s="52"/>
      <c r="I310" s="52"/>
      <c r="J310" s="52"/>
      <c r="K310" s="52" t="s">
        <v>115</v>
      </c>
      <c r="L310" s="52"/>
      <c r="M310" s="52"/>
      <c r="N310" s="52"/>
      <c r="S310" s="17" t="s">
        <v>38</v>
      </c>
      <c r="U310" s="18"/>
      <c r="V310" s="19"/>
      <c r="W310" s="20" t="str">
        <f t="shared" si="32"/>
        <v/>
      </c>
      <c r="X310" s="20" t="str">
        <f t="shared" si="33"/>
        <v/>
      </c>
      <c r="Y310" s="54"/>
    </row>
    <row r="311" spans="1:25" s="53" customFormat="1" x14ac:dyDescent="0.2">
      <c r="C311" s="94"/>
      <c r="D311" s="50"/>
      <c r="F311" s="51"/>
      <c r="G311" s="95"/>
      <c r="H311" s="95"/>
      <c r="I311" s="95"/>
      <c r="J311" s="95"/>
      <c r="K311" s="95"/>
      <c r="L311" s="95"/>
      <c r="M311" s="95"/>
      <c r="N311" s="95"/>
      <c r="S311" s="17"/>
      <c r="U311" s="18"/>
      <c r="V311" s="98">
        <v>1</v>
      </c>
      <c r="W311" s="20" t="str">
        <f t="shared" si="32"/>
        <v/>
      </c>
      <c r="X311" s="20" t="str">
        <f t="shared" si="33"/>
        <v/>
      </c>
      <c r="Y311" s="54"/>
    </row>
    <row r="312" spans="1:25" ht="32" customHeight="1" x14ac:dyDescent="0.2">
      <c r="A312" s="12" t="s">
        <v>47</v>
      </c>
      <c r="B312" s="12" t="s">
        <v>585</v>
      </c>
      <c r="C312" s="13" t="s">
        <v>586</v>
      </c>
      <c r="D312" s="14"/>
      <c r="E312" s="12"/>
      <c r="F312" s="15"/>
      <c r="G312" s="16" t="s">
        <v>36</v>
      </c>
      <c r="H312" s="16"/>
      <c r="I312" s="16"/>
      <c r="J312" s="16"/>
      <c r="K312" s="16"/>
      <c r="L312" s="16"/>
      <c r="M312" s="16"/>
      <c r="N312" s="16"/>
      <c r="S312" s="17" t="s">
        <v>38</v>
      </c>
      <c r="U312" s="18">
        <v>36.783046722412109</v>
      </c>
      <c r="V312" s="98">
        <v>1</v>
      </c>
      <c r="W312" s="20">
        <f t="shared" si="32"/>
        <v>36.783046722412109</v>
      </c>
      <c r="X312" s="20">
        <f t="shared" si="33"/>
        <v>36.783046722412109</v>
      </c>
    </row>
    <row r="313" spans="1:25" x14ac:dyDescent="0.2">
      <c r="D313" s="14"/>
      <c r="F313" s="15"/>
      <c r="U313" s="18"/>
      <c r="V313" s="98">
        <v>1</v>
      </c>
      <c r="W313" s="20" t="str">
        <f t="shared" si="32"/>
        <v/>
      </c>
      <c r="X313" s="20" t="str">
        <f t="shared" si="33"/>
        <v/>
      </c>
    </row>
    <row r="314" spans="1:25" s="22" customFormat="1" ht="16" customHeight="1" x14ac:dyDescent="0.2">
      <c r="A314" s="58" t="s">
        <v>587</v>
      </c>
      <c r="B314" s="58" t="s">
        <v>588</v>
      </c>
      <c r="C314" s="105" t="s">
        <v>589</v>
      </c>
      <c r="D314" s="60"/>
      <c r="E314" s="58" t="s">
        <v>590</v>
      </c>
      <c r="F314" s="62"/>
      <c r="G314" s="63" t="s">
        <v>36</v>
      </c>
      <c r="H314" s="63"/>
      <c r="I314" s="106"/>
      <c r="J314" s="63"/>
      <c r="K314" s="63" t="s">
        <v>591</v>
      </c>
      <c r="L314" s="56"/>
      <c r="M314" s="56"/>
      <c r="N314" s="56"/>
      <c r="S314" s="61" t="s">
        <v>78</v>
      </c>
      <c r="U314" s="18">
        <v>10</v>
      </c>
      <c r="V314" s="98">
        <v>1</v>
      </c>
      <c r="W314" s="20">
        <f t="shared" si="32"/>
        <v>10</v>
      </c>
      <c r="X314" s="20" t="str">
        <f t="shared" si="33"/>
        <v/>
      </c>
      <c r="Y314" s="21"/>
    </row>
    <row r="315" spans="1:25" s="22" customFormat="1" ht="16" customHeight="1" x14ac:dyDescent="0.2">
      <c r="A315" s="58" t="s">
        <v>592</v>
      </c>
      <c r="B315" s="58" t="s">
        <v>593</v>
      </c>
      <c r="C315" s="105" t="s">
        <v>594</v>
      </c>
      <c r="D315" s="60"/>
      <c r="E315" s="58" t="s">
        <v>590</v>
      </c>
      <c r="F315" s="62"/>
      <c r="G315" s="63" t="s">
        <v>36</v>
      </c>
      <c r="H315" s="63"/>
      <c r="I315" s="106"/>
      <c r="J315" s="63"/>
      <c r="K315" s="63" t="s">
        <v>591</v>
      </c>
      <c r="L315" s="56"/>
      <c r="M315" s="56"/>
      <c r="N315" s="56"/>
      <c r="S315" s="61" t="s">
        <v>78</v>
      </c>
      <c r="U315" s="18">
        <v>10</v>
      </c>
      <c r="V315" s="98">
        <v>1</v>
      </c>
      <c r="W315" s="20">
        <f t="shared" si="32"/>
        <v>10</v>
      </c>
      <c r="X315" s="20" t="str">
        <f t="shared" si="33"/>
        <v/>
      </c>
      <c r="Y315" s="21"/>
    </row>
    <row r="316" spans="1:25" s="22" customFormat="1" x14ac:dyDescent="0.2">
      <c r="C316" s="23"/>
      <c r="D316" s="24"/>
      <c r="F316" s="25"/>
      <c r="G316" s="26"/>
      <c r="H316" s="26"/>
      <c r="I316" s="26"/>
      <c r="J316" s="26"/>
      <c r="K316" s="26"/>
      <c r="L316" s="26"/>
      <c r="M316" s="26"/>
      <c r="N316" s="26"/>
      <c r="U316" s="18"/>
      <c r="V316" s="98">
        <v>1</v>
      </c>
      <c r="W316" s="20" t="str">
        <f t="shared" si="32"/>
        <v/>
      </c>
      <c r="X316" s="20" t="str">
        <f t="shared" si="33"/>
        <v/>
      </c>
      <c r="Y316" s="21"/>
    </row>
    <row r="317" spans="1:25" ht="16" customHeight="1" x14ac:dyDescent="0.2">
      <c r="A317" s="12" t="s">
        <v>595</v>
      </c>
      <c r="B317" s="12" t="s">
        <v>596</v>
      </c>
      <c r="C317" s="13" t="s">
        <v>597</v>
      </c>
      <c r="D317" s="14"/>
      <c r="E317" s="12"/>
      <c r="F317" s="15"/>
      <c r="G317" s="16" t="s">
        <v>36</v>
      </c>
      <c r="H317" s="16"/>
      <c r="I317" s="16"/>
      <c r="J317" s="16"/>
      <c r="K317" s="16"/>
      <c r="L317" s="16"/>
      <c r="M317" s="16"/>
      <c r="N317" s="16"/>
      <c r="S317" s="17" t="s">
        <v>38</v>
      </c>
      <c r="U317" s="18">
        <v>3</v>
      </c>
      <c r="V317" s="98">
        <v>1</v>
      </c>
      <c r="W317" s="20">
        <f t="shared" si="32"/>
        <v>3</v>
      </c>
      <c r="X317" s="20">
        <f t="shared" si="33"/>
        <v>3</v>
      </c>
    </row>
    <row r="318" spans="1:25" x14ac:dyDescent="0.2">
      <c r="D318" s="14"/>
      <c r="F318" s="15"/>
      <c r="U318" s="18"/>
      <c r="V318" s="98">
        <v>1</v>
      </c>
      <c r="W318" s="20" t="str">
        <f t="shared" si="32"/>
        <v/>
      </c>
      <c r="X318" s="20" t="str">
        <f t="shared" si="33"/>
        <v/>
      </c>
    </row>
    <row r="319" spans="1:25" ht="16" customHeight="1" x14ac:dyDescent="0.2">
      <c r="A319" s="12" t="s">
        <v>41</v>
      </c>
      <c r="B319" s="12" t="s">
        <v>598</v>
      </c>
      <c r="C319" s="13" t="s">
        <v>599</v>
      </c>
      <c r="D319" s="14"/>
      <c r="E319" s="12"/>
      <c r="F319" s="15"/>
      <c r="G319" s="16" t="s">
        <v>45</v>
      </c>
      <c r="H319" s="16"/>
      <c r="I319" s="16"/>
      <c r="J319" s="16"/>
      <c r="K319" s="16"/>
      <c r="L319" s="16"/>
      <c r="M319" s="16"/>
      <c r="N319" s="16"/>
      <c r="S319" s="17" t="s">
        <v>46</v>
      </c>
      <c r="U319" s="18">
        <v>0</v>
      </c>
      <c r="V319" s="98">
        <v>1</v>
      </c>
      <c r="W319" s="20">
        <f t="shared" si="32"/>
        <v>0</v>
      </c>
      <c r="X319" s="20" t="str">
        <f t="shared" si="33"/>
        <v/>
      </c>
    </row>
    <row r="320" spans="1:25" x14ac:dyDescent="0.2">
      <c r="D320" s="14"/>
      <c r="F320" s="15"/>
      <c r="U320" s="18"/>
      <c r="V320" s="98">
        <v>1</v>
      </c>
      <c r="W320" s="20" t="str">
        <f t="shared" si="32"/>
        <v/>
      </c>
      <c r="X320" s="20" t="str">
        <f t="shared" si="33"/>
        <v/>
      </c>
    </row>
    <row r="321" spans="1:24" ht="16" customHeight="1" thickBot="1" x14ac:dyDescent="0.25">
      <c r="A321" s="78" t="s">
        <v>112</v>
      </c>
      <c r="B321" s="78"/>
      <c r="C321" s="79"/>
      <c r="D321" s="80"/>
      <c r="E321" s="78"/>
      <c r="F321" s="81"/>
      <c r="G321" s="82"/>
      <c r="H321" s="82"/>
      <c r="I321" s="82"/>
      <c r="J321" s="82"/>
      <c r="K321" s="82"/>
      <c r="L321" s="82"/>
      <c r="M321" s="82"/>
      <c r="N321" s="82"/>
      <c r="U321" s="18"/>
      <c r="W321" s="20" t="str">
        <f t="shared" si="32"/>
        <v/>
      </c>
      <c r="X321" s="20" t="str">
        <f t="shared" si="33"/>
        <v/>
      </c>
    </row>
    <row r="322" spans="1:24" s="22" customFormat="1" ht="16" customHeight="1" thickTop="1" x14ac:dyDescent="0.2">
      <c r="C322" s="23"/>
      <c r="D322" s="23"/>
      <c r="G322" s="26"/>
      <c r="H322" s="26"/>
      <c r="I322" s="26"/>
      <c r="J322" s="26"/>
      <c r="K322" s="26"/>
      <c r="L322" s="26"/>
      <c r="M322" s="26"/>
      <c r="N322" s="26"/>
      <c r="U322" s="18"/>
      <c r="V322" s="28"/>
      <c r="W322" s="29"/>
    </row>
    <row r="323" spans="1:24" ht="16" customHeight="1" x14ac:dyDescent="0.2">
      <c r="A323" s="12" t="s">
        <v>600</v>
      </c>
      <c r="B323" s="12" t="s">
        <v>601</v>
      </c>
      <c r="C323" s="13" t="s">
        <v>602</v>
      </c>
      <c r="E323" s="12"/>
      <c r="G323" s="16" t="s">
        <v>36</v>
      </c>
      <c r="H323" s="16"/>
      <c r="I323" s="16"/>
      <c r="J323" s="16"/>
      <c r="K323" s="16" t="s">
        <v>56</v>
      </c>
      <c r="L323" s="16"/>
      <c r="M323" s="16"/>
      <c r="N323" s="16"/>
      <c r="S323" s="17" t="s">
        <v>46</v>
      </c>
      <c r="U323" s="18"/>
      <c r="W323" s="20"/>
    </row>
    <row r="324" spans="1:24" s="22" customFormat="1" ht="16" customHeight="1" x14ac:dyDescent="0.2">
      <c r="A324" s="22" t="s">
        <v>57</v>
      </c>
      <c r="B324" s="22" t="s">
        <v>603</v>
      </c>
      <c r="C324" s="23" t="s">
        <v>604</v>
      </c>
      <c r="D324" s="24"/>
      <c r="E324" s="22" t="s">
        <v>605</v>
      </c>
      <c r="F324" s="25"/>
      <c r="G324" s="26" t="s">
        <v>45</v>
      </c>
      <c r="H324" s="26"/>
      <c r="I324" s="26"/>
      <c r="J324" s="26"/>
      <c r="K324" s="26"/>
      <c r="L324" s="26"/>
      <c r="M324" s="26"/>
      <c r="N324" s="26"/>
      <c r="S324" s="22" t="s">
        <v>46</v>
      </c>
      <c r="U324" s="18"/>
      <c r="V324" s="98"/>
      <c r="W324" s="20"/>
      <c r="X324" s="20" t="str">
        <f>IF(AND(U324&lt;&gt;"",S324="yes"),U324*V324,"")</f>
        <v/>
      </c>
    </row>
    <row r="325" spans="1:24" x14ac:dyDescent="0.2">
      <c r="A325" s="12" t="s">
        <v>24</v>
      </c>
      <c r="B325" s="12" t="s">
        <v>606</v>
      </c>
      <c r="C325" s="13"/>
      <c r="E325" s="12"/>
      <c r="G325" s="16" t="s">
        <v>45</v>
      </c>
      <c r="H325" s="16"/>
      <c r="I325" s="16"/>
      <c r="J325" s="16"/>
      <c r="K325" s="16"/>
      <c r="L325" s="16"/>
      <c r="M325" s="16"/>
      <c r="N325" s="16" t="s">
        <v>607</v>
      </c>
      <c r="S325" s="17" t="s">
        <v>46</v>
      </c>
      <c r="U325" s="18"/>
    </row>
    <row r="326" spans="1:24" x14ac:dyDescent="0.2">
      <c r="U326" s="18"/>
    </row>
    <row r="330" spans="1:24" ht="16" customHeight="1" thickBot="1" x14ac:dyDescent="0.25"/>
    <row r="331" spans="1:24" ht="17" customHeight="1" thickBot="1" x14ac:dyDescent="0.25">
      <c r="Q331" s="107" t="s">
        <v>608</v>
      </c>
      <c r="R331" s="108"/>
      <c r="S331" s="108"/>
      <c r="T331" s="108"/>
      <c r="U331" s="109"/>
      <c r="V331" s="110"/>
      <c r="W331" s="111">
        <f>(SUM(W4:W319)/60)</f>
        <v>24.106047242043839</v>
      </c>
      <c r="X331" s="111">
        <f>(SUM(X4:X47)+AVERAGE(X48:X48)+SUM(X49:X319))/60</f>
        <v>17.032213804285778</v>
      </c>
    </row>
  </sheetData>
  <conditionalFormatting sqref="B56:C56 H56:I61 A57:C61 B62:C62">
    <cfRule type="containsText" dxfId="3" priority="5" operator="containsText" text="repeat">
      <formula>NOT(ISERROR(SEARCH("repeat",A56)))</formula>
    </cfRule>
    <cfRule type="containsText" dxfId="2" priority="6" operator="containsText" text="group">
      <formula>NOT(ISERROR(SEARCH("group",A56)))</formula>
    </cfRule>
  </conditionalFormatting>
  <conditionalFormatting sqref="E56">
    <cfRule type="containsText" dxfId="1" priority="1" operator="containsText" text="repeat">
      <formula>NOT(ISERROR(SEARCH("repeat",E56)))</formula>
    </cfRule>
    <cfRule type="containsText" dxfId="0" priority="2" operator="containsText" text="group">
      <formula>NOT(ISERROR(SEARCH("group",E56)))</formula>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62"/>
  <sheetViews>
    <sheetView tabSelected="1" zoomScale="110" zoomScaleNormal="110" workbookViewId="0">
      <pane ySplit="1" topLeftCell="A2421" activePane="bottomLeft" state="frozen"/>
      <selection pane="bottomLeft" activeCell="G2434" sqref="G2434"/>
    </sheetView>
  </sheetViews>
  <sheetFormatPr baseColWidth="10" defaultColWidth="8.83203125" defaultRowHeight="15" x14ac:dyDescent="0.2"/>
  <cols>
    <col min="1" max="1" width="22.83203125" style="114" customWidth="1"/>
    <col min="2" max="2" width="30" style="114" customWidth="1"/>
    <col min="3" max="3" width="27.1640625" style="114" customWidth="1"/>
    <col min="4" max="4" width="20" style="114" customWidth="1"/>
    <col min="5" max="5" width="16.1640625" style="114" customWidth="1"/>
    <col min="6" max="6" width="8.83203125" style="114" customWidth="1"/>
    <col min="7" max="16384" width="8.83203125" style="114"/>
  </cols>
  <sheetData>
    <row r="1" spans="1:5" x14ac:dyDescent="0.2">
      <c r="A1" s="112" t="s">
        <v>609</v>
      </c>
      <c r="B1" s="112" t="s">
        <v>1</v>
      </c>
      <c r="C1" s="112" t="s">
        <v>2</v>
      </c>
      <c r="D1" s="113" t="s">
        <v>3</v>
      </c>
      <c r="E1" s="112" t="s">
        <v>610</v>
      </c>
    </row>
    <row r="2" spans="1:5" s="115" customFormat="1" x14ac:dyDescent="0.2">
      <c r="A2" s="115" t="s">
        <v>611</v>
      </c>
      <c r="B2" s="116">
        <v>1</v>
      </c>
      <c r="C2" s="116" t="s">
        <v>612</v>
      </c>
      <c r="D2" s="117"/>
      <c r="E2" s="118"/>
    </row>
    <row r="3" spans="1:5" s="115" customFormat="1" x14ac:dyDescent="0.2">
      <c r="A3" s="115" t="s">
        <v>611</v>
      </c>
      <c r="B3" s="116">
        <v>2</v>
      </c>
      <c r="C3" s="116" t="s">
        <v>613</v>
      </c>
      <c r="D3" s="117"/>
      <c r="E3" s="118"/>
    </row>
    <row r="4" spans="1:5" s="115" customFormat="1" x14ac:dyDescent="0.2">
      <c r="A4" s="115" t="s">
        <v>611</v>
      </c>
      <c r="B4" s="116">
        <v>3</v>
      </c>
      <c r="C4" s="116" t="s">
        <v>614</v>
      </c>
      <c r="D4" s="117"/>
      <c r="E4" s="118"/>
    </row>
    <row r="5" spans="1:5" s="115" customFormat="1" x14ac:dyDescent="0.2">
      <c r="A5" s="115" t="s">
        <v>611</v>
      </c>
      <c r="B5" s="116">
        <v>4</v>
      </c>
      <c r="C5" s="116" t="s">
        <v>615</v>
      </c>
      <c r="D5" s="117"/>
      <c r="E5" s="118"/>
    </row>
    <row r="6" spans="1:5" x14ac:dyDescent="0.2">
      <c r="A6" s="119"/>
      <c r="B6" s="119"/>
      <c r="C6" s="119"/>
      <c r="D6" s="113"/>
      <c r="E6" s="119"/>
    </row>
    <row r="7" spans="1:5" x14ac:dyDescent="0.2">
      <c r="A7" t="s">
        <v>34</v>
      </c>
      <c r="B7" s="114">
        <v>1</v>
      </c>
      <c r="C7" s="120" t="s">
        <v>616</v>
      </c>
      <c r="D7" s="121"/>
      <c r="E7" s="122"/>
    </row>
    <row r="8" spans="1:5" x14ac:dyDescent="0.2">
      <c r="A8" t="s">
        <v>34</v>
      </c>
      <c r="B8" s="114">
        <v>2</v>
      </c>
      <c r="C8" s="120" t="s">
        <v>617</v>
      </c>
      <c r="D8" s="121"/>
      <c r="E8" s="122"/>
    </row>
    <row r="9" spans="1:5" x14ac:dyDescent="0.2">
      <c r="A9" t="s">
        <v>34</v>
      </c>
      <c r="B9" s="114">
        <v>3</v>
      </c>
      <c r="C9" s="120" t="s">
        <v>618</v>
      </c>
      <c r="D9" s="121"/>
      <c r="E9" s="122"/>
    </row>
    <row r="10" spans="1:5" x14ac:dyDescent="0.2">
      <c r="D10" s="121"/>
    </row>
    <row r="11" spans="1:5" x14ac:dyDescent="0.2">
      <c r="A11" t="s">
        <v>619</v>
      </c>
      <c r="B11">
        <v>1</v>
      </c>
      <c r="C11" t="s">
        <v>620</v>
      </c>
      <c r="D11" s="121"/>
    </row>
    <row r="12" spans="1:5" x14ac:dyDescent="0.2">
      <c r="A12" t="s">
        <v>619</v>
      </c>
      <c r="B12">
        <v>2</v>
      </c>
      <c r="C12" t="s">
        <v>621</v>
      </c>
      <c r="D12" s="121"/>
    </row>
    <row r="13" spans="1:5" x14ac:dyDescent="0.2">
      <c r="A13" t="s">
        <v>619</v>
      </c>
      <c r="B13" s="123">
        <v>3</v>
      </c>
      <c r="C13" t="s">
        <v>622</v>
      </c>
      <c r="D13" s="121"/>
    </row>
    <row r="14" spans="1:5" x14ac:dyDescent="0.2">
      <c r="A14" t="s">
        <v>619</v>
      </c>
      <c r="B14" s="123">
        <v>4</v>
      </c>
      <c r="C14" t="s">
        <v>623</v>
      </c>
      <c r="D14" s="121"/>
    </row>
    <row r="15" spans="1:5" x14ac:dyDescent="0.2">
      <c r="D15" s="121"/>
    </row>
    <row r="16" spans="1:5" x14ac:dyDescent="0.2">
      <c r="A16" t="s">
        <v>624</v>
      </c>
      <c r="B16" t="s">
        <v>624</v>
      </c>
      <c r="C16" t="s">
        <v>624</v>
      </c>
      <c r="D16" s="121"/>
    </row>
    <row r="17" spans="1:4" x14ac:dyDescent="0.2">
      <c r="D17" s="121"/>
    </row>
    <row r="18" spans="1:4" x14ac:dyDescent="0.2">
      <c r="A18" t="s">
        <v>625</v>
      </c>
      <c r="B18">
        <v>1</v>
      </c>
      <c r="C18" t="s">
        <v>626</v>
      </c>
      <c r="D18" s="121"/>
    </row>
    <row r="19" spans="1:4" x14ac:dyDescent="0.2">
      <c r="A19" t="s">
        <v>625</v>
      </c>
      <c r="B19">
        <v>2</v>
      </c>
      <c r="C19" t="s">
        <v>627</v>
      </c>
      <c r="D19" s="121"/>
    </row>
    <row r="20" spans="1:4" x14ac:dyDescent="0.2">
      <c r="D20" s="121"/>
    </row>
    <row r="21" spans="1:4" s="126" customFormat="1" x14ac:dyDescent="0.2">
      <c r="A21" s="124" t="s">
        <v>628</v>
      </c>
      <c r="B21" s="124" t="s">
        <v>629</v>
      </c>
      <c r="C21" s="124" t="s">
        <v>630</v>
      </c>
      <c r="D21" s="125"/>
    </row>
    <row r="22" spans="1:4" s="126" customFormat="1" x14ac:dyDescent="0.2">
      <c r="A22" s="127" t="s">
        <v>628</v>
      </c>
      <c r="B22" s="120" t="s">
        <v>631</v>
      </c>
      <c r="C22" s="120" t="s">
        <v>632</v>
      </c>
      <c r="D22" s="125"/>
    </row>
    <row r="23" spans="1:4" x14ac:dyDescent="0.2">
      <c r="D23" s="121"/>
    </row>
    <row r="24" spans="1:4" x14ac:dyDescent="0.2">
      <c r="A24" t="s">
        <v>633</v>
      </c>
      <c r="B24">
        <v>1</v>
      </c>
      <c r="C24" t="s">
        <v>634</v>
      </c>
      <c r="D24" s="121"/>
    </row>
    <row r="25" spans="1:4" x14ac:dyDescent="0.2">
      <c r="A25" t="s">
        <v>633</v>
      </c>
      <c r="B25">
        <v>2</v>
      </c>
      <c r="C25" t="s">
        <v>635</v>
      </c>
      <c r="D25" s="121"/>
    </row>
    <row r="26" spans="1:4" x14ac:dyDescent="0.2">
      <c r="A26" t="s">
        <v>633</v>
      </c>
      <c r="B26" s="123">
        <v>3</v>
      </c>
      <c r="C26" s="124" t="s">
        <v>622</v>
      </c>
      <c r="D26" s="121"/>
    </row>
    <row r="27" spans="1:4" x14ac:dyDescent="0.2">
      <c r="A27" t="s">
        <v>633</v>
      </c>
      <c r="B27" s="123">
        <v>4</v>
      </c>
      <c r="C27" s="124" t="s">
        <v>623</v>
      </c>
      <c r="D27" s="121"/>
    </row>
    <row r="28" spans="1:4" x14ac:dyDescent="0.2">
      <c r="C28" s="127"/>
      <c r="D28" s="121"/>
    </row>
    <row r="29" spans="1:4" x14ac:dyDescent="0.2">
      <c r="A29" t="s">
        <v>636</v>
      </c>
      <c r="B29">
        <v>1</v>
      </c>
      <c r="C29" s="124" t="s">
        <v>637</v>
      </c>
      <c r="D29" s="121"/>
    </row>
    <row r="30" spans="1:4" x14ac:dyDescent="0.2">
      <c r="A30" t="s">
        <v>636</v>
      </c>
      <c r="B30">
        <v>2</v>
      </c>
      <c r="C30" s="114" t="s">
        <v>638</v>
      </c>
      <c r="D30" s="121"/>
    </row>
    <row r="31" spans="1:4" x14ac:dyDescent="0.2">
      <c r="A31" t="s">
        <v>636</v>
      </c>
      <c r="B31">
        <v>3</v>
      </c>
      <c r="C31" s="124" t="s">
        <v>639</v>
      </c>
      <c r="D31" s="121"/>
    </row>
    <row r="32" spans="1:4" x14ac:dyDescent="0.2">
      <c r="A32" t="s">
        <v>636</v>
      </c>
      <c r="B32">
        <v>4</v>
      </c>
      <c r="C32" s="124" t="s">
        <v>621</v>
      </c>
      <c r="D32" s="121"/>
    </row>
    <row r="33" spans="1:4" x14ac:dyDescent="0.2">
      <c r="C33" s="127"/>
      <c r="D33" s="121"/>
    </row>
    <row r="34" spans="1:4" x14ac:dyDescent="0.2">
      <c r="A34" t="s">
        <v>640</v>
      </c>
      <c r="B34">
        <v>1</v>
      </c>
      <c r="C34" t="s">
        <v>641</v>
      </c>
      <c r="D34" s="121"/>
    </row>
    <row r="35" spans="1:4" x14ac:dyDescent="0.2">
      <c r="A35" t="s">
        <v>640</v>
      </c>
      <c r="B35">
        <v>2</v>
      </c>
      <c r="C35" t="s">
        <v>642</v>
      </c>
      <c r="D35" s="121"/>
    </row>
    <row r="36" spans="1:4" x14ac:dyDescent="0.2">
      <c r="A36" t="s">
        <v>640</v>
      </c>
      <c r="B36">
        <v>3</v>
      </c>
      <c r="C36" t="s">
        <v>643</v>
      </c>
      <c r="D36" s="121"/>
    </row>
    <row r="37" spans="1:4" x14ac:dyDescent="0.2">
      <c r="A37" t="s">
        <v>640</v>
      </c>
      <c r="B37">
        <v>4</v>
      </c>
      <c r="C37" t="s">
        <v>627</v>
      </c>
      <c r="D37" s="121"/>
    </row>
    <row r="38" spans="1:4" x14ac:dyDescent="0.2">
      <c r="A38" t="s">
        <v>640</v>
      </c>
      <c r="B38" s="123">
        <v>5</v>
      </c>
      <c r="C38" s="124" t="s">
        <v>622</v>
      </c>
      <c r="D38" s="121"/>
    </row>
    <row r="39" spans="1:4" x14ac:dyDescent="0.2">
      <c r="A39" t="s">
        <v>640</v>
      </c>
      <c r="B39" s="123">
        <v>6</v>
      </c>
      <c r="C39" t="s">
        <v>623</v>
      </c>
      <c r="D39" s="121"/>
    </row>
    <row r="40" spans="1:4" x14ac:dyDescent="0.2">
      <c r="D40" s="121"/>
    </row>
    <row r="41" spans="1:4" x14ac:dyDescent="0.2">
      <c r="A41" t="s">
        <v>644</v>
      </c>
      <c r="B41">
        <v>1</v>
      </c>
      <c r="C41" s="124" t="s">
        <v>645</v>
      </c>
      <c r="D41" s="121"/>
    </row>
    <row r="42" spans="1:4" x14ac:dyDescent="0.2">
      <c r="A42" t="s">
        <v>644</v>
      </c>
      <c r="B42">
        <v>2</v>
      </c>
      <c r="C42" s="124" t="s">
        <v>646</v>
      </c>
      <c r="D42" s="121"/>
    </row>
    <row r="43" spans="1:4" x14ac:dyDescent="0.2">
      <c r="A43" t="s">
        <v>644</v>
      </c>
      <c r="B43">
        <v>3</v>
      </c>
      <c r="C43" s="124" t="s">
        <v>647</v>
      </c>
      <c r="D43" s="121"/>
    </row>
    <row r="44" spans="1:4" x14ac:dyDescent="0.2">
      <c r="A44" t="s">
        <v>644</v>
      </c>
      <c r="B44">
        <v>4</v>
      </c>
      <c r="C44" s="124" t="s">
        <v>648</v>
      </c>
      <c r="D44" s="121"/>
    </row>
    <row r="45" spans="1:4" x14ac:dyDescent="0.2">
      <c r="A45" t="s">
        <v>644</v>
      </c>
      <c r="B45">
        <v>5</v>
      </c>
      <c r="C45" s="124" t="s">
        <v>649</v>
      </c>
      <c r="D45" s="121"/>
    </row>
    <row r="46" spans="1:4" x14ac:dyDescent="0.2">
      <c r="A46" t="s">
        <v>644</v>
      </c>
      <c r="B46" s="123">
        <v>6</v>
      </c>
      <c r="C46" t="s">
        <v>622</v>
      </c>
      <c r="D46" s="121"/>
    </row>
    <row r="47" spans="1:4" x14ac:dyDescent="0.2">
      <c r="A47" t="s">
        <v>644</v>
      </c>
      <c r="B47" s="123">
        <v>7</v>
      </c>
      <c r="C47" t="s">
        <v>623</v>
      </c>
      <c r="D47" s="121"/>
    </row>
    <row r="48" spans="1:4" x14ac:dyDescent="0.2">
      <c r="B48" s="128"/>
      <c r="D48" s="121"/>
    </row>
    <row r="49" spans="1:4" x14ac:dyDescent="0.2">
      <c r="A49" t="s">
        <v>650</v>
      </c>
      <c r="B49" s="123">
        <v>1</v>
      </c>
      <c r="C49" t="s">
        <v>651</v>
      </c>
      <c r="D49" s="121"/>
    </row>
    <row r="50" spans="1:4" x14ac:dyDescent="0.2">
      <c r="A50" t="s">
        <v>650</v>
      </c>
      <c r="B50" s="123">
        <v>2</v>
      </c>
      <c r="C50" t="s">
        <v>652</v>
      </c>
      <c r="D50" s="121"/>
    </row>
    <row r="51" spans="1:4" x14ac:dyDescent="0.2">
      <c r="A51" t="s">
        <v>650</v>
      </c>
      <c r="B51" s="123">
        <v>3</v>
      </c>
      <c r="C51" t="s">
        <v>653</v>
      </c>
      <c r="D51" s="121"/>
    </row>
    <row r="52" spans="1:4" x14ac:dyDescent="0.2">
      <c r="A52" t="s">
        <v>650</v>
      </c>
      <c r="B52" s="123">
        <v>4</v>
      </c>
      <c r="C52" t="s">
        <v>654</v>
      </c>
      <c r="D52" s="121"/>
    </row>
    <row r="53" spans="1:4" x14ac:dyDescent="0.2">
      <c r="A53" t="s">
        <v>650</v>
      </c>
      <c r="B53" s="123">
        <v>5</v>
      </c>
      <c r="C53" t="s">
        <v>655</v>
      </c>
      <c r="D53" s="121"/>
    </row>
    <row r="54" spans="1:4" x14ac:dyDescent="0.2">
      <c r="A54" t="s">
        <v>650</v>
      </c>
      <c r="B54" s="123">
        <v>6</v>
      </c>
      <c r="C54" t="s">
        <v>656</v>
      </c>
      <c r="D54" s="121"/>
    </row>
    <row r="55" spans="1:4" x14ac:dyDescent="0.2">
      <c r="A55" t="s">
        <v>650</v>
      </c>
      <c r="B55" s="123">
        <v>7</v>
      </c>
      <c r="C55" t="s">
        <v>657</v>
      </c>
      <c r="D55" s="121"/>
    </row>
    <row r="56" spans="1:4" x14ac:dyDescent="0.2">
      <c r="A56" t="s">
        <v>650</v>
      </c>
      <c r="B56" s="123">
        <v>8</v>
      </c>
      <c r="C56" t="s">
        <v>658</v>
      </c>
      <c r="D56" s="121"/>
    </row>
    <row r="57" spans="1:4" x14ac:dyDescent="0.2">
      <c r="A57" t="s">
        <v>650</v>
      </c>
      <c r="B57" s="123">
        <v>9</v>
      </c>
      <c r="C57" t="s">
        <v>659</v>
      </c>
      <c r="D57" s="121"/>
    </row>
    <row r="58" spans="1:4" x14ac:dyDescent="0.2">
      <c r="A58" t="s">
        <v>650</v>
      </c>
      <c r="B58" s="123">
        <v>10</v>
      </c>
      <c r="C58" t="s">
        <v>660</v>
      </c>
      <c r="D58" s="121"/>
    </row>
    <row r="59" spans="1:4" x14ac:dyDescent="0.2">
      <c r="A59" t="s">
        <v>650</v>
      </c>
      <c r="B59" s="123">
        <v>11</v>
      </c>
      <c r="C59" t="s">
        <v>622</v>
      </c>
      <c r="D59" s="121"/>
    </row>
    <row r="60" spans="1:4" x14ac:dyDescent="0.2">
      <c r="A60" t="s">
        <v>650</v>
      </c>
      <c r="B60" s="123">
        <v>12</v>
      </c>
      <c r="C60" t="s">
        <v>623</v>
      </c>
      <c r="D60" s="121"/>
    </row>
    <row r="61" spans="1:4" x14ac:dyDescent="0.2">
      <c r="B61" s="128"/>
      <c r="D61" s="121"/>
    </row>
    <row r="62" spans="1:4" x14ac:dyDescent="0.2">
      <c r="A62" t="s">
        <v>661</v>
      </c>
      <c r="B62" s="123">
        <v>1</v>
      </c>
      <c r="C62" t="s">
        <v>662</v>
      </c>
      <c r="D62" s="121"/>
    </row>
    <row r="63" spans="1:4" x14ac:dyDescent="0.2">
      <c r="A63" t="s">
        <v>661</v>
      </c>
      <c r="B63" s="123">
        <v>2</v>
      </c>
      <c r="C63" t="s">
        <v>663</v>
      </c>
      <c r="D63" s="121"/>
    </row>
    <row r="64" spans="1:4" x14ac:dyDescent="0.2">
      <c r="A64" t="s">
        <v>661</v>
      </c>
      <c r="B64" s="123">
        <v>3</v>
      </c>
      <c r="C64" t="s">
        <v>664</v>
      </c>
      <c r="D64" s="121"/>
    </row>
    <row r="65" spans="1:4" x14ac:dyDescent="0.2">
      <c r="A65" t="s">
        <v>661</v>
      </c>
      <c r="B65" s="123">
        <v>4</v>
      </c>
      <c r="C65" t="s">
        <v>665</v>
      </c>
      <c r="D65" s="121"/>
    </row>
    <row r="66" spans="1:4" x14ac:dyDescent="0.2">
      <c r="A66" t="s">
        <v>661</v>
      </c>
      <c r="B66" s="123">
        <v>5</v>
      </c>
      <c r="C66" t="s">
        <v>666</v>
      </c>
      <c r="D66" s="121"/>
    </row>
    <row r="67" spans="1:4" x14ac:dyDescent="0.2">
      <c r="A67" t="s">
        <v>661</v>
      </c>
      <c r="B67" s="123">
        <v>6</v>
      </c>
      <c r="C67" t="s">
        <v>622</v>
      </c>
      <c r="D67" s="121"/>
    </row>
    <row r="68" spans="1:4" x14ac:dyDescent="0.2">
      <c r="A68" t="s">
        <v>661</v>
      </c>
      <c r="B68" s="123">
        <v>7</v>
      </c>
      <c r="C68" t="s">
        <v>623</v>
      </c>
      <c r="D68" s="121"/>
    </row>
    <row r="69" spans="1:4" x14ac:dyDescent="0.2">
      <c r="B69" s="128"/>
      <c r="D69" s="121"/>
    </row>
    <row r="70" spans="1:4" x14ac:dyDescent="0.2">
      <c r="A70" t="s">
        <v>667</v>
      </c>
      <c r="B70" s="123">
        <v>1</v>
      </c>
      <c r="C70" t="s">
        <v>668</v>
      </c>
      <c r="D70" s="121"/>
    </row>
    <row r="71" spans="1:4" x14ac:dyDescent="0.2">
      <c r="A71" t="s">
        <v>667</v>
      </c>
      <c r="B71" s="123">
        <v>2</v>
      </c>
      <c r="C71" t="s">
        <v>669</v>
      </c>
      <c r="D71" s="121"/>
    </row>
    <row r="72" spans="1:4" x14ac:dyDescent="0.2">
      <c r="A72" t="s">
        <v>667</v>
      </c>
      <c r="B72" s="123">
        <v>3</v>
      </c>
      <c r="C72" t="s">
        <v>670</v>
      </c>
      <c r="D72" s="121"/>
    </row>
    <row r="73" spans="1:4" x14ac:dyDescent="0.2">
      <c r="A73" t="s">
        <v>667</v>
      </c>
      <c r="B73" s="123">
        <v>4</v>
      </c>
      <c r="C73" t="s">
        <v>671</v>
      </c>
      <c r="D73" s="121"/>
    </row>
    <row r="74" spans="1:4" x14ac:dyDescent="0.2">
      <c r="A74" t="s">
        <v>667</v>
      </c>
      <c r="B74" s="123">
        <v>5</v>
      </c>
      <c r="C74" t="s">
        <v>672</v>
      </c>
      <c r="D74" s="121"/>
    </row>
    <row r="75" spans="1:4" x14ac:dyDescent="0.2">
      <c r="A75" t="s">
        <v>667</v>
      </c>
      <c r="B75" s="123">
        <v>6</v>
      </c>
      <c r="C75" t="s">
        <v>673</v>
      </c>
      <c r="D75" s="121"/>
    </row>
    <row r="76" spans="1:4" x14ac:dyDescent="0.2">
      <c r="A76" t="s">
        <v>667</v>
      </c>
      <c r="B76" s="123">
        <v>7</v>
      </c>
      <c r="C76" t="s">
        <v>622</v>
      </c>
      <c r="D76" s="121"/>
    </row>
    <row r="77" spans="1:4" x14ac:dyDescent="0.2">
      <c r="A77" t="s">
        <v>667</v>
      </c>
      <c r="B77" s="123">
        <v>8</v>
      </c>
      <c r="C77" t="s">
        <v>623</v>
      </c>
      <c r="D77" s="121"/>
    </row>
    <row r="78" spans="1:4" x14ac:dyDescent="0.2">
      <c r="D78" s="121"/>
    </row>
    <row r="79" spans="1:4" x14ac:dyDescent="0.2">
      <c r="A79" s="129" t="s">
        <v>674</v>
      </c>
      <c r="B79" s="129">
        <v>1</v>
      </c>
      <c r="C79" s="129" t="s">
        <v>675</v>
      </c>
      <c r="D79" s="121"/>
    </row>
    <row r="80" spans="1:4" x14ac:dyDescent="0.2">
      <c r="A80" s="129" t="s">
        <v>674</v>
      </c>
      <c r="B80" s="129">
        <v>2</v>
      </c>
      <c r="C80" s="129" t="s">
        <v>676</v>
      </c>
      <c r="D80" s="121"/>
    </row>
    <row r="81" spans="1:4" x14ac:dyDescent="0.2">
      <c r="A81" s="129" t="s">
        <v>674</v>
      </c>
      <c r="B81" s="129">
        <v>3</v>
      </c>
      <c r="C81" s="129" t="s">
        <v>677</v>
      </c>
      <c r="D81" s="121"/>
    </row>
    <row r="82" spans="1:4" x14ac:dyDescent="0.2">
      <c r="A82" s="129" t="s">
        <v>674</v>
      </c>
      <c r="B82" s="129">
        <v>4</v>
      </c>
      <c r="C82" s="129" t="s">
        <v>678</v>
      </c>
      <c r="D82" s="121"/>
    </row>
    <row r="83" spans="1:4" x14ac:dyDescent="0.2">
      <c r="A83" s="129" t="s">
        <v>674</v>
      </c>
      <c r="B83" s="129">
        <v>5</v>
      </c>
      <c r="C83" s="129" t="s">
        <v>679</v>
      </c>
      <c r="D83" s="121"/>
    </row>
    <row r="84" spans="1:4" x14ac:dyDescent="0.2">
      <c r="A84" s="129" t="s">
        <v>674</v>
      </c>
      <c r="B84" s="129">
        <v>6</v>
      </c>
      <c r="C84" s="129" t="s">
        <v>622</v>
      </c>
      <c r="D84" s="121"/>
    </row>
    <row r="85" spans="1:4" x14ac:dyDescent="0.2">
      <c r="A85" s="129" t="s">
        <v>674</v>
      </c>
      <c r="B85" s="129">
        <v>7</v>
      </c>
      <c r="C85" s="129" t="s">
        <v>623</v>
      </c>
      <c r="D85" s="121"/>
    </row>
    <row r="86" spans="1:4" x14ac:dyDescent="0.2">
      <c r="A86" s="115"/>
      <c r="B86" s="115"/>
      <c r="C86" s="115"/>
      <c r="D86" s="121"/>
    </row>
    <row r="87" spans="1:4" x14ac:dyDescent="0.2">
      <c r="A87" s="129" t="s">
        <v>680</v>
      </c>
      <c r="B87" s="129" t="s">
        <v>681</v>
      </c>
      <c r="C87" s="129" t="s">
        <v>682</v>
      </c>
      <c r="D87" s="121"/>
    </row>
    <row r="88" spans="1:4" x14ac:dyDescent="0.2">
      <c r="A88" s="129" t="s">
        <v>680</v>
      </c>
      <c r="B88" s="129" t="s">
        <v>683</v>
      </c>
      <c r="C88" s="129" t="s">
        <v>684</v>
      </c>
      <c r="D88" s="121"/>
    </row>
    <row r="89" spans="1:4" x14ac:dyDescent="0.2">
      <c r="A89" s="129" t="s">
        <v>680</v>
      </c>
      <c r="B89" s="129" t="s">
        <v>685</v>
      </c>
      <c r="C89" s="129" t="s">
        <v>686</v>
      </c>
      <c r="D89" s="121"/>
    </row>
    <row r="90" spans="1:4" x14ac:dyDescent="0.2">
      <c r="A90" s="129" t="s">
        <v>680</v>
      </c>
      <c r="B90" s="129" t="s">
        <v>687</v>
      </c>
      <c r="C90" s="129" t="s">
        <v>688</v>
      </c>
      <c r="D90" s="121"/>
    </row>
    <row r="91" spans="1:4" x14ac:dyDescent="0.2">
      <c r="A91" s="129" t="s">
        <v>680</v>
      </c>
      <c r="B91" s="129" t="s">
        <v>689</v>
      </c>
      <c r="C91" s="129" t="s">
        <v>690</v>
      </c>
      <c r="D91" s="121"/>
    </row>
    <row r="92" spans="1:4" x14ac:dyDescent="0.2">
      <c r="A92" s="129" t="s">
        <v>680</v>
      </c>
      <c r="B92" s="129" t="s">
        <v>691</v>
      </c>
      <c r="C92" s="129" t="s">
        <v>692</v>
      </c>
      <c r="D92" s="121"/>
    </row>
    <row r="93" spans="1:4" x14ac:dyDescent="0.2">
      <c r="A93" s="129" t="s">
        <v>680</v>
      </c>
      <c r="B93" s="129" t="s">
        <v>693</v>
      </c>
      <c r="C93" s="129" t="s">
        <v>694</v>
      </c>
      <c r="D93" s="121"/>
    </row>
    <row r="94" spans="1:4" x14ac:dyDescent="0.2">
      <c r="A94" s="129" t="s">
        <v>680</v>
      </c>
      <c r="B94" s="129" t="s">
        <v>695</v>
      </c>
      <c r="C94" s="129" t="s">
        <v>622</v>
      </c>
      <c r="D94" s="121"/>
    </row>
    <row r="95" spans="1:4" x14ac:dyDescent="0.2">
      <c r="A95" s="129" t="s">
        <v>680</v>
      </c>
      <c r="B95" s="129" t="s">
        <v>696</v>
      </c>
      <c r="C95" s="129" t="s">
        <v>623</v>
      </c>
      <c r="D95" s="121"/>
    </row>
    <row r="96" spans="1:4" x14ac:dyDescent="0.2">
      <c r="A96" s="115"/>
      <c r="B96" s="115"/>
      <c r="C96" s="115"/>
      <c r="D96" s="121"/>
    </row>
    <row r="97" spans="1:4" x14ac:dyDescent="0.2">
      <c r="A97" s="129" t="s">
        <v>697</v>
      </c>
      <c r="B97" s="129" t="s">
        <v>698</v>
      </c>
      <c r="C97" s="129" t="s">
        <v>699</v>
      </c>
      <c r="D97" s="121"/>
    </row>
    <row r="98" spans="1:4" x14ac:dyDescent="0.2">
      <c r="A98" s="129" t="s">
        <v>697</v>
      </c>
      <c r="B98" s="129" t="s">
        <v>700</v>
      </c>
      <c r="C98" s="129" t="s">
        <v>701</v>
      </c>
      <c r="D98" s="121"/>
    </row>
    <row r="99" spans="1:4" x14ac:dyDescent="0.2">
      <c r="A99" s="129" t="s">
        <v>697</v>
      </c>
      <c r="B99" s="129" t="s">
        <v>702</v>
      </c>
      <c r="C99" s="129" t="s">
        <v>703</v>
      </c>
      <c r="D99" s="121"/>
    </row>
    <row r="100" spans="1:4" x14ac:dyDescent="0.2">
      <c r="A100" s="129" t="s">
        <v>697</v>
      </c>
      <c r="B100" s="129" t="s">
        <v>704</v>
      </c>
      <c r="C100" s="129" t="s">
        <v>705</v>
      </c>
      <c r="D100" s="121"/>
    </row>
    <row r="101" spans="1:4" x14ac:dyDescent="0.2">
      <c r="A101" s="129" t="s">
        <v>697</v>
      </c>
      <c r="B101" s="129" t="s">
        <v>706</v>
      </c>
      <c r="C101" s="129" t="s">
        <v>707</v>
      </c>
      <c r="D101" s="121"/>
    </row>
    <row r="102" spans="1:4" x14ac:dyDescent="0.2">
      <c r="A102" s="129" t="s">
        <v>697</v>
      </c>
      <c r="B102" s="129" t="s">
        <v>708</v>
      </c>
      <c r="C102" s="129" t="s">
        <v>709</v>
      </c>
      <c r="D102" s="121"/>
    </row>
    <row r="103" spans="1:4" x14ac:dyDescent="0.2">
      <c r="A103" s="129" t="s">
        <v>697</v>
      </c>
      <c r="B103" s="129" t="s">
        <v>710</v>
      </c>
      <c r="C103" s="129" t="s">
        <v>711</v>
      </c>
      <c r="D103" s="121"/>
    </row>
    <row r="104" spans="1:4" x14ac:dyDescent="0.2">
      <c r="A104" s="129" t="s">
        <v>697</v>
      </c>
      <c r="B104" s="129" t="s">
        <v>691</v>
      </c>
      <c r="C104" s="129" t="s">
        <v>712</v>
      </c>
      <c r="D104" s="121"/>
    </row>
    <row r="105" spans="1:4" x14ac:dyDescent="0.2">
      <c r="A105" s="129" t="s">
        <v>697</v>
      </c>
      <c r="B105" s="129" t="s">
        <v>693</v>
      </c>
      <c r="C105" s="129" t="s">
        <v>713</v>
      </c>
      <c r="D105" s="121"/>
    </row>
    <row r="106" spans="1:4" x14ac:dyDescent="0.2">
      <c r="A106" s="129" t="s">
        <v>697</v>
      </c>
      <c r="B106" s="129" t="s">
        <v>695</v>
      </c>
      <c r="C106" s="129" t="s">
        <v>622</v>
      </c>
      <c r="D106" s="121"/>
    </row>
    <row r="107" spans="1:4" x14ac:dyDescent="0.2">
      <c r="A107" s="129" t="s">
        <v>697</v>
      </c>
      <c r="B107" s="129" t="s">
        <v>696</v>
      </c>
      <c r="C107" s="129" t="s">
        <v>623</v>
      </c>
      <c r="D107" s="121"/>
    </row>
    <row r="108" spans="1:4" x14ac:dyDescent="0.2">
      <c r="A108" s="115"/>
      <c r="B108" s="115"/>
      <c r="C108" s="115"/>
      <c r="D108" s="121"/>
    </row>
    <row r="109" spans="1:4" x14ac:dyDescent="0.2">
      <c r="A109" s="129" t="s">
        <v>714</v>
      </c>
      <c r="B109" s="129">
        <v>1</v>
      </c>
      <c r="C109" s="129" t="s">
        <v>715</v>
      </c>
      <c r="D109" s="121"/>
    </row>
    <row r="110" spans="1:4" x14ac:dyDescent="0.2">
      <c r="A110" s="129" t="s">
        <v>714</v>
      </c>
      <c r="B110" s="129">
        <v>2</v>
      </c>
      <c r="C110" s="129" t="s">
        <v>716</v>
      </c>
      <c r="D110" s="121"/>
    </row>
    <row r="111" spans="1:4" x14ac:dyDescent="0.2">
      <c r="A111" s="129" t="s">
        <v>714</v>
      </c>
      <c r="B111" s="129">
        <v>3</v>
      </c>
      <c r="C111" s="129" t="s">
        <v>717</v>
      </c>
      <c r="D111" s="121"/>
    </row>
    <row r="112" spans="1:4" x14ac:dyDescent="0.2">
      <c r="A112" s="129" t="s">
        <v>714</v>
      </c>
      <c r="B112" s="129">
        <v>4</v>
      </c>
      <c r="C112" s="129" t="s">
        <v>718</v>
      </c>
      <c r="D112" s="121"/>
    </row>
    <row r="113" spans="1:4" x14ac:dyDescent="0.2">
      <c r="A113" s="129" t="s">
        <v>714</v>
      </c>
      <c r="B113" s="129">
        <v>5</v>
      </c>
      <c r="C113" s="129" t="s">
        <v>719</v>
      </c>
      <c r="D113" s="121"/>
    </row>
    <row r="114" spans="1:4" x14ac:dyDescent="0.2">
      <c r="A114" s="129" t="s">
        <v>714</v>
      </c>
      <c r="B114" s="129">
        <v>6</v>
      </c>
      <c r="C114" s="129" t="s">
        <v>720</v>
      </c>
      <c r="D114" s="121"/>
    </row>
    <row r="115" spans="1:4" x14ac:dyDescent="0.2">
      <c r="A115" s="129" t="s">
        <v>714</v>
      </c>
      <c r="B115" s="129">
        <v>7</v>
      </c>
      <c r="C115" s="129" t="s">
        <v>721</v>
      </c>
      <c r="D115" s="121"/>
    </row>
    <row r="116" spans="1:4" x14ac:dyDescent="0.2">
      <c r="A116" s="115"/>
      <c r="B116" s="115"/>
      <c r="C116" s="115"/>
      <c r="D116" s="121"/>
    </row>
    <row r="117" spans="1:4" x14ac:dyDescent="0.2">
      <c r="A117" s="129" t="s">
        <v>722</v>
      </c>
      <c r="B117" s="129">
        <v>1</v>
      </c>
      <c r="C117" s="129" t="s">
        <v>723</v>
      </c>
      <c r="D117" s="121"/>
    </row>
    <row r="118" spans="1:4" x14ac:dyDescent="0.2">
      <c r="A118" s="129" t="s">
        <v>722</v>
      </c>
      <c r="B118" s="129">
        <v>2</v>
      </c>
      <c r="C118" s="129" t="s">
        <v>724</v>
      </c>
      <c r="D118" s="121"/>
    </row>
    <row r="119" spans="1:4" x14ac:dyDescent="0.2">
      <c r="A119" s="129" t="s">
        <v>722</v>
      </c>
      <c r="B119" s="129">
        <v>3</v>
      </c>
      <c r="C119" s="129" t="s">
        <v>725</v>
      </c>
      <c r="D119" s="121"/>
    </row>
    <row r="120" spans="1:4" x14ac:dyDescent="0.2">
      <c r="A120" s="129" t="s">
        <v>722</v>
      </c>
      <c r="B120" s="129">
        <v>4</v>
      </c>
      <c r="C120" s="129" t="s">
        <v>726</v>
      </c>
      <c r="D120" s="121"/>
    </row>
    <row r="121" spans="1:4" x14ac:dyDescent="0.2">
      <c r="A121" s="129" t="s">
        <v>722</v>
      </c>
      <c r="B121" s="129">
        <v>5</v>
      </c>
      <c r="C121" s="129" t="s">
        <v>622</v>
      </c>
      <c r="D121" s="121"/>
    </row>
    <row r="122" spans="1:4" x14ac:dyDescent="0.2">
      <c r="A122" s="129" t="s">
        <v>722</v>
      </c>
      <c r="B122" s="129">
        <v>6</v>
      </c>
      <c r="C122" s="129" t="s">
        <v>623</v>
      </c>
      <c r="D122" s="121"/>
    </row>
    <row r="123" spans="1:4" x14ac:dyDescent="0.2">
      <c r="A123" s="115"/>
      <c r="B123" s="115"/>
      <c r="C123" s="115"/>
      <c r="D123" s="121"/>
    </row>
    <row r="124" spans="1:4" x14ac:dyDescent="0.2">
      <c r="A124" t="s">
        <v>727</v>
      </c>
      <c r="B124">
        <v>1</v>
      </c>
      <c r="C124" t="s">
        <v>728</v>
      </c>
      <c r="D124" s="121"/>
    </row>
    <row r="125" spans="1:4" x14ac:dyDescent="0.2">
      <c r="A125" t="s">
        <v>727</v>
      </c>
      <c r="B125">
        <v>2</v>
      </c>
      <c r="C125" t="s">
        <v>729</v>
      </c>
      <c r="D125" s="121"/>
    </row>
    <row r="126" spans="1:4" x14ac:dyDescent="0.2">
      <c r="A126" t="s">
        <v>727</v>
      </c>
      <c r="B126">
        <v>3</v>
      </c>
      <c r="C126" t="s">
        <v>730</v>
      </c>
      <c r="D126" s="121"/>
    </row>
    <row r="127" spans="1:4" x14ac:dyDescent="0.2">
      <c r="A127" t="s">
        <v>727</v>
      </c>
      <c r="B127">
        <v>4</v>
      </c>
      <c r="C127" t="s">
        <v>731</v>
      </c>
      <c r="D127" s="121"/>
    </row>
    <row r="128" spans="1:4" x14ac:dyDescent="0.2">
      <c r="A128" t="s">
        <v>727</v>
      </c>
      <c r="B128">
        <v>5</v>
      </c>
      <c r="C128" t="s">
        <v>732</v>
      </c>
      <c r="D128" s="121"/>
    </row>
    <row r="129" spans="1:4" x14ac:dyDescent="0.2">
      <c r="A129" t="s">
        <v>727</v>
      </c>
      <c r="B129">
        <v>6</v>
      </c>
      <c r="C129" t="s">
        <v>733</v>
      </c>
      <c r="D129" s="121"/>
    </row>
    <row r="130" spans="1:4" x14ac:dyDescent="0.2">
      <c r="A130" t="s">
        <v>727</v>
      </c>
      <c r="B130">
        <v>7</v>
      </c>
      <c r="C130" t="s">
        <v>734</v>
      </c>
      <c r="D130" s="121"/>
    </row>
    <row r="131" spans="1:4" x14ac:dyDescent="0.2">
      <c r="A131" t="s">
        <v>727</v>
      </c>
      <c r="B131">
        <v>8</v>
      </c>
      <c r="C131" t="s">
        <v>735</v>
      </c>
      <c r="D131" s="121"/>
    </row>
    <row r="132" spans="1:4" x14ac:dyDescent="0.2">
      <c r="A132" t="s">
        <v>727</v>
      </c>
      <c r="B132">
        <v>9</v>
      </c>
      <c r="C132" t="s">
        <v>736</v>
      </c>
      <c r="D132" s="121"/>
    </row>
    <row r="133" spans="1:4" x14ac:dyDescent="0.2">
      <c r="A133" t="s">
        <v>727</v>
      </c>
      <c r="B133">
        <v>10</v>
      </c>
      <c r="C133" t="s">
        <v>737</v>
      </c>
      <c r="D133" s="121"/>
    </row>
    <row r="134" spans="1:4" x14ac:dyDescent="0.2">
      <c r="A134" t="s">
        <v>727</v>
      </c>
      <c r="B134">
        <v>11</v>
      </c>
      <c r="C134" t="s">
        <v>738</v>
      </c>
      <c r="D134" s="121"/>
    </row>
    <row r="135" spans="1:4" x14ac:dyDescent="0.2">
      <c r="A135" t="s">
        <v>727</v>
      </c>
      <c r="B135">
        <v>12</v>
      </c>
      <c r="C135" t="s">
        <v>739</v>
      </c>
      <c r="D135" s="121"/>
    </row>
    <row r="136" spans="1:4" x14ac:dyDescent="0.2">
      <c r="A136" t="s">
        <v>727</v>
      </c>
      <c r="B136">
        <v>13</v>
      </c>
      <c r="C136" t="s">
        <v>740</v>
      </c>
      <c r="D136" s="121"/>
    </row>
    <row r="137" spans="1:4" x14ac:dyDescent="0.2">
      <c r="A137" t="s">
        <v>727</v>
      </c>
      <c r="B137">
        <v>14</v>
      </c>
      <c r="C137" t="s">
        <v>741</v>
      </c>
      <c r="D137" s="121"/>
    </row>
    <row r="138" spans="1:4" x14ac:dyDescent="0.2">
      <c r="A138" t="s">
        <v>727</v>
      </c>
      <c r="B138">
        <v>15</v>
      </c>
      <c r="C138" t="s">
        <v>742</v>
      </c>
      <c r="D138" s="121"/>
    </row>
    <row r="139" spans="1:4" x14ac:dyDescent="0.2">
      <c r="A139" t="s">
        <v>727</v>
      </c>
      <c r="B139">
        <v>16</v>
      </c>
      <c r="C139" t="s">
        <v>743</v>
      </c>
      <c r="D139" s="121"/>
    </row>
    <row r="140" spans="1:4" x14ac:dyDescent="0.2">
      <c r="A140" t="s">
        <v>727</v>
      </c>
      <c r="B140">
        <v>17</v>
      </c>
      <c r="C140" t="s">
        <v>744</v>
      </c>
      <c r="D140" s="121"/>
    </row>
    <row r="141" spans="1:4" x14ac:dyDescent="0.2">
      <c r="A141" t="s">
        <v>727</v>
      </c>
      <c r="B141">
        <v>18</v>
      </c>
      <c r="C141" t="s">
        <v>745</v>
      </c>
      <c r="D141" s="121"/>
    </row>
    <row r="142" spans="1:4" x14ac:dyDescent="0.2">
      <c r="A142" t="s">
        <v>727</v>
      </c>
      <c r="B142">
        <v>19</v>
      </c>
      <c r="C142" t="s">
        <v>746</v>
      </c>
      <c r="D142" s="121"/>
    </row>
    <row r="143" spans="1:4" x14ac:dyDescent="0.2">
      <c r="A143" t="s">
        <v>727</v>
      </c>
      <c r="B143">
        <v>20</v>
      </c>
      <c r="C143" t="s">
        <v>623</v>
      </c>
      <c r="D143" s="121"/>
    </row>
    <row r="144" spans="1:4" x14ac:dyDescent="0.2">
      <c r="D144" s="121"/>
    </row>
    <row r="145" spans="1:4" x14ac:dyDescent="0.2">
      <c r="A145" t="s">
        <v>747</v>
      </c>
      <c r="B145">
        <v>1</v>
      </c>
      <c r="C145" t="s">
        <v>634</v>
      </c>
      <c r="D145" s="121"/>
    </row>
    <row r="146" spans="1:4" x14ac:dyDescent="0.2">
      <c r="A146" t="s">
        <v>747</v>
      </c>
      <c r="B146">
        <v>2</v>
      </c>
      <c r="C146" t="s">
        <v>635</v>
      </c>
      <c r="D146" s="121"/>
    </row>
    <row r="147" spans="1:4" x14ac:dyDescent="0.2">
      <c r="A147" t="s">
        <v>747</v>
      </c>
      <c r="B147">
        <v>3</v>
      </c>
      <c r="C147" t="s">
        <v>748</v>
      </c>
      <c r="D147" s="121"/>
    </row>
    <row r="148" spans="1:4" x14ac:dyDescent="0.2">
      <c r="A148" t="s">
        <v>747</v>
      </c>
      <c r="B148">
        <v>4</v>
      </c>
      <c r="C148" t="s">
        <v>622</v>
      </c>
      <c r="D148" s="121"/>
    </row>
    <row r="149" spans="1:4" x14ac:dyDescent="0.2">
      <c r="A149" t="s">
        <v>747</v>
      </c>
      <c r="B149">
        <v>5</v>
      </c>
      <c r="C149" t="s">
        <v>623</v>
      </c>
      <c r="D149" s="121"/>
    </row>
    <row r="150" spans="1:4" x14ac:dyDescent="0.2">
      <c r="D150" s="121"/>
    </row>
    <row r="151" spans="1:4" x14ac:dyDescent="0.2">
      <c r="A151" t="s">
        <v>749</v>
      </c>
      <c r="B151">
        <v>1</v>
      </c>
      <c r="C151" t="s">
        <v>750</v>
      </c>
      <c r="D151" s="121"/>
    </row>
    <row r="152" spans="1:4" x14ac:dyDescent="0.2">
      <c r="A152" t="s">
        <v>749</v>
      </c>
      <c r="B152">
        <v>2</v>
      </c>
      <c r="C152" t="s">
        <v>751</v>
      </c>
      <c r="D152" s="121"/>
    </row>
    <row r="153" spans="1:4" x14ac:dyDescent="0.2">
      <c r="A153" t="s">
        <v>749</v>
      </c>
      <c r="B153">
        <v>3</v>
      </c>
      <c r="C153" t="s">
        <v>752</v>
      </c>
      <c r="D153" s="121"/>
    </row>
    <row r="154" spans="1:4" x14ac:dyDescent="0.2">
      <c r="A154" t="s">
        <v>749</v>
      </c>
      <c r="B154">
        <v>4</v>
      </c>
      <c r="C154" t="s">
        <v>622</v>
      </c>
      <c r="D154" s="121"/>
    </row>
    <row r="155" spans="1:4" x14ac:dyDescent="0.2">
      <c r="A155" t="s">
        <v>749</v>
      </c>
      <c r="B155">
        <v>5</v>
      </c>
      <c r="C155" t="s">
        <v>623</v>
      </c>
      <c r="D155" s="121"/>
    </row>
    <row r="156" spans="1:4" x14ac:dyDescent="0.2">
      <c r="D156" s="121"/>
    </row>
    <row r="157" spans="1:4" x14ac:dyDescent="0.2">
      <c r="A157" t="s">
        <v>753</v>
      </c>
      <c r="B157">
        <v>1</v>
      </c>
      <c r="C157" t="s">
        <v>754</v>
      </c>
      <c r="D157" s="121"/>
    </row>
    <row r="158" spans="1:4" x14ac:dyDescent="0.2">
      <c r="A158" t="s">
        <v>753</v>
      </c>
      <c r="B158">
        <v>2</v>
      </c>
      <c r="C158" t="s">
        <v>755</v>
      </c>
      <c r="D158" s="121"/>
    </row>
    <row r="159" spans="1:4" x14ac:dyDescent="0.2">
      <c r="A159" t="s">
        <v>753</v>
      </c>
      <c r="B159">
        <v>3</v>
      </c>
      <c r="C159" t="s">
        <v>756</v>
      </c>
      <c r="D159" s="121"/>
    </row>
    <row r="160" spans="1:4" x14ac:dyDescent="0.2">
      <c r="A160" t="s">
        <v>753</v>
      </c>
      <c r="B160">
        <v>4</v>
      </c>
      <c r="C160" t="s">
        <v>757</v>
      </c>
      <c r="D160" s="121"/>
    </row>
    <row r="161" spans="1:4" x14ac:dyDescent="0.2">
      <c r="A161" t="s">
        <v>753</v>
      </c>
      <c r="B161">
        <v>5</v>
      </c>
      <c r="C161" t="s">
        <v>758</v>
      </c>
      <c r="D161" s="121"/>
    </row>
    <row r="162" spans="1:4" x14ac:dyDescent="0.2">
      <c r="A162" t="s">
        <v>753</v>
      </c>
      <c r="B162" s="123">
        <v>6</v>
      </c>
      <c r="C162" t="s">
        <v>622</v>
      </c>
      <c r="D162" s="121"/>
    </row>
    <row r="163" spans="1:4" x14ac:dyDescent="0.2">
      <c r="A163" t="s">
        <v>753</v>
      </c>
      <c r="B163" s="123">
        <v>7</v>
      </c>
      <c r="C163" t="s">
        <v>623</v>
      </c>
      <c r="D163" s="121"/>
    </row>
    <row r="164" spans="1:4" x14ac:dyDescent="0.2">
      <c r="D164" s="121"/>
    </row>
    <row r="165" spans="1:4" s="127" customFormat="1" x14ac:dyDescent="0.2">
      <c r="A165" s="124" t="s">
        <v>759</v>
      </c>
      <c r="B165">
        <v>1</v>
      </c>
      <c r="C165" t="s">
        <v>728</v>
      </c>
      <c r="D165" s="120"/>
    </row>
    <row r="166" spans="1:4" s="127" customFormat="1" x14ac:dyDescent="0.2">
      <c r="A166" s="124" t="s">
        <v>759</v>
      </c>
      <c r="B166">
        <v>2</v>
      </c>
      <c r="C166" t="s">
        <v>729</v>
      </c>
      <c r="D166" s="120"/>
    </row>
    <row r="167" spans="1:4" s="127" customFormat="1" x14ac:dyDescent="0.2">
      <c r="A167" s="124" t="s">
        <v>759</v>
      </c>
      <c r="B167">
        <v>3</v>
      </c>
      <c r="C167" t="s">
        <v>730</v>
      </c>
      <c r="D167" s="120"/>
    </row>
    <row r="168" spans="1:4" s="127" customFormat="1" x14ac:dyDescent="0.2">
      <c r="A168" s="124" t="s">
        <v>759</v>
      </c>
      <c r="B168">
        <v>4</v>
      </c>
      <c r="C168" t="s">
        <v>731</v>
      </c>
      <c r="D168" s="120"/>
    </row>
    <row r="169" spans="1:4" s="127" customFormat="1" x14ac:dyDescent="0.2">
      <c r="A169" s="124" t="s">
        <v>759</v>
      </c>
      <c r="B169">
        <v>5</v>
      </c>
      <c r="C169" t="s">
        <v>732</v>
      </c>
      <c r="D169" s="120"/>
    </row>
    <row r="170" spans="1:4" s="127" customFormat="1" x14ac:dyDescent="0.2">
      <c r="A170" s="124" t="s">
        <v>759</v>
      </c>
      <c r="B170">
        <v>6</v>
      </c>
      <c r="C170" t="s">
        <v>733</v>
      </c>
      <c r="D170" s="120"/>
    </row>
    <row r="171" spans="1:4" s="127" customFormat="1" x14ac:dyDescent="0.2">
      <c r="A171" s="124" t="s">
        <v>759</v>
      </c>
      <c r="B171">
        <v>7</v>
      </c>
      <c r="C171" t="s">
        <v>734</v>
      </c>
      <c r="D171" s="120"/>
    </row>
    <row r="172" spans="1:4" s="127" customFormat="1" x14ac:dyDescent="0.2">
      <c r="A172" s="124" t="s">
        <v>759</v>
      </c>
      <c r="B172">
        <v>8</v>
      </c>
      <c r="C172" t="s">
        <v>735</v>
      </c>
      <c r="D172" s="120"/>
    </row>
    <row r="173" spans="1:4" s="127" customFormat="1" x14ac:dyDescent="0.2">
      <c r="A173" s="124" t="s">
        <v>759</v>
      </c>
      <c r="B173">
        <v>9</v>
      </c>
      <c r="C173" t="s">
        <v>736</v>
      </c>
      <c r="D173" s="120"/>
    </row>
    <row r="174" spans="1:4" s="127" customFormat="1" x14ac:dyDescent="0.2">
      <c r="A174" s="124" t="s">
        <v>759</v>
      </c>
      <c r="B174">
        <v>10</v>
      </c>
      <c r="C174" t="s">
        <v>737</v>
      </c>
      <c r="D174" s="120"/>
    </row>
    <row r="175" spans="1:4" s="127" customFormat="1" x14ac:dyDescent="0.2">
      <c r="A175" s="124" t="s">
        <v>759</v>
      </c>
      <c r="B175">
        <v>11</v>
      </c>
      <c r="C175" t="s">
        <v>738</v>
      </c>
      <c r="D175" s="120"/>
    </row>
    <row r="176" spans="1:4" s="127" customFormat="1" x14ac:dyDescent="0.2">
      <c r="A176" s="124" t="s">
        <v>759</v>
      </c>
      <c r="B176">
        <v>12</v>
      </c>
      <c r="C176" t="s">
        <v>739</v>
      </c>
      <c r="D176" s="120"/>
    </row>
    <row r="177" spans="1:4" s="127" customFormat="1" x14ac:dyDescent="0.2">
      <c r="A177" s="124" t="s">
        <v>759</v>
      </c>
      <c r="B177">
        <v>13</v>
      </c>
      <c r="C177" t="s">
        <v>740</v>
      </c>
      <c r="D177" s="120"/>
    </row>
    <row r="178" spans="1:4" s="127" customFormat="1" x14ac:dyDescent="0.2">
      <c r="A178" s="124" t="s">
        <v>759</v>
      </c>
      <c r="B178">
        <v>14</v>
      </c>
      <c r="C178" t="s">
        <v>741</v>
      </c>
      <c r="D178" s="120"/>
    </row>
    <row r="179" spans="1:4" s="127" customFormat="1" x14ac:dyDescent="0.2">
      <c r="A179" s="124" t="s">
        <v>759</v>
      </c>
      <c r="B179" s="124">
        <v>15</v>
      </c>
      <c r="C179" s="124" t="s">
        <v>742</v>
      </c>
      <c r="D179" s="120"/>
    </row>
    <row r="180" spans="1:4" s="127" customFormat="1" x14ac:dyDescent="0.2">
      <c r="A180" s="124" t="s">
        <v>759</v>
      </c>
      <c r="B180" s="124">
        <v>16</v>
      </c>
      <c r="C180" s="124" t="s">
        <v>743</v>
      </c>
      <c r="D180" s="120"/>
    </row>
    <row r="181" spans="1:4" s="127" customFormat="1" x14ac:dyDescent="0.2">
      <c r="A181" s="124" t="s">
        <v>759</v>
      </c>
      <c r="B181" s="124">
        <v>17</v>
      </c>
      <c r="C181" s="124" t="s">
        <v>744</v>
      </c>
      <c r="D181" s="120"/>
    </row>
    <row r="182" spans="1:4" s="127" customFormat="1" x14ac:dyDescent="0.2">
      <c r="A182" s="124" t="s">
        <v>759</v>
      </c>
      <c r="B182" s="124">
        <v>18</v>
      </c>
      <c r="C182" s="124" t="s">
        <v>760</v>
      </c>
      <c r="D182" s="120"/>
    </row>
    <row r="183" spans="1:4" s="127" customFormat="1" x14ac:dyDescent="0.2">
      <c r="A183" s="124" t="s">
        <v>759</v>
      </c>
      <c r="B183" s="124">
        <v>19</v>
      </c>
      <c r="C183" s="124" t="s">
        <v>761</v>
      </c>
      <c r="D183" s="120"/>
    </row>
    <row r="184" spans="1:4" s="127" customFormat="1" x14ac:dyDescent="0.2">
      <c r="A184" s="124" t="s">
        <v>759</v>
      </c>
      <c r="B184" s="123">
        <v>20</v>
      </c>
      <c r="C184" s="124" t="s">
        <v>622</v>
      </c>
      <c r="D184" s="120"/>
    </row>
    <row r="185" spans="1:4" s="127" customFormat="1" x14ac:dyDescent="0.2">
      <c r="A185" s="124" t="s">
        <v>759</v>
      </c>
      <c r="B185" s="123">
        <v>21</v>
      </c>
      <c r="C185" s="124" t="s">
        <v>623</v>
      </c>
      <c r="D185" s="120"/>
    </row>
    <row r="186" spans="1:4" s="127" customFormat="1" x14ac:dyDescent="0.2">
      <c r="D186" s="120"/>
    </row>
    <row r="187" spans="1:4" s="127" customFormat="1" x14ac:dyDescent="0.2">
      <c r="A187" s="124" t="s">
        <v>762</v>
      </c>
      <c r="B187">
        <v>1</v>
      </c>
      <c r="C187" t="s">
        <v>728</v>
      </c>
      <c r="D187" s="120"/>
    </row>
    <row r="188" spans="1:4" s="127" customFormat="1" x14ac:dyDescent="0.2">
      <c r="A188" s="124" t="s">
        <v>762</v>
      </c>
      <c r="B188">
        <v>2</v>
      </c>
      <c r="C188" t="s">
        <v>729</v>
      </c>
      <c r="D188" s="120"/>
    </row>
    <row r="189" spans="1:4" s="127" customFormat="1" x14ac:dyDescent="0.2">
      <c r="A189" s="124" t="s">
        <v>762</v>
      </c>
      <c r="B189">
        <v>3</v>
      </c>
      <c r="C189" t="s">
        <v>730</v>
      </c>
      <c r="D189" s="120"/>
    </row>
    <row r="190" spans="1:4" s="127" customFormat="1" x14ac:dyDescent="0.2">
      <c r="A190" s="124" t="s">
        <v>762</v>
      </c>
      <c r="B190">
        <v>4</v>
      </c>
      <c r="C190" t="s">
        <v>731</v>
      </c>
      <c r="D190" s="120"/>
    </row>
    <row r="191" spans="1:4" s="127" customFormat="1" x14ac:dyDescent="0.2">
      <c r="A191" s="124" t="s">
        <v>762</v>
      </c>
      <c r="B191">
        <v>5</v>
      </c>
      <c r="C191" t="s">
        <v>732</v>
      </c>
      <c r="D191" s="120"/>
    </row>
    <row r="192" spans="1:4" s="127" customFormat="1" x14ac:dyDescent="0.2">
      <c r="A192" s="124" t="s">
        <v>762</v>
      </c>
      <c r="B192">
        <v>6</v>
      </c>
      <c r="C192" t="s">
        <v>733</v>
      </c>
      <c r="D192" s="120"/>
    </row>
    <row r="193" spans="1:4" s="127" customFormat="1" x14ac:dyDescent="0.2">
      <c r="A193" s="124" t="s">
        <v>762</v>
      </c>
      <c r="B193">
        <v>7</v>
      </c>
      <c r="C193" t="s">
        <v>734</v>
      </c>
      <c r="D193" s="120"/>
    </row>
    <row r="194" spans="1:4" s="127" customFormat="1" x14ac:dyDescent="0.2">
      <c r="A194" s="124" t="s">
        <v>762</v>
      </c>
      <c r="B194">
        <v>8</v>
      </c>
      <c r="C194" t="s">
        <v>735</v>
      </c>
      <c r="D194" s="120"/>
    </row>
    <row r="195" spans="1:4" s="127" customFormat="1" x14ac:dyDescent="0.2">
      <c r="A195" s="124" t="s">
        <v>762</v>
      </c>
      <c r="B195">
        <v>9</v>
      </c>
      <c r="C195" t="s">
        <v>736</v>
      </c>
      <c r="D195" s="120"/>
    </row>
    <row r="196" spans="1:4" s="127" customFormat="1" x14ac:dyDescent="0.2">
      <c r="A196" s="124" t="s">
        <v>762</v>
      </c>
      <c r="B196">
        <v>10</v>
      </c>
      <c r="C196" t="s">
        <v>737</v>
      </c>
      <c r="D196" s="120"/>
    </row>
    <row r="197" spans="1:4" s="127" customFormat="1" x14ac:dyDescent="0.2">
      <c r="A197" s="124" t="s">
        <v>762</v>
      </c>
      <c r="B197">
        <v>11</v>
      </c>
      <c r="C197" t="s">
        <v>738</v>
      </c>
      <c r="D197" s="120"/>
    </row>
    <row r="198" spans="1:4" s="127" customFormat="1" x14ac:dyDescent="0.2">
      <c r="A198" s="124" t="s">
        <v>762</v>
      </c>
      <c r="B198">
        <v>12</v>
      </c>
      <c r="C198" t="s">
        <v>739</v>
      </c>
      <c r="D198" s="120"/>
    </row>
    <row r="199" spans="1:4" s="127" customFormat="1" x14ac:dyDescent="0.2">
      <c r="A199" s="124" t="s">
        <v>762</v>
      </c>
      <c r="B199">
        <v>13</v>
      </c>
      <c r="C199" t="s">
        <v>740</v>
      </c>
      <c r="D199" s="120"/>
    </row>
    <row r="200" spans="1:4" s="127" customFormat="1" x14ac:dyDescent="0.2">
      <c r="A200" s="124" t="s">
        <v>762</v>
      </c>
      <c r="B200">
        <v>14</v>
      </c>
      <c r="C200" t="s">
        <v>741</v>
      </c>
      <c r="D200" s="120"/>
    </row>
    <row r="201" spans="1:4" s="127" customFormat="1" x14ac:dyDescent="0.2">
      <c r="A201" s="124" t="s">
        <v>762</v>
      </c>
      <c r="B201" s="124">
        <v>15</v>
      </c>
      <c r="C201" s="124" t="s">
        <v>742</v>
      </c>
      <c r="D201" s="120"/>
    </row>
    <row r="202" spans="1:4" s="127" customFormat="1" x14ac:dyDescent="0.2">
      <c r="A202" s="124" t="s">
        <v>762</v>
      </c>
      <c r="B202" s="124">
        <v>16</v>
      </c>
      <c r="C202" s="124" t="s">
        <v>743</v>
      </c>
      <c r="D202" s="120"/>
    </row>
    <row r="203" spans="1:4" s="127" customFormat="1" x14ac:dyDescent="0.2">
      <c r="A203" s="124" t="s">
        <v>762</v>
      </c>
      <c r="B203" s="124">
        <v>17</v>
      </c>
      <c r="C203" s="124" t="s">
        <v>744</v>
      </c>
      <c r="D203" s="120"/>
    </row>
    <row r="204" spans="1:4" s="127" customFormat="1" x14ac:dyDescent="0.2">
      <c r="A204" s="124" t="s">
        <v>762</v>
      </c>
      <c r="B204" s="124">
        <v>18</v>
      </c>
      <c r="C204" s="124" t="s">
        <v>763</v>
      </c>
      <c r="D204" s="120"/>
    </row>
    <row r="205" spans="1:4" s="127" customFormat="1" x14ac:dyDescent="0.2">
      <c r="A205" s="124" t="s">
        <v>762</v>
      </c>
      <c r="B205" s="124">
        <v>19</v>
      </c>
      <c r="C205" s="124" t="s">
        <v>764</v>
      </c>
      <c r="D205" s="120"/>
    </row>
    <row r="206" spans="1:4" s="127" customFormat="1" x14ac:dyDescent="0.2">
      <c r="A206" s="124" t="s">
        <v>762</v>
      </c>
      <c r="B206" s="123">
        <v>20</v>
      </c>
      <c r="C206" s="124" t="s">
        <v>622</v>
      </c>
      <c r="D206" s="120"/>
    </row>
    <row r="207" spans="1:4" s="127" customFormat="1" x14ac:dyDescent="0.2">
      <c r="A207" s="124" t="s">
        <v>762</v>
      </c>
      <c r="B207" s="123">
        <v>21</v>
      </c>
      <c r="C207" s="124" t="s">
        <v>623</v>
      </c>
      <c r="D207" s="120"/>
    </row>
    <row r="208" spans="1:4" s="130" customFormat="1" x14ac:dyDescent="0.2">
      <c r="D208" s="131"/>
    </row>
    <row r="209" spans="1:4" x14ac:dyDescent="0.2">
      <c r="A209" t="s">
        <v>209</v>
      </c>
      <c r="B209" t="s">
        <v>765</v>
      </c>
      <c r="C209" t="s">
        <v>766</v>
      </c>
      <c r="D209" s="121"/>
    </row>
    <row r="210" spans="1:4" x14ac:dyDescent="0.2">
      <c r="A210" t="s">
        <v>209</v>
      </c>
      <c r="B210" t="s">
        <v>767</v>
      </c>
      <c r="C210" t="s">
        <v>768</v>
      </c>
      <c r="D210" s="121"/>
    </row>
    <row r="211" spans="1:4" x14ac:dyDescent="0.2">
      <c r="A211" t="s">
        <v>209</v>
      </c>
      <c r="B211" t="s">
        <v>769</v>
      </c>
      <c r="C211" t="s">
        <v>770</v>
      </c>
      <c r="D211" s="121"/>
    </row>
    <row r="212" spans="1:4" x14ac:dyDescent="0.2">
      <c r="A212" t="s">
        <v>209</v>
      </c>
      <c r="B212" t="s">
        <v>771</v>
      </c>
      <c r="C212" t="s">
        <v>772</v>
      </c>
      <c r="D212" s="121"/>
    </row>
    <row r="213" spans="1:4" x14ac:dyDescent="0.2">
      <c r="A213" t="s">
        <v>209</v>
      </c>
      <c r="B213" t="s">
        <v>773</v>
      </c>
      <c r="C213" t="s">
        <v>774</v>
      </c>
      <c r="D213" s="121"/>
    </row>
    <row r="214" spans="1:4" x14ac:dyDescent="0.2">
      <c r="A214" t="s">
        <v>209</v>
      </c>
      <c r="B214" t="s">
        <v>775</v>
      </c>
      <c r="C214" t="s">
        <v>776</v>
      </c>
      <c r="D214" s="121"/>
    </row>
    <row r="215" spans="1:4" x14ac:dyDescent="0.2">
      <c r="A215" t="s">
        <v>209</v>
      </c>
      <c r="B215" t="s">
        <v>777</v>
      </c>
      <c r="C215" t="s">
        <v>778</v>
      </c>
      <c r="D215" s="121"/>
    </row>
    <row r="216" spans="1:4" x14ac:dyDescent="0.2">
      <c r="A216" t="s">
        <v>209</v>
      </c>
      <c r="B216" t="s">
        <v>779</v>
      </c>
      <c r="C216" t="s">
        <v>780</v>
      </c>
      <c r="D216" s="121"/>
    </row>
    <row r="217" spans="1:4" x14ac:dyDescent="0.2">
      <c r="A217" t="s">
        <v>209</v>
      </c>
      <c r="B217" t="s">
        <v>781</v>
      </c>
      <c r="C217" t="s">
        <v>782</v>
      </c>
      <c r="D217" s="121"/>
    </row>
    <row r="218" spans="1:4" x14ac:dyDescent="0.2">
      <c r="A218" t="s">
        <v>209</v>
      </c>
      <c r="B218" t="s">
        <v>783</v>
      </c>
      <c r="C218" t="s">
        <v>784</v>
      </c>
      <c r="D218" s="121"/>
    </row>
    <row r="219" spans="1:4" x14ac:dyDescent="0.2">
      <c r="A219" t="s">
        <v>209</v>
      </c>
      <c r="B219" t="s">
        <v>785</v>
      </c>
      <c r="C219" t="s">
        <v>786</v>
      </c>
      <c r="D219" s="121"/>
    </row>
    <row r="220" spans="1:4" x14ac:dyDescent="0.2">
      <c r="A220" t="s">
        <v>209</v>
      </c>
      <c r="B220" t="s">
        <v>787</v>
      </c>
      <c r="C220" t="s">
        <v>788</v>
      </c>
      <c r="D220" s="121"/>
    </row>
    <row r="221" spans="1:4" x14ac:dyDescent="0.2">
      <c r="A221" t="s">
        <v>209</v>
      </c>
      <c r="B221" t="s">
        <v>789</v>
      </c>
      <c r="C221" t="s">
        <v>790</v>
      </c>
      <c r="D221" s="121"/>
    </row>
    <row r="222" spans="1:4" x14ac:dyDescent="0.2">
      <c r="A222" t="s">
        <v>209</v>
      </c>
      <c r="B222" t="s">
        <v>791</v>
      </c>
      <c r="C222" t="s">
        <v>792</v>
      </c>
      <c r="D222" s="121"/>
    </row>
    <row r="223" spans="1:4" x14ac:dyDescent="0.2">
      <c r="A223" t="s">
        <v>209</v>
      </c>
      <c r="B223" t="s">
        <v>793</v>
      </c>
      <c r="C223" t="s">
        <v>794</v>
      </c>
      <c r="D223" s="121"/>
    </row>
    <row r="224" spans="1:4" x14ac:dyDescent="0.2">
      <c r="A224" t="s">
        <v>209</v>
      </c>
      <c r="B224" t="s">
        <v>795</v>
      </c>
      <c r="C224" t="s">
        <v>796</v>
      </c>
      <c r="D224" s="121"/>
    </row>
    <row r="225" spans="1:4" x14ac:dyDescent="0.2">
      <c r="A225" t="s">
        <v>209</v>
      </c>
      <c r="B225" t="s">
        <v>797</v>
      </c>
      <c r="C225" t="s">
        <v>798</v>
      </c>
      <c r="D225" s="121"/>
    </row>
    <row r="226" spans="1:4" x14ac:dyDescent="0.2">
      <c r="A226" t="s">
        <v>209</v>
      </c>
      <c r="B226" t="s">
        <v>799</v>
      </c>
      <c r="C226" t="s">
        <v>800</v>
      </c>
      <c r="D226" s="121"/>
    </row>
    <row r="227" spans="1:4" x14ac:dyDescent="0.2">
      <c r="A227" t="s">
        <v>209</v>
      </c>
      <c r="B227" t="s">
        <v>801</v>
      </c>
      <c r="C227" t="s">
        <v>802</v>
      </c>
      <c r="D227" s="121"/>
    </row>
    <row r="228" spans="1:4" x14ac:dyDescent="0.2">
      <c r="A228" t="s">
        <v>209</v>
      </c>
      <c r="B228" t="s">
        <v>803</v>
      </c>
      <c r="C228" t="s">
        <v>804</v>
      </c>
      <c r="D228" s="121"/>
    </row>
    <row r="229" spans="1:4" x14ac:dyDescent="0.2">
      <c r="A229" t="s">
        <v>209</v>
      </c>
      <c r="B229" t="s">
        <v>805</v>
      </c>
      <c r="C229" t="s">
        <v>806</v>
      </c>
      <c r="D229" s="121"/>
    </row>
    <row r="230" spans="1:4" x14ac:dyDescent="0.2">
      <c r="A230" t="s">
        <v>209</v>
      </c>
      <c r="B230" t="s">
        <v>807</v>
      </c>
      <c r="C230" t="s">
        <v>808</v>
      </c>
      <c r="D230" s="121"/>
    </row>
    <row r="231" spans="1:4" x14ac:dyDescent="0.2">
      <c r="A231" t="s">
        <v>209</v>
      </c>
      <c r="B231" t="s">
        <v>809</v>
      </c>
      <c r="C231" t="s">
        <v>810</v>
      </c>
      <c r="D231" s="121"/>
    </row>
    <row r="232" spans="1:4" x14ac:dyDescent="0.2">
      <c r="A232" t="s">
        <v>209</v>
      </c>
      <c r="B232" t="s">
        <v>811</v>
      </c>
      <c r="C232" t="s">
        <v>812</v>
      </c>
      <c r="D232" s="121"/>
    </row>
    <row r="233" spans="1:4" x14ac:dyDescent="0.2">
      <c r="A233" t="s">
        <v>209</v>
      </c>
      <c r="B233" t="s">
        <v>813</v>
      </c>
      <c r="C233" t="s">
        <v>814</v>
      </c>
      <c r="D233" s="121"/>
    </row>
    <row r="234" spans="1:4" x14ac:dyDescent="0.2">
      <c r="A234" t="s">
        <v>209</v>
      </c>
      <c r="B234" t="s">
        <v>695</v>
      </c>
      <c r="C234" t="s">
        <v>622</v>
      </c>
      <c r="D234" s="121"/>
    </row>
    <row r="235" spans="1:4" x14ac:dyDescent="0.2">
      <c r="A235" t="s">
        <v>209</v>
      </c>
      <c r="B235" t="s">
        <v>696</v>
      </c>
      <c r="C235" t="s">
        <v>623</v>
      </c>
      <c r="D235" s="121"/>
    </row>
    <row r="236" spans="1:4" x14ac:dyDescent="0.2">
      <c r="D236" s="121"/>
    </row>
    <row r="237" spans="1:4" x14ac:dyDescent="0.2">
      <c r="A237" t="s">
        <v>815</v>
      </c>
      <c r="B237" t="s">
        <v>816</v>
      </c>
      <c r="C237" t="s">
        <v>817</v>
      </c>
      <c r="D237" s="121"/>
    </row>
    <row r="238" spans="1:4" x14ac:dyDescent="0.2">
      <c r="A238" t="s">
        <v>815</v>
      </c>
      <c r="B238" t="s">
        <v>818</v>
      </c>
      <c r="C238" t="s">
        <v>819</v>
      </c>
      <c r="D238" s="121"/>
    </row>
    <row r="239" spans="1:4" x14ac:dyDescent="0.2">
      <c r="A239" t="s">
        <v>815</v>
      </c>
      <c r="B239" t="s">
        <v>820</v>
      </c>
      <c r="C239" t="s">
        <v>821</v>
      </c>
      <c r="D239" s="121"/>
    </row>
    <row r="240" spans="1:4" x14ac:dyDescent="0.2">
      <c r="A240" t="s">
        <v>815</v>
      </c>
      <c r="B240" t="s">
        <v>822</v>
      </c>
      <c r="C240" t="s">
        <v>823</v>
      </c>
      <c r="D240" s="121"/>
    </row>
    <row r="241" spans="1:4" x14ac:dyDescent="0.2">
      <c r="A241" t="s">
        <v>815</v>
      </c>
      <c r="B241" t="s">
        <v>824</v>
      </c>
      <c r="C241" t="s">
        <v>825</v>
      </c>
      <c r="D241" s="121"/>
    </row>
    <row r="242" spans="1:4" x14ac:dyDescent="0.2">
      <c r="A242" t="s">
        <v>815</v>
      </c>
      <c r="B242" t="s">
        <v>826</v>
      </c>
      <c r="C242" t="s">
        <v>827</v>
      </c>
      <c r="D242" s="121"/>
    </row>
    <row r="243" spans="1:4" x14ac:dyDescent="0.2">
      <c r="A243" t="s">
        <v>815</v>
      </c>
      <c r="B243" t="s">
        <v>828</v>
      </c>
      <c r="C243" t="s">
        <v>829</v>
      </c>
      <c r="D243" s="121"/>
    </row>
    <row r="244" spans="1:4" x14ac:dyDescent="0.2">
      <c r="A244" t="s">
        <v>815</v>
      </c>
      <c r="B244" t="s">
        <v>830</v>
      </c>
      <c r="C244" t="s">
        <v>831</v>
      </c>
      <c r="D244" s="121"/>
    </row>
    <row r="245" spans="1:4" x14ac:dyDescent="0.2">
      <c r="A245" t="s">
        <v>815</v>
      </c>
      <c r="B245" t="s">
        <v>691</v>
      </c>
      <c r="C245" t="s">
        <v>832</v>
      </c>
      <c r="D245" s="121"/>
    </row>
    <row r="246" spans="1:4" x14ac:dyDescent="0.2">
      <c r="A246" t="s">
        <v>815</v>
      </c>
      <c r="B246" t="s">
        <v>693</v>
      </c>
      <c r="C246" t="s">
        <v>833</v>
      </c>
      <c r="D246" s="121"/>
    </row>
    <row r="247" spans="1:4" x14ac:dyDescent="0.2">
      <c r="A247" t="s">
        <v>815</v>
      </c>
      <c r="B247" t="s">
        <v>695</v>
      </c>
      <c r="C247" t="s">
        <v>622</v>
      </c>
      <c r="D247" s="121"/>
    </row>
    <row r="248" spans="1:4" x14ac:dyDescent="0.2">
      <c r="A248" t="s">
        <v>815</v>
      </c>
      <c r="B248" t="s">
        <v>696</v>
      </c>
      <c r="C248" t="s">
        <v>623</v>
      </c>
      <c r="D248" s="121"/>
    </row>
    <row r="249" spans="1:4" x14ac:dyDescent="0.2">
      <c r="D249" s="121"/>
    </row>
    <row r="250" spans="1:4" s="115" customFormat="1" x14ac:dyDescent="0.2">
      <c r="A250" s="124" t="s">
        <v>834</v>
      </c>
      <c r="B250" s="124">
        <v>1</v>
      </c>
      <c r="C250" s="124" t="s">
        <v>835</v>
      </c>
      <c r="D250" s="132"/>
    </row>
    <row r="251" spans="1:4" s="115" customFormat="1" x14ac:dyDescent="0.2">
      <c r="A251" s="124" t="s">
        <v>834</v>
      </c>
      <c r="B251" s="124">
        <v>2</v>
      </c>
      <c r="C251" s="124" t="s">
        <v>836</v>
      </c>
      <c r="D251" s="132"/>
    </row>
    <row r="252" spans="1:4" s="115" customFormat="1" x14ac:dyDescent="0.2">
      <c r="A252" s="124" t="s">
        <v>834</v>
      </c>
      <c r="B252" s="124">
        <v>3</v>
      </c>
      <c r="C252" s="124" t="s">
        <v>837</v>
      </c>
      <c r="D252" s="132"/>
    </row>
    <row r="253" spans="1:4" s="115" customFormat="1" x14ac:dyDescent="0.2">
      <c r="A253" s="124" t="s">
        <v>834</v>
      </c>
      <c r="B253" s="124">
        <v>4</v>
      </c>
      <c r="C253" s="124" t="s">
        <v>838</v>
      </c>
      <c r="D253" s="132"/>
    </row>
    <row r="254" spans="1:4" s="115" customFormat="1" x14ac:dyDescent="0.2">
      <c r="A254" s="124" t="s">
        <v>834</v>
      </c>
      <c r="B254" s="124">
        <v>5</v>
      </c>
      <c r="C254" s="133" t="s">
        <v>839</v>
      </c>
      <c r="D254" s="132"/>
    </row>
    <row r="255" spans="1:4" s="115" customFormat="1" x14ac:dyDescent="0.2">
      <c r="D255" s="132"/>
    </row>
    <row r="256" spans="1:4" s="127" customFormat="1" x14ac:dyDescent="0.2">
      <c r="A256" s="124" t="s">
        <v>840</v>
      </c>
      <c r="B256" s="124">
        <v>1</v>
      </c>
      <c r="C256" s="124" t="s">
        <v>841</v>
      </c>
      <c r="D256" s="120"/>
    </row>
    <row r="257" spans="1:4" s="127" customFormat="1" x14ac:dyDescent="0.2">
      <c r="A257" s="124" t="s">
        <v>840</v>
      </c>
      <c r="B257" s="124">
        <v>2</v>
      </c>
      <c r="C257" s="124" t="s">
        <v>842</v>
      </c>
      <c r="D257" s="120"/>
    </row>
    <row r="258" spans="1:4" s="115" customFormat="1" x14ac:dyDescent="0.2">
      <c r="D258" s="132"/>
    </row>
    <row r="259" spans="1:4" s="115" customFormat="1" x14ac:dyDescent="0.2">
      <c r="A259" s="124" t="s">
        <v>843</v>
      </c>
      <c r="B259" s="124">
        <v>1</v>
      </c>
      <c r="C259" s="124" t="s">
        <v>844</v>
      </c>
      <c r="D259" s="132"/>
    </row>
    <row r="260" spans="1:4" s="115" customFormat="1" x14ac:dyDescent="0.2">
      <c r="A260" s="124" t="s">
        <v>843</v>
      </c>
      <c r="B260" s="124">
        <v>2</v>
      </c>
      <c r="C260" s="124" t="s">
        <v>845</v>
      </c>
      <c r="D260" s="132"/>
    </row>
    <row r="261" spans="1:4" s="115" customFormat="1" x14ac:dyDescent="0.2">
      <c r="A261" s="124" t="s">
        <v>843</v>
      </c>
      <c r="B261" s="124">
        <v>3</v>
      </c>
      <c r="C261" s="124" t="s">
        <v>846</v>
      </c>
      <c r="D261" s="132"/>
    </row>
    <row r="262" spans="1:4" s="115" customFormat="1" x14ac:dyDescent="0.2">
      <c r="A262" s="124" t="s">
        <v>843</v>
      </c>
      <c r="B262" s="124">
        <v>4</v>
      </c>
      <c r="C262" s="124" t="s">
        <v>847</v>
      </c>
      <c r="D262" s="132"/>
    </row>
    <row r="263" spans="1:4" s="115" customFormat="1" x14ac:dyDescent="0.2">
      <c r="A263" s="124" t="s">
        <v>843</v>
      </c>
      <c r="B263" s="124">
        <v>5</v>
      </c>
      <c r="C263" s="124" t="s">
        <v>848</v>
      </c>
      <c r="D263" s="132"/>
    </row>
    <row r="264" spans="1:4" s="115" customFormat="1" x14ac:dyDescent="0.2">
      <c r="A264" s="124" t="s">
        <v>843</v>
      </c>
      <c r="B264" s="124">
        <v>6</v>
      </c>
      <c r="C264" s="124" t="s">
        <v>832</v>
      </c>
      <c r="D264" s="132"/>
    </row>
    <row r="265" spans="1:4" s="115" customFormat="1" x14ac:dyDescent="0.2">
      <c r="A265" s="124" t="s">
        <v>843</v>
      </c>
      <c r="B265" s="124">
        <v>7</v>
      </c>
      <c r="C265" s="124" t="s">
        <v>622</v>
      </c>
      <c r="D265" s="132"/>
    </row>
    <row r="266" spans="1:4" s="115" customFormat="1" x14ac:dyDescent="0.2">
      <c r="A266" s="124" t="s">
        <v>843</v>
      </c>
      <c r="B266" s="124">
        <v>8</v>
      </c>
      <c r="C266" s="124" t="s">
        <v>623</v>
      </c>
      <c r="D266" s="132"/>
    </row>
    <row r="267" spans="1:4" x14ac:dyDescent="0.2">
      <c r="D267" s="121"/>
    </row>
    <row r="268" spans="1:4" s="115" customFormat="1" x14ac:dyDescent="0.2">
      <c r="A268" s="129" t="s">
        <v>849</v>
      </c>
      <c r="B268" s="129">
        <v>1</v>
      </c>
      <c r="C268" s="129" t="s">
        <v>850</v>
      </c>
      <c r="D268" s="132"/>
    </row>
    <row r="269" spans="1:4" s="115" customFormat="1" x14ac:dyDescent="0.2">
      <c r="A269" s="129" t="s">
        <v>849</v>
      </c>
      <c r="B269" s="129">
        <v>2</v>
      </c>
      <c r="C269" s="129" t="s">
        <v>851</v>
      </c>
      <c r="D269" s="132"/>
    </row>
    <row r="270" spans="1:4" s="115" customFormat="1" x14ac:dyDescent="0.2">
      <c r="A270" s="129" t="s">
        <v>849</v>
      </c>
      <c r="B270" s="129">
        <v>3</v>
      </c>
      <c r="C270" s="129" t="s">
        <v>852</v>
      </c>
      <c r="D270" s="132"/>
    </row>
    <row r="271" spans="1:4" s="115" customFormat="1" x14ac:dyDescent="0.2">
      <c r="A271" s="129" t="s">
        <v>849</v>
      </c>
      <c r="B271" s="129">
        <v>4</v>
      </c>
      <c r="C271" s="129" t="s">
        <v>853</v>
      </c>
      <c r="D271" s="132"/>
    </row>
    <row r="272" spans="1:4" s="115" customFormat="1" x14ac:dyDescent="0.2">
      <c r="A272" s="129" t="s">
        <v>849</v>
      </c>
      <c r="B272" s="129">
        <v>5</v>
      </c>
      <c r="C272" s="129" t="s">
        <v>854</v>
      </c>
      <c r="D272" s="132"/>
    </row>
    <row r="273" spans="1:4" s="115" customFormat="1" x14ac:dyDescent="0.2">
      <c r="A273" s="129" t="s">
        <v>849</v>
      </c>
      <c r="B273" s="129">
        <v>6</v>
      </c>
      <c r="C273" s="129" t="s">
        <v>622</v>
      </c>
      <c r="D273" s="132"/>
    </row>
    <row r="274" spans="1:4" s="115" customFormat="1" x14ac:dyDescent="0.2">
      <c r="A274" s="129" t="s">
        <v>849</v>
      </c>
      <c r="B274" s="129">
        <v>7</v>
      </c>
      <c r="C274" s="129" t="s">
        <v>623</v>
      </c>
      <c r="D274" s="132"/>
    </row>
    <row r="275" spans="1:4" x14ac:dyDescent="0.2">
      <c r="D275" s="121"/>
    </row>
    <row r="276" spans="1:4" s="115" customFormat="1" x14ac:dyDescent="0.2">
      <c r="A276" s="129" t="s">
        <v>855</v>
      </c>
      <c r="B276" s="129" t="s">
        <v>856</v>
      </c>
      <c r="C276" s="129" t="s">
        <v>857</v>
      </c>
      <c r="D276" s="132"/>
    </row>
    <row r="277" spans="1:4" s="115" customFormat="1" x14ac:dyDescent="0.2">
      <c r="A277" s="129" t="s">
        <v>855</v>
      </c>
      <c r="B277" s="129" t="s">
        <v>858</v>
      </c>
      <c r="C277" s="129" t="s">
        <v>859</v>
      </c>
      <c r="D277" s="132"/>
    </row>
    <row r="278" spans="1:4" s="115" customFormat="1" x14ac:dyDescent="0.2">
      <c r="A278" s="129" t="s">
        <v>855</v>
      </c>
      <c r="B278" s="129" t="s">
        <v>860</v>
      </c>
      <c r="C278" s="129" t="s">
        <v>861</v>
      </c>
      <c r="D278" s="132"/>
    </row>
    <row r="279" spans="1:4" s="115" customFormat="1" x14ac:dyDescent="0.2">
      <c r="A279" s="129" t="s">
        <v>855</v>
      </c>
      <c r="B279" s="129" t="s">
        <v>862</v>
      </c>
      <c r="C279" s="129" t="s">
        <v>863</v>
      </c>
      <c r="D279" s="132"/>
    </row>
    <row r="280" spans="1:4" s="115" customFormat="1" x14ac:dyDescent="0.2">
      <c r="A280" s="129" t="s">
        <v>855</v>
      </c>
      <c r="B280" s="129" t="s">
        <v>864</v>
      </c>
      <c r="C280" s="129" t="s">
        <v>865</v>
      </c>
      <c r="D280" s="132"/>
    </row>
    <row r="281" spans="1:4" s="115" customFormat="1" x14ac:dyDescent="0.2">
      <c r="A281" s="129" t="s">
        <v>855</v>
      </c>
      <c r="B281" s="129" t="s">
        <v>866</v>
      </c>
      <c r="C281" s="129" t="s">
        <v>867</v>
      </c>
      <c r="D281" s="132"/>
    </row>
    <row r="282" spans="1:4" s="115" customFormat="1" x14ac:dyDescent="0.2">
      <c r="A282" s="129" t="s">
        <v>855</v>
      </c>
      <c r="B282" s="129" t="s">
        <v>868</v>
      </c>
      <c r="C282" s="129" t="s">
        <v>869</v>
      </c>
      <c r="D282" s="132"/>
    </row>
    <row r="283" spans="1:4" s="115" customFormat="1" x14ac:dyDescent="0.2">
      <c r="A283" s="129" t="s">
        <v>855</v>
      </c>
      <c r="B283" s="129" t="s">
        <v>691</v>
      </c>
      <c r="C283" s="129" t="s">
        <v>870</v>
      </c>
      <c r="D283" s="132"/>
    </row>
    <row r="284" spans="1:4" s="115" customFormat="1" x14ac:dyDescent="0.2">
      <c r="A284" s="129" t="s">
        <v>855</v>
      </c>
      <c r="B284" s="129" t="s">
        <v>695</v>
      </c>
      <c r="C284" s="129" t="s">
        <v>622</v>
      </c>
      <c r="D284" s="132"/>
    </row>
    <row r="285" spans="1:4" s="115" customFormat="1" x14ac:dyDescent="0.2">
      <c r="A285" s="129" t="s">
        <v>855</v>
      </c>
      <c r="B285" s="129" t="s">
        <v>696</v>
      </c>
      <c r="C285" s="129" t="s">
        <v>623</v>
      </c>
      <c r="D285" s="132"/>
    </row>
    <row r="286" spans="1:4" x14ac:dyDescent="0.2">
      <c r="D286" s="121"/>
    </row>
    <row r="287" spans="1:4" x14ac:dyDescent="0.2">
      <c r="A287" s="129" t="s">
        <v>871</v>
      </c>
      <c r="B287" s="129">
        <v>1</v>
      </c>
      <c r="C287" s="129" t="s">
        <v>872</v>
      </c>
      <c r="D287" s="121"/>
    </row>
    <row r="288" spans="1:4" x14ac:dyDescent="0.2">
      <c r="A288" s="129" t="s">
        <v>871</v>
      </c>
      <c r="B288" s="129">
        <v>2</v>
      </c>
      <c r="C288" s="129" t="s">
        <v>873</v>
      </c>
      <c r="D288" s="121"/>
    </row>
    <row r="289" spans="1:4" x14ac:dyDescent="0.2">
      <c r="A289" s="129" t="s">
        <v>871</v>
      </c>
      <c r="B289" s="129">
        <v>3</v>
      </c>
      <c r="C289" s="129" t="s">
        <v>874</v>
      </c>
      <c r="D289" s="121"/>
    </row>
    <row r="290" spans="1:4" x14ac:dyDescent="0.2">
      <c r="A290" s="129" t="s">
        <v>871</v>
      </c>
      <c r="B290" s="129">
        <v>4</v>
      </c>
      <c r="C290" s="129" t="s">
        <v>875</v>
      </c>
      <c r="D290" s="121"/>
    </row>
    <row r="291" spans="1:4" x14ac:dyDescent="0.2">
      <c r="A291" s="129" t="s">
        <v>871</v>
      </c>
      <c r="B291" s="129">
        <v>5</v>
      </c>
      <c r="C291" s="129" t="s">
        <v>876</v>
      </c>
      <c r="D291" s="121"/>
    </row>
    <row r="292" spans="1:4" x14ac:dyDescent="0.2">
      <c r="A292" s="129" t="s">
        <v>871</v>
      </c>
      <c r="B292" s="129">
        <v>6</v>
      </c>
      <c r="C292" s="129" t="s">
        <v>877</v>
      </c>
      <c r="D292" s="121"/>
    </row>
    <row r="293" spans="1:4" x14ac:dyDescent="0.2">
      <c r="A293" s="129" t="s">
        <v>871</v>
      </c>
      <c r="B293" s="129">
        <v>7</v>
      </c>
      <c r="C293" s="129" t="s">
        <v>878</v>
      </c>
      <c r="D293" s="121"/>
    </row>
    <row r="294" spans="1:4" x14ac:dyDescent="0.2">
      <c r="A294" s="129" t="s">
        <v>871</v>
      </c>
      <c r="B294" s="129">
        <v>8</v>
      </c>
      <c r="C294" s="129" t="s">
        <v>879</v>
      </c>
      <c r="D294" s="121"/>
    </row>
    <row r="295" spans="1:4" x14ac:dyDescent="0.2">
      <c r="A295" s="129" t="s">
        <v>871</v>
      </c>
      <c r="B295" s="129">
        <v>10</v>
      </c>
      <c r="C295" s="129" t="s">
        <v>5860</v>
      </c>
      <c r="D295" s="121"/>
    </row>
    <row r="296" spans="1:4" x14ac:dyDescent="0.2">
      <c r="A296" s="129" t="s">
        <v>871</v>
      </c>
      <c r="B296" s="129">
        <v>9</v>
      </c>
      <c r="C296" s="129" t="s">
        <v>832</v>
      </c>
      <c r="D296" s="121"/>
    </row>
    <row r="297" spans="1:4" x14ac:dyDescent="0.2">
      <c r="D297" s="121"/>
    </row>
    <row r="298" spans="1:4" x14ac:dyDescent="0.2">
      <c r="A298" s="124" t="s">
        <v>880</v>
      </c>
      <c r="B298" s="124" t="s">
        <v>881</v>
      </c>
      <c r="C298" s="124" t="s">
        <v>882</v>
      </c>
      <c r="D298" s="121"/>
    </row>
    <row r="299" spans="1:4" x14ac:dyDescent="0.2">
      <c r="A299" s="124" t="s">
        <v>880</v>
      </c>
      <c r="B299" s="124" t="s">
        <v>883</v>
      </c>
      <c r="C299" s="124" t="s">
        <v>884</v>
      </c>
      <c r="D299" s="121"/>
    </row>
    <row r="300" spans="1:4" x14ac:dyDescent="0.2">
      <c r="A300" s="124" t="s">
        <v>880</v>
      </c>
      <c r="B300" s="124" t="s">
        <v>885</v>
      </c>
      <c r="C300" s="124" t="s">
        <v>886</v>
      </c>
      <c r="D300" s="121"/>
    </row>
    <row r="301" spans="1:4" x14ac:dyDescent="0.2">
      <c r="A301" s="124" t="s">
        <v>880</v>
      </c>
      <c r="B301" s="124" t="s">
        <v>887</v>
      </c>
      <c r="C301" s="124" t="s">
        <v>888</v>
      </c>
      <c r="D301" s="121"/>
    </row>
    <row r="302" spans="1:4" x14ac:dyDescent="0.2">
      <c r="A302" s="124" t="s">
        <v>880</v>
      </c>
      <c r="B302" s="124" t="s">
        <v>889</v>
      </c>
      <c r="C302" s="124" t="s">
        <v>890</v>
      </c>
      <c r="D302" s="121"/>
    </row>
    <row r="303" spans="1:4" x14ac:dyDescent="0.2">
      <c r="A303" s="124" t="s">
        <v>880</v>
      </c>
      <c r="B303" s="124" t="s">
        <v>891</v>
      </c>
      <c r="C303" s="124" t="s">
        <v>892</v>
      </c>
      <c r="D303" s="121"/>
    </row>
    <row r="304" spans="1:4" x14ac:dyDescent="0.2">
      <c r="A304" s="124" t="s">
        <v>880</v>
      </c>
      <c r="B304" s="124" t="s">
        <v>893</v>
      </c>
      <c r="C304" s="124" t="s">
        <v>894</v>
      </c>
      <c r="D304" s="121"/>
    </row>
    <row r="305" spans="1:4" x14ac:dyDescent="0.2">
      <c r="A305" s="124" t="s">
        <v>880</v>
      </c>
      <c r="B305" s="124" t="s">
        <v>895</v>
      </c>
      <c r="C305" s="124" t="s">
        <v>896</v>
      </c>
      <c r="D305" s="121"/>
    </row>
    <row r="306" spans="1:4" x14ac:dyDescent="0.2">
      <c r="A306" s="124" t="s">
        <v>880</v>
      </c>
      <c r="B306" s="124" t="s">
        <v>897</v>
      </c>
      <c r="C306" s="124" t="s">
        <v>898</v>
      </c>
      <c r="D306" s="121"/>
    </row>
    <row r="307" spans="1:4" x14ac:dyDescent="0.2">
      <c r="A307" s="124" t="s">
        <v>880</v>
      </c>
      <c r="B307" s="124" t="s">
        <v>899</v>
      </c>
      <c r="C307" s="124" t="s">
        <v>900</v>
      </c>
      <c r="D307" s="121"/>
    </row>
    <row r="308" spans="1:4" x14ac:dyDescent="0.2">
      <c r="A308" s="124" t="s">
        <v>880</v>
      </c>
      <c r="B308" s="124" t="s">
        <v>901</v>
      </c>
      <c r="C308" s="124" t="s">
        <v>902</v>
      </c>
      <c r="D308" s="121"/>
    </row>
    <row r="309" spans="1:4" x14ac:dyDescent="0.2">
      <c r="A309" s="124" t="s">
        <v>880</v>
      </c>
      <c r="B309" s="124" t="s">
        <v>903</v>
      </c>
      <c r="C309" s="124" t="s">
        <v>904</v>
      </c>
      <c r="D309" s="121"/>
    </row>
    <row r="310" spans="1:4" x14ac:dyDescent="0.2">
      <c r="A310" s="124" t="s">
        <v>880</v>
      </c>
      <c r="B310" s="124" t="s">
        <v>905</v>
      </c>
      <c r="C310" s="124" t="s">
        <v>906</v>
      </c>
      <c r="D310" s="121"/>
    </row>
    <row r="311" spans="1:4" x14ac:dyDescent="0.2">
      <c r="A311" s="124" t="s">
        <v>880</v>
      </c>
      <c r="B311" s="124" t="s">
        <v>907</v>
      </c>
      <c r="C311" s="124" t="s">
        <v>908</v>
      </c>
      <c r="D311" s="121"/>
    </row>
    <row r="312" spans="1:4" x14ac:dyDescent="0.2">
      <c r="A312" s="124" t="s">
        <v>880</v>
      </c>
      <c r="B312" s="124" t="s">
        <v>909</v>
      </c>
      <c r="C312" s="124" t="s">
        <v>910</v>
      </c>
      <c r="D312" s="121"/>
    </row>
    <row r="313" spans="1:4" x14ac:dyDescent="0.2">
      <c r="A313" s="124" t="s">
        <v>880</v>
      </c>
      <c r="B313" s="124" t="s">
        <v>691</v>
      </c>
      <c r="C313" s="124" t="s">
        <v>870</v>
      </c>
      <c r="D313" s="121"/>
    </row>
    <row r="314" spans="1:4" x14ac:dyDescent="0.2">
      <c r="A314" s="124" t="s">
        <v>880</v>
      </c>
      <c r="B314" s="124" t="s">
        <v>695</v>
      </c>
      <c r="C314" s="124" t="s">
        <v>622</v>
      </c>
      <c r="D314" s="121"/>
    </row>
    <row r="315" spans="1:4" x14ac:dyDescent="0.2">
      <c r="A315" s="124" t="s">
        <v>880</v>
      </c>
      <c r="B315" s="124" t="s">
        <v>696</v>
      </c>
      <c r="C315" s="124" t="s">
        <v>623</v>
      </c>
      <c r="D315" s="121"/>
    </row>
    <row r="316" spans="1:4" x14ac:dyDescent="0.2">
      <c r="D316" s="121"/>
    </row>
    <row r="317" spans="1:4" s="115" customFormat="1" x14ac:dyDescent="0.2">
      <c r="A317" s="129" t="s">
        <v>911</v>
      </c>
      <c r="B317" s="129">
        <v>1</v>
      </c>
      <c r="C317" s="129" t="s">
        <v>912</v>
      </c>
      <c r="D317" s="132"/>
    </row>
    <row r="318" spans="1:4" s="115" customFormat="1" x14ac:dyDescent="0.2">
      <c r="A318" s="129" t="s">
        <v>911</v>
      </c>
      <c r="B318" s="129">
        <v>2</v>
      </c>
      <c r="C318" s="129" t="s">
        <v>913</v>
      </c>
      <c r="D318" s="132"/>
    </row>
    <row r="319" spans="1:4" s="115" customFormat="1" x14ac:dyDescent="0.2">
      <c r="A319" s="129" t="s">
        <v>911</v>
      </c>
      <c r="B319" s="129">
        <v>3</v>
      </c>
      <c r="C319" s="129" t="s">
        <v>914</v>
      </c>
      <c r="D319" s="132"/>
    </row>
    <row r="320" spans="1:4" s="115" customFormat="1" x14ac:dyDescent="0.2">
      <c r="A320" s="129" t="s">
        <v>911</v>
      </c>
      <c r="B320" s="129">
        <v>4</v>
      </c>
      <c r="C320" s="129" t="s">
        <v>915</v>
      </c>
      <c r="D320" s="132"/>
    </row>
    <row r="321" spans="1:5" s="115" customFormat="1" x14ac:dyDescent="0.2">
      <c r="A321" s="129" t="s">
        <v>911</v>
      </c>
      <c r="B321" s="129">
        <v>5</v>
      </c>
      <c r="C321" s="129" t="s">
        <v>916</v>
      </c>
      <c r="D321" s="132"/>
    </row>
    <row r="322" spans="1:5" s="115" customFormat="1" x14ac:dyDescent="0.2">
      <c r="A322" s="129" t="s">
        <v>911</v>
      </c>
      <c r="B322" s="129">
        <v>6</v>
      </c>
      <c r="C322" s="129" t="s">
        <v>917</v>
      </c>
      <c r="D322" s="132"/>
    </row>
    <row r="323" spans="1:5" s="115" customFormat="1" x14ac:dyDescent="0.2">
      <c r="A323" s="129" t="s">
        <v>911</v>
      </c>
      <c r="B323" s="129">
        <v>7</v>
      </c>
      <c r="C323" s="129" t="s">
        <v>622</v>
      </c>
      <c r="D323" s="132"/>
    </row>
    <row r="324" spans="1:5" x14ac:dyDescent="0.2">
      <c r="A324" s="129" t="s">
        <v>911</v>
      </c>
      <c r="B324" s="129">
        <v>8</v>
      </c>
      <c r="C324" s="129" t="s">
        <v>623</v>
      </c>
      <c r="D324" s="132"/>
      <c r="E324" s="115"/>
    </row>
    <row r="325" spans="1:5" x14ac:dyDescent="0.2">
      <c r="D325" s="121"/>
    </row>
    <row r="326" spans="1:5" x14ac:dyDescent="0.2">
      <c r="A326" t="s">
        <v>918</v>
      </c>
      <c r="B326" t="s">
        <v>919</v>
      </c>
      <c r="C326" t="s">
        <v>920</v>
      </c>
      <c r="D326" s="121"/>
    </row>
    <row r="327" spans="1:5" x14ac:dyDescent="0.2">
      <c r="A327" t="s">
        <v>918</v>
      </c>
      <c r="B327" t="s">
        <v>921</v>
      </c>
      <c r="C327" t="s">
        <v>922</v>
      </c>
      <c r="D327" s="121"/>
    </row>
    <row r="328" spans="1:5" x14ac:dyDescent="0.2">
      <c r="A328" t="s">
        <v>918</v>
      </c>
      <c r="B328" t="s">
        <v>923</v>
      </c>
      <c r="C328" t="s">
        <v>924</v>
      </c>
      <c r="D328" s="121"/>
    </row>
    <row r="329" spans="1:5" x14ac:dyDescent="0.2">
      <c r="A329" t="s">
        <v>918</v>
      </c>
      <c r="B329" t="s">
        <v>925</v>
      </c>
      <c r="C329" t="s">
        <v>926</v>
      </c>
      <c r="D329" s="121"/>
    </row>
    <row r="330" spans="1:5" x14ac:dyDescent="0.2">
      <c r="A330" t="s">
        <v>918</v>
      </c>
      <c r="B330" t="s">
        <v>927</v>
      </c>
      <c r="C330" t="s">
        <v>928</v>
      </c>
      <c r="D330" s="121"/>
    </row>
    <row r="331" spans="1:5" x14ac:dyDescent="0.2">
      <c r="A331" t="s">
        <v>918</v>
      </c>
      <c r="B331" t="s">
        <v>929</v>
      </c>
      <c r="C331" t="s">
        <v>930</v>
      </c>
      <c r="D331" s="121"/>
    </row>
    <row r="332" spans="1:5" x14ac:dyDescent="0.2">
      <c r="A332" t="s">
        <v>918</v>
      </c>
      <c r="B332" t="s">
        <v>931</v>
      </c>
      <c r="C332" t="s">
        <v>932</v>
      </c>
      <c r="D332" s="121"/>
    </row>
    <row r="333" spans="1:5" x14ac:dyDescent="0.2">
      <c r="A333" t="s">
        <v>918</v>
      </c>
      <c r="B333" t="s">
        <v>691</v>
      </c>
      <c r="C333" t="s">
        <v>870</v>
      </c>
      <c r="D333" s="121"/>
    </row>
    <row r="334" spans="1:5" x14ac:dyDescent="0.2">
      <c r="A334" t="s">
        <v>918</v>
      </c>
      <c r="B334" t="s">
        <v>695</v>
      </c>
      <c r="C334" t="s">
        <v>622</v>
      </c>
      <c r="D334" s="121"/>
    </row>
    <row r="335" spans="1:5" x14ac:dyDescent="0.2">
      <c r="A335" t="s">
        <v>918</v>
      </c>
      <c r="B335" t="s">
        <v>696</v>
      </c>
      <c r="C335" t="s">
        <v>623</v>
      </c>
      <c r="D335" s="121"/>
    </row>
    <row r="336" spans="1:5" x14ac:dyDescent="0.2">
      <c r="D336" s="121"/>
    </row>
    <row r="337" spans="1:4" x14ac:dyDescent="0.2">
      <c r="A337" t="s">
        <v>360</v>
      </c>
      <c r="B337">
        <v>1</v>
      </c>
      <c r="C337" t="s">
        <v>933</v>
      </c>
      <c r="D337" s="121"/>
    </row>
    <row r="338" spans="1:4" x14ac:dyDescent="0.2">
      <c r="A338" t="s">
        <v>360</v>
      </c>
      <c r="B338">
        <v>2</v>
      </c>
      <c r="C338" t="s">
        <v>934</v>
      </c>
      <c r="D338" s="121"/>
    </row>
    <row r="339" spans="1:4" x14ac:dyDescent="0.2">
      <c r="A339" t="s">
        <v>360</v>
      </c>
      <c r="B339">
        <v>3</v>
      </c>
      <c r="C339" t="s">
        <v>935</v>
      </c>
      <c r="D339" s="121"/>
    </row>
    <row r="340" spans="1:4" x14ac:dyDescent="0.2">
      <c r="A340" t="s">
        <v>360</v>
      </c>
      <c r="B340">
        <v>4</v>
      </c>
      <c r="C340" t="s">
        <v>936</v>
      </c>
      <c r="D340" s="121"/>
    </row>
    <row r="341" spans="1:4" x14ac:dyDescent="0.2">
      <c r="A341" t="s">
        <v>360</v>
      </c>
      <c r="B341">
        <v>5</v>
      </c>
      <c r="C341" t="s">
        <v>937</v>
      </c>
      <c r="D341" s="121"/>
    </row>
    <row r="342" spans="1:4" x14ac:dyDescent="0.2">
      <c r="A342" t="s">
        <v>360</v>
      </c>
      <c r="B342">
        <v>6</v>
      </c>
      <c r="C342" t="s">
        <v>938</v>
      </c>
      <c r="D342" s="121"/>
    </row>
    <row r="343" spans="1:4" x14ac:dyDescent="0.2">
      <c r="A343" t="s">
        <v>360</v>
      </c>
      <c r="B343">
        <v>7</v>
      </c>
      <c r="C343" t="s">
        <v>939</v>
      </c>
      <c r="D343" s="121"/>
    </row>
    <row r="344" spans="1:4" x14ac:dyDescent="0.2">
      <c r="A344" t="s">
        <v>360</v>
      </c>
      <c r="B344">
        <v>8</v>
      </c>
      <c r="C344" t="s">
        <v>940</v>
      </c>
      <c r="D344" s="121"/>
    </row>
    <row r="345" spans="1:4" x14ac:dyDescent="0.2">
      <c r="A345" t="s">
        <v>360</v>
      </c>
      <c r="B345">
        <v>9</v>
      </c>
      <c r="C345" t="s">
        <v>870</v>
      </c>
      <c r="D345" s="121"/>
    </row>
    <row r="346" spans="1:4" x14ac:dyDescent="0.2">
      <c r="A346" t="s">
        <v>360</v>
      </c>
      <c r="B346" s="123">
        <v>10</v>
      </c>
      <c r="C346" t="s">
        <v>622</v>
      </c>
      <c r="D346" s="121"/>
    </row>
    <row r="347" spans="1:4" x14ac:dyDescent="0.2">
      <c r="A347" t="s">
        <v>360</v>
      </c>
      <c r="B347" s="123">
        <v>11</v>
      </c>
      <c r="C347" t="s">
        <v>623</v>
      </c>
      <c r="D347" s="121"/>
    </row>
    <row r="348" spans="1:4" x14ac:dyDescent="0.2">
      <c r="D348" s="121"/>
    </row>
    <row r="349" spans="1:4" x14ac:dyDescent="0.2">
      <c r="A349" t="s">
        <v>941</v>
      </c>
      <c r="B349" t="s">
        <v>942</v>
      </c>
      <c r="C349" t="s">
        <v>943</v>
      </c>
      <c r="D349" s="121"/>
    </row>
    <row r="350" spans="1:4" x14ac:dyDescent="0.2">
      <c r="A350" t="s">
        <v>941</v>
      </c>
      <c r="B350" t="s">
        <v>944</v>
      </c>
      <c r="C350" t="s">
        <v>945</v>
      </c>
      <c r="D350" s="121"/>
    </row>
    <row r="351" spans="1:4" x14ac:dyDescent="0.2">
      <c r="A351" t="s">
        <v>941</v>
      </c>
      <c r="B351" t="s">
        <v>946</v>
      </c>
      <c r="C351" t="s">
        <v>947</v>
      </c>
      <c r="D351" s="121"/>
    </row>
    <row r="352" spans="1:4" x14ac:dyDescent="0.2">
      <c r="A352" t="s">
        <v>941</v>
      </c>
      <c r="B352" t="s">
        <v>948</v>
      </c>
      <c r="C352" t="s">
        <v>949</v>
      </c>
      <c r="D352" s="121"/>
    </row>
    <row r="353" spans="1:4" x14ac:dyDescent="0.2">
      <c r="A353" t="s">
        <v>941</v>
      </c>
      <c r="B353" t="s">
        <v>950</v>
      </c>
      <c r="C353" t="s">
        <v>951</v>
      </c>
      <c r="D353" s="121"/>
    </row>
    <row r="354" spans="1:4" x14ac:dyDescent="0.2">
      <c r="A354" t="s">
        <v>941</v>
      </c>
      <c r="B354" t="s">
        <v>952</v>
      </c>
      <c r="C354" t="s">
        <v>953</v>
      </c>
      <c r="D354" s="121"/>
    </row>
    <row r="355" spans="1:4" x14ac:dyDescent="0.2">
      <c r="A355" t="s">
        <v>941</v>
      </c>
      <c r="B355" t="s">
        <v>954</v>
      </c>
      <c r="C355" t="s">
        <v>955</v>
      </c>
      <c r="D355" s="121"/>
    </row>
    <row r="356" spans="1:4" x14ac:dyDescent="0.2">
      <c r="A356" t="s">
        <v>941</v>
      </c>
      <c r="B356" t="s">
        <v>956</v>
      </c>
      <c r="C356" t="s">
        <v>957</v>
      </c>
      <c r="D356" s="121"/>
    </row>
    <row r="357" spans="1:4" x14ac:dyDescent="0.2">
      <c r="A357" t="s">
        <v>941</v>
      </c>
      <c r="B357" t="s">
        <v>958</v>
      </c>
      <c r="C357" t="s">
        <v>959</v>
      </c>
      <c r="D357" s="121"/>
    </row>
    <row r="358" spans="1:4" x14ac:dyDescent="0.2">
      <c r="A358" t="s">
        <v>941</v>
      </c>
      <c r="B358" t="s">
        <v>960</v>
      </c>
      <c r="C358" t="s">
        <v>961</v>
      </c>
      <c r="D358" s="121"/>
    </row>
    <row r="359" spans="1:4" x14ac:dyDescent="0.2">
      <c r="A359" t="s">
        <v>941</v>
      </c>
      <c r="B359" t="s">
        <v>962</v>
      </c>
      <c r="C359" t="s">
        <v>963</v>
      </c>
      <c r="D359" s="121"/>
    </row>
    <row r="360" spans="1:4" x14ac:dyDescent="0.2">
      <c r="A360" t="s">
        <v>941</v>
      </c>
      <c r="B360" t="s">
        <v>964</v>
      </c>
      <c r="C360" t="s">
        <v>870</v>
      </c>
      <c r="D360" s="121"/>
    </row>
    <row r="361" spans="1:4" x14ac:dyDescent="0.2">
      <c r="A361" t="s">
        <v>941</v>
      </c>
      <c r="B361" t="s">
        <v>965</v>
      </c>
      <c r="C361" t="s">
        <v>622</v>
      </c>
      <c r="D361" s="121"/>
    </row>
    <row r="362" spans="1:4" ht="14.25" customHeight="1" x14ac:dyDescent="0.2">
      <c r="A362" t="s">
        <v>941</v>
      </c>
      <c r="B362" t="s">
        <v>966</v>
      </c>
      <c r="C362" t="s">
        <v>623</v>
      </c>
      <c r="D362" s="121"/>
    </row>
    <row r="363" spans="1:4" ht="14.25" customHeight="1" x14ac:dyDescent="0.2">
      <c r="D363" s="121"/>
    </row>
    <row r="364" spans="1:4" s="115" customFormat="1" ht="14.25" customHeight="1" x14ac:dyDescent="0.2">
      <c r="A364" s="129" t="s">
        <v>967</v>
      </c>
      <c r="B364" s="129" t="s">
        <v>968</v>
      </c>
      <c r="C364" s="129" t="s">
        <v>969</v>
      </c>
      <c r="D364" s="132"/>
    </row>
    <row r="365" spans="1:4" s="115" customFormat="1" ht="14.25" customHeight="1" x14ac:dyDescent="0.2">
      <c r="A365" s="129" t="s">
        <v>967</v>
      </c>
      <c r="B365" s="129" t="s">
        <v>970</v>
      </c>
      <c r="C365" s="129" t="s">
        <v>971</v>
      </c>
      <c r="D365" s="132"/>
    </row>
    <row r="366" spans="1:4" s="115" customFormat="1" ht="14.25" customHeight="1" x14ac:dyDescent="0.2">
      <c r="A366" s="129" t="s">
        <v>967</v>
      </c>
      <c r="B366" s="129" t="s">
        <v>972</v>
      </c>
      <c r="C366" s="129" t="s">
        <v>973</v>
      </c>
      <c r="D366" s="132"/>
    </row>
    <row r="367" spans="1:4" s="115" customFormat="1" ht="14.25" customHeight="1" x14ac:dyDescent="0.2">
      <c r="A367" s="129" t="s">
        <v>967</v>
      </c>
      <c r="B367" s="129" t="s">
        <v>974</v>
      </c>
      <c r="C367" s="129" t="s">
        <v>975</v>
      </c>
      <c r="D367" s="132"/>
    </row>
    <row r="368" spans="1:4" s="115" customFormat="1" ht="14.25" customHeight="1" x14ac:dyDescent="0.2">
      <c r="A368" s="129" t="s">
        <v>967</v>
      </c>
      <c r="B368" s="129" t="s">
        <v>976</v>
      </c>
      <c r="C368" s="129" t="s">
        <v>977</v>
      </c>
      <c r="D368" s="132"/>
    </row>
    <row r="369" spans="1:4" s="115" customFormat="1" ht="14.25" customHeight="1" x14ac:dyDescent="0.2">
      <c r="A369" s="129" t="s">
        <v>967</v>
      </c>
      <c r="B369" s="129" t="s">
        <v>691</v>
      </c>
      <c r="C369" s="129" t="s">
        <v>978</v>
      </c>
      <c r="D369" s="132"/>
    </row>
    <row r="370" spans="1:4" s="115" customFormat="1" ht="14.25" customHeight="1" x14ac:dyDescent="0.2">
      <c r="A370" s="129" t="s">
        <v>967</v>
      </c>
      <c r="B370" s="129" t="s">
        <v>695</v>
      </c>
      <c r="C370" s="129" t="s">
        <v>622</v>
      </c>
      <c r="D370" s="132"/>
    </row>
    <row r="371" spans="1:4" s="115" customFormat="1" ht="14.25" customHeight="1" x14ac:dyDescent="0.2">
      <c r="A371" s="129" t="s">
        <v>967</v>
      </c>
      <c r="B371" s="129" t="s">
        <v>696</v>
      </c>
      <c r="C371" s="129" t="s">
        <v>623</v>
      </c>
      <c r="D371" s="132"/>
    </row>
    <row r="372" spans="1:4" ht="14.25" customHeight="1" x14ac:dyDescent="0.2">
      <c r="D372" s="121"/>
    </row>
    <row r="373" spans="1:4" x14ac:dyDescent="0.2">
      <c r="A373" t="s">
        <v>979</v>
      </c>
      <c r="B373" t="s">
        <v>980</v>
      </c>
      <c r="C373" t="s">
        <v>981</v>
      </c>
      <c r="D373" s="121"/>
    </row>
    <row r="374" spans="1:4" x14ac:dyDescent="0.2">
      <c r="A374" t="s">
        <v>979</v>
      </c>
      <c r="B374" t="s">
        <v>982</v>
      </c>
      <c r="C374" t="s">
        <v>983</v>
      </c>
      <c r="D374" s="121"/>
    </row>
    <row r="375" spans="1:4" x14ac:dyDescent="0.2">
      <c r="A375" t="s">
        <v>979</v>
      </c>
      <c r="B375" t="s">
        <v>984</v>
      </c>
      <c r="C375" t="s">
        <v>985</v>
      </c>
      <c r="D375" s="121"/>
    </row>
    <row r="376" spans="1:4" x14ac:dyDescent="0.2">
      <c r="A376" t="s">
        <v>979</v>
      </c>
      <c r="B376" t="s">
        <v>986</v>
      </c>
      <c r="C376" t="s">
        <v>987</v>
      </c>
      <c r="D376" s="121"/>
    </row>
    <row r="377" spans="1:4" x14ac:dyDescent="0.2">
      <c r="A377" t="s">
        <v>979</v>
      </c>
      <c r="B377" t="s">
        <v>988</v>
      </c>
      <c r="C377" t="s">
        <v>989</v>
      </c>
      <c r="D377" s="121"/>
    </row>
    <row r="378" spans="1:4" x14ac:dyDescent="0.2">
      <c r="A378" t="s">
        <v>979</v>
      </c>
      <c r="B378" t="s">
        <v>990</v>
      </c>
      <c r="C378" t="s">
        <v>991</v>
      </c>
      <c r="D378" s="121"/>
    </row>
    <row r="379" spans="1:4" x14ac:dyDescent="0.2">
      <c r="A379" t="s">
        <v>979</v>
      </c>
      <c r="B379" t="s">
        <v>992</v>
      </c>
      <c r="C379" t="s">
        <v>993</v>
      </c>
      <c r="D379" s="121"/>
    </row>
    <row r="380" spans="1:4" x14ac:dyDescent="0.2">
      <c r="A380" t="s">
        <v>979</v>
      </c>
      <c r="B380" t="s">
        <v>994</v>
      </c>
      <c r="C380" t="s">
        <v>995</v>
      </c>
      <c r="D380" s="121"/>
    </row>
    <row r="381" spans="1:4" x14ac:dyDescent="0.2">
      <c r="A381" t="s">
        <v>979</v>
      </c>
      <c r="B381" t="s">
        <v>909</v>
      </c>
      <c r="C381" t="s">
        <v>910</v>
      </c>
      <c r="D381" s="121"/>
    </row>
    <row r="382" spans="1:4" x14ac:dyDescent="0.2">
      <c r="A382" t="s">
        <v>979</v>
      </c>
      <c r="B382" t="s">
        <v>897</v>
      </c>
      <c r="C382" t="s">
        <v>898</v>
      </c>
      <c r="D382" s="121"/>
    </row>
    <row r="383" spans="1:4" x14ac:dyDescent="0.2">
      <c r="A383" t="s">
        <v>979</v>
      </c>
      <c r="B383" t="s">
        <v>691</v>
      </c>
      <c r="C383" t="s">
        <v>870</v>
      </c>
      <c r="D383" s="121"/>
    </row>
    <row r="384" spans="1:4" x14ac:dyDescent="0.2">
      <c r="A384" t="s">
        <v>979</v>
      </c>
      <c r="B384" t="s">
        <v>695</v>
      </c>
      <c r="C384" t="s">
        <v>622</v>
      </c>
      <c r="D384" s="121"/>
    </row>
    <row r="385" spans="1:4" x14ac:dyDescent="0.2">
      <c r="A385" t="s">
        <v>979</v>
      </c>
      <c r="B385" t="s">
        <v>696</v>
      </c>
      <c r="C385" t="s">
        <v>623</v>
      </c>
      <c r="D385" s="121"/>
    </row>
    <row r="386" spans="1:4" x14ac:dyDescent="0.2">
      <c r="D386" s="121"/>
    </row>
    <row r="387" spans="1:4" x14ac:dyDescent="0.2">
      <c r="A387" s="129" t="s">
        <v>996</v>
      </c>
      <c r="B387" s="129">
        <v>1</v>
      </c>
      <c r="C387" s="129" t="s">
        <v>933</v>
      </c>
      <c r="D387" s="121"/>
    </row>
    <row r="388" spans="1:4" x14ac:dyDescent="0.2">
      <c r="A388" s="129" t="s">
        <v>996</v>
      </c>
      <c r="B388" s="129">
        <v>2</v>
      </c>
      <c r="C388" s="129" t="s">
        <v>934</v>
      </c>
      <c r="D388" s="121"/>
    </row>
    <row r="389" spans="1:4" x14ac:dyDescent="0.2">
      <c r="A389" s="129" t="s">
        <v>996</v>
      </c>
      <c r="B389" s="129">
        <v>3</v>
      </c>
      <c r="C389" s="129" t="s">
        <v>935</v>
      </c>
      <c r="D389" s="121"/>
    </row>
    <row r="390" spans="1:4" x14ac:dyDescent="0.2">
      <c r="A390" s="129" t="s">
        <v>996</v>
      </c>
      <c r="B390" s="129">
        <v>4</v>
      </c>
      <c r="C390" s="129" t="s">
        <v>936</v>
      </c>
      <c r="D390" s="121"/>
    </row>
    <row r="391" spans="1:4" x14ac:dyDescent="0.2">
      <c r="A391" s="129" t="s">
        <v>996</v>
      </c>
      <c r="B391" s="129">
        <v>5</v>
      </c>
      <c r="C391" s="129" t="s">
        <v>937</v>
      </c>
      <c r="D391" s="121"/>
    </row>
    <row r="392" spans="1:4" x14ac:dyDescent="0.2">
      <c r="A392" s="129" t="s">
        <v>996</v>
      </c>
      <c r="B392" s="129">
        <v>6</v>
      </c>
      <c r="C392" s="129" t="s">
        <v>938</v>
      </c>
      <c r="D392" s="121"/>
    </row>
    <row r="393" spans="1:4" x14ac:dyDescent="0.2">
      <c r="A393" s="129" t="s">
        <v>996</v>
      </c>
      <c r="B393" s="129">
        <v>7</v>
      </c>
      <c r="C393" s="129" t="s">
        <v>939</v>
      </c>
      <c r="D393" s="121"/>
    </row>
    <row r="394" spans="1:4" x14ac:dyDescent="0.2">
      <c r="A394" s="129" t="s">
        <v>996</v>
      </c>
      <c r="B394" s="129">
        <v>8</v>
      </c>
      <c r="C394" s="129" t="s">
        <v>940</v>
      </c>
      <c r="D394" s="121"/>
    </row>
    <row r="395" spans="1:4" x14ac:dyDescent="0.2">
      <c r="A395" s="129" t="s">
        <v>996</v>
      </c>
      <c r="B395" s="129">
        <v>9</v>
      </c>
      <c r="C395" s="129" t="s">
        <v>870</v>
      </c>
      <c r="D395" s="121"/>
    </row>
    <row r="396" spans="1:4" x14ac:dyDescent="0.2">
      <c r="A396" s="129" t="s">
        <v>996</v>
      </c>
      <c r="B396" s="129">
        <v>666</v>
      </c>
      <c r="C396" s="129" t="s">
        <v>997</v>
      </c>
      <c r="D396" s="121"/>
    </row>
    <row r="397" spans="1:4" x14ac:dyDescent="0.2">
      <c r="A397" s="129" t="s">
        <v>996</v>
      </c>
      <c r="B397" s="129">
        <v>10</v>
      </c>
      <c r="C397" s="129" t="s">
        <v>622</v>
      </c>
      <c r="D397" s="121"/>
    </row>
    <row r="398" spans="1:4" x14ac:dyDescent="0.2">
      <c r="A398" s="129" t="s">
        <v>996</v>
      </c>
      <c r="B398" s="129">
        <v>11</v>
      </c>
      <c r="C398" s="129" t="s">
        <v>623</v>
      </c>
      <c r="D398" s="121"/>
    </row>
    <row r="399" spans="1:4" x14ac:dyDescent="0.2">
      <c r="B399" s="128"/>
      <c r="D399" s="121"/>
    </row>
    <row r="400" spans="1:4" x14ac:dyDescent="0.2">
      <c r="A400" t="s">
        <v>998</v>
      </c>
      <c r="B400">
        <v>1</v>
      </c>
      <c r="C400" t="s">
        <v>933</v>
      </c>
      <c r="D400" s="121"/>
    </row>
    <row r="401" spans="1:4" x14ac:dyDescent="0.2">
      <c r="A401" t="s">
        <v>998</v>
      </c>
      <c r="B401">
        <v>2</v>
      </c>
      <c r="C401" t="s">
        <v>934</v>
      </c>
      <c r="D401" s="121"/>
    </row>
    <row r="402" spans="1:4" x14ac:dyDescent="0.2">
      <c r="A402" t="s">
        <v>998</v>
      </c>
      <c r="B402">
        <v>3</v>
      </c>
      <c r="C402" t="s">
        <v>935</v>
      </c>
      <c r="D402" s="121"/>
    </row>
    <row r="403" spans="1:4" x14ac:dyDescent="0.2">
      <c r="A403" t="s">
        <v>998</v>
      </c>
      <c r="B403">
        <v>4</v>
      </c>
      <c r="C403" s="124" t="s">
        <v>936</v>
      </c>
      <c r="D403" s="121"/>
    </row>
    <row r="404" spans="1:4" x14ac:dyDescent="0.2">
      <c r="A404" t="s">
        <v>998</v>
      </c>
      <c r="B404">
        <v>5</v>
      </c>
      <c r="C404" t="s">
        <v>999</v>
      </c>
      <c r="D404" s="121"/>
    </row>
    <row r="405" spans="1:4" x14ac:dyDescent="0.2">
      <c r="A405" t="s">
        <v>998</v>
      </c>
      <c r="B405">
        <v>6</v>
      </c>
      <c r="C405" t="s">
        <v>938</v>
      </c>
      <c r="D405" s="121"/>
    </row>
    <row r="406" spans="1:4" x14ac:dyDescent="0.2">
      <c r="A406" t="s">
        <v>998</v>
      </c>
      <c r="B406">
        <v>7</v>
      </c>
      <c r="C406" t="s">
        <v>1000</v>
      </c>
      <c r="D406" s="121"/>
    </row>
    <row r="407" spans="1:4" x14ac:dyDescent="0.2">
      <c r="A407" t="s">
        <v>998</v>
      </c>
      <c r="B407">
        <v>8</v>
      </c>
      <c r="C407" t="s">
        <v>940</v>
      </c>
      <c r="D407" s="121"/>
    </row>
    <row r="408" spans="1:4" x14ac:dyDescent="0.2">
      <c r="A408" t="s">
        <v>998</v>
      </c>
      <c r="B408">
        <v>9</v>
      </c>
      <c r="C408" t="s">
        <v>1001</v>
      </c>
      <c r="D408" s="121"/>
    </row>
    <row r="409" spans="1:4" x14ac:dyDescent="0.2">
      <c r="A409" t="s">
        <v>998</v>
      </c>
      <c r="B409">
        <v>10</v>
      </c>
      <c r="C409" t="s">
        <v>1002</v>
      </c>
      <c r="D409" s="121"/>
    </row>
    <row r="410" spans="1:4" x14ac:dyDescent="0.2">
      <c r="A410" t="s">
        <v>998</v>
      </c>
      <c r="B410">
        <v>11</v>
      </c>
      <c r="C410" t="s">
        <v>1003</v>
      </c>
      <c r="D410" s="121"/>
    </row>
    <row r="411" spans="1:4" x14ac:dyDescent="0.2">
      <c r="A411" t="s">
        <v>998</v>
      </c>
      <c r="B411" s="123">
        <v>12</v>
      </c>
      <c r="C411" t="s">
        <v>622</v>
      </c>
      <c r="D411" s="121"/>
    </row>
    <row r="412" spans="1:4" x14ac:dyDescent="0.2">
      <c r="A412" t="s">
        <v>998</v>
      </c>
      <c r="B412" s="123">
        <v>13</v>
      </c>
      <c r="C412" t="s">
        <v>623</v>
      </c>
      <c r="D412" s="121"/>
    </row>
    <row r="413" spans="1:4" x14ac:dyDescent="0.2">
      <c r="D413" s="121"/>
    </row>
    <row r="414" spans="1:4" ht="16" customHeight="1" x14ac:dyDescent="0.2">
      <c r="A414" t="s">
        <v>1004</v>
      </c>
      <c r="B414" t="s">
        <v>919</v>
      </c>
      <c r="C414" t="s">
        <v>920</v>
      </c>
      <c r="D414" s="121"/>
    </row>
    <row r="415" spans="1:4" ht="16" customHeight="1" x14ac:dyDescent="0.2">
      <c r="A415" t="s">
        <v>1004</v>
      </c>
      <c r="B415" t="s">
        <v>921</v>
      </c>
      <c r="C415" t="s">
        <v>1005</v>
      </c>
      <c r="D415" s="121"/>
    </row>
    <row r="416" spans="1:4" ht="16" customHeight="1" x14ac:dyDescent="0.2">
      <c r="A416" t="s">
        <v>1004</v>
      </c>
      <c r="B416" t="s">
        <v>923</v>
      </c>
      <c r="C416" t="s">
        <v>1006</v>
      </c>
      <c r="D416" s="121"/>
    </row>
    <row r="417" spans="1:4" ht="16" customHeight="1" x14ac:dyDescent="0.2">
      <c r="A417" t="s">
        <v>1004</v>
      </c>
      <c r="B417" t="s">
        <v>925</v>
      </c>
      <c r="C417" t="s">
        <v>926</v>
      </c>
      <c r="D417" s="121"/>
    </row>
    <row r="418" spans="1:4" ht="16" customHeight="1" x14ac:dyDescent="0.2">
      <c r="A418" t="s">
        <v>1004</v>
      </c>
      <c r="B418" t="s">
        <v>927</v>
      </c>
      <c r="C418" t="s">
        <v>928</v>
      </c>
      <c r="D418" s="121"/>
    </row>
    <row r="419" spans="1:4" ht="16" customHeight="1" x14ac:dyDescent="0.2">
      <c r="A419" t="s">
        <v>1004</v>
      </c>
      <c r="B419" t="s">
        <v>1007</v>
      </c>
      <c r="C419" t="s">
        <v>1008</v>
      </c>
      <c r="D419" s="121"/>
    </row>
    <row r="420" spans="1:4" ht="16" customHeight="1" x14ac:dyDescent="0.2">
      <c r="A420" t="s">
        <v>1004</v>
      </c>
      <c r="B420" t="s">
        <v>929</v>
      </c>
      <c r="C420" t="s">
        <v>1009</v>
      </c>
      <c r="D420" s="121"/>
    </row>
    <row r="421" spans="1:4" ht="16" customHeight="1" x14ac:dyDescent="0.2">
      <c r="A421" t="s">
        <v>1004</v>
      </c>
      <c r="B421" t="s">
        <v>931</v>
      </c>
      <c r="C421" t="s">
        <v>932</v>
      </c>
      <c r="D421" s="121"/>
    </row>
    <row r="422" spans="1:4" ht="16" customHeight="1" x14ac:dyDescent="0.2">
      <c r="A422" t="s">
        <v>1004</v>
      </c>
      <c r="B422" t="s">
        <v>691</v>
      </c>
      <c r="C422" t="s">
        <v>870</v>
      </c>
      <c r="D422" s="121"/>
    </row>
    <row r="423" spans="1:4" ht="16" customHeight="1" x14ac:dyDescent="0.2">
      <c r="A423" t="s">
        <v>1004</v>
      </c>
      <c r="B423" t="s">
        <v>695</v>
      </c>
      <c r="C423" t="s">
        <v>622</v>
      </c>
      <c r="D423" s="121"/>
    </row>
    <row r="424" spans="1:4" ht="16" customHeight="1" x14ac:dyDescent="0.2">
      <c r="A424" t="s">
        <v>1004</v>
      </c>
      <c r="B424" t="s">
        <v>696</v>
      </c>
      <c r="C424" t="s">
        <v>623</v>
      </c>
      <c r="D424" s="121"/>
    </row>
    <row r="425" spans="1:4" ht="16" customHeight="1" x14ac:dyDescent="0.2">
      <c r="D425" s="121"/>
    </row>
    <row r="426" spans="1:4" x14ac:dyDescent="0.2">
      <c r="A426" t="s">
        <v>1010</v>
      </c>
      <c r="B426" t="s">
        <v>1011</v>
      </c>
      <c r="C426" t="s">
        <v>1012</v>
      </c>
      <c r="D426" s="121"/>
    </row>
    <row r="427" spans="1:4" x14ac:dyDescent="0.2">
      <c r="A427" t="s">
        <v>1010</v>
      </c>
      <c r="B427" t="s">
        <v>1013</v>
      </c>
      <c r="C427" t="s">
        <v>1014</v>
      </c>
      <c r="D427" s="121"/>
    </row>
    <row r="428" spans="1:4" x14ac:dyDescent="0.2">
      <c r="A428" t="s">
        <v>1010</v>
      </c>
      <c r="B428" t="s">
        <v>1015</v>
      </c>
      <c r="C428" t="s">
        <v>1016</v>
      </c>
      <c r="D428" s="121"/>
    </row>
    <row r="429" spans="1:4" x14ac:dyDescent="0.2">
      <c r="A429" t="s">
        <v>1010</v>
      </c>
      <c r="B429" t="s">
        <v>1017</v>
      </c>
      <c r="C429" t="s">
        <v>1018</v>
      </c>
      <c r="D429" s="121"/>
    </row>
    <row r="430" spans="1:4" x14ac:dyDescent="0.2">
      <c r="A430" t="s">
        <v>1010</v>
      </c>
      <c r="B430" t="s">
        <v>695</v>
      </c>
      <c r="C430" t="s">
        <v>622</v>
      </c>
      <c r="D430" s="121"/>
    </row>
    <row r="431" spans="1:4" x14ac:dyDescent="0.2">
      <c r="A431" t="s">
        <v>1010</v>
      </c>
      <c r="B431" t="s">
        <v>696</v>
      </c>
      <c r="C431" t="s">
        <v>623</v>
      </c>
      <c r="D431" s="121"/>
    </row>
    <row r="432" spans="1:4" x14ac:dyDescent="0.2">
      <c r="D432" s="121"/>
    </row>
    <row r="433" spans="1:4" x14ac:dyDescent="0.2">
      <c r="A433" t="s">
        <v>1019</v>
      </c>
      <c r="B433" t="s">
        <v>1020</v>
      </c>
      <c r="C433" t="s">
        <v>1021</v>
      </c>
      <c r="D433" s="121"/>
    </row>
    <row r="434" spans="1:4" x14ac:dyDescent="0.2">
      <c r="A434" t="s">
        <v>1019</v>
      </c>
      <c r="B434" t="s">
        <v>1022</v>
      </c>
      <c r="C434" t="s">
        <v>1023</v>
      </c>
      <c r="D434" s="121"/>
    </row>
    <row r="435" spans="1:4" x14ac:dyDescent="0.2">
      <c r="A435" t="s">
        <v>1019</v>
      </c>
      <c r="B435" t="s">
        <v>1024</v>
      </c>
      <c r="C435" t="s">
        <v>1025</v>
      </c>
      <c r="D435" s="121"/>
    </row>
    <row r="436" spans="1:4" x14ac:dyDescent="0.2">
      <c r="A436" t="s">
        <v>1019</v>
      </c>
      <c r="B436" t="s">
        <v>1026</v>
      </c>
      <c r="C436" t="s">
        <v>1027</v>
      </c>
      <c r="D436" s="121"/>
    </row>
    <row r="437" spans="1:4" x14ac:dyDescent="0.2">
      <c r="A437" t="s">
        <v>1019</v>
      </c>
      <c r="B437" t="s">
        <v>1028</v>
      </c>
      <c r="C437" t="s">
        <v>1029</v>
      </c>
      <c r="D437" s="121"/>
    </row>
    <row r="438" spans="1:4" x14ac:dyDescent="0.2">
      <c r="A438" t="s">
        <v>1019</v>
      </c>
      <c r="B438" t="s">
        <v>1030</v>
      </c>
      <c r="C438" t="s">
        <v>1031</v>
      </c>
      <c r="D438" s="121"/>
    </row>
    <row r="439" spans="1:4" x14ac:dyDescent="0.2">
      <c r="A439" t="s">
        <v>1019</v>
      </c>
      <c r="B439" t="s">
        <v>1032</v>
      </c>
      <c r="C439" t="s">
        <v>1033</v>
      </c>
      <c r="D439" s="121"/>
    </row>
    <row r="440" spans="1:4" x14ac:dyDescent="0.2">
      <c r="A440" t="s">
        <v>1019</v>
      </c>
      <c r="B440" t="s">
        <v>1034</v>
      </c>
      <c r="C440" t="s">
        <v>1035</v>
      </c>
      <c r="D440" s="121"/>
    </row>
    <row r="441" spans="1:4" x14ac:dyDescent="0.2">
      <c r="A441" t="s">
        <v>1019</v>
      </c>
      <c r="B441" t="s">
        <v>691</v>
      </c>
      <c r="C441" t="s">
        <v>832</v>
      </c>
      <c r="D441" s="121"/>
    </row>
    <row r="442" spans="1:4" x14ac:dyDescent="0.2">
      <c r="A442" t="s">
        <v>1019</v>
      </c>
      <c r="B442" t="s">
        <v>695</v>
      </c>
      <c r="C442" t="s">
        <v>622</v>
      </c>
      <c r="D442" s="121"/>
    </row>
    <row r="443" spans="1:4" x14ac:dyDescent="0.2">
      <c r="A443" t="s">
        <v>1019</v>
      </c>
      <c r="B443" t="s">
        <v>696</v>
      </c>
      <c r="C443" t="s">
        <v>623</v>
      </c>
      <c r="D443" s="121"/>
    </row>
    <row r="444" spans="1:4" x14ac:dyDescent="0.2">
      <c r="D444" s="121"/>
    </row>
    <row r="445" spans="1:4" s="115" customFormat="1" x14ac:dyDescent="0.2">
      <c r="A445" s="129" t="s">
        <v>1036</v>
      </c>
      <c r="B445" s="129" t="s">
        <v>1037</v>
      </c>
      <c r="C445" s="129" t="s">
        <v>1038</v>
      </c>
      <c r="D445" s="132"/>
    </row>
    <row r="446" spans="1:4" s="115" customFormat="1" x14ac:dyDescent="0.2">
      <c r="A446" s="129" t="s">
        <v>1036</v>
      </c>
      <c r="B446" s="129" t="s">
        <v>1039</v>
      </c>
      <c r="C446" s="129" t="s">
        <v>1040</v>
      </c>
      <c r="D446" s="132"/>
    </row>
    <row r="447" spans="1:4" s="115" customFormat="1" x14ac:dyDescent="0.2">
      <c r="A447" s="129" t="s">
        <v>1036</v>
      </c>
      <c r="B447" s="129" t="s">
        <v>1041</v>
      </c>
      <c r="C447" s="129" t="s">
        <v>1042</v>
      </c>
      <c r="D447" s="132"/>
    </row>
    <row r="448" spans="1:4" s="115" customFormat="1" x14ac:dyDescent="0.2">
      <c r="A448" s="129" t="s">
        <v>1036</v>
      </c>
      <c r="B448" s="129" t="s">
        <v>1043</v>
      </c>
      <c r="C448" s="129" t="s">
        <v>1044</v>
      </c>
      <c r="D448" s="132"/>
    </row>
    <row r="449" spans="1:5" s="115" customFormat="1" x14ac:dyDescent="0.2">
      <c r="A449" s="129" t="s">
        <v>1036</v>
      </c>
      <c r="B449" s="129" t="s">
        <v>1026</v>
      </c>
      <c r="C449" s="129" t="s">
        <v>1045</v>
      </c>
      <c r="D449" s="132"/>
    </row>
    <row r="450" spans="1:5" s="115" customFormat="1" x14ac:dyDescent="0.2">
      <c r="A450" s="129" t="s">
        <v>1036</v>
      </c>
      <c r="B450" s="129" t="s">
        <v>1046</v>
      </c>
      <c r="C450" s="129" t="s">
        <v>1047</v>
      </c>
      <c r="D450" s="132"/>
    </row>
    <row r="451" spans="1:5" s="115" customFormat="1" x14ac:dyDescent="0.2">
      <c r="A451" s="129" t="s">
        <v>1036</v>
      </c>
      <c r="B451" s="129" t="s">
        <v>1030</v>
      </c>
      <c r="C451" s="129" t="s">
        <v>1048</v>
      </c>
      <c r="D451" s="132"/>
    </row>
    <row r="452" spans="1:5" s="115" customFormat="1" x14ac:dyDescent="0.2">
      <c r="A452" s="129" t="s">
        <v>1036</v>
      </c>
      <c r="B452" s="129" t="s">
        <v>691</v>
      </c>
      <c r="C452" s="129" t="s">
        <v>832</v>
      </c>
      <c r="D452" s="132"/>
    </row>
    <row r="453" spans="1:5" s="115" customFormat="1" x14ac:dyDescent="0.2">
      <c r="A453" s="129" t="s">
        <v>1036</v>
      </c>
      <c r="B453" s="129" t="s">
        <v>695</v>
      </c>
      <c r="C453" s="129" t="s">
        <v>622</v>
      </c>
      <c r="D453" s="132"/>
    </row>
    <row r="454" spans="1:5" s="115" customFormat="1" x14ac:dyDescent="0.2">
      <c r="A454" s="129" t="s">
        <v>1036</v>
      </c>
      <c r="B454" s="129" t="s">
        <v>696</v>
      </c>
      <c r="C454" s="129" t="s">
        <v>623</v>
      </c>
      <c r="D454" s="132"/>
    </row>
    <row r="455" spans="1:5" s="115" customFormat="1" x14ac:dyDescent="0.2">
      <c r="D455" s="132"/>
    </row>
    <row r="456" spans="1:5" x14ac:dyDescent="0.2">
      <c r="A456" t="s">
        <v>1049</v>
      </c>
      <c r="B456">
        <v>1</v>
      </c>
      <c r="C456" t="s">
        <v>1050</v>
      </c>
      <c r="D456" s="121"/>
    </row>
    <row r="457" spans="1:5" x14ac:dyDescent="0.2">
      <c r="A457" t="s">
        <v>1049</v>
      </c>
      <c r="B457">
        <v>2</v>
      </c>
      <c r="C457" t="s">
        <v>1051</v>
      </c>
      <c r="D457" s="121"/>
    </row>
    <row r="458" spans="1:5" x14ac:dyDescent="0.2">
      <c r="A458" t="s">
        <v>1049</v>
      </c>
      <c r="B458">
        <v>3</v>
      </c>
      <c r="C458" t="s">
        <v>1052</v>
      </c>
      <c r="D458" s="121"/>
    </row>
    <row r="459" spans="1:5" x14ac:dyDescent="0.2">
      <c r="A459" t="s">
        <v>1049</v>
      </c>
      <c r="B459">
        <v>4</v>
      </c>
      <c r="C459" t="s">
        <v>1053</v>
      </c>
      <c r="D459" s="121"/>
    </row>
    <row r="460" spans="1:5" x14ac:dyDescent="0.2">
      <c r="A460" t="s">
        <v>1049</v>
      </c>
      <c r="B460">
        <v>5</v>
      </c>
      <c r="C460" t="s">
        <v>832</v>
      </c>
      <c r="D460" s="121"/>
    </row>
    <row r="461" spans="1:5" x14ac:dyDescent="0.2">
      <c r="A461" t="s">
        <v>1049</v>
      </c>
      <c r="B461" s="123">
        <v>6</v>
      </c>
      <c r="C461" t="s">
        <v>622</v>
      </c>
      <c r="D461" s="121"/>
    </row>
    <row r="462" spans="1:5" x14ac:dyDescent="0.2">
      <c r="A462" t="s">
        <v>1049</v>
      </c>
      <c r="B462" s="123">
        <v>7</v>
      </c>
      <c r="C462" t="s">
        <v>1054</v>
      </c>
      <c r="D462" s="121"/>
    </row>
    <row r="463" spans="1:5" x14ac:dyDescent="0.2">
      <c r="D463" s="121"/>
    </row>
    <row r="464" spans="1:5" x14ac:dyDescent="0.2">
      <c r="A464" t="s">
        <v>1055</v>
      </c>
      <c r="B464" t="s">
        <v>919</v>
      </c>
      <c r="C464" t="s">
        <v>920</v>
      </c>
      <c r="D464" s="121"/>
      <c r="E464" s="115"/>
    </row>
    <row r="465" spans="1:5" x14ac:dyDescent="0.2">
      <c r="A465" t="s">
        <v>1055</v>
      </c>
      <c r="B465" t="s">
        <v>921</v>
      </c>
      <c r="C465" t="s">
        <v>1056</v>
      </c>
      <c r="D465" s="121"/>
      <c r="E465" s="115"/>
    </row>
    <row r="466" spans="1:5" x14ac:dyDescent="0.2">
      <c r="A466" t="s">
        <v>1055</v>
      </c>
      <c r="B466" t="s">
        <v>923</v>
      </c>
      <c r="C466" t="s">
        <v>1057</v>
      </c>
      <c r="D466" s="121"/>
      <c r="E466" s="115"/>
    </row>
    <row r="467" spans="1:5" x14ac:dyDescent="0.2">
      <c r="A467" t="s">
        <v>1055</v>
      </c>
      <c r="B467" t="s">
        <v>925</v>
      </c>
      <c r="C467" t="s">
        <v>1058</v>
      </c>
      <c r="D467" s="121"/>
      <c r="E467" s="115"/>
    </row>
    <row r="468" spans="1:5" x14ac:dyDescent="0.2">
      <c r="A468" t="s">
        <v>1055</v>
      </c>
      <c r="B468" t="s">
        <v>1059</v>
      </c>
      <c r="C468" t="s">
        <v>928</v>
      </c>
      <c r="D468" s="121"/>
      <c r="E468" s="115"/>
    </row>
    <row r="469" spans="1:5" x14ac:dyDescent="0.2">
      <c r="A469" t="s">
        <v>1055</v>
      </c>
      <c r="B469" t="s">
        <v>929</v>
      </c>
      <c r="C469" t="s">
        <v>1060</v>
      </c>
      <c r="D469" s="121"/>
      <c r="E469" s="115"/>
    </row>
    <row r="470" spans="1:5" x14ac:dyDescent="0.2">
      <c r="A470" t="s">
        <v>1055</v>
      </c>
      <c r="B470" t="s">
        <v>931</v>
      </c>
      <c r="C470" t="s">
        <v>1061</v>
      </c>
      <c r="D470" s="121"/>
      <c r="E470" s="115"/>
    </row>
    <row r="471" spans="1:5" x14ac:dyDescent="0.2">
      <c r="A471" t="s">
        <v>1055</v>
      </c>
      <c r="B471" t="s">
        <v>691</v>
      </c>
      <c r="C471" t="s">
        <v>870</v>
      </c>
      <c r="D471" s="121"/>
    </row>
    <row r="472" spans="1:5" x14ac:dyDescent="0.2">
      <c r="A472" t="s">
        <v>1055</v>
      </c>
      <c r="B472" t="s">
        <v>695</v>
      </c>
      <c r="C472" t="s">
        <v>622</v>
      </c>
      <c r="D472" s="121"/>
    </row>
    <row r="473" spans="1:5" ht="16" customHeight="1" x14ac:dyDescent="0.2">
      <c r="A473" t="s">
        <v>1055</v>
      </c>
      <c r="B473" t="s">
        <v>696</v>
      </c>
      <c r="C473" t="s">
        <v>623</v>
      </c>
      <c r="D473" s="121"/>
    </row>
    <row r="474" spans="1:5" ht="16" customHeight="1" x14ac:dyDescent="0.2">
      <c r="D474" s="121"/>
    </row>
    <row r="475" spans="1:5" x14ac:dyDescent="0.2">
      <c r="A475" t="s">
        <v>1062</v>
      </c>
      <c r="B475">
        <v>1</v>
      </c>
      <c r="C475" t="s">
        <v>1063</v>
      </c>
      <c r="D475" s="121"/>
    </row>
    <row r="476" spans="1:5" x14ac:dyDescent="0.2">
      <c r="A476" t="s">
        <v>1062</v>
      </c>
      <c r="B476">
        <v>2</v>
      </c>
      <c r="C476" t="s">
        <v>1064</v>
      </c>
      <c r="D476" s="121"/>
    </row>
    <row r="477" spans="1:5" x14ac:dyDescent="0.2">
      <c r="A477" t="s">
        <v>1062</v>
      </c>
      <c r="B477">
        <v>3</v>
      </c>
      <c r="C477" t="s">
        <v>1065</v>
      </c>
      <c r="D477" s="121"/>
    </row>
    <row r="478" spans="1:5" x14ac:dyDescent="0.2">
      <c r="A478" t="s">
        <v>1062</v>
      </c>
      <c r="B478">
        <v>4</v>
      </c>
      <c r="C478" t="s">
        <v>1066</v>
      </c>
      <c r="D478" s="121"/>
    </row>
    <row r="479" spans="1:5" x14ac:dyDescent="0.2">
      <c r="A479" t="s">
        <v>1062</v>
      </c>
      <c r="B479" s="123">
        <v>5</v>
      </c>
      <c r="C479" t="s">
        <v>623</v>
      </c>
      <c r="D479" s="121"/>
    </row>
    <row r="480" spans="1:5" x14ac:dyDescent="0.2">
      <c r="D480" s="121"/>
    </row>
    <row r="481" spans="1:4" x14ac:dyDescent="0.2">
      <c r="A481" t="s">
        <v>1067</v>
      </c>
      <c r="B481">
        <v>1</v>
      </c>
      <c r="C481" t="s">
        <v>626</v>
      </c>
      <c r="D481" s="121"/>
    </row>
    <row r="482" spans="1:4" x14ac:dyDescent="0.2">
      <c r="A482" t="s">
        <v>1067</v>
      </c>
      <c r="B482">
        <v>2</v>
      </c>
      <c r="C482" t="s">
        <v>1068</v>
      </c>
      <c r="D482" s="121"/>
    </row>
    <row r="483" spans="1:4" x14ac:dyDescent="0.2">
      <c r="A483" t="s">
        <v>1067</v>
      </c>
      <c r="B483">
        <v>3</v>
      </c>
      <c r="C483" t="s">
        <v>1069</v>
      </c>
      <c r="D483" s="121"/>
    </row>
    <row r="484" spans="1:4" x14ac:dyDescent="0.2">
      <c r="A484" t="s">
        <v>1067</v>
      </c>
      <c r="B484">
        <v>4</v>
      </c>
      <c r="C484" t="s">
        <v>1070</v>
      </c>
      <c r="D484" s="121"/>
    </row>
    <row r="485" spans="1:4" x14ac:dyDescent="0.2">
      <c r="A485" t="s">
        <v>1067</v>
      </c>
      <c r="B485" s="123">
        <v>5</v>
      </c>
      <c r="C485" t="s">
        <v>622</v>
      </c>
      <c r="D485" s="121"/>
    </row>
    <row r="486" spans="1:4" x14ac:dyDescent="0.2">
      <c r="A486" t="s">
        <v>1067</v>
      </c>
      <c r="B486" s="123">
        <v>6</v>
      </c>
      <c r="C486" t="s">
        <v>623</v>
      </c>
      <c r="D486" s="121"/>
    </row>
    <row r="487" spans="1:4" x14ac:dyDescent="0.2">
      <c r="D487" s="121"/>
    </row>
    <row r="488" spans="1:4" x14ac:dyDescent="0.2">
      <c r="A488" t="s">
        <v>550</v>
      </c>
      <c r="B488" t="s">
        <v>1071</v>
      </c>
      <c r="C488" t="s">
        <v>1072</v>
      </c>
      <c r="D488" s="121"/>
    </row>
    <row r="489" spans="1:4" x14ac:dyDescent="0.2">
      <c r="A489" t="s">
        <v>550</v>
      </c>
      <c r="B489" t="s">
        <v>1073</v>
      </c>
      <c r="C489" t="s">
        <v>1074</v>
      </c>
      <c r="D489" s="121"/>
    </row>
    <row r="490" spans="1:4" x14ac:dyDescent="0.2">
      <c r="A490" t="s">
        <v>550</v>
      </c>
      <c r="B490" t="s">
        <v>1075</v>
      </c>
      <c r="C490" t="s">
        <v>1076</v>
      </c>
      <c r="D490" s="121"/>
    </row>
    <row r="491" spans="1:4" x14ac:dyDescent="0.2">
      <c r="A491" t="s">
        <v>550</v>
      </c>
      <c r="B491" t="s">
        <v>1077</v>
      </c>
      <c r="C491" t="s">
        <v>1078</v>
      </c>
      <c r="D491" s="121"/>
    </row>
    <row r="492" spans="1:4" x14ac:dyDescent="0.2">
      <c r="A492" t="s">
        <v>550</v>
      </c>
      <c r="B492" t="s">
        <v>1079</v>
      </c>
      <c r="C492" t="s">
        <v>1080</v>
      </c>
      <c r="D492" s="121"/>
    </row>
    <row r="493" spans="1:4" x14ac:dyDescent="0.2">
      <c r="A493" t="s">
        <v>550</v>
      </c>
      <c r="B493" t="s">
        <v>1081</v>
      </c>
      <c r="C493" t="s">
        <v>1001</v>
      </c>
      <c r="D493" s="121"/>
    </row>
    <row r="494" spans="1:4" x14ac:dyDescent="0.2">
      <c r="A494" t="s">
        <v>550</v>
      </c>
      <c r="B494" t="s">
        <v>1082</v>
      </c>
      <c r="C494" t="s">
        <v>1083</v>
      </c>
      <c r="D494" s="121"/>
    </row>
    <row r="495" spans="1:4" x14ac:dyDescent="0.2">
      <c r="A495" t="s">
        <v>550</v>
      </c>
      <c r="B495" t="s">
        <v>1084</v>
      </c>
      <c r="C495" t="s">
        <v>1085</v>
      </c>
      <c r="D495" s="121"/>
    </row>
    <row r="496" spans="1:4" x14ac:dyDescent="0.2">
      <c r="A496" t="s">
        <v>550</v>
      </c>
      <c r="B496" t="s">
        <v>1086</v>
      </c>
      <c r="C496" t="s">
        <v>1087</v>
      </c>
      <c r="D496" s="121"/>
    </row>
    <row r="497" spans="1:4" x14ac:dyDescent="0.2">
      <c r="A497" t="s">
        <v>550</v>
      </c>
      <c r="B497" t="s">
        <v>1088</v>
      </c>
      <c r="C497" t="s">
        <v>1089</v>
      </c>
      <c r="D497" s="121"/>
    </row>
    <row r="498" spans="1:4" x14ac:dyDescent="0.2">
      <c r="A498" t="s">
        <v>550</v>
      </c>
      <c r="B498" t="s">
        <v>1090</v>
      </c>
      <c r="C498" t="s">
        <v>1091</v>
      </c>
      <c r="D498" s="121"/>
    </row>
    <row r="499" spans="1:4" x14ac:dyDescent="0.2">
      <c r="A499" t="s">
        <v>550</v>
      </c>
      <c r="B499" t="s">
        <v>1092</v>
      </c>
      <c r="C499" t="s">
        <v>1093</v>
      </c>
      <c r="D499" s="121"/>
    </row>
    <row r="500" spans="1:4" x14ac:dyDescent="0.2">
      <c r="D500" s="121"/>
    </row>
    <row r="501" spans="1:4" x14ac:dyDescent="0.2">
      <c r="A501" t="s">
        <v>1094</v>
      </c>
      <c r="B501" t="s">
        <v>1095</v>
      </c>
      <c r="C501" t="s">
        <v>1096</v>
      </c>
      <c r="D501" s="121"/>
    </row>
    <row r="502" spans="1:4" x14ac:dyDescent="0.2">
      <c r="A502" t="s">
        <v>1094</v>
      </c>
      <c r="B502" t="s">
        <v>1097</v>
      </c>
      <c r="C502" t="s">
        <v>1098</v>
      </c>
      <c r="D502" s="121"/>
    </row>
    <row r="503" spans="1:4" x14ac:dyDescent="0.2">
      <c r="A503" t="s">
        <v>1094</v>
      </c>
      <c r="B503" t="s">
        <v>1099</v>
      </c>
      <c r="C503" t="s">
        <v>1100</v>
      </c>
      <c r="D503" s="121"/>
    </row>
    <row r="504" spans="1:4" x14ac:dyDescent="0.2">
      <c r="A504" t="s">
        <v>1094</v>
      </c>
      <c r="B504" t="s">
        <v>1101</v>
      </c>
      <c r="C504" t="s">
        <v>1102</v>
      </c>
      <c r="D504" s="121"/>
    </row>
    <row r="505" spans="1:4" x14ac:dyDescent="0.2">
      <c r="A505" t="s">
        <v>1094</v>
      </c>
      <c r="B505" t="s">
        <v>1103</v>
      </c>
      <c r="C505" t="s">
        <v>1104</v>
      </c>
      <c r="D505" s="121"/>
    </row>
    <row r="506" spans="1:4" x14ac:dyDescent="0.2">
      <c r="A506" t="s">
        <v>1094</v>
      </c>
      <c r="B506" t="s">
        <v>1105</v>
      </c>
      <c r="C506" t="s">
        <v>1106</v>
      </c>
      <c r="D506" s="121"/>
    </row>
    <row r="507" spans="1:4" x14ac:dyDescent="0.2">
      <c r="A507" t="s">
        <v>1094</v>
      </c>
      <c r="B507" t="s">
        <v>379</v>
      </c>
      <c r="C507" t="s">
        <v>1107</v>
      </c>
      <c r="D507" s="121"/>
    </row>
    <row r="508" spans="1:4" x14ac:dyDescent="0.2">
      <c r="A508" t="s">
        <v>1094</v>
      </c>
      <c r="B508" t="s">
        <v>1108</v>
      </c>
      <c r="C508" t="s">
        <v>1109</v>
      </c>
      <c r="D508" s="121"/>
    </row>
    <row r="509" spans="1:4" x14ac:dyDescent="0.2">
      <c r="A509" t="s">
        <v>1094</v>
      </c>
      <c r="B509" t="s">
        <v>1110</v>
      </c>
      <c r="C509" t="s">
        <v>1111</v>
      </c>
      <c r="D509" s="121"/>
    </row>
    <row r="510" spans="1:4" x14ac:dyDescent="0.2">
      <c r="A510" t="s">
        <v>1094</v>
      </c>
      <c r="B510" t="s">
        <v>1112</v>
      </c>
      <c r="C510" t="s">
        <v>1113</v>
      </c>
      <c r="D510" s="121"/>
    </row>
    <row r="511" spans="1:4" x14ac:dyDescent="0.2">
      <c r="A511" t="s">
        <v>1094</v>
      </c>
      <c r="B511" t="s">
        <v>1114</v>
      </c>
      <c r="C511" t="s">
        <v>1115</v>
      </c>
      <c r="D511" s="121"/>
    </row>
    <row r="512" spans="1:4" x14ac:dyDescent="0.2">
      <c r="A512" t="s">
        <v>1094</v>
      </c>
      <c r="B512" t="s">
        <v>1116</v>
      </c>
      <c r="C512" t="s">
        <v>1117</v>
      </c>
      <c r="D512" s="121"/>
    </row>
    <row r="513" spans="1:4" x14ac:dyDescent="0.2">
      <c r="A513" t="s">
        <v>1094</v>
      </c>
      <c r="B513" t="s">
        <v>1118</v>
      </c>
      <c r="C513" t="s">
        <v>1119</v>
      </c>
      <c r="D513" s="121"/>
    </row>
    <row r="514" spans="1:4" x14ac:dyDescent="0.2">
      <c r="A514" t="s">
        <v>1094</v>
      </c>
      <c r="B514" t="s">
        <v>1120</v>
      </c>
      <c r="C514" t="s">
        <v>1121</v>
      </c>
      <c r="D514" s="121"/>
    </row>
    <row r="515" spans="1:4" x14ac:dyDescent="0.2">
      <c r="A515" t="s">
        <v>1094</v>
      </c>
      <c r="B515" t="s">
        <v>1122</v>
      </c>
      <c r="C515" t="s">
        <v>1123</v>
      </c>
      <c r="D515" s="121"/>
    </row>
    <row r="516" spans="1:4" x14ac:dyDescent="0.2">
      <c r="A516" t="s">
        <v>1094</v>
      </c>
      <c r="B516" t="s">
        <v>1124</v>
      </c>
      <c r="C516" t="s">
        <v>1125</v>
      </c>
      <c r="D516" s="121"/>
    </row>
    <row r="517" spans="1:4" x14ac:dyDescent="0.2">
      <c r="A517" t="s">
        <v>1094</v>
      </c>
      <c r="B517" t="s">
        <v>691</v>
      </c>
      <c r="C517" t="s">
        <v>832</v>
      </c>
      <c r="D517" s="121"/>
    </row>
    <row r="518" spans="1:4" x14ac:dyDescent="0.2">
      <c r="A518" t="s">
        <v>1094</v>
      </c>
      <c r="B518" t="s">
        <v>695</v>
      </c>
      <c r="C518" t="s">
        <v>622</v>
      </c>
      <c r="D518" s="121"/>
    </row>
    <row r="519" spans="1:4" x14ac:dyDescent="0.2">
      <c r="A519" t="s">
        <v>1094</v>
      </c>
      <c r="B519" t="s">
        <v>696</v>
      </c>
      <c r="C519" t="s">
        <v>623</v>
      </c>
      <c r="D519" s="121"/>
    </row>
    <row r="520" spans="1:4" x14ac:dyDescent="0.2">
      <c r="D520" s="121"/>
    </row>
    <row r="521" spans="1:4" x14ac:dyDescent="0.2">
      <c r="A521" t="s">
        <v>1126</v>
      </c>
      <c r="B521" t="s">
        <v>1095</v>
      </c>
      <c r="C521" t="s">
        <v>1096</v>
      </c>
      <c r="D521" s="121"/>
    </row>
    <row r="522" spans="1:4" x14ac:dyDescent="0.2">
      <c r="A522" t="s">
        <v>1126</v>
      </c>
      <c r="B522" t="s">
        <v>1097</v>
      </c>
      <c r="C522" t="s">
        <v>1127</v>
      </c>
      <c r="D522" s="121"/>
    </row>
    <row r="523" spans="1:4" x14ac:dyDescent="0.2">
      <c r="A523" t="s">
        <v>1126</v>
      </c>
      <c r="B523" t="s">
        <v>1099</v>
      </c>
      <c r="C523" t="s">
        <v>1128</v>
      </c>
      <c r="D523" s="121"/>
    </row>
    <row r="524" spans="1:4" x14ac:dyDescent="0.2">
      <c r="A524" t="s">
        <v>1126</v>
      </c>
      <c r="B524" t="s">
        <v>1129</v>
      </c>
      <c r="C524" t="s">
        <v>1130</v>
      </c>
      <c r="D524" s="121"/>
    </row>
    <row r="525" spans="1:4" x14ac:dyDescent="0.2">
      <c r="A525" t="s">
        <v>1126</v>
      </c>
      <c r="B525" t="s">
        <v>1131</v>
      </c>
      <c r="C525" t="s">
        <v>1132</v>
      </c>
      <c r="D525" s="121"/>
    </row>
    <row r="526" spans="1:4" x14ac:dyDescent="0.2">
      <c r="A526" t="s">
        <v>1126</v>
      </c>
      <c r="B526" t="s">
        <v>1133</v>
      </c>
      <c r="C526" t="s">
        <v>1134</v>
      </c>
      <c r="D526" s="121"/>
    </row>
    <row r="527" spans="1:4" x14ac:dyDescent="0.2">
      <c r="A527" t="s">
        <v>1126</v>
      </c>
      <c r="B527" t="s">
        <v>1135</v>
      </c>
      <c r="C527" t="s">
        <v>1121</v>
      </c>
      <c r="D527" s="121"/>
    </row>
    <row r="528" spans="1:4" x14ac:dyDescent="0.2">
      <c r="A528" t="s">
        <v>1126</v>
      </c>
      <c r="B528" t="s">
        <v>1136</v>
      </c>
      <c r="C528" t="s">
        <v>1125</v>
      </c>
      <c r="D528" s="121"/>
    </row>
    <row r="529" spans="1:4" x14ac:dyDescent="0.2">
      <c r="A529" t="s">
        <v>1126</v>
      </c>
      <c r="B529" t="s">
        <v>691</v>
      </c>
      <c r="C529" t="s">
        <v>832</v>
      </c>
      <c r="D529" s="121"/>
    </row>
    <row r="530" spans="1:4" x14ac:dyDescent="0.2">
      <c r="A530" t="s">
        <v>1126</v>
      </c>
      <c r="B530" t="s">
        <v>693</v>
      </c>
      <c r="C530" t="s">
        <v>1137</v>
      </c>
      <c r="D530" s="121"/>
    </row>
    <row r="531" spans="1:4" x14ac:dyDescent="0.2">
      <c r="A531" t="s">
        <v>1126</v>
      </c>
      <c r="B531" t="s">
        <v>695</v>
      </c>
      <c r="C531" t="s">
        <v>1066</v>
      </c>
      <c r="D531" s="121"/>
    </row>
    <row r="532" spans="1:4" x14ac:dyDescent="0.2">
      <c r="A532" t="s">
        <v>1126</v>
      </c>
      <c r="B532" t="s">
        <v>696</v>
      </c>
      <c r="C532" t="s">
        <v>623</v>
      </c>
      <c r="D532" s="121"/>
    </row>
    <row r="533" spans="1:4" x14ac:dyDescent="0.2">
      <c r="D533" s="121"/>
    </row>
    <row r="534" spans="1:4" x14ac:dyDescent="0.2">
      <c r="A534" t="s">
        <v>1138</v>
      </c>
      <c r="B534">
        <v>1</v>
      </c>
      <c r="C534" t="s">
        <v>626</v>
      </c>
      <c r="D534" s="121"/>
    </row>
    <row r="535" spans="1:4" x14ac:dyDescent="0.2">
      <c r="A535" t="s">
        <v>1138</v>
      </c>
      <c r="B535">
        <v>2</v>
      </c>
      <c r="C535" t="s">
        <v>1139</v>
      </c>
      <c r="D535" s="121"/>
    </row>
    <row r="536" spans="1:4" x14ac:dyDescent="0.2">
      <c r="A536" t="s">
        <v>1138</v>
      </c>
      <c r="B536">
        <v>3</v>
      </c>
      <c r="C536" t="s">
        <v>1140</v>
      </c>
      <c r="D536" s="121"/>
    </row>
    <row r="537" spans="1:4" x14ac:dyDescent="0.2">
      <c r="A537" t="s">
        <v>1138</v>
      </c>
      <c r="B537">
        <v>4</v>
      </c>
      <c r="C537" t="s">
        <v>1141</v>
      </c>
      <c r="D537" s="121"/>
    </row>
    <row r="538" spans="1:4" x14ac:dyDescent="0.2">
      <c r="A538" t="s">
        <v>1138</v>
      </c>
      <c r="B538">
        <v>5</v>
      </c>
      <c r="C538" t="s">
        <v>1142</v>
      </c>
      <c r="D538" s="121"/>
    </row>
    <row r="539" spans="1:4" x14ac:dyDescent="0.2">
      <c r="A539" t="s">
        <v>1138</v>
      </c>
      <c r="B539">
        <v>6</v>
      </c>
      <c r="C539" t="s">
        <v>1143</v>
      </c>
      <c r="D539" s="121"/>
    </row>
    <row r="540" spans="1:4" x14ac:dyDescent="0.2">
      <c r="A540" t="s">
        <v>1138</v>
      </c>
      <c r="B540">
        <v>7</v>
      </c>
      <c r="C540" t="s">
        <v>622</v>
      </c>
      <c r="D540" s="121"/>
    </row>
    <row r="541" spans="1:4" x14ac:dyDescent="0.2">
      <c r="A541" t="s">
        <v>1138</v>
      </c>
      <c r="B541">
        <v>8</v>
      </c>
      <c r="C541" t="s">
        <v>623</v>
      </c>
      <c r="D541" s="121"/>
    </row>
    <row r="542" spans="1:4" x14ac:dyDescent="0.2">
      <c r="D542" s="121"/>
    </row>
    <row r="543" spans="1:4" x14ac:dyDescent="0.2">
      <c r="A543" t="s">
        <v>1144</v>
      </c>
      <c r="B543" t="s">
        <v>1145</v>
      </c>
      <c r="C543" t="s">
        <v>1146</v>
      </c>
      <c r="D543" s="121"/>
    </row>
    <row r="544" spans="1:4" x14ac:dyDescent="0.2">
      <c r="A544" t="s">
        <v>1144</v>
      </c>
      <c r="B544" t="s">
        <v>1147</v>
      </c>
      <c r="C544" t="s">
        <v>1148</v>
      </c>
      <c r="D544" s="121"/>
    </row>
    <row r="545" spans="1:4" x14ac:dyDescent="0.2">
      <c r="A545" t="s">
        <v>1144</v>
      </c>
      <c r="B545" t="s">
        <v>1149</v>
      </c>
      <c r="C545" t="s">
        <v>1150</v>
      </c>
      <c r="D545" s="121"/>
    </row>
    <row r="546" spans="1:4" x14ac:dyDescent="0.2">
      <c r="A546" t="s">
        <v>1144</v>
      </c>
      <c r="B546" t="s">
        <v>866</v>
      </c>
      <c r="C546" t="s">
        <v>1151</v>
      </c>
      <c r="D546" s="121"/>
    </row>
    <row r="547" spans="1:4" x14ac:dyDescent="0.2">
      <c r="A547" t="s">
        <v>1144</v>
      </c>
      <c r="B547" t="s">
        <v>862</v>
      </c>
      <c r="C547" t="s">
        <v>1152</v>
      </c>
      <c r="D547" s="121"/>
    </row>
    <row r="548" spans="1:4" x14ac:dyDescent="0.2">
      <c r="A548" t="s">
        <v>1144</v>
      </c>
      <c r="B548" t="s">
        <v>695</v>
      </c>
      <c r="C548" t="s">
        <v>622</v>
      </c>
      <c r="D548" s="121"/>
    </row>
    <row r="549" spans="1:4" x14ac:dyDescent="0.2">
      <c r="A549" t="s">
        <v>1144</v>
      </c>
      <c r="B549" t="s">
        <v>696</v>
      </c>
      <c r="C549" t="s">
        <v>623</v>
      </c>
      <c r="D549" s="121"/>
    </row>
    <row r="550" spans="1:4" x14ac:dyDescent="0.2">
      <c r="D550" s="121"/>
    </row>
    <row r="551" spans="1:4" x14ac:dyDescent="0.2">
      <c r="A551" t="s">
        <v>1153</v>
      </c>
      <c r="B551" t="s">
        <v>1154</v>
      </c>
      <c r="C551" t="s">
        <v>1155</v>
      </c>
      <c r="D551" s="121"/>
    </row>
    <row r="552" spans="1:4" x14ac:dyDescent="0.2">
      <c r="A552" t="s">
        <v>1153</v>
      </c>
      <c r="B552" t="s">
        <v>1156</v>
      </c>
      <c r="C552" t="s">
        <v>1157</v>
      </c>
      <c r="D552" s="121"/>
    </row>
    <row r="553" spans="1:4" x14ac:dyDescent="0.2">
      <c r="A553" t="s">
        <v>1153</v>
      </c>
      <c r="B553" t="s">
        <v>1158</v>
      </c>
      <c r="C553" t="s">
        <v>1159</v>
      </c>
      <c r="D553" s="121"/>
    </row>
    <row r="554" spans="1:4" x14ac:dyDescent="0.2">
      <c r="A554" t="s">
        <v>1153</v>
      </c>
      <c r="B554" t="s">
        <v>1160</v>
      </c>
      <c r="C554" t="s">
        <v>1161</v>
      </c>
      <c r="D554" s="121"/>
    </row>
    <row r="555" spans="1:4" x14ac:dyDescent="0.2">
      <c r="A555" t="s">
        <v>1153</v>
      </c>
      <c r="B555" t="s">
        <v>1162</v>
      </c>
      <c r="C555" t="s">
        <v>1163</v>
      </c>
      <c r="D555" s="121"/>
    </row>
    <row r="556" spans="1:4" x14ac:dyDescent="0.2">
      <c r="A556" t="s">
        <v>1153</v>
      </c>
      <c r="B556" t="s">
        <v>1164</v>
      </c>
      <c r="C556" t="s">
        <v>1165</v>
      </c>
      <c r="D556" s="121"/>
    </row>
    <row r="557" spans="1:4" x14ac:dyDescent="0.2">
      <c r="A557" t="s">
        <v>1153</v>
      </c>
      <c r="B557" t="s">
        <v>1166</v>
      </c>
      <c r="C557" t="s">
        <v>1167</v>
      </c>
      <c r="D557" s="121"/>
    </row>
    <row r="558" spans="1:4" x14ac:dyDescent="0.2">
      <c r="D558" s="121"/>
    </row>
    <row r="559" spans="1:4" x14ac:dyDescent="0.2">
      <c r="A559" t="s">
        <v>600</v>
      </c>
      <c r="B559" t="s">
        <v>1168</v>
      </c>
      <c r="C559" t="s">
        <v>1169</v>
      </c>
      <c r="D559" s="121"/>
    </row>
    <row r="560" spans="1:4" x14ac:dyDescent="0.2">
      <c r="A560" t="s">
        <v>600</v>
      </c>
      <c r="B560" t="s">
        <v>1170</v>
      </c>
      <c r="C560" t="s">
        <v>1171</v>
      </c>
      <c r="D560" s="121"/>
    </row>
    <row r="561" spans="1:5" x14ac:dyDescent="0.2">
      <c r="A561" t="s">
        <v>600</v>
      </c>
      <c r="B561" t="s">
        <v>1172</v>
      </c>
      <c r="C561" t="s">
        <v>1173</v>
      </c>
      <c r="D561" s="121"/>
    </row>
    <row r="562" spans="1:5" x14ac:dyDescent="0.2">
      <c r="D562" s="121"/>
    </row>
    <row r="563" spans="1:5" x14ac:dyDescent="0.2">
      <c r="A563" s="243" t="s">
        <v>1174</v>
      </c>
      <c r="B563" s="114">
        <v>1</v>
      </c>
      <c r="C563" s="114" t="s">
        <v>1175</v>
      </c>
    </row>
    <row r="564" spans="1:5" x14ac:dyDescent="0.2">
      <c r="A564" s="243" t="s">
        <v>1174</v>
      </c>
      <c r="B564" s="126">
        <v>2</v>
      </c>
      <c r="C564" s="126" t="s">
        <v>1176</v>
      </c>
      <c r="D564" s="125"/>
      <c r="E564" s="126"/>
    </row>
    <row r="565" spans="1:5" x14ac:dyDescent="0.2">
      <c r="A565" s="243" t="s">
        <v>1174</v>
      </c>
      <c r="B565" s="114">
        <v>3</v>
      </c>
      <c r="C565" s="114" t="s">
        <v>1177</v>
      </c>
    </row>
    <row r="566" spans="1:5" x14ac:dyDescent="0.2">
      <c r="A566" s="243" t="s">
        <v>1174</v>
      </c>
      <c r="B566" s="114">
        <v>4</v>
      </c>
      <c r="C566" s="114" t="s">
        <v>1178</v>
      </c>
    </row>
    <row r="567" spans="1:5" x14ac:dyDescent="0.2">
      <c r="A567" s="243" t="s">
        <v>1174</v>
      </c>
      <c r="B567" s="114">
        <v>5</v>
      </c>
      <c r="C567" t="s">
        <v>622</v>
      </c>
    </row>
    <row r="568" spans="1:5" x14ac:dyDescent="0.2">
      <c r="A568" s="243" t="s">
        <v>1174</v>
      </c>
      <c r="B568" s="114">
        <v>6</v>
      </c>
      <c r="C568" t="s">
        <v>623</v>
      </c>
    </row>
    <row r="570" spans="1:5" x14ac:dyDescent="0.2">
      <c r="A570" s="244" t="s">
        <v>1179</v>
      </c>
      <c r="B570">
        <v>1</v>
      </c>
      <c r="C570" t="s">
        <v>620</v>
      </c>
    </row>
    <row r="571" spans="1:5" x14ac:dyDescent="0.2">
      <c r="A571" s="244" t="s">
        <v>1179</v>
      </c>
      <c r="B571" s="114">
        <v>2</v>
      </c>
      <c r="C571" s="114" t="s">
        <v>1180</v>
      </c>
    </row>
    <row r="572" spans="1:5" x14ac:dyDescent="0.2">
      <c r="A572" s="244" t="s">
        <v>1179</v>
      </c>
      <c r="B572">
        <v>3</v>
      </c>
      <c r="C572" t="s">
        <v>621</v>
      </c>
    </row>
    <row r="573" spans="1:5" x14ac:dyDescent="0.2">
      <c r="A573" s="244" t="s">
        <v>1179</v>
      </c>
      <c r="B573" s="123">
        <v>4</v>
      </c>
      <c r="C573" t="s">
        <v>622</v>
      </c>
    </row>
    <row r="574" spans="1:5" x14ac:dyDescent="0.2">
      <c r="A574" s="244" t="s">
        <v>1179</v>
      </c>
      <c r="B574" s="123">
        <v>5</v>
      </c>
      <c r="C574" t="s">
        <v>623</v>
      </c>
    </row>
    <row r="576" spans="1:5" x14ac:dyDescent="0.2">
      <c r="A576" s="243" t="s">
        <v>1181</v>
      </c>
      <c r="B576" s="114">
        <v>1</v>
      </c>
      <c r="C576" s="114" t="s">
        <v>1182</v>
      </c>
    </row>
    <row r="577" spans="1:4" x14ac:dyDescent="0.2">
      <c r="A577" s="243" t="s">
        <v>1181</v>
      </c>
      <c r="B577" s="114">
        <v>2</v>
      </c>
      <c r="C577" s="114" t="s">
        <v>1183</v>
      </c>
    </row>
    <row r="578" spans="1:4" x14ac:dyDescent="0.2">
      <c r="A578" s="243" t="s">
        <v>1181</v>
      </c>
      <c r="B578" s="114">
        <v>3</v>
      </c>
      <c r="C578" t="s">
        <v>1184</v>
      </c>
    </row>
    <row r="579" spans="1:4" x14ac:dyDescent="0.2">
      <c r="A579" s="243" t="s">
        <v>1181</v>
      </c>
      <c r="B579" s="114">
        <v>4</v>
      </c>
      <c r="C579" t="s">
        <v>622</v>
      </c>
    </row>
    <row r="580" spans="1:4" x14ac:dyDescent="0.2">
      <c r="A580" s="243" t="s">
        <v>1181</v>
      </c>
      <c r="B580" s="114">
        <v>5</v>
      </c>
      <c r="C580" t="s">
        <v>623</v>
      </c>
    </row>
    <row r="582" spans="1:4" x14ac:dyDescent="0.2">
      <c r="A582" s="243" t="s">
        <v>1185</v>
      </c>
      <c r="B582" s="114">
        <v>1</v>
      </c>
      <c r="C582" s="114" t="s">
        <v>1186</v>
      </c>
    </row>
    <row r="583" spans="1:4" x14ac:dyDescent="0.2">
      <c r="A583" s="243" t="s">
        <v>1185</v>
      </c>
      <c r="B583" s="114">
        <v>2</v>
      </c>
      <c r="C583" s="114" t="s">
        <v>1187</v>
      </c>
    </row>
    <row r="584" spans="1:4" x14ac:dyDescent="0.2">
      <c r="A584" s="243" t="s">
        <v>1185</v>
      </c>
      <c r="B584" s="114">
        <v>3</v>
      </c>
      <c r="C584" s="114" t="s">
        <v>1188</v>
      </c>
    </row>
    <row r="585" spans="1:4" x14ac:dyDescent="0.2">
      <c r="A585" s="243" t="s">
        <v>1185</v>
      </c>
      <c r="B585" s="114">
        <v>4</v>
      </c>
      <c r="C585" s="114" t="s">
        <v>870</v>
      </c>
    </row>
    <row r="586" spans="1:4" x14ac:dyDescent="0.2">
      <c r="A586" s="243" t="s">
        <v>1185</v>
      </c>
      <c r="B586" s="114">
        <v>5</v>
      </c>
      <c r="C586" t="s">
        <v>622</v>
      </c>
    </row>
    <row r="587" spans="1:4" x14ac:dyDescent="0.2">
      <c r="A587" s="243" t="s">
        <v>1185</v>
      </c>
      <c r="B587" s="114">
        <v>6</v>
      </c>
      <c r="C587" t="s">
        <v>623</v>
      </c>
    </row>
    <row r="590" spans="1:4" x14ac:dyDescent="0.2">
      <c r="A590" s="243" t="s">
        <v>1189</v>
      </c>
      <c r="B590" s="114" t="s">
        <v>1190</v>
      </c>
      <c r="C590" s="114" t="s">
        <v>1191</v>
      </c>
      <c r="D590" t="s">
        <v>1192</v>
      </c>
    </row>
    <row r="591" spans="1:4" x14ac:dyDescent="0.2">
      <c r="A591" s="243" t="s">
        <v>1189</v>
      </c>
      <c r="B591" s="114" t="s">
        <v>1193</v>
      </c>
      <c r="C591" s="114" t="s">
        <v>1194</v>
      </c>
      <c r="D591" t="s">
        <v>1195</v>
      </c>
    </row>
    <row r="592" spans="1:4" x14ac:dyDescent="0.2">
      <c r="A592" s="243" t="s">
        <v>1189</v>
      </c>
      <c r="B592" s="114" t="s">
        <v>1196</v>
      </c>
      <c r="C592" s="114" t="s">
        <v>1197</v>
      </c>
      <c r="D592" t="s">
        <v>1198</v>
      </c>
    </row>
    <row r="593" spans="1:4" x14ac:dyDescent="0.2">
      <c r="A593" s="243" t="s">
        <v>1189</v>
      </c>
      <c r="B593" s="114" t="s">
        <v>1199</v>
      </c>
      <c r="C593" s="114" t="s">
        <v>1200</v>
      </c>
      <c r="D593" t="s">
        <v>1201</v>
      </c>
    </row>
    <row r="594" spans="1:4" x14ac:dyDescent="0.2">
      <c r="A594" s="243" t="s">
        <v>1189</v>
      </c>
      <c r="B594" s="114" t="s">
        <v>1202</v>
      </c>
      <c r="C594" s="114" t="s">
        <v>1203</v>
      </c>
      <c r="D594" t="s">
        <v>1204</v>
      </c>
    </row>
    <row r="595" spans="1:4" x14ac:dyDescent="0.2">
      <c r="A595" s="243" t="s">
        <v>1189</v>
      </c>
      <c r="B595" s="114" t="s">
        <v>1205</v>
      </c>
      <c r="C595" s="114" t="s">
        <v>1206</v>
      </c>
      <c r="D595" t="s">
        <v>1207</v>
      </c>
    </row>
    <row r="596" spans="1:4" x14ac:dyDescent="0.2">
      <c r="A596" s="243" t="s">
        <v>1189</v>
      </c>
      <c r="B596" s="114" t="s">
        <v>1208</v>
      </c>
      <c r="C596" s="114" t="s">
        <v>1209</v>
      </c>
      <c r="D596" t="s">
        <v>1210</v>
      </c>
    </row>
    <row r="597" spans="1:4" x14ac:dyDescent="0.2">
      <c r="A597" s="243" t="s">
        <v>1189</v>
      </c>
      <c r="B597" s="114" t="s">
        <v>1211</v>
      </c>
      <c r="C597" s="114" t="s">
        <v>1212</v>
      </c>
      <c r="D597" t="s">
        <v>1213</v>
      </c>
    </row>
    <row r="598" spans="1:4" x14ac:dyDescent="0.2">
      <c r="A598" s="243" t="s">
        <v>1189</v>
      </c>
      <c r="B598" s="114" t="s">
        <v>1214</v>
      </c>
      <c r="C598" s="114" t="s">
        <v>1215</v>
      </c>
      <c r="D598" t="s">
        <v>1216</v>
      </c>
    </row>
    <row r="599" spans="1:4" x14ac:dyDescent="0.2">
      <c r="A599" s="243" t="s">
        <v>1189</v>
      </c>
      <c r="B599" s="114" t="s">
        <v>1217</v>
      </c>
      <c r="C599" s="114" t="s">
        <v>1218</v>
      </c>
      <c r="D599" t="s">
        <v>1219</v>
      </c>
    </row>
    <row r="600" spans="1:4" x14ac:dyDescent="0.2">
      <c r="A600" s="243" t="s">
        <v>1189</v>
      </c>
      <c r="B600" s="114" t="s">
        <v>1220</v>
      </c>
      <c r="C600" s="114" t="s">
        <v>1221</v>
      </c>
      <c r="D600" t="s">
        <v>1222</v>
      </c>
    </row>
    <row r="601" spans="1:4" x14ac:dyDescent="0.2">
      <c r="A601" s="243" t="s">
        <v>1189</v>
      </c>
      <c r="B601" s="114" t="s">
        <v>1223</v>
      </c>
      <c r="C601" s="114" t="s">
        <v>1224</v>
      </c>
      <c r="D601" t="s">
        <v>1225</v>
      </c>
    </row>
    <row r="602" spans="1:4" x14ac:dyDescent="0.2">
      <c r="A602" s="243" t="s">
        <v>1189</v>
      </c>
      <c r="B602" s="114" t="s">
        <v>1226</v>
      </c>
      <c r="C602" s="114" t="s">
        <v>1227</v>
      </c>
      <c r="D602" t="s">
        <v>1228</v>
      </c>
    </row>
    <row r="603" spans="1:4" x14ac:dyDescent="0.2">
      <c r="A603" s="243" t="s">
        <v>1189</v>
      </c>
      <c r="B603" s="114" t="s">
        <v>1229</v>
      </c>
      <c r="C603" s="114" t="s">
        <v>1230</v>
      </c>
      <c r="D603" t="s">
        <v>1231</v>
      </c>
    </row>
    <row r="604" spans="1:4" x14ac:dyDescent="0.2">
      <c r="A604" s="243" t="s">
        <v>1189</v>
      </c>
      <c r="B604" s="114" t="s">
        <v>1232</v>
      </c>
      <c r="C604" s="114" t="s">
        <v>1233</v>
      </c>
      <c r="D604" t="s">
        <v>1234</v>
      </c>
    </row>
    <row r="605" spans="1:4" x14ac:dyDescent="0.2">
      <c r="A605" s="243" t="s">
        <v>1189</v>
      </c>
      <c r="B605" s="114" t="s">
        <v>1235</v>
      </c>
      <c r="C605" s="114" t="s">
        <v>1236</v>
      </c>
      <c r="D605" t="s">
        <v>1237</v>
      </c>
    </row>
    <row r="606" spans="1:4" x14ac:dyDescent="0.2">
      <c r="A606" s="243" t="s">
        <v>1189</v>
      </c>
      <c r="B606" s="114" t="s">
        <v>1238</v>
      </c>
      <c r="C606" s="114" t="s">
        <v>1239</v>
      </c>
      <c r="D606" t="s">
        <v>1240</v>
      </c>
    </row>
    <row r="607" spans="1:4" x14ac:dyDescent="0.2">
      <c r="A607" s="243" t="s">
        <v>1189</v>
      </c>
      <c r="B607" s="114" t="s">
        <v>1241</v>
      </c>
      <c r="C607" s="114" t="s">
        <v>1242</v>
      </c>
      <c r="D607" t="s">
        <v>1243</v>
      </c>
    </row>
    <row r="608" spans="1:4" x14ac:dyDescent="0.2">
      <c r="A608" s="243" t="s">
        <v>1189</v>
      </c>
      <c r="B608" s="114" t="s">
        <v>1244</v>
      </c>
      <c r="C608" s="114" t="s">
        <v>1245</v>
      </c>
      <c r="D608" t="s">
        <v>1246</v>
      </c>
    </row>
    <row r="609" spans="1:5" x14ac:dyDescent="0.2">
      <c r="A609" s="243" t="s">
        <v>1189</v>
      </c>
      <c r="B609" s="114" t="s">
        <v>1247</v>
      </c>
      <c r="C609" s="114" t="s">
        <v>1248</v>
      </c>
      <c r="D609" t="s">
        <v>1249</v>
      </c>
    </row>
    <row r="610" spans="1:5" x14ac:dyDescent="0.2">
      <c r="A610" s="243" t="s">
        <v>1189</v>
      </c>
      <c r="B610" s="114" t="s">
        <v>1250</v>
      </c>
      <c r="C610" s="114" t="s">
        <v>1251</v>
      </c>
      <c r="D610" t="s">
        <v>1252</v>
      </c>
    </row>
    <row r="611" spans="1:5" x14ac:dyDescent="0.2">
      <c r="A611" s="243" t="s">
        <v>1189</v>
      </c>
      <c r="B611" s="114" t="s">
        <v>1253</v>
      </c>
      <c r="C611" s="114" t="s">
        <v>1254</v>
      </c>
      <c r="D611" t="s">
        <v>1255</v>
      </c>
    </row>
    <row r="612" spans="1:5" x14ac:dyDescent="0.2">
      <c r="A612" s="243" t="s">
        <v>1189</v>
      </c>
      <c r="B612" s="114" t="s">
        <v>1256</v>
      </c>
      <c r="C612" s="114" t="s">
        <v>1257</v>
      </c>
      <c r="D612" t="s">
        <v>1258</v>
      </c>
    </row>
    <row r="613" spans="1:5" x14ac:dyDescent="0.2">
      <c r="A613" s="243" t="s">
        <v>1189</v>
      </c>
      <c r="B613" s="114" t="s">
        <v>1259</v>
      </c>
      <c r="C613" s="114" t="s">
        <v>1260</v>
      </c>
      <c r="D613" t="s">
        <v>1261</v>
      </c>
    </row>
    <row r="615" spans="1:5" x14ac:dyDescent="0.2">
      <c r="A615" s="243" t="s">
        <v>1262</v>
      </c>
      <c r="B615" t="s">
        <v>1263</v>
      </c>
      <c r="C615" t="s">
        <v>1264</v>
      </c>
      <c r="D615" t="s">
        <v>1265</v>
      </c>
      <c r="E615" t="s">
        <v>1247</v>
      </c>
    </row>
    <row r="616" spans="1:5" x14ac:dyDescent="0.2">
      <c r="A616" s="243" t="s">
        <v>1262</v>
      </c>
      <c r="B616" t="s">
        <v>1266</v>
      </c>
      <c r="C616" t="s">
        <v>1267</v>
      </c>
      <c r="D616" t="s">
        <v>1268</v>
      </c>
      <c r="E616" t="s">
        <v>1247</v>
      </c>
    </row>
    <row r="617" spans="1:5" x14ac:dyDescent="0.2">
      <c r="A617" s="243" t="s">
        <v>1262</v>
      </c>
      <c r="B617" t="s">
        <v>1269</v>
      </c>
      <c r="C617" t="s">
        <v>1270</v>
      </c>
      <c r="D617" t="s">
        <v>1271</v>
      </c>
      <c r="E617" t="s">
        <v>1247</v>
      </c>
    </row>
    <row r="618" spans="1:5" x14ac:dyDescent="0.2">
      <c r="A618" s="243" t="s">
        <v>1262</v>
      </c>
      <c r="B618" t="s">
        <v>1272</v>
      </c>
      <c r="C618" t="s">
        <v>1273</v>
      </c>
      <c r="D618" t="s">
        <v>1274</v>
      </c>
      <c r="E618" t="s">
        <v>1247</v>
      </c>
    </row>
    <row r="619" spans="1:5" x14ac:dyDescent="0.2">
      <c r="A619" s="243" t="s">
        <v>1262</v>
      </c>
      <c r="B619" t="s">
        <v>1275</v>
      </c>
      <c r="C619" t="s">
        <v>1276</v>
      </c>
      <c r="D619" t="s">
        <v>1277</v>
      </c>
      <c r="E619" t="s">
        <v>1247</v>
      </c>
    </row>
    <row r="620" spans="1:5" x14ac:dyDescent="0.2">
      <c r="A620" s="243" t="s">
        <v>1262</v>
      </c>
      <c r="B620" t="s">
        <v>1278</v>
      </c>
      <c r="C620" t="s">
        <v>1279</v>
      </c>
      <c r="D620" t="s">
        <v>1280</v>
      </c>
      <c r="E620" t="s">
        <v>1247</v>
      </c>
    </row>
    <row r="621" spans="1:5" x14ac:dyDescent="0.2">
      <c r="A621" s="243" t="s">
        <v>1262</v>
      </c>
      <c r="B621" t="s">
        <v>1281</v>
      </c>
      <c r="C621" t="s">
        <v>1282</v>
      </c>
      <c r="D621" t="s">
        <v>1283</v>
      </c>
      <c r="E621" t="s">
        <v>1250</v>
      </c>
    </row>
    <row r="622" spans="1:5" x14ac:dyDescent="0.2">
      <c r="A622" s="243" t="s">
        <v>1262</v>
      </c>
      <c r="B622" t="s">
        <v>1284</v>
      </c>
      <c r="C622" t="s">
        <v>1285</v>
      </c>
      <c r="D622" t="s">
        <v>1286</v>
      </c>
      <c r="E622" t="s">
        <v>1250</v>
      </c>
    </row>
    <row r="623" spans="1:5" x14ac:dyDescent="0.2">
      <c r="A623" s="243" t="s">
        <v>1262</v>
      </c>
      <c r="B623" t="s">
        <v>1287</v>
      </c>
      <c r="C623" t="s">
        <v>1288</v>
      </c>
      <c r="D623" t="s">
        <v>1289</v>
      </c>
      <c r="E623" t="s">
        <v>1250</v>
      </c>
    </row>
    <row r="624" spans="1:5" x14ac:dyDescent="0.2">
      <c r="A624" s="243" t="s">
        <v>1262</v>
      </c>
      <c r="B624" t="s">
        <v>1290</v>
      </c>
      <c r="C624" t="s">
        <v>1291</v>
      </c>
      <c r="D624" t="s">
        <v>1292</v>
      </c>
      <c r="E624" t="s">
        <v>1250</v>
      </c>
    </row>
    <row r="625" spans="1:5" x14ac:dyDescent="0.2">
      <c r="A625" s="243" t="s">
        <v>1262</v>
      </c>
      <c r="B625" t="s">
        <v>1293</v>
      </c>
      <c r="C625" t="s">
        <v>1294</v>
      </c>
      <c r="D625" t="s">
        <v>1295</v>
      </c>
      <c r="E625" t="s">
        <v>1199</v>
      </c>
    </row>
    <row r="626" spans="1:5" x14ac:dyDescent="0.2">
      <c r="A626" s="243" t="s">
        <v>1262</v>
      </c>
      <c r="B626" t="s">
        <v>1296</v>
      </c>
      <c r="C626" t="s">
        <v>1297</v>
      </c>
      <c r="D626" t="s">
        <v>1298</v>
      </c>
      <c r="E626" t="s">
        <v>1199</v>
      </c>
    </row>
    <row r="627" spans="1:5" x14ac:dyDescent="0.2">
      <c r="A627" s="243" t="s">
        <v>1262</v>
      </c>
      <c r="B627" t="s">
        <v>1299</v>
      </c>
      <c r="C627" t="s">
        <v>1300</v>
      </c>
      <c r="D627" t="s">
        <v>1301</v>
      </c>
      <c r="E627" t="s">
        <v>1199</v>
      </c>
    </row>
    <row r="628" spans="1:5" x14ac:dyDescent="0.2">
      <c r="A628" s="243" t="s">
        <v>1262</v>
      </c>
      <c r="B628" t="s">
        <v>1302</v>
      </c>
      <c r="C628" t="s">
        <v>1303</v>
      </c>
      <c r="D628" t="s">
        <v>1304</v>
      </c>
      <c r="E628" t="s">
        <v>1199</v>
      </c>
    </row>
    <row r="629" spans="1:5" x14ac:dyDescent="0.2">
      <c r="A629" s="243" t="s">
        <v>1262</v>
      </c>
      <c r="B629" t="s">
        <v>1305</v>
      </c>
      <c r="C629" t="s">
        <v>1306</v>
      </c>
      <c r="D629" t="s">
        <v>1307</v>
      </c>
      <c r="E629" t="s">
        <v>1199</v>
      </c>
    </row>
    <row r="630" spans="1:5" x14ac:dyDescent="0.2">
      <c r="A630" s="243" t="s">
        <v>1262</v>
      </c>
      <c r="B630" t="s">
        <v>1308</v>
      </c>
      <c r="C630" t="s">
        <v>1309</v>
      </c>
      <c r="D630" t="s">
        <v>1310</v>
      </c>
      <c r="E630" t="s">
        <v>1199</v>
      </c>
    </row>
    <row r="631" spans="1:5" x14ac:dyDescent="0.2">
      <c r="A631" s="243" t="s">
        <v>1262</v>
      </c>
      <c r="B631" t="s">
        <v>1311</v>
      </c>
      <c r="C631" t="s">
        <v>1312</v>
      </c>
      <c r="D631" t="s">
        <v>1313</v>
      </c>
      <c r="E631" t="s">
        <v>1199</v>
      </c>
    </row>
    <row r="632" spans="1:5" x14ac:dyDescent="0.2">
      <c r="A632" s="243" t="s">
        <v>1262</v>
      </c>
      <c r="B632" t="s">
        <v>1314</v>
      </c>
      <c r="C632" t="s">
        <v>1315</v>
      </c>
      <c r="D632" t="s">
        <v>1316</v>
      </c>
      <c r="E632" t="s">
        <v>1202</v>
      </c>
    </row>
    <row r="633" spans="1:5" x14ac:dyDescent="0.2">
      <c r="A633" s="243" t="s">
        <v>1262</v>
      </c>
      <c r="B633" t="s">
        <v>1317</v>
      </c>
      <c r="C633" t="s">
        <v>1318</v>
      </c>
      <c r="D633" t="s">
        <v>1319</v>
      </c>
      <c r="E633" t="s">
        <v>1202</v>
      </c>
    </row>
    <row r="634" spans="1:5" x14ac:dyDescent="0.2">
      <c r="A634" s="243" t="s">
        <v>1262</v>
      </c>
      <c r="B634" t="s">
        <v>1320</v>
      </c>
      <c r="C634" t="s">
        <v>1321</v>
      </c>
      <c r="D634" t="s">
        <v>1322</v>
      </c>
      <c r="E634" t="s">
        <v>1202</v>
      </c>
    </row>
    <row r="635" spans="1:5" x14ac:dyDescent="0.2">
      <c r="A635" s="243" t="s">
        <v>1262</v>
      </c>
      <c r="B635" t="s">
        <v>1323</v>
      </c>
      <c r="C635" t="s">
        <v>1324</v>
      </c>
      <c r="D635" t="s">
        <v>1325</v>
      </c>
      <c r="E635" t="s">
        <v>1202</v>
      </c>
    </row>
    <row r="636" spans="1:5" x14ac:dyDescent="0.2">
      <c r="A636" s="243" t="s">
        <v>1262</v>
      </c>
      <c r="B636" t="s">
        <v>1326</v>
      </c>
      <c r="C636" t="s">
        <v>1327</v>
      </c>
      <c r="D636" t="s">
        <v>1328</v>
      </c>
      <c r="E636" t="s">
        <v>1202</v>
      </c>
    </row>
    <row r="637" spans="1:5" x14ac:dyDescent="0.2">
      <c r="A637" s="243" t="s">
        <v>1262</v>
      </c>
      <c r="B637" t="s">
        <v>1329</v>
      </c>
      <c r="C637" t="s">
        <v>1330</v>
      </c>
      <c r="D637" t="s">
        <v>1331</v>
      </c>
      <c r="E637" t="s">
        <v>1202</v>
      </c>
    </row>
    <row r="638" spans="1:5" x14ac:dyDescent="0.2">
      <c r="A638" s="243" t="s">
        <v>1262</v>
      </c>
      <c r="B638" t="s">
        <v>1332</v>
      </c>
      <c r="C638" t="s">
        <v>1333</v>
      </c>
      <c r="D638" t="s">
        <v>1334</v>
      </c>
      <c r="E638" t="s">
        <v>1202</v>
      </c>
    </row>
    <row r="639" spans="1:5" x14ac:dyDescent="0.2">
      <c r="A639" s="243" t="s">
        <v>1262</v>
      </c>
      <c r="B639" t="s">
        <v>1335</v>
      </c>
      <c r="C639" t="s">
        <v>1336</v>
      </c>
      <c r="D639" t="s">
        <v>1337</v>
      </c>
      <c r="E639" t="s">
        <v>1202</v>
      </c>
    </row>
    <row r="640" spans="1:5" x14ac:dyDescent="0.2">
      <c r="A640" s="243" t="s">
        <v>1262</v>
      </c>
      <c r="B640" t="s">
        <v>1338</v>
      </c>
      <c r="C640" t="s">
        <v>1339</v>
      </c>
      <c r="D640" t="s">
        <v>1340</v>
      </c>
      <c r="E640" t="s">
        <v>1259</v>
      </c>
    </row>
    <row r="641" spans="1:5" x14ac:dyDescent="0.2">
      <c r="A641" s="243" t="s">
        <v>1262</v>
      </c>
      <c r="B641" t="s">
        <v>1341</v>
      </c>
      <c r="C641" t="s">
        <v>1342</v>
      </c>
      <c r="D641" t="s">
        <v>1343</v>
      </c>
      <c r="E641" t="s">
        <v>1259</v>
      </c>
    </row>
    <row r="642" spans="1:5" x14ac:dyDescent="0.2">
      <c r="A642" s="243" t="s">
        <v>1262</v>
      </c>
      <c r="B642" t="s">
        <v>1344</v>
      </c>
      <c r="C642" t="s">
        <v>1345</v>
      </c>
      <c r="D642" t="s">
        <v>1346</v>
      </c>
      <c r="E642" t="s">
        <v>1259</v>
      </c>
    </row>
    <row r="643" spans="1:5" x14ac:dyDescent="0.2">
      <c r="A643" s="243" t="s">
        <v>1262</v>
      </c>
      <c r="B643" t="s">
        <v>1347</v>
      </c>
      <c r="C643" t="s">
        <v>1348</v>
      </c>
      <c r="D643" t="s">
        <v>1349</v>
      </c>
      <c r="E643" t="s">
        <v>1259</v>
      </c>
    </row>
    <row r="644" spans="1:5" x14ac:dyDescent="0.2">
      <c r="A644" s="243" t="s">
        <v>1262</v>
      </c>
      <c r="B644" t="s">
        <v>1350</v>
      </c>
      <c r="C644" t="s">
        <v>1351</v>
      </c>
      <c r="D644" t="s">
        <v>1352</v>
      </c>
      <c r="E644" t="s">
        <v>1253</v>
      </c>
    </row>
    <row r="645" spans="1:5" x14ac:dyDescent="0.2">
      <c r="A645" s="243" t="s">
        <v>1262</v>
      </c>
      <c r="B645" t="s">
        <v>1353</v>
      </c>
      <c r="C645" t="s">
        <v>1354</v>
      </c>
      <c r="D645" t="s">
        <v>1355</v>
      </c>
      <c r="E645" t="s">
        <v>1253</v>
      </c>
    </row>
    <row r="646" spans="1:5" x14ac:dyDescent="0.2">
      <c r="A646" s="243" t="s">
        <v>1262</v>
      </c>
      <c r="B646" t="s">
        <v>1356</v>
      </c>
      <c r="C646" t="s">
        <v>1357</v>
      </c>
      <c r="D646" t="s">
        <v>1358</v>
      </c>
      <c r="E646" t="s">
        <v>1253</v>
      </c>
    </row>
    <row r="647" spans="1:5" x14ac:dyDescent="0.2">
      <c r="A647" s="243" t="s">
        <v>1262</v>
      </c>
      <c r="B647" t="s">
        <v>1359</v>
      </c>
      <c r="C647" t="s">
        <v>1360</v>
      </c>
      <c r="D647" t="s">
        <v>1361</v>
      </c>
      <c r="E647" t="s">
        <v>1253</v>
      </c>
    </row>
    <row r="648" spans="1:5" x14ac:dyDescent="0.2">
      <c r="A648" s="243" t="s">
        <v>1262</v>
      </c>
      <c r="B648" t="s">
        <v>1362</v>
      </c>
      <c r="C648" t="s">
        <v>1363</v>
      </c>
      <c r="D648" t="s">
        <v>1364</v>
      </c>
      <c r="E648" t="s">
        <v>1253</v>
      </c>
    </row>
    <row r="649" spans="1:5" x14ac:dyDescent="0.2">
      <c r="A649" s="243" t="s">
        <v>1262</v>
      </c>
      <c r="B649" t="s">
        <v>1365</v>
      </c>
      <c r="C649" t="s">
        <v>1366</v>
      </c>
      <c r="D649" t="s">
        <v>1367</v>
      </c>
      <c r="E649" t="s">
        <v>1253</v>
      </c>
    </row>
    <row r="650" spans="1:5" x14ac:dyDescent="0.2">
      <c r="A650" s="243" t="s">
        <v>1262</v>
      </c>
      <c r="B650" t="s">
        <v>1368</v>
      </c>
      <c r="C650" t="s">
        <v>1369</v>
      </c>
      <c r="D650" t="s">
        <v>1370</v>
      </c>
      <c r="E650" t="s">
        <v>1256</v>
      </c>
    </row>
    <row r="651" spans="1:5" x14ac:dyDescent="0.2">
      <c r="A651" s="243" t="s">
        <v>1262</v>
      </c>
      <c r="B651" t="s">
        <v>1371</v>
      </c>
      <c r="C651" t="s">
        <v>1372</v>
      </c>
      <c r="D651" t="s">
        <v>1373</v>
      </c>
      <c r="E651" t="s">
        <v>1256</v>
      </c>
    </row>
    <row r="652" spans="1:5" x14ac:dyDescent="0.2">
      <c r="A652" s="243" t="s">
        <v>1262</v>
      </c>
      <c r="B652" t="s">
        <v>1374</v>
      </c>
      <c r="C652" t="s">
        <v>1375</v>
      </c>
      <c r="D652" t="s">
        <v>1376</v>
      </c>
      <c r="E652" t="s">
        <v>1256</v>
      </c>
    </row>
    <row r="653" spans="1:5" x14ac:dyDescent="0.2">
      <c r="A653" s="243" t="s">
        <v>1262</v>
      </c>
      <c r="B653" t="s">
        <v>1377</v>
      </c>
      <c r="C653" t="s">
        <v>1378</v>
      </c>
      <c r="D653" t="s">
        <v>1379</v>
      </c>
      <c r="E653" t="s">
        <v>1256</v>
      </c>
    </row>
    <row r="654" spans="1:5" x14ac:dyDescent="0.2">
      <c r="A654" s="243" t="s">
        <v>1262</v>
      </c>
      <c r="B654" t="s">
        <v>1380</v>
      </c>
      <c r="C654" t="s">
        <v>1381</v>
      </c>
      <c r="D654" t="s">
        <v>1382</v>
      </c>
      <c r="E654" t="s">
        <v>1256</v>
      </c>
    </row>
    <row r="655" spans="1:5" x14ac:dyDescent="0.2">
      <c r="A655" s="243" t="s">
        <v>1262</v>
      </c>
      <c r="B655" t="s">
        <v>1383</v>
      </c>
      <c r="C655" t="s">
        <v>1384</v>
      </c>
      <c r="D655" t="s">
        <v>1385</v>
      </c>
      <c r="E655" t="s">
        <v>1205</v>
      </c>
    </row>
    <row r="656" spans="1:5" x14ac:dyDescent="0.2">
      <c r="A656" s="243" t="s">
        <v>1262</v>
      </c>
      <c r="B656" t="s">
        <v>1386</v>
      </c>
      <c r="C656" t="s">
        <v>1387</v>
      </c>
      <c r="D656" t="s">
        <v>1388</v>
      </c>
      <c r="E656" t="s">
        <v>1205</v>
      </c>
    </row>
    <row r="657" spans="1:5" x14ac:dyDescent="0.2">
      <c r="A657" s="243" t="s">
        <v>1262</v>
      </c>
      <c r="B657" t="s">
        <v>1389</v>
      </c>
      <c r="C657" t="s">
        <v>1390</v>
      </c>
      <c r="D657" t="s">
        <v>1391</v>
      </c>
      <c r="E657" t="s">
        <v>1205</v>
      </c>
    </row>
    <row r="658" spans="1:5" x14ac:dyDescent="0.2">
      <c r="A658" s="243" t="s">
        <v>1262</v>
      </c>
      <c r="B658" t="s">
        <v>1392</v>
      </c>
      <c r="C658" t="s">
        <v>1393</v>
      </c>
      <c r="D658" t="s">
        <v>1394</v>
      </c>
      <c r="E658" t="s">
        <v>1205</v>
      </c>
    </row>
    <row r="659" spans="1:5" x14ac:dyDescent="0.2">
      <c r="A659" s="243" t="s">
        <v>1262</v>
      </c>
      <c r="B659" t="s">
        <v>1395</v>
      </c>
      <c r="C659" t="s">
        <v>1396</v>
      </c>
      <c r="D659" t="s">
        <v>1397</v>
      </c>
      <c r="E659" t="s">
        <v>1205</v>
      </c>
    </row>
    <row r="660" spans="1:5" x14ac:dyDescent="0.2">
      <c r="A660" s="243" t="s">
        <v>1262</v>
      </c>
      <c r="B660" t="s">
        <v>1398</v>
      </c>
      <c r="C660" t="s">
        <v>1399</v>
      </c>
      <c r="D660" t="s">
        <v>1400</v>
      </c>
      <c r="E660" t="s">
        <v>1205</v>
      </c>
    </row>
    <row r="661" spans="1:5" x14ac:dyDescent="0.2">
      <c r="A661" s="243" t="s">
        <v>1262</v>
      </c>
      <c r="B661" t="s">
        <v>1401</v>
      </c>
      <c r="C661" t="s">
        <v>1402</v>
      </c>
      <c r="D661" t="s">
        <v>1403</v>
      </c>
      <c r="E661" t="s">
        <v>1223</v>
      </c>
    </row>
    <row r="662" spans="1:5" x14ac:dyDescent="0.2">
      <c r="A662" s="243" t="s">
        <v>1262</v>
      </c>
      <c r="B662" t="s">
        <v>1404</v>
      </c>
      <c r="C662" t="s">
        <v>1405</v>
      </c>
      <c r="D662" t="s">
        <v>1406</v>
      </c>
      <c r="E662" t="s">
        <v>1223</v>
      </c>
    </row>
    <row r="663" spans="1:5" x14ac:dyDescent="0.2">
      <c r="A663" s="243" t="s">
        <v>1262</v>
      </c>
      <c r="B663" t="s">
        <v>1407</v>
      </c>
      <c r="C663" t="s">
        <v>1408</v>
      </c>
      <c r="D663" t="s">
        <v>1409</v>
      </c>
      <c r="E663" t="s">
        <v>1223</v>
      </c>
    </row>
    <row r="664" spans="1:5" x14ac:dyDescent="0.2">
      <c r="A664" s="243" t="s">
        <v>1262</v>
      </c>
      <c r="B664" t="s">
        <v>1410</v>
      </c>
      <c r="C664" t="s">
        <v>1411</v>
      </c>
      <c r="D664" t="s">
        <v>1412</v>
      </c>
      <c r="E664" t="s">
        <v>1223</v>
      </c>
    </row>
    <row r="665" spans="1:5" x14ac:dyDescent="0.2">
      <c r="A665" s="243" t="s">
        <v>1262</v>
      </c>
      <c r="B665" t="s">
        <v>1413</v>
      </c>
      <c r="C665" t="s">
        <v>1414</v>
      </c>
      <c r="D665" t="s">
        <v>1415</v>
      </c>
      <c r="E665" t="s">
        <v>1223</v>
      </c>
    </row>
    <row r="666" spans="1:5" x14ac:dyDescent="0.2">
      <c r="A666" s="243" t="s">
        <v>1262</v>
      </c>
      <c r="B666" t="s">
        <v>1416</v>
      </c>
      <c r="C666" t="s">
        <v>1417</v>
      </c>
      <c r="D666" t="s">
        <v>1418</v>
      </c>
      <c r="E666" t="s">
        <v>1223</v>
      </c>
    </row>
    <row r="667" spans="1:5" x14ac:dyDescent="0.2">
      <c r="A667" s="243" t="s">
        <v>1262</v>
      </c>
      <c r="B667" t="s">
        <v>1419</v>
      </c>
      <c r="C667" t="s">
        <v>1420</v>
      </c>
      <c r="D667" t="s">
        <v>1421</v>
      </c>
      <c r="E667" t="s">
        <v>1223</v>
      </c>
    </row>
    <row r="668" spans="1:5" x14ac:dyDescent="0.2">
      <c r="A668" s="243" t="s">
        <v>1262</v>
      </c>
      <c r="B668" t="s">
        <v>1422</v>
      </c>
      <c r="C668" t="s">
        <v>1423</v>
      </c>
      <c r="D668" t="s">
        <v>1424</v>
      </c>
      <c r="E668" t="s">
        <v>1223</v>
      </c>
    </row>
    <row r="669" spans="1:5" x14ac:dyDescent="0.2">
      <c r="A669" s="243" t="s">
        <v>1262</v>
      </c>
      <c r="B669" t="s">
        <v>1425</v>
      </c>
      <c r="C669" t="s">
        <v>1426</v>
      </c>
      <c r="D669" t="s">
        <v>1427</v>
      </c>
      <c r="E669" t="s">
        <v>1217</v>
      </c>
    </row>
    <row r="670" spans="1:5" x14ac:dyDescent="0.2">
      <c r="A670" s="243" t="s">
        <v>1262</v>
      </c>
      <c r="B670" t="s">
        <v>1428</v>
      </c>
      <c r="C670" t="s">
        <v>1429</v>
      </c>
      <c r="D670" t="s">
        <v>1430</v>
      </c>
      <c r="E670" t="s">
        <v>1217</v>
      </c>
    </row>
    <row r="671" spans="1:5" x14ac:dyDescent="0.2">
      <c r="A671" s="243" t="s">
        <v>1262</v>
      </c>
      <c r="B671" t="s">
        <v>1431</v>
      </c>
      <c r="C671" t="s">
        <v>1432</v>
      </c>
      <c r="D671" t="s">
        <v>1433</v>
      </c>
      <c r="E671" t="s">
        <v>1217</v>
      </c>
    </row>
    <row r="672" spans="1:5" x14ac:dyDescent="0.2">
      <c r="A672" s="243" t="s">
        <v>1262</v>
      </c>
      <c r="B672" t="s">
        <v>1434</v>
      </c>
      <c r="C672" t="s">
        <v>1435</v>
      </c>
      <c r="D672" t="s">
        <v>1436</v>
      </c>
      <c r="E672" t="s">
        <v>1217</v>
      </c>
    </row>
    <row r="673" spans="1:5" x14ac:dyDescent="0.2">
      <c r="A673" s="243" t="s">
        <v>1262</v>
      </c>
      <c r="B673" t="s">
        <v>1437</v>
      </c>
      <c r="C673" t="s">
        <v>1438</v>
      </c>
      <c r="D673" t="s">
        <v>1439</v>
      </c>
      <c r="E673" t="s">
        <v>1226</v>
      </c>
    </row>
    <row r="674" spans="1:5" x14ac:dyDescent="0.2">
      <c r="A674" s="243" t="s">
        <v>1262</v>
      </c>
      <c r="B674" t="s">
        <v>1440</v>
      </c>
      <c r="C674" t="s">
        <v>1441</v>
      </c>
      <c r="D674" t="s">
        <v>1442</v>
      </c>
      <c r="E674" t="s">
        <v>1226</v>
      </c>
    </row>
    <row r="675" spans="1:5" x14ac:dyDescent="0.2">
      <c r="A675" s="243" t="s">
        <v>1262</v>
      </c>
      <c r="B675" t="s">
        <v>1443</v>
      </c>
      <c r="C675" t="s">
        <v>1444</v>
      </c>
      <c r="D675" t="s">
        <v>1445</v>
      </c>
      <c r="E675" t="s">
        <v>1226</v>
      </c>
    </row>
    <row r="676" spans="1:5" x14ac:dyDescent="0.2">
      <c r="A676" s="243" t="s">
        <v>1262</v>
      </c>
      <c r="B676" t="s">
        <v>1446</v>
      </c>
      <c r="C676" t="s">
        <v>1447</v>
      </c>
      <c r="D676" t="s">
        <v>1448</v>
      </c>
      <c r="E676" t="s">
        <v>1226</v>
      </c>
    </row>
    <row r="677" spans="1:5" x14ac:dyDescent="0.2">
      <c r="A677" s="243" t="s">
        <v>1262</v>
      </c>
      <c r="B677" t="s">
        <v>1449</v>
      </c>
      <c r="C677" t="s">
        <v>1450</v>
      </c>
      <c r="D677" t="s">
        <v>1451</v>
      </c>
      <c r="E677" t="s">
        <v>1226</v>
      </c>
    </row>
    <row r="678" spans="1:5" x14ac:dyDescent="0.2">
      <c r="A678" s="243" t="s">
        <v>1262</v>
      </c>
      <c r="B678" t="s">
        <v>1452</v>
      </c>
      <c r="C678" t="s">
        <v>1453</v>
      </c>
      <c r="D678" t="s">
        <v>1454</v>
      </c>
      <c r="E678" t="s">
        <v>1226</v>
      </c>
    </row>
    <row r="679" spans="1:5" x14ac:dyDescent="0.2">
      <c r="A679" s="243" t="s">
        <v>1262</v>
      </c>
      <c r="B679" t="s">
        <v>1455</v>
      </c>
      <c r="C679" t="s">
        <v>1456</v>
      </c>
      <c r="D679" t="s">
        <v>1457</v>
      </c>
      <c r="E679" t="s">
        <v>1226</v>
      </c>
    </row>
    <row r="680" spans="1:5" x14ac:dyDescent="0.2">
      <c r="A680" s="243" t="s">
        <v>1262</v>
      </c>
      <c r="B680" t="s">
        <v>1458</v>
      </c>
      <c r="C680" t="s">
        <v>1459</v>
      </c>
      <c r="D680" t="s">
        <v>1460</v>
      </c>
      <c r="E680" t="s">
        <v>1229</v>
      </c>
    </row>
    <row r="681" spans="1:5" x14ac:dyDescent="0.2">
      <c r="A681" s="243" t="s">
        <v>1262</v>
      </c>
      <c r="B681" t="s">
        <v>1461</v>
      </c>
      <c r="C681" t="s">
        <v>1462</v>
      </c>
      <c r="D681" t="s">
        <v>1463</v>
      </c>
      <c r="E681" t="s">
        <v>1229</v>
      </c>
    </row>
    <row r="682" spans="1:5" x14ac:dyDescent="0.2">
      <c r="A682" s="243" t="s">
        <v>1262</v>
      </c>
      <c r="B682" t="s">
        <v>1464</v>
      </c>
      <c r="C682" t="s">
        <v>1465</v>
      </c>
      <c r="D682" t="s">
        <v>1466</v>
      </c>
      <c r="E682" t="s">
        <v>1229</v>
      </c>
    </row>
    <row r="683" spans="1:5" x14ac:dyDescent="0.2">
      <c r="A683" s="243" t="s">
        <v>1262</v>
      </c>
      <c r="B683" t="s">
        <v>1467</v>
      </c>
      <c r="C683" t="s">
        <v>1468</v>
      </c>
      <c r="D683" t="s">
        <v>1469</v>
      </c>
      <c r="E683" t="s">
        <v>1229</v>
      </c>
    </row>
    <row r="684" spans="1:5" x14ac:dyDescent="0.2">
      <c r="A684" s="243" t="s">
        <v>1262</v>
      </c>
      <c r="B684" t="s">
        <v>1470</v>
      </c>
      <c r="C684" t="s">
        <v>1471</v>
      </c>
      <c r="D684" t="s">
        <v>1472</v>
      </c>
      <c r="E684" t="s">
        <v>1232</v>
      </c>
    </row>
    <row r="685" spans="1:5" x14ac:dyDescent="0.2">
      <c r="A685" s="243" t="s">
        <v>1262</v>
      </c>
      <c r="B685" t="s">
        <v>1473</v>
      </c>
      <c r="C685" t="s">
        <v>1474</v>
      </c>
      <c r="D685" t="s">
        <v>1475</v>
      </c>
      <c r="E685" t="s">
        <v>1232</v>
      </c>
    </row>
    <row r="686" spans="1:5" x14ac:dyDescent="0.2">
      <c r="A686" s="243" t="s">
        <v>1262</v>
      </c>
      <c r="B686" t="s">
        <v>1476</v>
      </c>
      <c r="C686" t="s">
        <v>1477</v>
      </c>
      <c r="D686" t="s">
        <v>1478</v>
      </c>
      <c r="E686" t="s">
        <v>1232</v>
      </c>
    </row>
    <row r="687" spans="1:5" x14ac:dyDescent="0.2">
      <c r="A687" s="243" t="s">
        <v>1262</v>
      </c>
      <c r="B687" t="s">
        <v>1479</v>
      </c>
      <c r="C687" t="s">
        <v>1480</v>
      </c>
      <c r="D687" t="s">
        <v>1481</v>
      </c>
      <c r="E687" t="s">
        <v>1232</v>
      </c>
    </row>
    <row r="688" spans="1:5" x14ac:dyDescent="0.2">
      <c r="A688" s="243" t="s">
        <v>1262</v>
      </c>
      <c r="B688" t="s">
        <v>1482</v>
      </c>
      <c r="C688" t="s">
        <v>1483</v>
      </c>
      <c r="D688" t="s">
        <v>1484</v>
      </c>
      <c r="E688" t="s">
        <v>1232</v>
      </c>
    </row>
    <row r="689" spans="1:5" x14ac:dyDescent="0.2">
      <c r="A689" s="243" t="s">
        <v>1262</v>
      </c>
      <c r="B689" t="s">
        <v>1485</v>
      </c>
      <c r="C689" t="s">
        <v>1486</v>
      </c>
      <c r="D689" t="s">
        <v>1487</v>
      </c>
      <c r="E689" t="s">
        <v>1232</v>
      </c>
    </row>
    <row r="690" spans="1:5" x14ac:dyDescent="0.2">
      <c r="A690" s="243" t="s">
        <v>1262</v>
      </c>
      <c r="B690" t="s">
        <v>1488</v>
      </c>
      <c r="C690" t="s">
        <v>1489</v>
      </c>
      <c r="D690" t="s">
        <v>1490</v>
      </c>
      <c r="E690" t="s">
        <v>1232</v>
      </c>
    </row>
    <row r="691" spans="1:5" x14ac:dyDescent="0.2">
      <c r="A691" s="243" t="s">
        <v>1262</v>
      </c>
      <c r="B691" t="s">
        <v>1491</v>
      </c>
      <c r="C691" t="s">
        <v>1492</v>
      </c>
      <c r="D691" t="s">
        <v>1493</v>
      </c>
      <c r="E691" t="s">
        <v>1235</v>
      </c>
    </row>
    <row r="692" spans="1:5" x14ac:dyDescent="0.2">
      <c r="A692" s="243" t="s">
        <v>1262</v>
      </c>
      <c r="B692" t="s">
        <v>1494</v>
      </c>
      <c r="C692" t="s">
        <v>1495</v>
      </c>
      <c r="D692" t="s">
        <v>1496</v>
      </c>
      <c r="E692" t="s">
        <v>1235</v>
      </c>
    </row>
    <row r="693" spans="1:5" x14ac:dyDescent="0.2">
      <c r="A693" s="243" t="s">
        <v>1262</v>
      </c>
      <c r="B693" t="s">
        <v>1497</v>
      </c>
      <c r="C693" t="s">
        <v>1498</v>
      </c>
      <c r="D693" t="s">
        <v>1499</v>
      </c>
      <c r="E693" t="s">
        <v>1235</v>
      </c>
    </row>
    <row r="694" spans="1:5" x14ac:dyDescent="0.2">
      <c r="A694" s="243" t="s">
        <v>1262</v>
      </c>
      <c r="B694" t="s">
        <v>1500</v>
      </c>
      <c r="C694" t="s">
        <v>1501</v>
      </c>
      <c r="D694" t="s">
        <v>1502</v>
      </c>
      <c r="E694" t="s">
        <v>1235</v>
      </c>
    </row>
    <row r="695" spans="1:5" x14ac:dyDescent="0.2">
      <c r="A695" s="243" t="s">
        <v>1262</v>
      </c>
      <c r="B695" t="s">
        <v>1503</v>
      </c>
      <c r="C695" t="s">
        <v>1504</v>
      </c>
      <c r="D695" t="s">
        <v>1505</v>
      </c>
      <c r="E695" t="s">
        <v>1238</v>
      </c>
    </row>
    <row r="696" spans="1:5" x14ac:dyDescent="0.2">
      <c r="A696" s="243" t="s">
        <v>1262</v>
      </c>
      <c r="B696" t="s">
        <v>1506</v>
      </c>
      <c r="C696" t="s">
        <v>1507</v>
      </c>
      <c r="D696" t="s">
        <v>1508</v>
      </c>
      <c r="E696" t="s">
        <v>1238</v>
      </c>
    </row>
    <row r="697" spans="1:5" x14ac:dyDescent="0.2">
      <c r="A697" s="243" t="s">
        <v>1262</v>
      </c>
      <c r="B697" t="s">
        <v>1509</v>
      </c>
      <c r="C697" t="s">
        <v>1510</v>
      </c>
      <c r="D697" t="s">
        <v>1511</v>
      </c>
      <c r="E697" t="s">
        <v>1238</v>
      </c>
    </row>
    <row r="698" spans="1:5" x14ac:dyDescent="0.2">
      <c r="A698" s="243" t="s">
        <v>1262</v>
      </c>
      <c r="B698" t="s">
        <v>1512</v>
      </c>
      <c r="C698" t="s">
        <v>1513</v>
      </c>
      <c r="D698" t="s">
        <v>1514</v>
      </c>
      <c r="E698" t="s">
        <v>1238</v>
      </c>
    </row>
    <row r="699" spans="1:5" x14ac:dyDescent="0.2">
      <c r="A699" s="243" t="s">
        <v>1262</v>
      </c>
      <c r="B699" t="s">
        <v>1515</v>
      </c>
      <c r="C699" t="s">
        <v>1516</v>
      </c>
      <c r="D699" t="s">
        <v>1517</v>
      </c>
      <c r="E699" t="s">
        <v>1241</v>
      </c>
    </row>
    <row r="700" spans="1:5" x14ac:dyDescent="0.2">
      <c r="A700" s="243" t="s">
        <v>1262</v>
      </c>
      <c r="B700" t="s">
        <v>1518</v>
      </c>
      <c r="C700" t="s">
        <v>1519</v>
      </c>
      <c r="D700" t="s">
        <v>1520</v>
      </c>
      <c r="E700" t="s">
        <v>1241</v>
      </c>
    </row>
    <row r="701" spans="1:5" x14ac:dyDescent="0.2">
      <c r="A701" s="243" t="s">
        <v>1262</v>
      </c>
      <c r="B701" t="s">
        <v>1521</v>
      </c>
      <c r="C701" t="s">
        <v>1522</v>
      </c>
      <c r="D701" t="s">
        <v>1523</v>
      </c>
      <c r="E701" t="s">
        <v>1241</v>
      </c>
    </row>
    <row r="702" spans="1:5" x14ac:dyDescent="0.2">
      <c r="A702" s="243" t="s">
        <v>1262</v>
      </c>
      <c r="B702" t="s">
        <v>1524</v>
      </c>
      <c r="C702" t="s">
        <v>1525</v>
      </c>
      <c r="D702" t="s">
        <v>1526</v>
      </c>
      <c r="E702" t="s">
        <v>1241</v>
      </c>
    </row>
    <row r="703" spans="1:5" x14ac:dyDescent="0.2">
      <c r="A703" s="243" t="s">
        <v>1262</v>
      </c>
      <c r="B703" t="s">
        <v>1527</v>
      </c>
      <c r="C703" t="s">
        <v>1528</v>
      </c>
      <c r="D703" t="s">
        <v>1529</v>
      </c>
      <c r="E703" t="s">
        <v>1241</v>
      </c>
    </row>
    <row r="704" spans="1:5" x14ac:dyDescent="0.2">
      <c r="A704" s="243" t="s">
        <v>1262</v>
      </c>
      <c r="B704" t="s">
        <v>1530</v>
      </c>
      <c r="C704" t="s">
        <v>1531</v>
      </c>
      <c r="D704" t="s">
        <v>1532</v>
      </c>
      <c r="E704" t="s">
        <v>1244</v>
      </c>
    </row>
    <row r="705" spans="1:5" x14ac:dyDescent="0.2">
      <c r="A705" s="243" t="s">
        <v>1262</v>
      </c>
      <c r="B705" t="s">
        <v>1533</v>
      </c>
      <c r="C705" t="s">
        <v>1534</v>
      </c>
      <c r="D705" t="s">
        <v>1535</v>
      </c>
      <c r="E705" t="s">
        <v>1244</v>
      </c>
    </row>
    <row r="706" spans="1:5" x14ac:dyDescent="0.2">
      <c r="A706" s="243" t="s">
        <v>1262</v>
      </c>
      <c r="B706" t="s">
        <v>1536</v>
      </c>
      <c r="C706" t="s">
        <v>1537</v>
      </c>
      <c r="D706" t="s">
        <v>1538</v>
      </c>
      <c r="E706" t="s">
        <v>1244</v>
      </c>
    </row>
    <row r="707" spans="1:5" x14ac:dyDescent="0.2">
      <c r="A707" s="243" t="s">
        <v>1262</v>
      </c>
      <c r="B707" t="s">
        <v>1539</v>
      </c>
      <c r="C707" t="s">
        <v>1540</v>
      </c>
      <c r="D707" t="s">
        <v>1541</v>
      </c>
      <c r="E707" t="s">
        <v>1208</v>
      </c>
    </row>
    <row r="708" spans="1:5" x14ac:dyDescent="0.2">
      <c r="A708" s="243" t="s">
        <v>1262</v>
      </c>
      <c r="B708" t="s">
        <v>1542</v>
      </c>
      <c r="C708" t="s">
        <v>1543</v>
      </c>
      <c r="D708" t="s">
        <v>1544</v>
      </c>
      <c r="E708" t="s">
        <v>1208</v>
      </c>
    </row>
    <row r="709" spans="1:5" x14ac:dyDescent="0.2">
      <c r="A709" s="243" t="s">
        <v>1262</v>
      </c>
      <c r="B709" t="s">
        <v>1545</v>
      </c>
      <c r="C709" t="s">
        <v>1546</v>
      </c>
      <c r="D709" t="s">
        <v>1547</v>
      </c>
      <c r="E709" t="s">
        <v>1208</v>
      </c>
    </row>
    <row r="710" spans="1:5" x14ac:dyDescent="0.2">
      <c r="A710" s="243" t="s">
        <v>1262</v>
      </c>
      <c r="B710" t="s">
        <v>1548</v>
      </c>
      <c r="C710" t="s">
        <v>1549</v>
      </c>
      <c r="D710" t="s">
        <v>1550</v>
      </c>
      <c r="E710" t="s">
        <v>1208</v>
      </c>
    </row>
    <row r="711" spans="1:5" x14ac:dyDescent="0.2">
      <c r="A711" s="243" t="s">
        <v>1262</v>
      </c>
      <c r="B711" t="s">
        <v>1551</v>
      </c>
      <c r="C711" t="s">
        <v>1552</v>
      </c>
      <c r="D711" t="s">
        <v>1553</v>
      </c>
      <c r="E711" t="s">
        <v>1208</v>
      </c>
    </row>
    <row r="712" spans="1:5" x14ac:dyDescent="0.2">
      <c r="A712" s="243" t="s">
        <v>1262</v>
      </c>
      <c r="B712" t="s">
        <v>1554</v>
      </c>
      <c r="C712" t="s">
        <v>1555</v>
      </c>
      <c r="D712" t="s">
        <v>1556</v>
      </c>
      <c r="E712" t="s">
        <v>1208</v>
      </c>
    </row>
    <row r="713" spans="1:5" x14ac:dyDescent="0.2">
      <c r="A713" s="243" t="s">
        <v>1262</v>
      </c>
      <c r="B713" t="s">
        <v>1557</v>
      </c>
      <c r="C713" t="s">
        <v>1558</v>
      </c>
      <c r="D713" t="s">
        <v>1559</v>
      </c>
      <c r="E713" t="s">
        <v>1208</v>
      </c>
    </row>
    <row r="714" spans="1:5" x14ac:dyDescent="0.2">
      <c r="A714" s="243" t="s">
        <v>1262</v>
      </c>
      <c r="B714" t="s">
        <v>1560</v>
      </c>
      <c r="C714" t="s">
        <v>1561</v>
      </c>
      <c r="D714" t="s">
        <v>1562</v>
      </c>
      <c r="E714" t="s">
        <v>1211</v>
      </c>
    </row>
    <row r="715" spans="1:5" x14ac:dyDescent="0.2">
      <c r="A715" s="243" t="s">
        <v>1262</v>
      </c>
      <c r="B715" t="s">
        <v>1563</v>
      </c>
      <c r="C715" t="s">
        <v>1564</v>
      </c>
      <c r="D715" t="s">
        <v>1565</v>
      </c>
      <c r="E715" t="s">
        <v>1211</v>
      </c>
    </row>
    <row r="716" spans="1:5" x14ac:dyDescent="0.2">
      <c r="A716" s="243" t="s">
        <v>1262</v>
      </c>
      <c r="B716" t="s">
        <v>1566</v>
      </c>
      <c r="C716" t="s">
        <v>1567</v>
      </c>
      <c r="D716" t="s">
        <v>1568</v>
      </c>
      <c r="E716" t="s">
        <v>1211</v>
      </c>
    </row>
    <row r="717" spans="1:5" x14ac:dyDescent="0.2">
      <c r="A717" s="243" t="s">
        <v>1262</v>
      </c>
      <c r="B717" t="s">
        <v>1569</v>
      </c>
      <c r="C717" t="s">
        <v>1570</v>
      </c>
      <c r="D717" t="s">
        <v>1571</v>
      </c>
      <c r="E717" t="s">
        <v>1211</v>
      </c>
    </row>
    <row r="718" spans="1:5" x14ac:dyDescent="0.2">
      <c r="A718" s="243" t="s">
        <v>1262</v>
      </c>
      <c r="B718" t="s">
        <v>1572</v>
      </c>
      <c r="C718" t="s">
        <v>1573</v>
      </c>
      <c r="D718" t="s">
        <v>1574</v>
      </c>
      <c r="E718" t="s">
        <v>1211</v>
      </c>
    </row>
    <row r="719" spans="1:5" x14ac:dyDescent="0.2">
      <c r="A719" s="243" t="s">
        <v>1262</v>
      </c>
      <c r="B719" t="s">
        <v>1575</v>
      </c>
      <c r="C719" t="s">
        <v>1576</v>
      </c>
      <c r="D719" t="s">
        <v>1577</v>
      </c>
      <c r="E719" t="s">
        <v>1214</v>
      </c>
    </row>
    <row r="720" spans="1:5" x14ac:dyDescent="0.2">
      <c r="A720" s="243" t="s">
        <v>1262</v>
      </c>
      <c r="B720" t="s">
        <v>1578</v>
      </c>
      <c r="C720" t="s">
        <v>1579</v>
      </c>
      <c r="D720" t="s">
        <v>1580</v>
      </c>
      <c r="E720" t="s">
        <v>1214</v>
      </c>
    </row>
    <row r="721" spans="1:6" x14ac:dyDescent="0.2">
      <c r="A721" s="243" t="s">
        <v>1262</v>
      </c>
      <c r="B721" t="s">
        <v>1581</v>
      </c>
      <c r="C721" t="s">
        <v>1582</v>
      </c>
      <c r="D721" t="s">
        <v>1583</v>
      </c>
      <c r="E721" t="s">
        <v>1214</v>
      </c>
    </row>
    <row r="722" spans="1:6" x14ac:dyDescent="0.2">
      <c r="A722" s="243" t="s">
        <v>1262</v>
      </c>
      <c r="B722" t="s">
        <v>1584</v>
      </c>
      <c r="C722" t="s">
        <v>1585</v>
      </c>
      <c r="D722" t="s">
        <v>1586</v>
      </c>
      <c r="E722" t="s">
        <v>1190</v>
      </c>
    </row>
    <row r="723" spans="1:6" x14ac:dyDescent="0.2">
      <c r="A723" s="243" t="s">
        <v>1262</v>
      </c>
      <c r="B723" t="s">
        <v>1587</v>
      </c>
      <c r="C723" t="s">
        <v>1588</v>
      </c>
      <c r="D723" t="s">
        <v>1589</v>
      </c>
      <c r="E723" t="s">
        <v>1190</v>
      </c>
    </row>
    <row r="724" spans="1:6" x14ac:dyDescent="0.2">
      <c r="A724" s="243" t="s">
        <v>1262</v>
      </c>
      <c r="B724" t="s">
        <v>1590</v>
      </c>
      <c r="C724" t="s">
        <v>1591</v>
      </c>
      <c r="D724" t="s">
        <v>1592</v>
      </c>
      <c r="E724" t="s">
        <v>1190</v>
      </c>
    </row>
    <row r="725" spans="1:6" x14ac:dyDescent="0.2">
      <c r="A725" s="243" t="s">
        <v>1262</v>
      </c>
      <c r="B725" t="s">
        <v>1593</v>
      </c>
      <c r="C725" t="s">
        <v>1594</v>
      </c>
      <c r="D725" t="s">
        <v>1595</v>
      </c>
      <c r="E725" t="s">
        <v>1190</v>
      </c>
    </row>
    <row r="726" spans="1:6" x14ac:dyDescent="0.2">
      <c r="A726" s="243" t="s">
        <v>1262</v>
      </c>
      <c r="B726" t="s">
        <v>1596</v>
      </c>
      <c r="C726" t="s">
        <v>1597</v>
      </c>
      <c r="D726" t="s">
        <v>1598</v>
      </c>
      <c r="E726" t="s">
        <v>1196</v>
      </c>
    </row>
    <row r="727" spans="1:6" x14ac:dyDescent="0.2">
      <c r="A727" s="243" t="s">
        <v>1262</v>
      </c>
      <c r="B727" t="s">
        <v>1599</v>
      </c>
      <c r="C727" t="s">
        <v>1600</v>
      </c>
      <c r="D727" t="s">
        <v>1601</v>
      </c>
      <c r="E727" t="s">
        <v>1196</v>
      </c>
    </row>
    <row r="728" spans="1:6" x14ac:dyDescent="0.2">
      <c r="A728" s="243" t="s">
        <v>1262</v>
      </c>
      <c r="B728" t="s">
        <v>1602</v>
      </c>
      <c r="C728" t="s">
        <v>1603</v>
      </c>
      <c r="D728" t="s">
        <v>1604</v>
      </c>
      <c r="E728" t="s">
        <v>1196</v>
      </c>
    </row>
    <row r="729" spans="1:6" x14ac:dyDescent="0.2">
      <c r="A729" s="243" t="s">
        <v>1262</v>
      </c>
      <c r="B729" t="s">
        <v>1605</v>
      </c>
      <c r="C729" t="s">
        <v>1606</v>
      </c>
      <c r="D729" t="s">
        <v>1607</v>
      </c>
      <c r="E729" t="s">
        <v>1193</v>
      </c>
    </row>
    <row r="730" spans="1:6" x14ac:dyDescent="0.2">
      <c r="A730" s="243" t="s">
        <v>1262</v>
      </c>
      <c r="B730" t="s">
        <v>1608</v>
      </c>
      <c r="C730" t="s">
        <v>1609</v>
      </c>
      <c r="D730" t="s">
        <v>1610</v>
      </c>
      <c r="E730" t="s">
        <v>1193</v>
      </c>
    </row>
    <row r="731" spans="1:6" x14ac:dyDescent="0.2">
      <c r="A731" s="243" t="s">
        <v>1262</v>
      </c>
      <c r="B731" t="s">
        <v>1611</v>
      </c>
      <c r="C731" t="s">
        <v>1612</v>
      </c>
      <c r="D731" t="s">
        <v>1613</v>
      </c>
      <c r="E731" t="s">
        <v>1193</v>
      </c>
    </row>
    <row r="732" spans="1:6" x14ac:dyDescent="0.2">
      <c r="A732" s="243" t="s">
        <v>1262</v>
      </c>
      <c r="B732" t="s">
        <v>1614</v>
      </c>
      <c r="C732" t="s">
        <v>1615</v>
      </c>
      <c r="D732" t="s">
        <v>1616</v>
      </c>
      <c r="E732" t="s">
        <v>1193</v>
      </c>
    </row>
    <row r="733" spans="1:6" x14ac:dyDescent="0.2">
      <c r="A733" s="243" t="s">
        <v>1262</v>
      </c>
      <c r="B733" t="s">
        <v>1617</v>
      </c>
      <c r="C733" t="s">
        <v>1618</v>
      </c>
      <c r="D733" t="s">
        <v>1619</v>
      </c>
      <c r="E733" t="s">
        <v>1193</v>
      </c>
    </row>
    <row r="734" spans="1:6" x14ac:dyDescent="0.2">
      <c r="A734" s="243" t="s">
        <v>1262</v>
      </c>
      <c r="B734" t="s">
        <v>1620</v>
      </c>
      <c r="C734" t="s">
        <v>1221</v>
      </c>
      <c r="D734" t="s">
        <v>1222</v>
      </c>
      <c r="E734" t="s">
        <v>1220</v>
      </c>
    </row>
    <row r="736" spans="1:6" x14ac:dyDescent="0.2">
      <c r="A736" s="243" t="s">
        <v>1621</v>
      </c>
      <c r="B736" t="s">
        <v>1622</v>
      </c>
      <c r="C736" t="s">
        <v>1623</v>
      </c>
      <c r="D736" t="s">
        <v>1624</v>
      </c>
      <c r="E736" t="s">
        <v>1263</v>
      </c>
      <c r="F736" s="253" t="s">
        <v>1248</v>
      </c>
    </row>
    <row r="737" spans="1:6" x14ac:dyDescent="0.2">
      <c r="A737" s="243" t="s">
        <v>1621</v>
      </c>
      <c r="B737" t="s">
        <v>1625</v>
      </c>
      <c r="C737" t="s">
        <v>1248</v>
      </c>
      <c r="D737" t="s">
        <v>1249</v>
      </c>
      <c r="E737" t="s">
        <v>1263</v>
      </c>
      <c r="F737" s="253" t="s">
        <v>1248</v>
      </c>
    </row>
    <row r="738" spans="1:6" x14ac:dyDescent="0.2">
      <c r="A738" s="243" t="s">
        <v>1621</v>
      </c>
      <c r="B738" t="s">
        <v>1626</v>
      </c>
      <c r="C738" t="s">
        <v>1627</v>
      </c>
      <c r="D738" t="s">
        <v>1628</v>
      </c>
      <c r="E738" t="s">
        <v>1263</v>
      </c>
      <c r="F738" s="253" t="s">
        <v>1248</v>
      </c>
    </row>
    <row r="739" spans="1:6" x14ac:dyDescent="0.2">
      <c r="A739" s="243" t="s">
        <v>1621</v>
      </c>
      <c r="B739" t="s">
        <v>1629</v>
      </c>
      <c r="C739" t="s">
        <v>1630</v>
      </c>
      <c r="D739" t="s">
        <v>1631</v>
      </c>
      <c r="E739" t="s">
        <v>1263</v>
      </c>
      <c r="F739" s="253" t="s">
        <v>1248</v>
      </c>
    </row>
    <row r="740" spans="1:6" x14ac:dyDescent="0.2">
      <c r="A740" s="243" t="s">
        <v>1621</v>
      </c>
      <c r="B740" t="s">
        <v>1632</v>
      </c>
      <c r="C740" t="s">
        <v>1633</v>
      </c>
      <c r="D740" t="s">
        <v>1634</v>
      </c>
      <c r="E740" t="s">
        <v>1263</v>
      </c>
      <c r="F740" s="253" t="s">
        <v>1248</v>
      </c>
    </row>
    <row r="741" spans="1:6" x14ac:dyDescent="0.2">
      <c r="A741" s="243" t="s">
        <v>1621</v>
      </c>
      <c r="B741" t="s">
        <v>1635</v>
      </c>
      <c r="C741" t="s">
        <v>1636</v>
      </c>
      <c r="D741" t="s">
        <v>1637</v>
      </c>
      <c r="E741" t="s">
        <v>1263</v>
      </c>
      <c r="F741" s="253" t="s">
        <v>1248</v>
      </c>
    </row>
    <row r="742" spans="1:6" x14ac:dyDescent="0.2">
      <c r="A742" s="243" t="s">
        <v>1621</v>
      </c>
      <c r="B742" t="s">
        <v>1638</v>
      </c>
      <c r="C742" t="s">
        <v>1639</v>
      </c>
      <c r="D742" t="s">
        <v>1640</v>
      </c>
      <c r="E742" t="s">
        <v>1263</v>
      </c>
      <c r="F742" s="253" t="s">
        <v>1248</v>
      </c>
    </row>
    <row r="743" spans="1:6" x14ac:dyDescent="0.2">
      <c r="A743" s="243" t="s">
        <v>1621</v>
      </c>
      <c r="B743" t="s">
        <v>1641</v>
      </c>
      <c r="C743" t="s">
        <v>1642</v>
      </c>
      <c r="D743" t="s">
        <v>1643</v>
      </c>
      <c r="E743" t="s">
        <v>1263</v>
      </c>
      <c r="F743" s="253" t="s">
        <v>1248</v>
      </c>
    </row>
    <row r="744" spans="1:6" x14ac:dyDescent="0.2">
      <c r="A744" s="243" t="s">
        <v>1621</v>
      </c>
      <c r="B744" t="s">
        <v>1644</v>
      </c>
      <c r="C744" t="s">
        <v>1645</v>
      </c>
      <c r="D744" t="s">
        <v>1646</v>
      </c>
      <c r="E744" t="s">
        <v>1263</v>
      </c>
      <c r="F744" s="253" t="s">
        <v>1248</v>
      </c>
    </row>
    <row r="745" spans="1:6" x14ac:dyDescent="0.2">
      <c r="A745" s="243" t="s">
        <v>1621</v>
      </c>
      <c r="B745" t="s">
        <v>1647</v>
      </c>
      <c r="C745" t="s">
        <v>1648</v>
      </c>
      <c r="D745" t="s">
        <v>1649</v>
      </c>
      <c r="E745" t="s">
        <v>1263</v>
      </c>
      <c r="F745" s="253" t="s">
        <v>1248</v>
      </c>
    </row>
    <row r="746" spans="1:6" x14ac:dyDescent="0.2">
      <c r="A746" s="243" t="s">
        <v>1621</v>
      </c>
      <c r="B746" t="s">
        <v>1650</v>
      </c>
      <c r="C746" t="s">
        <v>1651</v>
      </c>
      <c r="D746" t="s">
        <v>1652</v>
      </c>
      <c r="E746" t="s">
        <v>1263</v>
      </c>
      <c r="F746" s="253" t="s">
        <v>1248</v>
      </c>
    </row>
    <row r="747" spans="1:6" x14ac:dyDescent="0.2">
      <c r="A747" s="243" t="s">
        <v>1621</v>
      </c>
      <c r="B747" t="s">
        <v>1653</v>
      </c>
      <c r="C747" t="s">
        <v>1654</v>
      </c>
      <c r="D747" t="s">
        <v>1655</v>
      </c>
      <c r="E747" t="s">
        <v>1263</v>
      </c>
      <c r="F747" s="253" t="s">
        <v>1248</v>
      </c>
    </row>
    <row r="748" spans="1:6" x14ac:dyDescent="0.2">
      <c r="A748" s="243" t="s">
        <v>1621</v>
      </c>
      <c r="B748" t="s">
        <v>1656</v>
      </c>
      <c r="C748" t="s">
        <v>1657</v>
      </c>
      <c r="D748" t="s">
        <v>1658</v>
      </c>
      <c r="E748" t="s">
        <v>1263</v>
      </c>
      <c r="F748" s="253" t="s">
        <v>1248</v>
      </c>
    </row>
    <row r="749" spans="1:6" x14ac:dyDescent="0.2">
      <c r="A749" s="243" t="s">
        <v>1621</v>
      </c>
      <c r="B749" t="s">
        <v>1659</v>
      </c>
      <c r="C749" t="s">
        <v>1660</v>
      </c>
      <c r="D749" t="s">
        <v>1661</v>
      </c>
      <c r="E749" t="s">
        <v>1263</v>
      </c>
      <c r="F749" s="253" t="s">
        <v>1248</v>
      </c>
    </row>
    <row r="750" spans="1:6" x14ac:dyDescent="0.2">
      <c r="A750" s="243" t="s">
        <v>1621</v>
      </c>
      <c r="B750" t="s">
        <v>1662</v>
      </c>
      <c r="C750" t="s">
        <v>1663</v>
      </c>
      <c r="D750" t="s">
        <v>1664</v>
      </c>
      <c r="E750" t="s">
        <v>1263</v>
      </c>
      <c r="F750" s="253" t="s">
        <v>1248</v>
      </c>
    </row>
    <row r="751" spans="1:6" x14ac:dyDescent="0.2">
      <c r="A751" s="243" t="s">
        <v>1621</v>
      </c>
      <c r="B751" t="s">
        <v>1665</v>
      </c>
      <c r="C751" t="s">
        <v>1666</v>
      </c>
      <c r="D751" t="s">
        <v>1667</v>
      </c>
      <c r="E751" t="s">
        <v>1263</v>
      </c>
      <c r="F751" s="253" t="s">
        <v>1248</v>
      </c>
    </row>
    <row r="752" spans="1:6" x14ac:dyDescent="0.2">
      <c r="A752" s="243" t="s">
        <v>1621</v>
      </c>
      <c r="B752" t="s">
        <v>1668</v>
      </c>
      <c r="C752" t="s">
        <v>1669</v>
      </c>
      <c r="D752" t="s">
        <v>1670</v>
      </c>
      <c r="E752" t="s">
        <v>1266</v>
      </c>
      <c r="F752" s="253" t="s">
        <v>1248</v>
      </c>
    </row>
    <row r="753" spans="1:6" x14ac:dyDescent="0.2">
      <c r="A753" s="243" t="s">
        <v>1621</v>
      </c>
      <c r="B753" t="s">
        <v>1671</v>
      </c>
      <c r="C753" t="s">
        <v>1672</v>
      </c>
      <c r="D753" t="s">
        <v>1673</v>
      </c>
      <c r="E753" t="s">
        <v>1266</v>
      </c>
      <c r="F753" s="253" t="s">
        <v>1248</v>
      </c>
    </row>
    <row r="754" spans="1:6" x14ac:dyDescent="0.2">
      <c r="A754" s="243" t="s">
        <v>1621</v>
      </c>
      <c r="B754" t="s">
        <v>1674</v>
      </c>
      <c r="C754" t="s">
        <v>1675</v>
      </c>
      <c r="D754" t="s">
        <v>1676</v>
      </c>
      <c r="E754" t="s">
        <v>1266</v>
      </c>
      <c r="F754" s="253" t="s">
        <v>1248</v>
      </c>
    </row>
    <row r="755" spans="1:6" x14ac:dyDescent="0.2">
      <c r="A755" s="243" t="s">
        <v>1621</v>
      </c>
      <c r="B755" t="s">
        <v>1677</v>
      </c>
      <c r="C755" t="s">
        <v>1678</v>
      </c>
      <c r="D755" t="s">
        <v>1679</v>
      </c>
      <c r="E755" t="s">
        <v>1266</v>
      </c>
      <c r="F755" s="253" t="s">
        <v>1248</v>
      </c>
    </row>
    <row r="756" spans="1:6" x14ac:dyDescent="0.2">
      <c r="A756" s="243" t="s">
        <v>1621</v>
      </c>
      <c r="B756" t="s">
        <v>1680</v>
      </c>
      <c r="C756" t="s">
        <v>1681</v>
      </c>
      <c r="D756" t="s">
        <v>1682</v>
      </c>
      <c r="E756" t="s">
        <v>1266</v>
      </c>
      <c r="F756" s="253" t="s">
        <v>1248</v>
      </c>
    </row>
    <row r="757" spans="1:6" x14ac:dyDescent="0.2">
      <c r="A757" s="243" t="s">
        <v>1621</v>
      </c>
      <c r="B757" t="s">
        <v>1683</v>
      </c>
      <c r="C757" t="s">
        <v>1684</v>
      </c>
      <c r="D757" t="s">
        <v>1685</v>
      </c>
      <c r="E757" t="s">
        <v>1266</v>
      </c>
      <c r="F757" s="253" t="s">
        <v>1248</v>
      </c>
    </row>
    <row r="758" spans="1:6" x14ac:dyDescent="0.2">
      <c r="A758" s="243" t="s">
        <v>1621</v>
      </c>
      <c r="B758" t="s">
        <v>1686</v>
      </c>
      <c r="C758" t="s">
        <v>1687</v>
      </c>
      <c r="D758" t="s">
        <v>1688</v>
      </c>
      <c r="E758" t="s">
        <v>1266</v>
      </c>
      <c r="F758" s="253" t="s">
        <v>1248</v>
      </c>
    </row>
    <row r="759" spans="1:6" x14ac:dyDescent="0.2">
      <c r="A759" s="243" t="s">
        <v>1621</v>
      </c>
      <c r="B759" t="s">
        <v>1689</v>
      </c>
      <c r="C759" t="s">
        <v>1690</v>
      </c>
      <c r="D759" t="s">
        <v>1691</v>
      </c>
      <c r="E759" t="s">
        <v>1266</v>
      </c>
      <c r="F759" s="253" t="s">
        <v>1248</v>
      </c>
    </row>
    <row r="760" spans="1:6" x14ac:dyDescent="0.2">
      <c r="A760" s="243" t="s">
        <v>1621</v>
      </c>
      <c r="B760" t="s">
        <v>1692</v>
      </c>
      <c r="C760" t="s">
        <v>1693</v>
      </c>
      <c r="D760" t="s">
        <v>1694</v>
      </c>
      <c r="E760" t="s">
        <v>1266</v>
      </c>
      <c r="F760" s="253" t="s">
        <v>1248</v>
      </c>
    </row>
    <row r="761" spans="1:6" x14ac:dyDescent="0.2">
      <c r="A761" s="243" t="s">
        <v>1621</v>
      </c>
      <c r="B761" t="s">
        <v>1695</v>
      </c>
      <c r="C761" t="s">
        <v>1696</v>
      </c>
      <c r="D761" t="s">
        <v>1697</v>
      </c>
      <c r="E761" t="s">
        <v>1266</v>
      </c>
      <c r="F761" s="253" t="s">
        <v>1248</v>
      </c>
    </row>
    <row r="762" spans="1:6" x14ac:dyDescent="0.2">
      <c r="A762" s="243" t="s">
        <v>1621</v>
      </c>
      <c r="B762" t="s">
        <v>1698</v>
      </c>
      <c r="C762" t="s">
        <v>1699</v>
      </c>
      <c r="D762" t="s">
        <v>1700</v>
      </c>
      <c r="E762" t="s">
        <v>1266</v>
      </c>
      <c r="F762" s="253" t="s">
        <v>1248</v>
      </c>
    </row>
    <row r="763" spans="1:6" x14ac:dyDescent="0.2">
      <c r="A763" s="243" t="s">
        <v>1621</v>
      </c>
      <c r="B763" t="s">
        <v>1701</v>
      </c>
      <c r="C763" t="s">
        <v>1702</v>
      </c>
      <c r="D763" t="s">
        <v>1703</v>
      </c>
      <c r="E763" t="s">
        <v>1266</v>
      </c>
      <c r="F763" s="253" t="s">
        <v>1248</v>
      </c>
    </row>
    <row r="764" spans="1:6" x14ac:dyDescent="0.2">
      <c r="A764" s="243" t="s">
        <v>1621</v>
      </c>
      <c r="B764" t="s">
        <v>1704</v>
      </c>
      <c r="C764" t="s">
        <v>1705</v>
      </c>
      <c r="D764" t="s">
        <v>1706</v>
      </c>
      <c r="E764" t="s">
        <v>1266</v>
      </c>
      <c r="F764" s="253" t="s">
        <v>1248</v>
      </c>
    </row>
    <row r="765" spans="1:6" x14ac:dyDescent="0.2">
      <c r="A765" s="243" t="s">
        <v>1621</v>
      </c>
      <c r="B765" t="s">
        <v>1707</v>
      </c>
      <c r="C765" t="s">
        <v>1708</v>
      </c>
      <c r="D765" t="s">
        <v>1709</v>
      </c>
      <c r="E765" t="s">
        <v>1266</v>
      </c>
      <c r="F765" s="253" t="s">
        <v>1248</v>
      </c>
    </row>
    <row r="766" spans="1:6" x14ac:dyDescent="0.2">
      <c r="A766" s="243" t="s">
        <v>1621</v>
      </c>
      <c r="B766" t="s">
        <v>1710</v>
      </c>
      <c r="C766" t="s">
        <v>1711</v>
      </c>
      <c r="D766" t="s">
        <v>1712</v>
      </c>
      <c r="E766" t="s">
        <v>1269</v>
      </c>
      <c r="F766" s="253" t="s">
        <v>1248</v>
      </c>
    </row>
    <row r="767" spans="1:6" x14ac:dyDescent="0.2">
      <c r="A767" s="243" t="s">
        <v>1621</v>
      </c>
      <c r="B767" t="s">
        <v>1713</v>
      </c>
      <c r="C767" t="s">
        <v>1714</v>
      </c>
      <c r="D767" t="s">
        <v>1715</v>
      </c>
      <c r="E767" t="s">
        <v>1269</v>
      </c>
      <c r="F767" s="253" t="s">
        <v>1248</v>
      </c>
    </row>
    <row r="768" spans="1:6" x14ac:dyDescent="0.2">
      <c r="A768" s="243" t="s">
        <v>1621</v>
      </c>
      <c r="B768" t="s">
        <v>1716</v>
      </c>
      <c r="C768" t="s">
        <v>1717</v>
      </c>
      <c r="D768" t="s">
        <v>1718</v>
      </c>
      <c r="E768" t="s">
        <v>1269</v>
      </c>
      <c r="F768" s="253" t="s">
        <v>1248</v>
      </c>
    </row>
    <row r="769" spans="1:6" x14ac:dyDescent="0.2">
      <c r="A769" s="243" t="s">
        <v>1621</v>
      </c>
      <c r="B769" t="s">
        <v>1719</v>
      </c>
      <c r="C769" t="s">
        <v>1720</v>
      </c>
      <c r="D769" t="s">
        <v>1721</v>
      </c>
      <c r="E769" t="s">
        <v>1269</v>
      </c>
      <c r="F769" s="253" t="s">
        <v>1248</v>
      </c>
    </row>
    <row r="770" spans="1:6" x14ac:dyDescent="0.2">
      <c r="A770" s="243" t="s">
        <v>1621</v>
      </c>
      <c r="B770" t="s">
        <v>1722</v>
      </c>
      <c r="C770" t="s">
        <v>1723</v>
      </c>
      <c r="D770" t="s">
        <v>1724</v>
      </c>
      <c r="E770" t="s">
        <v>1269</v>
      </c>
      <c r="F770" s="253" t="s">
        <v>1248</v>
      </c>
    </row>
    <row r="771" spans="1:6" x14ac:dyDescent="0.2">
      <c r="A771" s="243" t="s">
        <v>1621</v>
      </c>
      <c r="B771" t="s">
        <v>1725</v>
      </c>
      <c r="C771" t="s">
        <v>1726</v>
      </c>
      <c r="D771" t="s">
        <v>1727</v>
      </c>
      <c r="E771" t="s">
        <v>1269</v>
      </c>
      <c r="F771" s="253" t="s">
        <v>1248</v>
      </c>
    </row>
    <row r="772" spans="1:6" x14ac:dyDescent="0.2">
      <c r="A772" s="243" t="s">
        <v>1621</v>
      </c>
      <c r="B772" t="s">
        <v>1728</v>
      </c>
      <c r="C772" t="s">
        <v>1729</v>
      </c>
      <c r="D772" t="s">
        <v>1730</v>
      </c>
      <c r="E772" t="s">
        <v>1269</v>
      </c>
      <c r="F772" s="253" t="s">
        <v>1248</v>
      </c>
    </row>
    <row r="773" spans="1:6" x14ac:dyDescent="0.2">
      <c r="A773" s="243" t="s">
        <v>1621</v>
      </c>
      <c r="B773" t="s">
        <v>1731</v>
      </c>
      <c r="C773" t="s">
        <v>1732</v>
      </c>
      <c r="D773" t="s">
        <v>1733</v>
      </c>
      <c r="E773" t="s">
        <v>1269</v>
      </c>
      <c r="F773" s="253" t="s">
        <v>1248</v>
      </c>
    </row>
    <row r="774" spans="1:6" x14ac:dyDescent="0.2">
      <c r="A774" s="243" t="s">
        <v>1621</v>
      </c>
      <c r="B774" t="s">
        <v>1734</v>
      </c>
      <c r="C774" t="s">
        <v>1735</v>
      </c>
      <c r="D774" t="s">
        <v>1736</v>
      </c>
      <c r="E774" t="s">
        <v>1272</v>
      </c>
      <c r="F774" s="253" t="s">
        <v>1248</v>
      </c>
    </row>
    <row r="775" spans="1:6" x14ac:dyDescent="0.2">
      <c r="A775" s="243" t="s">
        <v>1621</v>
      </c>
      <c r="B775" t="s">
        <v>1737</v>
      </c>
      <c r="C775" t="s">
        <v>1738</v>
      </c>
      <c r="D775" t="s">
        <v>1739</v>
      </c>
      <c r="E775" t="s">
        <v>1272</v>
      </c>
      <c r="F775" s="253" t="s">
        <v>1248</v>
      </c>
    </row>
    <row r="776" spans="1:6" x14ac:dyDescent="0.2">
      <c r="A776" s="243" t="s">
        <v>1621</v>
      </c>
      <c r="B776" t="s">
        <v>1740</v>
      </c>
      <c r="C776" t="s">
        <v>1741</v>
      </c>
      <c r="D776" t="s">
        <v>1742</v>
      </c>
      <c r="E776" t="s">
        <v>1272</v>
      </c>
      <c r="F776" s="253" t="s">
        <v>1248</v>
      </c>
    </row>
    <row r="777" spans="1:6" x14ac:dyDescent="0.2">
      <c r="A777" s="243" t="s">
        <v>1621</v>
      </c>
      <c r="B777" t="s">
        <v>1743</v>
      </c>
      <c r="C777" t="s">
        <v>1744</v>
      </c>
      <c r="D777" t="s">
        <v>1745</v>
      </c>
      <c r="E777" t="s">
        <v>1272</v>
      </c>
      <c r="F777" s="253" t="s">
        <v>1248</v>
      </c>
    </row>
    <row r="778" spans="1:6" x14ac:dyDescent="0.2">
      <c r="A778" s="243" t="s">
        <v>1621</v>
      </c>
      <c r="B778" t="s">
        <v>1746</v>
      </c>
      <c r="C778" t="s">
        <v>1197</v>
      </c>
      <c r="D778" t="s">
        <v>1198</v>
      </c>
      <c r="E778" t="s">
        <v>1272</v>
      </c>
      <c r="F778" s="253" t="s">
        <v>1248</v>
      </c>
    </row>
    <row r="779" spans="1:6" x14ac:dyDescent="0.2">
      <c r="A779" s="243" t="s">
        <v>1621</v>
      </c>
      <c r="B779" t="s">
        <v>1747</v>
      </c>
      <c r="C779" t="s">
        <v>1748</v>
      </c>
      <c r="D779" t="s">
        <v>1749</v>
      </c>
      <c r="E779" t="s">
        <v>1272</v>
      </c>
      <c r="F779" s="253" t="s">
        <v>1248</v>
      </c>
    </row>
    <row r="780" spans="1:6" x14ac:dyDescent="0.2">
      <c r="A780" s="243" t="s">
        <v>1621</v>
      </c>
      <c r="B780" t="s">
        <v>1750</v>
      </c>
      <c r="C780" t="s">
        <v>1751</v>
      </c>
      <c r="D780" t="s">
        <v>1752</v>
      </c>
      <c r="E780" t="s">
        <v>1272</v>
      </c>
      <c r="F780" s="253" t="s">
        <v>1248</v>
      </c>
    </row>
    <row r="781" spans="1:6" x14ac:dyDescent="0.2">
      <c r="A781" s="243" t="s">
        <v>1621</v>
      </c>
      <c r="B781" t="s">
        <v>1753</v>
      </c>
      <c r="C781" t="s">
        <v>1754</v>
      </c>
      <c r="D781" t="s">
        <v>1755</v>
      </c>
      <c r="E781" t="s">
        <v>1275</v>
      </c>
      <c r="F781" s="253" t="s">
        <v>1248</v>
      </c>
    </row>
    <row r="782" spans="1:6" x14ac:dyDescent="0.2">
      <c r="A782" s="243" t="s">
        <v>1621</v>
      </c>
      <c r="B782" t="s">
        <v>1756</v>
      </c>
      <c r="C782" t="s">
        <v>1757</v>
      </c>
      <c r="D782" t="s">
        <v>1758</v>
      </c>
      <c r="E782" t="s">
        <v>1275</v>
      </c>
      <c r="F782" s="253" t="s">
        <v>1248</v>
      </c>
    </row>
    <row r="783" spans="1:6" x14ac:dyDescent="0.2">
      <c r="A783" s="243" t="s">
        <v>1621</v>
      </c>
      <c r="B783" t="s">
        <v>1759</v>
      </c>
      <c r="C783" t="s">
        <v>1760</v>
      </c>
      <c r="D783" t="s">
        <v>1761</v>
      </c>
      <c r="E783" t="s">
        <v>1275</v>
      </c>
      <c r="F783" s="253" t="s">
        <v>1248</v>
      </c>
    </row>
    <row r="784" spans="1:6" x14ac:dyDescent="0.2">
      <c r="A784" s="243" t="s">
        <v>1621</v>
      </c>
      <c r="B784" t="s">
        <v>1762</v>
      </c>
      <c r="C784" t="s">
        <v>1763</v>
      </c>
      <c r="D784" t="s">
        <v>1764</v>
      </c>
      <c r="E784" t="s">
        <v>1275</v>
      </c>
      <c r="F784" s="253" t="s">
        <v>1248</v>
      </c>
    </row>
    <row r="785" spans="1:6" x14ac:dyDescent="0.2">
      <c r="A785" s="243" t="s">
        <v>1621</v>
      </c>
      <c r="B785" t="s">
        <v>1765</v>
      </c>
      <c r="C785" t="s">
        <v>1766</v>
      </c>
      <c r="D785" t="s">
        <v>1767</v>
      </c>
      <c r="E785" t="s">
        <v>1275</v>
      </c>
      <c r="F785" s="253" t="s">
        <v>1248</v>
      </c>
    </row>
    <row r="786" spans="1:6" x14ac:dyDescent="0.2">
      <c r="A786" s="243" t="s">
        <v>1621</v>
      </c>
      <c r="B786" t="s">
        <v>1768</v>
      </c>
      <c r="C786" t="s">
        <v>1769</v>
      </c>
      <c r="D786" t="s">
        <v>1770</v>
      </c>
      <c r="E786" t="s">
        <v>1275</v>
      </c>
      <c r="F786" s="253" t="s">
        <v>1248</v>
      </c>
    </row>
    <row r="787" spans="1:6" x14ac:dyDescent="0.2">
      <c r="A787" s="243" t="s">
        <v>1621</v>
      </c>
      <c r="B787" t="s">
        <v>1771</v>
      </c>
      <c r="C787" t="s">
        <v>1772</v>
      </c>
      <c r="D787" t="s">
        <v>1773</v>
      </c>
      <c r="E787" t="s">
        <v>1275</v>
      </c>
      <c r="F787" s="253" t="s">
        <v>1248</v>
      </c>
    </row>
    <row r="788" spans="1:6" x14ac:dyDescent="0.2">
      <c r="A788" s="243" t="s">
        <v>1621</v>
      </c>
      <c r="B788" t="s">
        <v>1774</v>
      </c>
      <c r="C788" t="s">
        <v>1775</v>
      </c>
      <c r="D788" t="s">
        <v>1776</v>
      </c>
      <c r="E788" t="s">
        <v>1275</v>
      </c>
      <c r="F788" s="253" t="s">
        <v>1248</v>
      </c>
    </row>
    <row r="789" spans="1:6" x14ac:dyDescent="0.2">
      <c r="A789" s="243" t="s">
        <v>1621</v>
      </c>
      <c r="B789" t="s">
        <v>1777</v>
      </c>
      <c r="C789" t="s">
        <v>1778</v>
      </c>
      <c r="D789" t="s">
        <v>1779</v>
      </c>
      <c r="E789" t="s">
        <v>1275</v>
      </c>
      <c r="F789" s="253" t="s">
        <v>1248</v>
      </c>
    </row>
    <row r="790" spans="1:6" x14ac:dyDescent="0.2">
      <c r="A790" s="243" t="s">
        <v>1621</v>
      </c>
      <c r="B790" t="s">
        <v>1780</v>
      </c>
      <c r="C790" t="s">
        <v>1781</v>
      </c>
      <c r="D790" t="s">
        <v>1782</v>
      </c>
      <c r="E790" t="s">
        <v>1278</v>
      </c>
      <c r="F790" s="253" t="s">
        <v>1248</v>
      </c>
    </row>
    <row r="791" spans="1:6" x14ac:dyDescent="0.2">
      <c r="A791" s="243" t="s">
        <v>1621</v>
      </c>
      <c r="B791" t="s">
        <v>1783</v>
      </c>
      <c r="C791" t="s">
        <v>1784</v>
      </c>
      <c r="D791" t="s">
        <v>1785</v>
      </c>
      <c r="E791" t="s">
        <v>1278</v>
      </c>
      <c r="F791" s="253" t="s">
        <v>1248</v>
      </c>
    </row>
    <row r="792" spans="1:6" x14ac:dyDescent="0.2">
      <c r="A792" s="243" t="s">
        <v>1621</v>
      </c>
      <c r="B792" t="s">
        <v>1786</v>
      </c>
      <c r="C792" t="s">
        <v>1787</v>
      </c>
      <c r="D792" t="s">
        <v>1788</v>
      </c>
      <c r="E792" t="s">
        <v>1278</v>
      </c>
      <c r="F792" s="253" t="s">
        <v>1248</v>
      </c>
    </row>
    <row r="793" spans="1:6" x14ac:dyDescent="0.2">
      <c r="A793" s="243" t="s">
        <v>1621</v>
      </c>
      <c r="B793" t="s">
        <v>1789</v>
      </c>
      <c r="C793" t="s">
        <v>1790</v>
      </c>
      <c r="D793" t="s">
        <v>1791</v>
      </c>
      <c r="E793" t="s">
        <v>1278</v>
      </c>
      <c r="F793" s="253" t="s">
        <v>1248</v>
      </c>
    </row>
    <row r="794" spans="1:6" x14ac:dyDescent="0.2">
      <c r="A794" s="243" t="s">
        <v>1621</v>
      </c>
      <c r="B794" t="s">
        <v>1792</v>
      </c>
      <c r="C794" t="s">
        <v>1793</v>
      </c>
      <c r="D794" t="s">
        <v>1794</v>
      </c>
      <c r="E794" t="s">
        <v>1278</v>
      </c>
      <c r="F794" s="253" t="s">
        <v>1248</v>
      </c>
    </row>
    <row r="795" spans="1:6" x14ac:dyDescent="0.2">
      <c r="A795" s="243" t="s">
        <v>1621</v>
      </c>
      <c r="B795" t="s">
        <v>1795</v>
      </c>
      <c r="C795" t="s">
        <v>1796</v>
      </c>
      <c r="D795" t="s">
        <v>1797</v>
      </c>
      <c r="E795" t="s">
        <v>1278</v>
      </c>
      <c r="F795" s="253" t="s">
        <v>1248</v>
      </c>
    </row>
    <row r="796" spans="1:6" x14ac:dyDescent="0.2">
      <c r="A796" s="243" t="s">
        <v>1621</v>
      </c>
      <c r="B796" t="s">
        <v>1798</v>
      </c>
      <c r="C796" t="s">
        <v>1799</v>
      </c>
      <c r="D796" t="s">
        <v>1800</v>
      </c>
      <c r="E796" t="s">
        <v>1278</v>
      </c>
      <c r="F796" s="253" t="s">
        <v>1248</v>
      </c>
    </row>
    <row r="797" spans="1:6" x14ac:dyDescent="0.2">
      <c r="A797" s="243" t="s">
        <v>1621</v>
      </c>
      <c r="B797" t="s">
        <v>1801</v>
      </c>
      <c r="C797" t="s">
        <v>1802</v>
      </c>
      <c r="D797" t="s">
        <v>1803</v>
      </c>
      <c r="E797" t="s">
        <v>1278</v>
      </c>
      <c r="F797" s="253" t="s">
        <v>1248</v>
      </c>
    </row>
    <row r="798" spans="1:6" x14ac:dyDescent="0.2">
      <c r="A798" s="243" t="s">
        <v>1621</v>
      </c>
      <c r="B798" t="s">
        <v>1804</v>
      </c>
      <c r="C798" t="s">
        <v>1805</v>
      </c>
      <c r="D798" t="s">
        <v>1806</v>
      </c>
      <c r="E798" t="s">
        <v>1278</v>
      </c>
      <c r="F798" s="253" t="s">
        <v>1248</v>
      </c>
    </row>
    <row r="799" spans="1:6" x14ac:dyDescent="0.2">
      <c r="A799" s="243" t="s">
        <v>1621</v>
      </c>
      <c r="B799" t="s">
        <v>1807</v>
      </c>
      <c r="C799" t="s">
        <v>1808</v>
      </c>
      <c r="D799" t="s">
        <v>1809</v>
      </c>
      <c r="E799" t="s">
        <v>1281</v>
      </c>
      <c r="F799" s="253" t="s">
        <v>1251</v>
      </c>
    </row>
    <row r="800" spans="1:6" x14ac:dyDescent="0.2">
      <c r="A800" s="243" t="s">
        <v>1621</v>
      </c>
      <c r="B800" t="s">
        <v>1810</v>
      </c>
      <c r="C800" t="s">
        <v>1811</v>
      </c>
      <c r="D800" t="s">
        <v>1812</v>
      </c>
      <c r="E800" t="s">
        <v>1281</v>
      </c>
      <c r="F800" s="253" t="s">
        <v>1251</v>
      </c>
    </row>
    <row r="801" spans="1:6" x14ac:dyDescent="0.2">
      <c r="A801" s="243" t="s">
        <v>1621</v>
      </c>
      <c r="B801" t="s">
        <v>1813</v>
      </c>
      <c r="C801" t="s">
        <v>1814</v>
      </c>
      <c r="D801" t="s">
        <v>1815</v>
      </c>
      <c r="E801" t="s">
        <v>1281</v>
      </c>
      <c r="F801" s="253" t="s">
        <v>1251</v>
      </c>
    </row>
    <row r="802" spans="1:6" x14ac:dyDescent="0.2">
      <c r="A802" s="243" t="s">
        <v>1621</v>
      </c>
      <c r="B802" t="s">
        <v>1816</v>
      </c>
      <c r="C802" t="s">
        <v>1817</v>
      </c>
      <c r="D802" t="s">
        <v>1818</v>
      </c>
      <c r="E802" t="s">
        <v>1281</v>
      </c>
      <c r="F802" s="253" t="s">
        <v>1251</v>
      </c>
    </row>
    <row r="803" spans="1:6" x14ac:dyDescent="0.2">
      <c r="A803" s="243" t="s">
        <v>1621</v>
      </c>
      <c r="B803" t="s">
        <v>1819</v>
      </c>
      <c r="C803" t="s">
        <v>1820</v>
      </c>
      <c r="D803" t="s">
        <v>1821</v>
      </c>
      <c r="E803" t="s">
        <v>1281</v>
      </c>
      <c r="F803" s="253" t="s">
        <v>1251</v>
      </c>
    </row>
    <row r="804" spans="1:6" x14ac:dyDescent="0.2">
      <c r="A804" s="243" t="s">
        <v>1621</v>
      </c>
      <c r="B804" t="s">
        <v>1822</v>
      </c>
      <c r="C804" t="s">
        <v>1823</v>
      </c>
      <c r="D804" t="s">
        <v>1824</v>
      </c>
      <c r="E804" t="s">
        <v>1281</v>
      </c>
      <c r="F804" s="253" t="s">
        <v>1251</v>
      </c>
    </row>
    <row r="805" spans="1:6" x14ac:dyDescent="0.2">
      <c r="A805" s="243" t="s">
        <v>1621</v>
      </c>
      <c r="B805" t="s">
        <v>1825</v>
      </c>
      <c r="C805" t="s">
        <v>1826</v>
      </c>
      <c r="D805" t="s">
        <v>1827</v>
      </c>
      <c r="E805" t="s">
        <v>1281</v>
      </c>
      <c r="F805" s="253" t="s">
        <v>1251</v>
      </c>
    </row>
    <row r="806" spans="1:6" x14ac:dyDescent="0.2">
      <c r="A806" s="243" t="s">
        <v>1621</v>
      </c>
      <c r="B806" t="s">
        <v>1828</v>
      </c>
      <c r="C806" t="s">
        <v>1829</v>
      </c>
      <c r="D806" t="s">
        <v>1830</v>
      </c>
      <c r="E806" t="s">
        <v>1281</v>
      </c>
      <c r="F806" s="253" t="s">
        <v>1251</v>
      </c>
    </row>
    <row r="807" spans="1:6" x14ac:dyDescent="0.2">
      <c r="A807" s="243" t="s">
        <v>1621</v>
      </c>
      <c r="B807" t="s">
        <v>1831</v>
      </c>
      <c r="C807" t="s">
        <v>1832</v>
      </c>
      <c r="D807" t="s">
        <v>1833</v>
      </c>
      <c r="E807" t="s">
        <v>1281</v>
      </c>
      <c r="F807" s="253" t="s">
        <v>1251</v>
      </c>
    </row>
    <row r="808" spans="1:6" x14ac:dyDescent="0.2">
      <c r="A808" s="243" t="s">
        <v>1621</v>
      </c>
      <c r="B808" t="s">
        <v>1834</v>
      </c>
      <c r="C808" t="s">
        <v>1835</v>
      </c>
      <c r="D808" t="s">
        <v>1836</v>
      </c>
      <c r="E808" t="s">
        <v>1281</v>
      </c>
      <c r="F808" s="253" t="s">
        <v>1251</v>
      </c>
    </row>
    <row r="809" spans="1:6" x14ac:dyDescent="0.2">
      <c r="A809" s="243" t="s">
        <v>1621</v>
      </c>
      <c r="B809" t="s">
        <v>1837</v>
      </c>
      <c r="C809" t="s">
        <v>1838</v>
      </c>
      <c r="D809" t="s">
        <v>1839</v>
      </c>
      <c r="E809" t="s">
        <v>1281</v>
      </c>
      <c r="F809" s="253" t="s">
        <v>1251</v>
      </c>
    </row>
    <row r="810" spans="1:6" x14ac:dyDescent="0.2">
      <c r="A810" s="243" t="s">
        <v>1621</v>
      </c>
      <c r="B810" t="s">
        <v>1840</v>
      </c>
      <c r="C810" t="s">
        <v>1841</v>
      </c>
      <c r="D810" t="s">
        <v>1842</v>
      </c>
      <c r="E810" t="s">
        <v>1284</v>
      </c>
      <c r="F810" s="253" t="s">
        <v>1251</v>
      </c>
    </row>
    <row r="811" spans="1:6" x14ac:dyDescent="0.2">
      <c r="A811" s="243" t="s">
        <v>1621</v>
      </c>
      <c r="B811" t="s">
        <v>1843</v>
      </c>
      <c r="C811" t="s">
        <v>1844</v>
      </c>
      <c r="D811" t="s">
        <v>1845</v>
      </c>
      <c r="E811" t="s">
        <v>1284</v>
      </c>
      <c r="F811" s="253" t="s">
        <v>1251</v>
      </c>
    </row>
    <row r="812" spans="1:6" x14ac:dyDescent="0.2">
      <c r="A812" s="243" t="s">
        <v>1621</v>
      </c>
      <c r="B812" t="s">
        <v>1846</v>
      </c>
      <c r="C812" t="s">
        <v>1847</v>
      </c>
      <c r="D812" t="s">
        <v>1848</v>
      </c>
      <c r="E812" t="s">
        <v>1284</v>
      </c>
      <c r="F812" s="253" t="s">
        <v>1251</v>
      </c>
    </row>
    <row r="813" spans="1:6" x14ac:dyDescent="0.2">
      <c r="A813" s="243" t="s">
        <v>1621</v>
      </c>
      <c r="B813" t="s">
        <v>1849</v>
      </c>
      <c r="C813" t="s">
        <v>1850</v>
      </c>
      <c r="D813" t="s">
        <v>1851</v>
      </c>
      <c r="E813" t="s">
        <v>1284</v>
      </c>
      <c r="F813" s="253" t="s">
        <v>1251</v>
      </c>
    </row>
    <row r="814" spans="1:6" x14ac:dyDescent="0.2">
      <c r="A814" s="243" t="s">
        <v>1621</v>
      </c>
      <c r="B814" t="s">
        <v>1852</v>
      </c>
      <c r="C814" t="s">
        <v>1853</v>
      </c>
      <c r="D814" t="s">
        <v>1854</v>
      </c>
      <c r="E814" t="s">
        <v>1284</v>
      </c>
      <c r="F814" s="253" t="s">
        <v>1251</v>
      </c>
    </row>
    <row r="815" spans="1:6" x14ac:dyDescent="0.2">
      <c r="A815" s="243" t="s">
        <v>1621</v>
      </c>
      <c r="B815" t="s">
        <v>1855</v>
      </c>
      <c r="C815" t="s">
        <v>1856</v>
      </c>
      <c r="D815" t="s">
        <v>1857</v>
      </c>
      <c r="E815" t="s">
        <v>1287</v>
      </c>
      <c r="F815" s="253" t="s">
        <v>1251</v>
      </c>
    </row>
    <row r="816" spans="1:6" x14ac:dyDescent="0.2">
      <c r="A816" s="243" t="s">
        <v>1621</v>
      </c>
      <c r="B816" t="s">
        <v>1858</v>
      </c>
      <c r="C816" t="s">
        <v>1859</v>
      </c>
      <c r="D816" t="s">
        <v>1860</v>
      </c>
      <c r="E816" t="s">
        <v>1287</v>
      </c>
      <c r="F816" s="253" t="s">
        <v>1251</v>
      </c>
    </row>
    <row r="817" spans="1:6" x14ac:dyDescent="0.2">
      <c r="A817" s="243" t="s">
        <v>1621</v>
      </c>
      <c r="B817" t="s">
        <v>1861</v>
      </c>
      <c r="C817" t="s">
        <v>1862</v>
      </c>
      <c r="D817" t="s">
        <v>1863</v>
      </c>
      <c r="E817" t="s">
        <v>1287</v>
      </c>
      <c r="F817" s="253" t="s">
        <v>1251</v>
      </c>
    </row>
    <row r="818" spans="1:6" x14ac:dyDescent="0.2">
      <c r="A818" s="243" t="s">
        <v>1621</v>
      </c>
      <c r="B818" t="s">
        <v>1864</v>
      </c>
      <c r="C818" t="s">
        <v>1865</v>
      </c>
      <c r="D818" t="s">
        <v>1866</v>
      </c>
      <c r="E818" t="s">
        <v>1287</v>
      </c>
      <c r="F818" s="253" t="s">
        <v>1251</v>
      </c>
    </row>
    <row r="819" spans="1:6" x14ac:dyDescent="0.2">
      <c r="A819" s="243" t="s">
        <v>1621</v>
      </c>
      <c r="B819" t="s">
        <v>1867</v>
      </c>
      <c r="C819" t="s">
        <v>1868</v>
      </c>
      <c r="D819" t="s">
        <v>1869</v>
      </c>
      <c r="E819" t="s">
        <v>1287</v>
      </c>
      <c r="F819" s="253" t="s">
        <v>1251</v>
      </c>
    </row>
    <row r="820" spans="1:6" x14ac:dyDescent="0.2">
      <c r="A820" s="243" t="s">
        <v>1621</v>
      </c>
      <c r="B820" t="s">
        <v>1870</v>
      </c>
      <c r="C820" t="s">
        <v>1871</v>
      </c>
      <c r="D820" t="s">
        <v>1872</v>
      </c>
      <c r="E820" t="s">
        <v>1287</v>
      </c>
      <c r="F820" s="253" t="s">
        <v>1251</v>
      </c>
    </row>
    <row r="821" spans="1:6" x14ac:dyDescent="0.2">
      <c r="A821" s="243" t="s">
        <v>1621</v>
      </c>
      <c r="B821" t="s">
        <v>1873</v>
      </c>
      <c r="C821" t="s">
        <v>1874</v>
      </c>
      <c r="D821" t="s">
        <v>1875</v>
      </c>
      <c r="E821" t="s">
        <v>1287</v>
      </c>
      <c r="F821" s="253" t="s">
        <v>1251</v>
      </c>
    </row>
    <row r="822" spans="1:6" x14ac:dyDescent="0.2">
      <c r="A822" s="243" t="s">
        <v>1621</v>
      </c>
      <c r="B822" t="s">
        <v>1876</v>
      </c>
      <c r="C822" t="s">
        <v>1877</v>
      </c>
      <c r="D822" t="s">
        <v>1878</v>
      </c>
      <c r="E822" t="s">
        <v>1287</v>
      </c>
      <c r="F822" s="253" t="s">
        <v>1251</v>
      </c>
    </row>
    <row r="823" spans="1:6" x14ac:dyDescent="0.2">
      <c r="A823" s="243" t="s">
        <v>1621</v>
      </c>
      <c r="B823" t="s">
        <v>1879</v>
      </c>
      <c r="C823" t="s">
        <v>1880</v>
      </c>
      <c r="D823" t="s">
        <v>1881</v>
      </c>
      <c r="E823" t="s">
        <v>1287</v>
      </c>
      <c r="F823" s="253" t="s">
        <v>1251</v>
      </c>
    </row>
    <row r="824" spans="1:6" x14ac:dyDescent="0.2">
      <c r="A824" s="243" t="s">
        <v>1621</v>
      </c>
      <c r="B824" t="s">
        <v>1882</v>
      </c>
      <c r="C824" t="s">
        <v>1883</v>
      </c>
      <c r="D824" t="s">
        <v>1884</v>
      </c>
      <c r="E824" t="s">
        <v>1287</v>
      </c>
      <c r="F824" s="253" t="s">
        <v>1251</v>
      </c>
    </row>
    <row r="825" spans="1:6" x14ac:dyDescent="0.2">
      <c r="A825" s="243" t="s">
        <v>1621</v>
      </c>
      <c r="B825" t="s">
        <v>1885</v>
      </c>
      <c r="C825" t="s">
        <v>1886</v>
      </c>
      <c r="D825" t="s">
        <v>1887</v>
      </c>
      <c r="E825" t="s">
        <v>1287</v>
      </c>
      <c r="F825" s="253" t="s">
        <v>1251</v>
      </c>
    </row>
    <row r="826" spans="1:6" x14ac:dyDescent="0.2">
      <c r="A826" s="243" t="s">
        <v>1621</v>
      </c>
      <c r="B826" t="s">
        <v>1888</v>
      </c>
      <c r="C826" t="s">
        <v>1889</v>
      </c>
      <c r="D826" t="s">
        <v>1890</v>
      </c>
      <c r="E826" t="s">
        <v>1287</v>
      </c>
      <c r="F826" s="253" t="s">
        <v>1251</v>
      </c>
    </row>
    <row r="827" spans="1:6" x14ac:dyDescent="0.2">
      <c r="A827" s="243" t="s">
        <v>1621</v>
      </c>
      <c r="B827" t="s">
        <v>1891</v>
      </c>
      <c r="C827" t="s">
        <v>1892</v>
      </c>
      <c r="D827" t="s">
        <v>1893</v>
      </c>
      <c r="E827" t="s">
        <v>1287</v>
      </c>
      <c r="F827" s="253" t="s">
        <v>1251</v>
      </c>
    </row>
    <row r="828" spans="1:6" x14ac:dyDescent="0.2">
      <c r="A828" s="243" t="s">
        <v>1621</v>
      </c>
      <c r="B828" t="s">
        <v>1894</v>
      </c>
      <c r="C828" t="s">
        <v>1895</v>
      </c>
      <c r="D828" t="s">
        <v>1896</v>
      </c>
      <c r="E828" t="s">
        <v>1287</v>
      </c>
      <c r="F828" s="253" t="s">
        <v>1251</v>
      </c>
    </row>
    <row r="829" spans="1:6" x14ac:dyDescent="0.2">
      <c r="A829" s="243" t="s">
        <v>1621</v>
      </c>
      <c r="B829" t="s">
        <v>1897</v>
      </c>
      <c r="C829" t="s">
        <v>1898</v>
      </c>
      <c r="D829" t="s">
        <v>1899</v>
      </c>
      <c r="E829" t="s">
        <v>1287</v>
      </c>
      <c r="F829" s="253" t="s">
        <v>1251</v>
      </c>
    </row>
    <row r="830" spans="1:6" x14ac:dyDescent="0.2">
      <c r="A830" s="243" t="s">
        <v>1621</v>
      </c>
      <c r="B830" t="s">
        <v>1900</v>
      </c>
      <c r="C830" t="s">
        <v>1901</v>
      </c>
      <c r="D830" t="s">
        <v>1902</v>
      </c>
      <c r="E830" t="s">
        <v>1287</v>
      </c>
      <c r="F830" s="253" t="s">
        <v>1251</v>
      </c>
    </row>
    <row r="831" spans="1:6" x14ac:dyDescent="0.2">
      <c r="A831" s="243" t="s">
        <v>1621</v>
      </c>
      <c r="B831" t="s">
        <v>1903</v>
      </c>
      <c r="C831" t="s">
        <v>1239</v>
      </c>
      <c r="D831" t="s">
        <v>1240</v>
      </c>
      <c r="E831" t="s">
        <v>1287</v>
      </c>
      <c r="F831" s="253" t="s">
        <v>1251</v>
      </c>
    </row>
    <row r="832" spans="1:6" x14ac:dyDescent="0.2">
      <c r="A832" s="243" t="s">
        <v>1621</v>
      </c>
      <c r="B832" t="s">
        <v>1904</v>
      </c>
      <c r="C832" t="s">
        <v>1905</v>
      </c>
      <c r="D832" t="s">
        <v>1906</v>
      </c>
      <c r="E832" t="s">
        <v>1287</v>
      </c>
      <c r="F832" s="253" t="s">
        <v>1251</v>
      </c>
    </row>
    <row r="833" spans="1:6" x14ac:dyDescent="0.2">
      <c r="A833" s="243" t="s">
        <v>1621</v>
      </c>
      <c r="B833" t="s">
        <v>1907</v>
      </c>
      <c r="C833" t="s">
        <v>1908</v>
      </c>
      <c r="D833" t="s">
        <v>1909</v>
      </c>
      <c r="E833" t="s">
        <v>1287</v>
      </c>
      <c r="F833" s="253" t="s">
        <v>1251</v>
      </c>
    </row>
    <row r="834" spans="1:6" x14ac:dyDescent="0.2">
      <c r="A834" s="243" t="s">
        <v>1621</v>
      </c>
      <c r="B834" t="s">
        <v>1910</v>
      </c>
      <c r="C834" t="s">
        <v>1911</v>
      </c>
      <c r="D834" t="s">
        <v>1912</v>
      </c>
      <c r="E834" t="s">
        <v>1287</v>
      </c>
      <c r="F834" s="253" t="s">
        <v>1251</v>
      </c>
    </row>
    <row r="835" spans="1:6" x14ac:dyDescent="0.2">
      <c r="A835" s="243" t="s">
        <v>1621</v>
      </c>
      <c r="B835" t="s">
        <v>1913</v>
      </c>
      <c r="C835" t="s">
        <v>1914</v>
      </c>
      <c r="D835" t="s">
        <v>1915</v>
      </c>
      <c r="E835" t="s">
        <v>1287</v>
      </c>
      <c r="F835" s="253" t="s">
        <v>1251</v>
      </c>
    </row>
    <row r="836" spans="1:6" x14ac:dyDescent="0.2">
      <c r="A836" s="243" t="s">
        <v>1621</v>
      </c>
      <c r="B836" t="s">
        <v>1916</v>
      </c>
      <c r="C836" t="s">
        <v>1917</v>
      </c>
      <c r="D836" t="s">
        <v>1918</v>
      </c>
      <c r="E836" t="s">
        <v>1287</v>
      </c>
      <c r="F836" s="253" t="s">
        <v>1251</v>
      </c>
    </row>
    <row r="837" spans="1:6" x14ac:dyDescent="0.2">
      <c r="A837" s="243" t="s">
        <v>1621</v>
      </c>
      <c r="B837" t="s">
        <v>1919</v>
      </c>
      <c r="C837" t="s">
        <v>1920</v>
      </c>
      <c r="D837" t="s">
        <v>1921</v>
      </c>
      <c r="E837" t="s">
        <v>1287</v>
      </c>
      <c r="F837" s="253" t="s">
        <v>1251</v>
      </c>
    </row>
    <row r="838" spans="1:6" x14ac:dyDescent="0.2">
      <c r="A838" s="243" t="s">
        <v>1621</v>
      </c>
      <c r="B838" t="s">
        <v>1922</v>
      </c>
      <c r="C838" t="s">
        <v>1923</v>
      </c>
      <c r="D838" t="s">
        <v>1924</v>
      </c>
      <c r="E838" t="s">
        <v>1290</v>
      </c>
      <c r="F838" s="253" t="s">
        <v>1251</v>
      </c>
    </row>
    <row r="839" spans="1:6" x14ac:dyDescent="0.2">
      <c r="A839" s="243" t="s">
        <v>1621</v>
      </c>
      <c r="B839" t="s">
        <v>1925</v>
      </c>
      <c r="C839" t="s">
        <v>1926</v>
      </c>
      <c r="D839" t="s">
        <v>1927</v>
      </c>
      <c r="E839" t="s">
        <v>1290</v>
      </c>
      <c r="F839" s="253" t="s">
        <v>1251</v>
      </c>
    </row>
    <row r="840" spans="1:6" x14ac:dyDescent="0.2">
      <c r="A840" s="243" t="s">
        <v>1621</v>
      </c>
      <c r="B840" t="s">
        <v>1928</v>
      </c>
      <c r="C840" t="s">
        <v>1929</v>
      </c>
      <c r="D840" t="s">
        <v>1930</v>
      </c>
      <c r="E840" t="s">
        <v>1290</v>
      </c>
      <c r="F840" s="253" t="s">
        <v>1251</v>
      </c>
    </row>
    <row r="841" spans="1:6" x14ac:dyDescent="0.2">
      <c r="A841" s="243" t="s">
        <v>1621</v>
      </c>
      <c r="B841" t="s">
        <v>1931</v>
      </c>
      <c r="C841" t="s">
        <v>1932</v>
      </c>
      <c r="D841" t="s">
        <v>1933</v>
      </c>
      <c r="E841" t="s">
        <v>1290</v>
      </c>
      <c r="F841" s="253" t="s">
        <v>1251</v>
      </c>
    </row>
    <row r="842" spans="1:6" x14ac:dyDescent="0.2">
      <c r="A842" s="243" t="s">
        <v>1621</v>
      </c>
      <c r="B842" t="s">
        <v>1934</v>
      </c>
      <c r="C842" t="s">
        <v>1935</v>
      </c>
      <c r="D842" t="s">
        <v>1936</v>
      </c>
      <c r="E842" t="s">
        <v>1290</v>
      </c>
      <c r="F842" s="253" t="s">
        <v>1251</v>
      </c>
    </row>
    <row r="843" spans="1:6" x14ac:dyDescent="0.2">
      <c r="A843" s="243" t="s">
        <v>1621</v>
      </c>
      <c r="B843" t="s">
        <v>1937</v>
      </c>
      <c r="C843" t="s">
        <v>1938</v>
      </c>
      <c r="D843" t="s">
        <v>1939</v>
      </c>
      <c r="E843" t="s">
        <v>1290</v>
      </c>
      <c r="F843" s="253" t="s">
        <v>1251</v>
      </c>
    </row>
    <row r="844" spans="1:6" x14ac:dyDescent="0.2">
      <c r="A844" s="243" t="s">
        <v>1621</v>
      </c>
      <c r="B844" t="s">
        <v>1940</v>
      </c>
      <c r="C844" t="s">
        <v>1941</v>
      </c>
      <c r="D844" t="s">
        <v>1942</v>
      </c>
      <c r="E844" t="s">
        <v>1290</v>
      </c>
      <c r="F844" s="253" t="s">
        <v>1251</v>
      </c>
    </row>
    <row r="845" spans="1:6" x14ac:dyDescent="0.2">
      <c r="A845" s="243" t="s">
        <v>1621</v>
      </c>
      <c r="B845" t="s">
        <v>1943</v>
      </c>
      <c r="C845" t="s">
        <v>1944</v>
      </c>
      <c r="D845" t="s">
        <v>1945</v>
      </c>
      <c r="E845" t="s">
        <v>1290</v>
      </c>
      <c r="F845" s="253" t="s">
        <v>1251</v>
      </c>
    </row>
    <row r="846" spans="1:6" x14ac:dyDescent="0.2">
      <c r="A846" s="243" t="s">
        <v>1621</v>
      </c>
      <c r="B846" t="s">
        <v>1946</v>
      </c>
      <c r="C846" t="s">
        <v>1947</v>
      </c>
      <c r="D846" t="s">
        <v>1948</v>
      </c>
      <c r="E846" t="s">
        <v>1290</v>
      </c>
      <c r="F846" s="253" t="s">
        <v>1251</v>
      </c>
    </row>
    <row r="847" spans="1:6" x14ac:dyDescent="0.2">
      <c r="A847" s="243" t="s">
        <v>1621</v>
      </c>
      <c r="B847" t="s">
        <v>1949</v>
      </c>
      <c r="C847" t="s">
        <v>1950</v>
      </c>
      <c r="D847" t="s">
        <v>1951</v>
      </c>
      <c r="E847" t="s">
        <v>1290</v>
      </c>
      <c r="F847" s="253" t="s">
        <v>1251</v>
      </c>
    </row>
    <row r="848" spans="1:6" x14ac:dyDescent="0.2">
      <c r="A848" s="243" t="s">
        <v>1621</v>
      </c>
      <c r="B848" t="s">
        <v>1952</v>
      </c>
      <c r="C848" t="s">
        <v>1953</v>
      </c>
      <c r="D848" t="s">
        <v>1954</v>
      </c>
      <c r="E848" t="s">
        <v>1290</v>
      </c>
      <c r="F848" s="253" t="s">
        <v>1251</v>
      </c>
    </row>
    <row r="849" spans="1:6" x14ac:dyDescent="0.2">
      <c r="A849" s="243" t="s">
        <v>1621</v>
      </c>
      <c r="B849" t="s">
        <v>1955</v>
      </c>
      <c r="C849" t="s">
        <v>1956</v>
      </c>
      <c r="D849" t="s">
        <v>1957</v>
      </c>
      <c r="E849" t="s">
        <v>1290</v>
      </c>
      <c r="F849" s="253" t="s">
        <v>1251</v>
      </c>
    </row>
    <row r="850" spans="1:6" x14ac:dyDescent="0.2">
      <c r="A850" s="243" t="s">
        <v>1621</v>
      </c>
      <c r="B850" t="s">
        <v>1958</v>
      </c>
      <c r="C850" t="s">
        <v>1959</v>
      </c>
      <c r="D850" t="s">
        <v>1960</v>
      </c>
      <c r="E850" t="s">
        <v>1290</v>
      </c>
      <c r="F850" s="253" t="s">
        <v>1251</v>
      </c>
    </row>
    <row r="851" spans="1:6" x14ac:dyDescent="0.2">
      <c r="A851" s="243" t="s">
        <v>1621</v>
      </c>
      <c r="B851" t="s">
        <v>1961</v>
      </c>
      <c r="C851" t="s">
        <v>1962</v>
      </c>
      <c r="D851" t="s">
        <v>1963</v>
      </c>
      <c r="E851" t="s">
        <v>1290</v>
      </c>
      <c r="F851" s="253" t="s">
        <v>1251</v>
      </c>
    </row>
    <row r="852" spans="1:6" x14ac:dyDescent="0.2">
      <c r="A852" s="243" t="s">
        <v>1621</v>
      </c>
      <c r="B852" t="s">
        <v>1964</v>
      </c>
      <c r="C852" t="s">
        <v>1965</v>
      </c>
      <c r="D852" t="s">
        <v>1966</v>
      </c>
      <c r="E852" t="s">
        <v>1290</v>
      </c>
      <c r="F852" s="253" t="s">
        <v>1251</v>
      </c>
    </row>
    <row r="853" spans="1:6" x14ac:dyDescent="0.2">
      <c r="A853" s="243" t="s">
        <v>1621</v>
      </c>
      <c r="B853" t="s">
        <v>1967</v>
      </c>
      <c r="C853" t="s">
        <v>1968</v>
      </c>
      <c r="D853" t="s">
        <v>1969</v>
      </c>
      <c r="E853" t="s">
        <v>1293</v>
      </c>
      <c r="F853" s="253" t="s">
        <v>1200</v>
      </c>
    </row>
    <row r="854" spans="1:6" x14ac:dyDescent="0.2">
      <c r="A854" s="243" t="s">
        <v>1621</v>
      </c>
      <c r="B854" t="s">
        <v>1970</v>
      </c>
      <c r="C854" t="s">
        <v>1971</v>
      </c>
      <c r="D854" t="s">
        <v>1972</v>
      </c>
      <c r="E854" t="s">
        <v>1293</v>
      </c>
      <c r="F854" s="253" t="s">
        <v>1200</v>
      </c>
    </row>
    <row r="855" spans="1:6" x14ac:dyDescent="0.2">
      <c r="A855" s="243" t="s">
        <v>1621</v>
      </c>
      <c r="B855" t="s">
        <v>1973</v>
      </c>
      <c r="C855" t="s">
        <v>1974</v>
      </c>
      <c r="D855" t="s">
        <v>1975</v>
      </c>
      <c r="E855" t="s">
        <v>1293</v>
      </c>
      <c r="F855" s="253" t="s">
        <v>1200</v>
      </c>
    </row>
    <row r="856" spans="1:6" x14ac:dyDescent="0.2">
      <c r="A856" s="243" t="s">
        <v>1621</v>
      </c>
      <c r="B856" t="s">
        <v>1976</v>
      </c>
      <c r="C856" t="s">
        <v>1977</v>
      </c>
      <c r="D856" t="s">
        <v>1978</v>
      </c>
      <c r="E856" t="s">
        <v>1293</v>
      </c>
      <c r="F856" s="253" t="s">
        <v>1200</v>
      </c>
    </row>
    <row r="857" spans="1:6" x14ac:dyDescent="0.2">
      <c r="A857" s="243" t="s">
        <v>1621</v>
      </c>
      <c r="B857" t="s">
        <v>1979</v>
      </c>
      <c r="C857" t="s">
        <v>1230</v>
      </c>
      <c r="D857" t="s">
        <v>1231</v>
      </c>
      <c r="E857" t="s">
        <v>1293</v>
      </c>
      <c r="F857" s="253" t="s">
        <v>1200</v>
      </c>
    </row>
    <row r="858" spans="1:6" x14ac:dyDescent="0.2">
      <c r="A858" s="243" t="s">
        <v>1621</v>
      </c>
      <c r="B858" t="s">
        <v>1980</v>
      </c>
      <c r="C858" t="s">
        <v>1981</v>
      </c>
      <c r="D858" t="s">
        <v>1982</v>
      </c>
      <c r="E858" t="s">
        <v>1293</v>
      </c>
      <c r="F858" s="253" t="s">
        <v>1200</v>
      </c>
    </row>
    <row r="859" spans="1:6" x14ac:dyDescent="0.2">
      <c r="A859" s="243" t="s">
        <v>1621</v>
      </c>
      <c r="B859" t="s">
        <v>1983</v>
      </c>
      <c r="C859" t="s">
        <v>1984</v>
      </c>
      <c r="D859" t="s">
        <v>1985</v>
      </c>
      <c r="E859" t="s">
        <v>1293</v>
      </c>
      <c r="F859" s="253" t="s">
        <v>1200</v>
      </c>
    </row>
    <row r="860" spans="1:6" x14ac:dyDescent="0.2">
      <c r="A860" s="243" t="s">
        <v>1621</v>
      </c>
      <c r="B860" t="s">
        <v>1986</v>
      </c>
      <c r="C860" t="s">
        <v>1987</v>
      </c>
      <c r="D860" t="s">
        <v>1988</v>
      </c>
      <c r="E860" t="s">
        <v>1293</v>
      </c>
      <c r="F860" s="253" t="s">
        <v>1200</v>
      </c>
    </row>
    <row r="861" spans="1:6" x14ac:dyDescent="0.2">
      <c r="A861" s="243" t="s">
        <v>1621</v>
      </c>
      <c r="B861" t="s">
        <v>1989</v>
      </c>
      <c r="C861" t="s">
        <v>1990</v>
      </c>
      <c r="D861" t="s">
        <v>1991</v>
      </c>
      <c r="E861" t="s">
        <v>1293</v>
      </c>
      <c r="F861" s="253" t="s">
        <v>1200</v>
      </c>
    </row>
    <row r="862" spans="1:6" x14ac:dyDescent="0.2">
      <c r="A862" s="243" t="s">
        <v>1621</v>
      </c>
      <c r="B862" t="s">
        <v>1992</v>
      </c>
      <c r="C862" t="s">
        <v>1993</v>
      </c>
      <c r="D862" t="s">
        <v>1994</v>
      </c>
      <c r="E862" t="s">
        <v>1293</v>
      </c>
      <c r="F862" s="253" t="s">
        <v>1200</v>
      </c>
    </row>
    <row r="863" spans="1:6" x14ac:dyDescent="0.2">
      <c r="A863" s="243" t="s">
        <v>1621</v>
      </c>
      <c r="B863" t="s">
        <v>1995</v>
      </c>
      <c r="C863" t="s">
        <v>1996</v>
      </c>
      <c r="D863" t="s">
        <v>1997</v>
      </c>
      <c r="E863" t="s">
        <v>1293</v>
      </c>
      <c r="F863" s="253" t="s">
        <v>1200</v>
      </c>
    </row>
    <row r="864" spans="1:6" x14ac:dyDescent="0.2">
      <c r="A864" s="243" t="s">
        <v>1621</v>
      </c>
      <c r="B864" t="s">
        <v>1998</v>
      </c>
      <c r="C864" t="s">
        <v>1999</v>
      </c>
      <c r="D864" t="s">
        <v>2000</v>
      </c>
      <c r="E864" t="s">
        <v>1293</v>
      </c>
      <c r="F864" s="253" t="s">
        <v>1200</v>
      </c>
    </row>
    <row r="865" spans="1:6" x14ac:dyDescent="0.2">
      <c r="A865" s="243" t="s">
        <v>1621</v>
      </c>
      <c r="B865" t="s">
        <v>2001</v>
      </c>
      <c r="C865" t="s">
        <v>2002</v>
      </c>
      <c r="D865" t="s">
        <v>2003</v>
      </c>
      <c r="E865" t="s">
        <v>1293</v>
      </c>
      <c r="F865" s="253" t="s">
        <v>1200</v>
      </c>
    </row>
    <row r="866" spans="1:6" x14ac:dyDescent="0.2">
      <c r="A866" s="243" t="s">
        <v>1621</v>
      </c>
      <c r="B866" t="s">
        <v>2004</v>
      </c>
      <c r="C866" t="s">
        <v>2005</v>
      </c>
      <c r="D866" t="s">
        <v>2006</v>
      </c>
      <c r="E866" t="s">
        <v>1293</v>
      </c>
      <c r="F866" s="253" t="s">
        <v>1200</v>
      </c>
    </row>
    <row r="867" spans="1:6" x14ac:dyDescent="0.2">
      <c r="A867" s="243" t="s">
        <v>1621</v>
      </c>
      <c r="B867" t="s">
        <v>2007</v>
      </c>
      <c r="C867" t="s">
        <v>2008</v>
      </c>
      <c r="D867" t="s">
        <v>2009</v>
      </c>
      <c r="E867" t="s">
        <v>1293</v>
      </c>
      <c r="F867" s="253" t="s">
        <v>1200</v>
      </c>
    </row>
    <row r="868" spans="1:6" x14ac:dyDescent="0.2">
      <c r="A868" s="243" t="s">
        <v>1621</v>
      </c>
      <c r="B868" t="s">
        <v>2010</v>
      </c>
      <c r="C868" t="s">
        <v>2011</v>
      </c>
      <c r="D868" t="s">
        <v>2012</v>
      </c>
      <c r="E868" t="s">
        <v>1293</v>
      </c>
      <c r="F868" s="253" t="s">
        <v>1200</v>
      </c>
    </row>
    <row r="869" spans="1:6" x14ac:dyDescent="0.2">
      <c r="A869" s="243" t="s">
        <v>1621</v>
      </c>
      <c r="B869" t="s">
        <v>2013</v>
      </c>
      <c r="C869" t="s">
        <v>2014</v>
      </c>
      <c r="D869" t="s">
        <v>2015</v>
      </c>
      <c r="E869" t="s">
        <v>1293</v>
      </c>
      <c r="F869" s="253" t="s">
        <v>1200</v>
      </c>
    </row>
    <row r="870" spans="1:6" x14ac:dyDescent="0.2">
      <c r="A870" s="243" t="s">
        <v>1621</v>
      </c>
      <c r="B870" t="s">
        <v>2016</v>
      </c>
      <c r="C870" t="s">
        <v>2017</v>
      </c>
      <c r="D870" t="s">
        <v>2018</v>
      </c>
      <c r="E870" t="s">
        <v>1296</v>
      </c>
      <c r="F870" s="253" t="s">
        <v>1200</v>
      </c>
    </row>
    <row r="871" spans="1:6" x14ac:dyDescent="0.2">
      <c r="A871" s="243" t="s">
        <v>1621</v>
      </c>
      <c r="B871" t="s">
        <v>2019</v>
      </c>
      <c r="C871" t="s">
        <v>2020</v>
      </c>
      <c r="D871" t="s">
        <v>2021</v>
      </c>
      <c r="E871" t="s">
        <v>1296</v>
      </c>
      <c r="F871" s="253" t="s">
        <v>1200</v>
      </c>
    </row>
    <row r="872" spans="1:6" x14ac:dyDescent="0.2">
      <c r="A872" s="243" t="s">
        <v>1621</v>
      </c>
      <c r="B872" t="s">
        <v>2022</v>
      </c>
      <c r="C872" t="s">
        <v>2023</v>
      </c>
      <c r="D872" t="s">
        <v>2024</v>
      </c>
      <c r="E872" t="s">
        <v>1296</v>
      </c>
      <c r="F872" s="253" t="s">
        <v>1200</v>
      </c>
    </row>
    <row r="873" spans="1:6" x14ac:dyDescent="0.2">
      <c r="A873" s="243" t="s">
        <v>1621</v>
      </c>
      <c r="B873" t="s">
        <v>2025</v>
      </c>
      <c r="C873" t="s">
        <v>1862</v>
      </c>
      <c r="D873" t="s">
        <v>1863</v>
      </c>
      <c r="E873" t="s">
        <v>1296</v>
      </c>
      <c r="F873" s="253" t="s">
        <v>1200</v>
      </c>
    </row>
    <row r="874" spans="1:6" x14ac:dyDescent="0.2">
      <c r="A874" s="243" t="s">
        <v>1621</v>
      </c>
      <c r="B874" t="s">
        <v>2026</v>
      </c>
      <c r="C874" t="s">
        <v>2027</v>
      </c>
      <c r="D874" t="s">
        <v>2028</v>
      </c>
      <c r="E874" t="s">
        <v>1296</v>
      </c>
      <c r="F874" s="253" t="s">
        <v>1200</v>
      </c>
    </row>
    <row r="875" spans="1:6" x14ac:dyDescent="0.2">
      <c r="A875" s="243" t="s">
        <v>1621</v>
      </c>
      <c r="B875" t="s">
        <v>2029</v>
      </c>
      <c r="C875" t="s">
        <v>2030</v>
      </c>
      <c r="D875" t="s">
        <v>2031</v>
      </c>
      <c r="E875" t="s">
        <v>1296</v>
      </c>
      <c r="F875" s="253" t="s">
        <v>1200</v>
      </c>
    </row>
    <row r="876" spans="1:6" x14ac:dyDescent="0.2">
      <c r="A876" s="243" t="s">
        <v>1621</v>
      </c>
      <c r="B876" t="s">
        <v>2032</v>
      </c>
      <c r="C876" t="s">
        <v>2033</v>
      </c>
      <c r="D876" t="s">
        <v>2034</v>
      </c>
      <c r="E876" t="s">
        <v>1296</v>
      </c>
      <c r="F876" s="253" t="s">
        <v>1200</v>
      </c>
    </row>
    <row r="877" spans="1:6" x14ac:dyDescent="0.2">
      <c r="A877" s="243" t="s">
        <v>1621</v>
      </c>
      <c r="B877" t="s">
        <v>2035</v>
      </c>
      <c r="C877" t="s">
        <v>2036</v>
      </c>
      <c r="D877" t="s">
        <v>2037</v>
      </c>
      <c r="E877" t="s">
        <v>1296</v>
      </c>
      <c r="F877" s="253" t="s">
        <v>1200</v>
      </c>
    </row>
    <row r="878" spans="1:6" x14ac:dyDescent="0.2">
      <c r="A878" s="243" t="s">
        <v>1621</v>
      </c>
      <c r="B878" t="s">
        <v>2038</v>
      </c>
      <c r="C878" t="s">
        <v>2039</v>
      </c>
      <c r="D878" t="s">
        <v>2040</v>
      </c>
      <c r="E878" t="s">
        <v>1296</v>
      </c>
      <c r="F878" s="253" t="s">
        <v>1200</v>
      </c>
    </row>
    <row r="879" spans="1:6" x14ac:dyDescent="0.2">
      <c r="A879" s="243" t="s">
        <v>1621</v>
      </c>
      <c r="B879" t="s">
        <v>2041</v>
      </c>
      <c r="C879" t="s">
        <v>2042</v>
      </c>
      <c r="D879" t="s">
        <v>2043</v>
      </c>
      <c r="E879" t="s">
        <v>1296</v>
      </c>
      <c r="F879" s="253" t="s">
        <v>1200</v>
      </c>
    </row>
    <row r="880" spans="1:6" x14ac:dyDescent="0.2">
      <c r="A880" s="243" t="s">
        <v>1621</v>
      </c>
      <c r="B880" t="s">
        <v>2044</v>
      </c>
      <c r="C880" t="s">
        <v>2045</v>
      </c>
      <c r="D880" t="s">
        <v>2046</v>
      </c>
      <c r="E880" t="s">
        <v>1296</v>
      </c>
      <c r="F880" s="253" t="s">
        <v>1200</v>
      </c>
    </row>
    <row r="881" spans="1:6" x14ac:dyDescent="0.2">
      <c r="A881" s="243" t="s">
        <v>1621</v>
      </c>
      <c r="B881" t="s">
        <v>2047</v>
      </c>
      <c r="C881" t="s">
        <v>2048</v>
      </c>
      <c r="D881" t="s">
        <v>2049</v>
      </c>
      <c r="E881" t="s">
        <v>1296</v>
      </c>
      <c r="F881" s="253" t="s">
        <v>1200</v>
      </c>
    </row>
    <row r="882" spans="1:6" x14ac:dyDescent="0.2">
      <c r="A882" s="243" t="s">
        <v>1621</v>
      </c>
      <c r="B882" t="s">
        <v>2050</v>
      </c>
      <c r="C882" t="s">
        <v>2051</v>
      </c>
      <c r="D882" t="s">
        <v>2052</v>
      </c>
      <c r="E882" t="s">
        <v>1299</v>
      </c>
      <c r="F882" s="253" t="s">
        <v>1200</v>
      </c>
    </row>
    <row r="883" spans="1:6" x14ac:dyDescent="0.2">
      <c r="A883" s="243" t="s">
        <v>1621</v>
      </c>
      <c r="B883" t="s">
        <v>2053</v>
      </c>
      <c r="C883" t="s">
        <v>2054</v>
      </c>
      <c r="D883" t="s">
        <v>2055</v>
      </c>
      <c r="E883" t="s">
        <v>1299</v>
      </c>
      <c r="F883" s="253" t="s">
        <v>1200</v>
      </c>
    </row>
    <row r="884" spans="1:6" x14ac:dyDescent="0.2">
      <c r="A884" s="243" t="s">
        <v>1621</v>
      </c>
      <c r="B884" t="s">
        <v>2056</v>
      </c>
      <c r="C884" t="s">
        <v>2057</v>
      </c>
      <c r="D884" t="s">
        <v>2058</v>
      </c>
      <c r="E884" t="s">
        <v>1299</v>
      </c>
      <c r="F884" s="253" t="s">
        <v>1200</v>
      </c>
    </row>
    <row r="885" spans="1:6" x14ac:dyDescent="0.2">
      <c r="A885" s="243" t="s">
        <v>1621</v>
      </c>
      <c r="B885" t="s">
        <v>2059</v>
      </c>
      <c r="C885" t="s">
        <v>2060</v>
      </c>
      <c r="D885" t="s">
        <v>2061</v>
      </c>
      <c r="E885" t="s">
        <v>1299</v>
      </c>
      <c r="F885" s="253" t="s">
        <v>1200</v>
      </c>
    </row>
    <row r="886" spans="1:6" x14ac:dyDescent="0.2">
      <c r="A886" s="243" t="s">
        <v>1621</v>
      </c>
      <c r="B886" t="s">
        <v>2062</v>
      </c>
      <c r="C886" t="s">
        <v>2063</v>
      </c>
      <c r="D886" t="s">
        <v>2064</v>
      </c>
      <c r="E886" t="s">
        <v>1299</v>
      </c>
      <c r="F886" s="253" t="s">
        <v>1200</v>
      </c>
    </row>
    <row r="887" spans="1:6" x14ac:dyDescent="0.2">
      <c r="A887" s="243" t="s">
        <v>1621</v>
      </c>
      <c r="B887" t="s">
        <v>2065</v>
      </c>
      <c r="C887" t="s">
        <v>2066</v>
      </c>
      <c r="D887" t="s">
        <v>2067</v>
      </c>
      <c r="E887" t="s">
        <v>1299</v>
      </c>
      <c r="F887" s="253" t="s">
        <v>1200</v>
      </c>
    </row>
    <row r="888" spans="1:6" x14ac:dyDescent="0.2">
      <c r="A888" s="243" t="s">
        <v>1621</v>
      </c>
      <c r="B888" t="s">
        <v>2068</v>
      </c>
      <c r="C888" t="s">
        <v>2069</v>
      </c>
      <c r="D888" t="s">
        <v>2070</v>
      </c>
      <c r="E888" t="s">
        <v>1299</v>
      </c>
      <c r="F888" s="253" t="s">
        <v>1200</v>
      </c>
    </row>
    <row r="889" spans="1:6" x14ac:dyDescent="0.2">
      <c r="A889" s="243" t="s">
        <v>1621</v>
      </c>
      <c r="B889" t="s">
        <v>2071</v>
      </c>
      <c r="C889" t="s">
        <v>2072</v>
      </c>
      <c r="D889" t="s">
        <v>2073</v>
      </c>
      <c r="E889" t="s">
        <v>1299</v>
      </c>
      <c r="F889" s="253" t="s">
        <v>1200</v>
      </c>
    </row>
    <row r="890" spans="1:6" x14ac:dyDescent="0.2">
      <c r="A890" s="243" t="s">
        <v>1621</v>
      </c>
      <c r="B890" t="s">
        <v>2074</v>
      </c>
      <c r="C890" t="s">
        <v>2075</v>
      </c>
      <c r="D890" t="s">
        <v>2076</v>
      </c>
      <c r="E890" t="s">
        <v>1299</v>
      </c>
      <c r="F890" s="253" t="s">
        <v>1200</v>
      </c>
    </row>
    <row r="891" spans="1:6" x14ac:dyDescent="0.2">
      <c r="A891" s="243" t="s">
        <v>1621</v>
      </c>
      <c r="B891" t="s">
        <v>2077</v>
      </c>
      <c r="C891" t="s">
        <v>2078</v>
      </c>
      <c r="D891" t="s">
        <v>2079</v>
      </c>
      <c r="E891" t="s">
        <v>1299</v>
      </c>
      <c r="F891" s="253" t="s">
        <v>1200</v>
      </c>
    </row>
    <row r="892" spans="1:6" x14ac:dyDescent="0.2">
      <c r="A892" s="243" t="s">
        <v>1621</v>
      </c>
      <c r="B892" t="s">
        <v>2080</v>
      </c>
      <c r="C892" t="s">
        <v>2081</v>
      </c>
      <c r="D892" t="s">
        <v>2082</v>
      </c>
      <c r="E892" t="s">
        <v>1299</v>
      </c>
      <c r="F892" s="253" t="s">
        <v>1200</v>
      </c>
    </row>
    <row r="893" spans="1:6" x14ac:dyDescent="0.2">
      <c r="A893" s="243" t="s">
        <v>1621</v>
      </c>
      <c r="B893" t="s">
        <v>2083</v>
      </c>
      <c r="C893" t="s">
        <v>2084</v>
      </c>
      <c r="D893" t="s">
        <v>2085</v>
      </c>
      <c r="E893" t="s">
        <v>1299</v>
      </c>
      <c r="F893" s="253" t="s">
        <v>1200</v>
      </c>
    </row>
    <row r="894" spans="1:6" x14ac:dyDescent="0.2">
      <c r="A894" s="243" t="s">
        <v>1621</v>
      </c>
      <c r="B894" t="s">
        <v>2086</v>
      </c>
      <c r="C894" t="s">
        <v>2087</v>
      </c>
      <c r="D894" t="s">
        <v>2088</v>
      </c>
      <c r="E894" t="s">
        <v>1299</v>
      </c>
      <c r="F894" s="253" t="s">
        <v>1200</v>
      </c>
    </row>
    <row r="895" spans="1:6" x14ac:dyDescent="0.2">
      <c r="A895" s="243" t="s">
        <v>1621</v>
      </c>
      <c r="B895" t="s">
        <v>2089</v>
      </c>
      <c r="C895" t="s">
        <v>2090</v>
      </c>
      <c r="D895" t="s">
        <v>2091</v>
      </c>
      <c r="E895" t="s">
        <v>1299</v>
      </c>
      <c r="F895" s="253" t="s">
        <v>1200</v>
      </c>
    </row>
    <row r="896" spans="1:6" x14ac:dyDescent="0.2">
      <c r="A896" s="243" t="s">
        <v>1621</v>
      </c>
      <c r="B896" t="s">
        <v>2092</v>
      </c>
      <c r="C896" t="s">
        <v>2093</v>
      </c>
      <c r="D896" t="s">
        <v>2094</v>
      </c>
      <c r="E896" t="s">
        <v>1299</v>
      </c>
      <c r="F896" s="253" t="s">
        <v>1200</v>
      </c>
    </row>
    <row r="897" spans="1:6" x14ac:dyDescent="0.2">
      <c r="A897" s="243" t="s">
        <v>1621</v>
      </c>
      <c r="B897" t="s">
        <v>2095</v>
      </c>
      <c r="C897" t="s">
        <v>2096</v>
      </c>
      <c r="D897" t="s">
        <v>2097</v>
      </c>
      <c r="E897" t="s">
        <v>1302</v>
      </c>
      <c r="F897" s="253" t="s">
        <v>1200</v>
      </c>
    </row>
    <row r="898" spans="1:6" x14ac:dyDescent="0.2">
      <c r="A898" s="243" t="s">
        <v>1621</v>
      </c>
      <c r="B898" t="s">
        <v>2098</v>
      </c>
      <c r="C898" t="s">
        <v>2099</v>
      </c>
      <c r="D898" t="s">
        <v>2100</v>
      </c>
      <c r="E898" t="s">
        <v>1302</v>
      </c>
      <c r="F898" s="253" t="s">
        <v>1200</v>
      </c>
    </row>
    <row r="899" spans="1:6" x14ac:dyDescent="0.2">
      <c r="A899" s="243" t="s">
        <v>1621</v>
      </c>
      <c r="B899" t="s">
        <v>2101</v>
      </c>
      <c r="C899" t="s">
        <v>2102</v>
      </c>
      <c r="D899" t="s">
        <v>2103</v>
      </c>
      <c r="E899" t="s">
        <v>1302</v>
      </c>
      <c r="F899" s="253" t="s">
        <v>1200</v>
      </c>
    </row>
    <row r="900" spans="1:6" x14ac:dyDescent="0.2">
      <c r="A900" s="243" t="s">
        <v>1621</v>
      </c>
      <c r="B900" t="s">
        <v>2104</v>
      </c>
      <c r="C900" t="s">
        <v>2105</v>
      </c>
      <c r="D900" t="s">
        <v>2106</v>
      </c>
      <c r="E900" t="s">
        <v>1302</v>
      </c>
      <c r="F900" s="253" t="s">
        <v>1200</v>
      </c>
    </row>
    <row r="901" spans="1:6" x14ac:dyDescent="0.2">
      <c r="A901" s="243" t="s">
        <v>1621</v>
      </c>
      <c r="B901" t="s">
        <v>2107</v>
      </c>
      <c r="C901" t="s">
        <v>2108</v>
      </c>
      <c r="D901" t="s">
        <v>2109</v>
      </c>
      <c r="E901" t="s">
        <v>1302</v>
      </c>
      <c r="F901" s="253" t="s">
        <v>1200</v>
      </c>
    </row>
    <row r="902" spans="1:6" x14ac:dyDescent="0.2">
      <c r="A902" s="243" t="s">
        <v>1621</v>
      </c>
      <c r="B902" t="s">
        <v>2110</v>
      </c>
      <c r="C902" t="s">
        <v>2108</v>
      </c>
      <c r="D902" t="s">
        <v>2109</v>
      </c>
      <c r="E902" t="s">
        <v>1302</v>
      </c>
      <c r="F902" s="253" t="s">
        <v>1200</v>
      </c>
    </row>
    <row r="903" spans="1:6" x14ac:dyDescent="0.2">
      <c r="A903" s="243" t="s">
        <v>1621</v>
      </c>
      <c r="B903" t="s">
        <v>2111</v>
      </c>
      <c r="C903" t="s">
        <v>2112</v>
      </c>
      <c r="D903" t="s">
        <v>2113</v>
      </c>
      <c r="E903" t="s">
        <v>1302</v>
      </c>
      <c r="F903" s="253" t="s">
        <v>1200</v>
      </c>
    </row>
    <row r="904" spans="1:6" x14ac:dyDescent="0.2">
      <c r="A904" s="243" t="s">
        <v>1621</v>
      </c>
      <c r="B904" t="s">
        <v>2114</v>
      </c>
      <c r="C904" t="s">
        <v>2115</v>
      </c>
      <c r="D904" t="s">
        <v>2116</v>
      </c>
      <c r="E904" t="s">
        <v>1302</v>
      </c>
      <c r="F904" s="253" t="s">
        <v>1200</v>
      </c>
    </row>
    <row r="905" spans="1:6" x14ac:dyDescent="0.2">
      <c r="A905" s="243" t="s">
        <v>1621</v>
      </c>
      <c r="B905" t="s">
        <v>2117</v>
      </c>
      <c r="C905" t="s">
        <v>2118</v>
      </c>
      <c r="D905" t="s">
        <v>2119</v>
      </c>
      <c r="E905" t="s">
        <v>1305</v>
      </c>
      <c r="F905" s="253" t="s">
        <v>1200</v>
      </c>
    </row>
    <row r="906" spans="1:6" x14ac:dyDescent="0.2">
      <c r="A906" s="243" t="s">
        <v>1621</v>
      </c>
      <c r="B906" t="s">
        <v>2120</v>
      </c>
      <c r="C906" t="s">
        <v>2121</v>
      </c>
      <c r="D906" t="s">
        <v>2122</v>
      </c>
      <c r="E906" t="s">
        <v>1305</v>
      </c>
      <c r="F906" s="253" t="s">
        <v>1200</v>
      </c>
    </row>
    <row r="907" spans="1:6" x14ac:dyDescent="0.2">
      <c r="A907" s="243" t="s">
        <v>1621</v>
      </c>
      <c r="B907" t="s">
        <v>2123</v>
      </c>
      <c r="C907" t="s">
        <v>2124</v>
      </c>
      <c r="D907" t="s">
        <v>2125</v>
      </c>
      <c r="E907" t="s">
        <v>1305</v>
      </c>
      <c r="F907" s="253" t="s">
        <v>1200</v>
      </c>
    </row>
    <row r="908" spans="1:6" x14ac:dyDescent="0.2">
      <c r="A908" s="243" t="s">
        <v>1621</v>
      </c>
      <c r="B908" t="s">
        <v>2126</v>
      </c>
      <c r="C908" t="s">
        <v>2127</v>
      </c>
      <c r="D908" t="s">
        <v>2128</v>
      </c>
      <c r="E908" t="s">
        <v>1305</v>
      </c>
      <c r="F908" s="253" t="s">
        <v>1200</v>
      </c>
    </row>
    <row r="909" spans="1:6" x14ac:dyDescent="0.2">
      <c r="A909" s="243" t="s">
        <v>1621</v>
      </c>
      <c r="B909" t="s">
        <v>2129</v>
      </c>
      <c r="C909" t="s">
        <v>2130</v>
      </c>
      <c r="D909" t="s">
        <v>2131</v>
      </c>
      <c r="E909" t="s">
        <v>1305</v>
      </c>
      <c r="F909" s="253" t="s">
        <v>1200</v>
      </c>
    </row>
    <row r="910" spans="1:6" x14ac:dyDescent="0.2">
      <c r="A910" s="243" t="s">
        <v>1621</v>
      </c>
      <c r="B910" t="s">
        <v>2132</v>
      </c>
      <c r="C910" t="s">
        <v>1766</v>
      </c>
      <c r="D910" t="s">
        <v>1767</v>
      </c>
      <c r="E910" t="s">
        <v>1305</v>
      </c>
      <c r="F910" s="253" t="s">
        <v>1200</v>
      </c>
    </row>
    <row r="911" spans="1:6" x14ac:dyDescent="0.2">
      <c r="A911" s="243" t="s">
        <v>1621</v>
      </c>
      <c r="B911" t="s">
        <v>2133</v>
      </c>
      <c r="C911" t="s">
        <v>1191</v>
      </c>
      <c r="D911" t="s">
        <v>1192</v>
      </c>
      <c r="E911" t="s">
        <v>1305</v>
      </c>
      <c r="F911" s="253" t="s">
        <v>1200</v>
      </c>
    </row>
    <row r="912" spans="1:6" x14ac:dyDescent="0.2">
      <c r="A912" s="243" t="s">
        <v>1621</v>
      </c>
      <c r="B912" t="s">
        <v>2134</v>
      </c>
      <c r="C912" t="s">
        <v>2135</v>
      </c>
      <c r="D912" t="s">
        <v>2136</v>
      </c>
      <c r="E912" t="s">
        <v>1305</v>
      </c>
      <c r="F912" s="253" t="s">
        <v>1200</v>
      </c>
    </row>
    <row r="913" spans="1:6" x14ac:dyDescent="0.2">
      <c r="A913" s="243" t="s">
        <v>1621</v>
      </c>
      <c r="B913" t="s">
        <v>2137</v>
      </c>
      <c r="C913" t="s">
        <v>2138</v>
      </c>
      <c r="D913" t="s">
        <v>2139</v>
      </c>
      <c r="E913" t="s">
        <v>1308</v>
      </c>
      <c r="F913" s="253" t="s">
        <v>1200</v>
      </c>
    </row>
    <row r="914" spans="1:6" x14ac:dyDescent="0.2">
      <c r="A914" s="243" t="s">
        <v>1621</v>
      </c>
      <c r="B914" t="s">
        <v>2140</v>
      </c>
      <c r="C914" t="s">
        <v>2141</v>
      </c>
      <c r="D914" t="s">
        <v>2142</v>
      </c>
      <c r="E914" t="s">
        <v>1308</v>
      </c>
      <c r="F914" s="253" t="s">
        <v>1200</v>
      </c>
    </row>
    <row r="915" spans="1:6" x14ac:dyDescent="0.2">
      <c r="A915" s="243" t="s">
        <v>1621</v>
      </c>
      <c r="B915" t="s">
        <v>2143</v>
      </c>
      <c r="C915" t="s">
        <v>2144</v>
      </c>
      <c r="D915" t="s">
        <v>2145</v>
      </c>
      <c r="E915" t="s">
        <v>1308</v>
      </c>
      <c r="F915" s="253" t="s">
        <v>1200</v>
      </c>
    </row>
    <row r="916" spans="1:6" x14ac:dyDescent="0.2">
      <c r="A916" s="243" t="s">
        <v>1621</v>
      </c>
      <c r="B916" t="s">
        <v>2146</v>
      </c>
      <c r="C916" t="s">
        <v>2147</v>
      </c>
      <c r="D916" t="s">
        <v>2148</v>
      </c>
      <c r="E916" t="s">
        <v>1308</v>
      </c>
      <c r="F916" s="253" t="s">
        <v>1200</v>
      </c>
    </row>
    <row r="917" spans="1:6" x14ac:dyDescent="0.2">
      <c r="A917" s="243" t="s">
        <v>1621</v>
      </c>
      <c r="B917" t="s">
        <v>2149</v>
      </c>
      <c r="C917" t="s">
        <v>2150</v>
      </c>
      <c r="D917" t="s">
        <v>2151</v>
      </c>
      <c r="E917" t="s">
        <v>1308</v>
      </c>
      <c r="F917" s="253" t="s">
        <v>1200</v>
      </c>
    </row>
    <row r="918" spans="1:6" x14ac:dyDescent="0.2">
      <c r="A918" s="243" t="s">
        <v>1621</v>
      </c>
      <c r="B918" t="s">
        <v>2152</v>
      </c>
      <c r="C918" t="s">
        <v>2153</v>
      </c>
      <c r="D918" t="s">
        <v>2154</v>
      </c>
      <c r="E918" t="s">
        <v>1308</v>
      </c>
      <c r="F918" s="253" t="s">
        <v>1200</v>
      </c>
    </row>
    <row r="919" spans="1:6" x14ac:dyDescent="0.2">
      <c r="A919" s="243" t="s">
        <v>1621</v>
      </c>
      <c r="B919" t="s">
        <v>2155</v>
      </c>
      <c r="C919" t="s">
        <v>2156</v>
      </c>
      <c r="D919" t="s">
        <v>2157</v>
      </c>
      <c r="E919" t="s">
        <v>1308</v>
      </c>
      <c r="F919" s="253" t="s">
        <v>1200</v>
      </c>
    </row>
    <row r="920" spans="1:6" x14ac:dyDescent="0.2">
      <c r="A920" s="243" t="s">
        <v>1621</v>
      </c>
      <c r="B920" t="s">
        <v>2158</v>
      </c>
      <c r="C920" t="s">
        <v>2159</v>
      </c>
      <c r="D920" t="s">
        <v>2160</v>
      </c>
      <c r="E920" t="s">
        <v>1311</v>
      </c>
      <c r="F920" s="253" t="s">
        <v>1200</v>
      </c>
    </row>
    <row r="921" spans="1:6" x14ac:dyDescent="0.2">
      <c r="A921" s="243" t="s">
        <v>1621</v>
      </c>
      <c r="B921" t="s">
        <v>2161</v>
      </c>
      <c r="C921" t="s">
        <v>2162</v>
      </c>
      <c r="D921" t="s">
        <v>2163</v>
      </c>
      <c r="E921" t="s">
        <v>1311</v>
      </c>
      <c r="F921" s="253" t="s">
        <v>1200</v>
      </c>
    </row>
    <row r="922" spans="1:6" x14ac:dyDescent="0.2">
      <c r="A922" s="243" t="s">
        <v>1621</v>
      </c>
      <c r="B922" t="s">
        <v>2164</v>
      </c>
      <c r="C922" t="s">
        <v>2165</v>
      </c>
      <c r="D922" t="s">
        <v>2166</v>
      </c>
      <c r="E922" t="s">
        <v>1311</v>
      </c>
      <c r="F922" s="253" t="s">
        <v>1200</v>
      </c>
    </row>
    <row r="923" spans="1:6" x14ac:dyDescent="0.2">
      <c r="A923" s="243" t="s">
        <v>1621</v>
      </c>
      <c r="B923" t="s">
        <v>2167</v>
      </c>
      <c r="C923" t="s">
        <v>2168</v>
      </c>
      <c r="D923" t="s">
        <v>2169</v>
      </c>
      <c r="E923" t="s">
        <v>1311</v>
      </c>
      <c r="F923" s="253" t="s">
        <v>1200</v>
      </c>
    </row>
    <row r="924" spans="1:6" x14ac:dyDescent="0.2">
      <c r="A924" s="243" t="s">
        <v>1621</v>
      </c>
      <c r="B924" t="s">
        <v>2170</v>
      </c>
      <c r="C924" t="s">
        <v>2171</v>
      </c>
      <c r="D924" t="s">
        <v>2172</v>
      </c>
      <c r="E924" t="s">
        <v>1311</v>
      </c>
      <c r="F924" s="253" t="s">
        <v>1200</v>
      </c>
    </row>
    <row r="925" spans="1:6" x14ac:dyDescent="0.2">
      <c r="A925" s="243" t="s">
        <v>1621</v>
      </c>
      <c r="B925" t="s">
        <v>2173</v>
      </c>
      <c r="C925" t="s">
        <v>2174</v>
      </c>
      <c r="D925" t="s">
        <v>2175</v>
      </c>
      <c r="E925" t="s">
        <v>1311</v>
      </c>
      <c r="F925" s="253" t="s">
        <v>1200</v>
      </c>
    </row>
    <row r="926" spans="1:6" x14ac:dyDescent="0.2">
      <c r="A926" s="243" t="s">
        <v>1621</v>
      </c>
      <c r="B926" t="s">
        <v>2176</v>
      </c>
      <c r="C926" t="s">
        <v>2177</v>
      </c>
      <c r="D926" t="s">
        <v>2178</v>
      </c>
      <c r="E926" t="s">
        <v>1311</v>
      </c>
      <c r="F926" s="253" t="s">
        <v>1200</v>
      </c>
    </row>
    <row r="927" spans="1:6" x14ac:dyDescent="0.2">
      <c r="A927" s="243" t="s">
        <v>1621</v>
      </c>
      <c r="B927" t="s">
        <v>2179</v>
      </c>
      <c r="C927" t="s">
        <v>2180</v>
      </c>
      <c r="D927" t="s">
        <v>2181</v>
      </c>
      <c r="E927" t="s">
        <v>1311</v>
      </c>
      <c r="F927" s="253" t="s">
        <v>1200</v>
      </c>
    </row>
    <row r="928" spans="1:6" x14ac:dyDescent="0.2">
      <c r="A928" s="243" t="s">
        <v>1621</v>
      </c>
      <c r="B928" t="s">
        <v>2182</v>
      </c>
      <c r="C928" t="s">
        <v>1230</v>
      </c>
      <c r="D928" t="s">
        <v>1231</v>
      </c>
      <c r="E928" t="s">
        <v>1311</v>
      </c>
      <c r="F928" s="253" t="s">
        <v>1200</v>
      </c>
    </row>
    <row r="929" spans="1:6" x14ac:dyDescent="0.2">
      <c r="A929" s="243" t="s">
        <v>1621</v>
      </c>
      <c r="B929" t="s">
        <v>2183</v>
      </c>
      <c r="C929" t="s">
        <v>2184</v>
      </c>
      <c r="D929" t="s">
        <v>2185</v>
      </c>
      <c r="E929" t="s">
        <v>1311</v>
      </c>
      <c r="F929" s="253" t="s">
        <v>1200</v>
      </c>
    </row>
    <row r="930" spans="1:6" x14ac:dyDescent="0.2">
      <c r="A930" s="243" t="s">
        <v>1621</v>
      </c>
      <c r="B930" t="s">
        <v>2186</v>
      </c>
      <c r="C930" t="s">
        <v>2187</v>
      </c>
      <c r="D930" t="s">
        <v>2188</v>
      </c>
      <c r="E930" t="s">
        <v>1311</v>
      </c>
      <c r="F930" s="253" t="s">
        <v>1200</v>
      </c>
    </row>
    <row r="931" spans="1:6" x14ac:dyDescent="0.2">
      <c r="A931" s="243" t="s">
        <v>1621</v>
      </c>
      <c r="B931" t="s">
        <v>2189</v>
      </c>
      <c r="C931" t="s">
        <v>2190</v>
      </c>
      <c r="D931" t="s">
        <v>2191</v>
      </c>
      <c r="E931" t="s">
        <v>1311</v>
      </c>
      <c r="F931" s="253" t="s">
        <v>1200</v>
      </c>
    </row>
    <row r="932" spans="1:6" x14ac:dyDescent="0.2">
      <c r="A932" s="243" t="s">
        <v>1621</v>
      </c>
      <c r="B932" t="s">
        <v>2192</v>
      </c>
      <c r="C932" t="s">
        <v>2108</v>
      </c>
      <c r="D932" t="s">
        <v>2109</v>
      </c>
      <c r="E932" t="s">
        <v>1311</v>
      </c>
      <c r="F932" s="253" t="s">
        <v>1200</v>
      </c>
    </row>
    <row r="933" spans="1:6" x14ac:dyDescent="0.2">
      <c r="A933" s="243" t="s">
        <v>1621</v>
      </c>
      <c r="B933" t="s">
        <v>2193</v>
      </c>
      <c r="C933" t="s">
        <v>2194</v>
      </c>
      <c r="D933" t="s">
        <v>2195</v>
      </c>
      <c r="E933" t="s">
        <v>1311</v>
      </c>
      <c r="F933" s="253" t="s">
        <v>1200</v>
      </c>
    </row>
    <row r="934" spans="1:6" x14ac:dyDescent="0.2">
      <c r="A934" s="243" t="s">
        <v>1621</v>
      </c>
      <c r="B934" t="s">
        <v>2196</v>
      </c>
      <c r="C934" t="s">
        <v>2197</v>
      </c>
      <c r="D934" t="s">
        <v>2198</v>
      </c>
      <c r="E934" t="s">
        <v>1311</v>
      </c>
      <c r="F934" s="253" t="s">
        <v>1200</v>
      </c>
    </row>
    <row r="935" spans="1:6" x14ac:dyDescent="0.2">
      <c r="A935" s="243" t="s">
        <v>1621</v>
      </c>
      <c r="B935" t="s">
        <v>2199</v>
      </c>
      <c r="C935" t="s">
        <v>2200</v>
      </c>
      <c r="D935" t="s">
        <v>2201</v>
      </c>
      <c r="E935" t="s">
        <v>1311</v>
      </c>
      <c r="F935" s="253" t="s">
        <v>1200</v>
      </c>
    </row>
    <row r="936" spans="1:6" x14ac:dyDescent="0.2">
      <c r="A936" s="243" t="s">
        <v>1621</v>
      </c>
      <c r="B936" t="s">
        <v>2202</v>
      </c>
      <c r="C936" t="s">
        <v>2203</v>
      </c>
      <c r="D936" t="s">
        <v>2204</v>
      </c>
      <c r="E936" t="s">
        <v>1311</v>
      </c>
      <c r="F936" s="253" t="s">
        <v>1200</v>
      </c>
    </row>
    <row r="937" spans="1:6" x14ac:dyDescent="0.2">
      <c r="A937" s="243" t="s">
        <v>1621</v>
      </c>
      <c r="B937" t="s">
        <v>2205</v>
      </c>
      <c r="C937" t="s">
        <v>2206</v>
      </c>
      <c r="D937" t="s">
        <v>2207</v>
      </c>
      <c r="E937" t="s">
        <v>1311</v>
      </c>
      <c r="F937" s="253" t="s">
        <v>1200</v>
      </c>
    </row>
    <row r="938" spans="1:6" x14ac:dyDescent="0.2">
      <c r="A938" s="243" t="s">
        <v>1621</v>
      </c>
      <c r="B938" t="s">
        <v>2208</v>
      </c>
      <c r="C938" t="s">
        <v>2209</v>
      </c>
      <c r="D938" t="s">
        <v>2210</v>
      </c>
      <c r="E938" t="s">
        <v>1311</v>
      </c>
      <c r="F938" s="253" t="s">
        <v>1200</v>
      </c>
    </row>
    <row r="939" spans="1:6" x14ac:dyDescent="0.2">
      <c r="A939" s="243" t="s">
        <v>1621</v>
      </c>
      <c r="B939" t="s">
        <v>2211</v>
      </c>
      <c r="C939" t="s">
        <v>2212</v>
      </c>
      <c r="D939" t="s">
        <v>2213</v>
      </c>
      <c r="E939" t="s">
        <v>1314</v>
      </c>
      <c r="F939" s="253" t="s">
        <v>1203</v>
      </c>
    </row>
    <row r="940" spans="1:6" x14ac:dyDescent="0.2">
      <c r="A940" s="243" t="s">
        <v>1621</v>
      </c>
      <c r="B940" t="s">
        <v>2214</v>
      </c>
      <c r="C940" t="s">
        <v>2215</v>
      </c>
      <c r="D940" t="s">
        <v>2216</v>
      </c>
      <c r="E940" t="s">
        <v>1314</v>
      </c>
      <c r="F940" s="253" t="s">
        <v>1203</v>
      </c>
    </row>
    <row r="941" spans="1:6" x14ac:dyDescent="0.2">
      <c r="A941" s="243" t="s">
        <v>1621</v>
      </c>
      <c r="B941" t="s">
        <v>2217</v>
      </c>
      <c r="C941" t="s">
        <v>2218</v>
      </c>
      <c r="D941" t="s">
        <v>2219</v>
      </c>
      <c r="E941" t="s">
        <v>1314</v>
      </c>
      <c r="F941" s="253" t="s">
        <v>1203</v>
      </c>
    </row>
    <row r="942" spans="1:6" x14ac:dyDescent="0.2">
      <c r="A942" s="243" t="s">
        <v>1621</v>
      </c>
      <c r="B942" t="s">
        <v>2220</v>
      </c>
      <c r="C942" t="s">
        <v>2221</v>
      </c>
      <c r="D942" t="s">
        <v>2222</v>
      </c>
      <c r="E942" t="s">
        <v>1314</v>
      </c>
      <c r="F942" s="253" t="s">
        <v>1203</v>
      </c>
    </row>
    <row r="943" spans="1:6" x14ac:dyDescent="0.2">
      <c r="A943" s="243" t="s">
        <v>1621</v>
      </c>
      <c r="B943" t="s">
        <v>2223</v>
      </c>
      <c r="C943" t="s">
        <v>2224</v>
      </c>
      <c r="D943" t="s">
        <v>2225</v>
      </c>
      <c r="E943" t="s">
        <v>1314</v>
      </c>
      <c r="F943" s="253" t="s">
        <v>1203</v>
      </c>
    </row>
    <row r="944" spans="1:6" x14ac:dyDescent="0.2">
      <c r="A944" s="243" t="s">
        <v>1621</v>
      </c>
      <c r="B944" t="s">
        <v>2226</v>
      </c>
      <c r="C944" t="s">
        <v>2227</v>
      </c>
      <c r="D944" t="s">
        <v>2228</v>
      </c>
      <c r="E944" t="s">
        <v>1314</v>
      </c>
      <c r="F944" s="253" t="s">
        <v>1203</v>
      </c>
    </row>
    <row r="945" spans="1:6" x14ac:dyDescent="0.2">
      <c r="A945" s="243" t="s">
        <v>1621</v>
      </c>
      <c r="B945" t="s">
        <v>2229</v>
      </c>
      <c r="C945" t="s">
        <v>2230</v>
      </c>
      <c r="D945" t="s">
        <v>2231</v>
      </c>
      <c r="E945" t="s">
        <v>1314</v>
      </c>
      <c r="F945" s="253" t="s">
        <v>1203</v>
      </c>
    </row>
    <row r="946" spans="1:6" x14ac:dyDescent="0.2">
      <c r="A946" s="243" t="s">
        <v>1621</v>
      </c>
      <c r="B946" t="s">
        <v>2232</v>
      </c>
      <c r="C946" t="s">
        <v>2233</v>
      </c>
      <c r="D946" t="s">
        <v>2234</v>
      </c>
      <c r="E946" t="s">
        <v>1317</v>
      </c>
      <c r="F946" s="253" t="s">
        <v>1203</v>
      </c>
    </row>
    <row r="947" spans="1:6" x14ac:dyDescent="0.2">
      <c r="A947" s="243" t="s">
        <v>1621</v>
      </c>
      <c r="B947" t="s">
        <v>2235</v>
      </c>
      <c r="C947" t="s">
        <v>2236</v>
      </c>
      <c r="D947" t="s">
        <v>2237</v>
      </c>
      <c r="E947" t="s">
        <v>1317</v>
      </c>
      <c r="F947" s="253" t="s">
        <v>1203</v>
      </c>
    </row>
    <row r="948" spans="1:6" x14ac:dyDescent="0.2">
      <c r="A948" s="243" t="s">
        <v>1621</v>
      </c>
      <c r="B948" t="s">
        <v>2238</v>
      </c>
      <c r="C948" t="s">
        <v>2239</v>
      </c>
      <c r="D948" t="s">
        <v>2240</v>
      </c>
      <c r="E948" t="s">
        <v>1317</v>
      </c>
      <c r="F948" s="253" t="s">
        <v>1203</v>
      </c>
    </row>
    <row r="949" spans="1:6" x14ac:dyDescent="0.2">
      <c r="A949" s="243" t="s">
        <v>1621</v>
      </c>
      <c r="B949" t="s">
        <v>2241</v>
      </c>
      <c r="C949" t="s">
        <v>2242</v>
      </c>
      <c r="D949" t="s">
        <v>2243</v>
      </c>
      <c r="E949" t="s">
        <v>1317</v>
      </c>
      <c r="F949" s="253" t="s">
        <v>1203</v>
      </c>
    </row>
    <row r="950" spans="1:6" x14ac:dyDescent="0.2">
      <c r="A950" s="243" t="s">
        <v>1621</v>
      </c>
      <c r="B950" t="s">
        <v>2244</v>
      </c>
      <c r="C950" t="s">
        <v>2245</v>
      </c>
      <c r="D950" t="s">
        <v>2246</v>
      </c>
      <c r="E950" t="s">
        <v>1317</v>
      </c>
      <c r="F950" s="253" t="s">
        <v>1203</v>
      </c>
    </row>
    <row r="951" spans="1:6" x14ac:dyDescent="0.2">
      <c r="A951" s="243" t="s">
        <v>1621</v>
      </c>
      <c r="B951" t="s">
        <v>2247</v>
      </c>
      <c r="C951" t="s">
        <v>2248</v>
      </c>
      <c r="D951" t="s">
        <v>2249</v>
      </c>
      <c r="E951" t="s">
        <v>1317</v>
      </c>
      <c r="F951" s="253" t="s">
        <v>1203</v>
      </c>
    </row>
    <row r="952" spans="1:6" x14ac:dyDescent="0.2">
      <c r="A952" s="243" t="s">
        <v>1621</v>
      </c>
      <c r="B952" t="s">
        <v>2250</v>
      </c>
      <c r="C952" t="s">
        <v>2251</v>
      </c>
      <c r="D952" t="s">
        <v>2252</v>
      </c>
      <c r="E952" t="s">
        <v>1317</v>
      </c>
      <c r="F952" s="253" t="s">
        <v>1203</v>
      </c>
    </row>
    <row r="953" spans="1:6" x14ac:dyDescent="0.2">
      <c r="A953" s="243" t="s">
        <v>1621</v>
      </c>
      <c r="B953" t="s">
        <v>2253</v>
      </c>
      <c r="C953" t="s">
        <v>2254</v>
      </c>
      <c r="D953" t="s">
        <v>2255</v>
      </c>
      <c r="E953" t="s">
        <v>1317</v>
      </c>
      <c r="F953" s="253" t="s">
        <v>1203</v>
      </c>
    </row>
    <row r="954" spans="1:6" x14ac:dyDescent="0.2">
      <c r="A954" s="243" t="s">
        <v>1621</v>
      </c>
      <c r="B954" t="s">
        <v>2256</v>
      </c>
      <c r="C954" t="s">
        <v>2257</v>
      </c>
      <c r="D954" t="s">
        <v>2258</v>
      </c>
      <c r="E954" t="s">
        <v>1320</v>
      </c>
      <c r="F954" s="253" t="s">
        <v>1203</v>
      </c>
    </row>
    <row r="955" spans="1:6" x14ac:dyDescent="0.2">
      <c r="A955" s="243" t="s">
        <v>1621</v>
      </c>
      <c r="B955" t="s">
        <v>2259</v>
      </c>
      <c r="C955" t="s">
        <v>2260</v>
      </c>
      <c r="D955" t="s">
        <v>2261</v>
      </c>
      <c r="E955" t="s">
        <v>1320</v>
      </c>
      <c r="F955" s="253" t="s">
        <v>1203</v>
      </c>
    </row>
    <row r="956" spans="1:6" x14ac:dyDescent="0.2">
      <c r="A956" s="243" t="s">
        <v>1621</v>
      </c>
      <c r="B956" t="s">
        <v>2262</v>
      </c>
      <c r="C956" t="s">
        <v>2263</v>
      </c>
      <c r="D956" t="s">
        <v>2264</v>
      </c>
      <c r="E956" t="s">
        <v>1320</v>
      </c>
      <c r="F956" s="253" t="s">
        <v>1203</v>
      </c>
    </row>
    <row r="957" spans="1:6" x14ac:dyDescent="0.2">
      <c r="A957" s="243" t="s">
        <v>1621</v>
      </c>
      <c r="B957" t="s">
        <v>2265</v>
      </c>
      <c r="C957" t="s">
        <v>2266</v>
      </c>
      <c r="D957" t="s">
        <v>2267</v>
      </c>
      <c r="E957" t="s">
        <v>1320</v>
      </c>
      <c r="F957" s="253" t="s">
        <v>1203</v>
      </c>
    </row>
    <row r="958" spans="1:6" x14ac:dyDescent="0.2">
      <c r="A958" s="243" t="s">
        <v>1621</v>
      </c>
      <c r="B958" t="s">
        <v>2268</v>
      </c>
      <c r="C958" t="s">
        <v>1784</v>
      </c>
      <c r="D958" t="s">
        <v>1785</v>
      </c>
      <c r="E958" t="s">
        <v>1320</v>
      </c>
      <c r="F958" s="253" t="s">
        <v>1203</v>
      </c>
    </row>
    <row r="959" spans="1:6" x14ac:dyDescent="0.2">
      <c r="A959" s="243" t="s">
        <v>1621</v>
      </c>
      <c r="B959" t="s">
        <v>2269</v>
      </c>
      <c r="C959" t="s">
        <v>2270</v>
      </c>
      <c r="D959" t="s">
        <v>2271</v>
      </c>
      <c r="E959" t="s">
        <v>1320</v>
      </c>
      <c r="F959" s="253" t="s">
        <v>1203</v>
      </c>
    </row>
    <row r="960" spans="1:6" x14ac:dyDescent="0.2">
      <c r="A960" s="243" t="s">
        <v>1621</v>
      </c>
      <c r="B960" t="s">
        <v>2272</v>
      </c>
      <c r="C960" t="s">
        <v>2273</v>
      </c>
      <c r="D960" t="s">
        <v>2274</v>
      </c>
      <c r="E960" t="s">
        <v>1320</v>
      </c>
      <c r="F960" s="253" t="s">
        <v>1203</v>
      </c>
    </row>
    <row r="961" spans="1:6" x14ac:dyDescent="0.2">
      <c r="A961" s="243" t="s">
        <v>1621</v>
      </c>
      <c r="B961" t="s">
        <v>2275</v>
      </c>
      <c r="C961" t="s">
        <v>2276</v>
      </c>
      <c r="D961" t="s">
        <v>2277</v>
      </c>
      <c r="E961" t="s">
        <v>1320</v>
      </c>
      <c r="F961" s="253" t="s">
        <v>1203</v>
      </c>
    </row>
    <row r="962" spans="1:6" x14ac:dyDescent="0.2">
      <c r="A962" s="243" t="s">
        <v>1621</v>
      </c>
      <c r="B962" t="s">
        <v>2278</v>
      </c>
      <c r="C962" t="s">
        <v>2279</v>
      </c>
      <c r="D962" t="s">
        <v>2280</v>
      </c>
      <c r="E962" t="s">
        <v>1320</v>
      </c>
      <c r="F962" s="253" t="s">
        <v>1203</v>
      </c>
    </row>
    <row r="963" spans="1:6" x14ac:dyDescent="0.2">
      <c r="A963" s="243" t="s">
        <v>1621</v>
      </c>
      <c r="B963" t="s">
        <v>2281</v>
      </c>
      <c r="C963" t="s">
        <v>2282</v>
      </c>
      <c r="D963" t="s">
        <v>2283</v>
      </c>
      <c r="E963" t="s">
        <v>1323</v>
      </c>
      <c r="F963" s="253" t="s">
        <v>1203</v>
      </c>
    </row>
    <row r="964" spans="1:6" x14ac:dyDescent="0.2">
      <c r="A964" s="243" t="s">
        <v>1621</v>
      </c>
      <c r="B964" t="s">
        <v>2284</v>
      </c>
      <c r="C964" t="s">
        <v>1203</v>
      </c>
      <c r="D964" t="s">
        <v>1204</v>
      </c>
      <c r="E964" t="s">
        <v>1323</v>
      </c>
      <c r="F964" s="253" t="s">
        <v>1203</v>
      </c>
    </row>
    <row r="965" spans="1:6" x14ac:dyDescent="0.2">
      <c r="A965" s="243" t="s">
        <v>1621</v>
      </c>
      <c r="B965" t="s">
        <v>2285</v>
      </c>
      <c r="C965" t="s">
        <v>2286</v>
      </c>
      <c r="D965" t="s">
        <v>2287</v>
      </c>
      <c r="E965" t="s">
        <v>1323</v>
      </c>
      <c r="F965" s="253" t="s">
        <v>1203</v>
      </c>
    </row>
    <row r="966" spans="1:6" x14ac:dyDescent="0.2">
      <c r="A966" s="243" t="s">
        <v>1621</v>
      </c>
      <c r="B966" t="s">
        <v>2288</v>
      </c>
      <c r="C966" t="s">
        <v>2289</v>
      </c>
      <c r="D966" t="s">
        <v>2290</v>
      </c>
      <c r="E966" t="s">
        <v>1323</v>
      </c>
      <c r="F966" s="253" t="s">
        <v>1203</v>
      </c>
    </row>
    <row r="967" spans="1:6" x14ac:dyDescent="0.2">
      <c r="A967" s="243" t="s">
        <v>1621</v>
      </c>
      <c r="B967" t="s">
        <v>2291</v>
      </c>
      <c r="C967" t="s">
        <v>2292</v>
      </c>
      <c r="D967" t="s">
        <v>2293</v>
      </c>
      <c r="E967" t="s">
        <v>1323</v>
      </c>
      <c r="F967" s="253" t="s">
        <v>1203</v>
      </c>
    </row>
    <row r="968" spans="1:6" x14ac:dyDescent="0.2">
      <c r="A968" s="243" t="s">
        <v>1621</v>
      </c>
      <c r="B968" t="s">
        <v>2294</v>
      </c>
      <c r="C968" t="s">
        <v>2295</v>
      </c>
      <c r="D968" t="s">
        <v>2296</v>
      </c>
      <c r="E968" t="s">
        <v>1323</v>
      </c>
      <c r="F968" s="253" t="s">
        <v>1203</v>
      </c>
    </row>
    <row r="969" spans="1:6" x14ac:dyDescent="0.2">
      <c r="A969" s="243" t="s">
        <v>1621</v>
      </c>
      <c r="B969" t="s">
        <v>2297</v>
      </c>
      <c r="C969" t="s">
        <v>2298</v>
      </c>
      <c r="D969" t="s">
        <v>2299</v>
      </c>
      <c r="E969" t="s">
        <v>1326</v>
      </c>
      <c r="F969" s="253" t="s">
        <v>1203</v>
      </c>
    </row>
    <row r="970" spans="1:6" x14ac:dyDescent="0.2">
      <c r="A970" s="243" t="s">
        <v>1621</v>
      </c>
      <c r="B970" t="s">
        <v>2300</v>
      </c>
      <c r="C970" t="s">
        <v>2301</v>
      </c>
      <c r="D970" t="s">
        <v>2302</v>
      </c>
      <c r="E970" t="s">
        <v>1326</v>
      </c>
      <c r="F970" s="253" t="s">
        <v>1203</v>
      </c>
    </row>
    <row r="971" spans="1:6" x14ac:dyDescent="0.2">
      <c r="A971" s="243" t="s">
        <v>1621</v>
      </c>
      <c r="B971" t="s">
        <v>2303</v>
      </c>
      <c r="C971" t="s">
        <v>2304</v>
      </c>
      <c r="D971" t="s">
        <v>2305</v>
      </c>
      <c r="E971" t="s">
        <v>1326</v>
      </c>
      <c r="F971" s="253" t="s">
        <v>1203</v>
      </c>
    </row>
    <row r="972" spans="1:6" x14ac:dyDescent="0.2">
      <c r="A972" s="243" t="s">
        <v>1621</v>
      </c>
      <c r="B972" t="s">
        <v>2306</v>
      </c>
      <c r="C972" t="s">
        <v>2307</v>
      </c>
      <c r="D972" t="s">
        <v>2308</v>
      </c>
      <c r="E972" t="s">
        <v>1326</v>
      </c>
      <c r="F972" s="253" t="s">
        <v>1203</v>
      </c>
    </row>
    <row r="973" spans="1:6" x14ac:dyDescent="0.2">
      <c r="A973" s="243" t="s">
        <v>1621</v>
      </c>
      <c r="B973" t="s">
        <v>2309</v>
      </c>
      <c r="C973" t="s">
        <v>2310</v>
      </c>
      <c r="D973" t="s">
        <v>2311</v>
      </c>
      <c r="E973" t="s">
        <v>1326</v>
      </c>
      <c r="F973" s="253" t="s">
        <v>1203</v>
      </c>
    </row>
    <row r="974" spans="1:6" x14ac:dyDescent="0.2">
      <c r="A974" s="243" t="s">
        <v>1621</v>
      </c>
      <c r="B974" t="s">
        <v>2312</v>
      </c>
      <c r="C974" t="s">
        <v>2313</v>
      </c>
      <c r="D974" t="s">
        <v>2314</v>
      </c>
      <c r="E974" t="s">
        <v>1329</v>
      </c>
      <c r="F974" s="253" t="s">
        <v>1203</v>
      </c>
    </row>
    <row r="975" spans="1:6" x14ac:dyDescent="0.2">
      <c r="A975" s="243" t="s">
        <v>1621</v>
      </c>
      <c r="B975" t="s">
        <v>2315</v>
      </c>
      <c r="C975" t="s">
        <v>2316</v>
      </c>
      <c r="D975" t="s">
        <v>2317</v>
      </c>
      <c r="E975" t="s">
        <v>1329</v>
      </c>
      <c r="F975" s="253" t="s">
        <v>1203</v>
      </c>
    </row>
    <row r="976" spans="1:6" x14ac:dyDescent="0.2">
      <c r="A976" s="243" t="s">
        <v>1621</v>
      </c>
      <c r="B976" t="s">
        <v>2318</v>
      </c>
      <c r="C976" t="s">
        <v>2319</v>
      </c>
      <c r="D976" t="s">
        <v>2320</v>
      </c>
      <c r="E976" t="s">
        <v>1329</v>
      </c>
      <c r="F976" s="253" t="s">
        <v>1203</v>
      </c>
    </row>
    <row r="977" spans="1:6" x14ac:dyDescent="0.2">
      <c r="A977" s="243" t="s">
        <v>1621</v>
      </c>
      <c r="B977" t="s">
        <v>2321</v>
      </c>
      <c r="C977" t="s">
        <v>2322</v>
      </c>
      <c r="D977" t="s">
        <v>2323</v>
      </c>
      <c r="E977" t="s">
        <v>1329</v>
      </c>
      <c r="F977" s="253" t="s">
        <v>1203</v>
      </c>
    </row>
    <row r="978" spans="1:6" x14ac:dyDescent="0.2">
      <c r="A978" s="243" t="s">
        <v>1621</v>
      </c>
      <c r="B978" t="s">
        <v>2324</v>
      </c>
      <c r="C978" t="s">
        <v>2325</v>
      </c>
      <c r="D978" t="s">
        <v>2326</v>
      </c>
      <c r="E978" t="s">
        <v>1329</v>
      </c>
      <c r="F978" s="253" t="s">
        <v>1203</v>
      </c>
    </row>
    <row r="979" spans="1:6" x14ac:dyDescent="0.2">
      <c r="A979" s="243" t="s">
        <v>1621</v>
      </c>
      <c r="B979" t="s">
        <v>2327</v>
      </c>
      <c r="C979" t="s">
        <v>2328</v>
      </c>
      <c r="D979" t="s">
        <v>2329</v>
      </c>
      <c r="E979" t="s">
        <v>1329</v>
      </c>
      <c r="F979" s="253" t="s">
        <v>1203</v>
      </c>
    </row>
    <row r="980" spans="1:6" x14ac:dyDescent="0.2">
      <c r="A980" s="243" t="s">
        <v>1621</v>
      </c>
      <c r="B980" t="s">
        <v>2330</v>
      </c>
      <c r="C980" t="s">
        <v>1230</v>
      </c>
      <c r="D980" t="s">
        <v>1231</v>
      </c>
      <c r="E980" t="s">
        <v>1329</v>
      </c>
      <c r="F980" s="253" t="s">
        <v>1203</v>
      </c>
    </row>
    <row r="981" spans="1:6" x14ac:dyDescent="0.2">
      <c r="A981" s="243" t="s">
        <v>1621</v>
      </c>
      <c r="B981" t="s">
        <v>2331</v>
      </c>
      <c r="C981" t="s">
        <v>2332</v>
      </c>
      <c r="D981" t="s">
        <v>2333</v>
      </c>
      <c r="E981" t="s">
        <v>1329</v>
      </c>
      <c r="F981" s="253" t="s">
        <v>1203</v>
      </c>
    </row>
    <row r="982" spans="1:6" x14ac:dyDescent="0.2">
      <c r="A982" s="243" t="s">
        <v>1621</v>
      </c>
      <c r="B982" t="s">
        <v>2334</v>
      </c>
      <c r="C982" t="s">
        <v>2335</v>
      </c>
      <c r="D982" t="s">
        <v>2336</v>
      </c>
      <c r="E982" t="s">
        <v>1329</v>
      </c>
      <c r="F982" s="253" t="s">
        <v>1203</v>
      </c>
    </row>
    <row r="983" spans="1:6" x14ac:dyDescent="0.2">
      <c r="A983" s="243" t="s">
        <v>1621</v>
      </c>
      <c r="B983" t="s">
        <v>2337</v>
      </c>
      <c r="C983" t="s">
        <v>2338</v>
      </c>
      <c r="D983" t="s">
        <v>2339</v>
      </c>
      <c r="E983" t="s">
        <v>1329</v>
      </c>
      <c r="F983" s="253" t="s">
        <v>1203</v>
      </c>
    </row>
    <row r="984" spans="1:6" x14ac:dyDescent="0.2">
      <c r="A984" s="243" t="s">
        <v>1621</v>
      </c>
      <c r="B984" t="s">
        <v>2340</v>
      </c>
      <c r="C984" t="s">
        <v>2206</v>
      </c>
      <c r="D984" t="s">
        <v>2207</v>
      </c>
      <c r="E984" t="s">
        <v>1329</v>
      </c>
      <c r="F984" s="253" t="s">
        <v>1203</v>
      </c>
    </row>
    <row r="985" spans="1:6" x14ac:dyDescent="0.2">
      <c r="A985" s="243" t="s">
        <v>1621</v>
      </c>
      <c r="B985" t="s">
        <v>2341</v>
      </c>
      <c r="C985" t="s">
        <v>1191</v>
      </c>
      <c r="D985" t="s">
        <v>1192</v>
      </c>
      <c r="E985" t="s">
        <v>1329</v>
      </c>
      <c r="F985" s="253" t="s">
        <v>1203</v>
      </c>
    </row>
    <row r="986" spans="1:6" x14ac:dyDescent="0.2">
      <c r="A986" s="243" t="s">
        <v>1621</v>
      </c>
      <c r="B986" t="s">
        <v>2342</v>
      </c>
      <c r="C986" t="s">
        <v>2343</v>
      </c>
      <c r="D986" t="s">
        <v>2344</v>
      </c>
      <c r="E986" t="s">
        <v>1332</v>
      </c>
      <c r="F986" s="253" t="s">
        <v>1203</v>
      </c>
    </row>
    <row r="987" spans="1:6" x14ac:dyDescent="0.2">
      <c r="A987" s="243" t="s">
        <v>1621</v>
      </c>
      <c r="B987" t="s">
        <v>2345</v>
      </c>
      <c r="C987" t="s">
        <v>2346</v>
      </c>
      <c r="D987" t="s">
        <v>2347</v>
      </c>
      <c r="E987" t="s">
        <v>1332</v>
      </c>
      <c r="F987" s="253" t="s">
        <v>1203</v>
      </c>
    </row>
    <row r="988" spans="1:6" x14ac:dyDescent="0.2">
      <c r="A988" s="243" t="s">
        <v>1621</v>
      </c>
      <c r="B988" t="s">
        <v>2348</v>
      </c>
      <c r="C988" t="s">
        <v>2349</v>
      </c>
      <c r="D988" t="s">
        <v>2350</v>
      </c>
      <c r="E988" t="s">
        <v>1332</v>
      </c>
      <c r="F988" s="253" t="s">
        <v>1203</v>
      </c>
    </row>
    <row r="989" spans="1:6" x14ac:dyDescent="0.2">
      <c r="A989" s="243" t="s">
        <v>1621</v>
      </c>
      <c r="B989" t="s">
        <v>2351</v>
      </c>
      <c r="C989" t="s">
        <v>2352</v>
      </c>
      <c r="D989" t="s">
        <v>2353</v>
      </c>
      <c r="E989" t="s">
        <v>1332</v>
      </c>
      <c r="F989" s="253" t="s">
        <v>1203</v>
      </c>
    </row>
    <row r="990" spans="1:6" x14ac:dyDescent="0.2">
      <c r="A990" s="243" t="s">
        <v>1621</v>
      </c>
      <c r="B990" t="s">
        <v>2354</v>
      </c>
      <c r="C990" t="s">
        <v>2355</v>
      </c>
      <c r="D990" t="s">
        <v>2356</v>
      </c>
      <c r="E990" t="s">
        <v>1332</v>
      </c>
      <c r="F990" s="253" t="s">
        <v>1203</v>
      </c>
    </row>
    <row r="991" spans="1:6" x14ac:dyDescent="0.2">
      <c r="A991" s="243" t="s">
        <v>1621</v>
      </c>
      <c r="B991" t="s">
        <v>2357</v>
      </c>
      <c r="C991" t="s">
        <v>2358</v>
      </c>
      <c r="D991" t="s">
        <v>2359</v>
      </c>
      <c r="E991" t="s">
        <v>1335</v>
      </c>
      <c r="F991" s="253" t="s">
        <v>1203</v>
      </c>
    </row>
    <row r="992" spans="1:6" x14ac:dyDescent="0.2">
      <c r="A992" s="243" t="s">
        <v>1621</v>
      </c>
      <c r="B992" t="s">
        <v>2360</v>
      </c>
      <c r="C992" t="s">
        <v>2361</v>
      </c>
      <c r="D992" t="s">
        <v>2362</v>
      </c>
      <c r="E992" t="s">
        <v>1335</v>
      </c>
      <c r="F992" s="253" t="s">
        <v>1203</v>
      </c>
    </row>
    <row r="993" spans="1:6" x14ac:dyDescent="0.2">
      <c r="A993" s="243" t="s">
        <v>1621</v>
      </c>
      <c r="B993" t="s">
        <v>2363</v>
      </c>
      <c r="C993" t="s">
        <v>2364</v>
      </c>
      <c r="D993" t="s">
        <v>2365</v>
      </c>
      <c r="E993" t="s">
        <v>1335</v>
      </c>
      <c r="F993" s="253" t="s">
        <v>1203</v>
      </c>
    </row>
    <row r="994" spans="1:6" x14ac:dyDescent="0.2">
      <c r="A994" s="243" t="s">
        <v>1621</v>
      </c>
      <c r="B994" t="s">
        <v>2366</v>
      </c>
      <c r="C994" t="s">
        <v>2367</v>
      </c>
      <c r="D994" t="s">
        <v>2368</v>
      </c>
      <c r="E994" t="s">
        <v>1335</v>
      </c>
      <c r="F994" s="253" t="s">
        <v>1203</v>
      </c>
    </row>
    <row r="995" spans="1:6" x14ac:dyDescent="0.2">
      <c r="A995" s="243" t="s">
        <v>1621</v>
      </c>
      <c r="B995" t="s">
        <v>2369</v>
      </c>
      <c r="C995" t="s">
        <v>2075</v>
      </c>
      <c r="D995" t="s">
        <v>2076</v>
      </c>
      <c r="E995" t="s">
        <v>1335</v>
      </c>
      <c r="F995" s="253" t="s">
        <v>1203</v>
      </c>
    </row>
    <row r="996" spans="1:6" x14ac:dyDescent="0.2">
      <c r="A996" s="243" t="s">
        <v>1621</v>
      </c>
      <c r="B996" t="s">
        <v>2370</v>
      </c>
      <c r="C996" t="s">
        <v>2371</v>
      </c>
      <c r="D996" t="s">
        <v>2372</v>
      </c>
      <c r="E996" t="s">
        <v>1335</v>
      </c>
      <c r="F996" s="253" t="s">
        <v>1203</v>
      </c>
    </row>
    <row r="997" spans="1:6" x14ac:dyDescent="0.2">
      <c r="A997" s="243" t="s">
        <v>1621</v>
      </c>
      <c r="B997" t="s">
        <v>2373</v>
      </c>
      <c r="C997" t="s">
        <v>2374</v>
      </c>
      <c r="D997" t="s">
        <v>2375</v>
      </c>
      <c r="E997" t="s">
        <v>1335</v>
      </c>
      <c r="F997" s="253" t="s">
        <v>1203</v>
      </c>
    </row>
    <row r="998" spans="1:6" x14ac:dyDescent="0.2">
      <c r="A998" s="243" t="s">
        <v>1621</v>
      </c>
      <c r="B998" t="s">
        <v>2376</v>
      </c>
      <c r="C998" t="s">
        <v>2377</v>
      </c>
      <c r="D998" t="s">
        <v>2378</v>
      </c>
      <c r="E998" t="s">
        <v>1335</v>
      </c>
      <c r="F998" s="253" t="s">
        <v>1203</v>
      </c>
    </row>
    <row r="999" spans="1:6" x14ac:dyDescent="0.2">
      <c r="A999" s="243" t="s">
        <v>1621</v>
      </c>
      <c r="B999" t="s">
        <v>2379</v>
      </c>
      <c r="C999" t="s">
        <v>2380</v>
      </c>
      <c r="D999" t="s">
        <v>2381</v>
      </c>
      <c r="E999" t="s">
        <v>1335</v>
      </c>
      <c r="F999" s="253" t="s">
        <v>1203</v>
      </c>
    </row>
    <row r="1000" spans="1:6" x14ac:dyDescent="0.2">
      <c r="A1000" s="243" t="s">
        <v>1621</v>
      </c>
      <c r="B1000" t="s">
        <v>2382</v>
      </c>
      <c r="C1000" t="s">
        <v>2383</v>
      </c>
      <c r="D1000" t="s">
        <v>2384</v>
      </c>
      <c r="E1000" t="s">
        <v>1335</v>
      </c>
      <c r="F1000" s="253" t="s">
        <v>1203</v>
      </c>
    </row>
    <row r="1001" spans="1:6" x14ac:dyDescent="0.2">
      <c r="A1001" s="243" t="s">
        <v>1621</v>
      </c>
      <c r="B1001" t="s">
        <v>2385</v>
      </c>
      <c r="C1001" t="s">
        <v>2108</v>
      </c>
      <c r="D1001" t="s">
        <v>2109</v>
      </c>
      <c r="E1001" t="s">
        <v>1335</v>
      </c>
      <c r="F1001" s="253" t="s">
        <v>1203</v>
      </c>
    </row>
    <row r="1002" spans="1:6" x14ac:dyDescent="0.2">
      <c r="A1002" s="243" t="s">
        <v>1621</v>
      </c>
      <c r="B1002" t="s">
        <v>2386</v>
      </c>
      <c r="C1002" t="s">
        <v>2387</v>
      </c>
      <c r="D1002" t="s">
        <v>2388</v>
      </c>
      <c r="E1002" t="s">
        <v>1335</v>
      </c>
      <c r="F1002" s="253" t="s">
        <v>1203</v>
      </c>
    </row>
    <row r="1003" spans="1:6" x14ac:dyDescent="0.2">
      <c r="A1003" s="243" t="s">
        <v>1621</v>
      </c>
      <c r="B1003" t="s">
        <v>2389</v>
      </c>
      <c r="C1003" t="s">
        <v>2390</v>
      </c>
      <c r="D1003" t="s">
        <v>2391</v>
      </c>
      <c r="E1003" t="s">
        <v>1335</v>
      </c>
      <c r="F1003" s="253" t="s">
        <v>1203</v>
      </c>
    </row>
    <row r="1004" spans="1:6" x14ac:dyDescent="0.2">
      <c r="A1004" s="243" t="s">
        <v>1621</v>
      </c>
      <c r="B1004" t="s">
        <v>2392</v>
      </c>
      <c r="C1004" t="s">
        <v>2393</v>
      </c>
      <c r="D1004" t="s">
        <v>2394</v>
      </c>
      <c r="E1004" t="s">
        <v>1335</v>
      </c>
      <c r="F1004" s="253" t="s">
        <v>1203</v>
      </c>
    </row>
    <row r="1005" spans="1:6" x14ac:dyDescent="0.2">
      <c r="A1005" s="243" t="s">
        <v>1621</v>
      </c>
      <c r="B1005" t="s">
        <v>2395</v>
      </c>
      <c r="C1005" t="s">
        <v>2396</v>
      </c>
      <c r="D1005" t="s">
        <v>2397</v>
      </c>
      <c r="E1005" t="s">
        <v>1338</v>
      </c>
      <c r="F1005" s="253" t="s">
        <v>1260</v>
      </c>
    </row>
    <row r="1006" spans="1:6" x14ac:dyDescent="0.2">
      <c r="A1006" s="243" t="s">
        <v>1621</v>
      </c>
      <c r="B1006" t="s">
        <v>2398</v>
      </c>
      <c r="C1006" t="s">
        <v>2399</v>
      </c>
      <c r="D1006" t="s">
        <v>2400</v>
      </c>
      <c r="E1006" t="s">
        <v>1338</v>
      </c>
      <c r="F1006" s="253" t="s">
        <v>1260</v>
      </c>
    </row>
    <row r="1007" spans="1:6" x14ac:dyDescent="0.2">
      <c r="A1007" s="243" t="s">
        <v>1621</v>
      </c>
      <c r="B1007" t="s">
        <v>2401</v>
      </c>
      <c r="C1007" t="s">
        <v>2402</v>
      </c>
      <c r="D1007" t="s">
        <v>2403</v>
      </c>
      <c r="E1007" t="s">
        <v>1338</v>
      </c>
      <c r="F1007" s="253" t="s">
        <v>1260</v>
      </c>
    </row>
    <row r="1008" spans="1:6" x14ac:dyDescent="0.2">
      <c r="A1008" s="243" t="s">
        <v>1621</v>
      </c>
      <c r="B1008" t="s">
        <v>2404</v>
      </c>
      <c r="C1008" t="s">
        <v>2405</v>
      </c>
      <c r="D1008" t="s">
        <v>2406</v>
      </c>
      <c r="E1008" t="s">
        <v>1338</v>
      </c>
      <c r="F1008" s="253" t="s">
        <v>1260</v>
      </c>
    </row>
    <row r="1009" spans="1:6" x14ac:dyDescent="0.2">
      <c r="A1009" s="243" t="s">
        <v>1621</v>
      </c>
      <c r="B1009" t="s">
        <v>2407</v>
      </c>
      <c r="C1009" t="s">
        <v>1681</v>
      </c>
      <c r="D1009" t="s">
        <v>1682</v>
      </c>
      <c r="E1009" t="s">
        <v>1338</v>
      </c>
      <c r="F1009" s="253" t="s">
        <v>1260</v>
      </c>
    </row>
    <row r="1010" spans="1:6" x14ac:dyDescent="0.2">
      <c r="A1010" s="243" t="s">
        <v>1621</v>
      </c>
      <c r="B1010" t="s">
        <v>2408</v>
      </c>
      <c r="C1010" t="s">
        <v>2409</v>
      </c>
      <c r="D1010" t="s">
        <v>2410</v>
      </c>
      <c r="E1010" t="s">
        <v>1338</v>
      </c>
      <c r="F1010" s="253" t="s">
        <v>1260</v>
      </c>
    </row>
    <row r="1011" spans="1:6" x14ac:dyDescent="0.2">
      <c r="A1011" s="243" t="s">
        <v>1621</v>
      </c>
      <c r="B1011" t="s">
        <v>2411</v>
      </c>
      <c r="C1011" t="s">
        <v>2412</v>
      </c>
      <c r="D1011" t="s">
        <v>2413</v>
      </c>
      <c r="E1011" t="s">
        <v>1338</v>
      </c>
      <c r="F1011" s="253" t="s">
        <v>1260</v>
      </c>
    </row>
    <row r="1012" spans="1:6" x14ac:dyDescent="0.2">
      <c r="A1012" s="243" t="s">
        <v>1621</v>
      </c>
      <c r="B1012" t="s">
        <v>2414</v>
      </c>
      <c r="C1012" t="s">
        <v>2415</v>
      </c>
      <c r="D1012" t="s">
        <v>2416</v>
      </c>
      <c r="E1012" t="s">
        <v>1338</v>
      </c>
      <c r="F1012" s="253" t="s">
        <v>1260</v>
      </c>
    </row>
    <row r="1013" spans="1:6" x14ac:dyDescent="0.2">
      <c r="A1013" s="243" t="s">
        <v>1621</v>
      </c>
      <c r="B1013" t="s">
        <v>2417</v>
      </c>
      <c r="C1013" t="s">
        <v>2418</v>
      </c>
      <c r="D1013" t="s">
        <v>2419</v>
      </c>
      <c r="E1013" t="s">
        <v>1338</v>
      </c>
      <c r="F1013" s="253" t="s">
        <v>1260</v>
      </c>
    </row>
    <row r="1014" spans="1:6" x14ac:dyDescent="0.2">
      <c r="A1014" s="243" t="s">
        <v>1621</v>
      </c>
      <c r="B1014" t="s">
        <v>2420</v>
      </c>
      <c r="C1014" t="s">
        <v>2421</v>
      </c>
      <c r="D1014" t="s">
        <v>2422</v>
      </c>
      <c r="E1014" t="s">
        <v>1338</v>
      </c>
      <c r="F1014" s="253" t="s">
        <v>1260</v>
      </c>
    </row>
    <row r="1015" spans="1:6" x14ac:dyDescent="0.2">
      <c r="A1015" s="243" t="s">
        <v>1621</v>
      </c>
      <c r="B1015" t="s">
        <v>2423</v>
      </c>
      <c r="C1015" t="s">
        <v>2424</v>
      </c>
      <c r="D1015" t="s">
        <v>2425</v>
      </c>
      <c r="E1015" t="s">
        <v>1341</v>
      </c>
      <c r="F1015" s="253" t="s">
        <v>1260</v>
      </c>
    </row>
    <row r="1016" spans="1:6" x14ac:dyDescent="0.2">
      <c r="A1016" s="243" t="s">
        <v>1621</v>
      </c>
      <c r="B1016" t="s">
        <v>2426</v>
      </c>
      <c r="C1016" t="s">
        <v>2427</v>
      </c>
      <c r="D1016" t="s">
        <v>2428</v>
      </c>
      <c r="E1016" t="s">
        <v>1341</v>
      </c>
      <c r="F1016" s="253" t="s">
        <v>1260</v>
      </c>
    </row>
    <row r="1017" spans="1:6" x14ac:dyDescent="0.2">
      <c r="A1017" s="243" t="s">
        <v>1621</v>
      </c>
      <c r="B1017" t="s">
        <v>2429</v>
      </c>
      <c r="C1017" t="s">
        <v>2430</v>
      </c>
      <c r="D1017" t="s">
        <v>2431</v>
      </c>
      <c r="E1017" t="s">
        <v>1341</v>
      </c>
      <c r="F1017" s="253" t="s">
        <v>1260</v>
      </c>
    </row>
    <row r="1018" spans="1:6" x14ac:dyDescent="0.2">
      <c r="A1018" s="243" t="s">
        <v>1621</v>
      </c>
      <c r="B1018" t="s">
        <v>2432</v>
      </c>
      <c r="C1018" t="s">
        <v>2433</v>
      </c>
      <c r="D1018" t="s">
        <v>2434</v>
      </c>
      <c r="E1018" t="s">
        <v>1341</v>
      </c>
      <c r="F1018" s="253" t="s">
        <v>1260</v>
      </c>
    </row>
    <row r="1019" spans="1:6" x14ac:dyDescent="0.2">
      <c r="A1019" s="243" t="s">
        <v>1621</v>
      </c>
      <c r="B1019" t="s">
        <v>2435</v>
      </c>
      <c r="C1019" t="s">
        <v>2436</v>
      </c>
      <c r="D1019" t="s">
        <v>2437</v>
      </c>
      <c r="E1019" t="s">
        <v>1341</v>
      </c>
      <c r="F1019" s="253" t="s">
        <v>1260</v>
      </c>
    </row>
    <row r="1020" spans="1:6" x14ac:dyDescent="0.2">
      <c r="A1020" s="243" t="s">
        <v>1621</v>
      </c>
      <c r="B1020" t="s">
        <v>2438</v>
      </c>
      <c r="C1020" t="s">
        <v>2439</v>
      </c>
      <c r="D1020" t="s">
        <v>2440</v>
      </c>
      <c r="E1020" t="s">
        <v>1341</v>
      </c>
      <c r="F1020" s="253" t="s">
        <v>1260</v>
      </c>
    </row>
    <row r="1021" spans="1:6" x14ac:dyDescent="0.2">
      <c r="A1021" s="243" t="s">
        <v>1621</v>
      </c>
      <c r="B1021" t="s">
        <v>2441</v>
      </c>
      <c r="C1021" t="s">
        <v>2442</v>
      </c>
      <c r="D1021" t="s">
        <v>2443</v>
      </c>
      <c r="E1021" t="s">
        <v>1341</v>
      </c>
      <c r="F1021" s="253" t="s">
        <v>1260</v>
      </c>
    </row>
    <row r="1022" spans="1:6" x14ac:dyDescent="0.2">
      <c r="A1022" s="243" t="s">
        <v>1621</v>
      </c>
      <c r="B1022" t="s">
        <v>2444</v>
      </c>
      <c r="C1022" t="s">
        <v>2445</v>
      </c>
      <c r="D1022" t="s">
        <v>2446</v>
      </c>
      <c r="E1022" t="s">
        <v>1341</v>
      </c>
      <c r="F1022" s="253" t="s">
        <v>1260</v>
      </c>
    </row>
    <row r="1023" spans="1:6" x14ac:dyDescent="0.2">
      <c r="A1023" s="243" t="s">
        <v>1621</v>
      </c>
      <c r="B1023" t="s">
        <v>2447</v>
      </c>
      <c r="C1023" t="s">
        <v>2448</v>
      </c>
      <c r="D1023" t="s">
        <v>2449</v>
      </c>
      <c r="E1023" t="s">
        <v>1341</v>
      </c>
      <c r="F1023" s="253" t="s">
        <v>1260</v>
      </c>
    </row>
    <row r="1024" spans="1:6" x14ac:dyDescent="0.2">
      <c r="A1024" s="243" t="s">
        <v>1621</v>
      </c>
      <c r="B1024" t="s">
        <v>2450</v>
      </c>
      <c r="C1024" t="s">
        <v>1260</v>
      </c>
      <c r="D1024" t="s">
        <v>1261</v>
      </c>
      <c r="E1024" t="s">
        <v>1341</v>
      </c>
      <c r="F1024" s="253" t="s">
        <v>1260</v>
      </c>
    </row>
    <row r="1025" spans="1:6" x14ac:dyDescent="0.2">
      <c r="A1025" s="243" t="s">
        <v>1621</v>
      </c>
      <c r="B1025" t="s">
        <v>2451</v>
      </c>
      <c r="C1025" t="s">
        <v>2452</v>
      </c>
      <c r="D1025" t="s">
        <v>2453</v>
      </c>
      <c r="E1025" t="s">
        <v>1341</v>
      </c>
      <c r="F1025" s="253" t="s">
        <v>1260</v>
      </c>
    </row>
    <row r="1026" spans="1:6" x14ac:dyDescent="0.2">
      <c r="A1026" s="243" t="s">
        <v>1621</v>
      </c>
      <c r="B1026" t="s">
        <v>2454</v>
      </c>
      <c r="C1026" t="s">
        <v>2455</v>
      </c>
      <c r="D1026" t="s">
        <v>2456</v>
      </c>
      <c r="E1026" t="s">
        <v>1341</v>
      </c>
      <c r="F1026" s="253" t="s">
        <v>1260</v>
      </c>
    </row>
    <row r="1027" spans="1:6" x14ac:dyDescent="0.2">
      <c r="A1027" s="243" t="s">
        <v>1621</v>
      </c>
      <c r="B1027" t="s">
        <v>2457</v>
      </c>
      <c r="C1027" t="s">
        <v>2458</v>
      </c>
      <c r="D1027" t="s">
        <v>2459</v>
      </c>
      <c r="E1027" t="s">
        <v>1341</v>
      </c>
      <c r="F1027" s="253" t="s">
        <v>1260</v>
      </c>
    </row>
    <row r="1028" spans="1:6" x14ac:dyDescent="0.2">
      <c r="A1028" s="243" t="s">
        <v>1621</v>
      </c>
      <c r="B1028" t="s">
        <v>2460</v>
      </c>
      <c r="C1028" t="s">
        <v>2461</v>
      </c>
      <c r="D1028" t="s">
        <v>2462</v>
      </c>
      <c r="E1028" t="s">
        <v>1341</v>
      </c>
      <c r="F1028" s="253" t="s">
        <v>1260</v>
      </c>
    </row>
    <row r="1029" spans="1:6" x14ac:dyDescent="0.2">
      <c r="A1029" s="243" t="s">
        <v>1621</v>
      </c>
      <c r="B1029" t="s">
        <v>2463</v>
      </c>
      <c r="C1029" t="s">
        <v>2464</v>
      </c>
      <c r="D1029" t="s">
        <v>2465</v>
      </c>
      <c r="E1029" t="s">
        <v>1341</v>
      </c>
      <c r="F1029" s="253" t="s">
        <v>1260</v>
      </c>
    </row>
    <row r="1030" spans="1:6" x14ac:dyDescent="0.2">
      <c r="A1030" s="243" t="s">
        <v>1621</v>
      </c>
      <c r="B1030" t="s">
        <v>2466</v>
      </c>
      <c r="C1030" t="s">
        <v>2467</v>
      </c>
      <c r="D1030" t="s">
        <v>2468</v>
      </c>
      <c r="E1030" t="s">
        <v>1341</v>
      </c>
      <c r="F1030" s="253" t="s">
        <v>1260</v>
      </c>
    </row>
    <row r="1031" spans="1:6" x14ac:dyDescent="0.2">
      <c r="A1031" s="243" t="s">
        <v>1621</v>
      </c>
      <c r="B1031" t="s">
        <v>2469</v>
      </c>
      <c r="C1031" t="s">
        <v>2470</v>
      </c>
      <c r="D1031" t="s">
        <v>2471</v>
      </c>
      <c r="E1031" t="s">
        <v>1341</v>
      </c>
      <c r="F1031" s="253" t="s">
        <v>1260</v>
      </c>
    </row>
    <row r="1032" spans="1:6" x14ac:dyDescent="0.2">
      <c r="A1032" s="243" t="s">
        <v>1621</v>
      </c>
      <c r="B1032" t="s">
        <v>2472</v>
      </c>
      <c r="C1032" t="s">
        <v>2473</v>
      </c>
      <c r="D1032" t="s">
        <v>2474</v>
      </c>
      <c r="E1032" t="s">
        <v>1341</v>
      </c>
      <c r="F1032" s="253" t="s">
        <v>1260</v>
      </c>
    </row>
    <row r="1033" spans="1:6" x14ac:dyDescent="0.2">
      <c r="A1033" s="243" t="s">
        <v>1621</v>
      </c>
      <c r="B1033" t="s">
        <v>2475</v>
      </c>
      <c r="C1033" t="s">
        <v>2476</v>
      </c>
      <c r="D1033" t="s">
        <v>2477</v>
      </c>
      <c r="E1033" t="s">
        <v>1341</v>
      </c>
      <c r="F1033" s="253" t="s">
        <v>1260</v>
      </c>
    </row>
    <row r="1034" spans="1:6" x14ac:dyDescent="0.2">
      <c r="A1034" s="243" t="s">
        <v>1621</v>
      </c>
      <c r="B1034" t="s">
        <v>2478</v>
      </c>
      <c r="C1034" t="s">
        <v>2479</v>
      </c>
      <c r="D1034" t="s">
        <v>2480</v>
      </c>
      <c r="E1034" t="s">
        <v>1341</v>
      </c>
      <c r="F1034" s="253" t="s">
        <v>1260</v>
      </c>
    </row>
    <row r="1035" spans="1:6" x14ac:dyDescent="0.2">
      <c r="A1035" s="243" t="s">
        <v>1621</v>
      </c>
      <c r="B1035" t="s">
        <v>2481</v>
      </c>
      <c r="C1035" t="s">
        <v>2482</v>
      </c>
      <c r="D1035" t="s">
        <v>2483</v>
      </c>
      <c r="E1035" t="s">
        <v>1341</v>
      </c>
      <c r="F1035" s="253" t="s">
        <v>1260</v>
      </c>
    </row>
    <row r="1036" spans="1:6" x14ac:dyDescent="0.2">
      <c r="A1036" s="243" t="s">
        <v>1621</v>
      </c>
      <c r="B1036" t="s">
        <v>2484</v>
      </c>
      <c r="C1036" t="s">
        <v>2485</v>
      </c>
      <c r="D1036" t="s">
        <v>2486</v>
      </c>
      <c r="E1036" t="s">
        <v>1341</v>
      </c>
      <c r="F1036" s="253" t="s">
        <v>1260</v>
      </c>
    </row>
    <row r="1037" spans="1:6" x14ac:dyDescent="0.2">
      <c r="A1037" s="243" t="s">
        <v>1621</v>
      </c>
      <c r="B1037" t="s">
        <v>2487</v>
      </c>
      <c r="C1037" t="s">
        <v>2488</v>
      </c>
      <c r="D1037" t="s">
        <v>2489</v>
      </c>
      <c r="E1037" t="s">
        <v>1341</v>
      </c>
      <c r="F1037" s="253" t="s">
        <v>1260</v>
      </c>
    </row>
    <row r="1038" spans="1:6" x14ac:dyDescent="0.2">
      <c r="A1038" s="243" t="s">
        <v>1621</v>
      </c>
      <c r="B1038" t="s">
        <v>2490</v>
      </c>
      <c r="C1038" t="s">
        <v>2491</v>
      </c>
      <c r="D1038" t="s">
        <v>2492</v>
      </c>
      <c r="E1038" t="s">
        <v>1341</v>
      </c>
      <c r="F1038" s="253" t="s">
        <v>1260</v>
      </c>
    </row>
    <row r="1039" spans="1:6" x14ac:dyDescent="0.2">
      <c r="A1039" s="243" t="s">
        <v>1621</v>
      </c>
      <c r="B1039" t="s">
        <v>2493</v>
      </c>
      <c r="C1039" t="s">
        <v>2494</v>
      </c>
      <c r="D1039" t="s">
        <v>2495</v>
      </c>
      <c r="E1039" t="s">
        <v>1341</v>
      </c>
      <c r="F1039" s="253" t="s">
        <v>1260</v>
      </c>
    </row>
    <row r="1040" spans="1:6" x14ac:dyDescent="0.2">
      <c r="A1040" s="243" t="s">
        <v>1621</v>
      </c>
      <c r="B1040" t="s">
        <v>2496</v>
      </c>
      <c r="C1040" t="s">
        <v>2497</v>
      </c>
      <c r="D1040" t="s">
        <v>2498</v>
      </c>
      <c r="E1040" t="s">
        <v>1341</v>
      </c>
      <c r="F1040" s="253" t="s">
        <v>1260</v>
      </c>
    </row>
    <row r="1041" spans="1:6" x14ac:dyDescent="0.2">
      <c r="A1041" s="243" t="s">
        <v>1621</v>
      </c>
      <c r="B1041" t="s">
        <v>2499</v>
      </c>
      <c r="C1041" t="s">
        <v>2500</v>
      </c>
      <c r="D1041" t="s">
        <v>2501</v>
      </c>
      <c r="E1041" t="s">
        <v>1341</v>
      </c>
      <c r="F1041" s="253" t="s">
        <v>1260</v>
      </c>
    </row>
    <row r="1042" spans="1:6" x14ac:dyDescent="0.2">
      <c r="A1042" s="243" t="s">
        <v>1621</v>
      </c>
      <c r="B1042" t="s">
        <v>2502</v>
      </c>
      <c r="C1042" t="s">
        <v>2503</v>
      </c>
      <c r="D1042" t="s">
        <v>2504</v>
      </c>
      <c r="E1042" t="s">
        <v>1341</v>
      </c>
      <c r="F1042" s="253" t="s">
        <v>1260</v>
      </c>
    </row>
    <row r="1043" spans="1:6" x14ac:dyDescent="0.2">
      <c r="A1043" s="243" t="s">
        <v>1621</v>
      </c>
      <c r="B1043" t="s">
        <v>2505</v>
      </c>
      <c r="C1043" t="s">
        <v>2506</v>
      </c>
      <c r="D1043" t="s">
        <v>2507</v>
      </c>
      <c r="E1043" t="s">
        <v>1341</v>
      </c>
      <c r="F1043" s="253" t="s">
        <v>1260</v>
      </c>
    </row>
    <row r="1044" spans="1:6" x14ac:dyDescent="0.2">
      <c r="A1044" s="243" t="s">
        <v>1621</v>
      </c>
      <c r="B1044" t="s">
        <v>2508</v>
      </c>
      <c r="C1044" t="s">
        <v>2509</v>
      </c>
      <c r="D1044" t="s">
        <v>2510</v>
      </c>
      <c r="E1044" t="s">
        <v>1341</v>
      </c>
      <c r="F1044" s="253" t="s">
        <v>1260</v>
      </c>
    </row>
    <row r="1045" spans="1:6" x14ac:dyDescent="0.2">
      <c r="A1045" s="243" t="s">
        <v>1621</v>
      </c>
      <c r="B1045" t="s">
        <v>2511</v>
      </c>
      <c r="C1045" t="s">
        <v>2512</v>
      </c>
      <c r="D1045" t="s">
        <v>2513</v>
      </c>
      <c r="E1045" t="s">
        <v>1341</v>
      </c>
      <c r="F1045" s="253" t="s">
        <v>1260</v>
      </c>
    </row>
    <row r="1046" spans="1:6" x14ac:dyDescent="0.2">
      <c r="A1046" s="243" t="s">
        <v>1621</v>
      </c>
      <c r="B1046" t="s">
        <v>2514</v>
      </c>
      <c r="C1046" t="s">
        <v>2515</v>
      </c>
      <c r="D1046" t="s">
        <v>2516</v>
      </c>
      <c r="E1046" t="s">
        <v>1344</v>
      </c>
      <c r="F1046" s="253" t="s">
        <v>1260</v>
      </c>
    </row>
    <row r="1047" spans="1:6" x14ac:dyDescent="0.2">
      <c r="A1047" s="243" t="s">
        <v>1621</v>
      </c>
      <c r="B1047" t="s">
        <v>2517</v>
      </c>
      <c r="C1047" t="s">
        <v>2518</v>
      </c>
      <c r="D1047" t="s">
        <v>2519</v>
      </c>
      <c r="E1047" t="s">
        <v>1344</v>
      </c>
      <c r="F1047" s="253" t="s">
        <v>1260</v>
      </c>
    </row>
    <row r="1048" spans="1:6" x14ac:dyDescent="0.2">
      <c r="A1048" s="243" t="s">
        <v>1621</v>
      </c>
      <c r="B1048" t="s">
        <v>2520</v>
      </c>
      <c r="C1048" t="s">
        <v>2521</v>
      </c>
      <c r="D1048" t="s">
        <v>2522</v>
      </c>
      <c r="E1048" t="s">
        <v>1344</v>
      </c>
      <c r="F1048" s="253" t="s">
        <v>1260</v>
      </c>
    </row>
    <row r="1049" spans="1:6" x14ac:dyDescent="0.2">
      <c r="A1049" s="243" t="s">
        <v>1621</v>
      </c>
      <c r="B1049" t="s">
        <v>2523</v>
      </c>
      <c r="C1049" t="s">
        <v>2524</v>
      </c>
      <c r="D1049" t="s">
        <v>2525</v>
      </c>
      <c r="E1049" t="s">
        <v>1344</v>
      </c>
      <c r="F1049" s="253" t="s">
        <v>1260</v>
      </c>
    </row>
    <row r="1050" spans="1:6" x14ac:dyDescent="0.2">
      <c r="A1050" s="243" t="s">
        <v>1621</v>
      </c>
      <c r="B1050" t="s">
        <v>2526</v>
      </c>
      <c r="C1050" t="s">
        <v>2527</v>
      </c>
      <c r="D1050" t="s">
        <v>2528</v>
      </c>
      <c r="E1050" t="s">
        <v>1344</v>
      </c>
      <c r="F1050" s="253" t="s">
        <v>1260</v>
      </c>
    </row>
    <row r="1051" spans="1:6" x14ac:dyDescent="0.2">
      <c r="A1051" s="243" t="s">
        <v>1621</v>
      </c>
      <c r="B1051" t="s">
        <v>2529</v>
      </c>
      <c r="C1051" t="s">
        <v>2530</v>
      </c>
      <c r="D1051" t="s">
        <v>2531</v>
      </c>
      <c r="E1051" t="s">
        <v>1344</v>
      </c>
      <c r="F1051" s="253" t="s">
        <v>1260</v>
      </c>
    </row>
    <row r="1052" spans="1:6" x14ac:dyDescent="0.2">
      <c r="A1052" s="243" t="s">
        <v>1621</v>
      </c>
      <c r="B1052" t="s">
        <v>2532</v>
      </c>
      <c r="C1052" t="s">
        <v>2533</v>
      </c>
      <c r="D1052" t="s">
        <v>2534</v>
      </c>
      <c r="E1052" t="s">
        <v>1344</v>
      </c>
      <c r="F1052" s="253" t="s">
        <v>1260</v>
      </c>
    </row>
    <row r="1053" spans="1:6" x14ac:dyDescent="0.2">
      <c r="A1053" s="243" t="s">
        <v>1621</v>
      </c>
      <c r="B1053" t="s">
        <v>2535</v>
      </c>
      <c r="C1053" t="s">
        <v>2536</v>
      </c>
      <c r="D1053" t="s">
        <v>2537</v>
      </c>
      <c r="E1053" t="s">
        <v>1344</v>
      </c>
      <c r="F1053" s="253" t="s">
        <v>1260</v>
      </c>
    </row>
    <row r="1054" spans="1:6" x14ac:dyDescent="0.2">
      <c r="A1054" s="243" t="s">
        <v>1621</v>
      </c>
      <c r="B1054" t="s">
        <v>2538</v>
      </c>
      <c r="C1054" t="s">
        <v>2539</v>
      </c>
      <c r="D1054" t="s">
        <v>2540</v>
      </c>
      <c r="E1054" t="s">
        <v>1344</v>
      </c>
      <c r="F1054" s="253" t="s">
        <v>1260</v>
      </c>
    </row>
    <row r="1055" spans="1:6" x14ac:dyDescent="0.2">
      <c r="A1055" s="243" t="s">
        <v>1621</v>
      </c>
      <c r="B1055" t="s">
        <v>2541</v>
      </c>
      <c r="C1055" t="s">
        <v>2542</v>
      </c>
      <c r="D1055" t="s">
        <v>2543</v>
      </c>
      <c r="E1055" t="s">
        <v>1344</v>
      </c>
      <c r="F1055" s="253" t="s">
        <v>1260</v>
      </c>
    </row>
    <row r="1056" spans="1:6" x14ac:dyDescent="0.2">
      <c r="A1056" s="243" t="s">
        <v>1621</v>
      </c>
      <c r="B1056" t="s">
        <v>2544</v>
      </c>
      <c r="C1056" t="s">
        <v>2545</v>
      </c>
      <c r="D1056" t="s">
        <v>2546</v>
      </c>
      <c r="E1056" t="s">
        <v>1344</v>
      </c>
      <c r="F1056" s="253" t="s">
        <v>1260</v>
      </c>
    </row>
    <row r="1057" spans="1:6" x14ac:dyDescent="0.2">
      <c r="A1057" s="243" t="s">
        <v>1621</v>
      </c>
      <c r="B1057" t="s">
        <v>2547</v>
      </c>
      <c r="C1057" t="s">
        <v>2548</v>
      </c>
      <c r="D1057" t="s">
        <v>2549</v>
      </c>
      <c r="E1057" t="s">
        <v>1344</v>
      </c>
      <c r="F1057" s="253" t="s">
        <v>1260</v>
      </c>
    </row>
    <row r="1058" spans="1:6" x14ac:dyDescent="0.2">
      <c r="A1058" s="243" t="s">
        <v>1621</v>
      </c>
      <c r="B1058" t="s">
        <v>2550</v>
      </c>
      <c r="C1058" t="s">
        <v>2551</v>
      </c>
      <c r="D1058" t="s">
        <v>2552</v>
      </c>
      <c r="E1058" t="s">
        <v>1344</v>
      </c>
      <c r="F1058" s="253" t="s">
        <v>1260</v>
      </c>
    </row>
    <row r="1059" spans="1:6" x14ac:dyDescent="0.2">
      <c r="A1059" s="243" t="s">
        <v>1621</v>
      </c>
      <c r="B1059" t="s">
        <v>2553</v>
      </c>
      <c r="C1059" t="s">
        <v>2554</v>
      </c>
      <c r="D1059" t="s">
        <v>2555</v>
      </c>
      <c r="E1059" t="s">
        <v>1347</v>
      </c>
      <c r="F1059" s="253" t="s">
        <v>1260</v>
      </c>
    </row>
    <row r="1060" spans="1:6" x14ac:dyDescent="0.2">
      <c r="A1060" s="243" t="s">
        <v>1621</v>
      </c>
      <c r="B1060" t="s">
        <v>2556</v>
      </c>
      <c r="C1060" t="s">
        <v>2557</v>
      </c>
      <c r="D1060" t="s">
        <v>2558</v>
      </c>
      <c r="E1060" t="s">
        <v>1347</v>
      </c>
      <c r="F1060" s="253" t="s">
        <v>1260</v>
      </c>
    </row>
    <row r="1061" spans="1:6" x14ac:dyDescent="0.2">
      <c r="A1061" s="243" t="s">
        <v>1621</v>
      </c>
      <c r="B1061" t="s">
        <v>2559</v>
      </c>
      <c r="C1061" t="s">
        <v>2560</v>
      </c>
      <c r="D1061" t="s">
        <v>2561</v>
      </c>
      <c r="E1061" t="s">
        <v>1347</v>
      </c>
      <c r="F1061" s="253" t="s">
        <v>1260</v>
      </c>
    </row>
    <row r="1062" spans="1:6" x14ac:dyDescent="0.2">
      <c r="A1062" s="243" t="s">
        <v>1621</v>
      </c>
      <c r="B1062" t="s">
        <v>2562</v>
      </c>
      <c r="C1062" t="s">
        <v>2563</v>
      </c>
      <c r="D1062" t="s">
        <v>2564</v>
      </c>
      <c r="E1062" t="s">
        <v>1347</v>
      </c>
      <c r="F1062" s="253" t="s">
        <v>1260</v>
      </c>
    </row>
    <row r="1063" spans="1:6" x14ac:dyDescent="0.2">
      <c r="A1063" s="243" t="s">
        <v>1621</v>
      </c>
      <c r="B1063" t="s">
        <v>2565</v>
      </c>
      <c r="C1063" t="s">
        <v>2566</v>
      </c>
      <c r="D1063" t="s">
        <v>2567</v>
      </c>
      <c r="E1063" t="s">
        <v>1347</v>
      </c>
      <c r="F1063" s="253" t="s">
        <v>1260</v>
      </c>
    </row>
    <row r="1064" spans="1:6" x14ac:dyDescent="0.2">
      <c r="A1064" s="243" t="s">
        <v>1621</v>
      </c>
      <c r="B1064" t="s">
        <v>2568</v>
      </c>
      <c r="C1064" t="s">
        <v>2569</v>
      </c>
      <c r="D1064" t="s">
        <v>2570</v>
      </c>
      <c r="E1064" t="s">
        <v>1347</v>
      </c>
      <c r="F1064" s="253" t="s">
        <v>1260</v>
      </c>
    </row>
    <row r="1065" spans="1:6" x14ac:dyDescent="0.2">
      <c r="A1065" s="243" t="s">
        <v>1621</v>
      </c>
      <c r="B1065" t="s">
        <v>2571</v>
      </c>
      <c r="C1065" t="s">
        <v>2572</v>
      </c>
      <c r="D1065" t="s">
        <v>2573</v>
      </c>
      <c r="E1065" t="s">
        <v>1347</v>
      </c>
      <c r="F1065" s="253" t="s">
        <v>1260</v>
      </c>
    </row>
    <row r="1066" spans="1:6" x14ac:dyDescent="0.2">
      <c r="A1066" s="243" t="s">
        <v>1621</v>
      </c>
      <c r="B1066" t="s">
        <v>2574</v>
      </c>
      <c r="C1066" t="s">
        <v>2575</v>
      </c>
      <c r="D1066" t="s">
        <v>2576</v>
      </c>
      <c r="E1066" t="s">
        <v>1347</v>
      </c>
      <c r="F1066" s="253" t="s">
        <v>1260</v>
      </c>
    </row>
    <row r="1067" spans="1:6" x14ac:dyDescent="0.2">
      <c r="A1067" s="243" t="s">
        <v>1621</v>
      </c>
      <c r="B1067" t="s">
        <v>2577</v>
      </c>
      <c r="C1067" t="s">
        <v>2578</v>
      </c>
      <c r="D1067" t="s">
        <v>2579</v>
      </c>
      <c r="E1067" t="s">
        <v>1347</v>
      </c>
      <c r="F1067" s="253" t="s">
        <v>1260</v>
      </c>
    </row>
    <row r="1068" spans="1:6" x14ac:dyDescent="0.2">
      <c r="A1068" s="243" t="s">
        <v>1621</v>
      </c>
      <c r="B1068" t="s">
        <v>2580</v>
      </c>
      <c r="C1068" t="s">
        <v>2581</v>
      </c>
      <c r="D1068" t="s">
        <v>2582</v>
      </c>
      <c r="E1068" t="s">
        <v>1347</v>
      </c>
      <c r="F1068" s="253" t="s">
        <v>1260</v>
      </c>
    </row>
    <row r="1069" spans="1:6" x14ac:dyDescent="0.2">
      <c r="A1069" s="243" t="s">
        <v>1621</v>
      </c>
      <c r="B1069" t="s">
        <v>2583</v>
      </c>
      <c r="C1069" t="s">
        <v>2584</v>
      </c>
      <c r="D1069" t="s">
        <v>2585</v>
      </c>
      <c r="E1069" t="s">
        <v>1347</v>
      </c>
      <c r="F1069" s="253" t="s">
        <v>1260</v>
      </c>
    </row>
    <row r="1070" spans="1:6" x14ac:dyDescent="0.2">
      <c r="A1070" s="243" t="s">
        <v>1621</v>
      </c>
      <c r="B1070" t="s">
        <v>2586</v>
      </c>
      <c r="C1070" t="s">
        <v>2587</v>
      </c>
      <c r="D1070" t="s">
        <v>2588</v>
      </c>
      <c r="E1070" t="s">
        <v>1347</v>
      </c>
      <c r="F1070" s="253" t="s">
        <v>1260</v>
      </c>
    </row>
    <row r="1071" spans="1:6" x14ac:dyDescent="0.2">
      <c r="A1071" s="243" t="s">
        <v>1621</v>
      </c>
      <c r="B1071" t="s">
        <v>2589</v>
      </c>
      <c r="C1071" t="s">
        <v>2590</v>
      </c>
      <c r="D1071" t="s">
        <v>2591</v>
      </c>
      <c r="E1071" t="s">
        <v>1350</v>
      </c>
      <c r="F1071" s="253" t="s">
        <v>1254</v>
      </c>
    </row>
    <row r="1072" spans="1:6" x14ac:dyDescent="0.2">
      <c r="A1072" s="243" t="s">
        <v>1621</v>
      </c>
      <c r="B1072" t="s">
        <v>2592</v>
      </c>
      <c r="C1072" t="s">
        <v>2593</v>
      </c>
      <c r="D1072" t="s">
        <v>2594</v>
      </c>
      <c r="E1072" t="s">
        <v>1350</v>
      </c>
      <c r="F1072" s="253" t="s">
        <v>1254</v>
      </c>
    </row>
    <row r="1073" spans="1:6" x14ac:dyDescent="0.2">
      <c r="A1073" s="243" t="s">
        <v>1621</v>
      </c>
      <c r="B1073" t="s">
        <v>2595</v>
      </c>
      <c r="C1073" t="s">
        <v>2596</v>
      </c>
      <c r="D1073" t="s">
        <v>2597</v>
      </c>
      <c r="E1073" t="s">
        <v>1350</v>
      </c>
      <c r="F1073" s="253" t="s">
        <v>1254</v>
      </c>
    </row>
    <row r="1074" spans="1:6" x14ac:dyDescent="0.2">
      <c r="A1074" s="243" t="s">
        <v>1621</v>
      </c>
      <c r="B1074" t="s">
        <v>2598</v>
      </c>
      <c r="C1074" t="s">
        <v>2599</v>
      </c>
      <c r="D1074" t="s">
        <v>2600</v>
      </c>
      <c r="E1074" t="s">
        <v>1350</v>
      </c>
      <c r="F1074" s="253" t="s">
        <v>1254</v>
      </c>
    </row>
    <row r="1075" spans="1:6" x14ac:dyDescent="0.2">
      <c r="A1075" s="243" t="s">
        <v>1621</v>
      </c>
      <c r="B1075" t="s">
        <v>2601</v>
      </c>
      <c r="C1075" t="s">
        <v>2602</v>
      </c>
      <c r="D1075" t="s">
        <v>2603</v>
      </c>
      <c r="E1075" t="s">
        <v>1350</v>
      </c>
      <c r="F1075" s="253" t="s">
        <v>1254</v>
      </c>
    </row>
    <row r="1076" spans="1:6" x14ac:dyDescent="0.2">
      <c r="A1076" s="243" t="s">
        <v>1621</v>
      </c>
      <c r="B1076" t="s">
        <v>2604</v>
      </c>
      <c r="C1076" t="s">
        <v>2605</v>
      </c>
      <c r="D1076" t="s">
        <v>2606</v>
      </c>
      <c r="E1076" t="s">
        <v>1350</v>
      </c>
      <c r="F1076" s="253" t="s">
        <v>1254</v>
      </c>
    </row>
    <row r="1077" spans="1:6" x14ac:dyDescent="0.2">
      <c r="A1077" s="243" t="s">
        <v>1621</v>
      </c>
      <c r="B1077" t="s">
        <v>2607</v>
      </c>
      <c r="C1077" t="s">
        <v>2036</v>
      </c>
      <c r="D1077" t="s">
        <v>2037</v>
      </c>
      <c r="E1077" t="s">
        <v>1350</v>
      </c>
      <c r="F1077" s="253" t="s">
        <v>1254</v>
      </c>
    </row>
    <row r="1078" spans="1:6" x14ac:dyDescent="0.2">
      <c r="A1078" s="243" t="s">
        <v>1621</v>
      </c>
      <c r="B1078" t="s">
        <v>2608</v>
      </c>
      <c r="C1078" t="s">
        <v>2609</v>
      </c>
      <c r="D1078" t="s">
        <v>2610</v>
      </c>
      <c r="E1078" t="s">
        <v>1350</v>
      </c>
      <c r="F1078" s="253" t="s">
        <v>1254</v>
      </c>
    </row>
    <row r="1079" spans="1:6" x14ac:dyDescent="0.2">
      <c r="A1079" s="243" t="s">
        <v>1621</v>
      </c>
      <c r="B1079" t="s">
        <v>2611</v>
      </c>
      <c r="C1079" t="s">
        <v>2612</v>
      </c>
      <c r="D1079" t="s">
        <v>2613</v>
      </c>
      <c r="E1079" t="s">
        <v>1350</v>
      </c>
      <c r="F1079" s="253" t="s">
        <v>1254</v>
      </c>
    </row>
    <row r="1080" spans="1:6" x14ac:dyDescent="0.2">
      <c r="A1080" s="243" t="s">
        <v>1621</v>
      </c>
      <c r="B1080" t="s">
        <v>2614</v>
      </c>
      <c r="C1080" t="s">
        <v>2615</v>
      </c>
      <c r="D1080" t="s">
        <v>2616</v>
      </c>
      <c r="E1080" t="s">
        <v>1350</v>
      </c>
      <c r="F1080" s="253" t="s">
        <v>1254</v>
      </c>
    </row>
    <row r="1081" spans="1:6" x14ac:dyDescent="0.2">
      <c r="A1081" s="243" t="s">
        <v>1621</v>
      </c>
      <c r="B1081" t="s">
        <v>2617</v>
      </c>
      <c r="C1081" t="s">
        <v>2618</v>
      </c>
      <c r="D1081" t="s">
        <v>2619</v>
      </c>
      <c r="E1081" t="s">
        <v>1353</v>
      </c>
      <c r="F1081" s="253" t="s">
        <v>1254</v>
      </c>
    </row>
    <row r="1082" spans="1:6" x14ac:dyDescent="0.2">
      <c r="A1082" s="243" t="s">
        <v>1621</v>
      </c>
      <c r="B1082" t="s">
        <v>2620</v>
      </c>
      <c r="C1082" t="s">
        <v>2621</v>
      </c>
      <c r="D1082" t="s">
        <v>2622</v>
      </c>
      <c r="E1082" t="s">
        <v>1353</v>
      </c>
      <c r="F1082" s="253" t="s">
        <v>1254</v>
      </c>
    </row>
    <row r="1083" spans="1:6" x14ac:dyDescent="0.2">
      <c r="A1083" s="243" t="s">
        <v>1621</v>
      </c>
      <c r="B1083" t="s">
        <v>2623</v>
      </c>
      <c r="C1083" t="s">
        <v>2624</v>
      </c>
      <c r="D1083" t="s">
        <v>2625</v>
      </c>
      <c r="E1083" t="s">
        <v>1353</v>
      </c>
      <c r="F1083" s="253" t="s">
        <v>1254</v>
      </c>
    </row>
    <row r="1084" spans="1:6" x14ac:dyDescent="0.2">
      <c r="A1084" s="243" t="s">
        <v>1621</v>
      </c>
      <c r="B1084" t="s">
        <v>2626</v>
      </c>
      <c r="C1084" t="s">
        <v>2627</v>
      </c>
      <c r="D1084" t="s">
        <v>2628</v>
      </c>
      <c r="E1084" t="s">
        <v>1353</v>
      </c>
      <c r="F1084" s="253" t="s">
        <v>1254</v>
      </c>
    </row>
    <row r="1085" spans="1:6" x14ac:dyDescent="0.2">
      <c r="A1085" s="243" t="s">
        <v>1621</v>
      </c>
      <c r="B1085" t="s">
        <v>2629</v>
      </c>
      <c r="C1085" t="s">
        <v>2630</v>
      </c>
      <c r="D1085" t="s">
        <v>2631</v>
      </c>
      <c r="E1085" t="s">
        <v>1353</v>
      </c>
      <c r="F1085" s="253" t="s">
        <v>1254</v>
      </c>
    </row>
    <row r="1086" spans="1:6" x14ac:dyDescent="0.2">
      <c r="A1086" s="243" t="s">
        <v>1621</v>
      </c>
      <c r="B1086" t="s">
        <v>2632</v>
      </c>
      <c r="C1086" t="s">
        <v>2633</v>
      </c>
      <c r="D1086" t="s">
        <v>2634</v>
      </c>
      <c r="E1086" t="s">
        <v>1353</v>
      </c>
      <c r="F1086" s="253" t="s">
        <v>1254</v>
      </c>
    </row>
    <row r="1087" spans="1:6" x14ac:dyDescent="0.2">
      <c r="A1087" s="243" t="s">
        <v>1621</v>
      </c>
      <c r="B1087" t="s">
        <v>2635</v>
      </c>
      <c r="C1087" t="s">
        <v>2636</v>
      </c>
      <c r="D1087" t="s">
        <v>2637</v>
      </c>
      <c r="E1087" t="s">
        <v>1353</v>
      </c>
      <c r="F1087" s="253" t="s">
        <v>1254</v>
      </c>
    </row>
    <row r="1088" spans="1:6" x14ac:dyDescent="0.2">
      <c r="A1088" s="243" t="s">
        <v>1621</v>
      </c>
      <c r="B1088" t="s">
        <v>2638</v>
      </c>
      <c r="C1088" t="s">
        <v>2639</v>
      </c>
      <c r="D1088" t="s">
        <v>2640</v>
      </c>
      <c r="E1088" t="s">
        <v>1353</v>
      </c>
      <c r="F1088" s="253" t="s">
        <v>1254</v>
      </c>
    </row>
    <row r="1089" spans="1:6" x14ac:dyDescent="0.2">
      <c r="A1089" s="243" t="s">
        <v>1621</v>
      </c>
      <c r="B1089" t="s">
        <v>2641</v>
      </c>
      <c r="C1089" t="s">
        <v>2642</v>
      </c>
      <c r="D1089" t="s">
        <v>2643</v>
      </c>
      <c r="E1089" t="s">
        <v>1353</v>
      </c>
      <c r="F1089" s="253" t="s">
        <v>1254</v>
      </c>
    </row>
    <row r="1090" spans="1:6" x14ac:dyDescent="0.2">
      <c r="A1090" s="243" t="s">
        <v>1621</v>
      </c>
      <c r="B1090" t="s">
        <v>2644</v>
      </c>
      <c r="C1090" t="s">
        <v>2645</v>
      </c>
      <c r="D1090" t="s">
        <v>2646</v>
      </c>
      <c r="E1090" t="s">
        <v>1353</v>
      </c>
      <c r="F1090" s="253" t="s">
        <v>1254</v>
      </c>
    </row>
    <row r="1091" spans="1:6" x14ac:dyDescent="0.2">
      <c r="A1091" s="243" t="s">
        <v>1621</v>
      </c>
      <c r="B1091" t="s">
        <v>2647</v>
      </c>
      <c r="C1091" t="s">
        <v>2648</v>
      </c>
      <c r="D1091" t="s">
        <v>2649</v>
      </c>
      <c r="E1091" t="s">
        <v>1353</v>
      </c>
      <c r="F1091" s="253" t="s">
        <v>1254</v>
      </c>
    </row>
    <row r="1092" spans="1:6" x14ac:dyDescent="0.2">
      <c r="A1092" s="243" t="s">
        <v>1621</v>
      </c>
      <c r="B1092" t="s">
        <v>2650</v>
      </c>
      <c r="C1092" t="s">
        <v>2651</v>
      </c>
      <c r="D1092" t="s">
        <v>2652</v>
      </c>
      <c r="E1092" t="s">
        <v>1353</v>
      </c>
      <c r="F1092" s="253" t="s">
        <v>1254</v>
      </c>
    </row>
    <row r="1093" spans="1:6" x14ac:dyDescent="0.2">
      <c r="A1093" s="243" t="s">
        <v>1621</v>
      </c>
      <c r="B1093" t="s">
        <v>2653</v>
      </c>
      <c r="C1093" t="s">
        <v>2654</v>
      </c>
      <c r="D1093" t="s">
        <v>2655</v>
      </c>
      <c r="E1093" t="s">
        <v>1353</v>
      </c>
      <c r="F1093" s="253" t="s">
        <v>1254</v>
      </c>
    </row>
    <row r="1094" spans="1:6" x14ac:dyDescent="0.2">
      <c r="A1094" s="243" t="s">
        <v>1621</v>
      </c>
      <c r="B1094" t="s">
        <v>2656</v>
      </c>
      <c r="C1094" t="s">
        <v>2657</v>
      </c>
      <c r="D1094" t="s">
        <v>2658</v>
      </c>
      <c r="E1094" t="s">
        <v>1356</v>
      </c>
      <c r="F1094" s="253" t="s">
        <v>1254</v>
      </c>
    </row>
    <row r="1095" spans="1:6" x14ac:dyDescent="0.2">
      <c r="A1095" s="243" t="s">
        <v>1621</v>
      </c>
      <c r="B1095" t="s">
        <v>2659</v>
      </c>
      <c r="C1095" t="s">
        <v>2660</v>
      </c>
      <c r="D1095" t="s">
        <v>2661</v>
      </c>
      <c r="E1095" t="s">
        <v>1356</v>
      </c>
      <c r="F1095" s="253" t="s">
        <v>1254</v>
      </c>
    </row>
    <row r="1096" spans="1:6" x14ac:dyDescent="0.2">
      <c r="A1096" s="243" t="s">
        <v>1621</v>
      </c>
      <c r="B1096" t="s">
        <v>2662</v>
      </c>
      <c r="C1096" t="s">
        <v>2663</v>
      </c>
      <c r="D1096" t="s">
        <v>2664</v>
      </c>
      <c r="E1096" t="s">
        <v>1356</v>
      </c>
      <c r="F1096" s="253" t="s">
        <v>1254</v>
      </c>
    </row>
    <row r="1097" spans="1:6" x14ac:dyDescent="0.2">
      <c r="A1097" s="243" t="s">
        <v>1621</v>
      </c>
      <c r="B1097" t="s">
        <v>2665</v>
      </c>
      <c r="C1097" t="s">
        <v>2666</v>
      </c>
      <c r="D1097" t="s">
        <v>2667</v>
      </c>
      <c r="E1097" t="s">
        <v>1356</v>
      </c>
      <c r="F1097" s="253" t="s">
        <v>1254</v>
      </c>
    </row>
    <row r="1098" spans="1:6" x14ac:dyDescent="0.2">
      <c r="A1098" s="243" t="s">
        <v>1621</v>
      </c>
      <c r="B1098" t="s">
        <v>2668</v>
      </c>
      <c r="C1098" t="s">
        <v>2669</v>
      </c>
      <c r="D1098" t="s">
        <v>2670</v>
      </c>
      <c r="E1098" t="s">
        <v>1359</v>
      </c>
      <c r="F1098" s="253" t="s">
        <v>1254</v>
      </c>
    </row>
    <row r="1099" spans="1:6" x14ac:dyDescent="0.2">
      <c r="A1099" s="243" t="s">
        <v>1621</v>
      </c>
      <c r="B1099" t="s">
        <v>2671</v>
      </c>
      <c r="C1099" t="s">
        <v>2672</v>
      </c>
      <c r="D1099" t="s">
        <v>2673</v>
      </c>
      <c r="E1099" t="s">
        <v>1359</v>
      </c>
      <c r="F1099" s="253" t="s">
        <v>1254</v>
      </c>
    </row>
    <row r="1100" spans="1:6" x14ac:dyDescent="0.2">
      <c r="A1100" s="243" t="s">
        <v>1621</v>
      </c>
      <c r="B1100" t="s">
        <v>2674</v>
      </c>
      <c r="C1100" t="s">
        <v>2675</v>
      </c>
      <c r="D1100" t="s">
        <v>2676</v>
      </c>
      <c r="E1100" t="s">
        <v>1359</v>
      </c>
      <c r="F1100" s="253" t="s">
        <v>1254</v>
      </c>
    </row>
    <row r="1101" spans="1:6" x14ac:dyDescent="0.2">
      <c r="A1101" s="243" t="s">
        <v>1621</v>
      </c>
      <c r="B1101" t="s">
        <v>2677</v>
      </c>
      <c r="C1101" t="s">
        <v>1874</v>
      </c>
      <c r="D1101" t="s">
        <v>1875</v>
      </c>
      <c r="E1101" t="s">
        <v>1359</v>
      </c>
      <c r="F1101" s="253" t="s">
        <v>1254</v>
      </c>
    </row>
    <row r="1102" spans="1:6" x14ac:dyDescent="0.2">
      <c r="A1102" s="243" t="s">
        <v>1621</v>
      </c>
      <c r="B1102" t="s">
        <v>2678</v>
      </c>
      <c r="C1102" t="s">
        <v>2679</v>
      </c>
      <c r="D1102" t="s">
        <v>2680</v>
      </c>
      <c r="E1102" t="s">
        <v>1359</v>
      </c>
      <c r="F1102" s="253" t="s">
        <v>1254</v>
      </c>
    </row>
    <row r="1103" spans="1:6" x14ac:dyDescent="0.2">
      <c r="A1103" s="243" t="s">
        <v>1621</v>
      </c>
      <c r="B1103" t="s">
        <v>2681</v>
      </c>
      <c r="C1103" t="s">
        <v>2682</v>
      </c>
      <c r="D1103" t="s">
        <v>2683</v>
      </c>
      <c r="E1103" t="s">
        <v>1359</v>
      </c>
      <c r="F1103" s="253" t="s">
        <v>1254</v>
      </c>
    </row>
    <row r="1104" spans="1:6" x14ac:dyDescent="0.2">
      <c r="A1104" s="243" t="s">
        <v>1621</v>
      </c>
      <c r="B1104" t="s">
        <v>2684</v>
      </c>
      <c r="C1104" t="s">
        <v>2685</v>
      </c>
      <c r="D1104" t="s">
        <v>2686</v>
      </c>
      <c r="E1104" t="s">
        <v>1359</v>
      </c>
      <c r="F1104" s="253" t="s">
        <v>1254</v>
      </c>
    </row>
    <row r="1105" spans="1:6" x14ac:dyDescent="0.2">
      <c r="A1105" s="243" t="s">
        <v>1621</v>
      </c>
      <c r="B1105" t="s">
        <v>2687</v>
      </c>
      <c r="C1105" t="s">
        <v>2688</v>
      </c>
      <c r="D1105" t="s">
        <v>2689</v>
      </c>
      <c r="E1105" t="s">
        <v>1359</v>
      </c>
      <c r="F1105" s="253" t="s">
        <v>1254</v>
      </c>
    </row>
    <row r="1106" spans="1:6" x14ac:dyDescent="0.2">
      <c r="A1106" s="243" t="s">
        <v>1621</v>
      </c>
      <c r="B1106" t="s">
        <v>2690</v>
      </c>
      <c r="C1106" t="s">
        <v>2691</v>
      </c>
      <c r="D1106" t="s">
        <v>2692</v>
      </c>
      <c r="E1106" t="s">
        <v>1359</v>
      </c>
      <c r="F1106" s="253" t="s">
        <v>1254</v>
      </c>
    </row>
    <row r="1107" spans="1:6" x14ac:dyDescent="0.2">
      <c r="A1107" s="243" t="s">
        <v>1621</v>
      </c>
      <c r="B1107" t="s">
        <v>2693</v>
      </c>
      <c r="C1107" t="s">
        <v>2694</v>
      </c>
      <c r="D1107" t="s">
        <v>2695</v>
      </c>
      <c r="E1107" t="s">
        <v>1359</v>
      </c>
      <c r="F1107" s="253" t="s">
        <v>1254</v>
      </c>
    </row>
    <row r="1108" spans="1:6" x14ac:dyDescent="0.2">
      <c r="A1108" s="243" t="s">
        <v>1621</v>
      </c>
      <c r="B1108" t="s">
        <v>2696</v>
      </c>
      <c r="C1108" t="s">
        <v>2697</v>
      </c>
      <c r="D1108" t="s">
        <v>2698</v>
      </c>
      <c r="E1108" t="s">
        <v>1362</v>
      </c>
      <c r="F1108" s="253" t="s">
        <v>1254</v>
      </c>
    </row>
    <row r="1109" spans="1:6" x14ac:dyDescent="0.2">
      <c r="A1109" s="243" t="s">
        <v>1621</v>
      </c>
      <c r="B1109" t="s">
        <v>2699</v>
      </c>
      <c r="C1109" t="s">
        <v>2700</v>
      </c>
      <c r="D1109" t="s">
        <v>2701</v>
      </c>
      <c r="E1109" t="s">
        <v>1362</v>
      </c>
      <c r="F1109" s="253" t="s">
        <v>1254</v>
      </c>
    </row>
    <row r="1110" spans="1:6" x14ac:dyDescent="0.2">
      <c r="A1110" s="243" t="s">
        <v>1621</v>
      </c>
      <c r="B1110" t="s">
        <v>2702</v>
      </c>
      <c r="C1110" t="s">
        <v>2703</v>
      </c>
      <c r="D1110" t="s">
        <v>2704</v>
      </c>
      <c r="E1110" t="s">
        <v>1362</v>
      </c>
      <c r="F1110" s="253" t="s">
        <v>1254</v>
      </c>
    </row>
    <row r="1111" spans="1:6" x14ac:dyDescent="0.2">
      <c r="A1111" s="243" t="s">
        <v>1621</v>
      </c>
      <c r="B1111" t="s">
        <v>2705</v>
      </c>
      <c r="C1111" t="s">
        <v>2706</v>
      </c>
      <c r="D1111" t="s">
        <v>2707</v>
      </c>
      <c r="E1111" t="s">
        <v>1362</v>
      </c>
      <c r="F1111" s="253" t="s">
        <v>1254</v>
      </c>
    </row>
    <row r="1112" spans="1:6" x14ac:dyDescent="0.2">
      <c r="A1112" s="243" t="s">
        <v>1621</v>
      </c>
      <c r="B1112" t="s">
        <v>2708</v>
      </c>
      <c r="C1112" t="s">
        <v>2709</v>
      </c>
      <c r="D1112" t="s">
        <v>2710</v>
      </c>
      <c r="E1112" t="s">
        <v>1362</v>
      </c>
      <c r="F1112" s="253" t="s">
        <v>1254</v>
      </c>
    </row>
    <row r="1113" spans="1:6" x14ac:dyDescent="0.2">
      <c r="A1113" s="243" t="s">
        <v>1621</v>
      </c>
      <c r="B1113" t="s">
        <v>2711</v>
      </c>
      <c r="C1113" t="s">
        <v>2712</v>
      </c>
      <c r="D1113" t="s">
        <v>2713</v>
      </c>
      <c r="E1113" t="s">
        <v>1362</v>
      </c>
      <c r="F1113" s="253" t="s">
        <v>1254</v>
      </c>
    </row>
    <row r="1114" spans="1:6" x14ac:dyDescent="0.2">
      <c r="A1114" s="243" t="s">
        <v>1621</v>
      </c>
      <c r="B1114" t="s">
        <v>2714</v>
      </c>
      <c r="C1114" t="s">
        <v>2715</v>
      </c>
      <c r="D1114" t="s">
        <v>2716</v>
      </c>
      <c r="E1114" t="s">
        <v>1362</v>
      </c>
      <c r="F1114" s="253" t="s">
        <v>1254</v>
      </c>
    </row>
    <row r="1115" spans="1:6" x14ac:dyDescent="0.2">
      <c r="A1115" s="243" t="s">
        <v>1621</v>
      </c>
      <c r="B1115" t="s">
        <v>2717</v>
      </c>
      <c r="C1115" t="s">
        <v>2718</v>
      </c>
      <c r="D1115" t="s">
        <v>2719</v>
      </c>
      <c r="E1115" t="s">
        <v>1362</v>
      </c>
      <c r="F1115" s="253" t="s">
        <v>1254</v>
      </c>
    </row>
    <row r="1116" spans="1:6" x14ac:dyDescent="0.2">
      <c r="A1116" s="243" t="s">
        <v>1621</v>
      </c>
      <c r="B1116" t="s">
        <v>2720</v>
      </c>
      <c r="C1116" t="s">
        <v>2721</v>
      </c>
      <c r="D1116" t="s">
        <v>2722</v>
      </c>
      <c r="E1116" t="s">
        <v>1362</v>
      </c>
      <c r="F1116" s="253" t="s">
        <v>1254</v>
      </c>
    </row>
    <row r="1117" spans="1:6" x14ac:dyDescent="0.2">
      <c r="A1117" s="243" t="s">
        <v>1621</v>
      </c>
      <c r="B1117" t="s">
        <v>2723</v>
      </c>
      <c r="C1117" t="s">
        <v>2724</v>
      </c>
      <c r="D1117" t="s">
        <v>2725</v>
      </c>
      <c r="E1117" t="s">
        <v>1362</v>
      </c>
      <c r="F1117" s="253" t="s">
        <v>1254</v>
      </c>
    </row>
    <row r="1118" spans="1:6" x14ac:dyDescent="0.2">
      <c r="A1118" s="243" t="s">
        <v>1621</v>
      </c>
      <c r="B1118" t="s">
        <v>2726</v>
      </c>
      <c r="C1118" t="s">
        <v>2727</v>
      </c>
      <c r="D1118" t="s">
        <v>2728</v>
      </c>
      <c r="E1118" t="s">
        <v>1362</v>
      </c>
      <c r="F1118" s="253" t="s">
        <v>1254</v>
      </c>
    </row>
    <row r="1119" spans="1:6" x14ac:dyDescent="0.2">
      <c r="A1119" s="243" t="s">
        <v>1621</v>
      </c>
      <c r="B1119" t="s">
        <v>2729</v>
      </c>
      <c r="C1119" t="s">
        <v>2730</v>
      </c>
      <c r="D1119" t="s">
        <v>2731</v>
      </c>
      <c r="E1119" t="s">
        <v>1362</v>
      </c>
      <c r="F1119" s="253" t="s">
        <v>1254</v>
      </c>
    </row>
    <row r="1120" spans="1:6" x14ac:dyDescent="0.2">
      <c r="A1120" s="243" t="s">
        <v>1621</v>
      </c>
      <c r="B1120" t="s">
        <v>2732</v>
      </c>
      <c r="C1120" t="s">
        <v>2733</v>
      </c>
      <c r="D1120" t="s">
        <v>2734</v>
      </c>
      <c r="E1120" t="s">
        <v>1362</v>
      </c>
      <c r="F1120" s="253" t="s">
        <v>1254</v>
      </c>
    </row>
    <row r="1121" spans="1:6" x14ac:dyDescent="0.2">
      <c r="A1121" s="243" t="s">
        <v>1621</v>
      </c>
      <c r="B1121" t="s">
        <v>2735</v>
      </c>
      <c r="C1121" t="s">
        <v>2736</v>
      </c>
      <c r="D1121" t="s">
        <v>2737</v>
      </c>
      <c r="E1121" t="s">
        <v>1362</v>
      </c>
      <c r="F1121" s="253" t="s">
        <v>1254</v>
      </c>
    </row>
    <row r="1122" spans="1:6" x14ac:dyDescent="0.2">
      <c r="A1122" s="243" t="s">
        <v>1621</v>
      </c>
      <c r="B1122" t="s">
        <v>2738</v>
      </c>
      <c r="C1122" t="s">
        <v>2739</v>
      </c>
      <c r="D1122" t="s">
        <v>2740</v>
      </c>
      <c r="E1122" t="s">
        <v>1365</v>
      </c>
      <c r="F1122" s="253" t="s">
        <v>1254</v>
      </c>
    </row>
    <row r="1123" spans="1:6" x14ac:dyDescent="0.2">
      <c r="A1123" s="243" t="s">
        <v>1621</v>
      </c>
      <c r="B1123" t="s">
        <v>2741</v>
      </c>
      <c r="C1123" t="s">
        <v>2742</v>
      </c>
      <c r="D1123" t="s">
        <v>2743</v>
      </c>
      <c r="E1123" t="s">
        <v>1365</v>
      </c>
      <c r="F1123" s="253" t="s">
        <v>1254</v>
      </c>
    </row>
    <row r="1124" spans="1:6" x14ac:dyDescent="0.2">
      <c r="A1124" s="243" t="s">
        <v>1621</v>
      </c>
      <c r="B1124" t="s">
        <v>2744</v>
      </c>
      <c r="C1124" t="s">
        <v>2745</v>
      </c>
      <c r="D1124" t="s">
        <v>2746</v>
      </c>
      <c r="E1124" t="s">
        <v>1365</v>
      </c>
      <c r="F1124" s="253" t="s">
        <v>1254</v>
      </c>
    </row>
    <row r="1125" spans="1:6" x14ac:dyDescent="0.2">
      <c r="A1125" s="243" t="s">
        <v>1621</v>
      </c>
      <c r="B1125" t="s">
        <v>2747</v>
      </c>
      <c r="C1125" t="s">
        <v>2748</v>
      </c>
      <c r="D1125" t="s">
        <v>2749</v>
      </c>
      <c r="E1125" t="s">
        <v>1365</v>
      </c>
      <c r="F1125" s="253" t="s">
        <v>1254</v>
      </c>
    </row>
    <row r="1126" spans="1:6" x14ac:dyDescent="0.2">
      <c r="A1126" s="243" t="s">
        <v>1621</v>
      </c>
      <c r="B1126" t="s">
        <v>2750</v>
      </c>
      <c r="C1126" t="s">
        <v>2751</v>
      </c>
      <c r="D1126" t="s">
        <v>2752</v>
      </c>
      <c r="E1126" t="s">
        <v>1365</v>
      </c>
      <c r="F1126" s="253" t="s">
        <v>1254</v>
      </c>
    </row>
    <row r="1127" spans="1:6" x14ac:dyDescent="0.2">
      <c r="A1127" s="243" t="s">
        <v>1621</v>
      </c>
      <c r="B1127" t="s">
        <v>2753</v>
      </c>
      <c r="C1127" t="s">
        <v>2754</v>
      </c>
      <c r="D1127" t="s">
        <v>2755</v>
      </c>
      <c r="E1127" t="s">
        <v>1365</v>
      </c>
      <c r="F1127" s="253" t="s">
        <v>1254</v>
      </c>
    </row>
    <row r="1128" spans="1:6" x14ac:dyDescent="0.2">
      <c r="A1128" s="243" t="s">
        <v>1621</v>
      </c>
      <c r="B1128" t="s">
        <v>2756</v>
      </c>
      <c r="C1128" t="s">
        <v>2757</v>
      </c>
      <c r="D1128" t="s">
        <v>2758</v>
      </c>
      <c r="E1128" t="s">
        <v>1365</v>
      </c>
      <c r="F1128" s="253" t="s">
        <v>1254</v>
      </c>
    </row>
    <row r="1129" spans="1:6" x14ac:dyDescent="0.2">
      <c r="A1129" s="243" t="s">
        <v>1621</v>
      </c>
      <c r="B1129" t="s">
        <v>2759</v>
      </c>
      <c r="C1129" t="s">
        <v>2760</v>
      </c>
      <c r="D1129" t="s">
        <v>2761</v>
      </c>
      <c r="E1129" t="s">
        <v>1365</v>
      </c>
      <c r="F1129" s="253" t="s">
        <v>1254</v>
      </c>
    </row>
    <row r="1130" spans="1:6" x14ac:dyDescent="0.2">
      <c r="A1130" s="243" t="s">
        <v>1621</v>
      </c>
      <c r="B1130" t="s">
        <v>2762</v>
      </c>
      <c r="C1130" t="s">
        <v>2763</v>
      </c>
      <c r="D1130" t="s">
        <v>2764</v>
      </c>
      <c r="E1130" t="s">
        <v>1365</v>
      </c>
      <c r="F1130" s="253" t="s">
        <v>1254</v>
      </c>
    </row>
    <row r="1131" spans="1:6" x14ac:dyDescent="0.2">
      <c r="A1131" s="243" t="s">
        <v>1621</v>
      </c>
      <c r="B1131" t="s">
        <v>2765</v>
      </c>
      <c r="C1131" t="s">
        <v>2766</v>
      </c>
      <c r="D1131" t="s">
        <v>2767</v>
      </c>
      <c r="E1131" t="s">
        <v>1365</v>
      </c>
      <c r="F1131" s="253" t="s">
        <v>1254</v>
      </c>
    </row>
    <row r="1132" spans="1:6" x14ac:dyDescent="0.2">
      <c r="A1132" s="243" t="s">
        <v>1621</v>
      </c>
      <c r="B1132" t="s">
        <v>2768</v>
      </c>
      <c r="C1132" t="s">
        <v>2769</v>
      </c>
      <c r="D1132" t="s">
        <v>2770</v>
      </c>
      <c r="E1132" t="s">
        <v>1365</v>
      </c>
      <c r="F1132" s="253" t="s">
        <v>1254</v>
      </c>
    </row>
    <row r="1133" spans="1:6" x14ac:dyDescent="0.2">
      <c r="A1133" s="243" t="s">
        <v>1621</v>
      </c>
      <c r="B1133" t="s">
        <v>2771</v>
      </c>
      <c r="C1133" t="s">
        <v>2772</v>
      </c>
      <c r="D1133" t="s">
        <v>2773</v>
      </c>
      <c r="E1133" t="s">
        <v>1365</v>
      </c>
      <c r="F1133" s="253" t="s">
        <v>1254</v>
      </c>
    </row>
    <row r="1134" spans="1:6" x14ac:dyDescent="0.2">
      <c r="A1134" s="243" t="s">
        <v>1621</v>
      </c>
      <c r="B1134" t="s">
        <v>2774</v>
      </c>
      <c r="C1134" t="s">
        <v>2775</v>
      </c>
      <c r="D1134" t="s">
        <v>2776</v>
      </c>
      <c r="E1134" t="s">
        <v>1365</v>
      </c>
      <c r="F1134" s="253" t="s">
        <v>1254</v>
      </c>
    </row>
    <row r="1135" spans="1:6" x14ac:dyDescent="0.2">
      <c r="A1135" s="243" t="s">
        <v>1621</v>
      </c>
      <c r="B1135" t="s">
        <v>2777</v>
      </c>
      <c r="C1135" t="s">
        <v>2778</v>
      </c>
      <c r="D1135" t="s">
        <v>2779</v>
      </c>
      <c r="E1135" t="s">
        <v>1368</v>
      </c>
      <c r="F1135" s="253" t="s">
        <v>1257</v>
      </c>
    </row>
    <row r="1136" spans="1:6" x14ac:dyDescent="0.2">
      <c r="A1136" s="243" t="s">
        <v>1621</v>
      </c>
      <c r="B1136" t="s">
        <v>2780</v>
      </c>
      <c r="C1136" t="s">
        <v>2313</v>
      </c>
      <c r="D1136" t="s">
        <v>2314</v>
      </c>
      <c r="E1136" t="s">
        <v>1368</v>
      </c>
      <c r="F1136" s="253" t="s">
        <v>1257</v>
      </c>
    </row>
    <row r="1137" spans="1:6" x14ac:dyDescent="0.2">
      <c r="A1137" s="243" t="s">
        <v>1621</v>
      </c>
      <c r="B1137" t="s">
        <v>2781</v>
      </c>
      <c r="C1137" t="s">
        <v>2782</v>
      </c>
      <c r="D1137" t="s">
        <v>2783</v>
      </c>
      <c r="E1137" t="s">
        <v>1368</v>
      </c>
      <c r="F1137" s="253" t="s">
        <v>1257</v>
      </c>
    </row>
    <row r="1138" spans="1:6" x14ac:dyDescent="0.2">
      <c r="A1138" s="243" t="s">
        <v>1621</v>
      </c>
      <c r="B1138" t="s">
        <v>2784</v>
      </c>
      <c r="C1138" t="s">
        <v>2785</v>
      </c>
      <c r="D1138" t="s">
        <v>2786</v>
      </c>
      <c r="E1138" t="s">
        <v>1368</v>
      </c>
      <c r="F1138" s="253" t="s">
        <v>1257</v>
      </c>
    </row>
    <row r="1139" spans="1:6" x14ac:dyDescent="0.2">
      <c r="A1139" s="243" t="s">
        <v>1621</v>
      </c>
      <c r="B1139" t="s">
        <v>2787</v>
      </c>
      <c r="C1139" t="s">
        <v>2788</v>
      </c>
      <c r="D1139" t="s">
        <v>2789</v>
      </c>
      <c r="E1139" t="s">
        <v>1368</v>
      </c>
      <c r="F1139" s="253" t="s">
        <v>1257</v>
      </c>
    </row>
    <row r="1140" spans="1:6" x14ac:dyDescent="0.2">
      <c r="A1140" s="243" t="s">
        <v>1621</v>
      </c>
      <c r="B1140" t="s">
        <v>2790</v>
      </c>
      <c r="C1140" t="s">
        <v>2791</v>
      </c>
      <c r="D1140" t="s">
        <v>2792</v>
      </c>
      <c r="E1140" t="s">
        <v>1368</v>
      </c>
      <c r="F1140" s="253" t="s">
        <v>1257</v>
      </c>
    </row>
    <row r="1141" spans="1:6" x14ac:dyDescent="0.2">
      <c r="A1141" s="243" t="s">
        <v>1621</v>
      </c>
      <c r="B1141" t="s">
        <v>2793</v>
      </c>
      <c r="C1141" t="s">
        <v>2794</v>
      </c>
      <c r="D1141" t="s">
        <v>2795</v>
      </c>
      <c r="E1141" t="s">
        <v>1368</v>
      </c>
      <c r="F1141" s="253" t="s">
        <v>1257</v>
      </c>
    </row>
    <row r="1142" spans="1:6" x14ac:dyDescent="0.2">
      <c r="A1142" s="243" t="s">
        <v>1621</v>
      </c>
      <c r="B1142" t="s">
        <v>2796</v>
      </c>
      <c r="C1142" t="s">
        <v>1194</v>
      </c>
      <c r="D1142" t="s">
        <v>1195</v>
      </c>
      <c r="E1142" t="s">
        <v>1368</v>
      </c>
      <c r="F1142" s="253" t="s">
        <v>1257</v>
      </c>
    </row>
    <row r="1143" spans="1:6" x14ac:dyDescent="0.2">
      <c r="A1143" s="243" t="s">
        <v>1621</v>
      </c>
      <c r="B1143" t="s">
        <v>2797</v>
      </c>
      <c r="C1143" t="s">
        <v>2798</v>
      </c>
      <c r="D1143" t="s">
        <v>2799</v>
      </c>
      <c r="E1143" t="s">
        <v>1371</v>
      </c>
      <c r="F1143" s="253" t="s">
        <v>1257</v>
      </c>
    </row>
    <row r="1144" spans="1:6" x14ac:dyDescent="0.2">
      <c r="A1144" s="243" t="s">
        <v>1621</v>
      </c>
      <c r="B1144" t="s">
        <v>2800</v>
      </c>
      <c r="C1144" t="s">
        <v>2801</v>
      </c>
      <c r="D1144" t="s">
        <v>2802</v>
      </c>
      <c r="E1144" t="s">
        <v>1371</v>
      </c>
      <c r="F1144" s="253" t="s">
        <v>1257</v>
      </c>
    </row>
    <row r="1145" spans="1:6" x14ac:dyDescent="0.2">
      <c r="A1145" s="243" t="s">
        <v>1621</v>
      </c>
      <c r="B1145" t="s">
        <v>2803</v>
      </c>
      <c r="C1145" t="s">
        <v>2804</v>
      </c>
      <c r="D1145" t="s">
        <v>2805</v>
      </c>
      <c r="E1145" t="s">
        <v>1371</v>
      </c>
      <c r="F1145" s="253" t="s">
        <v>1257</v>
      </c>
    </row>
    <row r="1146" spans="1:6" x14ac:dyDescent="0.2">
      <c r="A1146" s="243" t="s">
        <v>1621</v>
      </c>
      <c r="B1146" t="s">
        <v>2806</v>
      </c>
      <c r="C1146" t="s">
        <v>2807</v>
      </c>
      <c r="D1146" t="s">
        <v>2808</v>
      </c>
      <c r="E1146" t="s">
        <v>1371</v>
      </c>
      <c r="F1146" s="253" t="s">
        <v>1257</v>
      </c>
    </row>
    <row r="1147" spans="1:6" x14ac:dyDescent="0.2">
      <c r="A1147" s="243" t="s">
        <v>1621</v>
      </c>
      <c r="B1147" t="s">
        <v>2809</v>
      </c>
      <c r="C1147" t="s">
        <v>2810</v>
      </c>
      <c r="D1147" t="s">
        <v>2811</v>
      </c>
      <c r="E1147" t="s">
        <v>1371</v>
      </c>
      <c r="F1147" s="253" t="s">
        <v>1257</v>
      </c>
    </row>
    <row r="1148" spans="1:6" x14ac:dyDescent="0.2">
      <c r="A1148" s="243" t="s">
        <v>1621</v>
      </c>
      <c r="B1148" t="s">
        <v>2812</v>
      </c>
      <c r="C1148" t="s">
        <v>2813</v>
      </c>
      <c r="D1148" t="s">
        <v>2814</v>
      </c>
      <c r="E1148" t="s">
        <v>1371</v>
      </c>
      <c r="F1148" s="253" t="s">
        <v>1257</v>
      </c>
    </row>
    <row r="1149" spans="1:6" x14ac:dyDescent="0.2">
      <c r="A1149" s="243" t="s">
        <v>1621</v>
      </c>
      <c r="B1149" t="s">
        <v>2815</v>
      </c>
      <c r="C1149" t="s">
        <v>2816</v>
      </c>
      <c r="D1149" t="s">
        <v>2817</v>
      </c>
      <c r="E1149" t="s">
        <v>1371</v>
      </c>
      <c r="F1149" s="253" t="s">
        <v>1257</v>
      </c>
    </row>
    <row r="1150" spans="1:6" x14ac:dyDescent="0.2">
      <c r="A1150" s="243" t="s">
        <v>1621</v>
      </c>
      <c r="B1150" t="s">
        <v>2818</v>
      </c>
      <c r="C1150" t="s">
        <v>2819</v>
      </c>
      <c r="D1150" t="s">
        <v>2820</v>
      </c>
      <c r="E1150" t="s">
        <v>1371</v>
      </c>
      <c r="F1150" s="253" t="s">
        <v>1257</v>
      </c>
    </row>
    <row r="1151" spans="1:6" x14ac:dyDescent="0.2">
      <c r="A1151" s="243" t="s">
        <v>1621</v>
      </c>
      <c r="B1151" t="s">
        <v>2821</v>
      </c>
      <c r="C1151" t="s">
        <v>2822</v>
      </c>
      <c r="D1151" t="s">
        <v>2823</v>
      </c>
      <c r="E1151" t="s">
        <v>1371</v>
      </c>
      <c r="F1151" s="253" t="s">
        <v>1257</v>
      </c>
    </row>
    <row r="1152" spans="1:6" x14ac:dyDescent="0.2">
      <c r="A1152" s="243" t="s">
        <v>1621</v>
      </c>
      <c r="B1152" t="s">
        <v>2824</v>
      </c>
      <c r="C1152" t="s">
        <v>2825</v>
      </c>
      <c r="D1152" t="s">
        <v>2826</v>
      </c>
      <c r="E1152" t="s">
        <v>1371</v>
      </c>
      <c r="F1152" s="253" t="s">
        <v>1257</v>
      </c>
    </row>
    <row r="1153" spans="1:6" x14ac:dyDescent="0.2">
      <c r="A1153" s="243" t="s">
        <v>1621</v>
      </c>
      <c r="B1153" t="s">
        <v>2827</v>
      </c>
      <c r="C1153" t="s">
        <v>2828</v>
      </c>
      <c r="D1153" t="s">
        <v>2829</v>
      </c>
      <c r="E1153" t="s">
        <v>1371</v>
      </c>
      <c r="F1153" s="253" t="s">
        <v>1257</v>
      </c>
    </row>
    <row r="1154" spans="1:6" x14ac:dyDescent="0.2">
      <c r="A1154" s="243" t="s">
        <v>1621</v>
      </c>
      <c r="B1154" t="s">
        <v>2830</v>
      </c>
      <c r="C1154" t="s">
        <v>2831</v>
      </c>
      <c r="D1154" t="s">
        <v>2832</v>
      </c>
      <c r="E1154" t="s">
        <v>1374</v>
      </c>
      <c r="F1154" s="253" t="s">
        <v>1257</v>
      </c>
    </row>
    <row r="1155" spans="1:6" x14ac:dyDescent="0.2">
      <c r="A1155" s="243" t="s">
        <v>1621</v>
      </c>
      <c r="B1155" t="s">
        <v>2833</v>
      </c>
      <c r="C1155" t="s">
        <v>2834</v>
      </c>
      <c r="D1155" t="s">
        <v>2835</v>
      </c>
      <c r="E1155" t="s">
        <v>1374</v>
      </c>
      <c r="F1155" s="253" t="s">
        <v>1257</v>
      </c>
    </row>
    <row r="1156" spans="1:6" x14ac:dyDescent="0.2">
      <c r="A1156" s="243" t="s">
        <v>1621</v>
      </c>
      <c r="B1156" t="s">
        <v>2836</v>
      </c>
      <c r="C1156" t="s">
        <v>2837</v>
      </c>
      <c r="D1156" t="s">
        <v>2838</v>
      </c>
      <c r="E1156" t="s">
        <v>1374</v>
      </c>
      <c r="F1156" s="253" t="s">
        <v>1257</v>
      </c>
    </row>
    <row r="1157" spans="1:6" x14ac:dyDescent="0.2">
      <c r="A1157" s="243" t="s">
        <v>1621</v>
      </c>
      <c r="B1157" t="s">
        <v>2839</v>
      </c>
      <c r="C1157" t="s">
        <v>1257</v>
      </c>
      <c r="D1157" t="s">
        <v>1258</v>
      </c>
      <c r="E1157" t="s">
        <v>1374</v>
      </c>
      <c r="F1157" s="253" t="s">
        <v>1257</v>
      </c>
    </row>
    <row r="1158" spans="1:6" x14ac:dyDescent="0.2">
      <c r="A1158" s="243" t="s">
        <v>1621</v>
      </c>
      <c r="B1158" t="s">
        <v>2840</v>
      </c>
      <c r="C1158" t="s">
        <v>2841</v>
      </c>
      <c r="D1158" t="s">
        <v>2842</v>
      </c>
      <c r="E1158" t="s">
        <v>1374</v>
      </c>
      <c r="F1158" s="253" t="s">
        <v>1257</v>
      </c>
    </row>
    <row r="1159" spans="1:6" x14ac:dyDescent="0.2">
      <c r="A1159" s="243" t="s">
        <v>1621</v>
      </c>
      <c r="B1159" t="s">
        <v>2843</v>
      </c>
      <c r="C1159" t="s">
        <v>2844</v>
      </c>
      <c r="D1159" t="s">
        <v>2845</v>
      </c>
      <c r="E1159" t="s">
        <v>1374</v>
      </c>
      <c r="F1159" s="253" t="s">
        <v>1257</v>
      </c>
    </row>
    <row r="1160" spans="1:6" x14ac:dyDescent="0.2">
      <c r="A1160" s="243" t="s">
        <v>1621</v>
      </c>
      <c r="B1160" t="s">
        <v>2846</v>
      </c>
      <c r="C1160" t="s">
        <v>2847</v>
      </c>
      <c r="D1160" t="s">
        <v>2848</v>
      </c>
      <c r="E1160" t="s">
        <v>1374</v>
      </c>
      <c r="F1160" s="253" t="s">
        <v>1257</v>
      </c>
    </row>
    <row r="1161" spans="1:6" x14ac:dyDescent="0.2">
      <c r="A1161" s="243" t="s">
        <v>1621</v>
      </c>
      <c r="B1161" t="s">
        <v>2849</v>
      </c>
      <c r="C1161" t="s">
        <v>2822</v>
      </c>
      <c r="D1161" t="s">
        <v>2823</v>
      </c>
      <c r="E1161" t="s">
        <v>1374</v>
      </c>
      <c r="F1161" s="253" t="s">
        <v>1257</v>
      </c>
    </row>
    <row r="1162" spans="1:6" x14ac:dyDescent="0.2">
      <c r="A1162" s="243" t="s">
        <v>1621</v>
      </c>
      <c r="B1162" t="s">
        <v>2850</v>
      </c>
      <c r="C1162" t="s">
        <v>2851</v>
      </c>
      <c r="D1162" t="s">
        <v>2852</v>
      </c>
      <c r="E1162" t="s">
        <v>1374</v>
      </c>
      <c r="F1162" s="253" t="s">
        <v>1257</v>
      </c>
    </row>
    <row r="1163" spans="1:6" x14ac:dyDescent="0.2">
      <c r="A1163" s="243" t="s">
        <v>1621</v>
      </c>
      <c r="B1163" t="s">
        <v>2853</v>
      </c>
      <c r="C1163" t="s">
        <v>2854</v>
      </c>
      <c r="D1163" t="s">
        <v>2855</v>
      </c>
      <c r="E1163" t="s">
        <v>1374</v>
      </c>
      <c r="F1163" s="253" t="s">
        <v>1257</v>
      </c>
    </row>
    <row r="1164" spans="1:6" x14ac:dyDescent="0.2">
      <c r="A1164" s="243" t="s">
        <v>1621</v>
      </c>
      <c r="B1164" t="s">
        <v>2856</v>
      </c>
      <c r="C1164" t="s">
        <v>1984</v>
      </c>
      <c r="D1164" t="s">
        <v>1985</v>
      </c>
      <c r="E1164" t="s">
        <v>1374</v>
      </c>
      <c r="F1164" s="253" t="s">
        <v>1257</v>
      </c>
    </row>
    <row r="1165" spans="1:6" x14ac:dyDescent="0.2">
      <c r="A1165" s="243" t="s">
        <v>1621</v>
      </c>
      <c r="B1165" t="s">
        <v>2857</v>
      </c>
      <c r="C1165" t="s">
        <v>1832</v>
      </c>
      <c r="D1165" t="s">
        <v>1833</v>
      </c>
      <c r="E1165" t="s">
        <v>1374</v>
      </c>
      <c r="F1165" s="253" t="s">
        <v>1257</v>
      </c>
    </row>
    <row r="1166" spans="1:6" x14ac:dyDescent="0.2">
      <c r="A1166" s="243" t="s">
        <v>1621</v>
      </c>
      <c r="B1166" t="s">
        <v>2858</v>
      </c>
      <c r="C1166" t="s">
        <v>2859</v>
      </c>
      <c r="D1166" t="s">
        <v>2860</v>
      </c>
      <c r="E1166" t="s">
        <v>1374</v>
      </c>
      <c r="F1166" s="253" t="s">
        <v>1257</v>
      </c>
    </row>
    <row r="1167" spans="1:6" x14ac:dyDescent="0.2">
      <c r="A1167" s="243" t="s">
        <v>1621</v>
      </c>
      <c r="B1167" t="s">
        <v>2861</v>
      </c>
      <c r="C1167" t="s">
        <v>2862</v>
      </c>
      <c r="D1167" t="s">
        <v>2863</v>
      </c>
      <c r="E1167" t="s">
        <v>1374</v>
      </c>
      <c r="F1167" s="253" t="s">
        <v>1257</v>
      </c>
    </row>
    <row r="1168" spans="1:6" x14ac:dyDescent="0.2">
      <c r="A1168" s="243" t="s">
        <v>1621</v>
      </c>
      <c r="B1168" t="s">
        <v>2864</v>
      </c>
      <c r="C1168" t="s">
        <v>2865</v>
      </c>
      <c r="D1168" t="s">
        <v>2866</v>
      </c>
      <c r="E1168" t="s">
        <v>1374</v>
      </c>
      <c r="F1168" s="253" t="s">
        <v>1257</v>
      </c>
    </row>
    <row r="1169" spans="1:6" x14ac:dyDescent="0.2">
      <c r="A1169" s="243" t="s">
        <v>1621</v>
      </c>
      <c r="B1169" t="s">
        <v>2867</v>
      </c>
      <c r="C1169" t="s">
        <v>2868</v>
      </c>
      <c r="D1169" t="s">
        <v>2869</v>
      </c>
      <c r="E1169" t="s">
        <v>1374</v>
      </c>
      <c r="F1169" s="253" t="s">
        <v>1257</v>
      </c>
    </row>
    <row r="1170" spans="1:6" x14ac:dyDescent="0.2">
      <c r="A1170" s="243" t="s">
        <v>1621</v>
      </c>
      <c r="B1170" t="s">
        <v>2870</v>
      </c>
      <c r="C1170" t="s">
        <v>2093</v>
      </c>
      <c r="D1170" t="s">
        <v>2094</v>
      </c>
      <c r="E1170" t="s">
        <v>1374</v>
      </c>
      <c r="F1170" s="253" t="s">
        <v>1257</v>
      </c>
    </row>
    <row r="1171" spans="1:6" x14ac:dyDescent="0.2">
      <c r="A1171" s="243" t="s">
        <v>1621</v>
      </c>
      <c r="B1171" t="s">
        <v>2871</v>
      </c>
      <c r="C1171" t="s">
        <v>2872</v>
      </c>
      <c r="D1171" t="s">
        <v>2873</v>
      </c>
      <c r="E1171" t="s">
        <v>1377</v>
      </c>
      <c r="F1171" s="253" t="s">
        <v>1257</v>
      </c>
    </row>
    <row r="1172" spans="1:6" x14ac:dyDescent="0.2">
      <c r="A1172" s="243" t="s">
        <v>1621</v>
      </c>
      <c r="B1172" t="s">
        <v>2874</v>
      </c>
      <c r="C1172" t="s">
        <v>2875</v>
      </c>
      <c r="D1172" t="s">
        <v>2876</v>
      </c>
      <c r="E1172" t="s">
        <v>1377</v>
      </c>
      <c r="F1172" s="253" t="s">
        <v>1257</v>
      </c>
    </row>
    <row r="1173" spans="1:6" x14ac:dyDescent="0.2">
      <c r="A1173" s="243" t="s">
        <v>1621</v>
      </c>
      <c r="B1173" t="s">
        <v>2877</v>
      </c>
      <c r="C1173" t="s">
        <v>2322</v>
      </c>
      <c r="D1173" t="s">
        <v>2323</v>
      </c>
      <c r="E1173" t="s">
        <v>1377</v>
      </c>
      <c r="F1173" s="253" t="s">
        <v>1257</v>
      </c>
    </row>
    <row r="1174" spans="1:6" x14ac:dyDescent="0.2">
      <c r="A1174" s="243" t="s">
        <v>1621</v>
      </c>
      <c r="B1174" t="s">
        <v>2878</v>
      </c>
      <c r="C1174" t="s">
        <v>2879</v>
      </c>
      <c r="D1174" t="s">
        <v>2880</v>
      </c>
      <c r="E1174" t="s">
        <v>1377</v>
      </c>
      <c r="F1174" s="253" t="s">
        <v>1257</v>
      </c>
    </row>
    <row r="1175" spans="1:6" x14ac:dyDescent="0.2">
      <c r="A1175" s="243" t="s">
        <v>1621</v>
      </c>
      <c r="B1175" t="s">
        <v>2881</v>
      </c>
      <c r="C1175" t="s">
        <v>2245</v>
      </c>
      <c r="D1175" t="s">
        <v>2246</v>
      </c>
      <c r="E1175" t="s">
        <v>1377</v>
      </c>
      <c r="F1175" s="253" t="s">
        <v>1257</v>
      </c>
    </row>
    <row r="1176" spans="1:6" x14ac:dyDescent="0.2">
      <c r="A1176" s="243" t="s">
        <v>1621</v>
      </c>
      <c r="B1176" t="s">
        <v>2882</v>
      </c>
      <c r="C1176" t="s">
        <v>2883</v>
      </c>
      <c r="D1176" t="s">
        <v>2884</v>
      </c>
      <c r="E1176" t="s">
        <v>1377</v>
      </c>
      <c r="F1176" s="253" t="s">
        <v>1257</v>
      </c>
    </row>
    <row r="1177" spans="1:6" x14ac:dyDescent="0.2">
      <c r="A1177" s="243" t="s">
        <v>1621</v>
      </c>
      <c r="B1177" t="s">
        <v>2885</v>
      </c>
      <c r="C1177" t="s">
        <v>2886</v>
      </c>
      <c r="D1177" t="s">
        <v>2887</v>
      </c>
      <c r="E1177" t="s">
        <v>1377</v>
      </c>
      <c r="F1177" s="253" t="s">
        <v>1257</v>
      </c>
    </row>
    <row r="1178" spans="1:6" x14ac:dyDescent="0.2">
      <c r="A1178" s="243" t="s">
        <v>1621</v>
      </c>
      <c r="B1178" t="s">
        <v>2888</v>
      </c>
      <c r="C1178" t="s">
        <v>2889</v>
      </c>
      <c r="D1178" t="s">
        <v>2890</v>
      </c>
      <c r="E1178" t="s">
        <v>1377</v>
      </c>
      <c r="F1178" s="253" t="s">
        <v>1257</v>
      </c>
    </row>
    <row r="1179" spans="1:6" x14ac:dyDescent="0.2">
      <c r="A1179" s="243" t="s">
        <v>1621</v>
      </c>
      <c r="B1179" t="s">
        <v>2891</v>
      </c>
      <c r="C1179" t="s">
        <v>2892</v>
      </c>
      <c r="D1179" t="s">
        <v>2893</v>
      </c>
      <c r="E1179" t="s">
        <v>1377</v>
      </c>
      <c r="F1179" s="253" t="s">
        <v>1257</v>
      </c>
    </row>
    <row r="1180" spans="1:6" x14ac:dyDescent="0.2">
      <c r="A1180" s="243" t="s">
        <v>1621</v>
      </c>
      <c r="B1180" t="s">
        <v>2894</v>
      </c>
      <c r="C1180" t="s">
        <v>2335</v>
      </c>
      <c r="D1180" t="s">
        <v>2336</v>
      </c>
      <c r="E1180" t="s">
        <v>1377</v>
      </c>
      <c r="F1180" s="253" t="s">
        <v>1257</v>
      </c>
    </row>
    <row r="1181" spans="1:6" x14ac:dyDescent="0.2">
      <c r="A1181" s="243" t="s">
        <v>1621</v>
      </c>
      <c r="B1181" t="s">
        <v>2895</v>
      </c>
      <c r="C1181" t="s">
        <v>2896</v>
      </c>
      <c r="D1181" t="s">
        <v>2897</v>
      </c>
      <c r="E1181" t="s">
        <v>1377</v>
      </c>
      <c r="F1181" s="253" t="s">
        <v>1257</v>
      </c>
    </row>
    <row r="1182" spans="1:6" x14ac:dyDescent="0.2">
      <c r="A1182" s="243" t="s">
        <v>1621</v>
      </c>
      <c r="B1182" t="s">
        <v>2898</v>
      </c>
      <c r="C1182" t="s">
        <v>2899</v>
      </c>
      <c r="D1182" t="s">
        <v>2900</v>
      </c>
      <c r="E1182" t="s">
        <v>1377</v>
      </c>
      <c r="F1182" s="253" t="s">
        <v>1257</v>
      </c>
    </row>
    <row r="1183" spans="1:6" x14ac:dyDescent="0.2">
      <c r="A1183" s="243" t="s">
        <v>1621</v>
      </c>
      <c r="B1183" t="s">
        <v>2901</v>
      </c>
      <c r="C1183" t="s">
        <v>2415</v>
      </c>
      <c r="D1183" t="s">
        <v>2416</v>
      </c>
      <c r="E1183" t="s">
        <v>1377</v>
      </c>
      <c r="F1183" s="253" t="s">
        <v>1257</v>
      </c>
    </row>
    <row r="1184" spans="1:6" x14ac:dyDescent="0.2">
      <c r="A1184" s="243" t="s">
        <v>1621</v>
      </c>
      <c r="B1184" t="s">
        <v>2902</v>
      </c>
      <c r="C1184" t="s">
        <v>2903</v>
      </c>
      <c r="D1184" t="s">
        <v>2904</v>
      </c>
      <c r="E1184" t="s">
        <v>1377</v>
      </c>
      <c r="F1184" s="253" t="s">
        <v>1257</v>
      </c>
    </row>
    <row r="1185" spans="1:6" x14ac:dyDescent="0.2">
      <c r="A1185" s="243" t="s">
        <v>1621</v>
      </c>
      <c r="B1185" t="s">
        <v>2905</v>
      </c>
      <c r="C1185" t="s">
        <v>2906</v>
      </c>
      <c r="D1185" t="s">
        <v>2907</v>
      </c>
      <c r="E1185" t="s">
        <v>1377</v>
      </c>
      <c r="F1185" s="253" t="s">
        <v>1257</v>
      </c>
    </row>
    <row r="1186" spans="1:6" x14ac:dyDescent="0.2">
      <c r="A1186" s="243" t="s">
        <v>1621</v>
      </c>
      <c r="B1186" t="s">
        <v>2908</v>
      </c>
      <c r="C1186" t="s">
        <v>2909</v>
      </c>
      <c r="D1186" t="s">
        <v>2910</v>
      </c>
      <c r="E1186" t="s">
        <v>1377</v>
      </c>
      <c r="F1186" s="253" t="s">
        <v>1257</v>
      </c>
    </row>
    <row r="1187" spans="1:6" x14ac:dyDescent="0.2">
      <c r="A1187" s="243" t="s">
        <v>1621</v>
      </c>
      <c r="B1187" t="s">
        <v>2911</v>
      </c>
      <c r="C1187" t="s">
        <v>2912</v>
      </c>
      <c r="D1187" t="s">
        <v>2913</v>
      </c>
      <c r="E1187" t="s">
        <v>1380</v>
      </c>
      <c r="F1187" s="253" t="s">
        <v>1257</v>
      </c>
    </row>
    <row r="1188" spans="1:6" x14ac:dyDescent="0.2">
      <c r="A1188" s="243" t="s">
        <v>1621</v>
      </c>
      <c r="B1188" t="s">
        <v>2914</v>
      </c>
      <c r="C1188" t="s">
        <v>2915</v>
      </c>
      <c r="D1188" t="s">
        <v>2916</v>
      </c>
      <c r="E1188" t="s">
        <v>1380</v>
      </c>
      <c r="F1188" s="253" t="s">
        <v>1257</v>
      </c>
    </row>
    <row r="1189" spans="1:6" x14ac:dyDescent="0.2">
      <c r="A1189" s="243" t="s">
        <v>1621</v>
      </c>
      <c r="B1189" t="s">
        <v>2917</v>
      </c>
      <c r="C1189" t="s">
        <v>2918</v>
      </c>
      <c r="D1189" t="s">
        <v>2919</v>
      </c>
      <c r="E1189" t="s">
        <v>1380</v>
      </c>
      <c r="F1189" s="253" t="s">
        <v>1257</v>
      </c>
    </row>
    <row r="1190" spans="1:6" x14ac:dyDescent="0.2">
      <c r="A1190" s="243" t="s">
        <v>1621</v>
      </c>
      <c r="B1190" t="s">
        <v>2920</v>
      </c>
      <c r="C1190" t="s">
        <v>2921</v>
      </c>
      <c r="D1190" t="s">
        <v>2922</v>
      </c>
      <c r="E1190" t="s">
        <v>1380</v>
      </c>
      <c r="F1190" s="253" t="s">
        <v>1257</v>
      </c>
    </row>
    <row r="1191" spans="1:6" x14ac:dyDescent="0.2">
      <c r="A1191" s="243" t="s">
        <v>1621</v>
      </c>
      <c r="B1191" t="s">
        <v>2923</v>
      </c>
      <c r="C1191" t="s">
        <v>2924</v>
      </c>
      <c r="D1191" t="s">
        <v>2925</v>
      </c>
      <c r="E1191" t="s">
        <v>1380</v>
      </c>
      <c r="F1191" s="253" t="s">
        <v>1257</v>
      </c>
    </row>
    <row r="1192" spans="1:6" x14ac:dyDescent="0.2">
      <c r="A1192" s="243" t="s">
        <v>1621</v>
      </c>
      <c r="B1192" t="s">
        <v>2926</v>
      </c>
      <c r="C1192" t="s">
        <v>2927</v>
      </c>
      <c r="D1192" t="s">
        <v>2928</v>
      </c>
      <c r="E1192" t="s">
        <v>1380</v>
      </c>
      <c r="F1192" s="253" t="s">
        <v>1257</v>
      </c>
    </row>
    <row r="1193" spans="1:6" x14ac:dyDescent="0.2">
      <c r="A1193" s="243" t="s">
        <v>1621</v>
      </c>
      <c r="B1193" t="s">
        <v>2929</v>
      </c>
      <c r="C1193" t="s">
        <v>2930</v>
      </c>
      <c r="D1193" t="s">
        <v>2931</v>
      </c>
      <c r="E1193" t="s">
        <v>1380</v>
      </c>
      <c r="F1193" s="253" t="s">
        <v>1257</v>
      </c>
    </row>
    <row r="1194" spans="1:6" x14ac:dyDescent="0.2">
      <c r="A1194" s="243" t="s">
        <v>1621</v>
      </c>
      <c r="B1194" t="s">
        <v>2932</v>
      </c>
      <c r="C1194" t="s">
        <v>2933</v>
      </c>
      <c r="D1194" t="s">
        <v>2934</v>
      </c>
      <c r="E1194" t="s">
        <v>1380</v>
      </c>
      <c r="F1194" s="253" t="s">
        <v>1257</v>
      </c>
    </row>
    <row r="1195" spans="1:6" x14ac:dyDescent="0.2">
      <c r="A1195" s="243" t="s">
        <v>1621</v>
      </c>
      <c r="B1195" t="s">
        <v>2935</v>
      </c>
      <c r="C1195" t="s">
        <v>2936</v>
      </c>
      <c r="D1195" t="s">
        <v>2937</v>
      </c>
      <c r="E1195" t="s">
        <v>1380</v>
      </c>
      <c r="F1195" s="253" t="s">
        <v>1257</v>
      </c>
    </row>
    <row r="1196" spans="1:6" x14ac:dyDescent="0.2">
      <c r="A1196" s="243" t="s">
        <v>1621</v>
      </c>
      <c r="B1196" t="s">
        <v>2938</v>
      </c>
      <c r="C1196" t="s">
        <v>2939</v>
      </c>
      <c r="D1196" t="s">
        <v>2940</v>
      </c>
      <c r="E1196" t="s">
        <v>1380</v>
      </c>
      <c r="F1196" s="253" t="s">
        <v>1257</v>
      </c>
    </row>
    <row r="1197" spans="1:6" x14ac:dyDescent="0.2">
      <c r="A1197" s="243" t="s">
        <v>1621</v>
      </c>
      <c r="B1197" t="s">
        <v>2941</v>
      </c>
      <c r="C1197" t="s">
        <v>2942</v>
      </c>
      <c r="D1197" t="s">
        <v>2943</v>
      </c>
      <c r="E1197" t="s">
        <v>1380</v>
      </c>
      <c r="F1197" s="253" t="s">
        <v>1257</v>
      </c>
    </row>
    <row r="1198" spans="1:6" x14ac:dyDescent="0.2">
      <c r="A1198" s="243" t="s">
        <v>1621</v>
      </c>
      <c r="B1198" t="s">
        <v>2944</v>
      </c>
      <c r="C1198" t="s">
        <v>2945</v>
      </c>
      <c r="D1198" t="s">
        <v>2946</v>
      </c>
      <c r="E1198" t="s">
        <v>1380</v>
      </c>
      <c r="F1198" s="253" t="s">
        <v>1257</v>
      </c>
    </row>
    <row r="1199" spans="1:6" x14ac:dyDescent="0.2">
      <c r="A1199" s="243" t="s">
        <v>1621</v>
      </c>
      <c r="B1199" t="s">
        <v>2947</v>
      </c>
      <c r="C1199" t="s">
        <v>2948</v>
      </c>
      <c r="D1199" t="s">
        <v>2949</v>
      </c>
      <c r="E1199" t="s">
        <v>1380</v>
      </c>
      <c r="F1199" s="253" t="s">
        <v>1257</v>
      </c>
    </row>
    <row r="1200" spans="1:6" x14ac:dyDescent="0.2">
      <c r="A1200" s="243" t="s">
        <v>1621</v>
      </c>
      <c r="B1200" t="s">
        <v>2950</v>
      </c>
      <c r="C1200" t="s">
        <v>2951</v>
      </c>
      <c r="D1200" t="s">
        <v>2952</v>
      </c>
      <c r="E1200" t="s">
        <v>1380</v>
      </c>
      <c r="F1200" s="253" t="s">
        <v>1257</v>
      </c>
    </row>
    <row r="1201" spans="1:6" x14ac:dyDescent="0.2">
      <c r="A1201" s="243" t="s">
        <v>1621</v>
      </c>
      <c r="B1201" t="s">
        <v>2953</v>
      </c>
      <c r="C1201" t="s">
        <v>2954</v>
      </c>
      <c r="D1201" t="s">
        <v>2955</v>
      </c>
      <c r="E1201" t="s">
        <v>1380</v>
      </c>
      <c r="F1201" s="253" t="s">
        <v>1257</v>
      </c>
    </row>
    <row r="1202" spans="1:6" x14ac:dyDescent="0.2">
      <c r="A1202" s="243" t="s">
        <v>1621</v>
      </c>
      <c r="B1202" t="s">
        <v>2956</v>
      </c>
      <c r="C1202" t="s">
        <v>2957</v>
      </c>
      <c r="D1202" t="s">
        <v>2958</v>
      </c>
      <c r="E1202" t="s">
        <v>1383</v>
      </c>
      <c r="F1202" s="253" t="s">
        <v>1206</v>
      </c>
    </row>
    <row r="1203" spans="1:6" x14ac:dyDescent="0.2">
      <c r="A1203" s="243" t="s">
        <v>1621</v>
      </c>
      <c r="B1203" t="s">
        <v>2959</v>
      </c>
      <c r="C1203" t="s">
        <v>2960</v>
      </c>
      <c r="D1203" t="s">
        <v>2961</v>
      </c>
      <c r="E1203" t="s">
        <v>1383</v>
      </c>
      <c r="F1203" s="253" t="s">
        <v>1206</v>
      </c>
    </row>
    <row r="1204" spans="1:6" x14ac:dyDescent="0.2">
      <c r="A1204" s="243" t="s">
        <v>1621</v>
      </c>
      <c r="B1204" t="s">
        <v>2962</v>
      </c>
      <c r="C1204" t="s">
        <v>2963</v>
      </c>
      <c r="D1204" t="s">
        <v>2964</v>
      </c>
      <c r="E1204" t="s">
        <v>1383</v>
      </c>
      <c r="F1204" s="253" t="s">
        <v>1206</v>
      </c>
    </row>
    <row r="1205" spans="1:6" x14ac:dyDescent="0.2">
      <c r="A1205" s="243" t="s">
        <v>1621</v>
      </c>
      <c r="B1205" t="s">
        <v>2965</v>
      </c>
      <c r="C1205" t="s">
        <v>2966</v>
      </c>
      <c r="D1205" t="s">
        <v>2967</v>
      </c>
      <c r="E1205" t="s">
        <v>1386</v>
      </c>
      <c r="F1205" s="253" t="s">
        <v>1206</v>
      </c>
    </row>
    <row r="1206" spans="1:6" x14ac:dyDescent="0.2">
      <c r="A1206" s="243" t="s">
        <v>1621</v>
      </c>
      <c r="B1206" t="s">
        <v>2968</v>
      </c>
      <c r="C1206" t="s">
        <v>2969</v>
      </c>
      <c r="D1206" t="s">
        <v>2970</v>
      </c>
      <c r="E1206" t="s">
        <v>1386</v>
      </c>
      <c r="F1206" s="253" t="s">
        <v>1206</v>
      </c>
    </row>
    <row r="1207" spans="1:6" x14ac:dyDescent="0.2">
      <c r="A1207" s="243" t="s">
        <v>1621</v>
      </c>
      <c r="B1207" t="s">
        <v>2971</v>
      </c>
      <c r="C1207" t="s">
        <v>2972</v>
      </c>
      <c r="D1207" t="s">
        <v>2973</v>
      </c>
      <c r="E1207" t="s">
        <v>1386</v>
      </c>
      <c r="F1207" s="253" t="s">
        <v>1206</v>
      </c>
    </row>
    <row r="1208" spans="1:6" x14ac:dyDescent="0.2">
      <c r="A1208" s="243" t="s">
        <v>1621</v>
      </c>
      <c r="B1208" t="s">
        <v>2974</v>
      </c>
      <c r="C1208" t="s">
        <v>2975</v>
      </c>
      <c r="D1208" t="s">
        <v>2976</v>
      </c>
      <c r="E1208" t="s">
        <v>1386</v>
      </c>
      <c r="F1208" s="253" t="s">
        <v>1206</v>
      </c>
    </row>
    <row r="1209" spans="1:6" x14ac:dyDescent="0.2">
      <c r="A1209" s="243" t="s">
        <v>1621</v>
      </c>
      <c r="B1209" t="s">
        <v>2977</v>
      </c>
      <c r="C1209" t="s">
        <v>2978</v>
      </c>
      <c r="D1209" t="s">
        <v>2979</v>
      </c>
      <c r="E1209" t="s">
        <v>1386</v>
      </c>
      <c r="F1209" s="253" t="s">
        <v>1206</v>
      </c>
    </row>
    <row r="1210" spans="1:6" x14ac:dyDescent="0.2">
      <c r="A1210" s="243" t="s">
        <v>1621</v>
      </c>
      <c r="B1210" t="s">
        <v>2980</v>
      </c>
      <c r="C1210" t="s">
        <v>2981</v>
      </c>
      <c r="D1210" t="s">
        <v>2982</v>
      </c>
      <c r="E1210" t="s">
        <v>1386</v>
      </c>
      <c r="F1210" s="253" t="s">
        <v>1206</v>
      </c>
    </row>
    <row r="1211" spans="1:6" x14ac:dyDescent="0.2">
      <c r="A1211" s="243" t="s">
        <v>1621</v>
      </c>
      <c r="B1211" t="s">
        <v>2983</v>
      </c>
      <c r="C1211" t="s">
        <v>2984</v>
      </c>
      <c r="D1211" t="s">
        <v>2985</v>
      </c>
      <c r="E1211" t="s">
        <v>1386</v>
      </c>
      <c r="F1211" s="253" t="s">
        <v>1206</v>
      </c>
    </row>
    <row r="1212" spans="1:6" x14ac:dyDescent="0.2">
      <c r="A1212" s="243" t="s">
        <v>1621</v>
      </c>
      <c r="B1212" t="s">
        <v>2986</v>
      </c>
      <c r="C1212" t="s">
        <v>2987</v>
      </c>
      <c r="D1212" t="s">
        <v>2988</v>
      </c>
      <c r="E1212" t="s">
        <v>1386</v>
      </c>
      <c r="F1212" s="253" t="s">
        <v>1206</v>
      </c>
    </row>
    <row r="1213" spans="1:6" x14ac:dyDescent="0.2">
      <c r="A1213" s="243" t="s">
        <v>1621</v>
      </c>
      <c r="B1213" t="s">
        <v>2989</v>
      </c>
      <c r="C1213" t="s">
        <v>2990</v>
      </c>
      <c r="D1213" t="s">
        <v>2991</v>
      </c>
      <c r="E1213" t="s">
        <v>1386</v>
      </c>
      <c r="F1213" s="253" t="s">
        <v>1206</v>
      </c>
    </row>
    <row r="1214" spans="1:6" x14ac:dyDescent="0.2">
      <c r="A1214" s="243" t="s">
        <v>1621</v>
      </c>
      <c r="B1214" t="s">
        <v>2992</v>
      </c>
      <c r="C1214" t="s">
        <v>1206</v>
      </c>
      <c r="D1214" t="s">
        <v>1207</v>
      </c>
      <c r="E1214" t="s">
        <v>1386</v>
      </c>
      <c r="F1214" s="253" t="s">
        <v>1206</v>
      </c>
    </row>
    <row r="1215" spans="1:6" x14ac:dyDescent="0.2">
      <c r="A1215" s="243" t="s">
        <v>1621</v>
      </c>
      <c r="B1215" t="s">
        <v>2993</v>
      </c>
      <c r="C1215" t="s">
        <v>2994</v>
      </c>
      <c r="D1215" t="s">
        <v>2995</v>
      </c>
      <c r="E1215" t="s">
        <v>1386</v>
      </c>
      <c r="F1215" s="253" t="s">
        <v>1206</v>
      </c>
    </row>
    <row r="1216" spans="1:6" x14ac:dyDescent="0.2">
      <c r="A1216" s="243" t="s">
        <v>1621</v>
      </c>
      <c r="B1216" t="s">
        <v>2996</v>
      </c>
      <c r="C1216" t="s">
        <v>2997</v>
      </c>
      <c r="D1216" t="s">
        <v>2998</v>
      </c>
      <c r="E1216" t="s">
        <v>1386</v>
      </c>
      <c r="F1216" s="253" t="s">
        <v>1206</v>
      </c>
    </row>
    <row r="1217" spans="1:6" x14ac:dyDescent="0.2">
      <c r="A1217" s="243" t="s">
        <v>1621</v>
      </c>
      <c r="B1217" t="s">
        <v>2999</v>
      </c>
      <c r="C1217" t="s">
        <v>3000</v>
      </c>
      <c r="D1217" t="s">
        <v>3001</v>
      </c>
      <c r="E1217" t="s">
        <v>1386</v>
      </c>
      <c r="F1217" s="253" t="s">
        <v>1206</v>
      </c>
    </row>
    <row r="1218" spans="1:6" x14ac:dyDescent="0.2">
      <c r="A1218" s="243" t="s">
        <v>1621</v>
      </c>
      <c r="B1218" t="s">
        <v>3002</v>
      </c>
      <c r="C1218" t="s">
        <v>3003</v>
      </c>
      <c r="D1218" t="s">
        <v>3004</v>
      </c>
      <c r="E1218" t="s">
        <v>1386</v>
      </c>
      <c r="F1218" s="253" t="s">
        <v>1206</v>
      </c>
    </row>
    <row r="1219" spans="1:6" x14ac:dyDescent="0.2">
      <c r="A1219" s="243" t="s">
        <v>1621</v>
      </c>
      <c r="B1219" t="s">
        <v>3005</v>
      </c>
      <c r="C1219" t="s">
        <v>2682</v>
      </c>
      <c r="D1219" t="s">
        <v>2683</v>
      </c>
      <c r="E1219" t="s">
        <v>1386</v>
      </c>
      <c r="F1219" s="253" t="s">
        <v>1206</v>
      </c>
    </row>
    <row r="1220" spans="1:6" x14ac:dyDescent="0.2">
      <c r="A1220" s="243" t="s">
        <v>1621</v>
      </c>
      <c r="B1220" t="s">
        <v>3006</v>
      </c>
      <c r="C1220" t="s">
        <v>3007</v>
      </c>
      <c r="D1220" t="s">
        <v>3008</v>
      </c>
      <c r="E1220" t="s">
        <v>1386</v>
      </c>
      <c r="F1220" s="253" t="s">
        <v>1206</v>
      </c>
    </row>
    <row r="1221" spans="1:6" x14ac:dyDescent="0.2">
      <c r="A1221" s="243" t="s">
        <v>1621</v>
      </c>
      <c r="B1221" t="s">
        <v>3009</v>
      </c>
      <c r="C1221" t="s">
        <v>3010</v>
      </c>
      <c r="D1221" t="s">
        <v>3011</v>
      </c>
      <c r="E1221" t="s">
        <v>1386</v>
      </c>
      <c r="F1221" s="253" t="s">
        <v>1206</v>
      </c>
    </row>
    <row r="1222" spans="1:6" x14ac:dyDescent="0.2">
      <c r="A1222" s="243" t="s">
        <v>1621</v>
      </c>
      <c r="B1222" t="s">
        <v>3012</v>
      </c>
      <c r="C1222" t="s">
        <v>3013</v>
      </c>
      <c r="D1222" t="s">
        <v>3014</v>
      </c>
      <c r="E1222" t="s">
        <v>1386</v>
      </c>
      <c r="F1222" s="253" t="s">
        <v>1206</v>
      </c>
    </row>
    <row r="1223" spans="1:6" x14ac:dyDescent="0.2">
      <c r="A1223" s="243" t="s">
        <v>1621</v>
      </c>
      <c r="B1223" t="s">
        <v>3015</v>
      </c>
      <c r="C1223" t="s">
        <v>3016</v>
      </c>
      <c r="D1223" t="s">
        <v>3017</v>
      </c>
      <c r="E1223" t="s">
        <v>1386</v>
      </c>
      <c r="F1223" s="253" t="s">
        <v>1206</v>
      </c>
    </row>
    <row r="1224" spans="1:6" x14ac:dyDescent="0.2">
      <c r="A1224" s="243" t="s">
        <v>1621</v>
      </c>
      <c r="B1224" t="s">
        <v>3018</v>
      </c>
      <c r="C1224" t="s">
        <v>3019</v>
      </c>
      <c r="D1224" t="s">
        <v>3020</v>
      </c>
      <c r="E1224" t="s">
        <v>1386</v>
      </c>
      <c r="F1224" s="253" t="s">
        <v>1206</v>
      </c>
    </row>
    <row r="1225" spans="1:6" x14ac:dyDescent="0.2">
      <c r="A1225" s="243" t="s">
        <v>1621</v>
      </c>
      <c r="B1225" t="s">
        <v>3021</v>
      </c>
      <c r="C1225" t="s">
        <v>3022</v>
      </c>
      <c r="D1225" t="s">
        <v>3023</v>
      </c>
      <c r="E1225" t="s">
        <v>1389</v>
      </c>
      <c r="F1225" s="253" t="s">
        <v>1206</v>
      </c>
    </row>
    <row r="1226" spans="1:6" x14ac:dyDescent="0.2">
      <c r="A1226" s="243" t="s">
        <v>1621</v>
      </c>
      <c r="B1226" t="s">
        <v>3024</v>
      </c>
      <c r="C1226" t="s">
        <v>3025</v>
      </c>
      <c r="D1226" t="s">
        <v>3026</v>
      </c>
      <c r="E1226" t="s">
        <v>1389</v>
      </c>
      <c r="F1226" s="253" t="s">
        <v>1206</v>
      </c>
    </row>
    <row r="1227" spans="1:6" x14ac:dyDescent="0.2">
      <c r="A1227" s="243" t="s">
        <v>1621</v>
      </c>
      <c r="B1227" t="s">
        <v>3027</v>
      </c>
      <c r="C1227" t="s">
        <v>3028</v>
      </c>
      <c r="D1227" t="s">
        <v>3029</v>
      </c>
      <c r="E1227" t="s">
        <v>1389</v>
      </c>
      <c r="F1227" s="253" t="s">
        <v>1206</v>
      </c>
    </row>
    <row r="1228" spans="1:6" x14ac:dyDescent="0.2">
      <c r="A1228" s="243" t="s">
        <v>1621</v>
      </c>
      <c r="B1228" t="s">
        <v>3030</v>
      </c>
      <c r="C1228" t="s">
        <v>3031</v>
      </c>
      <c r="D1228" t="s">
        <v>3032</v>
      </c>
      <c r="E1228" t="s">
        <v>1389</v>
      </c>
      <c r="F1228" s="253" t="s">
        <v>1206</v>
      </c>
    </row>
    <row r="1229" spans="1:6" x14ac:dyDescent="0.2">
      <c r="A1229" s="243" t="s">
        <v>1621</v>
      </c>
      <c r="B1229" t="s">
        <v>3033</v>
      </c>
      <c r="C1229" t="s">
        <v>3034</v>
      </c>
      <c r="D1229" t="s">
        <v>3035</v>
      </c>
      <c r="E1229" t="s">
        <v>1389</v>
      </c>
      <c r="F1229" s="253" t="s">
        <v>1206</v>
      </c>
    </row>
    <row r="1230" spans="1:6" x14ac:dyDescent="0.2">
      <c r="A1230" s="243" t="s">
        <v>1621</v>
      </c>
      <c r="B1230" t="s">
        <v>3036</v>
      </c>
      <c r="C1230" t="s">
        <v>3037</v>
      </c>
      <c r="D1230" t="s">
        <v>3038</v>
      </c>
      <c r="E1230" t="s">
        <v>1389</v>
      </c>
      <c r="F1230" s="253" t="s">
        <v>1206</v>
      </c>
    </row>
    <row r="1231" spans="1:6" x14ac:dyDescent="0.2">
      <c r="A1231" s="243" t="s">
        <v>1621</v>
      </c>
      <c r="B1231" t="s">
        <v>3039</v>
      </c>
      <c r="C1231" t="s">
        <v>2837</v>
      </c>
      <c r="D1231" t="s">
        <v>2838</v>
      </c>
      <c r="E1231" t="s">
        <v>1389</v>
      </c>
      <c r="F1231" s="253" t="s">
        <v>1206</v>
      </c>
    </row>
    <row r="1232" spans="1:6" x14ac:dyDescent="0.2">
      <c r="A1232" s="243" t="s">
        <v>1621</v>
      </c>
      <c r="B1232" t="s">
        <v>3040</v>
      </c>
      <c r="C1232" t="s">
        <v>1874</v>
      </c>
      <c r="D1232" t="s">
        <v>1875</v>
      </c>
      <c r="E1232" t="s">
        <v>1389</v>
      </c>
      <c r="F1232" s="253" t="s">
        <v>1206</v>
      </c>
    </row>
    <row r="1233" spans="1:6" x14ac:dyDescent="0.2">
      <c r="A1233" s="243" t="s">
        <v>1621</v>
      </c>
      <c r="B1233" t="s">
        <v>3041</v>
      </c>
      <c r="C1233" t="s">
        <v>3042</v>
      </c>
      <c r="D1233" t="s">
        <v>3043</v>
      </c>
      <c r="E1233" t="s">
        <v>1389</v>
      </c>
      <c r="F1233" s="253" t="s">
        <v>1206</v>
      </c>
    </row>
    <row r="1234" spans="1:6" x14ac:dyDescent="0.2">
      <c r="A1234" s="243" t="s">
        <v>1621</v>
      </c>
      <c r="B1234" t="s">
        <v>3044</v>
      </c>
      <c r="C1234" t="s">
        <v>3045</v>
      </c>
      <c r="D1234" t="s">
        <v>3046</v>
      </c>
      <c r="E1234" t="s">
        <v>1389</v>
      </c>
      <c r="F1234" s="253" t="s">
        <v>1206</v>
      </c>
    </row>
    <row r="1235" spans="1:6" x14ac:dyDescent="0.2">
      <c r="A1235" s="243" t="s">
        <v>1621</v>
      </c>
      <c r="B1235" t="s">
        <v>3047</v>
      </c>
      <c r="C1235" t="s">
        <v>3048</v>
      </c>
      <c r="D1235" t="s">
        <v>3049</v>
      </c>
      <c r="E1235" t="s">
        <v>1389</v>
      </c>
      <c r="F1235" s="253" t="s">
        <v>1206</v>
      </c>
    </row>
    <row r="1236" spans="1:6" x14ac:dyDescent="0.2">
      <c r="A1236" s="243" t="s">
        <v>1621</v>
      </c>
      <c r="B1236" t="s">
        <v>3050</v>
      </c>
      <c r="C1236" t="s">
        <v>3051</v>
      </c>
      <c r="D1236" t="s">
        <v>3052</v>
      </c>
      <c r="E1236" t="s">
        <v>1389</v>
      </c>
      <c r="F1236" s="253" t="s">
        <v>1206</v>
      </c>
    </row>
    <row r="1237" spans="1:6" x14ac:dyDescent="0.2">
      <c r="A1237" s="243" t="s">
        <v>1621</v>
      </c>
      <c r="B1237" t="s">
        <v>3053</v>
      </c>
      <c r="C1237" t="s">
        <v>3054</v>
      </c>
      <c r="D1237" t="s">
        <v>3055</v>
      </c>
      <c r="E1237" t="s">
        <v>1389</v>
      </c>
      <c r="F1237" s="253" t="s">
        <v>1206</v>
      </c>
    </row>
    <row r="1238" spans="1:6" x14ac:dyDescent="0.2">
      <c r="A1238" s="243" t="s">
        <v>1621</v>
      </c>
      <c r="B1238" t="s">
        <v>3056</v>
      </c>
      <c r="C1238" t="s">
        <v>3057</v>
      </c>
      <c r="D1238" t="s">
        <v>3058</v>
      </c>
      <c r="E1238" t="s">
        <v>1392</v>
      </c>
      <c r="F1238" s="253" t="s">
        <v>1206</v>
      </c>
    </row>
    <row r="1239" spans="1:6" x14ac:dyDescent="0.2">
      <c r="A1239" s="243" t="s">
        <v>1621</v>
      </c>
      <c r="B1239" t="s">
        <v>3059</v>
      </c>
      <c r="C1239" t="s">
        <v>3060</v>
      </c>
      <c r="D1239" t="s">
        <v>3061</v>
      </c>
      <c r="E1239" t="s">
        <v>1392</v>
      </c>
      <c r="F1239" s="253" t="s">
        <v>1206</v>
      </c>
    </row>
    <row r="1240" spans="1:6" x14ac:dyDescent="0.2">
      <c r="A1240" s="243" t="s">
        <v>1621</v>
      </c>
      <c r="B1240" t="s">
        <v>3062</v>
      </c>
      <c r="C1240" t="s">
        <v>3063</v>
      </c>
      <c r="D1240" t="s">
        <v>3064</v>
      </c>
      <c r="E1240" t="s">
        <v>1392</v>
      </c>
      <c r="F1240" s="253" t="s">
        <v>1206</v>
      </c>
    </row>
    <row r="1241" spans="1:6" x14ac:dyDescent="0.2">
      <c r="A1241" s="243" t="s">
        <v>1621</v>
      </c>
      <c r="B1241" t="s">
        <v>3065</v>
      </c>
      <c r="C1241" t="s">
        <v>3066</v>
      </c>
      <c r="D1241" t="s">
        <v>3067</v>
      </c>
      <c r="E1241" t="s">
        <v>1392</v>
      </c>
      <c r="F1241" s="253" t="s">
        <v>1206</v>
      </c>
    </row>
    <row r="1242" spans="1:6" x14ac:dyDescent="0.2">
      <c r="A1242" s="243" t="s">
        <v>1621</v>
      </c>
      <c r="B1242" t="s">
        <v>3068</v>
      </c>
      <c r="C1242" t="s">
        <v>3069</v>
      </c>
      <c r="D1242" t="s">
        <v>3070</v>
      </c>
      <c r="E1242" t="s">
        <v>1392</v>
      </c>
      <c r="F1242" s="253" t="s">
        <v>1206</v>
      </c>
    </row>
    <row r="1243" spans="1:6" x14ac:dyDescent="0.2">
      <c r="A1243" s="243" t="s">
        <v>1621</v>
      </c>
      <c r="B1243" t="s">
        <v>3071</v>
      </c>
      <c r="C1243" t="s">
        <v>3072</v>
      </c>
      <c r="D1243" t="s">
        <v>3073</v>
      </c>
      <c r="E1243" t="s">
        <v>1392</v>
      </c>
      <c r="F1243" s="253" t="s">
        <v>1206</v>
      </c>
    </row>
    <row r="1244" spans="1:6" x14ac:dyDescent="0.2">
      <c r="A1244" s="243" t="s">
        <v>1621</v>
      </c>
      <c r="B1244" t="s">
        <v>3074</v>
      </c>
      <c r="C1244" t="s">
        <v>3075</v>
      </c>
      <c r="D1244" t="s">
        <v>3076</v>
      </c>
      <c r="E1244" t="s">
        <v>1392</v>
      </c>
      <c r="F1244" s="253" t="s">
        <v>1206</v>
      </c>
    </row>
    <row r="1245" spans="1:6" x14ac:dyDescent="0.2">
      <c r="A1245" s="243" t="s">
        <v>1621</v>
      </c>
      <c r="B1245" t="s">
        <v>3077</v>
      </c>
      <c r="C1245" t="s">
        <v>3078</v>
      </c>
      <c r="D1245" t="s">
        <v>3079</v>
      </c>
      <c r="E1245" t="s">
        <v>1392</v>
      </c>
      <c r="F1245" s="253" t="s">
        <v>1206</v>
      </c>
    </row>
    <row r="1246" spans="1:6" x14ac:dyDescent="0.2">
      <c r="A1246" s="243" t="s">
        <v>1621</v>
      </c>
      <c r="B1246" t="s">
        <v>3080</v>
      </c>
      <c r="C1246" t="s">
        <v>3081</v>
      </c>
      <c r="D1246" t="s">
        <v>3082</v>
      </c>
      <c r="E1246" t="s">
        <v>1392</v>
      </c>
      <c r="F1246" s="253" t="s">
        <v>1206</v>
      </c>
    </row>
    <row r="1247" spans="1:6" x14ac:dyDescent="0.2">
      <c r="A1247" s="243" t="s">
        <v>1621</v>
      </c>
      <c r="B1247" t="s">
        <v>3083</v>
      </c>
      <c r="C1247" t="s">
        <v>3084</v>
      </c>
      <c r="D1247" t="s">
        <v>3085</v>
      </c>
      <c r="E1247" t="s">
        <v>1392</v>
      </c>
      <c r="F1247" s="253" t="s">
        <v>1206</v>
      </c>
    </row>
    <row r="1248" spans="1:6" x14ac:dyDescent="0.2">
      <c r="A1248" s="243" t="s">
        <v>1621</v>
      </c>
      <c r="B1248" t="s">
        <v>3086</v>
      </c>
      <c r="C1248" t="s">
        <v>3087</v>
      </c>
      <c r="D1248" t="s">
        <v>3088</v>
      </c>
      <c r="E1248" t="s">
        <v>1392</v>
      </c>
      <c r="F1248" s="253" t="s">
        <v>1206</v>
      </c>
    </row>
    <row r="1249" spans="1:6" x14ac:dyDescent="0.2">
      <c r="A1249" s="243" t="s">
        <v>1621</v>
      </c>
      <c r="B1249" t="s">
        <v>3089</v>
      </c>
      <c r="C1249" t="s">
        <v>3090</v>
      </c>
      <c r="D1249" t="s">
        <v>3091</v>
      </c>
      <c r="E1249" t="s">
        <v>1392</v>
      </c>
      <c r="F1249" s="253" t="s">
        <v>1206</v>
      </c>
    </row>
    <row r="1250" spans="1:6" x14ac:dyDescent="0.2">
      <c r="A1250" s="243" t="s">
        <v>1621</v>
      </c>
      <c r="B1250" t="s">
        <v>3092</v>
      </c>
      <c r="C1250" t="s">
        <v>3093</v>
      </c>
      <c r="D1250" t="s">
        <v>3094</v>
      </c>
      <c r="E1250" t="s">
        <v>1392</v>
      </c>
      <c r="F1250" s="253" t="s">
        <v>1206</v>
      </c>
    </row>
    <row r="1251" spans="1:6" x14ac:dyDescent="0.2">
      <c r="A1251" s="243" t="s">
        <v>1621</v>
      </c>
      <c r="B1251" t="s">
        <v>3095</v>
      </c>
      <c r="C1251" t="s">
        <v>3096</v>
      </c>
      <c r="D1251" t="s">
        <v>3097</v>
      </c>
      <c r="E1251" t="s">
        <v>1395</v>
      </c>
      <c r="F1251" s="253" t="s">
        <v>1206</v>
      </c>
    </row>
    <row r="1252" spans="1:6" x14ac:dyDescent="0.2">
      <c r="A1252" s="243" t="s">
        <v>1621</v>
      </c>
      <c r="B1252" t="s">
        <v>3098</v>
      </c>
      <c r="C1252" t="s">
        <v>3099</v>
      </c>
      <c r="D1252" t="s">
        <v>3100</v>
      </c>
      <c r="E1252" t="s">
        <v>1395</v>
      </c>
      <c r="F1252" s="253" t="s">
        <v>1206</v>
      </c>
    </row>
    <row r="1253" spans="1:6" x14ac:dyDescent="0.2">
      <c r="A1253" s="243" t="s">
        <v>1621</v>
      </c>
      <c r="B1253" t="s">
        <v>3101</v>
      </c>
      <c r="C1253" t="s">
        <v>3102</v>
      </c>
      <c r="D1253" t="s">
        <v>3103</v>
      </c>
      <c r="E1253" t="s">
        <v>1395</v>
      </c>
      <c r="F1253" s="253" t="s">
        <v>1206</v>
      </c>
    </row>
    <row r="1254" spans="1:6" x14ac:dyDescent="0.2">
      <c r="A1254" s="243" t="s">
        <v>1621</v>
      </c>
      <c r="B1254" t="s">
        <v>3104</v>
      </c>
      <c r="C1254" t="s">
        <v>3105</v>
      </c>
      <c r="D1254" t="s">
        <v>3106</v>
      </c>
      <c r="E1254" t="s">
        <v>1395</v>
      </c>
      <c r="F1254" s="253" t="s">
        <v>1206</v>
      </c>
    </row>
    <row r="1255" spans="1:6" x14ac:dyDescent="0.2">
      <c r="A1255" s="243" t="s">
        <v>1621</v>
      </c>
      <c r="B1255" t="s">
        <v>3107</v>
      </c>
      <c r="C1255" t="s">
        <v>3108</v>
      </c>
      <c r="D1255" t="s">
        <v>3109</v>
      </c>
      <c r="E1255" t="s">
        <v>1395</v>
      </c>
      <c r="F1255" s="253" t="s">
        <v>1206</v>
      </c>
    </row>
    <row r="1256" spans="1:6" x14ac:dyDescent="0.2">
      <c r="A1256" s="243" t="s">
        <v>1621</v>
      </c>
      <c r="B1256" t="s">
        <v>3110</v>
      </c>
      <c r="C1256" t="s">
        <v>3111</v>
      </c>
      <c r="D1256" t="s">
        <v>3112</v>
      </c>
      <c r="E1256" t="s">
        <v>1398</v>
      </c>
      <c r="F1256" s="253" t="s">
        <v>1206</v>
      </c>
    </row>
    <row r="1257" spans="1:6" x14ac:dyDescent="0.2">
      <c r="A1257" s="243" t="s">
        <v>1621</v>
      </c>
      <c r="B1257" t="s">
        <v>3113</v>
      </c>
      <c r="C1257" t="s">
        <v>3114</v>
      </c>
      <c r="D1257" t="s">
        <v>3115</v>
      </c>
      <c r="E1257" t="s">
        <v>1398</v>
      </c>
      <c r="F1257" s="253" t="s">
        <v>1206</v>
      </c>
    </row>
    <row r="1258" spans="1:6" x14ac:dyDescent="0.2">
      <c r="A1258" s="243" t="s">
        <v>1621</v>
      </c>
      <c r="B1258" t="s">
        <v>3116</v>
      </c>
      <c r="C1258" t="s">
        <v>3117</v>
      </c>
      <c r="D1258" t="s">
        <v>3118</v>
      </c>
      <c r="E1258" t="s">
        <v>1398</v>
      </c>
      <c r="F1258" s="253" t="s">
        <v>1206</v>
      </c>
    </row>
    <row r="1259" spans="1:6" x14ac:dyDescent="0.2">
      <c r="A1259" s="243" t="s">
        <v>1621</v>
      </c>
      <c r="B1259" t="s">
        <v>3119</v>
      </c>
      <c r="C1259" t="s">
        <v>3120</v>
      </c>
      <c r="D1259" t="s">
        <v>3121</v>
      </c>
      <c r="E1259" t="s">
        <v>1398</v>
      </c>
      <c r="F1259" s="253" t="s">
        <v>1206</v>
      </c>
    </row>
    <row r="1260" spans="1:6" x14ac:dyDescent="0.2">
      <c r="A1260" s="243" t="s">
        <v>1621</v>
      </c>
      <c r="B1260" t="s">
        <v>3122</v>
      </c>
      <c r="C1260" t="s">
        <v>3123</v>
      </c>
      <c r="D1260" t="s">
        <v>3124</v>
      </c>
      <c r="E1260" t="s">
        <v>1398</v>
      </c>
      <c r="F1260" s="253" t="s">
        <v>1206</v>
      </c>
    </row>
    <row r="1261" spans="1:6" x14ac:dyDescent="0.2">
      <c r="A1261" s="243" t="s">
        <v>1621</v>
      </c>
      <c r="B1261" t="s">
        <v>3125</v>
      </c>
      <c r="C1261" t="s">
        <v>3126</v>
      </c>
      <c r="D1261" t="s">
        <v>3127</v>
      </c>
      <c r="E1261" t="s">
        <v>1398</v>
      </c>
      <c r="F1261" s="253" t="s">
        <v>1206</v>
      </c>
    </row>
    <row r="1262" spans="1:6" x14ac:dyDescent="0.2">
      <c r="A1262" s="243" t="s">
        <v>1621</v>
      </c>
      <c r="B1262" t="s">
        <v>3128</v>
      </c>
      <c r="C1262" t="s">
        <v>3129</v>
      </c>
      <c r="D1262" t="s">
        <v>3130</v>
      </c>
      <c r="E1262" t="s">
        <v>1398</v>
      </c>
      <c r="F1262" s="253" t="s">
        <v>1206</v>
      </c>
    </row>
    <row r="1263" spans="1:6" x14ac:dyDescent="0.2">
      <c r="A1263" s="243" t="s">
        <v>1621</v>
      </c>
      <c r="B1263" t="s">
        <v>3131</v>
      </c>
      <c r="C1263" t="s">
        <v>3132</v>
      </c>
      <c r="D1263" t="s">
        <v>3133</v>
      </c>
      <c r="E1263" t="s">
        <v>1398</v>
      </c>
      <c r="F1263" s="253" t="s">
        <v>1206</v>
      </c>
    </row>
    <row r="1264" spans="1:6" x14ac:dyDescent="0.2">
      <c r="A1264" s="243" t="s">
        <v>1621</v>
      </c>
      <c r="B1264" t="s">
        <v>3134</v>
      </c>
      <c r="C1264" t="s">
        <v>1402</v>
      </c>
      <c r="D1264" t="s">
        <v>1403</v>
      </c>
      <c r="E1264" t="s">
        <v>1401</v>
      </c>
      <c r="F1264" s="253" t="s">
        <v>1224</v>
      </c>
    </row>
    <row r="1265" spans="1:6" x14ac:dyDescent="0.2">
      <c r="A1265" s="243" t="s">
        <v>1621</v>
      </c>
      <c r="B1265" t="s">
        <v>3135</v>
      </c>
      <c r="C1265" t="s">
        <v>3136</v>
      </c>
      <c r="D1265" t="s">
        <v>3137</v>
      </c>
      <c r="E1265" t="s">
        <v>1404</v>
      </c>
      <c r="F1265" s="253" t="s">
        <v>1224</v>
      </c>
    </row>
    <row r="1266" spans="1:6" x14ac:dyDescent="0.2">
      <c r="A1266" s="243" t="s">
        <v>1621</v>
      </c>
      <c r="B1266" t="s">
        <v>3138</v>
      </c>
      <c r="C1266" t="s">
        <v>3139</v>
      </c>
      <c r="D1266" t="s">
        <v>3140</v>
      </c>
      <c r="E1266" t="s">
        <v>1404</v>
      </c>
      <c r="F1266" s="253" t="s">
        <v>1224</v>
      </c>
    </row>
    <row r="1267" spans="1:6" x14ac:dyDescent="0.2">
      <c r="A1267" s="243" t="s">
        <v>1621</v>
      </c>
      <c r="B1267" t="s">
        <v>3141</v>
      </c>
      <c r="C1267" t="s">
        <v>3142</v>
      </c>
      <c r="D1267" t="s">
        <v>3143</v>
      </c>
      <c r="E1267" t="s">
        <v>1404</v>
      </c>
      <c r="F1267" s="253" t="s">
        <v>1224</v>
      </c>
    </row>
    <row r="1268" spans="1:6" x14ac:dyDescent="0.2">
      <c r="A1268" s="243" t="s">
        <v>1621</v>
      </c>
      <c r="B1268" t="s">
        <v>3144</v>
      </c>
      <c r="C1268" t="s">
        <v>3145</v>
      </c>
      <c r="D1268" t="s">
        <v>3146</v>
      </c>
      <c r="E1268" t="s">
        <v>1404</v>
      </c>
      <c r="F1268" s="253" t="s">
        <v>1224</v>
      </c>
    </row>
    <row r="1269" spans="1:6" x14ac:dyDescent="0.2">
      <c r="A1269" s="243" t="s">
        <v>1621</v>
      </c>
      <c r="B1269" t="s">
        <v>3147</v>
      </c>
      <c r="C1269" t="s">
        <v>3148</v>
      </c>
      <c r="D1269" t="s">
        <v>3149</v>
      </c>
      <c r="E1269" t="s">
        <v>1404</v>
      </c>
      <c r="F1269" s="253" t="s">
        <v>1224</v>
      </c>
    </row>
    <row r="1270" spans="1:6" x14ac:dyDescent="0.2">
      <c r="A1270" s="243" t="s">
        <v>1621</v>
      </c>
      <c r="B1270" t="s">
        <v>3150</v>
      </c>
      <c r="C1270" t="s">
        <v>3151</v>
      </c>
      <c r="D1270" t="s">
        <v>3152</v>
      </c>
      <c r="E1270" t="s">
        <v>1404</v>
      </c>
      <c r="F1270" s="253" t="s">
        <v>1224</v>
      </c>
    </row>
    <row r="1271" spans="1:6" x14ac:dyDescent="0.2">
      <c r="A1271" s="243" t="s">
        <v>1621</v>
      </c>
      <c r="B1271" t="s">
        <v>3153</v>
      </c>
      <c r="C1271" t="s">
        <v>3154</v>
      </c>
      <c r="D1271" t="s">
        <v>3155</v>
      </c>
      <c r="E1271" t="s">
        <v>1404</v>
      </c>
      <c r="F1271" s="253" t="s">
        <v>1224</v>
      </c>
    </row>
    <row r="1272" spans="1:6" x14ac:dyDescent="0.2">
      <c r="A1272" s="243" t="s">
        <v>1621</v>
      </c>
      <c r="B1272" t="s">
        <v>3156</v>
      </c>
      <c r="C1272" t="s">
        <v>3157</v>
      </c>
      <c r="D1272" t="s">
        <v>3158</v>
      </c>
      <c r="E1272" t="s">
        <v>1404</v>
      </c>
      <c r="F1272" s="253" t="s">
        <v>1224</v>
      </c>
    </row>
    <row r="1273" spans="1:6" x14ac:dyDescent="0.2">
      <c r="A1273" s="243" t="s">
        <v>1621</v>
      </c>
      <c r="B1273" t="s">
        <v>3159</v>
      </c>
      <c r="C1273" t="s">
        <v>3160</v>
      </c>
      <c r="D1273" t="s">
        <v>3161</v>
      </c>
      <c r="E1273" t="s">
        <v>1404</v>
      </c>
      <c r="F1273" s="253" t="s">
        <v>1224</v>
      </c>
    </row>
    <row r="1274" spans="1:6" x14ac:dyDescent="0.2">
      <c r="A1274" s="243" t="s">
        <v>1621</v>
      </c>
      <c r="B1274" t="s">
        <v>3162</v>
      </c>
      <c r="C1274" t="s">
        <v>3163</v>
      </c>
      <c r="D1274" t="s">
        <v>3164</v>
      </c>
      <c r="E1274" t="s">
        <v>1404</v>
      </c>
      <c r="F1274" s="253" t="s">
        <v>1224</v>
      </c>
    </row>
    <row r="1275" spans="1:6" x14ac:dyDescent="0.2">
      <c r="A1275" s="243" t="s">
        <v>1621</v>
      </c>
      <c r="B1275" t="s">
        <v>3165</v>
      </c>
      <c r="C1275" t="s">
        <v>3166</v>
      </c>
      <c r="D1275" t="s">
        <v>3167</v>
      </c>
      <c r="E1275" t="s">
        <v>1404</v>
      </c>
      <c r="F1275" s="253" t="s">
        <v>1224</v>
      </c>
    </row>
    <row r="1276" spans="1:6" x14ac:dyDescent="0.2">
      <c r="A1276" s="243" t="s">
        <v>1621</v>
      </c>
      <c r="B1276" t="s">
        <v>3168</v>
      </c>
      <c r="C1276" t="s">
        <v>3169</v>
      </c>
      <c r="D1276" t="s">
        <v>3170</v>
      </c>
      <c r="E1276" t="s">
        <v>1404</v>
      </c>
      <c r="F1276" s="253" t="s">
        <v>1224</v>
      </c>
    </row>
    <row r="1277" spans="1:6" x14ac:dyDescent="0.2">
      <c r="A1277" s="243" t="s">
        <v>1621</v>
      </c>
      <c r="B1277" t="s">
        <v>3171</v>
      </c>
      <c r="C1277" t="s">
        <v>3172</v>
      </c>
      <c r="D1277" t="s">
        <v>3173</v>
      </c>
      <c r="E1277" t="s">
        <v>1404</v>
      </c>
      <c r="F1277" s="253" t="s">
        <v>1224</v>
      </c>
    </row>
    <row r="1278" spans="1:6" x14ac:dyDescent="0.2">
      <c r="A1278" s="243" t="s">
        <v>1621</v>
      </c>
      <c r="B1278" t="s">
        <v>3174</v>
      </c>
      <c r="C1278" t="s">
        <v>3175</v>
      </c>
      <c r="D1278" t="s">
        <v>3176</v>
      </c>
      <c r="E1278" t="s">
        <v>1407</v>
      </c>
      <c r="F1278" s="253" t="s">
        <v>1224</v>
      </c>
    </row>
    <row r="1279" spans="1:6" x14ac:dyDescent="0.2">
      <c r="A1279" s="243" t="s">
        <v>1621</v>
      </c>
      <c r="B1279" t="s">
        <v>3177</v>
      </c>
      <c r="C1279" t="s">
        <v>3178</v>
      </c>
      <c r="D1279" t="s">
        <v>3179</v>
      </c>
      <c r="E1279" t="s">
        <v>1407</v>
      </c>
      <c r="F1279" s="253" t="s">
        <v>1224</v>
      </c>
    </row>
    <row r="1280" spans="1:6" x14ac:dyDescent="0.2">
      <c r="A1280" s="243" t="s">
        <v>1621</v>
      </c>
      <c r="B1280" t="s">
        <v>3180</v>
      </c>
      <c r="C1280" t="s">
        <v>3181</v>
      </c>
      <c r="D1280" t="s">
        <v>3182</v>
      </c>
      <c r="E1280" t="s">
        <v>1407</v>
      </c>
      <c r="F1280" s="253" t="s">
        <v>1224</v>
      </c>
    </row>
    <row r="1281" spans="1:6" x14ac:dyDescent="0.2">
      <c r="A1281" s="243" t="s">
        <v>1621</v>
      </c>
      <c r="B1281" t="s">
        <v>3183</v>
      </c>
      <c r="C1281" t="s">
        <v>3184</v>
      </c>
      <c r="D1281" t="s">
        <v>3185</v>
      </c>
      <c r="E1281" t="s">
        <v>1407</v>
      </c>
      <c r="F1281" s="253" t="s">
        <v>1224</v>
      </c>
    </row>
    <row r="1282" spans="1:6" x14ac:dyDescent="0.2">
      <c r="A1282" s="243" t="s">
        <v>1621</v>
      </c>
      <c r="B1282" t="s">
        <v>3186</v>
      </c>
      <c r="C1282" t="s">
        <v>3187</v>
      </c>
      <c r="D1282" t="s">
        <v>3188</v>
      </c>
      <c r="E1282" t="s">
        <v>1407</v>
      </c>
      <c r="F1282" s="253" t="s">
        <v>1224</v>
      </c>
    </row>
    <row r="1283" spans="1:6" x14ac:dyDescent="0.2">
      <c r="A1283" s="243" t="s">
        <v>1621</v>
      </c>
      <c r="B1283" t="s">
        <v>3189</v>
      </c>
      <c r="C1283" t="s">
        <v>3190</v>
      </c>
      <c r="D1283" t="s">
        <v>3191</v>
      </c>
      <c r="E1283" t="s">
        <v>1407</v>
      </c>
      <c r="F1283" s="253" t="s">
        <v>1224</v>
      </c>
    </row>
    <row r="1284" spans="1:6" x14ac:dyDescent="0.2">
      <c r="A1284" s="243" t="s">
        <v>1621</v>
      </c>
      <c r="B1284" t="s">
        <v>3192</v>
      </c>
      <c r="C1284" t="s">
        <v>3193</v>
      </c>
      <c r="D1284" t="s">
        <v>3194</v>
      </c>
      <c r="E1284" t="s">
        <v>1407</v>
      </c>
      <c r="F1284" s="253" t="s">
        <v>1224</v>
      </c>
    </row>
    <row r="1285" spans="1:6" x14ac:dyDescent="0.2">
      <c r="A1285" s="243" t="s">
        <v>1621</v>
      </c>
      <c r="B1285" t="s">
        <v>3195</v>
      </c>
      <c r="C1285" t="s">
        <v>3196</v>
      </c>
      <c r="D1285" t="s">
        <v>3197</v>
      </c>
      <c r="E1285" t="s">
        <v>1407</v>
      </c>
      <c r="F1285" s="253" t="s">
        <v>1224</v>
      </c>
    </row>
    <row r="1286" spans="1:6" x14ac:dyDescent="0.2">
      <c r="A1286" s="243" t="s">
        <v>1621</v>
      </c>
      <c r="B1286" t="s">
        <v>3198</v>
      </c>
      <c r="C1286" t="s">
        <v>3199</v>
      </c>
      <c r="D1286" t="s">
        <v>3200</v>
      </c>
      <c r="E1286" t="s">
        <v>1407</v>
      </c>
      <c r="F1286" s="253" t="s">
        <v>1224</v>
      </c>
    </row>
    <row r="1287" spans="1:6" x14ac:dyDescent="0.2">
      <c r="A1287" s="243" t="s">
        <v>1621</v>
      </c>
      <c r="B1287" t="s">
        <v>3201</v>
      </c>
      <c r="C1287" t="s">
        <v>3202</v>
      </c>
      <c r="D1287" t="s">
        <v>3203</v>
      </c>
      <c r="E1287" t="s">
        <v>1407</v>
      </c>
      <c r="F1287" s="253" t="s">
        <v>1224</v>
      </c>
    </row>
    <row r="1288" spans="1:6" x14ac:dyDescent="0.2">
      <c r="A1288" s="243" t="s">
        <v>1621</v>
      </c>
      <c r="B1288" t="s">
        <v>3204</v>
      </c>
      <c r="C1288" t="s">
        <v>3205</v>
      </c>
      <c r="D1288" t="s">
        <v>3206</v>
      </c>
      <c r="E1288" t="s">
        <v>1407</v>
      </c>
      <c r="F1288" s="253" t="s">
        <v>1224</v>
      </c>
    </row>
    <row r="1289" spans="1:6" x14ac:dyDescent="0.2">
      <c r="A1289" s="243" t="s">
        <v>1621</v>
      </c>
      <c r="B1289" t="s">
        <v>3207</v>
      </c>
      <c r="C1289" t="s">
        <v>3208</v>
      </c>
      <c r="D1289" t="s">
        <v>3209</v>
      </c>
      <c r="E1289" t="s">
        <v>1410</v>
      </c>
      <c r="F1289" s="253" t="s">
        <v>1224</v>
      </c>
    </row>
    <row r="1290" spans="1:6" x14ac:dyDescent="0.2">
      <c r="A1290" s="243" t="s">
        <v>1621</v>
      </c>
      <c r="B1290" t="s">
        <v>3210</v>
      </c>
      <c r="C1290" t="s">
        <v>3211</v>
      </c>
      <c r="D1290" t="s">
        <v>3212</v>
      </c>
      <c r="E1290" t="s">
        <v>1410</v>
      </c>
      <c r="F1290" s="253" t="s">
        <v>1224</v>
      </c>
    </row>
    <row r="1291" spans="1:6" x14ac:dyDescent="0.2">
      <c r="A1291" s="243" t="s">
        <v>1621</v>
      </c>
      <c r="B1291" t="s">
        <v>3213</v>
      </c>
      <c r="C1291" t="s">
        <v>3214</v>
      </c>
      <c r="D1291" t="s">
        <v>3215</v>
      </c>
      <c r="E1291" t="s">
        <v>1410</v>
      </c>
      <c r="F1291" s="253" t="s">
        <v>1224</v>
      </c>
    </row>
    <row r="1292" spans="1:6" x14ac:dyDescent="0.2">
      <c r="A1292" s="243" t="s">
        <v>1621</v>
      </c>
      <c r="B1292" t="s">
        <v>3216</v>
      </c>
      <c r="C1292" t="s">
        <v>3217</v>
      </c>
      <c r="D1292" t="s">
        <v>3218</v>
      </c>
      <c r="E1292" t="s">
        <v>1410</v>
      </c>
      <c r="F1292" s="253" t="s">
        <v>1224</v>
      </c>
    </row>
    <row r="1293" spans="1:6" x14ac:dyDescent="0.2">
      <c r="A1293" s="243" t="s">
        <v>1621</v>
      </c>
      <c r="B1293" t="s">
        <v>3219</v>
      </c>
      <c r="C1293" t="s">
        <v>3220</v>
      </c>
      <c r="D1293" t="s">
        <v>3221</v>
      </c>
      <c r="E1293" t="s">
        <v>1410</v>
      </c>
      <c r="F1293" s="253" t="s">
        <v>1224</v>
      </c>
    </row>
    <row r="1294" spans="1:6" x14ac:dyDescent="0.2">
      <c r="A1294" s="243" t="s">
        <v>1621</v>
      </c>
      <c r="B1294" t="s">
        <v>3222</v>
      </c>
      <c r="C1294" t="s">
        <v>3223</v>
      </c>
      <c r="D1294" t="s">
        <v>3224</v>
      </c>
      <c r="E1294" t="s">
        <v>1410</v>
      </c>
      <c r="F1294" s="253" t="s">
        <v>1224</v>
      </c>
    </row>
    <row r="1295" spans="1:6" x14ac:dyDescent="0.2">
      <c r="A1295" s="243" t="s">
        <v>1621</v>
      </c>
      <c r="B1295" t="s">
        <v>3225</v>
      </c>
      <c r="C1295" t="s">
        <v>1790</v>
      </c>
      <c r="D1295" t="s">
        <v>1791</v>
      </c>
      <c r="E1295" t="s">
        <v>1410</v>
      </c>
      <c r="F1295" s="253" t="s">
        <v>1224</v>
      </c>
    </row>
    <row r="1296" spans="1:6" x14ac:dyDescent="0.2">
      <c r="A1296" s="243" t="s">
        <v>1621</v>
      </c>
      <c r="B1296" t="s">
        <v>3226</v>
      </c>
      <c r="C1296" t="s">
        <v>3227</v>
      </c>
      <c r="D1296" t="s">
        <v>3228</v>
      </c>
      <c r="E1296" t="s">
        <v>1410</v>
      </c>
      <c r="F1296" s="253" t="s">
        <v>1224</v>
      </c>
    </row>
    <row r="1297" spans="1:6" x14ac:dyDescent="0.2">
      <c r="A1297" s="243" t="s">
        <v>1621</v>
      </c>
      <c r="B1297" t="s">
        <v>3229</v>
      </c>
      <c r="C1297" t="s">
        <v>3230</v>
      </c>
      <c r="D1297" t="s">
        <v>3231</v>
      </c>
      <c r="E1297" t="s">
        <v>1413</v>
      </c>
      <c r="F1297" s="253" t="s">
        <v>1224</v>
      </c>
    </row>
    <row r="1298" spans="1:6" x14ac:dyDescent="0.2">
      <c r="A1298" s="243" t="s">
        <v>1621</v>
      </c>
      <c r="B1298" t="s">
        <v>3232</v>
      </c>
      <c r="C1298" t="s">
        <v>3233</v>
      </c>
      <c r="D1298" t="s">
        <v>3234</v>
      </c>
      <c r="E1298" t="s">
        <v>1413</v>
      </c>
      <c r="F1298" s="253" t="s">
        <v>1224</v>
      </c>
    </row>
    <row r="1299" spans="1:6" x14ac:dyDescent="0.2">
      <c r="A1299" s="243" t="s">
        <v>1621</v>
      </c>
      <c r="B1299" t="s">
        <v>3235</v>
      </c>
      <c r="C1299" t="s">
        <v>3236</v>
      </c>
      <c r="D1299" t="s">
        <v>3237</v>
      </c>
      <c r="E1299" t="s">
        <v>1413</v>
      </c>
      <c r="F1299" s="253" t="s">
        <v>1224</v>
      </c>
    </row>
    <row r="1300" spans="1:6" x14ac:dyDescent="0.2">
      <c r="A1300" s="243" t="s">
        <v>1621</v>
      </c>
      <c r="B1300" t="s">
        <v>3238</v>
      </c>
      <c r="C1300" t="s">
        <v>3239</v>
      </c>
      <c r="D1300" t="s">
        <v>3240</v>
      </c>
      <c r="E1300" t="s">
        <v>1413</v>
      </c>
      <c r="F1300" s="253" t="s">
        <v>1224</v>
      </c>
    </row>
    <row r="1301" spans="1:6" x14ac:dyDescent="0.2">
      <c r="A1301" s="243" t="s">
        <v>1621</v>
      </c>
      <c r="B1301" t="s">
        <v>3241</v>
      </c>
      <c r="C1301" t="s">
        <v>3242</v>
      </c>
      <c r="D1301" t="s">
        <v>3243</v>
      </c>
      <c r="E1301" t="s">
        <v>1413</v>
      </c>
      <c r="F1301" s="253" t="s">
        <v>1224</v>
      </c>
    </row>
    <row r="1302" spans="1:6" x14ac:dyDescent="0.2">
      <c r="A1302" s="243" t="s">
        <v>1621</v>
      </c>
      <c r="B1302" t="s">
        <v>3244</v>
      </c>
      <c r="C1302" t="s">
        <v>3245</v>
      </c>
      <c r="D1302" t="s">
        <v>3246</v>
      </c>
      <c r="E1302" t="s">
        <v>1413</v>
      </c>
      <c r="F1302" s="253" t="s">
        <v>1224</v>
      </c>
    </row>
    <row r="1303" spans="1:6" x14ac:dyDescent="0.2">
      <c r="A1303" s="243" t="s">
        <v>1621</v>
      </c>
      <c r="B1303" t="s">
        <v>3247</v>
      </c>
      <c r="C1303" t="s">
        <v>3248</v>
      </c>
      <c r="D1303" t="s">
        <v>3249</v>
      </c>
      <c r="E1303" t="s">
        <v>1413</v>
      </c>
      <c r="F1303" s="253" t="s">
        <v>1224</v>
      </c>
    </row>
    <row r="1304" spans="1:6" x14ac:dyDescent="0.2">
      <c r="A1304" s="243" t="s">
        <v>1621</v>
      </c>
      <c r="B1304" t="s">
        <v>3250</v>
      </c>
      <c r="C1304" t="s">
        <v>3251</v>
      </c>
      <c r="D1304" t="s">
        <v>3252</v>
      </c>
      <c r="E1304" t="s">
        <v>1413</v>
      </c>
      <c r="F1304" s="253" t="s">
        <v>1224</v>
      </c>
    </row>
    <row r="1305" spans="1:6" x14ac:dyDescent="0.2">
      <c r="A1305" s="243" t="s">
        <v>1621</v>
      </c>
      <c r="B1305" t="s">
        <v>3253</v>
      </c>
      <c r="C1305" t="s">
        <v>3254</v>
      </c>
      <c r="D1305" t="s">
        <v>3255</v>
      </c>
      <c r="E1305" t="s">
        <v>1413</v>
      </c>
      <c r="F1305" s="253" t="s">
        <v>1224</v>
      </c>
    </row>
    <row r="1306" spans="1:6" x14ac:dyDescent="0.2">
      <c r="A1306" s="243" t="s">
        <v>1621</v>
      </c>
      <c r="B1306" t="s">
        <v>3256</v>
      </c>
      <c r="C1306" t="s">
        <v>3257</v>
      </c>
      <c r="D1306" t="s">
        <v>3258</v>
      </c>
      <c r="E1306" t="s">
        <v>1413</v>
      </c>
      <c r="F1306" s="253" t="s">
        <v>1224</v>
      </c>
    </row>
    <row r="1307" spans="1:6" x14ac:dyDescent="0.2">
      <c r="A1307" s="243" t="s">
        <v>1621</v>
      </c>
      <c r="B1307" t="s">
        <v>3259</v>
      </c>
      <c r="C1307" t="s">
        <v>3260</v>
      </c>
      <c r="D1307" t="s">
        <v>3261</v>
      </c>
      <c r="E1307" t="s">
        <v>1413</v>
      </c>
      <c r="F1307" s="253" t="s">
        <v>1224</v>
      </c>
    </row>
    <row r="1308" spans="1:6" x14ac:dyDescent="0.2">
      <c r="A1308" s="243" t="s">
        <v>1621</v>
      </c>
      <c r="B1308" t="s">
        <v>3262</v>
      </c>
      <c r="C1308" t="s">
        <v>3263</v>
      </c>
      <c r="D1308" t="s">
        <v>3264</v>
      </c>
      <c r="E1308" t="s">
        <v>1413</v>
      </c>
      <c r="F1308" s="253" t="s">
        <v>1224</v>
      </c>
    </row>
    <row r="1309" spans="1:6" x14ac:dyDescent="0.2">
      <c r="A1309" s="243" t="s">
        <v>1621</v>
      </c>
      <c r="B1309" t="s">
        <v>3265</v>
      </c>
      <c r="C1309" t="s">
        <v>3266</v>
      </c>
      <c r="D1309" t="s">
        <v>3267</v>
      </c>
      <c r="E1309" t="s">
        <v>1416</v>
      </c>
      <c r="F1309" s="253" t="s">
        <v>1224</v>
      </c>
    </row>
    <row r="1310" spans="1:6" x14ac:dyDescent="0.2">
      <c r="A1310" s="243" t="s">
        <v>1621</v>
      </c>
      <c r="B1310" t="s">
        <v>3268</v>
      </c>
      <c r="C1310" t="s">
        <v>3269</v>
      </c>
      <c r="D1310" t="s">
        <v>3270</v>
      </c>
      <c r="E1310" t="s">
        <v>1416</v>
      </c>
      <c r="F1310" s="253" t="s">
        <v>1224</v>
      </c>
    </row>
    <row r="1311" spans="1:6" x14ac:dyDescent="0.2">
      <c r="A1311" s="243" t="s">
        <v>1621</v>
      </c>
      <c r="B1311" t="s">
        <v>3271</v>
      </c>
      <c r="C1311" t="s">
        <v>3272</v>
      </c>
      <c r="D1311" t="s">
        <v>3273</v>
      </c>
      <c r="E1311" t="s">
        <v>1416</v>
      </c>
      <c r="F1311" s="253" t="s">
        <v>1224</v>
      </c>
    </row>
    <row r="1312" spans="1:6" x14ac:dyDescent="0.2">
      <c r="A1312" s="243" t="s">
        <v>1621</v>
      </c>
      <c r="B1312" t="s">
        <v>3274</v>
      </c>
      <c r="C1312" t="s">
        <v>3275</v>
      </c>
      <c r="D1312" t="s">
        <v>3276</v>
      </c>
      <c r="E1312" t="s">
        <v>1416</v>
      </c>
      <c r="F1312" s="253" t="s">
        <v>1224</v>
      </c>
    </row>
    <row r="1313" spans="1:6" x14ac:dyDescent="0.2">
      <c r="A1313" s="243" t="s">
        <v>1621</v>
      </c>
      <c r="B1313" t="s">
        <v>3277</v>
      </c>
      <c r="C1313" t="s">
        <v>3278</v>
      </c>
      <c r="D1313" t="s">
        <v>3279</v>
      </c>
      <c r="E1313" t="s">
        <v>1416</v>
      </c>
      <c r="F1313" s="253" t="s">
        <v>1224</v>
      </c>
    </row>
    <row r="1314" spans="1:6" x14ac:dyDescent="0.2">
      <c r="A1314" s="243" t="s">
        <v>1621</v>
      </c>
      <c r="B1314" t="s">
        <v>3280</v>
      </c>
      <c r="C1314" t="s">
        <v>3281</v>
      </c>
      <c r="D1314" t="s">
        <v>3282</v>
      </c>
      <c r="E1314" t="s">
        <v>1416</v>
      </c>
      <c r="F1314" s="253" t="s">
        <v>1224</v>
      </c>
    </row>
    <row r="1315" spans="1:6" x14ac:dyDescent="0.2">
      <c r="A1315" s="243" t="s">
        <v>1621</v>
      </c>
      <c r="B1315" t="s">
        <v>3283</v>
      </c>
      <c r="C1315" t="s">
        <v>3284</v>
      </c>
      <c r="D1315" t="s">
        <v>3285</v>
      </c>
      <c r="E1315" t="s">
        <v>1416</v>
      </c>
      <c r="F1315" s="253" t="s">
        <v>1224</v>
      </c>
    </row>
    <row r="1316" spans="1:6" x14ac:dyDescent="0.2">
      <c r="A1316" s="243" t="s">
        <v>1621</v>
      </c>
      <c r="B1316" t="s">
        <v>3286</v>
      </c>
      <c r="C1316" t="s">
        <v>3287</v>
      </c>
      <c r="D1316" t="s">
        <v>3288</v>
      </c>
      <c r="E1316" t="s">
        <v>1419</v>
      </c>
      <c r="F1316" s="253" t="s">
        <v>1224</v>
      </c>
    </row>
    <row r="1317" spans="1:6" x14ac:dyDescent="0.2">
      <c r="A1317" s="243" t="s">
        <v>1621</v>
      </c>
      <c r="B1317" t="s">
        <v>3289</v>
      </c>
      <c r="C1317" t="s">
        <v>2162</v>
      </c>
      <c r="D1317" t="s">
        <v>2163</v>
      </c>
      <c r="E1317" t="s">
        <v>1419</v>
      </c>
      <c r="F1317" s="253" t="s">
        <v>1224</v>
      </c>
    </row>
    <row r="1318" spans="1:6" x14ac:dyDescent="0.2">
      <c r="A1318" s="243" t="s">
        <v>1621</v>
      </c>
      <c r="B1318" t="s">
        <v>3290</v>
      </c>
      <c r="C1318" t="s">
        <v>3291</v>
      </c>
      <c r="D1318" t="s">
        <v>3292</v>
      </c>
      <c r="E1318" t="s">
        <v>1419</v>
      </c>
      <c r="F1318" s="253" t="s">
        <v>1224</v>
      </c>
    </row>
    <row r="1319" spans="1:6" x14ac:dyDescent="0.2">
      <c r="A1319" s="243" t="s">
        <v>1621</v>
      </c>
      <c r="B1319" t="s">
        <v>3293</v>
      </c>
      <c r="C1319" t="s">
        <v>3294</v>
      </c>
      <c r="D1319" t="s">
        <v>3295</v>
      </c>
      <c r="E1319" t="s">
        <v>1419</v>
      </c>
      <c r="F1319" s="253" t="s">
        <v>1224</v>
      </c>
    </row>
    <row r="1320" spans="1:6" x14ac:dyDescent="0.2">
      <c r="A1320" s="243" t="s">
        <v>1621</v>
      </c>
      <c r="B1320" t="s">
        <v>3296</v>
      </c>
      <c r="C1320" t="s">
        <v>3297</v>
      </c>
      <c r="D1320" t="s">
        <v>3298</v>
      </c>
      <c r="E1320" t="s">
        <v>1419</v>
      </c>
      <c r="F1320" s="253" t="s">
        <v>1224</v>
      </c>
    </row>
    <row r="1321" spans="1:6" x14ac:dyDescent="0.2">
      <c r="A1321" s="243" t="s">
        <v>1621</v>
      </c>
      <c r="B1321" t="s">
        <v>3299</v>
      </c>
      <c r="C1321" t="s">
        <v>1990</v>
      </c>
      <c r="D1321" t="s">
        <v>1991</v>
      </c>
      <c r="E1321" t="s">
        <v>1419</v>
      </c>
      <c r="F1321" s="253" t="s">
        <v>1224</v>
      </c>
    </row>
    <row r="1322" spans="1:6" x14ac:dyDescent="0.2">
      <c r="A1322" s="243" t="s">
        <v>1621</v>
      </c>
      <c r="B1322" t="s">
        <v>3300</v>
      </c>
      <c r="C1322" t="s">
        <v>3301</v>
      </c>
      <c r="D1322" t="s">
        <v>3302</v>
      </c>
      <c r="E1322" t="s">
        <v>1419</v>
      </c>
      <c r="F1322" s="253" t="s">
        <v>1224</v>
      </c>
    </row>
    <row r="1323" spans="1:6" x14ac:dyDescent="0.2">
      <c r="A1323" s="243" t="s">
        <v>1621</v>
      </c>
      <c r="B1323" t="s">
        <v>3303</v>
      </c>
      <c r="C1323" t="s">
        <v>2209</v>
      </c>
      <c r="D1323" t="s">
        <v>2210</v>
      </c>
      <c r="E1323" t="s">
        <v>1419</v>
      </c>
      <c r="F1323" s="253" t="s">
        <v>1224</v>
      </c>
    </row>
    <row r="1324" spans="1:6" x14ac:dyDescent="0.2">
      <c r="A1324" s="243" t="s">
        <v>1621</v>
      </c>
      <c r="B1324" t="s">
        <v>3304</v>
      </c>
      <c r="C1324" t="s">
        <v>3305</v>
      </c>
      <c r="D1324" t="s">
        <v>3306</v>
      </c>
      <c r="E1324" t="s">
        <v>1419</v>
      </c>
      <c r="F1324" s="253" t="s">
        <v>1224</v>
      </c>
    </row>
    <row r="1325" spans="1:6" x14ac:dyDescent="0.2">
      <c r="A1325" s="243" t="s">
        <v>1621</v>
      </c>
      <c r="B1325" t="s">
        <v>3307</v>
      </c>
      <c r="C1325" t="s">
        <v>3308</v>
      </c>
      <c r="D1325" t="s">
        <v>3309</v>
      </c>
      <c r="E1325" t="s">
        <v>1422</v>
      </c>
      <c r="F1325" s="253" t="s">
        <v>1224</v>
      </c>
    </row>
    <row r="1326" spans="1:6" x14ac:dyDescent="0.2">
      <c r="A1326" s="243" t="s">
        <v>1621</v>
      </c>
      <c r="B1326" t="s">
        <v>3310</v>
      </c>
      <c r="C1326" t="s">
        <v>3311</v>
      </c>
      <c r="D1326" t="s">
        <v>3312</v>
      </c>
      <c r="E1326" t="s">
        <v>1422</v>
      </c>
      <c r="F1326" s="253" t="s">
        <v>1224</v>
      </c>
    </row>
    <row r="1327" spans="1:6" x14ac:dyDescent="0.2">
      <c r="A1327" s="243" t="s">
        <v>1621</v>
      </c>
      <c r="B1327" t="s">
        <v>3313</v>
      </c>
      <c r="C1327" t="s">
        <v>3314</v>
      </c>
      <c r="D1327" t="s">
        <v>3315</v>
      </c>
      <c r="E1327" t="s">
        <v>1422</v>
      </c>
      <c r="F1327" s="253" t="s">
        <v>1224</v>
      </c>
    </row>
    <row r="1328" spans="1:6" x14ac:dyDescent="0.2">
      <c r="A1328" s="243" t="s">
        <v>1621</v>
      </c>
      <c r="B1328" t="s">
        <v>3316</v>
      </c>
      <c r="C1328" t="s">
        <v>3317</v>
      </c>
      <c r="D1328" t="s">
        <v>3318</v>
      </c>
      <c r="E1328" t="s">
        <v>1422</v>
      </c>
      <c r="F1328" s="253" t="s">
        <v>1224</v>
      </c>
    </row>
    <row r="1329" spans="1:6" x14ac:dyDescent="0.2">
      <c r="A1329" s="243" t="s">
        <v>1621</v>
      </c>
      <c r="B1329" t="s">
        <v>3319</v>
      </c>
      <c r="C1329" t="s">
        <v>1790</v>
      </c>
      <c r="D1329" t="s">
        <v>1791</v>
      </c>
      <c r="E1329" t="s">
        <v>1422</v>
      </c>
      <c r="F1329" s="253" t="s">
        <v>1224</v>
      </c>
    </row>
    <row r="1330" spans="1:6" x14ac:dyDescent="0.2">
      <c r="A1330" s="243" t="s">
        <v>1621</v>
      </c>
      <c r="B1330" t="s">
        <v>3320</v>
      </c>
      <c r="C1330" t="s">
        <v>3321</v>
      </c>
      <c r="D1330" t="s">
        <v>3322</v>
      </c>
      <c r="E1330" t="s">
        <v>1422</v>
      </c>
      <c r="F1330" s="253" t="s">
        <v>1224</v>
      </c>
    </row>
    <row r="1331" spans="1:6" x14ac:dyDescent="0.2">
      <c r="A1331" s="243" t="s">
        <v>1621</v>
      </c>
      <c r="B1331" t="s">
        <v>3323</v>
      </c>
      <c r="C1331" t="s">
        <v>3324</v>
      </c>
      <c r="D1331" t="s">
        <v>3325</v>
      </c>
      <c r="E1331" t="s">
        <v>1422</v>
      </c>
      <c r="F1331" s="253" t="s">
        <v>1224</v>
      </c>
    </row>
    <row r="1332" spans="1:6" x14ac:dyDescent="0.2">
      <c r="A1332" s="243" t="s">
        <v>1621</v>
      </c>
      <c r="B1332" t="s">
        <v>3326</v>
      </c>
      <c r="C1332" t="s">
        <v>3327</v>
      </c>
      <c r="D1332" t="s">
        <v>3328</v>
      </c>
      <c r="E1332" t="s">
        <v>1422</v>
      </c>
      <c r="F1332" s="253" t="s">
        <v>1224</v>
      </c>
    </row>
    <row r="1333" spans="1:6" x14ac:dyDescent="0.2">
      <c r="A1333" s="243" t="s">
        <v>1621</v>
      </c>
      <c r="B1333" t="s">
        <v>3329</v>
      </c>
      <c r="C1333" t="s">
        <v>3330</v>
      </c>
      <c r="D1333" t="s">
        <v>3331</v>
      </c>
      <c r="E1333" t="s">
        <v>1422</v>
      </c>
      <c r="F1333" s="253" t="s">
        <v>1224</v>
      </c>
    </row>
    <row r="1334" spans="1:6" x14ac:dyDescent="0.2">
      <c r="A1334" s="243" t="s">
        <v>1621</v>
      </c>
      <c r="B1334" t="s">
        <v>3332</v>
      </c>
      <c r="C1334" t="s">
        <v>2798</v>
      </c>
      <c r="D1334" t="s">
        <v>2799</v>
      </c>
      <c r="E1334" t="s">
        <v>1425</v>
      </c>
      <c r="F1334" s="253" t="s">
        <v>1218</v>
      </c>
    </row>
    <row r="1335" spans="1:6" x14ac:dyDescent="0.2">
      <c r="A1335" s="243" t="s">
        <v>1621</v>
      </c>
      <c r="B1335" t="s">
        <v>3333</v>
      </c>
      <c r="C1335" t="s">
        <v>2439</v>
      </c>
      <c r="D1335" t="s">
        <v>2440</v>
      </c>
      <c r="E1335" t="s">
        <v>1425</v>
      </c>
      <c r="F1335" s="253" t="s">
        <v>1218</v>
      </c>
    </row>
    <row r="1336" spans="1:6" x14ac:dyDescent="0.2">
      <c r="A1336" s="243" t="s">
        <v>1621</v>
      </c>
      <c r="B1336" t="s">
        <v>3334</v>
      </c>
      <c r="C1336" t="s">
        <v>3335</v>
      </c>
      <c r="D1336" t="s">
        <v>3336</v>
      </c>
      <c r="E1336" t="s">
        <v>1425</v>
      </c>
      <c r="F1336" s="253" t="s">
        <v>1218</v>
      </c>
    </row>
    <row r="1337" spans="1:6" x14ac:dyDescent="0.2">
      <c r="A1337" s="243" t="s">
        <v>1621</v>
      </c>
      <c r="B1337" t="s">
        <v>3337</v>
      </c>
      <c r="C1337" t="s">
        <v>3338</v>
      </c>
      <c r="D1337" t="s">
        <v>3339</v>
      </c>
      <c r="E1337" t="s">
        <v>1425</v>
      </c>
      <c r="F1337" s="253" t="s">
        <v>1218</v>
      </c>
    </row>
    <row r="1338" spans="1:6" x14ac:dyDescent="0.2">
      <c r="A1338" s="243" t="s">
        <v>1621</v>
      </c>
      <c r="B1338" t="s">
        <v>3340</v>
      </c>
      <c r="C1338" t="s">
        <v>3341</v>
      </c>
      <c r="D1338" t="s">
        <v>3342</v>
      </c>
      <c r="E1338" t="s">
        <v>1425</v>
      </c>
      <c r="F1338" s="253" t="s">
        <v>1218</v>
      </c>
    </row>
    <row r="1339" spans="1:6" x14ac:dyDescent="0.2">
      <c r="A1339" s="243" t="s">
        <v>1621</v>
      </c>
      <c r="B1339" t="s">
        <v>3343</v>
      </c>
      <c r="C1339" t="s">
        <v>3344</v>
      </c>
      <c r="D1339" t="s">
        <v>3345</v>
      </c>
      <c r="E1339" t="s">
        <v>1425</v>
      </c>
      <c r="F1339" s="253" t="s">
        <v>1218</v>
      </c>
    </row>
    <row r="1340" spans="1:6" x14ac:dyDescent="0.2">
      <c r="A1340" s="243" t="s">
        <v>1621</v>
      </c>
      <c r="B1340" t="s">
        <v>3346</v>
      </c>
      <c r="C1340" t="s">
        <v>3347</v>
      </c>
      <c r="D1340" t="s">
        <v>3348</v>
      </c>
      <c r="E1340" t="s">
        <v>1425</v>
      </c>
      <c r="F1340" s="253" t="s">
        <v>1218</v>
      </c>
    </row>
    <row r="1341" spans="1:6" x14ac:dyDescent="0.2">
      <c r="A1341" s="243" t="s">
        <v>1621</v>
      </c>
      <c r="B1341" t="s">
        <v>3349</v>
      </c>
      <c r="C1341" t="s">
        <v>3350</v>
      </c>
      <c r="D1341" t="s">
        <v>3351</v>
      </c>
      <c r="E1341" t="s">
        <v>1425</v>
      </c>
      <c r="F1341" s="253" t="s">
        <v>1218</v>
      </c>
    </row>
    <row r="1342" spans="1:6" x14ac:dyDescent="0.2">
      <c r="A1342" s="243" t="s">
        <v>1621</v>
      </c>
      <c r="B1342" t="s">
        <v>3352</v>
      </c>
      <c r="C1342" t="s">
        <v>3353</v>
      </c>
      <c r="D1342" t="s">
        <v>3354</v>
      </c>
      <c r="E1342" t="s">
        <v>1425</v>
      </c>
      <c r="F1342" s="253" t="s">
        <v>1218</v>
      </c>
    </row>
    <row r="1343" spans="1:6" x14ac:dyDescent="0.2">
      <c r="A1343" s="243" t="s">
        <v>1621</v>
      </c>
      <c r="B1343" t="s">
        <v>3355</v>
      </c>
      <c r="C1343" t="s">
        <v>3356</v>
      </c>
      <c r="D1343" t="s">
        <v>3357</v>
      </c>
      <c r="E1343" t="s">
        <v>1425</v>
      </c>
      <c r="F1343" s="253" t="s">
        <v>1218</v>
      </c>
    </row>
    <row r="1344" spans="1:6" x14ac:dyDescent="0.2">
      <c r="A1344" s="243" t="s">
        <v>1621</v>
      </c>
      <c r="B1344" t="s">
        <v>3358</v>
      </c>
      <c r="C1344" t="s">
        <v>3359</v>
      </c>
      <c r="D1344" t="s">
        <v>3360</v>
      </c>
      <c r="E1344" t="s">
        <v>1428</v>
      </c>
      <c r="F1344" s="253" t="s">
        <v>1218</v>
      </c>
    </row>
    <row r="1345" spans="1:6" x14ac:dyDescent="0.2">
      <c r="A1345" s="243" t="s">
        <v>1621</v>
      </c>
      <c r="B1345" t="s">
        <v>3361</v>
      </c>
      <c r="C1345" t="s">
        <v>3362</v>
      </c>
      <c r="D1345" t="s">
        <v>3363</v>
      </c>
      <c r="E1345" t="s">
        <v>1428</v>
      </c>
      <c r="F1345" s="253" t="s">
        <v>1218</v>
      </c>
    </row>
    <row r="1346" spans="1:6" x14ac:dyDescent="0.2">
      <c r="A1346" s="243" t="s">
        <v>1621</v>
      </c>
      <c r="B1346" t="s">
        <v>3364</v>
      </c>
      <c r="C1346" t="s">
        <v>3365</v>
      </c>
      <c r="D1346" t="s">
        <v>3366</v>
      </c>
      <c r="E1346" t="s">
        <v>1428</v>
      </c>
      <c r="F1346" s="253" t="s">
        <v>1218</v>
      </c>
    </row>
    <row r="1347" spans="1:6" x14ac:dyDescent="0.2">
      <c r="A1347" s="243" t="s">
        <v>1621</v>
      </c>
      <c r="B1347" t="s">
        <v>3367</v>
      </c>
      <c r="C1347" t="s">
        <v>3368</v>
      </c>
      <c r="D1347" t="s">
        <v>3369</v>
      </c>
      <c r="E1347" t="s">
        <v>1428</v>
      </c>
      <c r="F1347" s="253" t="s">
        <v>1218</v>
      </c>
    </row>
    <row r="1348" spans="1:6" x14ac:dyDescent="0.2">
      <c r="A1348" s="243" t="s">
        <v>1621</v>
      </c>
      <c r="B1348" t="s">
        <v>3370</v>
      </c>
      <c r="C1348" t="s">
        <v>3248</v>
      </c>
      <c r="D1348" t="s">
        <v>3249</v>
      </c>
      <c r="E1348" t="s">
        <v>1428</v>
      </c>
      <c r="F1348" s="253" t="s">
        <v>1218</v>
      </c>
    </row>
    <row r="1349" spans="1:6" x14ac:dyDescent="0.2">
      <c r="A1349" s="243" t="s">
        <v>1621</v>
      </c>
      <c r="B1349" t="s">
        <v>3371</v>
      </c>
      <c r="C1349" t="s">
        <v>2837</v>
      </c>
      <c r="D1349" t="s">
        <v>2838</v>
      </c>
      <c r="E1349" t="s">
        <v>1428</v>
      </c>
      <c r="F1349" s="253" t="s">
        <v>1218</v>
      </c>
    </row>
    <row r="1350" spans="1:6" x14ac:dyDescent="0.2">
      <c r="A1350" s="243" t="s">
        <v>1621</v>
      </c>
      <c r="B1350" t="s">
        <v>3372</v>
      </c>
      <c r="C1350" t="s">
        <v>3373</v>
      </c>
      <c r="D1350" t="s">
        <v>3374</v>
      </c>
      <c r="E1350" t="s">
        <v>1428</v>
      </c>
      <c r="F1350" s="253" t="s">
        <v>1218</v>
      </c>
    </row>
    <row r="1351" spans="1:6" x14ac:dyDescent="0.2">
      <c r="A1351" s="243" t="s">
        <v>1621</v>
      </c>
      <c r="B1351" t="s">
        <v>3375</v>
      </c>
      <c r="C1351" t="s">
        <v>3376</v>
      </c>
      <c r="D1351" t="s">
        <v>3377</v>
      </c>
      <c r="E1351" t="s">
        <v>1428</v>
      </c>
      <c r="F1351" s="253" t="s">
        <v>1218</v>
      </c>
    </row>
    <row r="1352" spans="1:6" x14ac:dyDescent="0.2">
      <c r="A1352" s="243" t="s">
        <v>1621</v>
      </c>
      <c r="B1352" t="s">
        <v>3378</v>
      </c>
      <c r="C1352" t="s">
        <v>3379</v>
      </c>
      <c r="D1352" t="s">
        <v>3380</v>
      </c>
      <c r="E1352" t="s">
        <v>1428</v>
      </c>
      <c r="F1352" s="253" t="s">
        <v>1218</v>
      </c>
    </row>
    <row r="1353" spans="1:6" x14ac:dyDescent="0.2">
      <c r="A1353" s="243" t="s">
        <v>1621</v>
      </c>
      <c r="B1353" t="s">
        <v>3381</v>
      </c>
      <c r="C1353" t="s">
        <v>3382</v>
      </c>
      <c r="D1353" t="s">
        <v>3383</v>
      </c>
      <c r="E1353" t="s">
        <v>1428</v>
      </c>
      <c r="F1353" s="253" t="s">
        <v>1218</v>
      </c>
    </row>
    <row r="1354" spans="1:6" x14ac:dyDescent="0.2">
      <c r="A1354" s="243" t="s">
        <v>1621</v>
      </c>
      <c r="B1354" t="s">
        <v>3384</v>
      </c>
      <c r="C1354" t="s">
        <v>1429</v>
      </c>
      <c r="D1354" t="s">
        <v>3385</v>
      </c>
      <c r="E1354" t="s">
        <v>1428</v>
      </c>
      <c r="F1354" s="253" t="s">
        <v>1218</v>
      </c>
    </row>
    <row r="1355" spans="1:6" x14ac:dyDescent="0.2">
      <c r="A1355" s="243" t="s">
        <v>1621</v>
      </c>
      <c r="B1355" t="s">
        <v>3386</v>
      </c>
      <c r="C1355" t="s">
        <v>3387</v>
      </c>
      <c r="D1355" t="s">
        <v>3388</v>
      </c>
      <c r="E1355" t="s">
        <v>1428</v>
      </c>
      <c r="F1355" s="253" t="s">
        <v>1218</v>
      </c>
    </row>
    <row r="1356" spans="1:6" x14ac:dyDescent="0.2">
      <c r="A1356" s="243" t="s">
        <v>1621</v>
      </c>
      <c r="B1356" t="s">
        <v>3389</v>
      </c>
      <c r="C1356" t="s">
        <v>2335</v>
      </c>
      <c r="D1356" t="s">
        <v>2336</v>
      </c>
      <c r="E1356" t="s">
        <v>1428</v>
      </c>
      <c r="F1356" s="253" t="s">
        <v>1218</v>
      </c>
    </row>
    <row r="1357" spans="1:6" x14ac:dyDescent="0.2">
      <c r="A1357" s="243" t="s">
        <v>1621</v>
      </c>
      <c r="B1357" t="s">
        <v>3390</v>
      </c>
      <c r="C1357" t="s">
        <v>3391</v>
      </c>
      <c r="D1357" t="s">
        <v>3392</v>
      </c>
      <c r="E1357" t="s">
        <v>1428</v>
      </c>
      <c r="F1357" s="253" t="s">
        <v>1218</v>
      </c>
    </row>
    <row r="1358" spans="1:6" x14ac:dyDescent="0.2">
      <c r="A1358" s="243" t="s">
        <v>1621</v>
      </c>
      <c r="B1358" t="s">
        <v>3393</v>
      </c>
      <c r="C1358" t="s">
        <v>3394</v>
      </c>
      <c r="D1358" t="s">
        <v>3395</v>
      </c>
      <c r="E1358" t="s">
        <v>1428</v>
      </c>
      <c r="F1358" s="253" t="s">
        <v>1218</v>
      </c>
    </row>
    <row r="1359" spans="1:6" x14ac:dyDescent="0.2">
      <c r="A1359" s="243" t="s">
        <v>1621</v>
      </c>
      <c r="B1359" t="s">
        <v>3396</v>
      </c>
      <c r="C1359" t="s">
        <v>3397</v>
      </c>
      <c r="D1359" t="s">
        <v>3398</v>
      </c>
      <c r="E1359" t="s">
        <v>1428</v>
      </c>
      <c r="F1359" s="253" t="s">
        <v>1218</v>
      </c>
    </row>
    <row r="1360" spans="1:6" x14ac:dyDescent="0.2">
      <c r="A1360" s="243" t="s">
        <v>1621</v>
      </c>
      <c r="B1360" t="s">
        <v>3399</v>
      </c>
      <c r="C1360" t="s">
        <v>3400</v>
      </c>
      <c r="D1360" t="s">
        <v>3401</v>
      </c>
      <c r="E1360" t="s">
        <v>1428</v>
      </c>
      <c r="F1360" s="253" t="s">
        <v>1218</v>
      </c>
    </row>
    <row r="1361" spans="1:6" x14ac:dyDescent="0.2">
      <c r="A1361" s="243" t="s">
        <v>1621</v>
      </c>
      <c r="B1361" t="s">
        <v>3402</v>
      </c>
      <c r="C1361" t="s">
        <v>3403</v>
      </c>
      <c r="D1361" t="s">
        <v>3404</v>
      </c>
      <c r="E1361" t="s">
        <v>1431</v>
      </c>
      <c r="F1361" s="253" t="s">
        <v>1218</v>
      </c>
    </row>
    <row r="1362" spans="1:6" x14ac:dyDescent="0.2">
      <c r="A1362" s="243" t="s">
        <v>1621</v>
      </c>
      <c r="B1362" t="s">
        <v>3405</v>
      </c>
      <c r="C1362" t="s">
        <v>3406</v>
      </c>
      <c r="D1362" t="s">
        <v>3407</v>
      </c>
      <c r="E1362" t="s">
        <v>1431</v>
      </c>
      <c r="F1362" s="253" t="s">
        <v>1218</v>
      </c>
    </row>
    <row r="1363" spans="1:6" x14ac:dyDescent="0.2">
      <c r="A1363" s="243" t="s">
        <v>1621</v>
      </c>
      <c r="B1363" t="s">
        <v>3408</v>
      </c>
      <c r="C1363" t="s">
        <v>3409</v>
      </c>
      <c r="D1363" t="s">
        <v>3410</v>
      </c>
      <c r="E1363" t="s">
        <v>1431</v>
      </c>
      <c r="F1363" s="253" t="s">
        <v>1218</v>
      </c>
    </row>
    <row r="1364" spans="1:6" x14ac:dyDescent="0.2">
      <c r="A1364" s="243" t="s">
        <v>1621</v>
      </c>
      <c r="B1364" t="s">
        <v>3411</v>
      </c>
      <c r="C1364" t="s">
        <v>3412</v>
      </c>
      <c r="D1364" t="s">
        <v>3413</v>
      </c>
      <c r="E1364" t="s">
        <v>1431</v>
      </c>
      <c r="F1364" s="253" t="s">
        <v>1218</v>
      </c>
    </row>
    <row r="1365" spans="1:6" x14ac:dyDescent="0.2">
      <c r="A1365" s="243" t="s">
        <v>1621</v>
      </c>
      <c r="B1365" t="s">
        <v>3414</v>
      </c>
      <c r="C1365" t="s">
        <v>3415</v>
      </c>
      <c r="D1365" t="s">
        <v>3416</v>
      </c>
      <c r="E1365" t="s">
        <v>1431</v>
      </c>
      <c r="F1365" s="253" t="s">
        <v>1218</v>
      </c>
    </row>
    <row r="1366" spans="1:6" x14ac:dyDescent="0.2">
      <c r="A1366" s="243" t="s">
        <v>1621</v>
      </c>
      <c r="B1366" t="s">
        <v>3417</v>
      </c>
      <c r="C1366" t="s">
        <v>1950</v>
      </c>
      <c r="D1366" t="s">
        <v>1951</v>
      </c>
      <c r="E1366" t="s">
        <v>1431</v>
      </c>
      <c r="F1366" s="253" t="s">
        <v>1218</v>
      </c>
    </row>
    <row r="1367" spans="1:6" x14ac:dyDescent="0.2">
      <c r="A1367" s="243" t="s">
        <v>1621</v>
      </c>
      <c r="B1367" t="s">
        <v>3418</v>
      </c>
      <c r="C1367" t="s">
        <v>3419</v>
      </c>
      <c r="D1367" t="s">
        <v>3420</v>
      </c>
      <c r="E1367" t="s">
        <v>1431</v>
      </c>
      <c r="F1367" s="253" t="s">
        <v>1218</v>
      </c>
    </row>
    <row r="1368" spans="1:6" x14ac:dyDescent="0.2">
      <c r="A1368" s="243" t="s">
        <v>1621</v>
      </c>
      <c r="B1368" t="s">
        <v>3421</v>
      </c>
      <c r="C1368" t="s">
        <v>3422</v>
      </c>
      <c r="D1368" t="s">
        <v>3423</v>
      </c>
      <c r="E1368" t="s">
        <v>1431</v>
      </c>
      <c r="F1368" s="253" t="s">
        <v>1218</v>
      </c>
    </row>
    <row r="1369" spans="1:6" x14ac:dyDescent="0.2">
      <c r="A1369" s="243" t="s">
        <v>1621</v>
      </c>
      <c r="B1369" t="s">
        <v>3424</v>
      </c>
      <c r="C1369" t="s">
        <v>3425</v>
      </c>
      <c r="D1369" t="s">
        <v>3426</v>
      </c>
      <c r="E1369" t="s">
        <v>1431</v>
      </c>
      <c r="F1369" s="253" t="s">
        <v>1218</v>
      </c>
    </row>
    <row r="1370" spans="1:6" x14ac:dyDescent="0.2">
      <c r="A1370" s="243" t="s">
        <v>1621</v>
      </c>
      <c r="B1370" t="s">
        <v>3427</v>
      </c>
      <c r="C1370" t="s">
        <v>3428</v>
      </c>
      <c r="D1370" t="s">
        <v>3429</v>
      </c>
      <c r="E1370" t="s">
        <v>1431</v>
      </c>
      <c r="F1370" s="253" t="s">
        <v>1218</v>
      </c>
    </row>
    <row r="1371" spans="1:6" x14ac:dyDescent="0.2">
      <c r="A1371" s="243" t="s">
        <v>1621</v>
      </c>
      <c r="B1371" t="s">
        <v>3430</v>
      </c>
      <c r="C1371" t="s">
        <v>3431</v>
      </c>
      <c r="D1371" t="s">
        <v>3432</v>
      </c>
      <c r="E1371" t="s">
        <v>1431</v>
      </c>
      <c r="F1371" s="253" t="s">
        <v>1218</v>
      </c>
    </row>
    <row r="1372" spans="1:6" x14ac:dyDescent="0.2">
      <c r="A1372" s="243" t="s">
        <v>1621</v>
      </c>
      <c r="B1372" t="s">
        <v>3433</v>
      </c>
      <c r="C1372" t="s">
        <v>3434</v>
      </c>
      <c r="D1372" t="s">
        <v>3435</v>
      </c>
      <c r="E1372" t="s">
        <v>1431</v>
      </c>
      <c r="F1372" s="253" t="s">
        <v>1218</v>
      </c>
    </row>
    <row r="1373" spans="1:6" x14ac:dyDescent="0.2">
      <c r="A1373" s="243" t="s">
        <v>1621</v>
      </c>
      <c r="B1373" t="s">
        <v>3436</v>
      </c>
      <c r="C1373" t="s">
        <v>3437</v>
      </c>
      <c r="D1373" t="s">
        <v>3438</v>
      </c>
      <c r="E1373" t="s">
        <v>1431</v>
      </c>
      <c r="F1373" s="253" t="s">
        <v>1218</v>
      </c>
    </row>
    <row r="1374" spans="1:6" x14ac:dyDescent="0.2">
      <c r="A1374" s="243" t="s">
        <v>1621</v>
      </c>
      <c r="B1374" t="s">
        <v>3439</v>
      </c>
      <c r="C1374" t="s">
        <v>3440</v>
      </c>
      <c r="D1374" t="s">
        <v>3441</v>
      </c>
      <c r="E1374" t="s">
        <v>1434</v>
      </c>
      <c r="F1374" s="253" t="s">
        <v>1218</v>
      </c>
    </row>
    <row r="1375" spans="1:6" x14ac:dyDescent="0.2">
      <c r="A1375" s="243" t="s">
        <v>1621</v>
      </c>
      <c r="B1375" t="s">
        <v>3442</v>
      </c>
      <c r="C1375" t="s">
        <v>3443</v>
      </c>
      <c r="D1375" t="s">
        <v>3444</v>
      </c>
      <c r="E1375" t="s">
        <v>1434</v>
      </c>
      <c r="F1375" s="253" t="s">
        <v>1218</v>
      </c>
    </row>
    <row r="1376" spans="1:6" x14ac:dyDescent="0.2">
      <c r="A1376" s="243" t="s">
        <v>1621</v>
      </c>
      <c r="B1376" t="s">
        <v>3445</v>
      </c>
      <c r="C1376" t="s">
        <v>3446</v>
      </c>
      <c r="D1376" t="s">
        <v>3447</v>
      </c>
      <c r="E1376" t="s">
        <v>1434</v>
      </c>
      <c r="F1376" s="253" t="s">
        <v>1218</v>
      </c>
    </row>
    <row r="1377" spans="1:6" x14ac:dyDescent="0.2">
      <c r="A1377" s="243" t="s">
        <v>1621</v>
      </c>
      <c r="B1377" t="s">
        <v>3448</v>
      </c>
      <c r="C1377" t="s">
        <v>3449</v>
      </c>
      <c r="D1377" t="s">
        <v>3450</v>
      </c>
      <c r="E1377" t="s">
        <v>1434</v>
      </c>
      <c r="F1377" s="253" t="s">
        <v>1218</v>
      </c>
    </row>
    <row r="1378" spans="1:6" x14ac:dyDescent="0.2">
      <c r="A1378" s="243" t="s">
        <v>1621</v>
      </c>
      <c r="B1378" t="s">
        <v>3451</v>
      </c>
      <c r="C1378" t="s">
        <v>3452</v>
      </c>
      <c r="D1378" t="s">
        <v>3453</v>
      </c>
      <c r="E1378" t="s">
        <v>1434</v>
      </c>
      <c r="F1378" s="253" t="s">
        <v>1218</v>
      </c>
    </row>
    <row r="1379" spans="1:6" x14ac:dyDescent="0.2">
      <c r="A1379" s="243" t="s">
        <v>1621</v>
      </c>
      <c r="B1379" t="s">
        <v>3454</v>
      </c>
      <c r="C1379" t="s">
        <v>3275</v>
      </c>
      <c r="D1379" t="s">
        <v>3276</v>
      </c>
      <c r="E1379" t="s">
        <v>1434</v>
      </c>
      <c r="F1379" s="253" t="s">
        <v>1218</v>
      </c>
    </row>
    <row r="1380" spans="1:6" x14ac:dyDescent="0.2">
      <c r="A1380" s="243" t="s">
        <v>1621</v>
      </c>
      <c r="B1380" t="s">
        <v>3455</v>
      </c>
      <c r="C1380" t="s">
        <v>3456</v>
      </c>
      <c r="D1380" t="s">
        <v>3457</v>
      </c>
      <c r="E1380" t="s">
        <v>1434</v>
      </c>
      <c r="F1380" s="253" t="s">
        <v>1218</v>
      </c>
    </row>
    <row r="1381" spans="1:6" x14ac:dyDescent="0.2">
      <c r="A1381" s="243" t="s">
        <v>1621</v>
      </c>
      <c r="B1381" t="s">
        <v>3458</v>
      </c>
      <c r="C1381" t="s">
        <v>3459</v>
      </c>
      <c r="D1381" t="s">
        <v>3460</v>
      </c>
      <c r="E1381" t="s">
        <v>1434</v>
      </c>
      <c r="F1381" s="253" t="s">
        <v>1218</v>
      </c>
    </row>
    <row r="1382" spans="1:6" x14ac:dyDescent="0.2">
      <c r="A1382" s="243" t="s">
        <v>1621</v>
      </c>
      <c r="B1382" t="s">
        <v>3461</v>
      </c>
      <c r="C1382" t="s">
        <v>3462</v>
      </c>
      <c r="D1382" t="s">
        <v>3463</v>
      </c>
      <c r="E1382" t="s">
        <v>1434</v>
      </c>
      <c r="F1382" s="253" t="s">
        <v>1218</v>
      </c>
    </row>
    <row r="1383" spans="1:6" x14ac:dyDescent="0.2">
      <c r="A1383" s="243" t="s">
        <v>1621</v>
      </c>
      <c r="B1383" t="s">
        <v>3464</v>
      </c>
      <c r="C1383" t="s">
        <v>3465</v>
      </c>
      <c r="D1383" t="s">
        <v>3466</v>
      </c>
      <c r="E1383" t="s">
        <v>1437</v>
      </c>
      <c r="F1383" s="253" t="s">
        <v>1227</v>
      </c>
    </row>
    <row r="1384" spans="1:6" x14ac:dyDescent="0.2">
      <c r="A1384" s="243" t="s">
        <v>1621</v>
      </c>
      <c r="B1384" t="s">
        <v>3467</v>
      </c>
      <c r="C1384" t="s">
        <v>3468</v>
      </c>
      <c r="D1384" t="s">
        <v>3469</v>
      </c>
      <c r="E1384" t="s">
        <v>1437</v>
      </c>
      <c r="F1384" s="253" t="s">
        <v>1227</v>
      </c>
    </row>
    <row r="1385" spans="1:6" x14ac:dyDescent="0.2">
      <c r="A1385" s="243" t="s">
        <v>1621</v>
      </c>
      <c r="B1385" t="s">
        <v>3470</v>
      </c>
      <c r="C1385" t="s">
        <v>3471</v>
      </c>
      <c r="D1385" t="s">
        <v>3472</v>
      </c>
      <c r="E1385" t="s">
        <v>1437</v>
      </c>
      <c r="F1385" s="253" t="s">
        <v>1227</v>
      </c>
    </row>
    <row r="1386" spans="1:6" x14ac:dyDescent="0.2">
      <c r="A1386" s="243" t="s">
        <v>1621</v>
      </c>
      <c r="B1386" t="s">
        <v>3473</v>
      </c>
      <c r="C1386" t="s">
        <v>3474</v>
      </c>
      <c r="D1386" t="s">
        <v>3475</v>
      </c>
      <c r="E1386" t="s">
        <v>1437</v>
      </c>
      <c r="F1386" s="253" t="s">
        <v>1227</v>
      </c>
    </row>
    <row r="1387" spans="1:6" x14ac:dyDescent="0.2">
      <c r="A1387" s="243" t="s">
        <v>1621</v>
      </c>
      <c r="B1387" t="s">
        <v>3476</v>
      </c>
      <c r="C1387" t="s">
        <v>3477</v>
      </c>
      <c r="D1387" t="s">
        <v>3478</v>
      </c>
      <c r="E1387" t="s">
        <v>1437</v>
      </c>
      <c r="F1387" s="253" t="s">
        <v>1227</v>
      </c>
    </row>
    <row r="1388" spans="1:6" x14ac:dyDescent="0.2">
      <c r="A1388" s="243" t="s">
        <v>1621</v>
      </c>
      <c r="B1388" t="s">
        <v>3479</v>
      </c>
      <c r="C1388" t="s">
        <v>3480</v>
      </c>
      <c r="D1388" t="s">
        <v>3481</v>
      </c>
      <c r="E1388" t="s">
        <v>1440</v>
      </c>
      <c r="F1388" s="253" t="s">
        <v>1227</v>
      </c>
    </row>
    <row r="1389" spans="1:6" x14ac:dyDescent="0.2">
      <c r="A1389" s="243" t="s">
        <v>1621</v>
      </c>
      <c r="B1389" t="s">
        <v>3482</v>
      </c>
      <c r="C1389" t="s">
        <v>3483</v>
      </c>
      <c r="D1389" t="s">
        <v>3484</v>
      </c>
      <c r="E1389" t="s">
        <v>1440</v>
      </c>
      <c r="F1389" s="253" t="s">
        <v>1227</v>
      </c>
    </row>
    <row r="1390" spans="1:6" x14ac:dyDescent="0.2">
      <c r="A1390" s="243" t="s">
        <v>1621</v>
      </c>
      <c r="B1390" t="s">
        <v>3485</v>
      </c>
      <c r="C1390" t="s">
        <v>3486</v>
      </c>
      <c r="D1390" t="s">
        <v>3487</v>
      </c>
      <c r="E1390" t="s">
        <v>1440</v>
      </c>
      <c r="F1390" s="253" t="s">
        <v>1227</v>
      </c>
    </row>
    <row r="1391" spans="1:6" x14ac:dyDescent="0.2">
      <c r="A1391" s="243" t="s">
        <v>1621</v>
      </c>
      <c r="B1391" t="s">
        <v>3488</v>
      </c>
      <c r="C1391" t="s">
        <v>3187</v>
      </c>
      <c r="D1391" t="s">
        <v>3188</v>
      </c>
      <c r="E1391" t="s">
        <v>1440</v>
      </c>
      <c r="F1391" s="253" t="s">
        <v>1227</v>
      </c>
    </row>
    <row r="1392" spans="1:6" x14ac:dyDescent="0.2">
      <c r="A1392" s="243" t="s">
        <v>1621</v>
      </c>
      <c r="B1392" t="s">
        <v>3489</v>
      </c>
      <c r="C1392" t="s">
        <v>3490</v>
      </c>
      <c r="D1392" t="s">
        <v>3491</v>
      </c>
      <c r="E1392" t="s">
        <v>1440</v>
      </c>
      <c r="F1392" s="253" t="s">
        <v>1227</v>
      </c>
    </row>
    <row r="1393" spans="1:6" x14ac:dyDescent="0.2">
      <c r="A1393" s="243" t="s">
        <v>1621</v>
      </c>
      <c r="B1393" t="s">
        <v>3492</v>
      </c>
      <c r="C1393" t="s">
        <v>3493</v>
      </c>
      <c r="D1393" t="s">
        <v>3494</v>
      </c>
      <c r="E1393" t="s">
        <v>1440</v>
      </c>
      <c r="F1393" s="253" t="s">
        <v>1227</v>
      </c>
    </row>
    <row r="1394" spans="1:6" x14ac:dyDescent="0.2">
      <c r="A1394" s="243" t="s">
        <v>1621</v>
      </c>
      <c r="B1394" t="s">
        <v>3495</v>
      </c>
      <c r="C1394" t="s">
        <v>3496</v>
      </c>
      <c r="D1394" t="s">
        <v>3497</v>
      </c>
      <c r="E1394" t="s">
        <v>1440</v>
      </c>
      <c r="F1394" s="253" t="s">
        <v>1227</v>
      </c>
    </row>
    <row r="1395" spans="1:6" x14ac:dyDescent="0.2">
      <c r="A1395" s="243" t="s">
        <v>1621</v>
      </c>
      <c r="B1395" t="s">
        <v>3498</v>
      </c>
      <c r="C1395" t="s">
        <v>3499</v>
      </c>
      <c r="D1395" t="s">
        <v>3500</v>
      </c>
      <c r="E1395" t="s">
        <v>1443</v>
      </c>
      <c r="F1395" s="253" t="s">
        <v>1227</v>
      </c>
    </row>
    <row r="1396" spans="1:6" x14ac:dyDescent="0.2">
      <c r="A1396" s="243" t="s">
        <v>1621</v>
      </c>
      <c r="B1396" t="s">
        <v>3501</v>
      </c>
      <c r="C1396" t="s">
        <v>3502</v>
      </c>
      <c r="D1396" t="s">
        <v>3503</v>
      </c>
      <c r="E1396" t="s">
        <v>1443</v>
      </c>
      <c r="F1396" s="253" t="s">
        <v>1227</v>
      </c>
    </row>
    <row r="1397" spans="1:6" x14ac:dyDescent="0.2">
      <c r="A1397" s="243" t="s">
        <v>1621</v>
      </c>
      <c r="B1397" t="s">
        <v>3504</v>
      </c>
      <c r="C1397" t="s">
        <v>3505</v>
      </c>
      <c r="D1397" t="s">
        <v>3506</v>
      </c>
      <c r="E1397" t="s">
        <v>1443</v>
      </c>
      <c r="F1397" s="253" t="s">
        <v>1227</v>
      </c>
    </row>
    <row r="1398" spans="1:6" x14ac:dyDescent="0.2">
      <c r="A1398" s="243" t="s">
        <v>1621</v>
      </c>
      <c r="B1398" t="s">
        <v>3507</v>
      </c>
      <c r="C1398" t="s">
        <v>2448</v>
      </c>
      <c r="D1398" t="s">
        <v>2449</v>
      </c>
      <c r="E1398" t="s">
        <v>1443</v>
      </c>
      <c r="F1398" s="253" t="s">
        <v>1227</v>
      </c>
    </row>
    <row r="1399" spans="1:6" x14ac:dyDescent="0.2">
      <c r="A1399" s="243" t="s">
        <v>1621</v>
      </c>
      <c r="B1399" t="s">
        <v>3508</v>
      </c>
      <c r="C1399" t="s">
        <v>3509</v>
      </c>
      <c r="D1399" t="s">
        <v>3510</v>
      </c>
      <c r="E1399" t="s">
        <v>1443</v>
      </c>
      <c r="F1399" s="253" t="s">
        <v>1227</v>
      </c>
    </row>
    <row r="1400" spans="1:6" x14ac:dyDescent="0.2">
      <c r="A1400" s="243" t="s">
        <v>1621</v>
      </c>
      <c r="B1400" t="s">
        <v>3511</v>
      </c>
      <c r="C1400" t="s">
        <v>3512</v>
      </c>
      <c r="D1400" t="s">
        <v>3513</v>
      </c>
      <c r="E1400" t="s">
        <v>1443</v>
      </c>
      <c r="F1400" s="253" t="s">
        <v>1227</v>
      </c>
    </row>
    <row r="1401" spans="1:6" x14ac:dyDescent="0.2">
      <c r="A1401" s="243" t="s">
        <v>1621</v>
      </c>
      <c r="B1401" t="s">
        <v>3514</v>
      </c>
      <c r="C1401" t="s">
        <v>3515</v>
      </c>
      <c r="D1401" t="s">
        <v>3516</v>
      </c>
      <c r="E1401" t="s">
        <v>1443</v>
      </c>
      <c r="F1401" s="253" t="s">
        <v>1227</v>
      </c>
    </row>
    <row r="1402" spans="1:6" x14ac:dyDescent="0.2">
      <c r="A1402" s="243" t="s">
        <v>1621</v>
      </c>
      <c r="B1402" t="s">
        <v>3517</v>
      </c>
      <c r="C1402" t="s">
        <v>3518</v>
      </c>
      <c r="D1402" t="s">
        <v>3519</v>
      </c>
      <c r="E1402" t="s">
        <v>1443</v>
      </c>
      <c r="F1402" s="253" t="s">
        <v>1227</v>
      </c>
    </row>
    <row r="1403" spans="1:6" x14ac:dyDescent="0.2">
      <c r="A1403" s="243" t="s">
        <v>1621</v>
      </c>
      <c r="B1403" t="s">
        <v>3520</v>
      </c>
      <c r="C1403" t="s">
        <v>3521</v>
      </c>
      <c r="D1403" t="s">
        <v>3522</v>
      </c>
      <c r="E1403" t="s">
        <v>1443</v>
      </c>
      <c r="F1403" s="253" t="s">
        <v>1227</v>
      </c>
    </row>
    <row r="1404" spans="1:6" x14ac:dyDescent="0.2">
      <c r="A1404" s="243" t="s">
        <v>1621</v>
      </c>
      <c r="B1404" t="s">
        <v>3523</v>
      </c>
      <c r="C1404" t="s">
        <v>3524</v>
      </c>
      <c r="D1404" t="s">
        <v>3525</v>
      </c>
      <c r="E1404" t="s">
        <v>1443</v>
      </c>
      <c r="F1404" s="253" t="s">
        <v>1227</v>
      </c>
    </row>
    <row r="1405" spans="1:6" x14ac:dyDescent="0.2">
      <c r="A1405" s="243" t="s">
        <v>1621</v>
      </c>
      <c r="B1405" t="s">
        <v>3526</v>
      </c>
      <c r="C1405" t="s">
        <v>3527</v>
      </c>
      <c r="D1405" t="s">
        <v>3528</v>
      </c>
      <c r="E1405" t="s">
        <v>1443</v>
      </c>
      <c r="F1405" s="253" t="s">
        <v>1227</v>
      </c>
    </row>
    <row r="1406" spans="1:6" x14ac:dyDescent="0.2">
      <c r="A1406" s="243" t="s">
        <v>1621</v>
      </c>
      <c r="B1406" t="s">
        <v>3529</v>
      </c>
      <c r="C1406" t="s">
        <v>3530</v>
      </c>
      <c r="D1406" t="s">
        <v>3531</v>
      </c>
      <c r="E1406" t="s">
        <v>1443</v>
      </c>
      <c r="F1406" s="253" t="s">
        <v>1227</v>
      </c>
    </row>
    <row r="1407" spans="1:6" x14ac:dyDescent="0.2">
      <c r="A1407" s="243" t="s">
        <v>1621</v>
      </c>
      <c r="B1407" t="s">
        <v>3532</v>
      </c>
      <c r="C1407" t="s">
        <v>1227</v>
      </c>
      <c r="D1407" t="s">
        <v>1228</v>
      </c>
      <c r="E1407" t="s">
        <v>1443</v>
      </c>
      <c r="F1407" s="253" t="s">
        <v>1227</v>
      </c>
    </row>
    <row r="1408" spans="1:6" x14ac:dyDescent="0.2">
      <c r="A1408" s="243" t="s">
        <v>1621</v>
      </c>
      <c r="B1408" t="s">
        <v>3533</v>
      </c>
      <c r="C1408" t="s">
        <v>3534</v>
      </c>
      <c r="D1408" t="s">
        <v>3535</v>
      </c>
      <c r="E1408" t="s">
        <v>1443</v>
      </c>
      <c r="F1408" s="253" t="s">
        <v>1227</v>
      </c>
    </row>
    <row r="1409" spans="1:6" x14ac:dyDescent="0.2">
      <c r="A1409" s="243" t="s">
        <v>1621</v>
      </c>
      <c r="B1409" t="s">
        <v>3536</v>
      </c>
      <c r="C1409" t="s">
        <v>3537</v>
      </c>
      <c r="D1409" t="s">
        <v>3538</v>
      </c>
      <c r="E1409" t="s">
        <v>1443</v>
      </c>
      <c r="F1409" s="253" t="s">
        <v>1227</v>
      </c>
    </row>
    <row r="1410" spans="1:6" x14ac:dyDescent="0.2">
      <c r="A1410" s="243" t="s">
        <v>1621</v>
      </c>
      <c r="B1410" t="s">
        <v>3539</v>
      </c>
      <c r="C1410" t="s">
        <v>3540</v>
      </c>
      <c r="D1410" t="s">
        <v>3541</v>
      </c>
      <c r="E1410" t="s">
        <v>1443</v>
      </c>
      <c r="F1410" s="253" t="s">
        <v>1227</v>
      </c>
    </row>
    <row r="1411" spans="1:6" x14ac:dyDescent="0.2">
      <c r="A1411" s="243" t="s">
        <v>1621</v>
      </c>
      <c r="B1411" t="s">
        <v>3542</v>
      </c>
      <c r="C1411" t="s">
        <v>3543</v>
      </c>
      <c r="D1411" t="s">
        <v>3544</v>
      </c>
      <c r="E1411" t="s">
        <v>1443</v>
      </c>
      <c r="F1411" s="253" t="s">
        <v>1227</v>
      </c>
    </row>
    <row r="1412" spans="1:6" x14ac:dyDescent="0.2">
      <c r="A1412" s="243" t="s">
        <v>1621</v>
      </c>
      <c r="B1412" t="s">
        <v>3545</v>
      </c>
      <c r="C1412" t="s">
        <v>3546</v>
      </c>
      <c r="D1412" t="s">
        <v>3547</v>
      </c>
      <c r="E1412" t="s">
        <v>1443</v>
      </c>
      <c r="F1412" s="253" t="s">
        <v>1227</v>
      </c>
    </row>
    <row r="1413" spans="1:6" x14ac:dyDescent="0.2">
      <c r="A1413" s="243" t="s">
        <v>1621</v>
      </c>
      <c r="B1413" t="s">
        <v>3548</v>
      </c>
      <c r="C1413" t="s">
        <v>3549</v>
      </c>
      <c r="D1413" t="s">
        <v>3550</v>
      </c>
      <c r="E1413" t="s">
        <v>1443</v>
      </c>
      <c r="F1413" s="253" t="s">
        <v>1227</v>
      </c>
    </row>
    <row r="1414" spans="1:6" x14ac:dyDescent="0.2">
      <c r="A1414" s="243" t="s">
        <v>1621</v>
      </c>
      <c r="B1414" t="s">
        <v>3551</v>
      </c>
      <c r="C1414" t="s">
        <v>3552</v>
      </c>
      <c r="D1414" t="s">
        <v>3553</v>
      </c>
      <c r="E1414" t="s">
        <v>1443</v>
      </c>
      <c r="F1414" s="253" t="s">
        <v>1227</v>
      </c>
    </row>
    <row r="1415" spans="1:6" x14ac:dyDescent="0.2">
      <c r="A1415" s="243" t="s">
        <v>1621</v>
      </c>
      <c r="B1415" t="s">
        <v>3554</v>
      </c>
      <c r="C1415" t="s">
        <v>3555</v>
      </c>
      <c r="D1415" t="s">
        <v>3556</v>
      </c>
      <c r="E1415" t="s">
        <v>1443</v>
      </c>
      <c r="F1415" s="253" t="s">
        <v>1227</v>
      </c>
    </row>
    <row r="1416" spans="1:6" x14ac:dyDescent="0.2">
      <c r="A1416" s="243" t="s">
        <v>1621</v>
      </c>
      <c r="B1416" t="s">
        <v>3557</v>
      </c>
      <c r="C1416" t="s">
        <v>3558</v>
      </c>
      <c r="D1416" t="s">
        <v>3559</v>
      </c>
      <c r="E1416" t="s">
        <v>1443</v>
      </c>
      <c r="F1416" s="253" t="s">
        <v>1227</v>
      </c>
    </row>
    <row r="1417" spans="1:6" x14ac:dyDescent="0.2">
      <c r="A1417" s="243" t="s">
        <v>1621</v>
      </c>
      <c r="B1417" t="s">
        <v>3560</v>
      </c>
      <c r="C1417" t="s">
        <v>3561</v>
      </c>
      <c r="D1417" t="s">
        <v>3562</v>
      </c>
      <c r="E1417" t="s">
        <v>1443</v>
      </c>
      <c r="F1417" s="253" t="s">
        <v>1227</v>
      </c>
    </row>
    <row r="1418" spans="1:6" x14ac:dyDescent="0.2">
      <c r="A1418" s="243" t="s">
        <v>1621</v>
      </c>
      <c r="B1418" t="s">
        <v>3563</v>
      </c>
      <c r="C1418" t="s">
        <v>3564</v>
      </c>
      <c r="D1418" t="s">
        <v>3565</v>
      </c>
      <c r="E1418" t="s">
        <v>1446</v>
      </c>
      <c r="F1418" s="253" t="s">
        <v>1227</v>
      </c>
    </row>
    <row r="1419" spans="1:6" x14ac:dyDescent="0.2">
      <c r="A1419" s="243" t="s">
        <v>1621</v>
      </c>
      <c r="B1419" t="s">
        <v>3566</v>
      </c>
      <c r="C1419" t="s">
        <v>3567</v>
      </c>
      <c r="D1419" t="s">
        <v>3568</v>
      </c>
      <c r="E1419" t="s">
        <v>1446</v>
      </c>
      <c r="F1419" s="253" t="s">
        <v>1227</v>
      </c>
    </row>
    <row r="1420" spans="1:6" x14ac:dyDescent="0.2">
      <c r="A1420" s="243" t="s">
        <v>1621</v>
      </c>
      <c r="B1420" t="s">
        <v>3569</v>
      </c>
      <c r="C1420" t="s">
        <v>3570</v>
      </c>
      <c r="D1420" t="s">
        <v>3571</v>
      </c>
      <c r="E1420" t="s">
        <v>1446</v>
      </c>
      <c r="F1420" s="253" t="s">
        <v>1227</v>
      </c>
    </row>
    <row r="1421" spans="1:6" x14ac:dyDescent="0.2">
      <c r="A1421" s="243" t="s">
        <v>1621</v>
      </c>
      <c r="B1421" t="s">
        <v>3572</v>
      </c>
      <c r="C1421" t="s">
        <v>3573</v>
      </c>
      <c r="D1421" t="s">
        <v>3574</v>
      </c>
      <c r="E1421" t="s">
        <v>1446</v>
      </c>
      <c r="F1421" s="253" t="s">
        <v>1227</v>
      </c>
    </row>
    <row r="1422" spans="1:6" x14ac:dyDescent="0.2">
      <c r="A1422" s="243" t="s">
        <v>1621</v>
      </c>
      <c r="B1422" t="s">
        <v>3575</v>
      </c>
      <c r="C1422" t="s">
        <v>3576</v>
      </c>
      <c r="D1422" t="s">
        <v>3577</v>
      </c>
      <c r="E1422" t="s">
        <v>1446</v>
      </c>
      <c r="F1422" s="253" t="s">
        <v>1227</v>
      </c>
    </row>
    <row r="1423" spans="1:6" x14ac:dyDescent="0.2">
      <c r="A1423" s="243" t="s">
        <v>1621</v>
      </c>
      <c r="B1423" t="s">
        <v>3578</v>
      </c>
      <c r="C1423" t="s">
        <v>3579</v>
      </c>
      <c r="D1423" t="s">
        <v>3580</v>
      </c>
      <c r="E1423" t="s">
        <v>1446</v>
      </c>
      <c r="F1423" s="253" t="s">
        <v>1227</v>
      </c>
    </row>
    <row r="1424" spans="1:6" x14ac:dyDescent="0.2">
      <c r="A1424" s="243" t="s">
        <v>1621</v>
      </c>
      <c r="B1424" t="s">
        <v>3581</v>
      </c>
      <c r="C1424" t="s">
        <v>3582</v>
      </c>
      <c r="D1424" t="s">
        <v>3583</v>
      </c>
      <c r="E1424" t="s">
        <v>1446</v>
      </c>
      <c r="F1424" s="253" t="s">
        <v>1227</v>
      </c>
    </row>
    <row r="1425" spans="1:6" x14ac:dyDescent="0.2">
      <c r="A1425" s="243" t="s">
        <v>1621</v>
      </c>
      <c r="B1425" t="s">
        <v>3584</v>
      </c>
      <c r="C1425" t="s">
        <v>3585</v>
      </c>
      <c r="D1425" t="s">
        <v>3586</v>
      </c>
      <c r="E1425" t="s">
        <v>1446</v>
      </c>
      <c r="F1425" s="253" t="s">
        <v>1227</v>
      </c>
    </row>
    <row r="1426" spans="1:6" x14ac:dyDescent="0.2">
      <c r="A1426" s="243" t="s">
        <v>1621</v>
      </c>
      <c r="B1426" t="s">
        <v>3587</v>
      </c>
      <c r="C1426" t="s">
        <v>3588</v>
      </c>
      <c r="D1426" t="s">
        <v>3589</v>
      </c>
      <c r="E1426" t="s">
        <v>1446</v>
      </c>
      <c r="F1426" s="253" t="s">
        <v>1227</v>
      </c>
    </row>
    <row r="1427" spans="1:6" x14ac:dyDescent="0.2">
      <c r="A1427" s="243" t="s">
        <v>1621</v>
      </c>
      <c r="B1427" t="s">
        <v>3590</v>
      </c>
      <c r="C1427" t="s">
        <v>3591</v>
      </c>
      <c r="D1427" t="s">
        <v>3592</v>
      </c>
      <c r="E1427" t="s">
        <v>1446</v>
      </c>
      <c r="F1427" s="253" t="s">
        <v>1227</v>
      </c>
    </row>
    <row r="1428" spans="1:6" x14ac:dyDescent="0.2">
      <c r="A1428" s="243" t="s">
        <v>1621</v>
      </c>
      <c r="B1428" t="s">
        <v>3593</v>
      </c>
      <c r="C1428" t="s">
        <v>3594</v>
      </c>
      <c r="D1428" t="s">
        <v>3595</v>
      </c>
      <c r="E1428" t="s">
        <v>1446</v>
      </c>
      <c r="F1428" s="253" t="s">
        <v>1227</v>
      </c>
    </row>
    <row r="1429" spans="1:6" x14ac:dyDescent="0.2">
      <c r="A1429" s="243" t="s">
        <v>1621</v>
      </c>
      <c r="B1429" t="s">
        <v>3596</v>
      </c>
      <c r="C1429" t="s">
        <v>3597</v>
      </c>
      <c r="D1429" t="s">
        <v>3598</v>
      </c>
      <c r="E1429" t="s">
        <v>1449</v>
      </c>
      <c r="F1429" s="253" t="s">
        <v>1227</v>
      </c>
    </row>
    <row r="1430" spans="1:6" x14ac:dyDescent="0.2">
      <c r="A1430" s="243" t="s">
        <v>1621</v>
      </c>
      <c r="B1430" t="s">
        <v>3599</v>
      </c>
      <c r="C1430" t="s">
        <v>3600</v>
      </c>
      <c r="D1430" t="s">
        <v>3601</v>
      </c>
      <c r="E1430" t="s">
        <v>1449</v>
      </c>
      <c r="F1430" s="253" t="s">
        <v>1227</v>
      </c>
    </row>
    <row r="1431" spans="1:6" x14ac:dyDescent="0.2">
      <c r="A1431" s="243" t="s">
        <v>1621</v>
      </c>
      <c r="B1431" t="s">
        <v>3602</v>
      </c>
      <c r="C1431" t="s">
        <v>3603</v>
      </c>
      <c r="D1431" t="s">
        <v>3604</v>
      </c>
      <c r="E1431" t="s">
        <v>1449</v>
      </c>
      <c r="F1431" s="253" t="s">
        <v>1227</v>
      </c>
    </row>
    <row r="1432" spans="1:6" x14ac:dyDescent="0.2">
      <c r="A1432" s="243" t="s">
        <v>1621</v>
      </c>
      <c r="B1432" t="s">
        <v>3605</v>
      </c>
      <c r="C1432" t="s">
        <v>3606</v>
      </c>
      <c r="D1432" t="s">
        <v>3607</v>
      </c>
      <c r="E1432" t="s">
        <v>1449</v>
      </c>
      <c r="F1432" s="253" t="s">
        <v>1227</v>
      </c>
    </row>
    <row r="1433" spans="1:6" x14ac:dyDescent="0.2">
      <c r="A1433" s="243" t="s">
        <v>1621</v>
      </c>
      <c r="B1433" t="s">
        <v>3608</v>
      </c>
      <c r="C1433" t="s">
        <v>3609</v>
      </c>
      <c r="D1433" t="s">
        <v>3610</v>
      </c>
      <c r="E1433" t="s">
        <v>1449</v>
      </c>
      <c r="F1433" s="253" t="s">
        <v>1227</v>
      </c>
    </row>
    <row r="1434" spans="1:6" x14ac:dyDescent="0.2">
      <c r="A1434" s="243" t="s">
        <v>1621</v>
      </c>
      <c r="B1434" t="s">
        <v>3611</v>
      </c>
      <c r="C1434" t="s">
        <v>1230</v>
      </c>
      <c r="D1434" t="s">
        <v>1231</v>
      </c>
      <c r="E1434" t="s">
        <v>1449</v>
      </c>
      <c r="F1434" s="253" t="s">
        <v>1227</v>
      </c>
    </row>
    <row r="1435" spans="1:6" x14ac:dyDescent="0.2">
      <c r="A1435" s="243" t="s">
        <v>1621</v>
      </c>
      <c r="B1435" t="s">
        <v>3612</v>
      </c>
      <c r="C1435" t="s">
        <v>3613</v>
      </c>
      <c r="D1435" t="s">
        <v>3614</v>
      </c>
      <c r="E1435" t="s">
        <v>1449</v>
      </c>
      <c r="F1435" s="253" t="s">
        <v>1227</v>
      </c>
    </row>
    <row r="1436" spans="1:6" x14ac:dyDescent="0.2">
      <c r="A1436" s="243" t="s">
        <v>1621</v>
      </c>
      <c r="B1436" t="s">
        <v>3615</v>
      </c>
      <c r="C1436" t="s">
        <v>3616</v>
      </c>
      <c r="D1436" t="s">
        <v>3617</v>
      </c>
      <c r="E1436" t="s">
        <v>1449</v>
      </c>
      <c r="F1436" s="253" t="s">
        <v>1227</v>
      </c>
    </row>
    <row r="1437" spans="1:6" x14ac:dyDescent="0.2">
      <c r="A1437" s="243" t="s">
        <v>1621</v>
      </c>
      <c r="B1437" t="s">
        <v>3618</v>
      </c>
      <c r="C1437" t="s">
        <v>3619</v>
      </c>
      <c r="D1437" t="s">
        <v>3620</v>
      </c>
      <c r="E1437" t="s">
        <v>1449</v>
      </c>
      <c r="F1437" s="253" t="s">
        <v>1227</v>
      </c>
    </row>
    <row r="1438" spans="1:6" x14ac:dyDescent="0.2">
      <c r="A1438" s="243" t="s">
        <v>1621</v>
      </c>
      <c r="B1438" t="s">
        <v>3621</v>
      </c>
      <c r="C1438" t="s">
        <v>3622</v>
      </c>
      <c r="D1438" t="s">
        <v>3623</v>
      </c>
      <c r="E1438" t="s">
        <v>1449</v>
      </c>
      <c r="F1438" s="253" t="s">
        <v>1227</v>
      </c>
    </row>
    <row r="1439" spans="1:6" x14ac:dyDescent="0.2">
      <c r="A1439" s="243" t="s">
        <v>1621</v>
      </c>
      <c r="B1439" t="s">
        <v>3624</v>
      </c>
      <c r="C1439" t="s">
        <v>3625</v>
      </c>
      <c r="D1439" t="s">
        <v>3626</v>
      </c>
      <c r="E1439" t="s">
        <v>1449</v>
      </c>
      <c r="F1439" s="253" t="s">
        <v>1227</v>
      </c>
    </row>
    <row r="1440" spans="1:6" x14ac:dyDescent="0.2">
      <c r="A1440" s="243" t="s">
        <v>1621</v>
      </c>
      <c r="B1440" t="s">
        <v>3627</v>
      </c>
      <c r="C1440" t="s">
        <v>3628</v>
      </c>
      <c r="D1440" t="s">
        <v>3629</v>
      </c>
      <c r="E1440" t="s">
        <v>1449</v>
      </c>
      <c r="F1440" s="253" t="s">
        <v>1227</v>
      </c>
    </row>
    <row r="1441" spans="1:6" x14ac:dyDescent="0.2">
      <c r="A1441" s="243" t="s">
        <v>1621</v>
      </c>
      <c r="B1441" t="s">
        <v>3630</v>
      </c>
      <c r="C1441" t="s">
        <v>1705</v>
      </c>
      <c r="D1441" t="s">
        <v>1706</v>
      </c>
      <c r="E1441" t="s">
        <v>1449</v>
      </c>
      <c r="F1441" s="253" t="s">
        <v>1227</v>
      </c>
    </row>
    <row r="1442" spans="1:6" x14ac:dyDescent="0.2">
      <c r="A1442" s="243" t="s">
        <v>1621</v>
      </c>
      <c r="B1442" t="s">
        <v>3631</v>
      </c>
      <c r="C1442" t="s">
        <v>3632</v>
      </c>
      <c r="D1442" t="s">
        <v>3633</v>
      </c>
      <c r="E1442" t="s">
        <v>1449</v>
      </c>
      <c r="F1442" s="253" t="s">
        <v>1227</v>
      </c>
    </row>
    <row r="1443" spans="1:6" x14ac:dyDescent="0.2">
      <c r="A1443" s="243" t="s">
        <v>1621</v>
      </c>
      <c r="B1443" t="s">
        <v>3634</v>
      </c>
      <c r="C1443" t="s">
        <v>3635</v>
      </c>
      <c r="D1443" t="s">
        <v>3636</v>
      </c>
      <c r="E1443" t="s">
        <v>1452</v>
      </c>
      <c r="F1443" s="253" t="s">
        <v>1227</v>
      </c>
    </row>
    <row r="1444" spans="1:6" x14ac:dyDescent="0.2">
      <c r="A1444" s="243" t="s">
        <v>1621</v>
      </c>
      <c r="B1444" t="s">
        <v>3637</v>
      </c>
      <c r="C1444" t="s">
        <v>3638</v>
      </c>
      <c r="D1444" t="s">
        <v>3639</v>
      </c>
      <c r="E1444" t="s">
        <v>1452</v>
      </c>
      <c r="F1444" s="253" t="s">
        <v>1227</v>
      </c>
    </row>
    <row r="1445" spans="1:6" x14ac:dyDescent="0.2">
      <c r="A1445" s="243" t="s">
        <v>1621</v>
      </c>
      <c r="B1445" t="s">
        <v>3640</v>
      </c>
      <c r="C1445" t="s">
        <v>3641</v>
      </c>
      <c r="D1445" t="s">
        <v>3642</v>
      </c>
      <c r="E1445" t="s">
        <v>1452</v>
      </c>
      <c r="F1445" s="253" t="s">
        <v>1227</v>
      </c>
    </row>
    <row r="1446" spans="1:6" x14ac:dyDescent="0.2">
      <c r="A1446" s="243" t="s">
        <v>1621</v>
      </c>
      <c r="B1446" t="s">
        <v>3643</v>
      </c>
      <c r="C1446" t="s">
        <v>3644</v>
      </c>
      <c r="D1446" t="s">
        <v>3645</v>
      </c>
      <c r="E1446" t="s">
        <v>1452</v>
      </c>
      <c r="F1446" s="253" t="s">
        <v>1227</v>
      </c>
    </row>
    <row r="1447" spans="1:6" x14ac:dyDescent="0.2">
      <c r="A1447" s="243" t="s">
        <v>1621</v>
      </c>
      <c r="B1447" t="s">
        <v>3646</v>
      </c>
      <c r="C1447" t="s">
        <v>3647</v>
      </c>
      <c r="D1447" t="s">
        <v>3648</v>
      </c>
      <c r="E1447" t="s">
        <v>1452</v>
      </c>
      <c r="F1447" s="253" t="s">
        <v>1227</v>
      </c>
    </row>
    <row r="1448" spans="1:6" x14ac:dyDescent="0.2">
      <c r="A1448" s="243" t="s">
        <v>1621</v>
      </c>
      <c r="B1448" t="s">
        <v>3649</v>
      </c>
      <c r="C1448" t="s">
        <v>3650</v>
      </c>
      <c r="D1448" t="s">
        <v>3651</v>
      </c>
      <c r="E1448" t="s">
        <v>1452</v>
      </c>
      <c r="F1448" s="253" t="s">
        <v>1227</v>
      </c>
    </row>
    <row r="1449" spans="1:6" x14ac:dyDescent="0.2">
      <c r="A1449" s="243" t="s">
        <v>1621</v>
      </c>
      <c r="B1449" t="s">
        <v>3652</v>
      </c>
      <c r="C1449" t="s">
        <v>3653</v>
      </c>
      <c r="D1449" t="s">
        <v>3654</v>
      </c>
      <c r="E1449" t="s">
        <v>1452</v>
      </c>
      <c r="F1449" s="253" t="s">
        <v>1227</v>
      </c>
    </row>
    <row r="1450" spans="1:6" x14ac:dyDescent="0.2">
      <c r="A1450" s="243" t="s">
        <v>1621</v>
      </c>
      <c r="B1450" t="s">
        <v>3655</v>
      </c>
      <c r="C1450" t="s">
        <v>1206</v>
      </c>
      <c r="D1450" t="s">
        <v>1207</v>
      </c>
      <c r="E1450" t="s">
        <v>1455</v>
      </c>
      <c r="F1450" s="253" t="s">
        <v>1227</v>
      </c>
    </row>
    <row r="1451" spans="1:6" x14ac:dyDescent="0.2">
      <c r="A1451" s="243" t="s">
        <v>1621</v>
      </c>
      <c r="B1451" t="s">
        <v>3656</v>
      </c>
      <c r="C1451" t="s">
        <v>3657</v>
      </c>
      <c r="D1451" t="s">
        <v>3658</v>
      </c>
      <c r="E1451" t="s">
        <v>1455</v>
      </c>
      <c r="F1451" s="253" t="s">
        <v>1227</v>
      </c>
    </row>
    <row r="1452" spans="1:6" x14ac:dyDescent="0.2">
      <c r="A1452" s="243" t="s">
        <v>1621</v>
      </c>
      <c r="B1452" t="s">
        <v>3659</v>
      </c>
      <c r="C1452" t="s">
        <v>3660</v>
      </c>
      <c r="D1452" t="s">
        <v>3661</v>
      </c>
      <c r="E1452" t="s">
        <v>1455</v>
      </c>
      <c r="F1452" s="253" t="s">
        <v>1227</v>
      </c>
    </row>
    <row r="1453" spans="1:6" x14ac:dyDescent="0.2">
      <c r="A1453" s="243" t="s">
        <v>1621</v>
      </c>
      <c r="B1453" t="s">
        <v>3662</v>
      </c>
      <c r="C1453" t="s">
        <v>3663</v>
      </c>
      <c r="D1453" t="s">
        <v>3664</v>
      </c>
      <c r="E1453" t="s">
        <v>1455</v>
      </c>
      <c r="F1453" s="253" t="s">
        <v>1227</v>
      </c>
    </row>
    <row r="1454" spans="1:6" x14ac:dyDescent="0.2">
      <c r="A1454" s="243" t="s">
        <v>1621</v>
      </c>
      <c r="B1454" t="s">
        <v>3665</v>
      </c>
      <c r="C1454" t="s">
        <v>3666</v>
      </c>
      <c r="D1454" t="s">
        <v>3667</v>
      </c>
      <c r="E1454" t="s">
        <v>1455</v>
      </c>
      <c r="F1454" s="253" t="s">
        <v>1227</v>
      </c>
    </row>
    <row r="1455" spans="1:6" x14ac:dyDescent="0.2">
      <c r="A1455" s="243" t="s">
        <v>1621</v>
      </c>
      <c r="B1455" t="s">
        <v>3668</v>
      </c>
      <c r="C1455" t="s">
        <v>3669</v>
      </c>
      <c r="D1455" t="s">
        <v>3670</v>
      </c>
      <c r="E1455" t="s">
        <v>1455</v>
      </c>
      <c r="F1455" s="253" t="s">
        <v>1227</v>
      </c>
    </row>
    <row r="1456" spans="1:6" x14ac:dyDescent="0.2">
      <c r="A1456" s="243" t="s">
        <v>1621</v>
      </c>
      <c r="B1456" t="s">
        <v>3671</v>
      </c>
      <c r="C1456" t="s">
        <v>3672</v>
      </c>
      <c r="D1456" t="s">
        <v>3673</v>
      </c>
      <c r="E1456" t="s">
        <v>1458</v>
      </c>
      <c r="F1456" s="253" t="s">
        <v>1230</v>
      </c>
    </row>
    <row r="1457" spans="1:6" x14ac:dyDescent="0.2">
      <c r="A1457" s="243" t="s">
        <v>1621</v>
      </c>
      <c r="B1457" t="s">
        <v>3674</v>
      </c>
      <c r="C1457" t="s">
        <v>3675</v>
      </c>
      <c r="D1457" t="s">
        <v>3676</v>
      </c>
      <c r="E1457" t="s">
        <v>1458</v>
      </c>
      <c r="F1457" s="253" t="s">
        <v>1230</v>
      </c>
    </row>
    <row r="1458" spans="1:6" x14ac:dyDescent="0.2">
      <c r="A1458" s="243" t="s">
        <v>1621</v>
      </c>
      <c r="B1458" t="s">
        <v>3677</v>
      </c>
      <c r="C1458" t="s">
        <v>3678</v>
      </c>
      <c r="D1458" t="s">
        <v>3679</v>
      </c>
      <c r="E1458" t="s">
        <v>1458</v>
      </c>
      <c r="F1458" s="253" t="s">
        <v>1230</v>
      </c>
    </row>
    <row r="1459" spans="1:6" x14ac:dyDescent="0.2">
      <c r="A1459" s="243" t="s">
        <v>1621</v>
      </c>
      <c r="B1459" t="s">
        <v>3680</v>
      </c>
      <c r="C1459" t="s">
        <v>3681</v>
      </c>
      <c r="D1459" t="s">
        <v>3682</v>
      </c>
      <c r="E1459" t="s">
        <v>1458</v>
      </c>
      <c r="F1459" s="253" t="s">
        <v>1230</v>
      </c>
    </row>
    <row r="1460" spans="1:6" x14ac:dyDescent="0.2">
      <c r="A1460" s="243" t="s">
        <v>1621</v>
      </c>
      <c r="B1460" t="s">
        <v>3683</v>
      </c>
      <c r="C1460" t="s">
        <v>1932</v>
      </c>
      <c r="D1460" t="s">
        <v>1933</v>
      </c>
      <c r="E1460" t="s">
        <v>1458</v>
      </c>
      <c r="F1460" s="253" t="s">
        <v>1230</v>
      </c>
    </row>
    <row r="1461" spans="1:6" x14ac:dyDescent="0.2">
      <c r="A1461" s="243" t="s">
        <v>1621</v>
      </c>
      <c r="B1461" t="s">
        <v>3684</v>
      </c>
      <c r="C1461" t="s">
        <v>3685</v>
      </c>
      <c r="D1461" t="s">
        <v>3686</v>
      </c>
      <c r="E1461" t="s">
        <v>1458</v>
      </c>
      <c r="F1461" s="253" t="s">
        <v>1230</v>
      </c>
    </row>
    <row r="1462" spans="1:6" x14ac:dyDescent="0.2">
      <c r="A1462" s="243" t="s">
        <v>1621</v>
      </c>
      <c r="B1462" t="s">
        <v>3687</v>
      </c>
      <c r="C1462" t="s">
        <v>3688</v>
      </c>
      <c r="D1462" t="s">
        <v>3689</v>
      </c>
      <c r="E1462" t="s">
        <v>1458</v>
      </c>
      <c r="F1462" s="253" t="s">
        <v>1230</v>
      </c>
    </row>
    <row r="1463" spans="1:6" x14ac:dyDescent="0.2">
      <c r="A1463" s="243" t="s">
        <v>1621</v>
      </c>
      <c r="B1463" t="s">
        <v>3690</v>
      </c>
      <c r="C1463" t="s">
        <v>3691</v>
      </c>
      <c r="D1463" t="s">
        <v>3692</v>
      </c>
      <c r="E1463" t="s">
        <v>1458</v>
      </c>
      <c r="F1463" s="253" t="s">
        <v>1230</v>
      </c>
    </row>
    <row r="1464" spans="1:6" x14ac:dyDescent="0.2">
      <c r="A1464" s="243" t="s">
        <v>1621</v>
      </c>
      <c r="B1464" t="s">
        <v>3693</v>
      </c>
      <c r="C1464" t="s">
        <v>3694</v>
      </c>
      <c r="D1464" t="s">
        <v>3695</v>
      </c>
      <c r="E1464" t="s">
        <v>1458</v>
      </c>
      <c r="F1464" s="253" t="s">
        <v>1230</v>
      </c>
    </row>
    <row r="1465" spans="1:6" x14ac:dyDescent="0.2">
      <c r="A1465" s="243" t="s">
        <v>1621</v>
      </c>
      <c r="B1465" t="s">
        <v>3696</v>
      </c>
      <c r="C1465" t="s">
        <v>3697</v>
      </c>
      <c r="D1465" t="s">
        <v>3698</v>
      </c>
      <c r="E1465" t="s">
        <v>1458</v>
      </c>
      <c r="F1465" s="253" t="s">
        <v>1230</v>
      </c>
    </row>
    <row r="1466" spans="1:6" x14ac:dyDescent="0.2">
      <c r="A1466" s="243" t="s">
        <v>1621</v>
      </c>
      <c r="B1466" t="s">
        <v>3699</v>
      </c>
      <c r="C1466" t="s">
        <v>2090</v>
      </c>
      <c r="D1466" t="s">
        <v>2091</v>
      </c>
      <c r="E1466" t="s">
        <v>1458</v>
      </c>
      <c r="F1466" s="253" t="s">
        <v>1230</v>
      </c>
    </row>
    <row r="1467" spans="1:6" x14ac:dyDescent="0.2">
      <c r="A1467" s="243" t="s">
        <v>1621</v>
      </c>
      <c r="B1467" t="s">
        <v>3700</v>
      </c>
      <c r="C1467" t="s">
        <v>2093</v>
      </c>
      <c r="D1467" t="s">
        <v>2094</v>
      </c>
      <c r="E1467" t="s">
        <v>1458</v>
      </c>
      <c r="F1467" s="253" t="s">
        <v>1230</v>
      </c>
    </row>
    <row r="1468" spans="1:6" x14ac:dyDescent="0.2">
      <c r="A1468" s="243" t="s">
        <v>1621</v>
      </c>
      <c r="B1468" t="s">
        <v>3701</v>
      </c>
      <c r="C1468" t="s">
        <v>3702</v>
      </c>
      <c r="D1468" t="s">
        <v>3703</v>
      </c>
      <c r="E1468" t="s">
        <v>1461</v>
      </c>
      <c r="F1468" s="253" t="s">
        <v>1230</v>
      </c>
    </row>
    <row r="1469" spans="1:6" x14ac:dyDescent="0.2">
      <c r="A1469" s="243" t="s">
        <v>1621</v>
      </c>
      <c r="B1469" t="s">
        <v>3704</v>
      </c>
      <c r="C1469" t="s">
        <v>3705</v>
      </c>
      <c r="D1469" t="s">
        <v>3706</v>
      </c>
      <c r="E1469" t="s">
        <v>1461</v>
      </c>
      <c r="F1469" s="253" t="s">
        <v>1230</v>
      </c>
    </row>
    <row r="1470" spans="1:6" x14ac:dyDescent="0.2">
      <c r="A1470" s="243" t="s">
        <v>1621</v>
      </c>
      <c r="B1470" t="s">
        <v>3707</v>
      </c>
      <c r="C1470" t="s">
        <v>3708</v>
      </c>
      <c r="D1470" t="s">
        <v>3709</v>
      </c>
      <c r="E1470" t="s">
        <v>1461</v>
      </c>
      <c r="F1470" s="253" t="s">
        <v>1230</v>
      </c>
    </row>
    <row r="1471" spans="1:6" x14ac:dyDescent="0.2">
      <c r="A1471" s="243" t="s">
        <v>1621</v>
      </c>
      <c r="B1471" t="s">
        <v>3710</v>
      </c>
      <c r="C1471" t="s">
        <v>3711</v>
      </c>
      <c r="D1471" t="s">
        <v>3712</v>
      </c>
      <c r="E1471" t="s">
        <v>1461</v>
      </c>
      <c r="F1471" s="253" t="s">
        <v>1230</v>
      </c>
    </row>
    <row r="1472" spans="1:6" x14ac:dyDescent="0.2">
      <c r="A1472" s="243" t="s">
        <v>1621</v>
      </c>
      <c r="B1472" t="s">
        <v>3713</v>
      </c>
      <c r="C1472" t="s">
        <v>3714</v>
      </c>
      <c r="D1472" t="s">
        <v>3715</v>
      </c>
      <c r="E1472" t="s">
        <v>1461</v>
      </c>
      <c r="F1472" s="253" t="s">
        <v>1230</v>
      </c>
    </row>
    <row r="1473" spans="1:6" x14ac:dyDescent="0.2">
      <c r="A1473" s="243" t="s">
        <v>1621</v>
      </c>
      <c r="B1473" t="s">
        <v>3716</v>
      </c>
      <c r="C1473" t="s">
        <v>3717</v>
      </c>
      <c r="D1473" t="s">
        <v>3718</v>
      </c>
      <c r="E1473" t="s">
        <v>1461</v>
      </c>
      <c r="F1473" s="253" t="s">
        <v>1230</v>
      </c>
    </row>
    <row r="1474" spans="1:6" x14ac:dyDescent="0.2">
      <c r="A1474" s="243" t="s">
        <v>1621</v>
      </c>
      <c r="B1474" t="s">
        <v>3719</v>
      </c>
      <c r="C1474" t="s">
        <v>3720</v>
      </c>
      <c r="D1474" t="s">
        <v>3721</v>
      </c>
      <c r="E1474" t="s">
        <v>1461</v>
      </c>
      <c r="F1474" s="253" t="s">
        <v>1230</v>
      </c>
    </row>
    <row r="1475" spans="1:6" x14ac:dyDescent="0.2">
      <c r="A1475" s="243" t="s">
        <v>1621</v>
      </c>
      <c r="B1475" t="s">
        <v>3722</v>
      </c>
      <c r="C1475" t="s">
        <v>3723</v>
      </c>
      <c r="D1475" t="s">
        <v>3724</v>
      </c>
      <c r="E1475" t="s">
        <v>1461</v>
      </c>
      <c r="F1475" s="253" t="s">
        <v>1230</v>
      </c>
    </row>
    <row r="1476" spans="1:6" x14ac:dyDescent="0.2">
      <c r="A1476" s="243" t="s">
        <v>1621</v>
      </c>
      <c r="B1476" t="s">
        <v>3725</v>
      </c>
      <c r="C1476" t="s">
        <v>3726</v>
      </c>
      <c r="D1476" t="s">
        <v>3727</v>
      </c>
      <c r="E1476" t="s">
        <v>1461</v>
      </c>
      <c r="F1476" s="253" t="s">
        <v>1230</v>
      </c>
    </row>
    <row r="1477" spans="1:6" x14ac:dyDescent="0.2">
      <c r="A1477" s="243" t="s">
        <v>1621</v>
      </c>
      <c r="B1477" t="s">
        <v>3728</v>
      </c>
      <c r="C1477" t="s">
        <v>2335</v>
      </c>
      <c r="D1477" t="s">
        <v>2336</v>
      </c>
      <c r="E1477" t="s">
        <v>1461</v>
      </c>
      <c r="F1477" s="253" t="s">
        <v>1230</v>
      </c>
    </row>
    <row r="1478" spans="1:6" x14ac:dyDescent="0.2">
      <c r="A1478" s="243" t="s">
        <v>1621</v>
      </c>
      <c r="B1478" t="s">
        <v>3729</v>
      </c>
      <c r="C1478" t="s">
        <v>3730</v>
      </c>
      <c r="D1478" t="s">
        <v>3731</v>
      </c>
      <c r="E1478" t="s">
        <v>1461</v>
      </c>
      <c r="F1478" s="253" t="s">
        <v>1230</v>
      </c>
    </row>
    <row r="1479" spans="1:6" x14ac:dyDescent="0.2">
      <c r="A1479" s="243" t="s">
        <v>1621</v>
      </c>
      <c r="B1479" t="s">
        <v>3732</v>
      </c>
      <c r="C1479" t="s">
        <v>3733</v>
      </c>
      <c r="D1479" t="s">
        <v>3734</v>
      </c>
      <c r="E1479" t="s">
        <v>1461</v>
      </c>
      <c r="F1479" s="253" t="s">
        <v>1230</v>
      </c>
    </row>
    <row r="1480" spans="1:6" x14ac:dyDescent="0.2">
      <c r="A1480" s="243" t="s">
        <v>1621</v>
      </c>
      <c r="B1480" t="s">
        <v>3735</v>
      </c>
      <c r="C1480" t="s">
        <v>3736</v>
      </c>
      <c r="D1480" t="s">
        <v>3737</v>
      </c>
      <c r="E1480" t="s">
        <v>1461</v>
      </c>
      <c r="F1480" s="253" t="s">
        <v>1230</v>
      </c>
    </row>
    <row r="1481" spans="1:6" x14ac:dyDescent="0.2">
      <c r="A1481" s="243" t="s">
        <v>1621</v>
      </c>
      <c r="B1481" t="s">
        <v>3738</v>
      </c>
      <c r="C1481" t="s">
        <v>3211</v>
      </c>
      <c r="D1481" t="s">
        <v>3212</v>
      </c>
      <c r="E1481" t="s">
        <v>1464</v>
      </c>
      <c r="F1481" s="253" t="s">
        <v>1230</v>
      </c>
    </row>
    <row r="1482" spans="1:6" x14ac:dyDescent="0.2">
      <c r="A1482" s="243" t="s">
        <v>1621</v>
      </c>
      <c r="B1482" t="s">
        <v>3739</v>
      </c>
      <c r="C1482" t="s">
        <v>3740</v>
      </c>
      <c r="D1482" t="s">
        <v>3741</v>
      </c>
      <c r="E1482" t="s">
        <v>1464</v>
      </c>
      <c r="F1482" s="253" t="s">
        <v>1230</v>
      </c>
    </row>
    <row r="1483" spans="1:6" x14ac:dyDescent="0.2">
      <c r="A1483" s="243" t="s">
        <v>1621</v>
      </c>
      <c r="B1483" t="s">
        <v>3742</v>
      </c>
      <c r="C1483" t="s">
        <v>2918</v>
      </c>
      <c r="D1483" t="s">
        <v>2919</v>
      </c>
      <c r="E1483" t="s">
        <v>1464</v>
      </c>
      <c r="F1483" s="253" t="s">
        <v>1230</v>
      </c>
    </row>
    <row r="1484" spans="1:6" x14ac:dyDescent="0.2">
      <c r="A1484" s="243" t="s">
        <v>1621</v>
      </c>
      <c r="B1484" t="s">
        <v>3743</v>
      </c>
      <c r="C1484" t="s">
        <v>3744</v>
      </c>
      <c r="D1484" t="s">
        <v>3745</v>
      </c>
      <c r="E1484" t="s">
        <v>1464</v>
      </c>
      <c r="F1484" s="253" t="s">
        <v>1230</v>
      </c>
    </row>
    <row r="1485" spans="1:6" x14ac:dyDescent="0.2">
      <c r="A1485" s="243" t="s">
        <v>1621</v>
      </c>
      <c r="B1485" t="s">
        <v>3746</v>
      </c>
      <c r="C1485" t="s">
        <v>3747</v>
      </c>
      <c r="D1485" t="s">
        <v>3748</v>
      </c>
      <c r="E1485" t="s">
        <v>1464</v>
      </c>
      <c r="F1485" s="253" t="s">
        <v>1230</v>
      </c>
    </row>
    <row r="1486" spans="1:6" x14ac:dyDescent="0.2">
      <c r="A1486" s="243" t="s">
        <v>1621</v>
      </c>
      <c r="B1486" t="s">
        <v>3749</v>
      </c>
      <c r="C1486" t="s">
        <v>2322</v>
      </c>
      <c r="D1486" t="s">
        <v>2323</v>
      </c>
      <c r="E1486" t="s">
        <v>1464</v>
      </c>
      <c r="F1486" s="253" t="s">
        <v>1230</v>
      </c>
    </row>
    <row r="1487" spans="1:6" x14ac:dyDescent="0.2">
      <c r="A1487" s="243" t="s">
        <v>1621</v>
      </c>
      <c r="B1487" t="s">
        <v>3750</v>
      </c>
      <c r="C1487" t="s">
        <v>3751</v>
      </c>
      <c r="D1487" t="s">
        <v>3752</v>
      </c>
      <c r="E1487" t="s">
        <v>1464</v>
      </c>
      <c r="F1487" s="253" t="s">
        <v>1230</v>
      </c>
    </row>
    <row r="1488" spans="1:6" x14ac:dyDescent="0.2">
      <c r="A1488" s="243" t="s">
        <v>1621</v>
      </c>
      <c r="B1488" t="s">
        <v>3753</v>
      </c>
      <c r="C1488" t="s">
        <v>1230</v>
      </c>
      <c r="D1488" t="s">
        <v>1231</v>
      </c>
      <c r="E1488" t="s">
        <v>1464</v>
      </c>
      <c r="F1488" s="253" t="s">
        <v>1230</v>
      </c>
    </row>
    <row r="1489" spans="1:6" x14ac:dyDescent="0.2">
      <c r="A1489" s="243" t="s">
        <v>1621</v>
      </c>
      <c r="B1489" t="s">
        <v>3754</v>
      </c>
      <c r="C1489" t="s">
        <v>3755</v>
      </c>
      <c r="D1489" t="s">
        <v>3756</v>
      </c>
      <c r="E1489" t="s">
        <v>1464</v>
      </c>
      <c r="F1489" s="253" t="s">
        <v>1230</v>
      </c>
    </row>
    <row r="1490" spans="1:6" x14ac:dyDescent="0.2">
      <c r="A1490" s="243" t="s">
        <v>1621</v>
      </c>
      <c r="B1490" t="s">
        <v>3757</v>
      </c>
      <c r="C1490" t="s">
        <v>3758</v>
      </c>
      <c r="D1490" t="s">
        <v>3759</v>
      </c>
      <c r="E1490" t="s">
        <v>1464</v>
      </c>
      <c r="F1490" s="253" t="s">
        <v>1230</v>
      </c>
    </row>
    <row r="1491" spans="1:6" x14ac:dyDescent="0.2">
      <c r="A1491" s="243" t="s">
        <v>1621</v>
      </c>
      <c r="B1491" t="s">
        <v>3760</v>
      </c>
      <c r="C1491" t="s">
        <v>3761</v>
      </c>
      <c r="D1491" t="s">
        <v>3762</v>
      </c>
      <c r="E1491" t="s">
        <v>1464</v>
      </c>
      <c r="F1491" s="253" t="s">
        <v>1230</v>
      </c>
    </row>
    <row r="1492" spans="1:6" x14ac:dyDescent="0.2">
      <c r="A1492" s="243" t="s">
        <v>1621</v>
      </c>
      <c r="B1492" t="s">
        <v>3763</v>
      </c>
      <c r="C1492" t="s">
        <v>3764</v>
      </c>
      <c r="D1492" t="s">
        <v>3765</v>
      </c>
      <c r="E1492" t="s">
        <v>1464</v>
      </c>
      <c r="F1492" s="253" t="s">
        <v>1230</v>
      </c>
    </row>
    <row r="1493" spans="1:6" x14ac:dyDescent="0.2">
      <c r="A1493" s="243" t="s">
        <v>1621</v>
      </c>
      <c r="B1493" t="s">
        <v>3766</v>
      </c>
      <c r="C1493" t="s">
        <v>3767</v>
      </c>
      <c r="D1493" t="s">
        <v>3768</v>
      </c>
      <c r="E1493" t="s">
        <v>1464</v>
      </c>
      <c r="F1493" s="253" t="s">
        <v>1230</v>
      </c>
    </row>
    <row r="1494" spans="1:6" x14ac:dyDescent="0.2">
      <c r="A1494" s="243" t="s">
        <v>1621</v>
      </c>
      <c r="B1494" t="s">
        <v>3769</v>
      </c>
      <c r="C1494" t="s">
        <v>3770</v>
      </c>
      <c r="D1494" t="s">
        <v>3771</v>
      </c>
      <c r="E1494" t="s">
        <v>1464</v>
      </c>
      <c r="F1494" s="253" t="s">
        <v>1230</v>
      </c>
    </row>
    <row r="1495" spans="1:6" x14ac:dyDescent="0.2">
      <c r="A1495" s="243" t="s">
        <v>1621</v>
      </c>
      <c r="B1495" t="s">
        <v>3772</v>
      </c>
      <c r="C1495" t="s">
        <v>3773</v>
      </c>
      <c r="D1495" t="s">
        <v>3774</v>
      </c>
      <c r="E1495" t="s">
        <v>1464</v>
      </c>
      <c r="F1495" s="253" t="s">
        <v>1230</v>
      </c>
    </row>
    <row r="1496" spans="1:6" x14ac:dyDescent="0.2">
      <c r="A1496" s="243" t="s">
        <v>1621</v>
      </c>
      <c r="B1496" t="s">
        <v>3775</v>
      </c>
      <c r="C1496" t="s">
        <v>3776</v>
      </c>
      <c r="D1496" t="s">
        <v>3777</v>
      </c>
      <c r="E1496" t="s">
        <v>1464</v>
      </c>
      <c r="F1496" s="253" t="s">
        <v>1230</v>
      </c>
    </row>
    <row r="1497" spans="1:6" x14ac:dyDescent="0.2">
      <c r="A1497" s="243" t="s">
        <v>1621</v>
      </c>
      <c r="B1497" t="s">
        <v>3778</v>
      </c>
      <c r="C1497" t="s">
        <v>3779</v>
      </c>
      <c r="D1497" t="s">
        <v>3780</v>
      </c>
      <c r="E1497" t="s">
        <v>1464</v>
      </c>
      <c r="F1497" s="253" t="s">
        <v>1230</v>
      </c>
    </row>
    <row r="1498" spans="1:6" x14ac:dyDescent="0.2">
      <c r="A1498" s="243" t="s">
        <v>1621</v>
      </c>
      <c r="B1498" t="s">
        <v>3781</v>
      </c>
      <c r="C1498" t="s">
        <v>3782</v>
      </c>
      <c r="D1498" t="s">
        <v>3783</v>
      </c>
      <c r="E1498" t="s">
        <v>1464</v>
      </c>
      <c r="F1498" s="253" t="s">
        <v>1230</v>
      </c>
    </row>
    <row r="1499" spans="1:6" x14ac:dyDescent="0.2">
      <c r="A1499" s="243" t="s">
        <v>1621</v>
      </c>
      <c r="B1499" t="s">
        <v>3784</v>
      </c>
      <c r="C1499" t="s">
        <v>3785</v>
      </c>
      <c r="D1499" t="s">
        <v>3786</v>
      </c>
      <c r="E1499" t="s">
        <v>1464</v>
      </c>
      <c r="F1499" s="253" t="s">
        <v>1230</v>
      </c>
    </row>
    <row r="1500" spans="1:6" x14ac:dyDescent="0.2">
      <c r="A1500" s="243" t="s">
        <v>1621</v>
      </c>
      <c r="B1500" t="s">
        <v>3787</v>
      </c>
      <c r="C1500" t="s">
        <v>3788</v>
      </c>
      <c r="D1500" t="s">
        <v>3789</v>
      </c>
      <c r="E1500" t="s">
        <v>1467</v>
      </c>
      <c r="F1500" s="253" t="s">
        <v>1230</v>
      </c>
    </row>
    <row r="1501" spans="1:6" x14ac:dyDescent="0.2">
      <c r="A1501" s="243" t="s">
        <v>1621</v>
      </c>
      <c r="B1501" t="s">
        <v>3790</v>
      </c>
      <c r="C1501" t="s">
        <v>3791</v>
      </c>
      <c r="D1501" t="s">
        <v>3792</v>
      </c>
      <c r="E1501" t="s">
        <v>1467</v>
      </c>
      <c r="F1501" s="253" t="s">
        <v>1230</v>
      </c>
    </row>
    <row r="1502" spans="1:6" x14ac:dyDescent="0.2">
      <c r="A1502" s="243" t="s">
        <v>1621</v>
      </c>
      <c r="B1502" t="s">
        <v>3793</v>
      </c>
      <c r="C1502" t="s">
        <v>3794</v>
      </c>
      <c r="D1502" t="s">
        <v>3795</v>
      </c>
      <c r="E1502" t="s">
        <v>1467</v>
      </c>
      <c r="F1502" s="253" t="s">
        <v>1230</v>
      </c>
    </row>
    <row r="1503" spans="1:6" x14ac:dyDescent="0.2">
      <c r="A1503" s="243" t="s">
        <v>1621</v>
      </c>
      <c r="B1503" t="s">
        <v>3796</v>
      </c>
      <c r="C1503" t="s">
        <v>3797</v>
      </c>
      <c r="D1503" t="s">
        <v>3798</v>
      </c>
      <c r="E1503" t="s">
        <v>1467</v>
      </c>
      <c r="F1503" s="253" t="s">
        <v>1230</v>
      </c>
    </row>
    <row r="1504" spans="1:6" x14ac:dyDescent="0.2">
      <c r="A1504" s="243" t="s">
        <v>1621</v>
      </c>
      <c r="B1504" t="s">
        <v>3799</v>
      </c>
      <c r="C1504" t="s">
        <v>3800</v>
      </c>
      <c r="D1504" t="s">
        <v>3801</v>
      </c>
      <c r="E1504" t="s">
        <v>1467</v>
      </c>
      <c r="F1504" s="253" t="s">
        <v>1230</v>
      </c>
    </row>
    <row r="1505" spans="1:6" x14ac:dyDescent="0.2">
      <c r="A1505" s="243" t="s">
        <v>1621</v>
      </c>
      <c r="B1505" t="s">
        <v>3802</v>
      </c>
      <c r="C1505" t="s">
        <v>3803</v>
      </c>
      <c r="D1505" t="s">
        <v>3804</v>
      </c>
      <c r="E1505" t="s">
        <v>1467</v>
      </c>
      <c r="F1505" s="253" t="s">
        <v>1230</v>
      </c>
    </row>
    <row r="1506" spans="1:6" x14ac:dyDescent="0.2">
      <c r="A1506" s="243" t="s">
        <v>1621</v>
      </c>
      <c r="B1506" t="s">
        <v>3805</v>
      </c>
      <c r="C1506" t="s">
        <v>3770</v>
      </c>
      <c r="D1506" t="s">
        <v>3771</v>
      </c>
      <c r="E1506" t="s">
        <v>1467</v>
      </c>
      <c r="F1506" s="253" t="s">
        <v>1230</v>
      </c>
    </row>
    <row r="1507" spans="1:6" x14ac:dyDescent="0.2">
      <c r="A1507" s="243" t="s">
        <v>1621</v>
      </c>
      <c r="B1507" t="s">
        <v>3806</v>
      </c>
      <c r="C1507" t="s">
        <v>3807</v>
      </c>
      <c r="D1507" t="s">
        <v>3808</v>
      </c>
      <c r="E1507" t="s">
        <v>1467</v>
      </c>
      <c r="F1507" s="253" t="s">
        <v>1230</v>
      </c>
    </row>
    <row r="1508" spans="1:6" x14ac:dyDescent="0.2">
      <c r="A1508" s="243" t="s">
        <v>1621</v>
      </c>
      <c r="B1508" t="s">
        <v>3809</v>
      </c>
      <c r="C1508" t="s">
        <v>3810</v>
      </c>
      <c r="D1508" t="s">
        <v>3811</v>
      </c>
      <c r="E1508" t="s">
        <v>1470</v>
      </c>
      <c r="F1508" s="253" t="s">
        <v>1233</v>
      </c>
    </row>
    <row r="1509" spans="1:6" x14ac:dyDescent="0.2">
      <c r="A1509" s="243" t="s">
        <v>1621</v>
      </c>
      <c r="B1509" t="s">
        <v>3812</v>
      </c>
      <c r="C1509" t="s">
        <v>2427</v>
      </c>
      <c r="D1509" t="s">
        <v>2428</v>
      </c>
      <c r="E1509" t="s">
        <v>1470</v>
      </c>
      <c r="F1509" s="253" t="s">
        <v>1233</v>
      </c>
    </row>
    <row r="1510" spans="1:6" x14ac:dyDescent="0.2">
      <c r="A1510" s="243" t="s">
        <v>1621</v>
      </c>
      <c r="B1510" t="s">
        <v>3813</v>
      </c>
      <c r="C1510" t="s">
        <v>3814</v>
      </c>
      <c r="D1510" t="s">
        <v>3815</v>
      </c>
      <c r="E1510" t="s">
        <v>1470</v>
      </c>
      <c r="F1510" s="253" t="s">
        <v>1233</v>
      </c>
    </row>
    <row r="1511" spans="1:6" x14ac:dyDescent="0.2">
      <c r="A1511" s="243" t="s">
        <v>1621</v>
      </c>
      <c r="B1511" t="s">
        <v>3816</v>
      </c>
      <c r="C1511" t="s">
        <v>3373</v>
      </c>
      <c r="D1511" t="s">
        <v>3374</v>
      </c>
      <c r="E1511" t="s">
        <v>1470</v>
      </c>
      <c r="F1511" s="253" t="s">
        <v>1233</v>
      </c>
    </row>
    <row r="1512" spans="1:6" x14ac:dyDescent="0.2">
      <c r="A1512" s="243" t="s">
        <v>1621</v>
      </c>
      <c r="B1512" t="s">
        <v>3817</v>
      </c>
      <c r="C1512" t="s">
        <v>1787</v>
      </c>
      <c r="D1512" t="s">
        <v>1788</v>
      </c>
      <c r="E1512" t="s">
        <v>1470</v>
      </c>
      <c r="F1512" s="253" t="s">
        <v>1233</v>
      </c>
    </row>
    <row r="1513" spans="1:6" x14ac:dyDescent="0.2">
      <c r="A1513" s="243" t="s">
        <v>1621</v>
      </c>
      <c r="B1513" t="s">
        <v>3818</v>
      </c>
      <c r="C1513" t="s">
        <v>3819</v>
      </c>
      <c r="D1513" t="s">
        <v>3820</v>
      </c>
      <c r="E1513" t="s">
        <v>1470</v>
      </c>
      <c r="F1513" s="253" t="s">
        <v>1233</v>
      </c>
    </row>
    <row r="1514" spans="1:6" x14ac:dyDescent="0.2">
      <c r="A1514" s="243" t="s">
        <v>1621</v>
      </c>
      <c r="B1514" t="s">
        <v>3821</v>
      </c>
      <c r="C1514" t="s">
        <v>3822</v>
      </c>
      <c r="D1514" t="s">
        <v>3823</v>
      </c>
      <c r="E1514" t="s">
        <v>1470</v>
      </c>
      <c r="F1514" s="253" t="s">
        <v>1233</v>
      </c>
    </row>
    <row r="1515" spans="1:6" x14ac:dyDescent="0.2">
      <c r="A1515" s="243" t="s">
        <v>1621</v>
      </c>
      <c r="B1515" t="s">
        <v>3824</v>
      </c>
      <c r="C1515" t="s">
        <v>1230</v>
      </c>
      <c r="D1515" t="s">
        <v>1231</v>
      </c>
      <c r="E1515" t="s">
        <v>1470</v>
      </c>
      <c r="F1515" s="253" t="s">
        <v>1233</v>
      </c>
    </row>
    <row r="1516" spans="1:6" x14ac:dyDescent="0.2">
      <c r="A1516" s="243" t="s">
        <v>1621</v>
      </c>
      <c r="B1516" t="s">
        <v>3825</v>
      </c>
      <c r="C1516" t="s">
        <v>3826</v>
      </c>
      <c r="D1516" t="s">
        <v>3827</v>
      </c>
      <c r="E1516" t="s">
        <v>1470</v>
      </c>
      <c r="F1516" s="253" t="s">
        <v>1233</v>
      </c>
    </row>
    <row r="1517" spans="1:6" x14ac:dyDescent="0.2">
      <c r="A1517" s="243" t="s">
        <v>1621</v>
      </c>
      <c r="B1517" t="s">
        <v>3828</v>
      </c>
      <c r="C1517" t="s">
        <v>3829</v>
      </c>
      <c r="D1517" t="s">
        <v>3830</v>
      </c>
      <c r="E1517" t="s">
        <v>1470</v>
      </c>
      <c r="F1517" s="253" t="s">
        <v>1233</v>
      </c>
    </row>
    <row r="1518" spans="1:6" x14ac:dyDescent="0.2">
      <c r="A1518" s="243" t="s">
        <v>1621</v>
      </c>
      <c r="B1518" t="s">
        <v>3831</v>
      </c>
      <c r="C1518" t="s">
        <v>3832</v>
      </c>
      <c r="D1518" t="s">
        <v>3833</v>
      </c>
      <c r="E1518" t="s">
        <v>1470</v>
      </c>
      <c r="F1518" s="253" t="s">
        <v>1233</v>
      </c>
    </row>
    <row r="1519" spans="1:6" x14ac:dyDescent="0.2">
      <c r="A1519" s="243" t="s">
        <v>1621</v>
      </c>
      <c r="B1519" t="s">
        <v>3834</v>
      </c>
      <c r="C1519" t="s">
        <v>3835</v>
      </c>
      <c r="D1519" t="s">
        <v>3836</v>
      </c>
      <c r="E1519" t="s">
        <v>1470</v>
      </c>
      <c r="F1519" s="253" t="s">
        <v>1233</v>
      </c>
    </row>
    <row r="1520" spans="1:6" x14ac:dyDescent="0.2">
      <c r="A1520" s="243" t="s">
        <v>1621</v>
      </c>
      <c r="B1520" t="s">
        <v>3837</v>
      </c>
      <c r="C1520" t="s">
        <v>3838</v>
      </c>
      <c r="D1520" t="s">
        <v>3839</v>
      </c>
      <c r="E1520" t="s">
        <v>1470</v>
      </c>
      <c r="F1520" s="253" t="s">
        <v>1233</v>
      </c>
    </row>
    <row r="1521" spans="1:6" x14ac:dyDescent="0.2">
      <c r="A1521" s="243" t="s">
        <v>1621</v>
      </c>
      <c r="B1521" t="s">
        <v>3840</v>
      </c>
      <c r="C1521" t="s">
        <v>3841</v>
      </c>
      <c r="D1521" t="s">
        <v>3842</v>
      </c>
      <c r="E1521" t="s">
        <v>1470</v>
      </c>
      <c r="F1521" s="253" t="s">
        <v>1233</v>
      </c>
    </row>
    <row r="1522" spans="1:6" x14ac:dyDescent="0.2">
      <c r="A1522" s="243" t="s">
        <v>1621</v>
      </c>
      <c r="B1522" t="s">
        <v>3843</v>
      </c>
      <c r="C1522" t="s">
        <v>3844</v>
      </c>
      <c r="D1522" t="s">
        <v>3845</v>
      </c>
      <c r="E1522" t="s">
        <v>1470</v>
      </c>
      <c r="F1522" s="253" t="s">
        <v>1233</v>
      </c>
    </row>
    <row r="1523" spans="1:6" x14ac:dyDescent="0.2">
      <c r="A1523" s="243" t="s">
        <v>1621</v>
      </c>
      <c r="B1523" t="s">
        <v>3846</v>
      </c>
      <c r="C1523" t="s">
        <v>3847</v>
      </c>
      <c r="D1523" t="s">
        <v>3848</v>
      </c>
      <c r="E1523" t="s">
        <v>1470</v>
      </c>
      <c r="F1523" s="253" t="s">
        <v>1233</v>
      </c>
    </row>
    <row r="1524" spans="1:6" x14ac:dyDescent="0.2">
      <c r="A1524" s="243" t="s">
        <v>1621</v>
      </c>
      <c r="B1524" t="s">
        <v>3849</v>
      </c>
      <c r="C1524" t="s">
        <v>3850</v>
      </c>
      <c r="D1524" t="s">
        <v>3851</v>
      </c>
      <c r="E1524" t="s">
        <v>1473</v>
      </c>
      <c r="F1524" s="253" t="s">
        <v>1233</v>
      </c>
    </row>
    <row r="1525" spans="1:6" x14ac:dyDescent="0.2">
      <c r="A1525" s="243" t="s">
        <v>1621</v>
      </c>
      <c r="B1525" t="s">
        <v>3852</v>
      </c>
      <c r="C1525" t="s">
        <v>3853</v>
      </c>
      <c r="D1525" t="s">
        <v>3854</v>
      </c>
      <c r="E1525" t="s">
        <v>1473</v>
      </c>
      <c r="F1525" s="253" t="s">
        <v>1233</v>
      </c>
    </row>
    <row r="1526" spans="1:6" x14ac:dyDescent="0.2">
      <c r="A1526" s="243" t="s">
        <v>1621</v>
      </c>
      <c r="B1526" t="s">
        <v>3855</v>
      </c>
      <c r="C1526" t="s">
        <v>3856</v>
      </c>
      <c r="D1526" t="s">
        <v>3857</v>
      </c>
      <c r="E1526" t="s">
        <v>1473</v>
      </c>
      <c r="F1526" s="253" t="s">
        <v>1233</v>
      </c>
    </row>
    <row r="1527" spans="1:6" x14ac:dyDescent="0.2">
      <c r="A1527" s="243" t="s">
        <v>1621</v>
      </c>
      <c r="B1527" t="s">
        <v>3858</v>
      </c>
      <c r="C1527" t="s">
        <v>3859</v>
      </c>
      <c r="D1527" t="s">
        <v>3860</v>
      </c>
      <c r="E1527" t="s">
        <v>1473</v>
      </c>
      <c r="F1527" s="253" t="s">
        <v>1233</v>
      </c>
    </row>
    <row r="1528" spans="1:6" x14ac:dyDescent="0.2">
      <c r="A1528" s="243" t="s">
        <v>1621</v>
      </c>
      <c r="B1528" t="s">
        <v>3861</v>
      </c>
      <c r="C1528" t="s">
        <v>2328</v>
      </c>
      <c r="D1528" t="s">
        <v>2329</v>
      </c>
      <c r="E1528" t="s">
        <v>1473</v>
      </c>
      <c r="F1528" s="253" t="s">
        <v>1233</v>
      </c>
    </row>
    <row r="1529" spans="1:6" x14ac:dyDescent="0.2">
      <c r="A1529" s="243" t="s">
        <v>1621</v>
      </c>
      <c r="B1529" t="s">
        <v>3862</v>
      </c>
      <c r="C1529" t="s">
        <v>3863</v>
      </c>
      <c r="D1529" t="s">
        <v>3864</v>
      </c>
      <c r="E1529" t="s">
        <v>1473</v>
      </c>
      <c r="F1529" s="253" t="s">
        <v>1233</v>
      </c>
    </row>
    <row r="1530" spans="1:6" x14ac:dyDescent="0.2">
      <c r="A1530" s="243" t="s">
        <v>1621</v>
      </c>
      <c r="B1530" t="s">
        <v>3865</v>
      </c>
      <c r="C1530" t="s">
        <v>3866</v>
      </c>
      <c r="D1530" t="s">
        <v>3867</v>
      </c>
      <c r="E1530" t="s">
        <v>1473</v>
      </c>
      <c r="F1530" s="253" t="s">
        <v>1233</v>
      </c>
    </row>
    <row r="1531" spans="1:6" x14ac:dyDescent="0.2">
      <c r="A1531" s="243" t="s">
        <v>1621</v>
      </c>
      <c r="B1531" t="s">
        <v>3868</v>
      </c>
      <c r="C1531" t="s">
        <v>2190</v>
      </c>
      <c r="D1531" t="s">
        <v>2191</v>
      </c>
      <c r="E1531" t="s">
        <v>1473</v>
      </c>
      <c r="F1531" s="253" t="s">
        <v>1233</v>
      </c>
    </row>
    <row r="1532" spans="1:6" x14ac:dyDescent="0.2">
      <c r="A1532" s="243" t="s">
        <v>1621</v>
      </c>
      <c r="B1532" t="s">
        <v>3869</v>
      </c>
      <c r="C1532" t="s">
        <v>3870</v>
      </c>
      <c r="D1532" t="s">
        <v>3871</v>
      </c>
      <c r="E1532" t="s">
        <v>1473</v>
      </c>
      <c r="F1532" s="253" t="s">
        <v>1233</v>
      </c>
    </row>
    <row r="1533" spans="1:6" x14ac:dyDescent="0.2">
      <c r="A1533" s="243" t="s">
        <v>1621</v>
      </c>
      <c r="B1533" t="s">
        <v>3872</v>
      </c>
      <c r="C1533" t="s">
        <v>3873</v>
      </c>
      <c r="D1533" t="s">
        <v>3874</v>
      </c>
      <c r="E1533" t="s">
        <v>1473</v>
      </c>
      <c r="F1533" s="253" t="s">
        <v>1233</v>
      </c>
    </row>
    <row r="1534" spans="1:6" x14ac:dyDescent="0.2">
      <c r="A1534" s="243" t="s">
        <v>1621</v>
      </c>
      <c r="B1534" t="s">
        <v>3875</v>
      </c>
      <c r="C1534" t="s">
        <v>3876</v>
      </c>
      <c r="D1534" t="s">
        <v>3877</v>
      </c>
      <c r="E1534" t="s">
        <v>1473</v>
      </c>
      <c r="F1534" s="253" t="s">
        <v>1233</v>
      </c>
    </row>
    <row r="1535" spans="1:6" x14ac:dyDescent="0.2">
      <c r="A1535" s="243" t="s">
        <v>1621</v>
      </c>
      <c r="B1535" t="s">
        <v>3878</v>
      </c>
      <c r="C1535" t="s">
        <v>3879</v>
      </c>
      <c r="D1535" t="s">
        <v>3880</v>
      </c>
      <c r="E1535" t="s">
        <v>1473</v>
      </c>
      <c r="F1535" s="253" t="s">
        <v>1233</v>
      </c>
    </row>
    <row r="1536" spans="1:6" x14ac:dyDescent="0.2">
      <c r="A1536" s="243" t="s">
        <v>1621</v>
      </c>
      <c r="B1536" t="s">
        <v>3881</v>
      </c>
      <c r="C1536" t="s">
        <v>3882</v>
      </c>
      <c r="D1536" t="s">
        <v>3883</v>
      </c>
      <c r="E1536" t="s">
        <v>1473</v>
      </c>
      <c r="F1536" s="253" t="s">
        <v>1233</v>
      </c>
    </row>
    <row r="1537" spans="1:6" x14ac:dyDescent="0.2">
      <c r="A1537" s="243" t="s">
        <v>1621</v>
      </c>
      <c r="B1537" t="s">
        <v>3884</v>
      </c>
      <c r="C1537" t="s">
        <v>3885</v>
      </c>
      <c r="D1537" t="s">
        <v>3886</v>
      </c>
      <c r="E1537" t="s">
        <v>1473</v>
      </c>
      <c r="F1537" s="253" t="s">
        <v>1233</v>
      </c>
    </row>
    <row r="1538" spans="1:6" x14ac:dyDescent="0.2">
      <c r="A1538" s="243" t="s">
        <v>1621</v>
      </c>
      <c r="B1538" t="s">
        <v>3887</v>
      </c>
      <c r="C1538" t="s">
        <v>3888</v>
      </c>
      <c r="D1538" t="s">
        <v>3889</v>
      </c>
      <c r="E1538" t="s">
        <v>1473</v>
      </c>
      <c r="F1538" s="253" t="s">
        <v>1233</v>
      </c>
    </row>
    <row r="1539" spans="1:6" x14ac:dyDescent="0.2">
      <c r="A1539" s="243" t="s">
        <v>1621</v>
      </c>
      <c r="B1539" t="s">
        <v>3890</v>
      </c>
      <c r="C1539" t="s">
        <v>3891</v>
      </c>
      <c r="D1539" t="s">
        <v>3892</v>
      </c>
      <c r="E1539" t="s">
        <v>1473</v>
      </c>
      <c r="F1539" s="253" t="s">
        <v>1233</v>
      </c>
    </row>
    <row r="1540" spans="1:6" x14ac:dyDescent="0.2">
      <c r="A1540" s="243" t="s">
        <v>1621</v>
      </c>
      <c r="B1540" t="s">
        <v>3893</v>
      </c>
      <c r="C1540" t="s">
        <v>3894</v>
      </c>
      <c r="D1540" t="s">
        <v>3895</v>
      </c>
      <c r="E1540" t="s">
        <v>1476</v>
      </c>
      <c r="F1540" s="253" t="s">
        <v>1233</v>
      </c>
    </row>
    <row r="1541" spans="1:6" x14ac:dyDescent="0.2">
      <c r="A1541" s="243" t="s">
        <v>1621</v>
      </c>
      <c r="B1541" t="s">
        <v>3896</v>
      </c>
      <c r="C1541" t="s">
        <v>3897</v>
      </c>
      <c r="D1541" t="s">
        <v>3898</v>
      </c>
      <c r="E1541" t="s">
        <v>1476</v>
      </c>
      <c r="F1541" s="253" t="s">
        <v>1233</v>
      </c>
    </row>
    <row r="1542" spans="1:6" x14ac:dyDescent="0.2">
      <c r="A1542" s="243" t="s">
        <v>1621</v>
      </c>
      <c r="B1542" t="s">
        <v>3899</v>
      </c>
      <c r="C1542" t="s">
        <v>3900</v>
      </c>
      <c r="D1542" t="s">
        <v>3901</v>
      </c>
      <c r="E1542" t="s">
        <v>1476</v>
      </c>
      <c r="F1542" s="253" t="s">
        <v>1233</v>
      </c>
    </row>
    <row r="1543" spans="1:6" x14ac:dyDescent="0.2">
      <c r="A1543" s="243" t="s">
        <v>1621</v>
      </c>
      <c r="B1543" t="s">
        <v>3902</v>
      </c>
      <c r="C1543" t="s">
        <v>2801</v>
      </c>
      <c r="D1543" t="s">
        <v>2802</v>
      </c>
      <c r="E1543" t="s">
        <v>1476</v>
      </c>
      <c r="F1543" s="253" t="s">
        <v>1233</v>
      </c>
    </row>
    <row r="1544" spans="1:6" x14ac:dyDescent="0.2">
      <c r="A1544" s="243" t="s">
        <v>1621</v>
      </c>
      <c r="B1544" t="s">
        <v>3903</v>
      </c>
      <c r="C1544" t="s">
        <v>3904</v>
      </c>
      <c r="D1544" t="s">
        <v>3905</v>
      </c>
      <c r="E1544" t="s">
        <v>1476</v>
      </c>
      <c r="F1544" s="253" t="s">
        <v>1233</v>
      </c>
    </row>
    <row r="1545" spans="1:6" x14ac:dyDescent="0.2">
      <c r="A1545" s="243" t="s">
        <v>1621</v>
      </c>
      <c r="B1545" t="s">
        <v>3906</v>
      </c>
      <c r="C1545" t="s">
        <v>3907</v>
      </c>
      <c r="D1545" t="s">
        <v>3908</v>
      </c>
      <c r="E1545" t="s">
        <v>1476</v>
      </c>
      <c r="F1545" s="253" t="s">
        <v>1233</v>
      </c>
    </row>
    <row r="1546" spans="1:6" x14ac:dyDescent="0.2">
      <c r="A1546" s="243" t="s">
        <v>1621</v>
      </c>
      <c r="B1546" t="s">
        <v>3909</v>
      </c>
      <c r="C1546" t="s">
        <v>3910</v>
      </c>
      <c r="D1546" t="s">
        <v>3911</v>
      </c>
      <c r="E1546" t="s">
        <v>1476</v>
      </c>
      <c r="F1546" s="253" t="s">
        <v>1233</v>
      </c>
    </row>
    <row r="1547" spans="1:6" x14ac:dyDescent="0.2">
      <c r="A1547" s="243" t="s">
        <v>1621</v>
      </c>
      <c r="B1547" t="s">
        <v>3912</v>
      </c>
      <c r="C1547" t="s">
        <v>1832</v>
      </c>
      <c r="D1547" t="s">
        <v>1833</v>
      </c>
      <c r="E1547" t="s">
        <v>1476</v>
      </c>
      <c r="F1547" s="253" t="s">
        <v>1233</v>
      </c>
    </row>
    <row r="1548" spans="1:6" x14ac:dyDescent="0.2">
      <c r="A1548" s="243" t="s">
        <v>1621</v>
      </c>
      <c r="B1548" t="s">
        <v>3913</v>
      </c>
      <c r="C1548" t="s">
        <v>3914</v>
      </c>
      <c r="D1548" t="s">
        <v>3915</v>
      </c>
      <c r="E1548" t="s">
        <v>1476</v>
      </c>
      <c r="F1548" s="253" t="s">
        <v>1233</v>
      </c>
    </row>
    <row r="1549" spans="1:6" x14ac:dyDescent="0.2">
      <c r="A1549" s="243" t="s">
        <v>1621</v>
      </c>
      <c r="B1549" t="s">
        <v>3916</v>
      </c>
      <c r="C1549" t="s">
        <v>1702</v>
      </c>
      <c r="D1549" t="s">
        <v>1703</v>
      </c>
      <c r="E1549" t="s">
        <v>1476</v>
      </c>
      <c r="F1549" s="253" t="s">
        <v>1233</v>
      </c>
    </row>
    <row r="1550" spans="1:6" x14ac:dyDescent="0.2">
      <c r="A1550" s="243" t="s">
        <v>1621</v>
      </c>
      <c r="B1550" t="s">
        <v>3917</v>
      </c>
      <c r="C1550" t="s">
        <v>3918</v>
      </c>
      <c r="D1550" t="s">
        <v>3919</v>
      </c>
      <c r="E1550" t="s">
        <v>1479</v>
      </c>
      <c r="F1550" s="253" t="s">
        <v>1233</v>
      </c>
    </row>
    <row r="1551" spans="1:6" x14ac:dyDescent="0.2">
      <c r="A1551" s="243" t="s">
        <v>1621</v>
      </c>
      <c r="B1551" t="s">
        <v>3920</v>
      </c>
      <c r="C1551" t="s">
        <v>3921</v>
      </c>
      <c r="D1551" t="s">
        <v>3922</v>
      </c>
      <c r="E1551" t="s">
        <v>1479</v>
      </c>
      <c r="F1551" s="253" t="s">
        <v>1233</v>
      </c>
    </row>
    <row r="1552" spans="1:6" x14ac:dyDescent="0.2">
      <c r="A1552" s="243" t="s">
        <v>1621</v>
      </c>
      <c r="B1552" t="s">
        <v>3923</v>
      </c>
      <c r="C1552" t="s">
        <v>3924</v>
      </c>
      <c r="D1552" t="s">
        <v>3925</v>
      </c>
      <c r="E1552" t="s">
        <v>1479</v>
      </c>
      <c r="F1552" s="253" t="s">
        <v>1233</v>
      </c>
    </row>
    <row r="1553" spans="1:6" x14ac:dyDescent="0.2">
      <c r="A1553" s="243" t="s">
        <v>1621</v>
      </c>
      <c r="B1553" t="s">
        <v>3926</v>
      </c>
      <c r="C1553" t="s">
        <v>3927</v>
      </c>
      <c r="D1553" t="s">
        <v>3928</v>
      </c>
      <c r="E1553" t="s">
        <v>1479</v>
      </c>
      <c r="F1553" s="253" t="s">
        <v>1233</v>
      </c>
    </row>
    <row r="1554" spans="1:6" x14ac:dyDescent="0.2">
      <c r="A1554" s="243" t="s">
        <v>1621</v>
      </c>
      <c r="B1554" t="s">
        <v>3929</v>
      </c>
      <c r="C1554" t="s">
        <v>3930</v>
      </c>
      <c r="D1554" t="s">
        <v>3931</v>
      </c>
      <c r="E1554" t="s">
        <v>1479</v>
      </c>
      <c r="F1554" s="253" t="s">
        <v>1233</v>
      </c>
    </row>
    <row r="1555" spans="1:6" x14ac:dyDescent="0.2">
      <c r="A1555" s="243" t="s">
        <v>1621</v>
      </c>
      <c r="B1555" t="s">
        <v>3932</v>
      </c>
      <c r="C1555" t="s">
        <v>3933</v>
      </c>
      <c r="D1555" t="s">
        <v>3934</v>
      </c>
      <c r="E1555" t="s">
        <v>1479</v>
      </c>
      <c r="F1555" s="253" t="s">
        <v>1233</v>
      </c>
    </row>
    <row r="1556" spans="1:6" x14ac:dyDescent="0.2">
      <c r="A1556" s="243" t="s">
        <v>1621</v>
      </c>
      <c r="B1556" t="s">
        <v>3935</v>
      </c>
      <c r="C1556" t="s">
        <v>3936</v>
      </c>
      <c r="D1556" t="s">
        <v>3937</v>
      </c>
      <c r="E1556" t="s">
        <v>1482</v>
      </c>
      <c r="F1556" s="253" t="s">
        <v>1233</v>
      </c>
    </row>
    <row r="1557" spans="1:6" x14ac:dyDescent="0.2">
      <c r="A1557" s="243" t="s">
        <v>1621</v>
      </c>
      <c r="B1557" t="s">
        <v>3938</v>
      </c>
      <c r="C1557" t="s">
        <v>3939</v>
      </c>
      <c r="D1557" t="s">
        <v>3940</v>
      </c>
      <c r="E1557" t="s">
        <v>1482</v>
      </c>
      <c r="F1557" s="253" t="s">
        <v>1233</v>
      </c>
    </row>
    <row r="1558" spans="1:6" x14ac:dyDescent="0.2">
      <c r="A1558" s="243" t="s">
        <v>1621</v>
      </c>
      <c r="B1558" t="s">
        <v>3941</v>
      </c>
      <c r="C1558" t="s">
        <v>3942</v>
      </c>
      <c r="D1558" t="s">
        <v>3943</v>
      </c>
      <c r="E1558" t="s">
        <v>1482</v>
      </c>
      <c r="F1558" s="253" t="s">
        <v>1233</v>
      </c>
    </row>
    <row r="1559" spans="1:6" x14ac:dyDescent="0.2">
      <c r="A1559" s="243" t="s">
        <v>1621</v>
      </c>
      <c r="B1559" t="s">
        <v>3944</v>
      </c>
      <c r="C1559" t="s">
        <v>3945</v>
      </c>
      <c r="D1559" t="s">
        <v>3946</v>
      </c>
      <c r="E1559" t="s">
        <v>1482</v>
      </c>
      <c r="F1559" s="253" t="s">
        <v>1233</v>
      </c>
    </row>
    <row r="1560" spans="1:6" x14ac:dyDescent="0.2">
      <c r="A1560" s="243" t="s">
        <v>1621</v>
      </c>
      <c r="B1560" t="s">
        <v>3947</v>
      </c>
      <c r="C1560" t="s">
        <v>3948</v>
      </c>
      <c r="D1560" t="s">
        <v>3949</v>
      </c>
      <c r="E1560" t="s">
        <v>1482</v>
      </c>
      <c r="F1560" s="253" t="s">
        <v>1233</v>
      </c>
    </row>
    <row r="1561" spans="1:6" x14ac:dyDescent="0.2">
      <c r="A1561" s="243" t="s">
        <v>1621</v>
      </c>
      <c r="B1561" t="s">
        <v>3950</v>
      </c>
      <c r="C1561" t="s">
        <v>3951</v>
      </c>
      <c r="D1561" t="s">
        <v>3952</v>
      </c>
      <c r="E1561" t="s">
        <v>1482</v>
      </c>
      <c r="F1561" s="253" t="s">
        <v>1233</v>
      </c>
    </row>
    <row r="1562" spans="1:6" x14ac:dyDescent="0.2">
      <c r="A1562" s="243" t="s">
        <v>1621</v>
      </c>
      <c r="B1562" t="s">
        <v>3953</v>
      </c>
      <c r="C1562" t="s">
        <v>3954</v>
      </c>
      <c r="D1562" t="s">
        <v>3955</v>
      </c>
      <c r="E1562" t="s">
        <v>1482</v>
      </c>
      <c r="F1562" s="253" t="s">
        <v>1233</v>
      </c>
    </row>
    <row r="1563" spans="1:6" x14ac:dyDescent="0.2">
      <c r="A1563" s="243" t="s">
        <v>1621</v>
      </c>
      <c r="B1563" t="s">
        <v>3956</v>
      </c>
      <c r="C1563" t="s">
        <v>3957</v>
      </c>
      <c r="D1563" t="s">
        <v>3958</v>
      </c>
      <c r="E1563" t="s">
        <v>1482</v>
      </c>
      <c r="F1563" s="253" t="s">
        <v>1233</v>
      </c>
    </row>
    <row r="1564" spans="1:6" x14ac:dyDescent="0.2">
      <c r="A1564" s="243" t="s">
        <v>1621</v>
      </c>
      <c r="B1564" t="s">
        <v>3959</v>
      </c>
      <c r="C1564" t="s">
        <v>3960</v>
      </c>
      <c r="D1564" t="s">
        <v>3961</v>
      </c>
      <c r="E1564" t="s">
        <v>1482</v>
      </c>
      <c r="F1564" s="253" t="s">
        <v>1233</v>
      </c>
    </row>
    <row r="1565" spans="1:6" x14ac:dyDescent="0.2">
      <c r="A1565" s="243" t="s">
        <v>1621</v>
      </c>
      <c r="B1565" t="s">
        <v>3962</v>
      </c>
      <c r="C1565" t="s">
        <v>3963</v>
      </c>
      <c r="D1565" t="s">
        <v>3964</v>
      </c>
      <c r="E1565" t="s">
        <v>1482</v>
      </c>
      <c r="F1565" s="253" t="s">
        <v>1233</v>
      </c>
    </row>
    <row r="1566" spans="1:6" x14ac:dyDescent="0.2">
      <c r="A1566" s="243" t="s">
        <v>1621</v>
      </c>
      <c r="B1566" t="s">
        <v>3965</v>
      </c>
      <c r="C1566" t="s">
        <v>3966</v>
      </c>
      <c r="D1566" t="s">
        <v>3967</v>
      </c>
      <c r="E1566" t="s">
        <v>1482</v>
      </c>
      <c r="F1566" s="253" t="s">
        <v>1233</v>
      </c>
    </row>
    <row r="1567" spans="1:6" x14ac:dyDescent="0.2">
      <c r="A1567" s="243" t="s">
        <v>1621</v>
      </c>
      <c r="B1567" t="s">
        <v>3968</v>
      </c>
      <c r="C1567" t="s">
        <v>3969</v>
      </c>
      <c r="D1567" t="s">
        <v>3970</v>
      </c>
      <c r="E1567" t="s">
        <v>1482</v>
      </c>
      <c r="F1567" s="253" t="s">
        <v>1233</v>
      </c>
    </row>
    <row r="1568" spans="1:6" x14ac:dyDescent="0.2">
      <c r="A1568" s="243" t="s">
        <v>1621</v>
      </c>
      <c r="B1568" t="s">
        <v>3971</v>
      </c>
      <c r="C1568" t="s">
        <v>3972</v>
      </c>
      <c r="D1568" t="s">
        <v>3973</v>
      </c>
      <c r="E1568" t="s">
        <v>1482</v>
      </c>
      <c r="F1568" s="253" t="s">
        <v>1233</v>
      </c>
    </row>
    <row r="1569" spans="1:6" x14ac:dyDescent="0.2">
      <c r="A1569" s="243" t="s">
        <v>1621</v>
      </c>
      <c r="B1569" t="s">
        <v>3974</v>
      </c>
      <c r="C1569" t="s">
        <v>1233</v>
      </c>
      <c r="D1569" t="s">
        <v>1234</v>
      </c>
      <c r="E1569" t="s">
        <v>1482</v>
      </c>
      <c r="F1569" s="253" t="s">
        <v>1233</v>
      </c>
    </row>
    <row r="1570" spans="1:6" x14ac:dyDescent="0.2">
      <c r="A1570" s="243" t="s">
        <v>1621</v>
      </c>
      <c r="B1570" t="s">
        <v>3975</v>
      </c>
      <c r="C1570" t="s">
        <v>3976</v>
      </c>
      <c r="D1570" t="s">
        <v>3977</v>
      </c>
      <c r="E1570" t="s">
        <v>1482</v>
      </c>
      <c r="F1570" s="253" t="s">
        <v>1233</v>
      </c>
    </row>
    <row r="1571" spans="1:6" x14ac:dyDescent="0.2">
      <c r="A1571" s="243" t="s">
        <v>1621</v>
      </c>
      <c r="B1571" t="s">
        <v>3978</v>
      </c>
      <c r="C1571" t="s">
        <v>3979</v>
      </c>
      <c r="D1571" t="s">
        <v>3980</v>
      </c>
      <c r="E1571" t="s">
        <v>1482</v>
      </c>
      <c r="F1571" s="253" t="s">
        <v>1233</v>
      </c>
    </row>
    <row r="1572" spans="1:6" x14ac:dyDescent="0.2">
      <c r="A1572" s="243" t="s">
        <v>1621</v>
      </c>
      <c r="B1572" t="s">
        <v>3981</v>
      </c>
      <c r="C1572" t="s">
        <v>3982</v>
      </c>
      <c r="D1572" t="s">
        <v>3983</v>
      </c>
      <c r="E1572" t="s">
        <v>1482</v>
      </c>
      <c r="F1572" s="253" t="s">
        <v>1233</v>
      </c>
    </row>
    <row r="1573" spans="1:6" x14ac:dyDescent="0.2">
      <c r="A1573" s="243" t="s">
        <v>1621</v>
      </c>
      <c r="B1573" t="s">
        <v>3984</v>
      </c>
      <c r="C1573" t="s">
        <v>3985</v>
      </c>
      <c r="D1573" t="s">
        <v>3986</v>
      </c>
      <c r="E1573" t="s">
        <v>1482</v>
      </c>
      <c r="F1573" s="253" t="s">
        <v>1233</v>
      </c>
    </row>
    <row r="1574" spans="1:6" x14ac:dyDescent="0.2">
      <c r="A1574" s="243" t="s">
        <v>1621</v>
      </c>
      <c r="B1574" t="s">
        <v>3987</v>
      </c>
      <c r="C1574" t="s">
        <v>3782</v>
      </c>
      <c r="D1574" t="s">
        <v>3783</v>
      </c>
      <c r="E1574" t="s">
        <v>1482</v>
      </c>
      <c r="F1574" s="253" t="s">
        <v>1233</v>
      </c>
    </row>
    <row r="1575" spans="1:6" x14ac:dyDescent="0.2">
      <c r="A1575" s="243" t="s">
        <v>1621</v>
      </c>
      <c r="B1575" t="s">
        <v>3988</v>
      </c>
      <c r="C1575" t="s">
        <v>3782</v>
      </c>
      <c r="D1575" t="s">
        <v>3783</v>
      </c>
      <c r="E1575" t="s">
        <v>1482</v>
      </c>
      <c r="F1575" s="253" t="s">
        <v>1233</v>
      </c>
    </row>
    <row r="1576" spans="1:6" x14ac:dyDescent="0.2">
      <c r="A1576" s="243" t="s">
        <v>1621</v>
      </c>
      <c r="B1576" t="s">
        <v>3989</v>
      </c>
      <c r="C1576" t="s">
        <v>3990</v>
      </c>
      <c r="D1576" t="s">
        <v>3991</v>
      </c>
      <c r="E1576" t="s">
        <v>1482</v>
      </c>
      <c r="F1576" s="253" t="s">
        <v>1233</v>
      </c>
    </row>
    <row r="1577" spans="1:6" x14ac:dyDescent="0.2">
      <c r="A1577" s="243" t="s">
        <v>1621</v>
      </c>
      <c r="B1577" t="s">
        <v>3992</v>
      </c>
      <c r="C1577" t="s">
        <v>3993</v>
      </c>
      <c r="D1577" t="s">
        <v>3994</v>
      </c>
      <c r="E1577" t="s">
        <v>1482</v>
      </c>
      <c r="F1577" s="253" t="s">
        <v>1233</v>
      </c>
    </row>
    <row r="1578" spans="1:6" x14ac:dyDescent="0.2">
      <c r="A1578" s="243" t="s">
        <v>1621</v>
      </c>
      <c r="B1578" t="s">
        <v>3995</v>
      </c>
      <c r="C1578" t="s">
        <v>3996</v>
      </c>
      <c r="D1578" t="s">
        <v>3997</v>
      </c>
      <c r="E1578" t="s">
        <v>1485</v>
      </c>
      <c r="F1578" s="253" t="s">
        <v>1233</v>
      </c>
    </row>
    <row r="1579" spans="1:6" x14ac:dyDescent="0.2">
      <c r="A1579" s="243" t="s">
        <v>1621</v>
      </c>
      <c r="B1579" t="s">
        <v>3998</v>
      </c>
      <c r="C1579" t="s">
        <v>3999</v>
      </c>
      <c r="D1579" t="s">
        <v>4000</v>
      </c>
      <c r="E1579" t="s">
        <v>1485</v>
      </c>
      <c r="F1579" s="253" t="s">
        <v>1233</v>
      </c>
    </row>
    <row r="1580" spans="1:6" x14ac:dyDescent="0.2">
      <c r="A1580" s="243" t="s">
        <v>1621</v>
      </c>
      <c r="B1580" t="s">
        <v>4001</v>
      </c>
      <c r="C1580" t="s">
        <v>2837</v>
      </c>
      <c r="D1580" t="s">
        <v>2838</v>
      </c>
      <c r="E1580" t="s">
        <v>1485</v>
      </c>
      <c r="F1580" s="253" t="s">
        <v>1233</v>
      </c>
    </row>
    <row r="1581" spans="1:6" x14ac:dyDescent="0.2">
      <c r="A1581" s="243" t="s">
        <v>1621</v>
      </c>
      <c r="B1581" t="s">
        <v>4002</v>
      </c>
      <c r="C1581" t="s">
        <v>4003</v>
      </c>
      <c r="D1581" t="s">
        <v>4004</v>
      </c>
      <c r="E1581" t="s">
        <v>1485</v>
      </c>
      <c r="F1581" s="253" t="s">
        <v>1233</v>
      </c>
    </row>
    <row r="1582" spans="1:6" x14ac:dyDescent="0.2">
      <c r="A1582" s="243" t="s">
        <v>1621</v>
      </c>
      <c r="B1582" t="s">
        <v>4005</v>
      </c>
      <c r="C1582" t="s">
        <v>4006</v>
      </c>
      <c r="D1582" t="s">
        <v>4007</v>
      </c>
      <c r="E1582" t="s">
        <v>1485</v>
      </c>
      <c r="F1582" s="253" t="s">
        <v>1233</v>
      </c>
    </row>
    <row r="1583" spans="1:6" x14ac:dyDescent="0.2">
      <c r="A1583" s="243" t="s">
        <v>1621</v>
      </c>
      <c r="B1583" t="s">
        <v>4008</v>
      </c>
      <c r="C1583" t="s">
        <v>4009</v>
      </c>
      <c r="D1583" t="s">
        <v>4010</v>
      </c>
      <c r="E1583" t="s">
        <v>1485</v>
      </c>
      <c r="F1583" s="253" t="s">
        <v>1233</v>
      </c>
    </row>
    <row r="1584" spans="1:6" x14ac:dyDescent="0.2">
      <c r="A1584" s="243" t="s">
        <v>1621</v>
      </c>
      <c r="B1584" t="s">
        <v>4011</v>
      </c>
      <c r="C1584" t="s">
        <v>4012</v>
      </c>
      <c r="D1584" t="s">
        <v>4013</v>
      </c>
      <c r="E1584" t="s">
        <v>1485</v>
      </c>
      <c r="F1584" s="253" t="s">
        <v>1233</v>
      </c>
    </row>
    <row r="1585" spans="1:6" x14ac:dyDescent="0.2">
      <c r="A1585" s="243" t="s">
        <v>1621</v>
      </c>
      <c r="B1585" t="s">
        <v>4014</v>
      </c>
      <c r="C1585" t="s">
        <v>4015</v>
      </c>
      <c r="D1585" t="s">
        <v>4016</v>
      </c>
      <c r="E1585" t="s">
        <v>1485</v>
      </c>
      <c r="F1585" s="253" t="s">
        <v>1233</v>
      </c>
    </row>
    <row r="1586" spans="1:6" x14ac:dyDescent="0.2">
      <c r="A1586" s="243" t="s">
        <v>1621</v>
      </c>
      <c r="B1586" t="s">
        <v>4017</v>
      </c>
      <c r="C1586" t="s">
        <v>1766</v>
      </c>
      <c r="D1586" t="s">
        <v>1767</v>
      </c>
      <c r="E1586" t="s">
        <v>1485</v>
      </c>
      <c r="F1586" s="253" t="s">
        <v>1233</v>
      </c>
    </row>
    <row r="1587" spans="1:6" x14ac:dyDescent="0.2">
      <c r="A1587" s="243" t="s">
        <v>1621</v>
      </c>
      <c r="B1587" t="s">
        <v>4018</v>
      </c>
      <c r="C1587" t="s">
        <v>4019</v>
      </c>
      <c r="D1587" t="s">
        <v>4020</v>
      </c>
      <c r="E1587" t="s">
        <v>1485</v>
      </c>
      <c r="F1587" s="253" t="s">
        <v>1233</v>
      </c>
    </row>
    <row r="1588" spans="1:6" x14ac:dyDescent="0.2">
      <c r="A1588" s="243" t="s">
        <v>1621</v>
      </c>
      <c r="B1588" t="s">
        <v>4021</v>
      </c>
      <c r="C1588" t="s">
        <v>4022</v>
      </c>
      <c r="D1588" t="s">
        <v>4023</v>
      </c>
      <c r="E1588" t="s">
        <v>1485</v>
      </c>
      <c r="F1588" s="253" t="s">
        <v>1233</v>
      </c>
    </row>
    <row r="1589" spans="1:6" x14ac:dyDescent="0.2">
      <c r="A1589" s="243" t="s">
        <v>1621</v>
      </c>
      <c r="B1589" t="s">
        <v>4024</v>
      </c>
      <c r="C1589" t="s">
        <v>4025</v>
      </c>
      <c r="D1589" t="s">
        <v>4026</v>
      </c>
      <c r="E1589" t="s">
        <v>1485</v>
      </c>
      <c r="F1589" s="253" t="s">
        <v>1233</v>
      </c>
    </row>
    <row r="1590" spans="1:6" x14ac:dyDescent="0.2">
      <c r="A1590" s="243" t="s">
        <v>1621</v>
      </c>
      <c r="B1590" t="s">
        <v>4027</v>
      </c>
      <c r="C1590" t="s">
        <v>2165</v>
      </c>
      <c r="D1590" t="s">
        <v>2166</v>
      </c>
      <c r="E1590" t="s">
        <v>1488</v>
      </c>
      <c r="F1590" s="253" t="s">
        <v>1233</v>
      </c>
    </row>
    <row r="1591" spans="1:6" x14ac:dyDescent="0.2">
      <c r="A1591" s="243" t="s">
        <v>1621</v>
      </c>
      <c r="B1591" t="s">
        <v>4028</v>
      </c>
      <c r="C1591" t="s">
        <v>4029</v>
      </c>
      <c r="D1591" t="s">
        <v>4030</v>
      </c>
      <c r="E1591" t="s">
        <v>1488</v>
      </c>
      <c r="F1591" s="253" t="s">
        <v>1233</v>
      </c>
    </row>
    <row r="1592" spans="1:6" x14ac:dyDescent="0.2">
      <c r="A1592" s="243" t="s">
        <v>1621</v>
      </c>
      <c r="B1592" t="s">
        <v>4031</v>
      </c>
      <c r="C1592" t="s">
        <v>4032</v>
      </c>
      <c r="D1592" t="s">
        <v>4033</v>
      </c>
      <c r="E1592" t="s">
        <v>1488</v>
      </c>
      <c r="F1592" s="253" t="s">
        <v>1233</v>
      </c>
    </row>
    <row r="1593" spans="1:6" x14ac:dyDescent="0.2">
      <c r="A1593" s="243" t="s">
        <v>1621</v>
      </c>
      <c r="B1593" t="s">
        <v>4034</v>
      </c>
      <c r="C1593" t="s">
        <v>4035</v>
      </c>
      <c r="D1593" t="s">
        <v>4036</v>
      </c>
      <c r="E1593" t="s">
        <v>1488</v>
      </c>
      <c r="F1593" s="253" t="s">
        <v>1233</v>
      </c>
    </row>
    <row r="1594" spans="1:6" x14ac:dyDescent="0.2">
      <c r="A1594" s="243" t="s">
        <v>1621</v>
      </c>
      <c r="B1594" t="s">
        <v>4037</v>
      </c>
      <c r="C1594" t="s">
        <v>2328</v>
      </c>
      <c r="D1594" t="s">
        <v>2329</v>
      </c>
      <c r="E1594" t="s">
        <v>1488</v>
      </c>
      <c r="F1594" s="253" t="s">
        <v>1233</v>
      </c>
    </row>
    <row r="1595" spans="1:6" x14ac:dyDescent="0.2">
      <c r="A1595" s="243" t="s">
        <v>1621</v>
      </c>
      <c r="B1595" t="s">
        <v>4038</v>
      </c>
      <c r="C1595" t="s">
        <v>4039</v>
      </c>
      <c r="D1595" t="s">
        <v>4040</v>
      </c>
      <c r="E1595" t="s">
        <v>1488</v>
      </c>
      <c r="F1595" s="253" t="s">
        <v>1233</v>
      </c>
    </row>
    <row r="1596" spans="1:6" x14ac:dyDescent="0.2">
      <c r="A1596" s="243" t="s">
        <v>1621</v>
      </c>
      <c r="B1596" t="s">
        <v>4041</v>
      </c>
      <c r="C1596" t="s">
        <v>4042</v>
      </c>
      <c r="D1596" t="s">
        <v>4043</v>
      </c>
      <c r="E1596" t="s">
        <v>1488</v>
      </c>
      <c r="F1596" s="253" t="s">
        <v>1233</v>
      </c>
    </row>
    <row r="1597" spans="1:6" x14ac:dyDescent="0.2">
      <c r="A1597" s="243" t="s">
        <v>1621</v>
      </c>
      <c r="B1597" t="s">
        <v>4044</v>
      </c>
      <c r="C1597" t="s">
        <v>4045</v>
      </c>
      <c r="D1597" t="s">
        <v>4046</v>
      </c>
      <c r="E1597" t="s">
        <v>1488</v>
      </c>
      <c r="F1597" s="253" t="s">
        <v>1233</v>
      </c>
    </row>
    <row r="1598" spans="1:6" x14ac:dyDescent="0.2">
      <c r="A1598" s="243" t="s">
        <v>1621</v>
      </c>
      <c r="B1598" t="s">
        <v>4047</v>
      </c>
      <c r="C1598" t="s">
        <v>4048</v>
      </c>
      <c r="D1598" t="s">
        <v>4049</v>
      </c>
      <c r="E1598" t="s">
        <v>1488</v>
      </c>
      <c r="F1598" s="253" t="s">
        <v>1233</v>
      </c>
    </row>
    <row r="1599" spans="1:6" x14ac:dyDescent="0.2">
      <c r="A1599" s="243" t="s">
        <v>1621</v>
      </c>
      <c r="B1599" t="s">
        <v>4050</v>
      </c>
      <c r="C1599" t="s">
        <v>4051</v>
      </c>
      <c r="D1599" t="s">
        <v>4052</v>
      </c>
      <c r="E1599" t="s">
        <v>1491</v>
      </c>
      <c r="F1599" s="253" t="s">
        <v>1236</v>
      </c>
    </row>
    <row r="1600" spans="1:6" x14ac:dyDescent="0.2">
      <c r="A1600" s="243" t="s">
        <v>1621</v>
      </c>
      <c r="B1600" t="s">
        <v>4053</v>
      </c>
      <c r="C1600" t="s">
        <v>4054</v>
      </c>
      <c r="D1600" t="s">
        <v>4055</v>
      </c>
      <c r="E1600" t="s">
        <v>1491</v>
      </c>
      <c r="F1600" s="253" t="s">
        <v>1236</v>
      </c>
    </row>
    <row r="1601" spans="1:6" x14ac:dyDescent="0.2">
      <c r="A1601" s="243" t="s">
        <v>1621</v>
      </c>
      <c r="B1601" t="s">
        <v>4056</v>
      </c>
      <c r="C1601" t="s">
        <v>4057</v>
      </c>
      <c r="D1601" t="s">
        <v>4058</v>
      </c>
      <c r="E1601" t="s">
        <v>1491</v>
      </c>
      <c r="F1601" s="253" t="s">
        <v>1236</v>
      </c>
    </row>
    <row r="1602" spans="1:6" x14ac:dyDescent="0.2">
      <c r="A1602" s="243" t="s">
        <v>1621</v>
      </c>
      <c r="B1602" t="s">
        <v>4059</v>
      </c>
      <c r="C1602" t="s">
        <v>4060</v>
      </c>
      <c r="D1602" t="s">
        <v>4061</v>
      </c>
      <c r="E1602" t="s">
        <v>1491</v>
      </c>
      <c r="F1602" s="253" t="s">
        <v>1236</v>
      </c>
    </row>
    <row r="1603" spans="1:6" x14ac:dyDescent="0.2">
      <c r="A1603" s="243" t="s">
        <v>1621</v>
      </c>
      <c r="B1603" t="s">
        <v>4062</v>
      </c>
      <c r="C1603" t="s">
        <v>4063</v>
      </c>
      <c r="D1603" t="s">
        <v>4064</v>
      </c>
      <c r="E1603" t="s">
        <v>1491</v>
      </c>
      <c r="F1603" s="253" t="s">
        <v>1236</v>
      </c>
    </row>
    <row r="1604" spans="1:6" x14ac:dyDescent="0.2">
      <c r="A1604" s="243" t="s">
        <v>1621</v>
      </c>
      <c r="B1604" t="s">
        <v>4065</v>
      </c>
      <c r="C1604" t="s">
        <v>4066</v>
      </c>
      <c r="D1604" t="s">
        <v>4067</v>
      </c>
      <c r="E1604" t="s">
        <v>1491</v>
      </c>
      <c r="F1604" s="253" t="s">
        <v>1236</v>
      </c>
    </row>
    <row r="1605" spans="1:6" x14ac:dyDescent="0.2">
      <c r="A1605" s="243" t="s">
        <v>1621</v>
      </c>
      <c r="B1605" t="s">
        <v>4068</v>
      </c>
      <c r="C1605" t="s">
        <v>4069</v>
      </c>
      <c r="D1605" t="s">
        <v>4070</v>
      </c>
      <c r="E1605" t="s">
        <v>1491</v>
      </c>
      <c r="F1605" s="253" t="s">
        <v>1236</v>
      </c>
    </row>
    <row r="1606" spans="1:6" x14ac:dyDescent="0.2">
      <c r="A1606" s="243" t="s">
        <v>1621</v>
      </c>
      <c r="B1606" t="s">
        <v>4071</v>
      </c>
      <c r="C1606" t="s">
        <v>4072</v>
      </c>
      <c r="D1606" t="s">
        <v>4073</v>
      </c>
      <c r="E1606" t="s">
        <v>1491</v>
      </c>
      <c r="F1606" s="253" t="s">
        <v>1236</v>
      </c>
    </row>
    <row r="1607" spans="1:6" x14ac:dyDescent="0.2">
      <c r="A1607" s="243" t="s">
        <v>1621</v>
      </c>
      <c r="B1607" t="s">
        <v>4074</v>
      </c>
      <c r="C1607" t="s">
        <v>4075</v>
      </c>
      <c r="D1607" t="s">
        <v>4076</v>
      </c>
      <c r="E1607" t="s">
        <v>1491</v>
      </c>
      <c r="F1607" s="253" t="s">
        <v>1236</v>
      </c>
    </row>
    <row r="1608" spans="1:6" x14ac:dyDescent="0.2">
      <c r="A1608" s="243" t="s">
        <v>1621</v>
      </c>
      <c r="B1608" t="s">
        <v>4077</v>
      </c>
      <c r="C1608" t="s">
        <v>1766</v>
      </c>
      <c r="D1608" t="s">
        <v>1767</v>
      </c>
      <c r="E1608" t="s">
        <v>1491</v>
      </c>
      <c r="F1608" s="253" t="s">
        <v>1236</v>
      </c>
    </row>
    <row r="1609" spans="1:6" x14ac:dyDescent="0.2">
      <c r="A1609" s="243" t="s">
        <v>1621</v>
      </c>
      <c r="B1609" t="s">
        <v>4078</v>
      </c>
      <c r="C1609" t="s">
        <v>4079</v>
      </c>
      <c r="D1609" t="s">
        <v>4080</v>
      </c>
      <c r="E1609" t="s">
        <v>1491</v>
      </c>
      <c r="F1609" s="253" t="s">
        <v>1236</v>
      </c>
    </row>
    <row r="1610" spans="1:6" x14ac:dyDescent="0.2">
      <c r="A1610" s="243" t="s">
        <v>1621</v>
      </c>
      <c r="B1610" t="s">
        <v>4081</v>
      </c>
      <c r="C1610" t="s">
        <v>2415</v>
      </c>
      <c r="D1610" t="s">
        <v>2416</v>
      </c>
      <c r="E1610" t="s">
        <v>1491</v>
      </c>
      <c r="F1610" s="253" t="s">
        <v>1236</v>
      </c>
    </row>
    <row r="1611" spans="1:6" x14ac:dyDescent="0.2">
      <c r="A1611" s="243" t="s">
        <v>1621</v>
      </c>
      <c r="B1611" t="s">
        <v>4082</v>
      </c>
      <c r="C1611" t="s">
        <v>3142</v>
      </c>
      <c r="D1611" t="s">
        <v>3143</v>
      </c>
      <c r="E1611" t="s">
        <v>1494</v>
      </c>
      <c r="F1611" s="253" t="s">
        <v>1236</v>
      </c>
    </row>
    <row r="1612" spans="1:6" x14ac:dyDescent="0.2">
      <c r="A1612" s="243" t="s">
        <v>1621</v>
      </c>
      <c r="B1612" t="s">
        <v>4083</v>
      </c>
      <c r="C1612" t="s">
        <v>4084</v>
      </c>
      <c r="D1612" t="s">
        <v>4085</v>
      </c>
      <c r="E1612" t="s">
        <v>1494</v>
      </c>
      <c r="F1612" s="253" t="s">
        <v>1236</v>
      </c>
    </row>
    <row r="1613" spans="1:6" x14ac:dyDescent="0.2">
      <c r="A1613" s="243" t="s">
        <v>1621</v>
      </c>
      <c r="B1613" t="s">
        <v>4086</v>
      </c>
      <c r="C1613" t="s">
        <v>4087</v>
      </c>
      <c r="D1613" t="s">
        <v>4088</v>
      </c>
      <c r="E1613" t="s">
        <v>1494</v>
      </c>
      <c r="F1613" s="253" t="s">
        <v>1236</v>
      </c>
    </row>
    <row r="1614" spans="1:6" x14ac:dyDescent="0.2">
      <c r="A1614" s="243" t="s">
        <v>1621</v>
      </c>
      <c r="B1614" t="s">
        <v>4089</v>
      </c>
      <c r="C1614" t="s">
        <v>4090</v>
      </c>
      <c r="D1614" t="s">
        <v>4091</v>
      </c>
      <c r="E1614" t="s">
        <v>1494</v>
      </c>
      <c r="F1614" s="253" t="s">
        <v>1236</v>
      </c>
    </row>
    <row r="1615" spans="1:6" x14ac:dyDescent="0.2">
      <c r="A1615" s="243" t="s">
        <v>1621</v>
      </c>
      <c r="B1615" t="s">
        <v>4092</v>
      </c>
      <c r="C1615" t="s">
        <v>4093</v>
      </c>
      <c r="D1615" t="s">
        <v>4094</v>
      </c>
      <c r="E1615" t="s">
        <v>1494</v>
      </c>
      <c r="F1615" s="253" t="s">
        <v>1236</v>
      </c>
    </row>
    <row r="1616" spans="1:6" x14ac:dyDescent="0.2">
      <c r="A1616" s="243" t="s">
        <v>1621</v>
      </c>
      <c r="B1616" t="s">
        <v>4095</v>
      </c>
      <c r="C1616" t="s">
        <v>4096</v>
      </c>
      <c r="D1616" t="s">
        <v>4097</v>
      </c>
      <c r="E1616" t="s">
        <v>1494</v>
      </c>
      <c r="F1616" s="253" t="s">
        <v>1236</v>
      </c>
    </row>
    <row r="1617" spans="1:6" x14ac:dyDescent="0.2">
      <c r="A1617" s="243" t="s">
        <v>1621</v>
      </c>
      <c r="B1617" t="s">
        <v>4098</v>
      </c>
      <c r="C1617" t="s">
        <v>4099</v>
      </c>
      <c r="D1617" t="s">
        <v>4100</v>
      </c>
      <c r="E1617" t="s">
        <v>1494</v>
      </c>
      <c r="F1617" s="253" t="s">
        <v>1236</v>
      </c>
    </row>
    <row r="1618" spans="1:6" x14ac:dyDescent="0.2">
      <c r="A1618" s="243" t="s">
        <v>1621</v>
      </c>
      <c r="B1618" t="s">
        <v>4101</v>
      </c>
      <c r="C1618" t="s">
        <v>3136</v>
      </c>
      <c r="D1618" t="s">
        <v>3137</v>
      </c>
      <c r="E1618" t="s">
        <v>1497</v>
      </c>
      <c r="F1618" s="253" t="s">
        <v>1236</v>
      </c>
    </row>
    <row r="1619" spans="1:6" x14ac:dyDescent="0.2">
      <c r="A1619" s="243" t="s">
        <v>1621</v>
      </c>
      <c r="B1619" t="s">
        <v>4102</v>
      </c>
      <c r="C1619" t="s">
        <v>4103</v>
      </c>
      <c r="D1619" t="s">
        <v>4104</v>
      </c>
      <c r="E1619" t="s">
        <v>1497</v>
      </c>
      <c r="F1619" s="253" t="s">
        <v>1236</v>
      </c>
    </row>
    <row r="1620" spans="1:6" x14ac:dyDescent="0.2">
      <c r="A1620" s="243" t="s">
        <v>1621</v>
      </c>
      <c r="B1620" t="s">
        <v>4105</v>
      </c>
      <c r="C1620" t="s">
        <v>4106</v>
      </c>
      <c r="D1620" t="s">
        <v>4107</v>
      </c>
      <c r="E1620" t="s">
        <v>1497</v>
      </c>
      <c r="F1620" s="253" t="s">
        <v>1236</v>
      </c>
    </row>
    <row r="1621" spans="1:6" x14ac:dyDescent="0.2">
      <c r="A1621" s="243" t="s">
        <v>1621</v>
      </c>
      <c r="B1621" t="s">
        <v>4108</v>
      </c>
      <c r="C1621" t="s">
        <v>4109</v>
      </c>
      <c r="D1621" t="s">
        <v>4110</v>
      </c>
      <c r="E1621" t="s">
        <v>1497</v>
      </c>
      <c r="F1621" s="253" t="s">
        <v>1236</v>
      </c>
    </row>
    <row r="1622" spans="1:6" x14ac:dyDescent="0.2">
      <c r="A1622" s="243" t="s">
        <v>1621</v>
      </c>
      <c r="B1622" t="s">
        <v>4111</v>
      </c>
      <c r="C1622" t="s">
        <v>4112</v>
      </c>
      <c r="D1622" t="s">
        <v>4113</v>
      </c>
      <c r="E1622" t="s">
        <v>1497</v>
      </c>
      <c r="F1622" s="253" t="s">
        <v>1236</v>
      </c>
    </row>
    <row r="1623" spans="1:6" x14ac:dyDescent="0.2">
      <c r="A1623" s="243" t="s">
        <v>1621</v>
      </c>
      <c r="B1623" t="s">
        <v>4114</v>
      </c>
      <c r="C1623" t="s">
        <v>4115</v>
      </c>
      <c r="D1623" t="s">
        <v>4116</v>
      </c>
      <c r="E1623" t="s">
        <v>1497</v>
      </c>
      <c r="F1623" s="253" t="s">
        <v>1236</v>
      </c>
    </row>
    <row r="1624" spans="1:6" x14ac:dyDescent="0.2">
      <c r="A1624" s="243" t="s">
        <v>1621</v>
      </c>
      <c r="B1624" t="s">
        <v>4117</v>
      </c>
      <c r="C1624" t="s">
        <v>4118</v>
      </c>
      <c r="D1624" t="s">
        <v>4119</v>
      </c>
      <c r="E1624" t="s">
        <v>1497</v>
      </c>
      <c r="F1624" s="253" t="s">
        <v>1236</v>
      </c>
    </row>
    <row r="1625" spans="1:6" x14ac:dyDescent="0.2">
      <c r="A1625" s="243" t="s">
        <v>1621</v>
      </c>
      <c r="B1625" t="s">
        <v>4120</v>
      </c>
      <c r="C1625" t="s">
        <v>4121</v>
      </c>
      <c r="D1625" t="s">
        <v>4122</v>
      </c>
      <c r="E1625" t="s">
        <v>1497</v>
      </c>
      <c r="F1625" s="253" t="s">
        <v>1236</v>
      </c>
    </row>
    <row r="1626" spans="1:6" x14ac:dyDescent="0.2">
      <c r="A1626" s="243" t="s">
        <v>1621</v>
      </c>
      <c r="B1626" t="s">
        <v>4123</v>
      </c>
      <c r="C1626" t="s">
        <v>4124</v>
      </c>
      <c r="D1626" t="s">
        <v>4125</v>
      </c>
      <c r="E1626" t="s">
        <v>1497</v>
      </c>
      <c r="F1626" s="253" t="s">
        <v>1236</v>
      </c>
    </row>
    <row r="1627" spans="1:6" x14ac:dyDescent="0.2">
      <c r="A1627" s="243" t="s">
        <v>1621</v>
      </c>
      <c r="B1627" t="s">
        <v>4126</v>
      </c>
      <c r="C1627" t="s">
        <v>4127</v>
      </c>
      <c r="D1627" t="s">
        <v>4128</v>
      </c>
      <c r="E1627" t="s">
        <v>1497</v>
      </c>
      <c r="F1627" s="253" t="s">
        <v>1236</v>
      </c>
    </row>
    <row r="1628" spans="1:6" x14ac:dyDescent="0.2">
      <c r="A1628" s="243" t="s">
        <v>1621</v>
      </c>
      <c r="B1628" t="s">
        <v>4129</v>
      </c>
      <c r="C1628" t="s">
        <v>4130</v>
      </c>
      <c r="D1628" t="s">
        <v>4131</v>
      </c>
      <c r="E1628" t="s">
        <v>1497</v>
      </c>
      <c r="F1628" s="253" t="s">
        <v>1236</v>
      </c>
    </row>
    <row r="1629" spans="1:6" x14ac:dyDescent="0.2">
      <c r="A1629" s="243" t="s">
        <v>1621</v>
      </c>
      <c r="B1629" t="s">
        <v>4132</v>
      </c>
      <c r="C1629" t="s">
        <v>4133</v>
      </c>
      <c r="D1629" t="s">
        <v>4134</v>
      </c>
      <c r="E1629" t="s">
        <v>1497</v>
      </c>
      <c r="F1629" s="253" t="s">
        <v>1236</v>
      </c>
    </row>
    <row r="1630" spans="1:6" x14ac:dyDescent="0.2">
      <c r="A1630" s="243" t="s">
        <v>1621</v>
      </c>
      <c r="B1630" t="s">
        <v>4135</v>
      </c>
      <c r="C1630" t="s">
        <v>4136</v>
      </c>
      <c r="D1630" t="s">
        <v>4137</v>
      </c>
      <c r="E1630" t="s">
        <v>1497</v>
      </c>
      <c r="F1630" s="253" t="s">
        <v>1236</v>
      </c>
    </row>
    <row r="1631" spans="1:6" x14ac:dyDescent="0.2">
      <c r="A1631" s="243" t="s">
        <v>1621</v>
      </c>
      <c r="B1631" t="s">
        <v>4138</v>
      </c>
      <c r="C1631" t="s">
        <v>4139</v>
      </c>
      <c r="D1631" t="s">
        <v>4140</v>
      </c>
      <c r="E1631" t="s">
        <v>1497</v>
      </c>
      <c r="F1631" s="253" t="s">
        <v>1236</v>
      </c>
    </row>
    <row r="1632" spans="1:6" x14ac:dyDescent="0.2">
      <c r="A1632" s="243" t="s">
        <v>1621</v>
      </c>
      <c r="B1632" t="s">
        <v>4141</v>
      </c>
      <c r="C1632" t="s">
        <v>4142</v>
      </c>
      <c r="D1632" t="s">
        <v>4143</v>
      </c>
      <c r="E1632" t="s">
        <v>1497</v>
      </c>
      <c r="F1632" s="253" t="s">
        <v>1236</v>
      </c>
    </row>
    <row r="1633" spans="1:6" x14ac:dyDescent="0.2">
      <c r="A1633" s="243" t="s">
        <v>1621</v>
      </c>
      <c r="B1633" t="s">
        <v>4144</v>
      </c>
      <c r="C1633" t="s">
        <v>3876</v>
      </c>
      <c r="D1633" t="s">
        <v>3877</v>
      </c>
      <c r="E1633" t="s">
        <v>1497</v>
      </c>
      <c r="F1633" s="253" t="s">
        <v>1236</v>
      </c>
    </row>
    <row r="1634" spans="1:6" x14ac:dyDescent="0.2">
      <c r="A1634" s="243" t="s">
        <v>1621</v>
      </c>
      <c r="B1634" t="s">
        <v>4145</v>
      </c>
      <c r="C1634" t="s">
        <v>4146</v>
      </c>
      <c r="D1634" t="s">
        <v>4147</v>
      </c>
      <c r="E1634" t="s">
        <v>1497</v>
      </c>
      <c r="F1634" s="253" t="s">
        <v>1236</v>
      </c>
    </row>
    <row r="1635" spans="1:6" x14ac:dyDescent="0.2">
      <c r="A1635" s="243" t="s">
        <v>1621</v>
      </c>
      <c r="B1635" t="s">
        <v>4148</v>
      </c>
      <c r="C1635" t="s">
        <v>4149</v>
      </c>
      <c r="D1635" t="s">
        <v>4150</v>
      </c>
      <c r="E1635" t="s">
        <v>1500</v>
      </c>
      <c r="F1635" s="253" t="s">
        <v>1236</v>
      </c>
    </row>
    <row r="1636" spans="1:6" x14ac:dyDescent="0.2">
      <c r="A1636" s="243" t="s">
        <v>1621</v>
      </c>
      <c r="B1636" t="s">
        <v>4151</v>
      </c>
      <c r="C1636" t="s">
        <v>4152</v>
      </c>
      <c r="D1636" t="s">
        <v>4153</v>
      </c>
      <c r="E1636" t="s">
        <v>1500</v>
      </c>
      <c r="F1636" s="253" t="s">
        <v>1236</v>
      </c>
    </row>
    <row r="1637" spans="1:6" x14ac:dyDescent="0.2">
      <c r="A1637" s="243" t="s">
        <v>1621</v>
      </c>
      <c r="B1637" t="s">
        <v>4154</v>
      </c>
      <c r="C1637" t="s">
        <v>4155</v>
      </c>
      <c r="D1637" t="s">
        <v>4156</v>
      </c>
      <c r="E1637" t="s">
        <v>1500</v>
      </c>
      <c r="F1637" s="253" t="s">
        <v>1236</v>
      </c>
    </row>
    <row r="1638" spans="1:6" x14ac:dyDescent="0.2">
      <c r="A1638" s="243" t="s">
        <v>1621</v>
      </c>
      <c r="B1638" t="s">
        <v>4157</v>
      </c>
      <c r="C1638" t="s">
        <v>4158</v>
      </c>
      <c r="D1638" t="s">
        <v>4159</v>
      </c>
      <c r="E1638" t="s">
        <v>1500</v>
      </c>
      <c r="F1638" s="253" t="s">
        <v>1236</v>
      </c>
    </row>
    <row r="1639" spans="1:6" x14ac:dyDescent="0.2">
      <c r="A1639" s="243" t="s">
        <v>1621</v>
      </c>
      <c r="B1639" t="s">
        <v>4160</v>
      </c>
      <c r="C1639" t="s">
        <v>4161</v>
      </c>
      <c r="D1639" t="s">
        <v>4162</v>
      </c>
      <c r="E1639" t="s">
        <v>1500</v>
      </c>
      <c r="F1639" s="253" t="s">
        <v>1236</v>
      </c>
    </row>
    <row r="1640" spans="1:6" x14ac:dyDescent="0.2">
      <c r="A1640" s="243" t="s">
        <v>1621</v>
      </c>
      <c r="B1640" t="s">
        <v>4163</v>
      </c>
      <c r="C1640" t="s">
        <v>4164</v>
      </c>
      <c r="D1640" t="s">
        <v>4165</v>
      </c>
      <c r="E1640" t="s">
        <v>1500</v>
      </c>
      <c r="F1640" s="253" t="s">
        <v>1236</v>
      </c>
    </row>
    <row r="1641" spans="1:6" x14ac:dyDescent="0.2">
      <c r="A1641" s="243" t="s">
        <v>1621</v>
      </c>
      <c r="B1641" t="s">
        <v>4166</v>
      </c>
      <c r="C1641" t="s">
        <v>4167</v>
      </c>
      <c r="D1641" t="s">
        <v>4168</v>
      </c>
      <c r="E1641" t="s">
        <v>1500</v>
      </c>
      <c r="F1641" s="253" t="s">
        <v>1236</v>
      </c>
    </row>
    <row r="1642" spans="1:6" x14ac:dyDescent="0.2">
      <c r="A1642" s="243" t="s">
        <v>1621</v>
      </c>
      <c r="B1642" t="s">
        <v>4169</v>
      </c>
      <c r="C1642" t="s">
        <v>4170</v>
      </c>
      <c r="D1642" t="s">
        <v>4171</v>
      </c>
      <c r="E1642" t="s">
        <v>1500</v>
      </c>
      <c r="F1642" s="253" t="s">
        <v>1236</v>
      </c>
    </row>
    <row r="1643" spans="1:6" x14ac:dyDescent="0.2">
      <c r="A1643" s="243" t="s">
        <v>1621</v>
      </c>
      <c r="B1643" t="s">
        <v>4172</v>
      </c>
      <c r="C1643" t="s">
        <v>4173</v>
      </c>
      <c r="D1643" t="s">
        <v>4174</v>
      </c>
      <c r="E1643" t="s">
        <v>1500</v>
      </c>
      <c r="F1643" s="253" t="s">
        <v>1236</v>
      </c>
    </row>
    <row r="1644" spans="1:6" x14ac:dyDescent="0.2">
      <c r="A1644" s="243" t="s">
        <v>1621</v>
      </c>
      <c r="B1644" t="s">
        <v>4175</v>
      </c>
      <c r="C1644" t="s">
        <v>4176</v>
      </c>
      <c r="D1644" t="s">
        <v>4177</v>
      </c>
      <c r="E1644" t="s">
        <v>1500</v>
      </c>
      <c r="F1644" s="253" t="s">
        <v>1236</v>
      </c>
    </row>
    <row r="1645" spans="1:6" x14ac:dyDescent="0.2">
      <c r="A1645" s="243" t="s">
        <v>1621</v>
      </c>
      <c r="B1645" t="s">
        <v>4178</v>
      </c>
      <c r="C1645" t="s">
        <v>4179</v>
      </c>
      <c r="D1645" t="s">
        <v>4180</v>
      </c>
      <c r="E1645" t="s">
        <v>1500</v>
      </c>
      <c r="F1645" s="253" t="s">
        <v>1236</v>
      </c>
    </row>
    <row r="1646" spans="1:6" x14ac:dyDescent="0.2">
      <c r="A1646" s="243" t="s">
        <v>1621</v>
      </c>
      <c r="B1646" t="s">
        <v>4181</v>
      </c>
      <c r="C1646" t="s">
        <v>4182</v>
      </c>
      <c r="D1646" t="s">
        <v>4183</v>
      </c>
      <c r="E1646" t="s">
        <v>1500</v>
      </c>
      <c r="F1646" s="253" t="s">
        <v>1236</v>
      </c>
    </row>
    <row r="1647" spans="1:6" x14ac:dyDescent="0.2">
      <c r="A1647" s="243" t="s">
        <v>1621</v>
      </c>
      <c r="B1647" t="s">
        <v>4184</v>
      </c>
      <c r="C1647" t="s">
        <v>4185</v>
      </c>
      <c r="D1647" t="s">
        <v>4186</v>
      </c>
      <c r="E1647" t="s">
        <v>1500</v>
      </c>
      <c r="F1647" s="253" t="s">
        <v>1236</v>
      </c>
    </row>
    <row r="1648" spans="1:6" x14ac:dyDescent="0.2">
      <c r="A1648" s="243" t="s">
        <v>1621</v>
      </c>
      <c r="B1648" t="s">
        <v>4187</v>
      </c>
      <c r="C1648" t="s">
        <v>2822</v>
      </c>
      <c r="D1648" t="s">
        <v>2823</v>
      </c>
      <c r="E1648" t="s">
        <v>1500</v>
      </c>
      <c r="F1648" s="253" t="s">
        <v>1236</v>
      </c>
    </row>
    <row r="1649" spans="1:6" x14ac:dyDescent="0.2">
      <c r="A1649" s="243" t="s">
        <v>1621</v>
      </c>
      <c r="B1649" t="s">
        <v>4188</v>
      </c>
      <c r="C1649" t="s">
        <v>4189</v>
      </c>
      <c r="D1649" t="s">
        <v>4190</v>
      </c>
      <c r="E1649" t="s">
        <v>1500</v>
      </c>
      <c r="F1649" s="253" t="s">
        <v>1236</v>
      </c>
    </row>
    <row r="1650" spans="1:6" x14ac:dyDescent="0.2">
      <c r="A1650" s="243" t="s">
        <v>1621</v>
      </c>
      <c r="B1650" t="s">
        <v>4191</v>
      </c>
      <c r="C1650" t="s">
        <v>4192</v>
      </c>
      <c r="D1650" t="s">
        <v>4193</v>
      </c>
      <c r="E1650" t="s">
        <v>1500</v>
      </c>
      <c r="F1650" s="253" t="s">
        <v>1236</v>
      </c>
    </row>
    <row r="1651" spans="1:6" x14ac:dyDescent="0.2">
      <c r="A1651" s="243" t="s">
        <v>1621</v>
      </c>
      <c r="B1651" t="s">
        <v>4194</v>
      </c>
      <c r="C1651" t="s">
        <v>4195</v>
      </c>
      <c r="D1651" t="s">
        <v>4196</v>
      </c>
      <c r="E1651" t="s">
        <v>1500</v>
      </c>
      <c r="F1651" s="253" t="s">
        <v>1236</v>
      </c>
    </row>
    <row r="1652" spans="1:6" x14ac:dyDescent="0.2">
      <c r="A1652" s="243" t="s">
        <v>1621</v>
      </c>
      <c r="B1652" t="s">
        <v>4197</v>
      </c>
      <c r="C1652" t="s">
        <v>4198</v>
      </c>
      <c r="D1652" t="s">
        <v>4199</v>
      </c>
      <c r="E1652" t="s">
        <v>1500</v>
      </c>
      <c r="F1652" s="253" t="s">
        <v>1236</v>
      </c>
    </row>
    <row r="1653" spans="1:6" x14ac:dyDescent="0.2">
      <c r="A1653" s="243" t="s">
        <v>1621</v>
      </c>
      <c r="B1653" t="s">
        <v>4200</v>
      </c>
      <c r="C1653" t="s">
        <v>1236</v>
      </c>
      <c r="D1653" t="s">
        <v>1237</v>
      </c>
      <c r="E1653" t="s">
        <v>1500</v>
      </c>
      <c r="F1653" s="253" t="s">
        <v>1236</v>
      </c>
    </row>
    <row r="1654" spans="1:6" x14ac:dyDescent="0.2">
      <c r="A1654" s="243" t="s">
        <v>1621</v>
      </c>
      <c r="B1654" t="s">
        <v>4201</v>
      </c>
      <c r="C1654" t="s">
        <v>4202</v>
      </c>
      <c r="D1654" t="s">
        <v>4203</v>
      </c>
      <c r="E1654" t="s">
        <v>1500</v>
      </c>
      <c r="F1654" s="253" t="s">
        <v>1236</v>
      </c>
    </row>
    <row r="1655" spans="1:6" x14ac:dyDescent="0.2">
      <c r="A1655" s="243" t="s">
        <v>1621</v>
      </c>
      <c r="B1655" t="s">
        <v>4204</v>
      </c>
      <c r="C1655" t="s">
        <v>4205</v>
      </c>
      <c r="D1655" t="s">
        <v>4206</v>
      </c>
      <c r="E1655" t="s">
        <v>1500</v>
      </c>
      <c r="F1655" s="253" t="s">
        <v>1236</v>
      </c>
    </row>
    <row r="1656" spans="1:6" x14ac:dyDescent="0.2">
      <c r="A1656" s="243" t="s">
        <v>1621</v>
      </c>
      <c r="B1656" t="s">
        <v>4207</v>
      </c>
      <c r="C1656" t="s">
        <v>4208</v>
      </c>
      <c r="D1656" t="s">
        <v>4209</v>
      </c>
      <c r="E1656" t="s">
        <v>1500</v>
      </c>
      <c r="F1656" s="253" t="s">
        <v>1236</v>
      </c>
    </row>
    <row r="1657" spans="1:6" x14ac:dyDescent="0.2">
      <c r="A1657" s="243" t="s">
        <v>1621</v>
      </c>
      <c r="B1657" t="s">
        <v>4210</v>
      </c>
      <c r="C1657" t="s">
        <v>4211</v>
      </c>
      <c r="D1657" t="s">
        <v>4212</v>
      </c>
      <c r="E1657" t="s">
        <v>1500</v>
      </c>
      <c r="F1657" s="253" t="s">
        <v>1236</v>
      </c>
    </row>
    <row r="1658" spans="1:6" x14ac:dyDescent="0.2">
      <c r="A1658" s="243" t="s">
        <v>1621</v>
      </c>
      <c r="B1658" t="s">
        <v>4213</v>
      </c>
      <c r="C1658" t="s">
        <v>4214</v>
      </c>
      <c r="D1658" t="s">
        <v>4215</v>
      </c>
      <c r="E1658" t="s">
        <v>1500</v>
      </c>
      <c r="F1658" s="253" t="s">
        <v>1236</v>
      </c>
    </row>
    <row r="1659" spans="1:6" x14ac:dyDescent="0.2">
      <c r="A1659" s="243" t="s">
        <v>1621</v>
      </c>
      <c r="B1659" t="s">
        <v>4216</v>
      </c>
      <c r="C1659" t="s">
        <v>4217</v>
      </c>
      <c r="D1659" t="s">
        <v>4218</v>
      </c>
      <c r="E1659" t="s">
        <v>1503</v>
      </c>
      <c r="F1659" s="253" t="s">
        <v>1239</v>
      </c>
    </row>
    <row r="1660" spans="1:6" x14ac:dyDescent="0.2">
      <c r="A1660" s="243" t="s">
        <v>1621</v>
      </c>
      <c r="B1660" t="s">
        <v>4219</v>
      </c>
      <c r="C1660" t="s">
        <v>4220</v>
      </c>
      <c r="D1660" t="s">
        <v>4221</v>
      </c>
      <c r="E1660" t="s">
        <v>1503</v>
      </c>
      <c r="F1660" s="253" t="s">
        <v>1239</v>
      </c>
    </row>
    <row r="1661" spans="1:6" x14ac:dyDescent="0.2">
      <c r="A1661" s="243" t="s">
        <v>1621</v>
      </c>
      <c r="B1661" t="s">
        <v>4222</v>
      </c>
      <c r="C1661" t="s">
        <v>4223</v>
      </c>
      <c r="D1661" t="s">
        <v>4224</v>
      </c>
      <c r="E1661" t="s">
        <v>1503</v>
      </c>
      <c r="F1661" s="253" t="s">
        <v>1239</v>
      </c>
    </row>
    <row r="1662" spans="1:6" x14ac:dyDescent="0.2">
      <c r="A1662" s="243" t="s">
        <v>1621</v>
      </c>
      <c r="B1662" t="s">
        <v>4225</v>
      </c>
      <c r="C1662" t="s">
        <v>4226</v>
      </c>
      <c r="D1662" t="s">
        <v>4227</v>
      </c>
      <c r="E1662" t="s">
        <v>1503</v>
      </c>
      <c r="F1662" s="253" t="s">
        <v>1239</v>
      </c>
    </row>
    <row r="1663" spans="1:6" x14ac:dyDescent="0.2">
      <c r="A1663" s="243" t="s">
        <v>1621</v>
      </c>
      <c r="B1663" t="s">
        <v>4228</v>
      </c>
      <c r="C1663" t="s">
        <v>4229</v>
      </c>
      <c r="D1663" t="s">
        <v>4230</v>
      </c>
      <c r="E1663" t="s">
        <v>1503</v>
      </c>
      <c r="F1663" s="253" t="s">
        <v>1239</v>
      </c>
    </row>
    <row r="1664" spans="1:6" x14ac:dyDescent="0.2">
      <c r="A1664" s="243" t="s">
        <v>1621</v>
      </c>
      <c r="B1664" t="s">
        <v>4231</v>
      </c>
      <c r="C1664" t="s">
        <v>4232</v>
      </c>
      <c r="D1664" t="s">
        <v>4233</v>
      </c>
      <c r="E1664" t="s">
        <v>1503</v>
      </c>
      <c r="F1664" s="253" t="s">
        <v>1239</v>
      </c>
    </row>
    <row r="1665" spans="1:6" x14ac:dyDescent="0.2">
      <c r="A1665" s="243" t="s">
        <v>1621</v>
      </c>
      <c r="B1665" t="s">
        <v>4234</v>
      </c>
      <c r="C1665" t="s">
        <v>4235</v>
      </c>
      <c r="D1665" t="s">
        <v>4236</v>
      </c>
      <c r="E1665" t="s">
        <v>1503</v>
      </c>
      <c r="F1665" s="253" t="s">
        <v>1239</v>
      </c>
    </row>
    <row r="1666" spans="1:6" x14ac:dyDescent="0.2">
      <c r="A1666" s="243" t="s">
        <v>1621</v>
      </c>
      <c r="B1666" t="s">
        <v>4237</v>
      </c>
      <c r="C1666" t="s">
        <v>4238</v>
      </c>
      <c r="D1666" t="s">
        <v>4239</v>
      </c>
      <c r="E1666" t="s">
        <v>1503</v>
      </c>
      <c r="F1666" s="253" t="s">
        <v>1239</v>
      </c>
    </row>
    <row r="1667" spans="1:6" x14ac:dyDescent="0.2">
      <c r="A1667" s="243" t="s">
        <v>1621</v>
      </c>
      <c r="B1667" t="s">
        <v>4240</v>
      </c>
      <c r="C1667" t="s">
        <v>4241</v>
      </c>
      <c r="D1667" t="s">
        <v>4242</v>
      </c>
      <c r="E1667" t="s">
        <v>1506</v>
      </c>
      <c r="F1667" s="253" t="s">
        <v>1239</v>
      </c>
    </row>
    <row r="1668" spans="1:6" x14ac:dyDescent="0.2">
      <c r="A1668" s="243" t="s">
        <v>1621</v>
      </c>
      <c r="B1668" t="s">
        <v>4243</v>
      </c>
      <c r="C1668" t="s">
        <v>4244</v>
      </c>
      <c r="D1668" t="s">
        <v>4245</v>
      </c>
      <c r="E1668" t="s">
        <v>1506</v>
      </c>
      <c r="F1668" s="253" t="s">
        <v>1239</v>
      </c>
    </row>
    <row r="1669" spans="1:6" x14ac:dyDescent="0.2">
      <c r="A1669" s="243" t="s">
        <v>1621</v>
      </c>
      <c r="B1669" t="s">
        <v>4246</v>
      </c>
      <c r="C1669" t="s">
        <v>4247</v>
      </c>
      <c r="D1669" t="s">
        <v>4248</v>
      </c>
      <c r="E1669" t="s">
        <v>1506</v>
      </c>
      <c r="F1669" s="253" t="s">
        <v>1239</v>
      </c>
    </row>
    <row r="1670" spans="1:6" x14ac:dyDescent="0.2">
      <c r="A1670" s="243" t="s">
        <v>1621</v>
      </c>
      <c r="B1670" t="s">
        <v>4249</v>
      </c>
      <c r="C1670" t="s">
        <v>4250</v>
      </c>
      <c r="D1670" t="s">
        <v>4251</v>
      </c>
      <c r="E1670" t="s">
        <v>1506</v>
      </c>
      <c r="F1670" s="253" t="s">
        <v>1239</v>
      </c>
    </row>
    <row r="1671" spans="1:6" x14ac:dyDescent="0.2">
      <c r="A1671" s="243" t="s">
        <v>1621</v>
      </c>
      <c r="B1671" t="s">
        <v>4252</v>
      </c>
      <c r="C1671" t="s">
        <v>4253</v>
      </c>
      <c r="D1671" t="s">
        <v>4254</v>
      </c>
      <c r="E1671" t="s">
        <v>1506</v>
      </c>
      <c r="F1671" s="253" t="s">
        <v>1239</v>
      </c>
    </row>
    <row r="1672" spans="1:6" x14ac:dyDescent="0.2">
      <c r="A1672" s="243" t="s">
        <v>1621</v>
      </c>
      <c r="B1672" t="s">
        <v>4255</v>
      </c>
      <c r="C1672" t="s">
        <v>4256</v>
      </c>
      <c r="D1672" t="s">
        <v>4257</v>
      </c>
      <c r="E1672" t="s">
        <v>1506</v>
      </c>
      <c r="F1672" s="253" t="s">
        <v>1239</v>
      </c>
    </row>
    <row r="1673" spans="1:6" x14ac:dyDescent="0.2">
      <c r="A1673" s="243" t="s">
        <v>1621</v>
      </c>
      <c r="B1673" t="s">
        <v>4258</v>
      </c>
      <c r="C1673" t="s">
        <v>3294</v>
      </c>
      <c r="D1673" t="s">
        <v>3295</v>
      </c>
      <c r="E1673" t="s">
        <v>1506</v>
      </c>
      <c r="F1673" s="253" t="s">
        <v>1239</v>
      </c>
    </row>
    <row r="1674" spans="1:6" x14ac:dyDescent="0.2">
      <c r="A1674" s="243" t="s">
        <v>1621</v>
      </c>
      <c r="B1674" t="s">
        <v>4259</v>
      </c>
      <c r="C1674" t="s">
        <v>4260</v>
      </c>
      <c r="D1674" t="s">
        <v>4261</v>
      </c>
      <c r="E1674" t="s">
        <v>1506</v>
      </c>
      <c r="F1674" s="253" t="s">
        <v>1239</v>
      </c>
    </row>
    <row r="1675" spans="1:6" x14ac:dyDescent="0.2">
      <c r="A1675" s="243" t="s">
        <v>1621</v>
      </c>
      <c r="B1675" t="s">
        <v>4262</v>
      </c>
      <c r="C1675" t="s">
        <v>4263</v>
      </c>
      <c r="D1675" t="s">
        <v>4264</v>
      </c>
      <c r="E1675" t="s">
        <v>1506</v>
      </c>
      <c r="F1675" s="253" t="s">
        <v>1239</v>
      </c>
    </row>
    <row r="1676" spans="1:6" x14ac:dyDescent="0.2">
      <c r="A1676" s="243" t="s">
        <v>1621</v>
      </c>
      <c r="B1676" t="s">
        <v>4265</v>
      </c>
      <c r="C1676" t="s">
        <v>4266</v>
      </c>
      <c r="D1676" t="s">
        <v>4267</v>
      </c>
      <c r="E1676" t="s">
        <v>1506</v>
      </c>
      <c r="F1676" s="253" t="s">
        <v>1239</v>
      </c>
    </row>
    <row r="1677" spans="1:6" x14ac:dyDescent="0.2">
      <c r="A1677" s="243" t="s">
        <v>1621</v>
      </c>
      <c r="B1677" t="s">
        <v>4268</v>
      </c>
      <c r="C1677" t="s">
        <v>4269</v>
      </c>
      <c r="D1677" t="s">
        <v>4270</v>
      </c>
      <c r="E1677" t="s">
        <v>1506</v>
      </c>
      <c r="F1677" s="253" t="s">
        <v>1239</v>
      </c>
    </row>
    <row r="1678" spans="1:6" x14ac:dyDescent="0.2">
      <c r="A1678" s="243" t="s">
        <v>1621</v>
      </c>
      <c r="B1678" t="s">
        <v>4271</v>
      </c>
      <c r="C1678" t="s">
        <v>4272</v>
      </c>
      <c r="D1678" t="s">
        <v>4273</v>
      </c>
      <c r="E1678" t="s">
        <v>1506</v>
      </c>
      <c r="F1678" s="253" t="s">
        <v>1239</v>
      </c>
    </row>
    <row r="1679" spans="1:6" x14ac:dyDescent="0.2">
      <c r="A1679" s="243" t="s">
        <v>1621</v>
      </c>
      <c r="B1679" t="s">
        <v>4274</v>
      </c>
      <c r="C1679" t="s">
        <v>4275</v>
      </c>
      <c r="D1679" t="s">
        <v>4276</v>
      </c>
      <c r="E1679" t="s">
        <v>1506</v>
      </c>
      <c r="F1679" s="253" t="s">
        <v>1239</v>
      </c>
    </row>
    <row r="1680" spans="1:6" x14ac:dyDescent="0.2">
      <c r="A1680" s="243" t="s">
        <v>1621</v>
      </c>
      <c r="B1680" t="s">
        <v>4277</v>
      </c>
      <c r="C1680" t="s">
        <v>3694</v>
      </c>
      <c r="D1680" t="s">
        <v>3695</v>
      </c>
      <c r="E1680" t="s">
        <v>1506</v>
      </c>
      <c r="F1680" s="253" t="s">
        <v>1239</v>
      </c>
    </row>
    <row r="1681" spans="1:6" x14ac:dyDescent="0.2">
      <c r="A1681" s="243" t="s">
        <v>1621</v>
      </c>
      <c r="B1681" t="s">
        <v>4278</v>
      </c>
      <c r="C1681" t="s">
        <v>4279</v>
      </c>
      <c r="D1681" t="s">
        <v>4280</v>
      </c>
      <c r="E1681" t="s">
        <v>1506</v>
      </c>
      <c r="F1681" s="253" t="s">
        <v>1239</v>
      </c>
    </row>
    <row r="1682" spans="1:6" x14ac:dyDescent="0.2">
      <c r="A1682" s="243" t="s">
        <v>1621</v>
      </c>
      <c r="B1682" t="s">
        <v>4281</v>
      </c>
      <c r="C1682" t="s">
        <v>4282</v>
      </c>
      <c r="D1682" t="s">
        <v>4283</v>
      </c>
      <c r="E1682" t="s">
        <v>1506</v>
      </c>
      <c r="F1682" s="253" t="s">
        <v>1239</v>
      </c>
    </row>
    <row r="1683" spans="1:6" x14ac:dyDescent="0.2">
      <c r="A1683" s="243" t="s">
        <v>1621</v>
      </c>
      <c r="B1683" t="s">
        <v>4284</v>
      </c>
      <c r="C1683" t="s">
        <v>4285</v>
      </c>
      <c r="D1683" t="s">
        <v>4286</v>
      </c>
      <c r="E1683" t="s">
        <v>1506</v>
      </c>
      <c r="F1683" s="253" t="s">
        <v>1239</v>
      </c>
    </row>
    <row r="1684" spans="1:6" x14ac:dyDescent="0.2">
      <c r="A1684" s="243" t="s">
        <v>1621</v>
      </c>
      <c r="B1684" t="s">
        <v>4287</v>
      </c>
      <c r="C1684" t="s">
        <v>4288</v>
      </c>
      <c r="D1684" t="s">
        <v>4289</v>
      </c>
      <c r="E1684" t="s">
        <v>1506</v>
      </c>
      <c r="F1684" s="253" t="s">
        <v>1239</v>
      </c>
    </row>
    <row r="1685" spans="1:6" x14ac:dyDescent="0.2">
      <c r="A1685" s="243" t="s">
        <v>1621</v>
      </c>
      <c r="B1685" t="s">
        <v>4290</v>
      </c>
      <c r="C1685" t="s">
        <v>4291</v>
      </c>
      <c r="D1685" t="s">
        <v>4292</v>
      </c>
      <c r="E1685" t="s">
        <v>1506</v>
      </c>
      <c r="F1685" s="253" t="s">
        <v>1239</v>
      </c>
    </row>
    <row r="1686" spans="1:6" x14ac:dyDescent="0.2">
      <c r="A1686" s="243" t="s">
        <v>1621</v>
      </c>
      <c r="B1686" t="s">
        <v>4293</v>
      </c>
      <c r="C1686" t="s">
        <v>4294</v>
      </c>
      <c r="D1686" t="s">
        <v>4295</v>
      </c>
      <c r="E1686" t="s">
        <v>1509</v>
      </c>
      <c r="F1686" s="253" t="s">
        <v>1239</v>
      </c>
    </row>
    <row r="1687" spans="1:6" x14ac:dyDescent="0.2">
      <c r="A1687" s="243" t="s">
        <v>1621</v>
      </c>
      <c r="B1687" t="s">
        <v>4296</v>
      </c>
      <c r="C1687" t="s">
        <v>4297</v>
      </c>
      <c r="D1687" t="s">
        <v>4298</v>
      </c>
      <c r="E1687" t="s">
        <v>1509</v>
      </c>
      <c r="F1687" s="253" t="s">
        <v>1239</v>
      </c>
    </row>
    <row r="1688" spans="1:6" x14ac:dyDescent="0.2">
      <c r="A1688" s="243" t="s">
        <v>1621</v>
      </c>
      <c r="B1688" t="s">
        <v>4299</v>
      </c>
      <c r="C1688" t="s">
        <v>4300</v>
      </c>
      <c r="D1688" t="s">
        <v>4301</v>
      </c>
      <c r="E1688" t="s">
        <v>1509</v>
      </c>
      <c r="F1688" s="253" t="s">
        <v>1239</v>
      </c>
    </row>
    <row r="1689" spans="1:6" x14ac:dyDescent="0.2">
      <c r="A1689" s="243" t="s">
        <v>1621</v>
      </c>
      <c r="B1689" t="s">
        <v>4302</v>
      </c>
      <c r="C1689" t="s">
        <v>4303</v>
      </c>
      <c r="D1689" t="s">
        <v>4304</v>
      </c>
      <c r="E1689" t="s">
        <v>1509</v>
      </c>
      <c r="F1689" s="253" t="s">
        <v>1239</v>
      </c>
    </row>
    <row r="1690" spans="1:6" x14ac:dyDescent="0.2">
      <c r="A1690" s="243" t="s">
        <v>1621</v>
      </c>
      <c r="B1690" t="s">
        <v>4305</v>
      </c>
      <c r="C1690" t="s">
        <v>4306</v>
      </c>
      <c r="D1690" t="s">
        <v>4307</v>
      </c>
      <c r="E1690" t="s">
        <v>1509</v>
      </c>
      <c r="F1690" s="253" t="s">
        <v>1239</v>
      </c>
    </row>
    <row r="1691" spans="1:6" x14ac:dyDescent="0.2">
      <c r="A1691" s="243" t="s">
        <v>1621</v>
      </c>
      <c r="B1691" t="s">
        <v>4308</v>
      </c>
      <c r="C1691" t="s">
        <v>4309</v>
      </c>
      <c r="D1691" t="s">
        <v>4310</v>
      </c>
      <c r="E1691" t="s">
        <v>1509</v>
      </c>
      <c r="F1691" s="253" t="s">
        <v>1239</v>
      </c>
    </row>
    <row r="1692" spans="1:6" x14ac:dyDescent="0.2">
      <c r="A1692" s="243" t="s">
        <v>1621</v>
      </c>
      <c r="B1692" t="s">
        <v>4311</v>
      </c>
      <c r="C1692" t="s">
        <v>4312</v>
      </c>
      <c r="D1692" t="s">
        <v>4313</v>
      </c>
      <c r="E1692" t="s">
        <v>1509</v>
      </c>
      <c r="F1692" s="253" t="s">
        <v>1239</v>
      </c>
    </row>
    <row r="1693" spans="1:6" x14ac:dyDescent="0.2">
      <c r="A1693" s="243" t="s">
        <v>1621</v>
      </c>
      <c r="B1693" t="s">
        <v>4314</v>
      </c>
      <c r="C1693" t="s">
        <v>2448</v>
      </c>
      <c r="D1693" t="s">
        <v>2449</v>
      </c>
      <c r="E1693" t="s">
        <v>1509</v>
      </c>
      <c r="F1693" s="253" t="s">
        <v>1239</v>
      </c>
    </row>
    <row r="1694" spans="1:6" x14ac:dyDescent="0.2">
      <c r="A1694" s="243" t="s">
        <v>1621</v>
      </c>
      <c r="B1694" t="s">
        <v>4315</v>
      </c>
      <c r="C1694" t="s">
        <v>4316</v>
      </c>
      <c r="D1694" t="s">
        <v>4317</v>
      </c>
      <c r="E1694" t="s">
        <v>1509</v>
      </c>
      <c r="F1694" s="253" t="s">
        <v>1239</v>
      </c>
    </row>
    <row r="1695" spans="1:6" x14ac:dyDescent="0.2">
      <c r="A1695" s="243" t="s">
        <v>1621</v>
      </c>
      <c r="B1695" t="s">
        <v>4318</v>
      </c>
      <c r="C1695" t="s">
        <v>4319</v>
      </c>
      <c r="D1695" t="s">
        <v>4320</v>
      </c>
      <c r="E1695" t="s">
        <v>1509</v>
      </c>
      <c r="F1695" s="253" t="s">
        <v>1239</v>
      </c>
    </row>
    <row r="1696" spans="1:6" x14ac:dyDescent="0.2">
      <c r="A1696" s="243" t="s">
        <v>1621</v>
      </c>
      <c r="B1696" t="s">
        <v>4321</v>
      </c>
      <c r="C1696" t="s">
        <v>4322</v>
      </c>
      <c r="D1696" t="s">
        <v>4323</v>
      </c>
      <c r="E1696" t="s">
        <v>1509</v>
      </c>
      <c r="F1696" s="253" t="s">
        <v>1239</v>
      </c>
    </row>
    <row r="1697" spans="1:6" x14ac:dyDescent="0.2">
      <c r="A1697" s="243" t="s">
        <v>1621</v>
      </c>
      <c r="B1697" t="s">
        <v>4324</v>
      </c>
      <c r="C1697" t="s">
        <v>4325</v>
      </c>
      <c r="D1697" t="s">
        <v>4326</v>
      </c>
      <c r="E1697" t="s">
        <v>1509</v>
      </c>
      <c r="F1697" s="253" t="s">
        <v>1239</v>
      </c>
    </row>
    <row r="1698" spans="1:6" x14ac:dyDescent="0.2">
      <c r="A1698" s="243" t="s">
        <v>1621</v>
      </c>
      <c r="B1698" t="s">
        <v>4327</v>
      </c>
      <c r="C1698" t="s">
        <v>4328</v>
      </c>
      <c r="D1698" t="s">
        <v>4329</v>
      </c>
      <c r="E1698" t="s">
        <v>1509</v>
      </c>
      <c r="F1698" s="253" t="s">
        <v>1239</v>
      </c>
    </row>
    <row r="1699" spans="1:6" x14ac:dyDescent="0.2">
      <c r="A1699" s="243" t="s">
        <v>1621</v>
      </c>
      <c r="B1699" t="s">
        <v>4330</v>
      </c>
      <c r="C1699" t="s">
        <v>4331</v>
      </c>
      <c r="D1699" t="s">
        <v>4332</v>
      </c>
      <c r="E1699" t="s">
        <v>1509</v>
      </c>
      <c r="F1699" s="253" t="s">
        <v>1239</v>
      </c>
    </row>
    <row r="1700" spans="1:6" x14ac:dyDescent="0.2">
      <c r="A1700" s="243" t="s">
        <v>1621</v>
      </c>
      <c r="B1700" t="s">
        <v>4333</v>
      </c>
      <c r="C1700" t="s">
        <v>4334</v>
      </c>
      <c r="D1700" t="s">
        <v>4335</v>
      </c>
      <c r="E1700" t="s">
        <v>1509</v>
      </c>
      <c r="F1700" s="253" t="s">
        <v>1239</v>
      </c>
    </row>
    <row r="1701" spans="1:6" x14ac:dyDescent="0.2">
      <c r="A1701" s="243" t="s">
        <v>1621</v>
      </c>
      <c r="B1701" t="s">
        <v>4336</v>
      </c>
      <c r="C1701" t="s">
        <v>4337</v>
      </c>
      <c r="D1701" t="s">
        <v>4338</v>
      </c>
      <c r="E1701" t="s">
        <v>1509</v>
      </c>
      <c r="F1701" s="253" t="s">
        <v>1239</v>
      </c>
    </row>
    <row r="1702" spans="1:6" x14ac:dyDescent="0.2">
      <c r="A1702" s="243" t="s">
        <v>1621</v>
      </c>
      <c r="B1702" t="s">
        <v>4339</v>
      </c>
      <c r="C1702" t="s">
        <v>2455</v>
      </c>
      <c r="D1702" t="s">
        <v>2456</v>
      </c>
      <c r="E1702" t="s">
        <v>1509</v>
      </c>
      <c r="F1702" s="253" t="s">
        <v>1239</v>
      </c>
    </row>
    <row r="1703" spans="1:6" x14ac:dyDescent="0.2">
      <c r="A1703" s="243" t="s">
        <v>1621</v>
      </c>
      <c r="B1703" t="s">
        <v>4340</v>
      </c>
      <c r="C1703" t="s">
        <v>4341</v>
      </c>
      <c r="D1703" t="s">
        <v>4342</v>
      </c>
      <c r="E1703" t="s">
        <v>1509</v>
      </c>
      <c r="F1703" s="253" t="s">
        <v>1239</v>
      </c>
    </row>
    <row r="1704" spans="1:6" x14ac:dyDescent="0.2">
      <c r="A1704" s="243" t="s">
        <v>1621</v>
      </c>
      <c r="B1704" t="s">
        <v>4343</v>
      </c>
      <c r="C1704" t="s">
        <v>2533</v>
      </c>
      <c r="D1704" t="s">
        <v>2534</v>
      </c>
      <c r="E1704" t="s">
        <v>1509</v>
      </c>
      <c r="F1704" s="253" t="s">
        <v>1239</v>
      </c>
    </row>
    <row r="1705" spans="1:6" x14ac:dyDescent="0.2">
      <c r="A1705" s="243" t="s">
        <v>1621</v>
      </c>
      <c r="B1705" t="s">
        <v>4344</v>
      </c>
      <c r="C1705" t="s">
        <v>4345</v>
      </c>
      <c r="D1705" t="s">
        <v>4346</v>
      </c>
      <c r="E1705" t="s">
        <v>1509</v>
      </c>
      <c r="F1705" s="253" t="s">
        <v>1239</v>
      </c>
    </row>
    <row r="1706" spans="1:6" x14ac:dyDescent="0.2">
      <c r="A1706" s="243" t="s">
        <v>1621</v>
      </c>
      <c r="B1706" t="s">
        <v>4347</v>
      </c>
      <c r="C1706" t="s">
        <v>4348</v>
      </c>
      <c r="D1706" t="s">
        <v>4349</v>
      </c>
      <c r="E1706" t="s">
        <v>1509</v>
      </c>
      <c r="F1706" s="253" t="s">
        <v>1239</v>
      </c>
    </row>
    <row r="1707" spans="1:6" x14ac:dyDescent="0.2">
      <c r="A1707" s="243" t="s">
        <v>1621</v>
      </c>
      <c r="B1707" t="s">
        <v>4350</v>
      </c>
      <c r="C1707" t="s">
        <v>3446</v>
      </c>
      <c r="D1707" t="s">
        <v>3447</v>
      </c>
      <c r="E1707" t="s">
        <v>1509</v>
      </c>
      <c r="F1707" s="253" t="s">
        <v>1239</v>
      </c>
    </row>
    <row r="1708" spans="1:6" x14ac:dyDescent="0.2">
      <c r="A1708" s="243" t="s">
        <v>1621</v>
      </c>
      <c r="B1708" t="s">
        <v>4351</v>
      </c>
      <c r="C1708" t="s">
        <v>4352</v>
      </c>
      <c r="D1708" t="s">
        <v>4353</v>
      </c>
      <c r="E1708" t="s">
        <v>1509</v>
      </c>
      <c r="F1708" s="253" t="s">
        <v>1239</v>
      </c>
    </row>
    <row r="1709" spans="1:6" x14ac:dyDescent="0.2">
      <c r="A1709" s="243" t="s">
        <v>1621</v>
      </c>
      <c r="B1709" t="s">
        <v>4354</v>
      </c>
      <c r="C1709" t="s">
        <v>1239</v>
      </c>
      <c r="D1709" t="s">
        <v>1240</v>
      </c>
      <c r="E1709" t="s">
        <v>1509</v>
      </c>
      <c r="F1709" s="253" t="s">
        <v>1239</v>
      </c>
    </row>
    <row r="1710" spans="1:6" x14ac:dyDescent="0.2">
      <c r="A1710" s="243" t="s">
        <v>1621</v>
      </c>
      <c r="B1710" t="s">
        <v>4355</v>
      </c>
      <c r="C1710" t="s">
        <v>4356</v>
      </c>
      <c r="D1710" t="s">
        <v>4357</v>
      </c>
      <c r="E1710" t="s">
        <v>1509</v>
      </c>
      <c r="F1710" s="253" t="s">
        <v>1239</v>
      </c>
    </row>
    <row r="1711" spans="1:6" x14ac:dyDescent="0.2">
      <c r="A1711" s="243" t="s">
        <v>1621</v>
      </c>
      <c r="B1711" t="s">
        <v>4358</v>
      </c>
      <c r="C1711" t="s">
        <v>4359</v>
      </c>
      <c r="D1711" t="s">
        <v>4360</v>
      </c>
      <c r="E1711" t="s">
        <v>1509</v>
      </c>
      <c r="F1711" s="253" t="s">
        <v>1239</v>
      </c>
    </row>
    <row r="1712" spans="1:6" x14ac:dyDescent="0.2">
      <c r="A1712" s="243" t="s">
        <v>1621</v>
      </c>
      <c r="B1712" t="s">
        <v>4361</v>
      </c>
      <c r="C1712" t="s">
        <v>2427</v>
      </c>
      <c r="D1712" t="s">
        <v>2428</v>
      </c>
      <c r="E1712" t="s">
        <v>1512</v>
      </c>
      <c r="F1712" s="253" t="s">
        <v>1239</v>
      </c>
    </row>
    <row r="1713" spans="1:6" x14ac:dyDescent="0.2">
      <c r="A1713" s="243" t="s">
        <v>1621</v>
      </c>
      <c r="B1713" t="s">
        <v>4362</v>
      </c>
      <c r="C1713" t="s">
        <v>4363</v>
      </c>
      <c r="D1713" t="s">
        <v>4364</v>
      </c>
      <c r="E1713" t="s">
        <v>1512</v>
      </c>
      <c r="F1713" s="253" t="s">
        <v>1239</v>
      </c>
    </row>
    <row r="1714" spans="1:6" x14ac:dyDescent="0.2">
      <c r="A1714" s="243" t="s">
        <v>1621</v>
      </c>
      <c r="B1714" t="s">
        <v>4365</v>
      </c>
      <c r="C1714" t="s">
        <v>4366</v>
      </c>
      <c r="D1714" t="s">
        <v>4367</v>
      </c>
      <c r="E1714" t="s">
        <v>1512</v>
      </c>
      <c r="F1714" s="253" t="s">
        <v>1239</v>
      </c>
    </row>
    <row r="1715" spans="1:6" x14ac:dyDescent="0.2">
      <c r="A1715" s="243" t="s">
        <v>1621</v>
      </c>
      <c r="B1715" t="s">
        <v>4368</v>
      </c>
      <c r="C1715" t="s">
        <v>4369</v>
      </c>
      <c r="D1715" t="s">
        <v>4370</v>
      </c>
      <c r="E1715" t="s">
        <v>1512</v>
      </c>
      <c r="F1715" s="253" t="s">
        <v>1239</v>
      </c>
    </row>
    <row r="1716" spans="1:6" x14ac:dyDescent="0.2">
      <c r="A1716" s="243" t="s">
        <v>1621</v>
      </c>
      <c r="B1716" t="s">
        <v>4371</v>
      </c>
      <c r="C1716" t="s">
        <v>4372</v>
      </c>
      <c r="D1716" t="s">
        <v>4373</v>
      </c>
      <c r="E1716" t="s">
        <v>1512</v>
      </c>
      <c r="F1716" s="253" t="s">
        <v>1239</v>
      </c>
    </row>
    <row r="1717" spans="1:6" x14ac:dyDescent="0.2">
      <c r="A1717" s="243" t="s">
        <v>1621</v>
      </c>
      <c r="B1717" t="s">
        <v>4374</v>
      </c>
      <c r="C1717" t="s">
        <v>4375</v>
      </c>
      <c r="D1717" t="s">
        <v>4376</v>
      </c>
      <c r="E1717" t="s">
        <v>1512</v>
      </c>
      <c r="F1717" s="253" t="s">
        <v>1239</v>
      </c>
    </row>
    <row r="1718" spans="1:6" x14ac:dyDescent="0.2">
      <c r="A1718" s="243" t="s">
        <v>1621</v>
      </c>
      <c r="B1718" t="s">
        <v>4377</v>
      </c>
      <c r="C1718" t="s">
        <v>4378</v>
      </c>
      <c r="D1718" t="s">
        <v>4379</v>
      </c>
      <c r="E1718" t="s">
        <v>1512</v>
      </c>
      <c r="F1718" s="253" t="s">
        <v>1239</v>
      </c>
    </row>
    <row r="1719" spans="1:6" x14ac:dyDescent="0.2">
      <c r="A1719" s="243" t="s">
        <v>1621</v>
      </c>
      <c r="B1719" t="s">
        <v>4380</v>
      </c>
      <c r="C1719" t="s">
        <v>4381</v>
      </c>
      <c r="D1719" t="s">
        <v>4382</v>
      </c>
      <c r="E1719" t="s">
        <v>1512</v>
      </c>
      <c r="F1719" s="253" t="s">
        <v>1239</v>
      </c>
    </row>
    <row r="1720" spans="1:6" x14ac:dyDescent="0.2">
      <c r="A1720" s="243" t="s">
        <v>1621</v>
      </c>
      <c r="B1720" t="s">
        <v>4383</v>
      </c>
      <c r="C1720" t="s">
        <v>4384</v>
      </c>
      <c r="D1720" t="s">
        <v>4385</v>
      </c>
      <c r="E1720" t="s">
        <v>1512</v>
      </c>
      <c r="F1720" s="253" t="s">
        <v>1239</v>
      </c>
    </row>
    <row r="1721" spans="1:6" x14ac:dyDescent="0.2">
      <c r="A1721" s="243" t="s">
        <v>1621</v>
      </c>
      <c r="B1721" t="s">
        <v>4386</v>
      </c>
      <c r="C1721" t="s">
        <v>4387</v>
      </c>
      <c r="D1721" t="s">
        <v>4388</v>
      </c>
      <c r="E1721" t="s">
        <v>1512</v>
      </c>
      <c r="F1721" s="253" t="s">
        <v>1239</v>
      </c>
    </row>
    <row r="1722" spans="1:6" x14ac:dyDescent="0.2">
      <c r="A1722" s="243" t="s">
        <v>1621</v>
      </c>
      <c r="B1722" t="s">
        <v>4389</v>
      </c>
      <c r="C1722" t="s">
        <v>4390</v>
      </c>
      <c r="D1722" t="s">
        <v>4391</v>
      </c>
      <c r="E1722" t="s">
        <v>1512</v>
      </c>
      <c r="F1722" s="253" t="s">
        <v>1239</v>
      </c>
    </row>
    <row r="1723" spans="1:6" x14ac:dyDescent="0.2">
      <c r="A1723" s="243" t="s">
        <v>1621</v>
      </c>
      <c r="B1723" t="s">
        <v>4392</v>
      </c>
      <c r="C1723" t="s">
        <v>4393</v>
      </c>
      <c r="D1723" t="s">
        <v>4394</v>
      </c>
      <c r="E1723" t="s">
        <v>1515</v>
      </c>
      <c r="F1723" s="253" t="s">
        <v>1242</v>
      </c>
    </row>
    <row r="1724" spans="1:6" x14ac:dyDescent="0.2">
      <c r="A1724" s="243" t="s">
        <v>1621</v>
      </c>
      <c r="B1724" t="s">
        <v>4395</v>
      </c>
      <c r="C1724" t="s">
        <v>4396</v>
      </c>
      <c r="D1724" t="s">
        <v>4397</v>
      </c>
      <c r="E1724" t="s">
        <v>1515</v>
      </c>
      <c r="F1724" s="253" t="s">
        <v>1242</v>
      </c>
    </row>
    <row r="1725" spans="1:6" x14ac:dyDescent="0.2">
      <c r="A1725" s="243" t="s">
        <v>1621</v>
      </c>
      <c r="B1725" t="s">
        <v>4398</v>
      </c>
      <c r="C1725" t="s">
        <v>4399</v>
      </c>
      <c r="D1725" t="s">
        <v>4400</v>
      </c>
      <c r="E1725" t="s">
        <v>1515</v>
      </c>
      <c r="F1725" s="253" t="s">
        <v>1242</v>
      </c>
    </row>
    <row r="1726" spans="1:6" x14ac:dyDescent="0.2">
      <c r="A1726" s="243" t="s">
        <v>1621</v>
      </c>
      <c r="B1726" t="s">
        <v>4401</v>
      </c>
      <c r="C1726" t="s">
        <v>4402</v>
      </c>
      <c r="D1726" t="s">
        <v>4403</v>
      </c>
      <c r="E1726" t="s">
        <v>1515</v>
      </c>
      <c r="F1726" s="253" t="s">
        <v>1242</v>
      </c>
    </row>
    <row r="1727" spans="1:6" x14ac:dyDescent="0.2">
      <c r="A1727" s="243" t="s">
        <v>1621</v>
      </c>
      <c r="B1727" t="s">
        <v>4404</v>
      </c>
      <c r="C1727" t="s">
        <v>4405</v>
      </c>
      <c r="D1727" t="s">
        <v>4406</v>
      </c>
      <c r="E1727" t="s">
        <v>1515</v>
      </c>
      <c r="F1727" s="253" t="s">
        <v>1242</v>
      </c>
    </row>
    <row r="1728" spans="1:6" x14ac:dyDescent="0.2">
      <c r="A1728" s="243" t="s">
        <v>1621</v>
      </c>
      <c r="B1728" t="s">
        <v>4407</v>
      </c>
      <c r="C1728" t="s">
        <v>4408</v>
      </c>
      <c r="D1728" t="s">
        <v>4409</v>
      </c>
      <c r="E1728" t="s">
        <v>1515</v>
      </c>
      <c r="F1728" s="253" t="s">
        <v>1242</v>
      </c>
    </row>
    <row r="1729" spans="1:6" x14ac:dyDescent="0.2">
      <c r="A1729" s="243" t="s">
        <v>1621</v>
      </c>
      <c r="B1729" t="s">
        <v>4410</v>
      </c>
      <c r="C1729" t="s">
        <v>4411</v>
      </c>
      <c r="D1729" t="s">
        <v>4412</v>
      </c>
      <c r="E1729" t="s">
        <v>1515</v>
      </c>
      <c r="F1729" s="253" t="s">
        <v>1242</v>
      </c>
    </row>
    <row r="1730" spans="1:6" x14ac:dyDescent="0.2">
      <c r="A1730" s="243" t="s">
        <v>1621</v>
      </c>
      <c r="B1730" t="s">
        <v>4413</v>
      </c>
      <c r="C1730" t="s">
        <v>4414</v>
      </c>
      <c r="D1730" t="s">
        <v>4415</v>
      </c>
      <c r="E1730" t="s">
        <v>1515</v>
      </c>
      <c r="F1730" s="253" t="s">
        <v>1242</v>
      </c>
    </row>
    <row r="1731" spans="1:6" x14ac:dyDescent="0.2">
      <c r="A1731" s="243" t="s">
        <v>1621</v>
      </c>
      <c r="B1731" t="s">
        <v>4416</v>
      </c>
      <c r="C1731" t="s">
        <v>4417</v>
      </c>
      <c r="D1731" t="s">
        <v>4418</v>
      </c>
      <c r="E1731" t="s">
        <v>1518</v>
      </c>
      <c r="F1731" s="253" t="s">
        <v>1242</v>
      </c>
    </row>
    <row r="1732" spans="1:6" x14ac:dyDescent="0.2">
      <c r="A1732" s="243" t="s">
        <v>1621</v>
      </c>
      <c r="B1732" t="s">
        <v>4419</v>
      </c>
      <c r="C1732" t="s">
        <v>4420</v>
      </c>
      <c r="D1732" t="s">
        <v>4421</v>
      </c>
      <c r="E1732" t="s">
        <v>1518</v>
      </c>
      <c r="F1732" s="253" t="s">
        <v>1242</v>
      </c>
    </row>
    <row r="1733" spans="1:6" x14ac:dyDescent="0.2">
      <c r="A1733" s="243" t="s">
        <v>1621</v>
      </c>
      <c r="B1733" t="s">
        <v>4422</v>
      </c>
      <c r="C1733" t="s">
        <v>4423</v>
      </c>
      <c r="D1733" t="s">
        <v>4424</v>
      </c>
      <c r="E1733" t="s">
        <v>1518</v>
      </c>
      <c r="F1733" s="253" t="s">
        <v>1242</v>
      </c>
    </row>
    <row r="1734" spans="1:6" x14ac:dyDescent="0.2">
      <c r="A1734" s="243" t="s">
        <v>1621</v>
      </c>
      <c r="B1734" t="s">
        <v>4425</v>
      </c>
      <c r="C1734" t="s">
        <v>4426</v>
      </c>
      <c r="D1734" t="s">
        <v>4427</v>
      </c>
      <c r="E1734" t="s">
        <v>1518</v>
      </c>
      <c r="F1734" s="253" t="s">
        <v>1242</v>
      </c>
    </row>
    <row r="1735" spans="1:6" x14ac:dyDescent="0.2">
      <c r="A1735" s="243" t="s">
        <v>1621</v>
      </c>
      <c r="B1735" t="s">
        <v>4428</v>
      </c>
      <c r="C1735" t="s">
        <v>4429</v>
      </c>
      <c r="D1735" t="s">
        <v>4430</v>
      </c>
      <c r="E1735" t="s">
        <v>1518</v>
      </c>
      <c r="F1735" s="253" t="s">
        <v>1242</v>
      </c>
    </row>
    <row r="1736" spans="1:6" x14ac:dyDescent="0.2">
      <c r="A1736" s="243" t="s">
        <v>1621</v>
      </c>
      <c r="B1736" t="s">
        <v>4431</v>
      </c>
      <c r="C1736" t="s">
        <v>4432</v>
      </c>
      <c r="D1736" t="s">
        <v>4433</v>
      </c>
      <c r="E1736" t="s">
        <v>1518</v>
      </c>
      <c r="F1736" s="253" t="s">
        <v>1242</v>
      </c>
    </row>
    <row r="1737" spans="1:6" x14ac:dyDescent="0.2">
      <c r="A1737" s="243" t="s">
        <v>1621</v>
      </c>
      <c r="B1737" t="s">
        <v>4434</v>
      </c>
      <c r="C1737" t="s">
        <v>1705</v>
      </c>
      <c r="D1737" t="s">
        <v>1706</v>
      </c>
      <c r="E1737" t="s">
        <v>1518</v>
      </c>
      <c r="F1737" s="253" t="s">
        <v>1242</v>
      </c>
    </row>
    <row r="1738" spans="1:6" x14ac:dyDescent="0.2">
      <c r="A1738" s="243" t="s">
        <v>1621</v>
      </c>
      <c r="B1738" t="s">
        <v>4435</v>
      </c>
      <c r="C1738" t="s">
        <v>2135</v>
      </c>
      <c r="D1738" t="s">
        <v>2136</v>
      </c>
      <c r="E1738" t="s">
        <v>1518</v>
      </c>
      <c r="F1738" s="253" t="s">
        <v>1242</v>
      </c>
    </row>
    <row r="1739" spans="1:6" x14ac:dyDescent="0.2">
      <c r="A1739" s="243" t="s">
        <v>1621</v>
      </c>
      <c r="B1739" t="s">
        <v>4436</v>
      </c>
      <c r="C1739" t="s">
        <v>4437</v>
      </c>
      <c r="D1739" t="s">
        <v>4438</v>
      </c>
      <c r="E1739" t="s">
        <v>1518</v>
      </c>
      <c r="F1739" s="253" t="s">
        <v>1242</v>
      </c>
    </row>
    <row r="1740" spans="1:6" x14ac:dyDescent="0.2">
      <c r="A1740" s="243" t="s">
        <v>1621</v>
      </c>
      <c r="B1740" t="s">
        <v>4439</v>
      </c>
      <c r="C1740" t="s">
        <v>4440</v>
      </c>
      <c r="D1740" t="s">
        <v>4441</v>
      </c>
      <c r="E1740" t="s">
        <v>1521</v>
      </c>
      <c r="F1740" s="253" t="s">
        <v>1242</v>
      </c>
    </row>
    <row r="1741" spans="1:6" x14ac:dyDescent="0.2">
      <c r="A1741" s="243" t="s">
        <v>1621</v>
      </c>
      <c r="B1741" t="s">
        <v>4442</v>
      </c>
      <c r="C1741" t="s">
        <v>2439</v>
      </c>
      <c r="D1741" t="s">
        <v>2440</v>
      </c>
      <c r="E1741" t="s">
        <v>1521</v>
      </c>
      <c r="F1741" s="253" t="s">
        <v>1242</v>
      </c>
    </row>
    <row r="1742" spans="1:6" x14ac:dyDescent="0.2">
      <c r="A1742" s="243" t="s">
        <v>1621</v>
      </c>
      <c r="B1742" t="s">
        <v>4443</v>
      </c>
      <c r="C1742" t="s">
        <v>4444</v>
      </c>
      <c r="D1742" t="s">
        <v>4445</v>
      </c>
      <c r="E1742" t="s">
        <v>1521</v>
      </c>
      <c r="F1742" s="253" t="s">
        <v>1242</v>
      </c>
    </row>
    <row r="1743" spans="1:6" x14ac:dyDescent="0.2">
      <c r="A1743" s="243" t="s">
        <v>1621</v>
      </c>
      <c r="B1743" t="s">
        <v>4446</v>
      </c>
      <c r="C1743" t="s">
        <v>4447</v>
      </c>
      <c r="D1743" t="s">
        <v>4448</v>
      </c>
      <c r="E1743" t="s">
        <v>1521</v>
      </c>
      <c r="F1743" s="253" t="s">
        <v>1242</v>
      </c>
    </row>
    <row r="1744" spans="1:6" x14ac:dyDescent="0.2">
      <c r="A1744" s="243" t="s">
        <v>1621</v>
      </c>
      <c r="B1744" t="s">
        <v>4449</v>
      </c>
      <c r="C1744" t="s">
        <v>4450</v>
      </c>
      <c r="D1744" t="s">
        <v>4451</v>
      </c>
      <c r="E1744" t="s">
        <v>1521</v>
      </c>
      <c r="F1744" s="253" t="s">
        <v>1242</v>
      </c>
    </row>
    <row r="1745" spans="1:6" x14ac:dyDescent="0.2">
      <c r="A1745" s="243" t="s">
        <v>1621</v>
      </c>
      <c r="B1745" t="s">
        <v>4452</v>
      </c>
      <c r="C1745" t="s">
        <v>4453</v>
      </c>
      <c r="D1745" t="s">
        <v>4454</v>
      </c>
      <c r="E1745" t="s">
        <v>1521</v>
      </c>
      <c r="F1745" s="253" t="s">
        <v>1242</v>
      </c>
    </row>
    <row r="1746" spans="1:6" x14ac:dyDescent="0.2">
      <c r="A1746" s="243" t="s">
        <v>1621</v>
      </c>
      <c r="B1746" t="s">
        <v>4455</v>
      </c>
      <c r="C1746" t="s">
        <v>4456</v>
      </c>
      <c r="D1746" t="s">
        <v>4457</v>
      </c>
      <c r="E1746" t="s">
        <v>1521</v>
      </c>
      <c r="F1746" s="253" t="s">
        <v>1242</v>
      </c>
    </row>
    <row r="1747" spans="1:6" x14ac:dyDescent="0.2">
      <c r="A1747" s="243" t="s">
        <v>1621</v>
      </c>
      <c r="B1747" t="s">
        <v>4458</v>
      </c>
      <c r="C1747" t="s">
        <v>4459</v>
      </c>
      <c r="D1747" t="s">
        <v>4460</v>
      </c>
      <c r="E1747" t="s">
        <v>1521</v>
      </c>
      <c r="F1747" s="253" t="s">
        <v>1242</v>
      </c>
    </row>
    <row r="1748" spans="1:6" x14ac:dyDescent="0.2">
      <c r="A1748" s="243" t="s">
        <v>1621</v>
      </c>
      <c r="B1748" t="s">
        <v>4461</v>
      </c>
      <c r="C1748" t="s">
        <v>4462</v>
      </c>
      <c r="D1748" t="s">
        <v>4463</v>
      </c>
      <c r="E1748" t="s">
        <v>1524</v>
      </c>
      <c r="F1748" s="253" t="s">
        <v>1242</v>
      </c>
    </row>
    <row r="1749" spans="1:6" x14ac:dyDescent="0.2">
      <c r="A1749" s="243" t="s">
        <v>1621</v>
      </c>
      <c r="B1749" t="s">
        <v>4464</v>
      </c>
      <c r="C1749" t="s">
        <v>4465</v>
      </c>
      <c r="D1749" t="s">
        <v>4466</v>
      </c>
      <c r="E1749" t="s">
        <v>1524</v>
      </c>
      <c r="F1749" s="253" t="s">
        <v>1242</v>
      </c>
    </row>
    <row r="1750" spans="1:6" x14ac:dyDescent="0.2">
      <c r="A1750" s="243" t="s">
        <v>1621</v>
      </c>
      <c r="B1750" t="s">
        <v>4467</v>
      </c>
      <c r="C1750" t="s">
        <v>4468</v>
      </c>
      <c r="D1750" t="s">
        <v>4469</v>
      </c>
      <c r="E1750" t="s">
        <v>1524</v>
      </c>
      <c r="F1750" s="253" t="s">
        <v>1242</v>
      </c>
    </row>
    <row r="1751" spans="1:6" x14ac:dyDescent="0.2">
      <c r="A1751" s="243" t="s">
        <v>1621</v>
      </c>
      <c r="B1751" t="s">
        <v>4470</v>
      </c>
      <c r="C1751" t="s">
        <v>4471</v>
      </c>
      <c r="D1751" t="s">
        <v>4472</v>
      </c>
      <c r="E1751" t="s">
        <v>1524</v>
      </c>
      <c r="F1751" s="253" t="s">
        <v>1242</v>
      </c>
    </row>
    <row r="1752" spans="1:6" x14ac:dyDescent="0.2">
      <c r="A1752" s="243" t="s">
        <v>1621</v>
      </c>
      <c r="B1752" t="s">
        <v>4473</v>
      </c>
      <c r="C1752" t="s">
        <v>1681</v>
      </c>
      <c r="D1752" t="s">
        <v>1682</v>
      </c>
      <c r="E1752" t="s">
        <v>1524</v>
      </c>
      <c r="F1752" s="253" t="s">
        <v>1242</v>
      </c>
    </row>
    <row r="1753" spans="1:6" x14ac:dyDescent="0.2">
      <c r="A1753" s="243" t="s">
        <v>1621</v>
      </c>
      <c r="B1753" t="s">
        <v>4474</v>
      </c>
      <c r="C1753" t="s">
        <v>4475</v>
      </c>
      <c r="D1753" t="s">
        <v>4476</v>
      </c>
      <c r="E1753" t="s">
        <v>1524</v>
      </c>
      <c r="F1753" s="253" t="s">
        <v>1242</v>
      </c>
    </row>
    <row r="1754" spans="1:6" x14ac:dyDescent="0.2">
      <c r="A1754" s="243" t="s">
        <v>1621</v>
      </c>
      <c r="B1754" t="s">
        <v>4477</v>
      </c>
      <c r="C1754" t="s">
        <v>1230</v>
      </c>
      <c r="D1754" t="s">
        <v>1231</v>
      </c>
      <c r="E1754" t="s">
        <v>1524</v>
      </c>
      <c r="F1754" s="253" t="s">
        <v>1242</v>
      </c>
    </row>
    <row r="1755" spans="1:6" x14ac:dyDescent="0.2">
      <c r="A1755" s="243" t="s">
        <v>1621</v>
      </c>
      <c r="B1755" t="s">
        <v>4478</v>
      </c>
      <c r="C1755" t="s">
        <v>1230</v>
      </c>
      <c r="D1755" t="s">
        <v>1231</v>
      </c>
      <c r="E1755" t="s">
        <v>1524</v>
      </c>
      <c r="F1755" s="253" t="s">
        <v>1242</v>
      </c>
    </row>
    <row r="1756" spans="1:6" x14ac:dyDescent="0.2">
      <c r="A1756" s="243" t="s">
        <v>1621</v>
      </c>
      <c r="B1756" t="s">
        <v>4479</v>
      </c>
      <c r="C1756" t="s">
        <v>2467</v>
      </c>
      <c r="D1756" t="s">
        <v>2468</v>
      </c>
      <c r="E1756" t="s">
        <v>1524</v>
      </c>
      <c r="F1756" s="253" t="s">
        <v>1242</v>
      </c>
    </row>
    <row r="1757" spans="1:6" x14ac:dyDescent="0.2">
      <c r="A1757" s="243" t="s">
        <v>1621</v>
      </c>
      <c r="B1757" t="s">
        <v>4480</v>
      </c>
      <c r="C1757" t="s">
        <v>4481</v>
      </c>
      <c r="D1757" t="s">
        <v>4482</v>
      </c>
      <c r="E1757" t="s">
        <v>1524</v>
      </c>
      <c r="F1757" s="253" t="s">
        <v>1242</v>
      </c>
    </row>
    <row r="1758" spans="1:6" x14ac:dyDescent="0.2">
      <c r="A1758" s="243" t="s">
        <v>1621</v>
      </c>
      <c r="B1758" t="s">
        <v>4483</v>
      </c>
      <c r="C1758" t="s">
        <v>4484</v>
      </c>
      <c r="D1758" t="s">
        <v>4485</v>
      </c>
      <c r="E1758" t="s">
        <v>1524</v>
      </c>
      <c r="F1758" s="253" t="s">
        <v>1242</v>
      </c>
    </row>
    <row r="1759" spans="1:6" x14ac:dyDescent="0.2">
      <c r="A1759" s="243" t="s">
        <v>1621</v>
      </c>
      <c r="B1759" t="s">
        <v>4486</v>
      </c>
      <c r="C1759" t="s">
        <v>4487</v>
      </c>
      <c r="D1759" t="s">
        <v>4488</v>
      </c>
      <c r="E1759" t="s">
        <v>1524</v>
      </c>
      <c r="F1759" s="253" t="s">
        <v>1242</v>
      </c>
    </row>
    <row r="1760" spans="1:6" x14ac:dyDescent="0.2">
      <c r="A1760" s="243" t="s">
        <v>1621</v>
      </c>
      <c r="B1760" t="s">
        <v>4489</v>
      </c>
      <c r="C1760" t="s">
        <v>4045</v>
      </c>
      <c r="D1760" t="s">
        <v>4046</v>
      </c>
      <c r="E1760" t="s">
        <v>1524</v>
      </c>
      <c r="F1760" s="253" t="s">
        <v>1242</v>
      </c>
    </row>
    <row r="1761" spans="1:6" x14ac:dyDescent="0.2">
      <c r="A1761" s="243" t="s">
        <v>1621</v>
      </c>
      <c r="B1761" t="s">
        <v>4490</v>
      </c>
      <c r="C1761" t="s">
        <v>1242</v>
      </c>
      <c r="D1761" t="s">
        <v>1243</v>
      </c>
      <c r="E1761" t="s">
        <v>1524</v>
      </c>
      <c r="F1761" s="253" t="s">
        <v>1242</v>
      </c>
    </row>
    <row r="1762" spans="1:6" x14ac:dyDescent="0.2">
      <c r="A1762" s="243" t="s">
        <v>1621</v>
      </c>
      <c r="B1762" t="s">
        <v>4491</v>
      </c>
      <c r="C1762" t="s">
        <v>4492</v>
      </c>
      <c r="D1762" t="s">
        <v>4493</v>
      </c>
      <c r="E1762" t="s">
        <v>1524</v>
      </c>
      <c r="F1762" s="253" t="s">
        <v>1242</v>
      </c>
    </row>
    <row r="1763" spans="1:6" x14ac:dyDescent="0.2">
      <c r="A1763" s="243" t="s">
        <v>1621</v>
      </c>
      <c r="B1763" t="s">
        <v>4494</v>
      </c>
      <c r="C1763" t="s">
        <v>4495</v>
      </c>
      <c r="D1763" t="s">
        <v>4496</v>
      </c>
      <c r="E1763" t="s">
        <v>1524</v>
      </c>
      <c r="F1763" s="253" t="s">
        <v>1242</v>
      </c>
    </row>
    <row r="1764" spans="1:6" x14ac:dyDescent="0.2">
      <c r="A1764" s="243" t="s">
        <v>1621</v>
      </c>
      <c r="B1764" t="s">
        <v>4497</v>
      </c>
      <c r="C1764" t="s">
        <v>2427</v>
      </c>
      <c r="D1764" t="s">
        <v>2428</v>
      </c>
      <c r="E1764" t="s">
        <v>1527</v>
      </c>
      <c r="F1764" s="253" t="s">
        <v>1242</v>
      </c>
    </row>
    <row r="1765" spans="1:6" x14ac:dyDescent="0.2">
      <c r="A1765" s="243" t="s">
        <v>1621</v>
      </c>
      <c r="B1765" t="s">
        <v>4498</v>
      </c>
      <c r="C1765" t="s">
        <v>4499</v>
      </c>
      <c r="D1765" t="s">
        <v>4500</v>
      </c>
      <c r="E1765" t="s">
        <v>1527</v>
      </c>
      <c r="F1765" s="253" t="s">
        <v>1242</v>
      </c>
    </row>
    <row r="1766" spans="1:6" x14ac:dyDescent="0.2">
      <c r="A1766" s="243" t="s">
        <v>1621</v>
      </c>
      <c r="B1766" t="s">
        <v>4501</v>
      </c>
      <c r="C1766" t="s">
        <v>4502</v>
      </c>
      <c r="D1766" t="s">
        <v>4503</v>
      </c>
      <c r="E1766" t="s">
        <v>1527</v>
      </c>
      <c r="F1766" s="253" t="s">
        <v>1242</v>
      </c>
    </row>
    <row r="1767" spans="1:6" x14ac:dyDescent="0.2">
      <c r="A1767" s="243" t="s">
        <v>1621</v>
      </c>
      <c r="B1767" t="s">
        <v>4504</v>
      </c>
      <c r="C1767" t="s">
        <v>4505</v>
      </c>
      <c r="D1767" t="s">
        <v>4506</v>
      </c>
      <c r="E1767" t="s">
        <v>1527</v>
      </c>
      <c r="F1767" s="253" t="s">
        <v>1242</v>
      </c>
    </row>
    <row r="1768" spans="1:6" x14ac:dyDescent="0.2">
      <c r="A1768" s="243" t="s">
        <v>1621</v>
      </c>
      <c r="B1768" t="s">
        <v>4507</v>
      </c>
      <c r="C1768" t="s">
        <v>4508</v>
      </c>
      <c r="D1768" t="s">
        <v>4509</v>
      </c>
      <c r="E1768" t="s">
        <v>1527</v>
      </c>
      <c r="F1768" s="253" t="s">
        <v>1242</v>
      </c>
    </row>
    <row r="1769" spans="1:6" x14ac:dyDescent="0.2">
      <c r="A1769" s="243" t="s">
        <v>1621</v>
      </c>
      <c r="B1769" t="s">
        <v>4510</v>
      </c>
      <c r="C1769" t="s">
        <v>4511</v>
      </c>
      <c r="D1769" t="s">
        <v>4512</v>
      </c>
      <c r="E1769" t="s">
        <v>1527</v>
      </c>
      <c r="F1769" s="253" t="s">
        <v>1242</v>
      </c>
    </row>
    <row r="1770" spans="1:6" x14ac:dyDescent="0.2">
      <c r="A1770" s="243" t="s">
        <v>1621</v>
      </c>
      <c r="B1770" t="s">
        <v>4513</v>
      </c>
      <c r="C1770" t="s">
        <v>4514</v>
      </c>
      <c r="D1770" t="s">
        <v>4515</v>
      </c>
      <c r="E1770" t="s">
        <v>1527</v>
      </c>
      <c r="F1770" s="253" t="s">
        <v>1242</v>
      </c>
    </row>
    <row r="1771" spans="1:6" x14ac:dyDescent="0.2">
      <c r="A1771" s="243" t="s">
        <v>1621</v>
      </c>
      <c r="B1771" t="s">
        <v>4516</v>
      </c>
      <c r="C1771" t="s">
        <v>4517</v>
      </c>
      <c r="D1771" t="s">
        <v>4518</v>
      </c>
      <c r="E1771" t="s">
        <v>1527</v>
      </c>
      <c r="F1771" s="253" t="s">
        <v>1242</v>
      </c>
    </row>
    <row r="1772" spans="1:6" x14ac:dyDescent="0.2">
      <c r="A1772" s="243" t="s">
        <v>1621</v>
      </c>
      <c r="B1772" t="s">
        <v>4519</v>
      </c>
      <c r="C1772" t="s">
        <v>4520</v>
      </c>
      <c r="D1772" t="s">
        <v>4521</v>
      </c>
      <c r="E1772" t="s">
        <v>1527</v>
      </c>
      <c r="F1772" s="253" t="s">
        <v>1242</v>
      </c>
    </row>
    <row r="1773" spans="1:6" x14ac:dyDescent="0.2">
      <c r="A1773" s="243" t="s">
        <v>1621</v>
      </c>
      <c r="B1773" t="s">
        <v>4522</v>
      </c>
      <c r="C1773" t="s">
        <v>1748</v>
      </c>
      <c r="D1773" t="s">
        <v>1749</v>
      </c>
      <c r="E1773" t="s">
        <v>1527</v>
      </c>
      <c r="F1773" s="253" t="s">
        <v>1242</v>
      </c>
    </row>
    <row r="1774" spans="1:6" x14ac:dyDescent="0.2">
      <c r="A1774" s="243" t="s">
        <v>1621</v>
      </c>
      <c r="B1774" t="s">
        <v>4523</v>
      </c>
      <c r="C1774" t="s">
        <v>4524</v>
      </c>
      <c r="D1774" t="s">
        <v>4525</v>
      </c>
      <c r="E1774" t="s">
        <v>1530</v>
      </c>
      <c r="F1774" s="253" t="s">
        <v>1245</v>
      </c>
    </row>
    <row r="1775" spans="1:6" x14ac:dyDescent="0.2">
      <c r="A1775" s="243" t="s">
        <v>1621</v>
      </c>
      <c r="B1775" t="s">
        <v>4526</v>
      </c>
      <c r="C1775" t="s">
        <v>4527</v>
      </c>
      <c r="D1775" t="s">
        <v>4528</v>
      </c>
      <c r="E1775" t="s">
        <v>1530</v>
      </c>
      <c r="F1775" s="253" t="s">
        <v>1245</v>
      </c>
    </row>
    <row r="1776" spans="1:6" x14ac:dyDescent="0.2">
      <c r="A1776" s="243" t="s">
        <v>1621</v>
      </c>
      <c r="B1776" t="s">
        <v>4529</v>
      </c>
      <c r="C1776" t="s">
        <v>4530</v>
      </c>
      <c r="D1776" t="s">
        <v>4531</v>
      </c>
      <c r="E1776" t="s">
        <v>1530</v>
      </c>
      <c r="F1776" s="253" t="s">
        <v>1245</v>
      </c>
    </row>
    <row r="1777" spans="1:6" x14ac:dyDescent="0.2">
      <c r="A1777" s="243" t="s">
        <v>1621</v>
      </c>
      <c r="B1777" t="s">
        <v>4532</v>
      </c>
      <c r="C1777" t="s">
        <v>4533</v>
      </c>
      <c r="D1777" t="s">
        <v>4534</v>
      </c>
      <c r="E1777" t="s">
        <v>1530</v>
      </c>
      <c r="F1777" s="253" t="s">
        <v>1245</v>
      </c>
    </row>
    <row r="1778" spans="1:6" x14ac:dyDescent="0.2">
      <c r="A1778" s="243" t="s">
        <v>1621</v>
      </c>
      <c r="B1778" t="s">
        <v>4535</v>
      </c>
      <c r="C1778" t="s">
        <v>4536</v>
      </c>
      <c r="D1778" t="s">
        <v>4537</v>
      </c>
      <c r="E1778" t="s">
        <v>1530</v>
      </c>
      <c r="F1778" s="253" t="s">
        <v>1245</v>
      </c>
    </row>
    <row r="1779" spans="1:6" x14ac:dyDescent="0.2">
      <c r="A1779" s="243" t="s">
        <v>1621</v>
      </c>
      <c r="B1779" t="s">
        <v>4538</v>
      </c>
      <c r="C1779" t="s">
        <v>4539</v>
      </c>
      <c r="D1779" t="s">
        <v>4540</v>
      </c>
      <c r="E1779" t="s">
        <v>1530</v>
      </c>
      <c r="F1779" s="253" t="s">
        <v>1245</v>
      </c>
    </row>
    <row r="1780" spans="1:6" x14ac:dyDescent="0.2">
      <c r="A1780" s="243" t="s">
        <v>1621</v>
      </c>
      <c r="B1780" t="s">
        <v>4541</v>
      </c>
      <c r="C1780" t="s">
        <v>4542</v>
      </c>
      <c r="D1780" t="s">
        <v>4543</v>
      </c>
      <c r="E1780" t="s">
        <v>1530</v>
      </c>
      <c r="F1780" s="253" t="s">
        <v>1245</v>
      </c>
    </row>
    <row r="1781" spans="1:6" x14ac:dyDescent="0.2">
      <c r="A1781" s="243" t="s">
        <v>1621</v>
      </c>
      <c r="B1781" t="s">
        <v>4544</v>
      </c>
      <c r="C1781" t="s">
        <v>4545</v>
      </c>
      <c r="D1781" t="s">
        <v>4546</v>
      </c>
      <c r="E1781" t="s">
        <v>1530</v>
      </c>
      <c r="F1781" s="253" t="s">
        <v>1245</v>
      </c>
    </row>
    <row r="1782" spans="1:6" x14ac:dyDescent="0.2">
      <c r="A1782" s="243" t="s">
        <v>1621</v>
      </c>
      <c r="B1782" t="s">
        <v>4547</v>
      </c>
      <c r="C1782" t="s">
        <v>4548</v>
      </c>
      <c r="D1782" t="s">
        <v>4549</v>
      </c>
      <c r="E1782" t="s">
        <v>1533</v>
      </c>
      <c r="F1782" s="253" t="s">
        <v>1245</v>
      </c>
    </row>
    <row r="1783" spans="1:6" x14ac:dyDescent="0.2">
      <c r="A1783" s="243" t="s">
        <v>1621</v>
      </c>
      <c r="B1783" t="s">
        <v>4550</v>
      </c>
      <c r="C1783" t="s">
        <v>4551</v>
      </c>
      <c r="D1783" t="s">
        <v>4552</v>
      </c>
      <c r="E1783" t="s">
        <v>1533</v>
      </c>
      <c r="F1783" s="253" t="s">
        <v>1245</v>
      </c>
    </row>
    <row r="1784" spans="1:6" x14ac:dyDescent="0.2">
      <c r="A1784" s="243" t="s">
        <v>1621</v>
      </c>
      <c r="B1784" t="s">
        <v>4553</v>
      </c>
      <c r="C1784" t="s">
        <v>4554</v>
      </c>
      <c r="D1784" t="s">
        <v>4555</v>
      </c>
      <c r="E1784" t="s">
        <v>1533</v>
      </c>
      <c r="F1784" s="253" t="s">
        <v>1245</v>
      </c>
    </row>
    <row r="1785" spans="1:6" x14ac:dyDescent="0.2">
      <c r="A1785" s="243" t="s">
        <v>1621</v>
      </c>
      <c r="B1785" t="s">
        <v>4556</v>
      </c>
      <c r="C1785" t="s">
        <v>4557</v>
      </c>
      <c r="D1785" t="s">
        <v>4558</v>
      </c>
      <c r="E1785" t="s">
        <v>1533</v>
      </c>
      <c r="F1785" s="253" t="s">
        <v>1245</v>
      </c>
    </row>
    <row r="1786" spans="1:6" x14ac:dyDescent="0.2">
      <c r="A1786" s="243" t="s">
        <v>1621</v>
      </c>
      <c r="B1786" t="s">
        <v>4559</v>
      </c>
      <c r="C1786" t="s">
        <v>4560</v>
      </c>
      <c r="D1786" t="s">
        <v>4561</v>
      </c>
      <c r="E1786" t="s">
        <v>1533</v>
      </c>
      <c r="F1786" s="253" t="s">
        <v>1245</v>
      </c>
    </row>
    <row r="1787" spans="1:6" x14ac:dyDescent="0.2">
      <c r="A1787" s="243" t="s">
        <v>1621</v>
      </c>
      <c r="B1787" t="s">
        <v>4562</v>
      </c>
      <c r="C1787" t="s">
        <v>4563</v>
      </c>
      <c r="D1787" t="s">
        <v>4564</v>
      </c>
      <c r="E1787" t="s">
        <v>1533</v>
      </c>
      <c r="F1787" s="253" t="s">
        <v>1245</v>
      </c>
    </row>
    <row r="1788" spans="1:6" x14ac:dyDescent="0.2">
      <c r="A1788" s="243" t="s">
        <v>1621</v>
      </c>
      <c r="B1788" t="s">
        <v>4565</v>
      </c>
      <c r="C1788" t="s">
        <v>4566</v>
      </c>
      <c r="D1788" t="s">
        <v>4567</v>
      </c>
      <c r="E1788" t="s">
        <v>1533</v>
      </c>
      <c r="F1788" s="253" t="s">
        <v>1245</v>
      </c>
    </row>
    <row r="1789" spans="1:6" x14ac:dyDescent="0.2">
      <c r="A1789" s="243" t="s">
        <v>1621</v>
      </c>
      <c r="B1789" t="s">
        <v>4568</v>
      </c>
      <c r="C1789" t="s">
        <v>4569</v>
      </c>
      <c r="D1789" t="s">
        <v>4570</v>
      </c>
      <c r="E1789" t="s">
        <v>1533</v>
      </c>
      <c r="F1789" s="253" t="s">
        <v>1245</v>
      </c>
    </row>
    <row r="1790" spans="1:6" x14ac:dyDescent="0.2">
      <c r="A1790" s="243" t="s">
        <v>1621</v>
      </c>
      <c r="B1790" t="s">
        <v>4571</v>
      </c>
      <c r="C1790" t="s">
        <v>4572</v>
      </c>
      <c r="D1790" t="s">
        <v>4573</v>
      </c>
      <c r="E1790" t="s">
        <v>1533</v>
      </c>
      <c r="F1790" s="253" t="s">
        <v>1245</v>
      </c>
    </row>
    <row r="1791" spans="1:6" x14ac:dyDescent="0.2">
      <c r="A1791" s="243" t="s">
        <v>1621</v>
      </c>
      <c r="B1791" t="s">
        <v>4574</v>
      </c>
      <c r="C1791" t="s">
        <v>4575</v>
      </c>
      <c r="D1791" t="s">
        <v>4576</v>
      </c>
      <c r="E1791" t="s">
        <v>1533</v>
      </c>
      <c r="F1791" s="253" t="s">
        <v>1245</v>
      </c>
    </row>
    <row r="1792" spans="1:6" x14ac:dyDescent="0.2">
      <c r="A1792" s="243" t="s">
        <v>1621</v>
      </c>
      <c r="B1792" t="s">
        <v>4577</v>
      </c>
      <c r="C1792" t="s">
        <v>1787</v>
      </c>
      <c r="D1792" t="s">
        <v>1788</v>
      </c>
      <c r="E1792" t="s">
        <v>1533</v>
      </c>
      <c r="F1792" s="253" t="s">
        <v>1245</v>
      </c>
    </row>
    <row r="1793" spans="1:6" x14ac:dyDescent="0.2">
      <c r="A1793" s="243" t="s">
        <v>1621</v>
      </c>
      <c r="B1793" t="s">
        <v>4578</v>
      </c>
      <c r="C1793" t="s">
        <v>3609</v>
      </c>
      <c r="D1793" t="s">
        <v>3610</v>
      </c>
      <c r="E1793" t="s">
        <v>1533</v>
      </c>
      <c r="F1793" s="253" t="s">
        <v>1245</v>
      </c>
    </row>
    <row r="1794" spans="1:6" x14ac:dyDescent="0.2">
      <c r="A1794" s="243" t="s">
        <v>1621</v>
      </c>
      <c r="B1794" t="s">
        <v>4579</v>
      </c>
      <c r="C1794" t="s">
        <v>4580</v>
      </c>
      <c r="D1794" t="s">
        <v>4581</v>
      </c>
      <c r="E1794" t="s">
        <v>1533</v>
      </c>
      <c r="F1794" s="253" t="s">
        <v>1245</v>
      </c>
    </row>
    <row r="1795" spans="1:6" x14ac:dyDescent="0.2">
      <c r="A1795" s="243" t="s">
        <v>1621</v>
      </c>
      <c r="B1795" t="s">
        <v>4582</v>
      </c>
      <c r="C1795" t="s">
        <v>4583</v>
      </c>
      <c r="D1795" t="s">
        <v>4584</v>
      </c>
      <c r="E1795" t="s">
        <v>1533</v>
      </c>
      <c r="F1795" s="253" t="s">
        <v>1245</v>
      </c>
    </row>
    <row r="1796" spans="1:6" x14ac:dyDescent="0.2">
      <c r="A1796" s="243" t="s">
        <v>1621</v>
      </c>
      <c r="B1796" t="s">
        <v>4585</v>
      </c>
      <c r="C1796" t="s">
        <v>4586</v>
      </c>
      <c r="D1796" t="s">
        <v>4587</v>
      </c>
      <c r="E1796" t="s">
        <v>1533</v>
      </c>
      <c r="F1796" s="253" t="s">
        <v>1245</v>
      </c>
    </row>
    <row r="1797" spans="1:6" x14ac:dyDescent="0.2">
      <c r="A1797" s="243" t="s">
        <v>1621</v>
      </c>
      <c r="B1797" t="s">
        <v>4588</v>
      </c>
      <c r="C1797" t="s">
        <v>4589</v>
      </c>
      <c r="D1797" t="s">
        <v>4590</v>
      </c>
      <c r="E1797" t="s">
        <v>1533</v>
      </c>
      <c r="F1797" s="253" t="s">
        <v>1245</v>
      </c>
    </row>
    <row r="1798" spans="1:6" x14ac:dyDescent="0.2">
      <c r="A1798" s="243" t="s">
        <v>1621</v>
      </c>
      <c r="B1798" t="s">
        <v>4591</v>
      </c>
      <c r="C1798" t="s">
        <v>4592</v>
      </c>
      <c r="D1798" t="s">
        <v>4593</v>
      </c>
      <c r="E1798" t="s">
        <v>1533</v>
      </c>
      <c r="F1798" s="253" t="s">
        <v>1245</v>
      </c>
    </row>
    <row r="1799" spans="1:6" x14ac:dyDescent="0.2">
      <c r="A1799" s="243" t="s">
        <v>1621</v>
      </c>
      <c r="B1799" t="s">
        <v>4594</v>
      </c>
      <c r="C1799" t="s">
        <v>4595</v>
      </c>
      <c r="D1799" t="s">
        <v>4596</v>
      </c>
      <c r="E1799" t="s">
        <v>1533</v>
      </c>
      <c r="F1799" s="253" t="s">
        <v>1245</v>
      </c>
    </row>
    <row r="1800" spans="1:6" x14ac:dyDescent="0.2">
      <c r="A1800" s="243" t="s">
        <v>1621</v>
      </c>
      <c r="B1800" t="s">
        <v>4597</v>
      </c>
      <c r="C1800" t="s">
        <v>4598</v>
      </c>
      <c r="D1800" t="s">
        <v>4599</v>
      </c>
      <c r="E1800" t="s">
        <v>1533</v>
      </c>
      <c r="F1800" s="253" t="s">
        <v>1245</v>
      </c>
    </row>
    <row r="1801" spans="1:6" x14ac:dyDescent="0.2">
      <c r="A1801" s="243" t="s">
        <v>1621</v>
      </c>
      <c r="B1801" t="s">
        <v>4600</v>
      </c>
      <c r="C1801" t="s">
        <v>4601</v>
      </c>
      <c r="D1801" t="s">
        <v>4602</v>
      </c>
      <c r="E1801" t="s">
        <v>1533</v>
      </c>
      <c r="F1801" s="253" t="s">
        <v>1245</v>
      </c>
    </row>
    <row r="1802" spans="1:6" x14ac:dyDescent="0.2">
      <c r="A1802" s="243" t="s">
        <v>1621</v>
      </c>
      <c r="B1802" t="s">
        <v>4603</v>
      </c>
      <c r="C1802" t="s">
        <v>4604</v>
      </c>
      <c r="D1802" t="s">
        <v>4605</v>
      </c>
      <c r="E1802" t="s">
        <v>1533</v>
      </c>
      <c r="F1802" s="253" t="s">
        <v>1245</v>
      </c>
    </row>
    <row r="1803" spans="1:6" x14ac:dyDescent="0.2">
      <c r="A1803" s="243" t="s">
        <v>1621</v>
      </c>
      <c r="B1803" t="s">
        <v>4606</v>
      </c>
      <c r="C1803" t="s">
        <v>4607</v>
      </c>
      <c r="D1803" t="s">
        <v>4608</v>
      </c>
      <c r="E1803" t="s">
        <v>1533</v>
      </c>
      <c r="F1803" s="253" t="s">
        <v>1245</v>
      </c>
    </row>
    <row r="1804" spans="1:6" x14ac:dyDescent="0.2">
      <c r="A1804" s="243" t="s">
        <v>1621</v>
      </c>
      <c r="B1804" t="s">
        <v>4609</v>
      </c>
      <c r="C1804" t="s">
        <v>4610</v>
      </c>
      <c r="D1804" t="s">
        <v>4611</v>
      </c>
      <c r="E1804" t="s">
        <v>1533</v>
      </c>
      <c r="F1804" s="253" t="s">
        <v>1245</v>
      </c>
    </row>
    <row r="1805" spans="1:6" x14ac:dyDescent="0.2">
      <c r="A1805" s="243" t="s">
        <v>1621</v>
      </c>
      <c r="B1805" t="s">
        <v>4612</v>
      </c>
      <c r="C1805" t="s">
        <v>4613</v>
      </c>
      <c r="D1805" t="s">
        <v>4614</v>
      </c>
      <c r="E1805" t="s">
        <v>1533</v>
      </c>
      <c r="F1805" s="253" t="s">
        <v>1245</v>
      </c>
    </row>
    <row r="1806" spans="1:6" x14ac:dyDescent="0.2">
      <c r="A1806" s="243" t="s">
        <v>1621</v>
      </c>
      <c r="B1806" t="s">
        <v>4615</v>
      </c>
      <c r="C1806" t="s">
        <v>1245</v>
      </c>
      <c r="D1806" t="s">
        <v>1246</v>
      </c>
      <c r="E1806" t="s">
        <v>1533</v>
      </c>
      <c r="F1806" s="253" t="s">
        <v>1245</v>
      </c>
    </row>
    <row r="1807" spans="1:6" x14ac:dyDescent="0.2">
      <c r="A1807" s="243" t="s">
        <v>1621</v>
      </c>
      <c r="B1807" t="s">
        <v>4616</v>
      </c>
      <c r="C1807" t="s">
        <v>4617</v>
      </c>
      <c r="D1807" t="s">
        <v>4618</v>
      </c>
      <c r="E1807" t="s">
        <v>1536</v>
      </c>
      <c r="F1807" s="253" t="s">
        <v>1245</v>
      </c>
    </row>
    <row r="1808" spans="1:6" x14ac:dyDescent="0.2">
      <c r="A1808" s="243" t="s">
        <v>1621</v>
      </c>
      <c r="B1808" t="s">
        <v>4619</v>
      </c>
      <c r="C1808" t="s">
        <v>4620</v>
      </c>
      <c r="D1808" t="s">
        <v>4621</v>
      </c>
      <c r="E1808" t="s">
        <v>1536</v>
      </c>
      <c r="F1808" s="253" t="s">
        <v>1245</v>
      </c>
    </row>
    <row r="1809" spans="1:6" x14ac:dyDescent="0.2">
      <c r="A1809" s="243" t="s">
        <v>1621</v>
      </c>
      <c r="B1809" t="s">
        <v>4622</v>
      </c>
      <c r="C1809" t="s">
        <v>4623</v>
      </c>
      <c r="D1809" t="s">
        <v>4624</v>
      </c>
      <c r="E1809" t="s">
        <v>1536</v>
      </c>
      <c r="F1809" s="253" t="s">
        <v>1245</v>
      </c>
    </row>
    <row r="1810" spans="1:6" x14ac:dyDescent="0.2">
      <c r="A1810" s="243" t="s">
        <v>1621</v>
      </c>
      <c r="B1810" t="s">
        <v>4625</v>
      </c>
      <c r="C1810" t="s">
        <v>4626</v>
      </c>
      <c r="D1810" t="s">
        <v>4627</v>
      </c>
      <c r="E1810" t="s">
        <v>1536</v>
      </c>
      <c r="F1810" s="253" t="s">
        <v>1245</v>
      </c>
    </row>
    <row r="1811" spans="1:6" x14ac:dyDescent="0.2">
      <c r="A1811" s="243" t="s">
        <v>1621</v>
      </c>
      <c r="B1811" t="s">
        <v>4628</v>
      </c>
      <c r="C1811" t="s">
        <v>4629</v>
      </c>
      <c r="D1811" t="s">
        <v>4630</v>
      </c>
      <c r="E1811" t="s">
        <v>1536</v>
      </c>
      <c r="F1811" s="253" t="s">
        <v>1245</v>
      </c>
    </row>
    <row r="1812" spans="1:6" x14ac:dyDescent="0.2">
      <c r="A1812" s="243" t="s">
        <v>1621</v>
      </c>
      <c r="B1812" t="s">
        <v>4631</v>
      </c>
      <c r="C1812" t="s">
        <v>4632</v>
      </c>
      <c r="D1812" t="s">
        <v>4633</v>
      </c>
      <c r="E1812" t="s">
        <v>1536</v>
      </c>
      <c r="F1812" s="253" t="s">
        <v>1245</v>
      </c>
    </row>
    <row r="1813" spans="1:6" x14ac:dyDescent="0.2">
      <c r="A1813" s="243" t="s">
        <v>1621</v>
      </c>
      <c r="B1813" t="s">
        <v>4634</v>
      </c>
      <c r="C1813" t="s">
        <v>4635</v>
      </c>
      <c r="D1813" t="s">
        <v>4636</v>
      </c>
      <c r="E1813" t="s">
        <v>1536</v>
      </c>
      <c r="F1813" s="253" t="s">
        <v>1245</v>
      </c>
    </row>
    <row r="1814" spans="1:6" x14ac:dyDescent="0.2">
      <c r="A1814" s="243" t="s">
        <v>1621</v>
      </c>
      <c r="B1814" t="s">
        <v>4637</v>
      </c>
      <c r="C1814" t="s">
        <v>4118</v>
      </c>
      <c r="D1814" t="s">
        <v>4119</v>
      </c>
      <c r="E1814" t="s">
        <v>1536</v>
      </c>
      <c r="F1814" s="253" t="s">
        <v>1245</v>
      </c>
    </row>
    <row r="1815" spans="1:6" x14ac:dyDescent="0.2">
      <c r="A1815" s="243" t="s">
        <v>1621</v>
      </c>
      <c r="B1815" t="s">
        <v>4638</v>
      </c>
      <c r="C1815" t="s">
        <v>4639</v>
      </c>
      <c r="D1815" t="s">
        <v>4640</v>
      </c>
      <c r="E1815" t="s">
        <v>1536</v>
      </c>
      <c r="F1815" s="253" t="s">
        <v>1245</v>
      </c>
    </row>
    <row r="1816" spans="1:6" x14ac:dyDescent="0.2">
      <c r="A1816" s="243" t="s">
        <v>1621</v>
      </c>
      <c r="B1816" t="s">
        <v>4641</v>
      </c>
      <c r="C1816" t="s">
        <v>4642</v>
      </c>
      <c r="D1816" t="s">
        <v>4643</v>
      </c>
      <c r="E1816" t="s">
        <v>1536</v>
      </c>
      <c r="F1816" s="253" t="s">
        <v>1245</v>
      </c>
    </row>
    <row r="1817" spans="1:6" x14ac:dyDescent="0.2">
      <c r="A1817" s="243" t="s">
        <v>1621</v>
      </c>
      <c r="B1817" t="s">
        <v>4644</v>
      </c>
      <c r="C1817" t="s">
        <v>4645</v>
      </c>
      <c r="D1817" t="s">
        <v>4646</v>
      </c>
      <c r="E1817" t="s">
        <v>1536</v>
      </c>
      <c r="F1817" s="253" t="s">
        <v>1245</v>
      </c>
    </row>
    <row r="1818" spans="1:6" x14ac:dyDescent="0.2">
      <c r="A1818" s="243" t="s">
        <v>1621</v>
      </c>
      <c r="B1818" t="s">
        <v>4647</v>
      </c>
      <c r="C1818" t="s">
        <v>4648</v>
      </c>
      <c r="D1818" t="s">
        <v>4649</v>
      </c>
      <c r="E1818" t="s">
        <v>1536</v>
      </c>
      <c r="F1818" s="253" t="s">
        <v>1245</v>
      </c>
    </row>
    <row r="1819" spans="1:6" x14ac:dyDescent="0.2">
      <c r="A1819" s="243" t="s">
        <v>1621</v>
      </c>
      <c r="B1819" t="s">
        <v>4650</v>
      </c>
      <c r="C1819" t="s">
        <v>4651</v>
      </c>
      <c r="D1819" t="s">
        <v>4652</v>
      </c>
      <c r="E1819" t="s">
        <v>1536</v>
      </c>
      <c r="F1819" s="253" t="s">
        <v>1245</v>
      </c>
    </row>
    <row r="1820" spans="1:6" x14ac:dyDescent="0.2">
      <c r="A1820" s="243" t="s">
        <v>1621</v>
      </c>
      <c r="B1820" t="s">
        <v>4653</v>
      </c>
      <c r="C1820" t="s">
        <v>4654</v>
      </c>
      <c r="D1820" t="s">
        <v>4655</v>
      </c>
      <c r="E1820" t="s">
        <v>1536</v>
      </c>
      <c r="F1820" s="253" t="s">
        <v>1245</v>
      </c>
    </row>
    <row r="1821" spans="1:6" x14ac:dyDescent="0.2">
      <c r="A1821" s="243" t="s">
        <v>1621</v>
      </c>
      <c r="B1821" t="s">
        <v>4656</v>
      </c>
      <c r="C1821" t="s">
        <v>4657</v>
      </c>
      <c r="D1821" t="s">
        <v>4658</v>
      </c>
      <c r="E1821" t="s">
        <v>1536</v>
      </c>
      <c r="F1821" s="253" t="s">
        <v>1245</v>
      </c>
    </row>
    <row r="1822" spans="1:6" x14ac:dyDescent="0.2">
      <c r="A1822" s="243" t="s">
        <v>1621</v>
      </c>
      <c r="B1822" t="s">
        <v>4659</v>
      </c>
      <c r="C1822" t="s">
        <v>4660</v>
      </c>
      <c r="D1822" t="s">
        <v>4661</v>
      </c>
      <c r="E1822" t="s">
        <v>1536</v>
      </c>
      <c r="F1822" s="253" t="s">
        <v>1245</v>
      </c>
    </row>
    <row r="1823" spans="1:6" x14ac:dyDescent="0.2">
      <c r="A1823" s="243" t="s">
        <v>1621</v>
      </c>
      <c r="B1823" t="s">
        <v>4662</v>
      </c>
      <c r="C1823" t="s">
        <v>4663</v>
      </c>
      <c r="D1823" t="s">
        <v>4664</v>
      </c>
      <c r="E1823" t="s">
        <v>1536</v>
      </c>
      <c r="F1823" s="253" t="s">
        <v>1245</v>
      </c>
    </row>
    <row r="1824" spans="1:6" x14ac:dyDescent="0.2">
      <c r="A1824" s="243" t="s">
        <v>1621</v>
      </c>
      <c r="B1824" t="s">
        <v>4665</v>
      </c>
      <c r="C1824" t="s">
        <v>4666</v>
      </c>
      <c r="D1824" t="s">
        <v>4667</v>
      </c>
      <c r="E1824" t="s">
        <v>1536</v>
      </c>
      <c r="F1824" s="253" t="s">
        <v>1245</v>
      </c>
    </row>
    <row r="1825" spans="1:6" x14ac:dyDescent="0.2">
      <c r="A1825" s="243" t="s">
        <v>1621</v>
      </c>
      <c r="B1825" t="s">
        <v>4668</v>
      </c>
      <c r="C1825" t="s">
        <v>4669</v>
      </c>
      <c r="D1825" t="s">
        <v>4670</v>
      </c>
      <c r="E1825" t="s">
        <v>1536</v>
      </c>
      <c r="F1825" s="253" t="s">
        <v>1245</v>
      </c>
    </row>
    <row r="1826" spans="1:6" x14ac:dyDescent="0.2">
      <c r="A1826" s="243" t="s">
        <v>1621</v>
      </c>
      <c r="B1826" t="s">
        <v>4671</v>
      </c>
      <c r="C1826" t="s">
        <v>4672</v>
      </c>
      <c r="D1826" t="s">
        <v>4673</v>
      </c>
      <c r="E1826" t="s">
        <v>1536</v>
      </c>
      <c r="F1826" s="253" t="s">
        <v>1245</v>
      </c>
    </row>
    <row r="1827" spans="1:6" x14ac:dyDescent="0.2">
      <c r="A1827" s="243" t="s">
        <v>1621</v>
      </c>
      <c r="B1827" t="s">
        <v>4674</v>
      </c>
      <c r="C1827" t="s">
        <v>4675</v>
      </c>
      <c r="D1827" t="s">
        <v>4676</v>
      </c>
      <c r="E1827" t="s">
        <v>1536</v>
      </c>
      <c r="F1827" s="253" t="s">
        <v>1245</v>
      </c>
    </row>
    <row r="1828" spans="1:6" x14ac:dyDescent="0.2">
      <c r="A1828" s="243" t="s">
        <v>1621</v>
      </c>
      <c r="B1828" t="s">
        <v>4677</v>
      </c>
      <c r="C1828" t="s">
        <v>4678</v>
      </c>
      <c r="D1828" t="s">
        <v>4679</v>
      </c>
      <c r="E1828" t="s">
        <v>1536</v>
      </c>
      <c r="F1828" s="253" t="s">
        <v>1245</v>
      </c>
    </row>
    <row r="1829" spans="1:6" x14ac:dyDescent="0.2">
      <c r="A1829" s="243" t="s">
        <v>1621</v>
      </c>
      <c r="B1829" t="s">
        <v>4680</v>
      </c>
      <c r="C1829" t="s">
        <v>4681</v>
      </c>
      <c r="D1829" t="s">
        <v>4682</v>
      </c>
      <c r="E1829" t="s">
        <v>1539</v>
      </c>
      <c r="F1829" s="253" t="s">
        <v>1209</v>
      </c>
    </row>
    <row r="1830" spans="1:6" x14ac:dyDescent="0.2">
      <c r="A1830" s="243" t="s">
        <v>1621</v>
      </c>
      <c r="B1830" t="s">
        <v>4683</v>
      </c>
      <c r="C1830" t="s">
        <v>4684</v>
      </c>
      <c r="D1830" t="s">
        <v>4685</v>
      </c>
      <c r="E1830" t="s">
        <v>1539</v>
      </c>
      <c r="F1830" s="253" t="s">
        <v>1209</v>
      </c>
    </row>
    <row r="1831" spans="1:6" x14ac:dyDescent="0.2">
      <c r="A1831" s="243" t="s">
        <v>1621</v>
      </c>
      <c r="B1831" t="s">
        <v>4686</v>
      </c>
      <c r="C1831" t="s">
        <v>3187</v>
      </c>
      <c r="D1831" t="s">
        <v>3188</v>
      </c>
      <c r="E1831" t="s">
        <v>1539</v>
      </c>
      <c r="F1831" s="253" t="s">
        <v>1209</v>
      </c>
    </row>
    <row r="1832" spans="1:6" x14ac:dyDescent="0.2">
      <c r="A1832" s="243" t="s">
        <v>1621</v>
      </c>
      <c r="B1832" t="s">
        <v>4687</v>
      </c>
      <c r="C1832" t="s">
        <v>4170</v>
      </c>
      <c r="D1832" t="s">
        <v>4171</v>
      </c>
      <c r="E1832" t="s">
        <v>1539</v>
      </c>
      <c r="F1832" s="253" t="s">
        <v>1209</v>
      </c>
    </row>
    <row r="1833" spans="1:6" x14ac:dyDescent="0.2">
      <c r="A1833" s="243" t="s">
        <v>1621</v>
      </c>
      <c r="B1833" t="s">
        <v>4688</v>
      </c>
      <c r="C1833" t="s">
        <v>4689</v>
      </c>
      <c r="D1833" t="s">
        <v>4690</v>
      </c>
      <c r="E1833" t="s">
        <v>1539</v>
      </c>
      <c r="F1833" s="253" t="s">
        <v>1209</v>
      </c>
    </row>
    <row r="1834" spans="1:6" x14ac:dyDescent="0.2">
      <c r="A1834" s="243" t="s">
        <v>1621</v>
      </c>
      <c r="B1834" t="s">
        <v>4691</v>
      </c>
      <c r="C1834" t="s">
        <v>4692</v>
      </c>
      <c r="D1834" t="s">
        <v>4693</v>
      </c>
      <c r="E1834" t="s">
        <v>1542</v>
      </c>
      <c r="F1834" s="253" t="s">
        <v>1209</v>
      </c>
    </row>
    <row r="1835" spans="1:6" x14ac:dyDescent="0.2">
      <c r="A1835" s="243" t="s">
        <v>1621</v>
      </c>
      <c r="B1835" t="s">
        <v>4694</v>
      </c>
      <c r="C1835" t="s">
        <v>4695</v>
      </c>
      <c r="D1835" t="s">
        <v>4696</v>
      </c>
      <c r="E1835" t="s">
        <v>1542</v>
      </c>
      <c r="F1835" s="253" t="s">
        <v>1209</v>
      </c>
    </row>
    <row r="1836" spans="1:6" x14ac:dyDescent="0.2">
      <c r="A1836" s="243" t="s">
        <v>1621</v>
      </c>
      <c r="B1836" t="s">
        <v>4697</v>
      </c>
      <c r="C1836" t="s">
        <v>4698</v>
      </c>
      <c r="D1836" t="s">
        <v>4699</v>
      </c>
      <c r="E1836" t="s">
        <v>1542</v>
      </c>
      <c r="F1836" s="253" t="s">
        <v>1209</v>
      </c>
    </row>
    <row r="1837" spans="1:6" x14ac:dyDescent="0.2">
      <c r="A1837" s="243" t="s">
        <v>1621</v>
      </c>
      <c r="B1837" t="s">
        <v>4700</v>
      </c>
      <c r="C1837" t="s">
        <v>1203</v>
      </c>
      <c r="D1837" t="s">
        <v>1204</v>
      </c>
      <c r="E1837" t="s">
        <v>1542</v>
      </c>
      <c r="F1837" s="253" t="s">
        <v>1209</v>
      </c>
    </row>
    <row r="1838" spans="1:6" x14ac:dyDescent="0.2">
      <c r="A1838" s="243" t="s">
        <v>1621</v>
      </c>
      <c r="B1838" t="s">
        <v>4701</v>
      </c>
      <c r="C1838" t="s">
        <v>4702</v>
      </c>
      <c r="D1838" t="s">
        <v>4703</v>
      </c>
      <c r="E1838" t="s">
        <v>1542</v>
      </c>
      <c r="F1838" s="253" t="s">
        <v>1209</v>
      </c>
    </row>
    <row r="1839" spans="1:6" x14ac:dyDescent="0.2">
      <c r="A1839" s="243" t="s">
        <v>1621</v>
      </c>
      <c r="B1839" t="s">
        <v>4704</v>
      </c>
      <c r="C1839" t="s">
        <v>4705</v>
      </c>
      <c r="D1839" t="s">
        <v>4706</v>
      </c>
      <c r="E1839" t="s">
        <v>1542</v>
      </c>
      <c r="F1839" s="253" t="s">
        <v>1209</v>
      </c>
    </row>
    <row r="1840" spans="1:6" x14ac:dyDescent="0.2">
      <c r="A1840" s="243" t="s">
        <v>1621</v>
      </c>
      <c r="B1840" t="s">
        <v>4707</v>
      </c>
      <c r="C1840" t="s">
        <v>4708</v>
      </c>
      <c r="D1840" t="s">
        <v>4709</v>
      </c>
      <c r="E1840" t="s">
        <v>1542</v>
      </c>
      <c r="F1840" s="253" t="s">
        <v>1209</v>
      </c>
    </row>
    <row r="1841" spans="1:6" x14ac:dyDescent="0.2">
      <c r="A1841" s="243" t="s">
        <v>1621</v>
      </c>
      <c r="B1841" t="s">
        <v>4710</v>
      </c>
      <c r="C1841" t="s">
        <v>4711</v>
      </c>
      <c r="D1841" t="s">
        <v>4712</v>
      </c>
      <c r="E1841" t="s">
        <v>1542</v>
      </c>
      <c r="F1841" s="253" t="s">
        <v>1209</v>
      </c>
    </row>
    <row r="1842" spans="1:6" x14ac:dyDescent="0.2">
      <c r="A1842" s="243" t="s">
        <v>1621</v>
      </c>
      <c r="B1842" t="s">
        <v>4713</v>
      </c>
      <c r="C1842" t="s">
        <v>4714</v>
      </c>
      <c r="D1842" t="s">
        <v>4715</v>
      </c>
      <c r="E1842" t="s">
        <v>1545</v>
      </c>
      <c r="F1842" s="253" t="s">
        <v>1209</v>
      </c>
    </row>
    <row r="1843" spans="1:6" x14ac:dyDescent="0.2">
      <c r="A1843" s="243" t="s">
        <v>1621</v>
      </c>
      <c r="B1843" t="s">
        <v>4716</v>
      </c>
      <c r="C1843" t="s">
        <v>4717</v>
      </c>
      <c r="D1843" t="s">
        <v>4718</v>
      </c>
      <c r="E1843" t="s">
        <v>1545</v>
      </c>
      <c r="F1843" s="253" t="s">
        <v>1209</v>
      </c>
    </row>
    <row r="1844" spans="1:6" x14ac:dyDescent="0.2">
      <c r="A1844" s="243" t="s">
        <v>1621</v>
      </c>
      <c r="B1844" t="s">
        <v>4719</v>
      </c>
      <c r="C1844" t="s">
        <v>4720</v>
      </c>
      <c r="D1844" t="s">
        <v>4721</v>
      </c>
      <c r="E1844" t="s">
        <v>1545</v>
      </c>
      <c r="F1844" s="253" t="s">
        <v>1209</v>
      </c>
    </row>
    <row r="1845" spans="1:6" x14ac:dyDescent="0.2">
      <c r="A1845" s="243" t="s">
        <v>1621</v>
      </c>
      <c r="B1845" t="s">
        <v>4722</v>
      </c>
      <c r="C1845" t="s">
        <v>4723</v>
      </c>
      <c r="D1845" t="s">
        <v>4724</v>
      </c>
      <c r="E1845" t="s">
        <v>1545</v>
      </c>
      <c r="F1845" s="253" t="s">
        <v>1209</v>
      </c>
    </row>
    <row r="1846" spans="1:6" x14ac:dyDescent="0.2">
      <c r="A1846" s="243" t="s">
        <v>1621</v>
      </c>
      <c r="B1846" t="s">
        <v>4725</v>
      </c>
      <c r="C1846" t="s">
        <v>4726</v>
      </c>
      <c r="D1846" t="s">
        <v>4727</v>
      </c>
      <c r="E1846" t="s">
        <v>1545</v>
      </c>
      <c r="F1846" s="253" t="s">
        <v>1209</v>
      </c>
    </row>
    <row r="1847" spans="1:6" x14ac:dyDescent="0.2">
      <c r="A1847" s="243" t="s">
        <v>1621</v>
      </c>
      <c r="B1847" t="s">
        <v>4728</v>
      </c>
      <c r="C1847" t="s">
        <v>4729</v>
      </c>
      <c r="D1847" t="s">
        <v>4730</v>
      </c>
      <c r="E1847" t="s">
        <v>1545</v>
      </c>
      <c r="F1847" s="253" t="s">
        <v>1209</v>
      </c>
    </row>
    <row r="1848" spans="1:6" x14ac:dyDescent="0.2">
      <c r="A1848" s="243" t="s">
        <v>1621</v>
      </c>
      <c r="B1848" t="s">
        <v>4731</v>
      </c>
      <c r="C1848" t="s">
        <v>4732</v>
      </c>
      <c r="D1848" t="s">
        <v>4733</v>
      </c>
      <c r="E1848" t="s">
        <v>1548</v>
      </c>
      <c r="F1848" s="253" t="s">
        <v>1209</v>
      </c>
    </row>
    <row r="1849" spans="1:6" x14ac:dyDescent="0.2">
      <c r="A1849" s="243" t="s">
        <v>1621</v>
      </c>
      <c r="B1849" t="s">
        <v>4734</v>
      </c>
      <c r="C1849" t="s">
        <v>4735</v>
      </c>
      <c r="D1849" t="s">
        <v>4736</v>
      </c>
      <c r="E1849" t="s">
        <v>1548</v>
      </c>
      <c r="F1849" s="253" t="s">
        <v>1209</v>
      </c>
    </row>
    <row r="1850" spans="1:6" x14ac:dyDescent="0.2">
      <c r="A1850" s="243" t="s">
        <v>1621</v>
      </c>
      <c r="B1850" t="s">
        <v>4737</v>
      </c>
      <c r="C1850" t="s">
        <v>4738</v>
      </c>
      <c r="D1850" t="s">
        <v>4739</v>
      </c>
      <c r="E1850" t="s">
        <v>1548</v>
      </c>
      <c r="F1850" s="253" t="s">
        <v>1209</v>
      </c>
    </row>
    <row r="1851" spans="1:6" x14ac:dyDescent="0.2">
      <c r="A1851" s="243" t="s">
        <v>1621</v>
      </c>
      <c r="B1851" t="s">
        <v>4740</v>
      </c>
      <c r="C1851" t="s">
        <v>4741</v>
      </c>
      <c r="D1851" t="s">
        <v>4742</v>
      </c>
      <c r="E1851" t="s">
        <v>1548</v>
      </c>
      <c r="F1851" s="253" t="s">
        <v>1209</v>
      </c>
    </row>
    <row r="1852" spans="1:6" x14ac:dyDescent="0.2">
      <c r="A1852" s="243" t="s">
        <v>1621</v>
      </c>
      <c r="B1852" t="s">
        <v>4743</v>
      </c>
      <c r="C1852" t="s">
        <v>4744</v>
      </c>
      <c r="D1852" t="s">
        <v>4745</v>
      </c>
      <c r="E1852" t="s">
        <v>1548</v>
      </c>
      <c r="F1852" s="253" t="s">
        <v>1209</v>
      </c>
    </row>
    <row r="1853" spans="1:6" x14ac:dyDescent="0.2">
      <c r="A1853" s="243" t="s">
        <v>1621</v>
      </c>
      <c r="B1853" t="s">
        <v>4746</v>
      </c>
      <c r="C1853" t="s">
        <v>4747</v>
      </c>
      <c r="D1853" t="s">
        <v>4748</v>
      </c>
      <c r="E1853" t="s">
        <v>1548</v>
      </c>
      <c r="F1853" s="253" t="s">
        <v>1209</v>
      </c>
    </row>
    <row r="1854" spans="1:6" x14ac:dyDescent="0.2">
      <c r="A1854" s="243" t="s">
        <v>1621</v>
      </c>
      <c r="B1854" t="s">
        <v>4749</v>
      </c>
      <c r="C1854" t="s">
        <v>2190</v>
      </c>
      <c r="D1854" t="s">
        <v>2191</v>
      </c>
      <c r="E1854" t="s">
        <v>1548</v>
      </c>
      <c r="F1854" s="253" t="s">
        <v>1209</v>
      </c>
    </row>
    <row r="1855" spans="1:6" x14ac:dyDescent="0.2">
      <c r="A1855" s="243" t="s">
        <v>1621</v>
      </c>
      <c r="B1855" t="s">
        <v>4750</v>
      </c>
      <c r="C1855" t="s">
        <v>3785</v>
      </c>
      <c r="D1855" t="s">
        <v>3786</v>
      </c>
      <c r="E1855" t="s">
        <v>1548</v>
      </c>
      <c r="F1855" s="253" t="s">
        <v>1209</v>
      </c>
    </row>
    <row r="1856" spans="1:6" x14ac:dyDescent="0.2">
      <c r="A1856" s="243" t="s">
        <v>1621</v>
      </c>
      <c r="B1856" t="s">
        <v>4751</v>
      </c>
      <c r="C1856" t="s">
        <v>3939</v>
      </c>
      <c r="D1856" t="s">
        <v>3940</v>
      </c>
      <c r="E1856" t="s">
        <v>1551</v>
      </c>
      <c r="F1856" s="253" t="s">
        <v>1209</v>
      </c>
    </row>
    <row r="1857" spans="1:6" x14ac:dyDescent="0.2">
      <c r="A1857" s="243" t="s">
        <v>1621</v>
      </c>
      <c r="B1857" t="s">
        <v>4752</v>
      </c>
      <c r="C1857" t="s">
        <v>4753</v>
      </c>
      <c r="D1857" t="s">
        <v>4754</v>
      </c>
      <c r="E1857" t="s">
        <v>1551</v>
      </c>
      <c r="F1857" s="253" t="s">
        <v>1209</v>
      </c>
    </row>
    <row r="1858" spans="1:6" x14ac:dyDescent="0.2">
      <c r="A1858" s="243" t="s">
        <v>1621</v>
      </c>
      <c r="B1858" t="s">
        <v>4755</v>
      </c>
      <c r="C1858" t="s">
        <v>4756</v>
      </c>
      <c r="D1858" t="s">
        <v>4757</v>
      </c>
      <c r="E1858" t="s">
        <v>1551</v>
      </c>
      <c r="F1858" s="253" t="s">
        <v>1209</v>
      </c>
    </row>
    <row r="1859" spans="1:6" x14ac:dyDescent="0.2">
      <c r="A1859" s="243" t="s">
        <v>1621</v>
      </c>
      <c r="B1859" t="s">
        <v>4758</v>
      </c>
      <c r="C1859" t="s">
        <v>4759</v>
      </c>
      <c r="D1859" t="s">
        <v>4760</v>
      </c>
      <c r="E1859" t="s">
        <v>1551</v>
      </c>
      <c r="F1859" s="253" t="s">
        <v>1209</v>
      </c>
    </row>
    <row r="1860" spans="1:6" x14ac:dyDescent="0.2">
      <c r="A1860" s="243" t="s">
        <v>1621</v>
      </c>
      <c r="B1860" t="s">
        <v>4761</v>
      </c>
      <c r="C1860" t="s">
        <v>3770</v>
      </c>
      <c r="D1860" t="s">
        <v>3771</v>
      </c>
      <c r="E1860" t="s">
        <v>1551</v>
      </c>
      <c r="F1860" s="253" t="s">
        <v>1209</v>
      </c>
    </row>
    <row r="1861" spans="1:6" x14ac:dyDescent="0.2">
      <c r="A1861" s="243" t="s">
        <v>1621</v>
      </c>
      <c r="B1861" t="s">
        <v>4762</v>
      </c>
      <c r="C1861" t="s">
        <v>4763</v>
      </c>
      <c r="D1861" t="s">
        <v>4764</v>
      </c>
      <c r="E1861" t="s">
        <v>1554</v>
      </c>
      <c r="F1861" s="253" t="s">
        <v>1209</v>
      </c>
    </row>
    <row r="1862" spans="1:6" x14ac:dyDescent="0.2">
      <c r="A1862" s="243" t="s">
        <v>1621</v>
      </c>
      <c r="B1862" t="s">
        <v>4765</v>
      </c>
      <c r="C1862" t="s">
        <v>4766</v>
      </c>
      <c r="D1862" t="s">
        <v>4767</v>
      </c>
      <c r="E1862" t="s">
        <v>1554</v>
      </c>
      <c r="F1862" s="253" t="s">
        <v>1209</v>
      </c>
    </row>
    <row r="1863" spans="1:6" x14ac:dyDescent="0.2">
      <c r="A1863" s="243" t="s">
        <v>1621</v>
      </c>
      <c r="B1863" t="s">
        <v>4768</v>
      </c>
      <c r="C1863" t="s">
        <v>4769</v>
      </c>
      <c r="D1863" t="s">
        <v>4770</v>
      </c>
      <c r="E1863" t="s">
        <v>1554</v>
      </c>
      <c r="F1863" s="253" t="s">
        <v>1209</v>
      </c>
    </row>
    <row r="1864" spans="1:6" x14ac:dyDescent="0.2">
      <c r="A1864" s="243" t="s">
        <v>1621</v>
      </c>
      <c r="B1864" t="s">
        <v>4771</v>
      </c>
      <c r="C1864" t="s">
        <v>4772</v>
      </c>
      <c r="D1864" t="s">
        <v>4773</v>
      </c>
      <c r="E1864" t="s">
        <v>1554</v>
      </c>
      <c r="F1864" s="253" t="s">
        <v>1209</v>
      </c>
    </row>
    <row r="1865" spans="1:6" x14ac:dyDescent="0.2">
      <c r="A1865" s="243" t="s">
        <v>1621</v>
      </c>
      <c r="B1865" t="s">
        <v>4774</v>
      </c>
      <c r="C1865" t="s">
        <v>4775</v>
      </c>
      <c r="D1865" t="s">
        <v>4776</v>
      </c>
      <c r="E1865" t="s">
        <v>1554</v>
      </c>
      <c r="F1865" s="253" t="s">
        <v>1209</v>
      </c>
    </row>
    <row r="1866" spans="1:6" x14ac:dyDescent="0.2">
      <c r="A1866" s="243" t="s">
        <v>1621</v>
      </c>
      <c r="B1866" t="s">
        <v>4777</v>
      </c>
      <c r="C1866" t="s">
        <v>4778</v>
      </c>
      <c r="D1866" t="s">
        <v>4779</v>
      </c>
      <c r="E1866" t="s">
        <v>1554</v>
      </c>
      <c r="F1866" s="253" t="s">
        <v>1209</v>
      </c>
    </row>
    <row r="1867" spans="1:6" x14ac:dyDescent="0.2">
      <c r="A1867" s="243" t="s">
        <v>1621</v>
      </c>
      <c r="B1867" t="s">
        <v>4780</v>
      </c>
      <c r="C1867" t="s">
        <v>4781</v>
      </c>
      <c r="D1867" t="s">
        <v>4782</v>
      </c>
      <c r="E1867" t="s">
        <v>1554</v>
      </c>
      <c r="F1867" s="253" t="s">
        <v>1209</v>
      </c>
    </row>
    <row r="1868" spans="1:6" x14ac:dyDescent="0.2">
      <c r="A1868" s="243" t="s">
        <v>1621</v>
      </c>
      <c r="B1868" t="s">
        <v>4783</v>
      </c>
      <c r="C1868" t="s">
        <v>4784</v>
      </c>
      <c r="D1868" t="s">
        <v>4785</v>
      </c>
      <c r="E1868" t="s">
        <v>1554</v>
      </c>
      <c r="F1868" s="253" t="s">
        <v>1209</v>
      </c>
    </row>
    <row r="1869" spans="1:6" x14ac:dyDescent="0.2">
      <c r="A1869" s="243" t="s">
        <v>1621</v>
      </c>
      <c r="B1869" t="s">
        <v>4786</v>
      </c>
      <c r="C1869" t="s">
        <v>4787</v>
      </c>
      <c r="D1869" t="s">
        <v>4788</v>
      </c>
      <c r="E1869" t="s">
        <v>1554</v>
      </c>
      <c r="F1869" s="253" t="s">
        <v>1209</v>
      </c>
    </row>
    <row r="1870" spans="1:6" x14ac:dyDescent="0.2">
      <c r="A1870" s="243" t="s">
        <v>1621</v>
      </c>
      <c r="B1870" t="s">
        <v>4789</v>
      </c>
      <c r="C1870" t="s">
        <v>4790</v>
      </c>
      <c r="D1870" t="s">
        <v>4791</v>
      </c>
      <c r="E1870" t="s">
        <v>1554</v>
      </c>
      <c r="F1870" s="253" t="s">
        <v>1209</v>
      </c>
    </row>
    <row r="1871" spans="1:6" x14ac:dyDescent="0.2">
      <c r="A1871" s="243" t="s">
        <v>1621</v>
      </c>
      <c r="B1871" t="s">
        <v>4792</v>
      </c>
      <c r="C1871" t="s">
        <v>4793</v>
      </c>
      <c r="D1871" t="s">
        <v>4794</v>
      </c>
      <c r="E1871" t="s">
        <v>1554</v>
      </c>
      <c r="F1871" s="253" t="s">
        <v>1209</v>
      </c>
    </row>
    <row r="1872" spans="1:6" x14ac:dyDescent="0.2">
      <c r="A1872" s="243" t="s">
        <v>1621</v>
      </c>
      <c r="B1872" t="s">
        <v>4795</v>
      </c>
      <c r="C1872" t="s">
        <v>4796</v>
      </c>
      <c r="D1872" t="s">
        <v>4797</v>
      </c>
      <c r="E1872" t="s">
        <v>1554</v>
      </c>
      <c r="F1872" s="253" t="s">
        <v>1209</v>
      </c>
    </row>
    <row r="1873" spans="1:6" x14ac:dyDescent="0.2">
      <c r="A1873" s="243" t="s">
        <v>1621</v>
      </c>
      <c r="B1873" t="s">
        <v>4798</v>
      </c>
      <c r="C1873" t="s">
        <v>4799</v>
      </c>
      <c r="D1873" t="s">
        <v>4800</v>
      </c>
      <c r="E1873" t="s">
        <v>1554</v>
      </c>
      <c r="F1873" s="253" t="s">
        <v>1209</v>
      </c>
    </row>
    <row r="1874" spans="1:6" x14ac:dyDescent="0.2">
      <c r="A1874" s="243" t="s">
        <v>1621</v>
      </c>
      <c r="B1874" t="s">
        <v>4801</v>
      </c>
      <c r="C1874" t="s">
        <v>1209</v>
      </c>
      <c r="D1874" t="s">
        <v>1210</v>
      </c>
      <c r="E1874" t="s">
        <v>1554</v>
      </c>
      <c r="F1874" s="253" t="s">
        <v>1209</v>
      </c>
    </row>
    <row r="1875" spans="1:6" x14ac:dyDescent="0.2">
      <c r="A1875" s="243" t="s">
        <v>1621</v>
      </c>
      <c r="B1875" t="s">
        <v>4802</v>
      </c>
      <c r="C1875" t="s">
        <v>4803</v>
      </c>
      <c r="D1875" t="s">
        <v>4804</v>
      </c>
      <c r="E1875" t="s">
        <v>1554</v>
      </c>
      <c r="F1875" s="253" t="s">
        <v>1209</v>
      </c>
    </row>
    <row r="1876" spans="1:6" x14ac:dyDescent="0.2">
      <c r="A1876" s="243" t="s">
        <v>1621</v>
      </c>
      <c r="B1876" t="s">
        <v>4805</v>
      </c>
      <c r="C1876" t="s">
        <v>4806</v>
      </c>
      <c r="D1876" t="s">
        <v>4807</v>
      </c>
      <c r="E1876" t="s">
        <v>1557</v>
      </c>
      <c r="F1876" s="253" t="s">
        <v>1209</v>
      </c>
    </row>
    <row r="1877" spans="1:6" x14ac:dyDescent="0.2">
      <c r="A1877" s="243" t="s">
        <v>1621</v>
      </c>
      <c r="B1877" t="s">
        <v>4808</v>
      </c>
      <c r="C1877" t="s">
        <v>4809</v>
      </c>
      <c r="D1877" t="s">
        <v>4810</v>
      </c>
      <c r="E1877" t="s">
        <v>1557</v>
      </c>
      <c r="F1877" s="253" t="s">
        <v>1209</v>
      </c>
    </row>
    <row r="1878" spans="1:6" x14ac:dyDescent="0.2">
      <c r="A1878" s="243" t="s">
        <v>1621</v>
      </c>
      <c r="B1878" t="s">
        <v>4811</v>
      </c>
      <c r="C1878" t="s">
        <v>2927</v>
      </c>
      <c r="D1878" t="s">
        <v>2928</v>
      </c>
      <c r="E1878" t="s">
        <v>1557</v>
      </c>
      <c r="F1878" s="253" t="s">
        <v>1209</v>
      </c>
    </row>
    <row r="1879" spans="1:6" x14ac:dyDescent="0.2">
      <c r="A1879" s="243" t="s">
        <v>1621</v>
      </c>
      <c r="B1879" t="s">
        <v>4812</v>
      </c>
      <c r="C1879" t="s">
        <v>1987</v>
      </c>
      <c r="D1879" t="s">
        <v>1988</v>
      </c>
      <c r="E1879" t="s">
        <v>1557</v>
      </c>
      <c r="F1879" s="253" t="s">
        <v>1209</v>
      </c>
    </row>
    <row r="1880" spans="1:6" x14ac:dyDescent="0.2">
      <c r="A1880" s="243" t="s">
        <v>1621</v>
      </c>
      <c r="B1880" t="s">
        <v>4813</v>
      </c>
      <c r="C1880" t="s">
        <v>4814</v>
      </c>
      <c r="D1880" t="s">
        <v>4815</v>
      </c>
      <c r="E1880" t="s">
        <v>1557</v>
      </c>
      <c r="F1880" s="253" t="s">
        <v>1209</v>
      </c>
    </row>
    <row r="1881" spans="1:6" x14ac:dyDescent="0.2">
      <c r="A1881" s="243" t="s">
        <v>1621</v>
      </c>
      <c r="B1881" t="s">
        <v>4816</v>
      </c>
      <c r="C1881" t="s">
        <v>2002</v>
      </c>
      <c r="D1881" t="s">
        <v>2003</v>
      </c>
      <c r="E1881" t="s">
        <v>1557</v>
      </c>
      <c r="F1881" s="253" t="s">
        <v>1209</v>
      </c>
    </row>
    <row r="1882" spans="1:6" x14ac:dyDescent="0.2">
      <c r="A1882" s="243" t="s">
        <v>1621</v>
      </c>
      <c r="B1882" t="s">
        <v>4817</v>
      </c>
      <c r="C1882" t="s">
        <v>4818</v>
      </c>
      <c r="D1882" t="s">
        <v>4819</v>
      </c>
      <c r="E1882" t="s">
        <v>1557</v>
      </c>
      <c r="F1882" s="253" t="s">
        <v>1209</v>
      </c>
    </row>
    <row r="1883" spans="1:6" x14ac:dyDescent="0.2">
      <c r="A1883" s="243" t="s">
        <v>1621</v>
      </c>
      <c r="B1883" t="s">
        <v>4820</v>
      </c>
      <c r="C1883" t="s">
        <v>2906</v>
      </c>
      <c r="D1883" t="s">
        <v>2907</v>
      </c>
      <c r="E1883" t="s">
        <v>1557</v>
      </c>
      <c r="F1883" s="253" t="s">
        <v>1209</v>
      </c>
    </row>
    <row r="1884" spans="1:6" x14ac:dyDescent="0.2">
      <c r="A1884" s="243" t="s">
        <v>1621</v>
      </c>
      <c r="B1884" t="s">
        <v>4821</v>
      </c>
      <c r="C1884" t="s">
        <v>4822</v>
      </c>
      <c r="D1884" t="s">
        <v>4823</v>
      </c>
      <c r="E1884" t="s">
        <v>1557</v>
      </c>
      <c r="F1884" s="253" t="s">
        <v>1209</v>
      </c>
    </row>
    <row r="1885" spans="1:6" x14ac:dyDescent="0.2">
      <c r="A1885" s="243" t="s">
        <v>1621</v>
      </c>
      <c r="B1885" t="s">
        <v>4824</v>
      </c>
      <c r="C1885" t="s">
        <v>4825</v>
      </c>
      <c r="D1885" t="s">
        <v>4826</v>
      </c>
      <c r="E1885" t="s">
        <v>1560</v>
      </c>
      <c r="F1885" s="253" t="s">
        <v>1212</v>
      </c>
    </row>
    <row r="1886" spans="1:6" x14ac:dyDescent="0.2">
      <c r="A1886" s="243" t="s">
        <v>1621</v>
      </c>
      <c r="B1886" t="s">
        <v>4827</v>
      </c>
      <c r="C1886" t="s">
        <v>4828</v>
      </c>
      <c r="D1886" t="s">
        <v>4829</v>
      </c>
      <c r="E1886" t="s">
        <v>1560</v>
      </c>
      <c r="F1886" s="253" t="s">
        <v>1212</v>
      </c>
    </row>
    <row r="1887" spans="1:6" x14ac:dyDescent="0.2">
      <c r="A1887" s="243" t="s">
        <v>1621</v>
      </c>
      <c r="B1887" t="s">
        <v>4830</v>
      </c>
      <c r="C1887" t="s">
        <v>4831</v>
      </c>
      <c r="D1887" t="s">
        <v>4832</v>
      </c>
      <c r="E1887" t="s">
        <v>1560</v>
      </c>
      <c r="F1887" s="253" t="s">
        <v>1212</v>
      </c>
    </row>
    <row r="1888" spans="1:6" x14ac:dyDescent="0.2">
      <c r="A1888" s="243" t="s">
        <v>1621</v>
      </c>
      <c r="B1888" t="s">
        <v>4833</v>
      </c>
      <c r="C1888" t="s">
        <v>4834</v>
      </c>
      <c r="D1888" t="s">
        <v>4835</v>
      </c>
      <c r="E1888" t="s">
        <v>1560</v>
      </c>
      <c r="F1888" s="253" t="s">
        <v>1212</v>
      </c>
    </row>
    <row r="1889" spans="1:6" x14ac:dyDescent="0.2">
      <c r="A1889" s="243" t="s">
        <v>1621</v>
      </c>
      <c r="B1889" t="s">
        <v>4836</v>
      </c>
      <c r="C1889" t="s">
        <v>1790</v>
      </c>
      <c r="D1889" t="s">
        <v>1791</v>
      </c>
      <c r="E1889" t="s">
        <v>1560</v>
      </c>
      <c r="F1889" s="253" t="s">
        <v>1212</v>
      </c>
    </row>
    <row r="1890" spans="1:6" x14ac:dyDescent="0.2">
      <c r="A1890" s="243" t="s">
        <v>1621</v>
      </c>
      <c r="B1890" t="s">
        <v>4837</v>
      </c>
      <c r="C1890" t="s">
        <v>4838</v>
      </c>
      <c r="D1890" t="s">
        <v>4839</v>
      </c>
      <c r="E1890" t="s">
        <v>1560</v>
      </c>
      <c r="F1890" s="253" t="s">
        <v>1212</v>
      </c>
    </row>
    <row r="1891" spans="1:6" x14ac:dyDescent="0.2">
      <c r="A1891" s="243" t="s">
        <v>1621</v>
      </c>
      <c r="B1891" t="s">
        <v>4840</v>
      </c>
      <c r="C1891" t="s">
        <v>4841</v>
      </c>
      <c r="D1891" t="s">
        <v>4842</v>
      </c>
      <c r="E1891" t="s">
        <v>1560</v>
      </c>
      <c r="F1891" s="253" t="s">
        <v>1212</v>
      </c>
    </row>
    <row r="1892" spans="1:6" x14ac:dyDescent="0.2">
      <c r="A1892" s="243" t="s">
        <v>1621</v>
      </c>
      <c r="B1892" t="s">
        <v>4843</v>
      </c>
      <c r="C1892" t="s">
        <v>4844</v>
      </c>
      <c r="D1892" t="s">
        <v>4845</v>
      </c>
      <c r="E1892" t="s">
        <v>1560</v>
      </c>
      <c r="F1892" s="253" t="s">
        <v>1212</v>
      </c>
    </row>
    <row r="1893" spans="1:6" x14ac:dyDescent="0.2">
      <c r="A1893" s="243" t="s">
        <v>1621</v>
      </c>
      <c r="B1893" t="s">
        <v>4846</v>
      </c>
      <c r="C1893" t="s">
        <v>1984</v>
      </c>
      <c r="D1893" t="s">
        <v>1985</v>
      </c>
      <c r="E1893" t="s">
        <v>1560</v>
      </c>
      <c r="F1893" s="253" t="s">
        <v>1212</v>
      </c>
    </row>
    <row r="1894" spans="1:6" x14ac:dyDescent="0.2">
      <c r="A1894" s="243" t="s">
        <v>1621</v>
      </c>
      <c r="B1894" t="s">
        <v>4847</v>
      </c>
      <c r="C1894" t="s">
        <v>4848</v>
      </c>
      <c r="D1894" t="s">
        <v>4849</v>
      </c>
      <c r="E1894" t="s">
        <v>1560</v>
      </c>
      <c r="F1894" s="253" t="s">
        <v>1212</v>
      </c>
    </row>
    <row r="1895" spans="1:6" x14ac:dyDescent="0.2">
      <c r="A1895" s="243" t="s">
        <v>1621</v>
      </c>
      <c r="B1895" t="s">
        <v>4850</v>
      </c>
      <c r="C1895" t="s">
        <v>4851</v>
      </c>
      <c r="D1895" t="s">
        <v>4852</v>
      </c>
      <c r="E1895" t="s">
        <v>1560</v>
      </c>
      <c r="F1895" s="253" t="s">
        <v>1212</v>
      </c>
    </row>
    <row r="1896" spans="1:6" x14ac:dyDescent="0.2">
      <c r="A1896" s="243" t="s">
        <v>1621</v>
      </c>
      <c r="B1896" t="s">
        <v>4853</v>
      </c>
      <c r="C1896" t="s">
        <v>4854</v>
      </c>
      <c r="D1896" t="s">
        <v>4855</v>
      </c>
      <c r="E1896" t="s">
        <v>1563</v>
      </c>
      <c r="F1896" s="253" t="s">
        <v>1212</v>
      </c>
    </row>
    <row r="1897" spans="1:6" x14ac:dyDescent="0.2">
      <c r="A1897" s="243" t="s">
        <v>1621</v>
      </c>
      <c r="B1897" t="s">
        <v>4856</v>
      </c>
      <c r="C1897" t="s">
        <v>1787</v>
      </c>
      <c r="D1897" t="s">
        <v>1788</v>
      </c>
      <c r="E1897" t="s">
        <v>1563</v>
      </c>
      <c r="F1897" s="253" t="s">
        <v>1212</v>
      </c>
    </row>
    <row r="1898" spans="1:6" x14ac:dyDescent="0.2">
      <c r="A1898" s="243" t="s">
        <v>1621</v>
      </c>
      <c r="B1898" t="s">
        <v>4857</v>
      </c>
      <c r="C1898" t="s">
        <v>4858</v>
      </c>
      <c r="D1898" t="s">
        <v>4859</v>
      </c>
      <c r="E1898" t="s">
        <v>1563</v>
      </c>
      <c r="F1898" s="253" t="s">
        <v>1212</v>
      </c>
    </row>
    <row r="1899" spans="1:6" x14ac:dyDescent="0.2">
      <c r="A1899" s="243" t="s">
        <v>1621</v>
      </c>
      <c r="B1899" t="s">
        <v>4860</v>
      </c>
      <c r="C1899" t="s">
        <v>4861</v>
      </c>
      <c r="D1899" t="s">
        <v>4862</v>
      </c>
      <c r="E1899" t="s">
        <v>1563</v>
      </c>
      <c r="F1899" s="253" t="s">
        <v>1212</v>
      </c>
    </row>
    <row r="1900" spans="1:6" x14ac:dyDescent="0.2">
      <c r="A1900" s="243" t="s">
        <v>1621</v>
      </c>
      <c r="B1900" t="s">
        <v>4863</v>
      </c>
      <c r="C1900" t="s">
        <v>4864</v>
      </c>
      <c r="D1900" t="s">
        <v>4865</v>
      </c>
      <c r="E1900" t="s">
        <v>1566</v>
      </c>
      <c r="F1900" s="253" t="s">
        <v>1212</v>
      </c>
    </row>
    <row r="1901" spans="1:6" x14ac:dyDescent="0.2">
      <c r="A1901" s="243" t="s">
        <v>1621</v>
      </c>
      <c r="B1901" t="s">
        <v>4866</v>
      </c>
      <c r="C1901" t="s">
        <v>4867</v>
      </c>
      <c r="D1901" t="s">
        <v>4868</v>
      </c>
      <c r="E1901" t="s">
        <v>1566</v>
      </c>
      <c r="F1901" s="253" t="s">
        <v>1212</v>
      </c>
    </row>
    <row r="1902" spans="1:6" x14ac:dyDescent="0.2">
      <c r="A1902" s="243" t="s">
        <v>1621</v>
      </c>
      <c r="B1902" t="s">
        <v>4869</v>
      </c>
      <c r="C1902" t="s">
        <v>4870</v>
      </c>
      <c r="D1902" t="s">
        <v>4871</v>
      </c>
      <c r="E1902" t="s">
        <v>1566</v>
      </c>
      <c r="F1902" s="253" t="s">
        <v>1212</v>
      </c>
    </row>
    <row r="1903" spans="1:6" x14ac:dyDescent="0.2">
      <c r="A1903" s="243" t="s">
        <v>1621</v>
      </c>
      <c r="B1903" t="s">
        <v>4872</v>
      </c>
      <c r="C1903" t="s">
        <v>4873</v>
      </c>
      <c r="D1903" t="s">
        <v>4874</v>
      </c>
      <c r="E1903" t="s">
        <v>1566</v>
      </c>
      <c r="F1903" s="253" t="s">
        <v>1212</v>
      </c>
    </row>
    <row r="1904" spans="1:6" x14ac:dyDescent="0.2">
      <c r="A1904" s="243" t="s">
        <v>1621</v>
      </c>
      <c r="B1904" t="s">
        <v>4875</v>
      </c>
      <c r="C1904" t="s">
        <v>4876</v>
      </c>
      <c r="D1904" t="s">
        <v>4877</v>
      </c>
      <c r="E1904" t="s">
        <v>1566</v>
      </c>
      <c r="F1904" s="253" t="s">
        <v>1212</v>
      </c>
    </row>
    <row r="1905" spans="1:6" x14ac:dyDescent="0.2">
      <c r="A1905" s="243" t="s">
        <v>1621</v>
      </c>
      <c r="B1905" t="s">
        <v>4878</v>
      </c>
      <c r="C1905" t="s">
        <v>4879</v>
      </c>
      <c r="D1905" t="s">
        <v>4880</v>
      </c>
      <c r="E1905" t="s">
        <v>1566</v>
      </c>
      <c r="F1905" s="253" t="s">
        <v>1212</v>
      </c>
    </row>
    <row r="1906" spans="1:6" x14ac:dyDescent="0.2">
      <c r="A1906" s="243" t="s">
        <v>1621</v>
      </c>
      <c r="B1906" t="s">
        <v>4881</v>
      </c>
      <c r="C1906" t="s">
        <v>2322</v>
      </c>
      <c r="D1906" t="s">
        <v>2323</v>
      </c>
      <c r="E1906" t="s">
        <v>1566</v>
      </c>
      <c r="F1906" s="253" t="s">
        <v>1212</v>
      </c>
    </row>
    <row r="1907" spans="1:6" x14ac:dyDescent="0.2">
      <c r="A1907" s="243" t="s">
        <v>1621</v>
      </c>
      <c r="B1907" t="s">
        <v>4882</v>
      </c>
      <c r="C1907" t="s">
        <v>1974</v>
      </c>
      <c r="D1907" t="s">
        <v>1975</v>
      </c>
      <c r="E1907" t="s">
        <v>1566</v>
      </c>
      <c r="F1907" s="253" t="s">
        <v>1212</v>
      </c>
    </row>
    <row r="1908" spans="1:6" x14ac:dyDescent="0.2">
      <c r="A1908" s="243" t="s">
        <v>1621</v>
      </c>
      <c r="B1908" t="s">
        <v>4883</v>
      </c>
      <c r="C1908" t="s">
        <v>4884</v>
      </c>
      <c r="D1908" t="s">
        <v>4885</v>
      </c>
      <c r="E1908" t="s">
        <v>1566</v>
      </c>
      <c r="F1908" s="253" t="s">
        <v>1212</v>
      </c>
    </row>
    <row r="1909" spans="1:6" x14ac:dyDescent="0.2">
      <c r="A1909" s="243" t="s">
        <v>1621</v>
      </c>
      <c r="B1909" t="s">
        <v>4886</v>
      </c>
      <c r="C1909" t="s">
        <v>4887</v>
      </c>
      <c r="D1909" t="s">
        <v>4888</v>
      </c>
      <c r="E1909" t="s">
        <v>1566</v>
      </c>
      <c r="F1909" s="253" t="s">
        <v>1212</v>
      </c>
    </row>
    <row r="1910" spans="1:6" x14ac:dyDescent="0.2">
      <c r="A1910" s="243" t="s">
        <v>1621</v>
      </c>
      <c r="B1910" t="s">
        <v>4889</v>
      </c>
      <c r="C1910" t="s">
        <v>4890</v>
      </c>
      <c r="D1910" t="s">
        <v>4891</v>
      </c>
      <c r="E1910" t="s">
        <v>1566</v>
      </c>
      <c r="F1910" s="253" t="s">
        <v>1212</v>
      </c>
    </row>
    <row r="1911" spans="1:6" x14ac:dyDescent="0.2">
      <c r="A1911" s="243" t="s">
        <v>1621</v>
      </c>
      <c r="B1911" t="s">
        <v>4892</v>
      </c>
      <c r="C1911" t="s">
        <v>4893</v>
      </c>
      <c r="D1911" t="s">
        <v>4894</v>
      </c>
      <c r="E1911" t="s">
        <v>1566</v>
      </c>
      <c r="F1911" s="253" t="s">
        <v>1212</v>
      </c>
    </row>
    <row r="1912" spans="1:6" x14ac:dyDescent="0.2">
      <c r="A1912" s="243" t="s">
        <v>1621</v>
      </c>
      <c r="B1912" t="s">
        <v>4895</v>
      </c>
      <c r="C1912" t="s">
        <v>2865</v>
      </c>
      <c r="D1912" t="s">
        <v>2866</v>
      </c>
      <c r="E1912" t="s">
        <v>1566</v>
      </c>
      <c r="F1912" s="253" t="s">
        <v>1212</v>
      </c>
    </row>
    <row r="1913" spans="1:6" x14ac:dyDescent="0.2">
      <c r="A1913" s="243" t="s">
        <v>1621</v>
      </c>
      <c r="B1913" t="s">
        <v>4896</v>
      </c>
      <c r="C1913" t="s">
        <v>2273</v>
      </c>
      <c r="D1913" t="s">
        <v>2274</v>
      </c>
      <c r="E1913" t="s">
        <v>1566</v>
      </c>
      <c r="F1913" s="253" t="s">
        <v>1212</v>
      </c>
    </row>
    <row r="1914" spans="1:6" x14ac:dyDescent="0.2">
      <c r="A1914" s="243" t="s">
        <v>1621</v>
      </c>
      <c r="B1914" t="s">
        <v>4897</v>
      </c>
      <c r="C1914" t="s">
        <v>4898</v>
      </c>
      <c r="D1914" t="s">
        <v>4899</v>
      </c>
      <c r="E1914" t="s">
        <v>1566</v>
      </c>
      <c r="F1914" s="253" t="s">
        <v>1212</v>
      </c>
    </row>
    <row r="1915" spans="1:6" x14ac:dyDescent="0.2">
      <c r="A1915" s="243" t="s">
        <v>1621</v>
      </c>
      <c r="B1915" t="s">
        <v>4900</v>
      </c>
      <c r="C1915" t="s">
        <v>4901</v>
      </c>
      <c r="D1915" t="s">
        <v>4902</v>
      </c>
      <c r="E1915" t="s">
        <v>1569</v>
      </c>
      <c r="F1915" s="253" t="s">
        <v>1212</v>
      </c>
    </row>
    <row r="1916" spans="1:6" x14ac:dyDescent="0.2">
      <c r="A1916" s="243" t="s">
        <v>1621</v>
      </c>
      <c r="B1916" t="s">
        <v>4903</v>
      </c>
      <c r="C1916" t="s">
        <v>4904</v>
      </c>
      <c r="D1916" t="s">
        <v>4905</v>
      </c>
      <c r="E1916" t="s">
        <v>1569</v>
      </c>
      <c r="F1916" s="253" t="s">
        <v>1212</v>
      </c>
    </row>
    <row r="1917" spans="1:6" x14ac:dyDescent="0.2">
      <c r="A1917" s="243" t="s">
        <v>1621</v>
      </c>
      <c r="B1917" t="s">
        <v>4906</v>
      </c>
      <c r="C1917" t="s">
        <v>4907</v>
      </c>
      <c r="D1917" t="s">
        <v>4908</v>
      </c>
      <c r="E1917" t="s">
        <v>1569</v>
      </c>
      <c r="F1917" s="253" t="s">
        <v>1212</v>
      </c>
    </row>
    <row r="1918" spans="1:6" x14ac:dyDescent="0.2">
      <c r="A1918" s="243" t="s">
        <v>1621</v>
      </c>
      <c r="B1918" t="s">
        <v>4909</v>
      </c>
      <c r="C1918" t="s">
        <v>4910</v>
      </c>
      <c r="D1918" t="s">
        <v>4911</v>
      </c>
      <c r="E1918" t="s">
        <v>1569</v>
      </c>
      <c r="F1918" s="253" t="s">
        <v>1212</v>
      </c>
    </row>
    <row r="1919" spans="1:6" x14ac:dyDescent="0.2">
      <c r="A1919" s="243" t="s">
        <v>1621</v>
      </c>
      <c r="B1919" t="s">
        <v>4912</v>
      </c>
      <c r="C1919" t="s">
        <v>4913</v>
      </c>
      <c r="D1919" t="s">
        <v>4914</v>
      </c>
      <c r="E1919" t="s">
        <v>1569</v>
      </c>
      <c r="F1919" s="253" t="s">
        <v>1212</v>
      </c>
    </row>
    <row r="1920" spans="1:6" x14ac:dyDescent="0.2">
      <c r="A1920" s="243" t="s">
        <v>1621</v>
      </c>
      <c r="B1920" t="s">
        <v>4915</v>
      </c>
      <c r="C1920" t="s">
        <v>2245</v>
      </c>
      <c r="D1920" t="s">
        <v>2246</v>
      </c>
      <c r="E1920" t="s">
        <v>1569</v>
      </c>
      <c r="F1920" s="253" t="s">
        <v>1212</v>
      </c>
    </row>
    <row r="1921" spans="1:6" x14ac:dyDescent="0.2">
      <c r="A1921" s="243" t="s">
        <v>1621</v>
      </c>
      <c r="B1921" t="s">
        <v>4916</v>
      </c>
      <c r="C1921" t="s">
        <v>2854</v>
      </c>
      <c r="D1921" t="s">
        <v>2855</v>
      </c>
      <c r="E1921" t="s">
        <v>1569</v>
      </c>
      <c r="F1921" s="253" t="s">
        <v>1212</v>
      </c>
    </row>
    <row r="1922" spans="1:6" x14ac:dyDescent="0.2">
      <c r="A1922" s="243" t="s">
        <v>1621</v>
      </c>
      <c r="B1922" t="s">
        <v>4917</v>
      </c>
      <c r="C1922" t="s">
        <v>4918</v>
      </c>
      <c r="D1922" t="s">
        <v>4919</v>
      </c>
      <c r="E1922" t="s">
        <v>1569</v>
      </c>
      <c r="F1922" s="253" t="s">
        <v>1212</v>
      </c>
    </row>
    <row r="1923" spans="1:6" x14ac:dyDescent="0.2">
      <c r="A1923" s="243" t="s">
        <v>1621</v>
      </c>
      <c r="B1923" t="s">
        <v>4920</v>
      </c>
      <c r="C1923" t="s">
        <v>4921</v>
      </c>
      <c r="D1923" t="s">
        <v>4922</v>
      </c>
      <c r="E1923" t="s">
        <v>1569</v>
      </c>
      <c r="F1923" s="253" t="s">
        <v>1212</v>
      </c>
    </row>
    <row r="1924" spans="1:6" x14ac:dyDescent="0.2">
      <c r="A1924" s="243" t="s">
        <v>1621</v>
      </c>
      <c r="B1924" t="s">
        <v>4923</v>
      </c>
      <c r="C1924" t="s">
        <v>2361</v>
      </c>
      <c r="D1924" t="s">
        <v>2362</v>
      </c>
      <c r="E1924" t="s">
        <v>1572</v>
      </c>
      <c r="F1924" s="253" t="s">
        <v>1212</v>
      </c>
    </row>
    <row r="1925" spans="1:6" x14ac:dyDescent="0.2">
      <c r="A1925" s="243" t="s">
        <v>1621</v>
      </c>
      <c r="B1925" t="s">
        <v>4924</v>
      </c>
      <c r="C1925" t="s">
        <v>4925</v>
      </c>
      <c r="D1925" t="s">
        <v>4926</v>
      </c>
      <c r="E1925" t="s">
        <v>1572</v>
      </c>
      <c r="F1925" s="253" t="s">
        <v>1212</v>
      </c>
    </row>
    <row r="1926" spans="1:6" x14ac:dyDescent="0.2">
      <c r="A1926" s="243" t="s">
        <v>1621</v>
      </c>
      <c r="B1926" t="s">
        <v>4927</v>
      </c>
      <c r="C1926" t="s">
        <v>2605</v>
      </c>
      <c r="D1926" t="s">
        <v>2606</v>
      </c>
      <c r="E1926" t="s">
        <v>1572</v>
      </c>
      <c r="F1926" s="253" t="s">
        <v>1212</v>
      </c>
    </row>
    <row r="1927" spans="1:6" x14ac:dyDescent="0.2">
      <c r="A1927" s="243" t="s">
        <v>1621</v>
      </c>
      <c r="B1927" t="s">
        <v>4928</v>
      </c>
      <c r="C1927" t="s">
        <v>4929</v>
      </c>
      <c r="D1927" t="s">
        <v>4930</v>
      </c>
      <c r="E1927" t="s">
        <v>1572</v>
      </c>
      <c r="F1927" s="253" t="s">
        <v>1212</v>
      </c>
    </row>
    <row r="1928" spans="1:6" x14ac:dyDescent="0.2">
      <c r="A1928" s="243" t="s">
        <v>1621</v>
      </c>
      <c r="B1928" t="s">
        <v>4931</v>
      </c>
      <c r="C1928" t="s">
        <v>4932</v>
      </c>
      <c r="D1928" t="s">
        <v>4933</v>
      </c>
      <c r="E1928" t="s">
        <v>1572</v>
      </c>
      <c r="F1928" s="253" t="s">
        <v>1212</v>
      </c>
    </row>
    <row r="1929" spans="1:6" x14ac:dyDescent="0.2">
      <c r="A1929" s="243" t="s">
        <v>1621</v>
      </c>
      <c r="B1929" t="s">
        <v>4934</v>
      </c>
      <c r="C1929" t="s">
        <v>4935</v>
      </c>
      <c r="D1929" t="s">
        <v>4936</v>
      </c>
      <c r="E1929" t="s">
        <v>1572</v>
      </c>
      <c r="F1929" s="253" t="s">
        <v>1212</v>
      </c>
    </row>
    <row r="1930" spans="1:6" x14ac:dyDescent="0.2">
      <c r="A1930" s="243" t="s">
        <v>1621</v>
      </c>
      <c r="B1930" t="s">
        <v>4937</v>
      </c>
      <c r="C1930" t="s">
        <v>4938</v>
      </c>
      <c r="D1930" t="s">
        <v>4939</v>
      </c>
      <c r="E1930" t="s">
        <v>1572</v>
      </c>
      <c r="F1930" s="253" t="s">
        <v>1212</v>
      </c>
    </row>
    <row r="1931" spans="1:6" x14ac:dyDescent="0.2">
      <c r="A1931" s="243" t="s">
        <v>1621</v>
      </c>
      <c r="B1931" t="s">
        <v>4940</v>
      </c>
      <c r="C1931" t="s">
        <v>1212</v>
      </c>
      <c r="D1931" t="s">
        <v>1213</v>
      </c>
      <c r="E1931" t="s">
        <v>1572</v>
      </c>
      <c r="F1931" s="253" t="s">
        <v>1212</v>
      </c>
    </row>
    <row r="1932" spans="1:6" x14ac:dyDescent="0.2">
      <c r="A1932" s="243" t="s">
        <v>1621</v>
      </c>
      <c r="B1932" t="s">
        <v>4941</v>
      </c>
      <c r="C1932" t="s">
        <v>4942</v>
      </c>
      <c r="D1932" t="s">
        <v>4943</v>
      </c>
      <c r="E1932" t="s">
        <v>1572</v>
      </c>
      <c r="F1932" s="253" t="s">
        <v>1212</v>
      </c>
    </row>
    <row r="1933" spans="1:6" x14ac:dyDescent="0.2">
      <c r="A1933" s="243" t="s">
        <v>1621</v>
      </c>
      <c r="B1933" t="s">
        <v>4944</v>
      </c>
      <c r="C1933" t="s">
        <v>4945</v>
      </c>
      <c r="D1933" t="s">
        <v>4946</v>
      </c>
      <c r="E1933" t="s">
        <v>1572</v>
      </c>
      <c r="F1933" s="253" t="s">
        <v>1212</v>
      </c>
    </row>
    <row r="1934" spans="1:6" x14ac:dyDescent="0.2">
      <c r="A1934" s="243" t="s">
        <v>1621</v>
      </c>
      <c r="B1934" t="s">
        <v>4947</v>
      </c>
      <c r="C1934" t="s">
        <v>4948</v>
      </c>
      <c r="D1934" t="s">
        <v>4949</v>
      </c>
      <c r="E1934" t="s">
        <v>1575</v>
      </c>
      <c r="F1934" s="253" t="s">
        <v>1215</v>
      </c>
    </row>
    <row r="1935" spans="1:6" x14ac:dyDescent="0.2">
      <c r="A1935" s="243" t="s">
        <v>1621</v>
      </c>
      <c r="B1935" t="s">
        <v>4950</v>
      </c>
      <c r="C1935" t="s">
        <v>4951</v>
      </c>
      <c r="D1935" t="s">
        <v>4952</v>
      </c>
      <c r="E1935" t="s">
        <v>1575</v>
      </c>
      <c r="F1935" s="253" t="s">
        <v>1215</v>
      </c>
    </row>
    <row r="1936" spans="1:6" x14ac:dyDescent="0.2">
      <c r="A1936" s="243" t="s">
        <v>1621</v>
      </c>
      <c r="B1936" t="s">
        <v>4953</v>
      </c>
      <c r="C1936" t="s">
        <v>4954</v>
      </c>
      <c r="D1936" t="s">
        <v>4955</v>
      </c>
      <c r="E1936" t="s">
        <v>1575</v>
      </c>
      <c r="F1936" s="253" t="s">
        <v>1215</v>
      </c>
    </row>
    <row r="1937" spans="1:6" x14ac:dyDescent="0.2">
      <c r="A1937" s="243" t="s">
        <v>1621</v>
      </c>
      <c r="B1937" t="s">
        <v>4956</v>
      </c>
      <c r="C1937" t="s">
        <v>4957</v>
      </c>
      <c r="D1937" t="s">
        <v>4958</v>
      </c>
      <c r="E1937" t="s">
        <v>1575</v>
      </c>
      <c r="F1937" s="253" t="s">
        <v>1215</v>
      </c>
    </row>
    <row r="1938" spans="1:6" x14ac:dyDescent="0.2">
      <c r="A1938" s="243" t="s">
        <v>1621</v>
      </c>
      <c r="B1938" t="s">
        <v>4959</v>
      </c>
      <c r="C1938" t="s">
        <v>4960</v>
      </c>
      <c r="D1938" t="s">
        <v>4961</v>
      </c>
      <c r="E1938" t="s">
        <v>1575</v>
      </c>
      <c r="F1938" s="253" t="s">
        <v>1215</v>
      </c>
    </row>
    <row r="1939" spans="1:6" x14ac:dyDescent="0.2">
      <c r="A1939" s="243" t="s">
        <v>1621</v>
      </c>
      <c r="B1939" t="s">
        <v>4962</v>
      </c>
      <c r="C1939" t="s">
        <v>4963</v>
      </c>
      <c r="D1939" t="s">
        <v>4964</v>
      </c>
      <c r="E1939" t="s">
        <v>1575</v>
      </c>
      <c r="F1939" s="253" t="s">
        <v>1215</v>
      </c>
    </row>
    <row r="1940" spans="1:6" x14ac:dyDescent="0.2">
      <c r="A1940" s="243" t="s">
        <v>1621</v>
      </c>
      <c r="B1940" t="s">
        <v>4965</v>
      </c>
      <c r="C1940" t="s">
        <v>1971</v>
      </c>
      <c r="D1940" t="s">
        <v>1972</v>
      </c>
      <c r="E1940" t="s">
        <v>1575</v>
      </c>
      <c r="F1940" s="253" t="s">
        <v>1215</v>
      </c>
    </row>
    <row r="1941" spans="1:6" x14ac:dyDescent="0.2">
      <c r="A1941" s="243" t="s">
        <v>1621</v>
      </c>
      <c r="B1941" t="s">
        <v>4966</v>
      </c>
      <c r="C1941" t="s">
        <v>4967</v>
      </c>
      <c r="D1941" t="s">
        <v>4968</v>
      </c>
      <c r="E1941" t="s">
        <v>1575</v>
      </c>
      <c r="F1941" s="253" t="s">
        <v>1215</v>
      </c>
    </row>
    <row r="1942" spans="1:6" x14ac:dyDescent="0.2">
      <c r="A1942" s="243" t="s">
        <v>1621</v>
      </c>
      <c r="B1942" t="s">
        <v>4969</v>
      </c>
      <c r="C1942" t="s">
        <v>4970</v>
      </c>
      <c r="D1942" t="s">
        <v>4971</v>
      </c>
      <c r="E1942" t="s">
        <v>1575</v>
      </c>
      <c r="F1942" s="253" t="s">
        <v>1215</v>
      </c>
    </row>
    <row r="1943" spans="1:6" x14ac:dyDescent="0.2">
      <c r="A1943" s="243" t="s">
        <v>1621</v>
      </c>
      <c r="B1943" t="s">
        <v>4972</v>
      </c>
      <c r="C1943" t="s">
        <v>4973</v>
      </c>
      <c r="D1943" t="s">
        <v>4974</v>
      </c>
      <c r="E1943" t="s">
        <v>1575</v>
      </c>
      <c r="F1943" s="253" t="s">
        <v>1215</v>
      </c>
    </row>
    <row r="1944" spans="1:6" x14ac:dyDescent="0.2">
      <c r="A1944" s="243" t="s">
        <v>1621</v>
      </c>
      <c r="B1944" t="s">
        <v>4975</v>
      </c>
      <c r="C1944" t="s">
        <v>4976</v>
      </c>
      <c r="D1944" t="s">
        <v>4977</v>
      </c>
      <c r="E1944" t="s">
        <v>1575</v>
      </c>
      <c r="F1944" s="253" t="s">
        <v>1215</v>
      </c>
    </row>
    <row r="1945" spans="1:6" x14ac:dyDescent="0.2">
      <c r="A1945" s="243" t="s">
        <v>1621</v>
      </c>
      <c r="B1945" t="s">
        <v>4978</v>
      </c>
      <c r="C1945" t="s">
        <v>4979</v>
      </c>
      <c r="D1945" t="s">
        <v>4980</v>
      </c>
      <c r="E1945" t="s">
        <v>1575</v>
      </c>
      <c r="F1945" s="253" t="s">
        <v>1215</v>
      </c>
    </row>
    <row r="1946" spans="1:6" x14ac:dyDescent="0.2">
      <c r="A1946" s="243" t="s">
        <v>1621</v>
      </c>
      <c r="B1946" t="s">
        <v>4981</v>
      </c>
      <c r="C1946" t="s">
        <v>4982</v>
      </c>
      <c r="D1946" t="s">
        <v>4983</v>
      </c>
      <c r="E1946" t="s">
        <v>1575</v>
      </c>
      <c r="F1946" s="253" t="s">
        <v>1215</v>
      </c>
    </row>
    <row r="1947" spans="1:6" x14ac:dyDescent="0.2">
      <c r="A1947" s="243" t="s">
        <v>1621</v>
      </c>
      <c r="B1947" t="s">
        <v>4984</v>
      </c>
      <c r="C1947" t="s">
        <v>4985</v>
      </c>
      <c r="D1947" t="s">
        <v>4986</v>
      </c>
      <c r="E1947" t="s">
        <v>1575</v>
      </c>
      <c r="F1947" s="253" t="s">
        <v>1215</v>
      </c>
    </row>
    <row r="1948" spans="1:6" x14ac:dyDescent="0.2">
      <c r="A1948" s="243" t="s">
        <v>1621</v>
      </c>
      <c r="B1948" t="s">
        <v>4987</v>
      </c>
      <c r="C1948" t="s">
        <v>4988</v>
      </c>
      <c r="D1948" t="s">
        <v>4989</v>
      </c>
      <c r="E1948" t="s">
        <v>1575</v>
      </c>
      <c r="F1948" s="253" t="s">
        <v>1215</v>
      </c>
    </row>
    <row r="1949" spans="1:6" x14ac:dyDescent="0.2">
      <c r="A1949" s="243" t="s">
        <v>1621</v>
      </c>
      <c r="B1949" t="s">
        <v>4990</v>
      </c>
      <c r="C1949" t="s">
        <v>4991</v>
      </c>
      <c r="D1949" t="s">
        <v>4992</v>
      </c>
      <c r="E1949" t="s">
        <v>1578</v>
      </c>
      <c r="F1949" s="253" t="s">
        <v>1215</v>
      </c>
    </row>
    <row r="1950" spans="1:6" x14ac:dyDescent="0.2">
      <c r="A1950" s="243" t="s">
        <v>1621</v>
      </c>
      <c r="B1950" t="s">
        <v>4993</v>
      </c>
      <c r="C1950" t="s">
        <v>4994</v>
      </c>
      <c r="D1950" t="s">
        <v>4995</v>
      </c>
      <c r="E1950" t="s">
        <v>1578</v>
      </c>
      <c r="F1950" s="253" t="s">
        <v>1215</v>
      </c>
    </row>
    <row r="1951" spans="1:6" x14ac:dyDescent="0.2">
      <c r="A1951" s="243" t="s">
        <v>1621</v>
      </c>
      <c r="B1951" t="s">
        <v>4996</v>
      </c>
      <c r="C1951" t="s">
        <v>4997</v>
      </c>
      <c r="D1951" t="s">
        <v>4998</v>
      </c>
      <c r="E1951" t="s">
        <v>1578</v>
      </c>
      <c r="F1951" s="253" t="s">
        <v>1215</v>
      </c>
    </row>
    <row r="1952" spans="1:6" x14ac:dyDescent="0.2">
      <c r="A1952" s="243" t="s">
        <v>1621</v>
      </c>
      <c r="B1952" t="s">
        <v>4999</v>
      </c>
      <c r="C1952" t="s">
        <v>5000</v>
      </c>
      <c r="D1952" t="s">
        <v>5001</v>
      </c>
      <c r="E1952" t="s">
        <v>1578</v>
      </c>
      <c r="F1952" s="253" t="s">
        <v>1215</v>
      </c>
    </row>
    <row r="1953" spans="1:6" x14ac:dyDescent="0.2">
      <c r="A1953" s="243" t="s">
        <v>1621</v>
      </c>
      <c r="B1953" t="s">
        <v>5002</v>
      </c>
      <c r="C1953" t="s">
        <v>5003</v>
      </c>
      <c r="D1953" t="s">
        <v>5004</v>
      </c>
      <c r="E1953" t="s">
        <v>1578</v>
      </c>
      <c r="F1953" s="253" t="s">
        <v>1215</v>
      </c>
    </row>
    <row r="1954" spans="1:6" x14ac:dyDescent="0.2">
      <c r="A1954" s="243" t="s">
        <v>1621</v>
      </c>
      <c r="B1954" t="s">
        <v>5005</v>
      </c>
      <c r="C1954" t="s">
        <v>5006</v>
      </c>
      <c r="D1954" t="s">
        <v>5007</v>
      </c>
      <c r="E1954" t="s">
        <v>1578</v>
      </c>
      <c r="F1954" s="253" t="s">
        <v>1215</v>
      </c>
    </row>
    <row r="1955" spans="1:6" x14ac:dyDescent="0.2">
      <c r="A1955" s="243" t="s">
        <v>1621</v>
      </c>
      <c r="B1955" t="s">
        <v>5008</v>
      </c>
      <c r="C1955" t="s">
        <v>2448</v>
      </c>
      <c r="D1955" t="s">
        <v>2449</v>
      </c>
      <c r="E1955" t="s">
        <v>1578</v>
      </c>
      <c r="F1955" s="253" t="s">
        <v>1215</v>
      </c>
    </row>
    <row r="1956" spans="1:6" x14ac:dyDescent="0.2">
      <c r="A1956" s="243" t="s">
        <v>1621</v>
      </c>
      <c r="B1956" t="s">
        <v>5009</v>
      </c>
      <c r="C1956" t="s">
        <v>5010</v>
      </c>
      <c r="D1956" t="s">
        <v>5011</v>
      </c>
      <c r="E1956" t="s">
        <v>1578</v>
      </c>
      <c r="F1956" s="253" t="s">
        <v>1215</v>
      </c>
    </row>
    <row r="1957" spans="1:6" x14ac:dyDescent="0.2">
      <c r="A1957" s="243" t="s">
        <v>1621</v>
      </c>
      <c r="B1957" t="s">
        <v>5012</v>
      </c>
      <c r="C1957" t="s">
        <v>5013</v>
      </c>
      <c r="D1957" t="s">
        <v>5014</v>
      </c>
      <c r="E1957" t="s">
        <v>1578</v>
      </c>
      <c r="F1957" s="253" t="s">
        <v>1215</v>
      </c>
    </row>
    <row r="1958" spans="1:6" x14ac:dyDescent="0.2">
      <c r="A1958" s="243" t="s">
        <v>1621</v>
      </c>
      <c r="B1958" t="s">
        <v>5015</v>
      </c>
      <c r="C1958" t="s">
        <v>4161</v>
      </c>
      <c r="D1958" t="s">
        <v>4162</v>
      </c>
      <c r="E1958" t="s">
        <v>1578</v>
      </c>
      <c r="F1958" s="253" t="s">
        <v>1215</v>
      </c>
    </row>
    <row r="1959" spans="1:6" x14ac:dyDescent="0.2">
      <c r="A1959" s="243" t="s">
        <v>1621</v>
      </c>
      <c r="B1959" t="s">
        <v>5016</v>
      </c>
      <c r="C1959" t="s">
        <v>5017</v>
      </c>
      <c r="D1959" t="s">
        <v>5018</v>
      </c>
      <c r="E1959" t="s">
        <v>1578</v>
      </c>
      <c r="F1959" s="253" t="s">
        <v>1215</v>
      </c>
    </row>
    <row r="1960" spans="1:6" x14ac:dyDescent="0.2">
      <c r="A1960" s="243" t="s">
        <v>1621</v>
      </c>
      <c r="B1960" t="s">
        <v>5019</v>
      </c>
      <c r="C1960" t="s">
        <v>5020</v>
      </c>
      <c r="D1960" t="s">
        <v>5021</v>
      </c>
      <c r="E1960" t="s">
        <v>1578</v>
      </c>
      <c r="F1960" s="253" t="s">
        <v>1215</v>
      </c>
    </row>
    <row r="1961" spans="1:6" x14ac:dyDescent="0.2">
      <c r="A1961" s="243" t="s">
        <v>1621</v>
      </c>
      <c r="B1961" t="s">
        <v>5022</v>
      </c>
      <c r="C1961" t="s">
        <v>5023</v>
      </c>
      <c r="D1961" t="s">
        <v>5024</v>
      </c>
      <c r="E1961" t="s">
        <v>1578</v>
      </c>
      <c r="F1961" s="253" t="s">
        <v>1215</v>
      </c>
    </row>
    <row r="1962" spans="1:6" x14ac:dyDescent="0.2">
      <c r="A1962" s="243" t="s">
        <v>1621</v>
      </c>
      <c r="B1962" t="s">
        <v>5025</v>
      </c>
      <c r="C1962" t="s">
        <v>5026</v>
      </c>
      <c r="D1962" t="s">
        <v>5027</v>
      </c>
      <c r="E1962" t="s">
        <v>1578</v>
      </c>
      <c r="F1962" s="253" t="s">
        <v>1215</v>
      </c>
    </row>
    <row r="1963" spans="1:6" x14ac:dyDescent="0.2">
      <c r="A1963" s="243" t="s">
        <v>1621</v>
      </c>
      <c r="B1963" t="s">
        <v>5028</v>
      </c>
      <c r="C1963" t="s">
        <v>5029</v>
      </c>
      <c r="D1963" t="s">
        <v>5030</v>
      </c>
      <c r="E1963" t="s">
        <v>1578</v>
      </c>
      <c r="F1963" s="253" t="s">
        <v>1215</v>
      </c>
    </row>
    <row r="1964" spans="1:6" x14ac:dyDescent="0.2">
      <c r="A1964" s="243" t="s">
        <v>1621</v>
      </c>
      <c r="B1964" t="s">
        <v>5031</v>
      </c>
      <c r="C1964" t="s">
        <v>5032</v>
      </c>
      <c r="D1964" t="s">
        <v>5033</v>
      </c>
      <c r="E1964" t="s">
        <v>1578</v>
      </c>
      <c r="F1964" s="253" t="s">
        <v>1215</v>
      </c>
    </row>
    <row r="1965" spans="1:6" x14ac:dyDescent="0.2">
      <c r="A1965" s="243" t="s">
        <v>1621</v>
      </c>
      <c r="B1965" t="s">
        <v>5034</v>
      </c>
      <c r="C1965" t="s">
        <v>5035</v>
      </c>
      <c r="D1965" t="s">
        <v>5036</v>
      </c>
      <c r="E1965" t="s">
        <v>1578</v>
      </c>
      <c r="F1965" s="253" t="s">
        <v>1215</v>
      </c>
    </row>
    <row r="1966" spans="1:6" x14ac:dyDescent="0.2">
      <c r="A1966" s="243" t="s">
        <v>1621</v>
      </c>
      <c r="B1966" t="s">
        <v>5037</v>
      </c>
      <c r="C1966" t="s">
        <v>5038</v>
      </c>
      <c r="D1966" t="s">
        <v>5039</v>
      </c>
      <c r="E1966" t="s">
        <v>1578</v>
      </c>
      <c r="F1966" s="253" t="s">
        <v>1215</v>
      </c>
    </row>
    <row r="1967" spans="1:6" x14ac:dyDescent="0.2">
      <c r="A1967" s="243" t="s">
        <v>1621</v>
      </c>
      <c r="B1967" t="s">
        <v>5040</v>
      </c>
      <c r="C1967" t="s">
        <v>5041</v>
      </c>
      <c r="D1967" t="s">
        <v>5042</v>
      </c>
      <c r="E1967" t="s">
        <v>1578</v>
      </c>
      <c r="F1967" s="253" t="s">
        <v>1215</v>
      </c>
    </row>
    <row r="1968" spans="1:6" x14ac:dyDescent="0.2">
      <c r="A1968" s="243" t="s">
        <v>1621</v>
      </c>
      <c r="B1968" t="s">
        <v>5043</v>
      </c>
      <c r="C1968" t="s">
        <v>5044</v>
      </c>
      <c r="D1968" t="s">
        <v>5045</v>
      </c>
      <c r="E1968" t="s">
        <v>1578</v>
      </c>
      <c r="F1968" s="253" t="s">
        <v>1215</v>
      </c>
    </row>
    <row r="1969" spans="1:6" x14ac:dyDescent="0.2">
      <c r="A1969" s="243" t="s">
        <v>1621</v>
      </c>
      <c r="B1969" t="s">
        <v>5046</v>
      </c>
      <c r="C1969" t="s">
        <v>5047</v>
      </c>
      <c r="D1969" t="s">
        <v>5048</v>
      </c>
      <c r="E1969" t="s">
        <v>1578</v>
      </c>
      <c r="F1969" s="253" t="s">
        <v>1215</v>
      </c>
    </row>
    <row r="1970" spans="1:6" x14ac:dyDescent="0.2">
      <c r="A1970" s="243" t="s">
        <v>1621</v>
      </c>
      <c r="B1970" t="s">
        <v>5049</v>
      </c>
      <c r="C1970" t="s">
        <v>5050</v>
      </c>
      <c r="D1970" t="s">
        <v>5051</v>
      </c>
      <c r="E1970" t="s">
        <v>1578</v>
      </c>
      <c r="F1970" s="253" t="s">
        <v>1215</v>
      </c>
    </row>
    <row r="1971" spans="1:6" x14ac:dyDescent="0.2">
      <c r="A1971" s="243" t="s">
        <v>1621</v>
      </c>
      <c r="B1971" t="s">
        <v>5052</v>
      </c>
      <c r="C1971" t="s">
        <v>5053</v>
      </c>
      <c r="D1971" t="s">
        <v>5054</v>
      </c>
      <c r="E1971" t="s">
        <v>1578</v>
      </c>
      <c r="F1971" s="253" t="s">
        <v>1215</v>
      </c>
    </row>
    <row r="1972" spans="1:6" x14ac:dyDescent="0.2">
      <c r="A1972" s="243" t="s">
        <v>1621</v>
      </c>
      <c r="B1972" t="s">
        <v>5055</v>
      </c>
      <c r="C1972" t="s">
        <v>1215</v>
      </c>
      <c r="D1972" t="s">
        <v>1216</v>
      </c>
      <c r="E1972" t="s">
        <v>1578</v>
      </c>
      <c r="F1972" s="253" t="s">
        <v>1215</v>
      </c>
    </row>
    <row r="1973" spans="1:6" x14ac:dyDescent="0.2">
      <c r="A1973" s="243" t="s">
        <v>1621</v>
      </c>
      <c r="B1973" t="s">
        <v>5056</v>
      </c>
      <c r="C1973" t="s">
        <v>5057</v>
      </c>
      <c r="D1973" t="s">
        <v>5058</v>
      </c>
      <c r="E1973" t="s">
        <v>1578</v>
      </c>
      <c r="F1973" s="253" t="s">
        <v>1215</v>
      </c>
    </row>
    <row r="1974" spans="1:6" x14ac:dyDescent="0.2">
      <c r="A1974" s="243" t="s">
        <v>1621</v>
      </c>
      <c r="B1974" t="s">
        <v>5059</v>
      </c>
      <c r="C1974" t="s">
        <v>5060</v>
      </c>
      <c r="D1974" t="s">
        <v>5061</v>
      </c>
      <c r="E1974" t="s">
        <v>1578</v>
      </c>
      <c r="F1974" s="253" t="s">
        <v>1215</v>
      </c>
    </row>
    <row r="1975" spans="1:6" x14ac:dyDescent="0.2">
      <c r="A1975" s="243" t="s">
        <v>1621</v>
      </c>
      <c r="B1975" t="s">
        <v>5062</v>
      </c>
      <c r="C1975" t="s">
        <v>5063</v>
      </c>
      <c r="D1975" t="s">
        <v>5064</v>
      </c>
      <c r="E1975" t="s">
        <v>1578</v>
      </c>
      <c r="F1975" s="253" t="s">
        <v>1215</v>
      </c>
    </row>
    <row r="1976" spans="1:6" x14ac:dyDescent="0.2">
      <c r="A1976" s="243" t="s">
        <v>1621</v>
      </c>
      <c r="B1976" t="s">
        <v>5065</v>
      </c>
      <c r="C1976" t="s">
        <v>5066</v>
      </c>
      <c r="D1976" t="s">
        <v>5067</v>
      </c>
      <c r="E1976" t="s">
        <v>1581</v>
      </c>
      <c r="F1976" s="253" t="s">
        <v>1215</v>
      </c>
    </row>
    <row r="1977" spans="1:6" x14ac:dyDescent="0.2">
      <c r="A1977" s="243" t="s">
        <v>1621</v>
      </c>
      <c r="B1977" t="s">
        <v>5068</v>
      </c>
      <c r="C1977" t="s">
        <v>5069</v>
      </c>
      <c r="D1977" t="s">
        <v>5070</v>
      </c>
      <c r="E1977" t="s">
        <v>1581</v>
      </c>
      <c r="F1977" s="253" t="s">
        <v>1215</v>
      </c>
    </row>
    <row r="1978" spans="1:6" x14ac:dyDescent="0.2">
      <c r="A1978" s="243" t="s">
        <v>1621</v>
      </c>
      <c r="B1978" t="s">
        <v>5071</v>
      </c>
      <c r="C1978" t="s">
        <v>5072</v>
      </c>
      <c r="D1978" t="s">
        <v>5073</v>
      </c>
      <c r="E1978" t="s">
        <v>1581</v>
      </c>
      <c r="F1978" s="253" t="s">
        <v>1215</v>
      </c>
    </row>
    <row r="1979" spans="1:6" x14ac:dyDescent="0.2">
      <c r="A1979" s="243" t="s">
        <v>1621</v>
      </c>
      <c r="B1979" t="s">
        <v>5074</v>
      </c>
      <c r="C1979" t="s">
        <v>5075</v>
      </c>
      <c r="D1979" t="s">
        <v>5076</v>
      </c>
      <c r="E1979" t="s">
        <v>1581</v>
      </c>
      <c r="F1979" s="253" t="s">
        <v>1215</v>
      </c>
    </row>
    <row r="1980" spans="1:6" x14ac:dyDescent="0.2">
      <c r="A1980" s="243" t="s">
        <v>1621</v>
      </c>
      <c r="B1980" t="s">
        <v>5077</v>
      </c>
      <c r="C1980" t="s">
        <v>5078</v>
      </c>
      <c r="D1980" t="s">
        <v>5079</v>
      </c>
      <c r="E1980" t="s">
        <v>1581</v>
      </c>
      <c r="F1980" s="253" t="s">
        <v>1215</v>
      </c>
    </row>
    <row r="1981" spans="1:6" x14ac:dyDescent="0.2">
      <c r="A1981" s="243" t="s">
        <v>1621</v>
      </c>
      <c r="B1981" t="s">
        <v>5080</v>
      </c>
      <c r="C1981" t="s">
        <v>4260</v>
      </c>
      <c r="D1981" t="s">
        <v>4261</v>
      </c>
      <c r="E1981" t="s">
        <v>1581</v>
      </c>
      <c r="F1981" s="253" t="s">
        <v>1215</v>
      </c>
    </row>
    <row r="1982" spans="1:6" x14ac:dyDescent="0.2">
      <c r="A1982" s="243" t="s">
        <v>1621</v>
      </c>
      <c r="B1982" t="s">
        <v>5081</v>
      </c>
      <c r="C1982" t="s">
        <v>5082</v>
      </c>
      <c r="D1982" t="s">
        <v>5083</v>
      </c>
      <c r="E1982" t="s">
        <v>1581</v>
      </c>
      <c r="F1982" s="253" t="s">
        <v>1215</v>
      </c>
    </row>
    <row r="1983" spans="1:6" x14ac:dyDescent="0.2">
      <c r="A1983" s="243" t="s">
        <v>1621</v>
      </c>
      <c r="B1983" t="s">
        <v>5084</v>
      </c>
      <c r="C1983" t="s">
        <v>5085</v>
      </c>
      <c r="D1983" t="s">
        <v>5086</v>
      </c>
      <c r="E1983" t="s">
        <v>1581</v>
      </c>
      <c r="F1983" s="253" t="s">
        <v>1215</v>
      </c>
    </row>
    <row r="1984" spans="1:6" x14ac:dyDescent="0.2">
      <c r="A1984" s="243" t="s">
        <v>1621</v>
      </c>
      <c r="B1984" t="s">
        <v>5087</v>
      </c>
      <c r="C1984" t="s">
        <v>5088</v>
      </c>
      <c r="D1984" t="s">
        <v>5089</v>
      </c>
      <c r="E1984" t="s">
        <v>1581</v>
      </c>
      <c r="F1984" s="253" t="s">
        <v>1215</v>
      </c>
    </row>
    <row r="1985" spans="1:6" x14ac:dyDescent="0.2">
      <c r="A1985" s="243" t="s">
        <v>1621</v>
      </c>
      <c r="B1985" t="s">
        <v>5090</v>
      </c>
      <c r="C1985" t="s">
        <v>5091</v>
      </c>
      <c r="D1985" t="s">
        <v>5092</v>
      </c>
      <c r="E1985" t="s">
        <v>1581</v>
      </c>
      <c r="F1985" s="253" t="s">
        <v>1215</v>
      </c>
    </row>
    <row r="1986" spans="1:6" x14ac:dyDescent="0.2">
      <c r="A1986" s="243" t="s">
        <v>1621</v>
      </c>
      <c r="B1986" t="s">
        <v>5093</v>
      </c>
      <c r="C1986" t="s">
        <v>5094</v>
      </c>
      <c r="D1986" t="s">
        <v>5095</v>
      </c>
      <c r="E1986" t="s">
        <v>1581</v>
      </c>
      <c r="F1986" s="253" t="s">
        <v>1215</v>
      </c>
    </row>
    <row r="1987" spans="1:6" x14ac:dyDescent="0.2">
      <c r="A1987" s="243" t="s">
        <v>1621</v>
      </c>
      <c r="B1987" t="s">
        <v>5096</v>
      </c>
      <c r="C1987" t="s">
        <v>5097</v>
      </c>
      <c r="D1987" t="s">
        <v>5098</v>
      </c>
      <c r="E1987" t="s">
        <v>1581</v>
      </c>
      <c r="F1987" s="253" t="s">
        <v>1215</v>
      </c>
    </row>
    <row r="1988" spans="1:6" x14ac:dyDescent="0.2">
      <c r="A1988" s="243" t="s">
        <v>1621</v>
      </c>
      <c r="B1988" t="s">
        <v>5099</v>
      </c>
      <c r="C1988" t="s">
        <v>5100</v>
      </c>
      <c r="D1988" t="s">
        <v>5101</v>
      </c>
      <c r="E1988" t="s">
        <v>1581</v>
      </c>
      <c r="F1988" s="253" t="s">
        <v>1215</v>
      </c>
    </row>
    <row r="1989" spans="1:6" x14ac:dyDescent="0.2">
      <c r="A1989" s="243" t="s">
        <v>1621</v>
      </c>
      <c r="B1989" t="s">
        <v>5102</v>
      </c>
      <c r="C1989" t="s">
        <v>5103</v>
      </c>
      <c r="D1989" t="s">
        <v>5104</v>
      </c>
      <c r="E1989" t="s">
        <v>1581</v>
      </c>
      <c r="F1989" s="253" t="s">
        <v>1215</v>
      </c>
    </row>
    <row r="1990" spans="1:6" x14ac:dyDescent="0.2">
      <c r="A1990" s="243" t="s">
        <v>1621</v>
      </c>
      <c r="B1990" t="s">
        <v>5105</v>
      </c>
      <c r="C1990" t="s">
        <v>5106</v>
      </c>
      <c r="D1990" t="s">
        <v>5107</v>
      </c>
      <c r="E1990" t="s">
        <v>1581</v>
      </c>
      <c r="F1990" s="253" t="s">
        <v>1215</v>
      </c>
    </row>
    <row r="1991" spans="1:6" x14ac:dyDescent="0.2">
      <c r="A1991" s="243" t="s">
        <v>1621</v>
      </c>
      <c r="B1991" t="s">
        <v>5108</v>
      </c>
      <c r="C1991" t="s">
        <v>5109</v>
      </c>
      <c r="D1991" t="s">
        <v>5110</v>
      </c>
      <c r="E1991" t="s">
        <v>1581</v>
      </c>
      <c r="F1991" s="253" t="s">
        <v>1215</v>
      </c>
    </row>
    <row r="1992" spans="1:6" x14ac:dyDescent="0.2">
      <c r="A1992" s="243" t="s">
        <v>1621</v>
      </c>
      <c r="B1992" t="s">
        <v>5111</v>
      </c>
      <c r="C1992" t="s">
        <v>5112</v>
      </c>
      <c r="D1992" t="s">
        <v>5113</v>
      </c>
      <c r="E1992" t="s">
        <v>1581</v>
      </c>
      <c r="F1992" s="253" t="s">
        <v>1215</v>
      </c>
    </row>
    <row r="1993" spans="1:6" x14ac:dyDescent="0.2">
      <c r="A1993" s="243" t="s">
        <v>1621</v>
      </c>
      <c r="B1993" t="s">
        <v>5114</v>
      </c>
      <c r="C1993" t="s">
        <v>1748</v>
      </c>
      <c r="D1993" t="s">
        <v>1749</v>
      </c>
      <c r="E1993" t="s">
        <v>1581</v>
      </c>
      <c r="F1993" s="253" t="s">
        <v>1215</v>
      </c>
    </row>
    <row r="1994" spans="1:6" x14ac:dyDescent="0.2">
      <c r="A1994" s="243" t="s">
        <v>1621</v>
      </c>
      <c r="B1994" t="s">
        <v>5115</v>
      </c>
      <c r="C1994" t="s">
        <v>5116</v>
      </c>
      <c r="D1994" t="s">
        <v>5117</v>
      </c>
      <c r="E1994" t="s">
        <v>1584</v>
      </c>
      <c r="F1994" s="253" t="s">
        <v>1191</v>
      </c>
    </row>
    <row r="1995" spans="1:6" x14ac:dyDescent="0.2">
      <c r="A1995" s="243" t="s">
        <v>1621</v>
      </c>
      <c r="B1995" t="s">
        <v>5118</v>
      </c>
      <c r="C1995" t="s">
        <v>5119</v>
      </c>
      <c r="D1995" t="s">
        <v>5120</v>
      </c>
      <c r="E1995" t="s">
        <v>1584</v>
      </c>
      <c r="F1995" s="253" t="s">
        <v>1191</v>
      </c>
    </row>
    <row r="1996" spans="1:6" x14ac:dyDescent="0.2">
      <c r="A1996" s="243" t="s">
        <v>1621</v>
      </c>
      <c r="B1996" t="s">
        <v>5121</v>
      </c>
      <c r="C1996" t="s">
        <v>5122</v>
      </c>
      <c r="D1996" t="s">
        <v>5123</v>
      </c>
      <c r="E1996" t="s">
        <v>1584</v>
      </c>
      <c r="F1996" s="253" t="s">
        <v>1191</v>
      </c>
    </row>
    <row r="1997" spans="1:6" x14ac:dyDescent="0.2">
      <c r="A1997" s="243" t="s">
        <v>1621</v>
      </c>
      <c r="B1997" t="s">
        <v>5124</v>
      </c>
      <c r="C1997" t="s">
        <v>2439</v>
      </c>
      <c r="D1997" t="s">
        <v>2440</v>
      </c>
      <c r="E1997" t="s">
        <v>1584</v>
      </c>
      <c r="F1997" s="253" t="s">
        <v>1191</v>
      </c>
    </row>
    <row r="1998" spans="1:6" x14ac:dyDescent="0.2">
      <c r="A1998" s="243" t="s">
        <v>1621</v>
      </c>
      <c r="B1998" t="s">
        <v>5125</v>
      </c>
      <c r="C1998" t="s">
        <v>5126</v>
      </c>
      <c r="D1998" t="s">
        <v>5127</v>
      </c>
      <c r="E1998" t="s">
        <v>1584</v>
      </c>
      <c r="F1998" s="253" t="s">
        <v>1191</v>
      </c>
    </row>
    <row r="1999" spans="1:6" x14ac:dyDescent="0.2">
      <c r="A1999" s="243" t="s">
        <v>1621</v>
      </c>
      <c r="B1999" t="s">
        <v>5128</v>
      </c>
      <c r="C1999" t="s">
        <v>5129</v>
      </c>
      <c r="D1999" t="s">
        <v>5130</v>
      </c>
      <c r="E1999" t="s">
        <v>1584</v>
      </c>
      <c r="F1999" s="253" t="s">
        <v>1191</v>
      </c>
    </row>
    <row r="2000" spans="1:6" x14ac:dyDescent="0.2">
      <c r="A2000" s="243" t="s">
        <v>1621</v>
      </c>
      <c r="B2000" t="s">
        <v>5131</v>
      </c>
      <c r="C2000" t="s">
        <v>5132</v>
      </c>
      <c r="D2000" t="s">
        <v>5133</v>
      </c>
      <c r="E2000" t="s">
        <v>1584</v>
      </c>
      <c r="F2000" s="253" t="s">
        <v>1191</v>
      </c>
    </row>
    <row r="2001" spans="1:6" x14ac:dyDescent="0.2">
      <c r="A2001" s="243" t="s">
        <v>1621</v>
      </c>
      <c r="B2001" t="s">
        <v>5134</v>
      </c>
      <c r="C2001" t="s">
        <v>5135</v>
      </c>
      <c r="D2001" t="s">
        <v>5136</v>
      </c>
      <c r="E2001" t="s">
        <v>1584</v>
      </c>
      <c r="F2001" s="253" t="s">
        <v>1191</v>
      </c>
    </row>
    <row r="2002" spans="1:6" x14ac:dyDescent="0.2">
      <c r="A2002" s="243" t="s">
        <v>1621</v>
      </c>
      <c r="B2002" t="s">
        <v>5137</v>
      </c>
      <c r="C2002" t="s">
        <v>5138</v>
      </c>
      <c r="D2002" t="s">
        <v>5139</v>
      </c>
      <c r="E2002" t="s">
        <v>1584</v>
      </c>
      <c r="F2002" s="253" t="s">
        <v>1191</v>
      </c>
    </row>
    <row r="2003" spans="1:6" x14ac:dyDescent="0.2">
      <c r="A2003" s="243" t="s">
        <v>1621</v>
      </c>
      <c r="B2003" t="s">
        <v>5140</v>
      </c>
      <c r="C2003" t="s">
        <v>5141</v>
      </c>
      <c r="D2003" t="s">
        <v>5142</v>
      </c>
      <c r="E2003" t="s">
        <v>1584</v>
      </c>
      <c r="F2003" s="253" t="s">
        <v>1191</v>
      </c>
    </row>
    <row r="2004" spans="1:6" x14ac:dyDescent="0.2">
      <c r="A2004" s="243" t="s">
        <v>1621</v>
      </c>
      <c r="B2004" t="s">
        <v>5143</v>
      </c>
      <c r="C2004" t="s">
        <v>5144</v>
      </c>
      <c r="D2004" t="s">
        <v>5145</v>
      </c>
      <c r="E2004" t="s">
        <v>1584</v>
      </c>
      <c r="F2004" s="253" t="s">
        <v>1191</v>
      </c>
    </row>
    <row r="2005" spans="1:6" x14ac:dyDescent="0.2">
      <c r="A2005" s="243" t="s">
        <v>1621</v>
      </c>
      <c r="B2005" t="s">
        <v>5146</v>
      </c>
      <c r="C2005" t="s">
        <v>5147</v>
      </c>
      <c r="D2005" t="s">
        <v>5148</v>
      </c>
      <c r="E2005" t="s">
        <v>1584</v>
      </c>
      <c r="F2005" s="253" t="s">
        <v>1191</v>
      </c>
    </row>
    <row r="2006" spans="1:6" x14ac:dyDescent="0.2">
      <c r="A2006" s="243" t="s">
        <v>1621</v>
      </c>
      <c r="B2006" t="s">
        <v>5149</v>
      </c>
      <c r="C2006" t="s">
        <v>5150</v>
      </c>
      <c r="D2006" t="s">
        <v>5151</v>
      </c>
      <c r="E2006" t="s">
        <v>1584</v>
      </c>
      <c r="F2006" s="253" t="s">
        <v>1191</v>
      </c>
    </row>
    <row r="2007" spans="1:6" x14ac:dyDescent="0.2">
      <c r="A2007" s="243" t="s">
        <v>1621</v>
      </c>
      <c r="B2007" t="s">
        <v>5152</v>
      </c>
      <c r="C2007" t="s">
        <v>5153</v>
      </c>
      <c r="D2007" t="s">
        <v>5154</v>
      </c>
      <c r="E2007" t="s">
        <v>1584</v>
      </c>
      <c r="F2007" s="253" t="s">
        <v>1191</v>
      </c>
    </row>
    <row r="2008" spans="1:6" x14ac:dyDescent="0.2">
      <c r="A2008" s="243" t="s">
        <v>1621</v>
      </c>
      <c r="B2008" t="s">
        <v>5155</v>
      </c>
      <c r="C2008" t="s">
        <v>5156</v>
      </c>
      <c r="D2008" t="s">
        <v>5157</v>
      </c>
      <c r="E2008" t="s">
        <v>1584</v>
      </c>
      <c r="F2008" s="253" t="s">
        <v>1191</v>
      </c>
    </row>
    <row r="2009" spans="1:6" x14ac:dyDescent="0.2">
      <c r="A2009" s="243" t="s">
        <v>1621</v>
      </c>
      <c r="B2009" t="s">
        <v>5158</v>
      </c>
      <c r="C2009" t="s">
        <v>3785</v>
      </c>
      <c r="D2009" t="s">
        <v>3786</v>
      </c>
      <c r="E2009" t="s">
        <v>1584</v>
      </c>
      <c r="F2009" s="253" t="s">
        <v>1191</v>
      </c>
    </row>
    <row r="2010" spans="1:6" x14ac:dyDescent="0.2">
      <c r="A2010" s="243" t="s">
        <v>1621</v>
      </c>
      <c r="B2010" t="s">
        <v>5159</v>
      </c>
      <c r="C2010" t="s">
        <v>5160</v>
      </c>
      <c r="D2010" t="s">
        <v>5161</v>
      </c>
      <c r="E2010" t="s">
        <v>1584</v>
      </c>
      <c r="F2010" s="253" t="s">
        <v>1191</v>
      </c>
    </row>
    <row r="2011" spans="1:6" x14ac:dyDescent="0.2">
      <c r="A2011" s="243" t="s">
        <v>1621</v>
      </c>
      <c r="B2011" t="s">
        <v>5162</v>
      </c>
      <c r="C2011" t="s">
        <v>5163</v>
      </c>
      <c r="D2011" t="s">
        <v>5164</v>
      </c>
      <c r="E2011" t="s">
        <v>1587</v>
      </c>
      <c r="F2011" s="253" t="s">
        <v>1191</v>
      </c>
    </row>
    <row r="2012" spans="1:6" x14ac:dyDescent="0.2">
      <c r="A2012" s="243" t="s">
        <v>1621</v>
      </c>
      <c r="B2012" t="s">
        <v>5165</v>
      </c>
      <c r="C2012" t="s">
        <v>3711</v>
      </c>
      <c r="D2012" t="s">
        <v>3712</v>
      </c>
      <c r="E2012" t="s">
        <v>1587</v>
      </c>
      <c r="F2012" s="253" t="s">
        <v>1191</v>
      </c>
    </row>
    <row r="2013" spans="1:6" x14ac:dyDescent="0.2">
      <c r="A2013" s="243" t="s">
        <v>1621</v>
      </c>
      <c r="B2013" t="s">
        <v>5166</v>
      </c>
      <c r="C2013" t="s">
        <v>5167</v>
      </c>
      <c r="D2013" t="s">
        <v>5168</v>
      </c>
      <c r="E2013" t="s">
        <v>1587</v>
      </c>
      <c r="F2013" s="253" t="s">
        <v>1191</v>
      </c>
    </row>
    <row r="2014" spans="1:6" x14ac:dyDescent="0.2">
      <c r="A2014" s="243" t="s">
        <v>1621</v>
      </c>
      <c r="B2014" t="s">
        <v>5169</v>
      </c>
      <c r="C2014" t="s">
        <v>5170</v>
      </c>
      <c r="D2014" t="s">
        <v>5171</v>
      </c>
      <c r="E2014" t="s">
        <v>1587</v>
      </c>
      <c r="F2014" s="253" t="s">
        <v>1191</v>
      </c>
    </row>
    <row r="2015" spans="1:6" x14ac:dyDescent="0.2">
      <c r="A2015" s="243" t="s">
        <v>1621</v>
      </c>
      <c r="B2015" t="s">
        <v>5172</v>
      </c>
      <c r="C2015" t="s">
        <v>5173</v>
      </c>
      <c r="D2015" t="s">
        <v>5174</v>
      </c>
      <c r="E2015" t="s">
        <v>1587</v>
      </c>
      <c r="F2015" s="253" t="s">
        <v>1191</v>
      </c>
    </row>
    <row r="2016" spans="1:6" x14ac:dyDescent="0.2">
      <c r="A2016" s="243" t="s">
        <v>1621</v>
      </c>
      <c r="B2016" t="s">
        <v>5175</v>
      </c>
      <c r="C2016" t="s">
        <v>5176</v>
      </c>
      <c r="D2016" t="s">
        <v>5177</v>
      </c>
      <c r="E2016" t="s">
        <v>1587</v>
      </c>
      <c r="F2016" s="253" t="s">
        <v>1191</v>
      </c>
    </row>
    <row r="2017" spans="1:6" x14ac:dyDescent="0.2">
      <c r="A2017" s="243" t="s">
        <v>1621</v>
      </c>
      <c r="B2017" t="s">
        <v>5178</v>
      </c>
      <c r="C2017" t="s">
        <v>5179</v>
      </c>
      <c r="D2017" t="s">
        <v>5180</v>
      </c>
      <c r="E2017" t="s">
        <v>1587</v>
      </c>
      <c r="F2017" s="253" t="s">
        <v>1191</v>
      </c>
    </row>
    <row r="2018" spans="1:6" x14ac:dyDescent="0.2">
      <c r="A2018" s="243" t="s">
        <v>1621</v>
      </c>
      <c r="B2018" t="s">
        <v>5181</v>
      </c>
      <c r="C2018" t="s">
        <v>5182</v>
      </c>
      <c r="D2018" t="s">
        <v>5183</v>
      </c>
      <c r="E2018" t="s">
        <v>1587</v>
      </c>
      <c r="F2018" s="253" t="s">
        <v>1191</v>
      </c>
    </row>
    <row r="2019" spans="1:6" x14ac:dyDescent="0.2">
      <c r="A2019" s="243" t="s">
        <v>1621</v>
      </c>
      <c r="B2019" t="s">
        <v>5184</v>
      </c>
      <c r="C2019" t="s">
        <v>1766</v>
      </c>
      <c r="D2019" t="s">
        <v>1767</v>
      </c>
      <c r="E2019" t="s">
        <v>1587</v>
      </c>
      <c r="F2019" s="253" t="s">
        <v>1191</v>
      </c>
    </row>
    <row r="2020" spans="1:6" x14ac:dyDescent="0.2">
      <c r="A2020" s="243" t="s">
        <v>1621</v>
      </c>
      <c r="B2020" t="s">
        <v>5185</v>
      </c>
      <c r="C2020" t="s">
        <v>4942</v>
      </c>
      <c r="D2020" t="s">
        <v>4943</v>
      </c>
      <c r="E2020" t="s">
        <v>1587</v>
      </c>
      <c r="F2020" s="253" t="s">
        <v>1191</v>
      </c>
    </row>
    <row r="2021" spans="1:6" x14ac:dyDescent="0.2">
      <c r="A2021" s="243" t="s">
        <v>1621</v>
      </c>
      <c r="B2021" t="s">
        <v>5186</v>
      </c>
      <c r="C2021" t="s">
        <v>5187</v>
      </c>
      <c r="D2021" t="s">
        <v>5188</v>
      </c>
      <c r="E2021" t="s">
        <v>1587</v>
      </c>
      <c r="F2021" s="253" t="s">
        <v>1191</v>
      </c>
    </row>
    <row r="2022" spans="1:6" x14ac:dyDescent="0.2">
      <c r="A2022" s="243" t="s">
        <v>1621</v>
      </c>
      <c r="B2022" t="s">
        <v>5189</v>
      </c>
      <c r="C2022" t="s">
        <v>5190</v>
      </c>
      <c r="D2022" t="s">
        <v>5191</v>
      </c>
      <c r="E2022" t="s">
        <v>1590</v>
      </c>
      <c r="F2022" s="253" t="s">
        <v>1191</v>
      </c>
    </row>
    <row r="2023" spans="1:6" x14ac:dyDescent="0.2">
      <c r="A2023" s="243" t="s">
        <v>1621</v>
      </c>
      <c r="B2023" t="s">
        <v>5192</v>
      </c>
      <c r="C2023" t="s">
        <v>5193</v>
      </c>
      <c r="D2023" t="s">
        <v>5194</v>
      </c>
      <c r="E2023" t="s">
        <v>1590</v>
      </c>
      <c r="F2023" s="253" t="s">
        <v>1191</v>
      </c>
    </row>
    <row r="2024" spans="1:6" x14ac:dyDescent="0.2">
      <c r="A2024" s="243" t="s">
        <v>1621</v>
      </c>
      <c r="B2024" t="s">
        <v>5195</v>
      </c>
      <c r="C2024" t="s">
        <v>5196</v>
      </c>
      <c r="D2024" t="s">
        <v>5197</v>
      </c>
      <c r="E2024" t="s">
        <v>1590</v>
      </c>
      <c r="F2024" s="253" t="s">
        <v>1191</v>
      </c>
    </row>
    <row r="2025" spans="1:6" x14ac:dyDescent="0.2">
      <c r="A2025" s="243" t="s">
        <v>1621</v>
      </c>
      <c r="B2025" t="s">
        <v>5198</v>
      </c>
      <c r="C2025" t="s">
        <v>5199</v>
      </c>
      <c r="D2025" t="s">
        <v>5200</v>
      </c>
      <c r="E2025" t="s">
        <v>1590</v>
      </c>
      <c r="F2025" s="253" t="s">
        <v>1191</v>
      </c>
    </row>
    <row r="2026" spans="1:6" x14ac:dyDescent="0.2">
      <c r="A2026" s="243" t="s">
        <v>1621</v>
      </c>
      <c r="B2026" t="s">
        <v>5201</v>
      </c>
      <c r="C2026" t="s">
        <v>5202</v>
      </c>
      <c r="D2026" t="s">
        <v>5203</v>
      </c>
      <c r="E2026" t="s">
        <v>1590</v>
      </c>
      <c r="F2026" s="253" t="s">
        <v>1191</v>
      </c>
    </row>
    <row r="2027" spans="1:6" x14ac:dyDescent="0.2">
      <c r="A2027" s="243" t="s">
        <v>1621</v>
      </c>
      <c r="B2027" t="s">
        <v>5204</v>
      </c>
      <c r="C2027" t="s">
        <v>3272</v>
      </c>
      <c r="D2027" t="s">
        <v>5205</v>
      </c>
      <c r="E2027" t="s">
        <v>1590</v>
      </c>
      <c r="F2027" s="253" t="s">
        <v>1191</v>
      </c>
    </row>
    <row r="2028" spans="1:6" x14ac:dyDescent="0.2">
      <c r="A2028" s="243" t="s">
        <v>1621</v>
      </c>
      <c r="B2028" t="s">
        <v>5206</v>
      </c>
      <c r="C2028" t="s">
        <v>1687</v>
      </c>
      <c r="D2028" t="s">
        <v>1688</v>
      </c>
      <c r="E2028" t="s">
        <v>1590</v>
      </c>
      <c r="F2028" s="253" t="s">
        <v>1191</v>
      </c>
    </row>
    <row r="2029" spans="1:6" x14ac:dyDescent="0.2">
      <c r="A2029" s="243" t="s">
        <v>1621</v>
      </c>
      <c r="B2029" t="s">
        <v>5207</v>
      </c>
      <c r="C2029" t="s">
        <v>5208</v>
      </c>
      <c r="D2029" t="s">
        <v>5209</v>
      </c>
      <c r="E2029" t="s">
        <v>1590</v>
      </c>
      <c r="F2029" s="253" t="s">
        <v>1191</v>
      </c>
    </row>
    <row r="2030" spans="1:6" x14ac:dyDescent="0.2">
      <c r="A2030" s="243" t="s">
        <v>1621</v>
      </c>
      <c r="B2030" t="s">
        <v>5210</v>
      </c>
      <c r="C2030" t="s">
        <v>5211</v>
      </c>
      <c r="D2030" t="s">
        <v>5212</v>
      </c>
      <c r="E2030" t="s">
        <v>1590</v>
      </c>
      <c r="F2030" s="253" t="s">
        <v>1191</v>
      </c>
    </row>
    <row r="2031" spans="1:6" x14ac:dyDescent="0.2">
      <c r="A2031" s="243" t="s">
        <v>1621</v>
      </c>
      <c r="B2031" t="s">
        <v>5213</v>
      </c>
      <c r="C2031" t="s">
        <v>5214</v>
      </c>
      <c r="D2031" t="s">
        <v>5215</v>
      </c>
      <c r="E2031" t="s">
        <v>1590</v>
      </c>
      <c r="F2031" s="253" t="s">
        <v>1191</v>
      </c>
    </row>
    <row r="2032" spans="1:6" x14ac:dyDescent="0.2">
      <c r="A2032" s="243" t="s">
        <v>1621</v>
      </c>
      <c r="B2032" t="s">
        <v>5216</v>
      </c>
      <c r="C2032" t="s">
        <v>5217</v>
      </c>
      <c r="D2032" t="s">
        <v>5218</v>
      </c>
      <c r="E2032" t="s">
        <v>1590</v>
      </c>
      <c r="F2032" s="253" t="s">
        <v>1191</v>
      </c>
    </row>
    <row r="2033" spans="1:6" x14ac:dyDescent="0.2">
      <c r="A2033" s="243" t="s">
        <v>1621</v>
      </c>
      <c r="B2033" t="s">
        <v>5219</v>
      </c>
      <c r="C2033" t="s">
        <v>5220</v>
      </c>
      <c r="D2033" t="s">
        <v>5221</v>
      </c>
      <c r="E2033" t="s">
        <v>1590</v>
      </c>
      <c r="F2033" s="253" t="s">
        <v>1191</v>
      </c>
    </row>
    <row r="2034" spans="1:6" x14ac:dyDescent="0.2">
      <c r="A2034" s="243" t="s">
        <v>1621</v>
      </c>
      <c r="B2034" t="s">
        <v>5222</v>
      </c>
      <c r="C2034" t="s">
        <v>5223</v>
      </c>
      <c r="D2034" t="s">
        <v>5224</v>
      </c>
      <c r="E2034" t="s">
        <v>1593</v>
      </c>
      <c r="F2034" s="253" t="s">
        <v>1191</v>
      </c>
    </row>
    <row r="2035" spans="1:6" x14ac:dyDescent="0.2">
      <c r="A2035" s="243" t="s">
        <v>1621</v>
      </c>
      <c r="B2035" t="s">
        <v>5225</v>
      </c>
      <c r="C2035" t="s">
        <v>5226</v>
      </c>
      <c r="D2035" t="s">
        <v>5227</v>
      </c>
      <c r="E2035" t="s">
        <v>1593</v>
      </c>
      <c r="F2035" s="253" t="s">
        <v>1191</v>
      </c>
    </row>
    <row r="2036" spans="1:6" x14ac:dyDescent="0.2">
      <c r="A2036" s="243" t="s">
        <v>1621</v>
      </c>
      <c r="B2036" t="s">
        <v>5228</v>
      </c>
      <c r="C2036" t="s">
        <v>5229</v>
      </c>
      <c r="D2036" t="s">
        <v>5230</v>
      </c>
      <c r="E2036" t="s">
        <v>1593</v>
      </c>
      <c r="F2036" s="253" t="s">
        <v>1191</v>
      </c>
    </row>
    <row r="2037" spans="1:6" x14ac:dyDescent="0.2">
      <c r="A2037" s="243" t="s">
        <v>1621</v>
      </c>
      <c r="B2037" t="s">
        <v>5231</v>
      </c>
      <c r="C2037" t="s">
        <v>5232</v>
      </c>
      <c r="D2037" t="s">
        <v>5233</v>
      </c>
      <c r="E2037" t="s">
        <v>1593</v>
      </c>
      <c r="F2037" s="253" t="s">
        <v>1191</v>
      </c>
    </row>
    <row r="2038" spans="1:6" x14ac:dyDescent="0.2">
      <c r="A2038" s="243" t="s">
        <v>1621</v>
      </c>
      <c r="B2038" t="s">
        <v>5234</v>
      </c>
      <c r="C2038" t="s">
        <v>5235</v>
      </c>
      <c r="D2038" t="s">
        <v>5236</v>
      </c>
      <c r="E2038" t="s">
        <v>1593</v>
      </c>
      <c r="F2038" s="253" t="s">
        <v>1191</v>
      </c>
    </row>
    <row r="2039" spans="1:6" x14ac:dyDescent="0.2">
      <c r="A2039" s="243" t="s">
        <v>1621</v>
      </c>
      <c r="B2039" t="s">
        <v>5237</v>
      </c>
      <c r="C2039" t="s">
        <v>1929</v>
      </c>
      <c r="D2039" t="s">
        <v>1930</v>
      </c>
      <c r="E2039" t="s">
        <v>1593</v>
      </c>
      <c r="F2039" s="253" t="s">
        <v>1191</v>
      </c>
    </row>
    <row r="2040" spans="1:6" x14ac:dyDescent="0.2">
      <c r="A2040" s="243" t="s">
        <v>1621</v>
      </c>
      <c r="B2040" t="s">
        <v>5238</v>
      </c>
      <c r="C2040" t="s">
        <v>2036</v>
      </c>
      <c r="D2040" t="s">
        <v>2037</v>
      </c>
      <c r="E2040" t="s">
        <v>1593</v>
      </c>
      <c r="F2040" s="253" t="s">
        <v>1191</v>
      </c>
    </row>
    <row r="2041" spans="1:6" x14ac:dyDescent="0.2">
      <c r="A2041" s="243" t="s">
        <v>1621</v>
      </c>
      <c r="B2041" t="s">
        <v>5239</v>
      </c>
      <c r="C2041" t="s">
        <v>5240</v>
      </c>
      <c r="D2041" t="s">
        <v>5241</v>
      </c>
      <c r="E2041" t="s">
        <v>1593</v>
      </c>
      <c r="F2041" s="253" t="s">
        <v>1191</v>
      </c>
    </row>
    <row r="2042" spans="1:6" x14ac:dyDescent="0.2">
      <c r="A2042" s="243" t="s">
        <v>1621</v>
      </c>
      <c r="B2042" t="s">
        <v>5242</v>
      </c>
      <c r="C2042" t="s">
        <v>5243</v>
      </c>
      <c r="D2042" t="s">
        <v>5244</v>
      </c>
      <c r="E2042" t="s">
        <v>1593</v>
      </c>
      <c r="F2042" s="253" t="s">
        <v>1191</v>
      </c>
    </row>
    <row r="2043" spans="1:6" x14ac:dyDescent="0.2">
      <c r="A2043" s="243" t="s">
        <v>1621</v>
      </c>
      <c r="B2043" t="s">
        <v>5245</v>
      </c>
      <c r="C2043" t="s">
        <v>5246</v>
      </c>
      <c r="D2043" t="s">
        <v>5247</v>
      </c>
      <c r="E2043" t="s">
        <v>1593</v>
      </c>
      <c r="F2043" s="253" t="s">
        <v>1191</v>
      </c>
    </row>
    <row r="2044" spans="1:6" x14ac:dyDescent="0.2">
      <c r="A2044" s="243" t="s">
        <v>1621</v>
      </c>
      <c r="B2044" t="s">
        <v>5248</v>
      </c>
      <c r="C2044" t="s">
        <v>5249</v>
      </c>
      <c r="D2044" t="s">
        <v>5250</v>
      </c>
      <c r="E2044" t="s">
        <v>1593</v>
      </c>
      <c r="F2044" s="253" t="s">
        <v>1191</v>
      </c>
    </row>
    <row r="2045" spans="1:6" x14ac:dyDescent="0.2">
      <c r="A2045" s="243" t="s">
        <v>1621</v>
      </c>
      <c r="B2045" t="s">
        <v>5251</v>
      </c>
      <c r="C2045" t="s">
        <v>5252</v>
      </c>
      <c r="D2045" t="s">
        <v>5253</v>
      </c>
      <c r="E2045" t="s">
        <v>1593</v>
      </c>
      <c r="F2045" s="253" t="s">
        <v>1191</v>
      </c>
    </row>
    <row r="2046" spans="1:6" x14ac:dyDescent="0.2">
      <c r="A2046" s="243" t="s">
        <v>1621</v>
      </c>
      <c r="B2046" t="s">
        <v>5254</v>
      </c>
      <c r="C2046" t="s">
        <v>2822</v>
      </c>
      <c r="D2046" t="s">
        <v>2823</v>
      </c>
      <c r="E2046" t="s">
        <v>1593</v>
      </c>
      <c r="F2046" s="253" t="s">
        <v>1191</v>
      </c>
    </row>
    <row r="2047" spans="1:6" x14ac:dyDescent="0.2">
      <c r="A2047" s="243" t="s">
        <v>1621</v>
      </c>
      <c r="B2047" t="s">
        <v>5255</v>
      </c>
      <c r="C2047" t="s">
        <v>5256</v>
      </c>
      <c r="D2047" t="s">
        <v>5257</v>
      </c>
      <c r="E2047" t="s">
        <v>1593</v>
      </c>
      <c r="F2047" s="253" t="s">
        <v>1191</v>
      </c>
    </row>
    <row r="2048" spans="1:6" x14ac:dyDescent="0.2">
      <c r="A2048" s="243" t="s">
        <v>1621</v>
      </c>
      <c r="B2048" t="s">
        <v>5258</v>
      </c>
      <c r="C2048" t="s">
        <v>5259</v>
      </c>
      <c r="D2048" t="s">
        <v>5260</v>
      </c>
      <c r="E2048" t="s">
        <v>1593</v>
      </c>
      <c r="F2048" s="253" t="s">
        <v>1191</v>
      </c>
    </row>
    <row r="2049" spans="1:6" x14ac:dyDescent="0.2">
      <c r="A2049" s="243" t="s">
        <v>1621</v>
      </c>
      <c r="B2049" t="s">
        <v>5261</v>
      </c>
      <c r="C2049" t="s">
        <v>5262</v>
      </c>
      <c r="D2049" t="s">
        <v>5263</v>
      </c>
      <c r="E2049" t="s">
        <v>1593</v>
      </c>
      <c r="F2049" s="253" t="s">
        <v>1191</v>
      </c>
    </row>
    <row r="2050" spans="1:6" x14ac:dyDescent="0.2">
      <c r="A2050" s="243" t="s">
        <v>1621</v>
      </c>
      <c r="B2050" t="s">
        <v>5264</v>
      </c>
      <c r="C2050" t="s">
        <v>5265</v>
      </c>
      <c r="D2050" t="s">
        <v>5266</v>
      </c>
      <c r="E2050" t="s">
        <v>1593</v>
      </c>
      <c r="F2050" s="253" t="s">
        <v>1191</v>
      </c>
    </row>
    <row r="2051" spans="1:6" x14ac:dyDescent="0.2">
      <c r="A2051" s="243" t="s">
        <v>1621</v>
      </c>
      <c r="B2051" t="s">
        <v>5267</v>
      </c>
      <c r="C2051" t="s">
        <v>5268</v>
      </c>
      <c r="D2051" t="s">
        <v>5269</v>
      </c>
      <c r="E2051" t="s">
        <v>1593</v>
      </c>
      <c r="F2051" s="253" t="s">
        <v>1191</v>
      </c>
    </row>
    <row r="2052" spans="1:6" x14ac:dyDescent="0.2">
      <c r="A2052" s="243" t="s">
        <v>1621</v>
      </c>
      <c r="B2052" t="s">
        <v>5270</v>
      </c>
      <c r="C2052" t="s">
        <v>5271</v>
      </c>
      <c r="D2052" t="s">
        <v>5272</v>
      </c>
      <c r="E2052" t="s">
        <v>1593</v>
      </c>
      <c r="F2052" s="253" t="s">
        <v>1191</v>
      </c>
    </row>
    <row r="2053" spans="1:6" x14ac:dyDescent="0.2">
      <c r="A2053" s="243" t="s">
        <v>1621</v>
      </c>
      <c r="B2053" t="s">
        <v>5273</v>
      </c>
      <c r="C2053" t="s">
        <v>5274</v>
      </c>
      <c r="D2053" t="s">
        <v>5275</v>
      </c>
      <c r="E2053" t="s">
        <v>1593</v>
      </c>
      <c r="F2053" s="253" t="s">
        <v>1191</v>
      </c>
    </row>
    <row r="2054" spans="1:6" x14ac:dyDescent="0.2">
      <c r="A2054" s="243" t="s">
        <v>1621</v>
      </c>
      <c r="B2054" t="s">
        <v>5276</v>
      </c>
      <c r="C2054" t="s">
        <v>5277</v>
      </c>
      <c r="D2054" t="s">
        <v>5278</v>
      </c>
      <c r="E2054" t="s">
        <v>1593</v>
      </c>
      <c r="F2054" s="253" t="s">
        <v>1191</v>
      </c>
    </row>
    <row r="2055" spans="1:6" x14ac:dyDescent="0.2">
      <c r="A2055" s="243" t="s">
        <v>1621</v>
      </c>
      <c r="B2055" t="s">
        <v>5279</v>
      </c>
      <c r="C2055" t="s">
        <v>5280</v>
      </c>
      <c r="D2055" t="s">
        <v>5281</v>
      </c>
      <c r="E2055" t="s">
        <v>1593</v>
      </c>
      <c r="F2055" s="253" t="s">
        <v>1191</v>
      </c>
    </row>
    <row r="2056" spans="1:6" x14ac:dyDescent="0.2">
      <c r="A2056" s="243" t="s">
        <v>1621</v>
      </c>
      <c r="B2056" t="s">
        <v>5282</v>
      </c>
      <c r="C2056" t="s">
        <v>2150</v>
      </c>
      <c r="D2056" t="s">
        <v>2151</v>
      </c>
      <c r="E2056" t="s">
        <v>1593</v>
      </c>
      <c r="F2056" s="253" t="s">
        <v>1191</v>
      </c>
    </row>
    <row r="2057" spans="1:6" x14ac:dyDescent="0.2">
      <c r="A2057" s="243" t="s">
        <v>1621</v>
      </c>
      <c r="B2057" t="s">
        <v>5283</v>
      </c>
      <c r="C2057" t="s">
        <v>5284</v>
      </c>
      <c r="D2057" t="s">
        <v>5285</v>
      </c>
      <c r="E2057" t="s">
        <v>1593</v>
      </c>
      <c r="F2057" s="253" t="s">
        <v>1191</v>
      </c>
    </row>
    <row r="2058" spans="1:6" x14ac:dyDescent="0.2">
      <c r="A2058" s="243" t="s">
        <v>1621</v>
      </c>
      <c r="B2058" t="s">
        <v>5286</v>
      </c>
      <c r="C2058" t="s">
        <v>1191</v>
      </c>
      <c r="D2058" t="s">
        <v>1192</v>
      </c>
      <c r="E2058" t="s">
        <v>1593</v>
      </c>
      <c r="F2058" s="253" t="s">
        <v>1191</v>
      </c>
    </row>
    <row r="2059" spans="1:6" x14ac:dyDescent="0.2">
      <c r="A2059" s="243" t="s">
        <v>1621</v>
      </c>
      <c r="B2059" t="s">
        <v>5287</v>
      </c>
      <c r="C2059" t="s">
        <v>5288</v>
      </c>
      <c r="D2059" t="s">
        <v>5289</v>
      </c>
      <c r="E2059" t="s">
        <v>1593</v>
      </c>
      <c r="F2059" s="253" t="s">
        <v>1191</v>
      </c>
    </row>
    <row r="2060" spans="1:6" x14ac:dyDescent="0.2">
      <c r="A2060" s="243" t="s">
        <v>1621</v>
      </c>
      <c r="B2060" t="s">
        <v>5290</v>
      </c>
      <c r="C2060" t="s">
        <v>5291</v>
      </c>
      <c r="D2060" t="s">
        <v>5292</v>
      </c>
      <c r="E2060" t="s">
        <v>1596</v>
      </c>
      <c r="F2060" s="253" t="s">
        <v>1197</v>
      </c>
    </row>
    <row r="2061" spans="1:6" x14ac:dyDescent="0.2">
      <c r="A2061" s="243" t="s">
        <v>1621</v>
      </c>
      <c r="B2061" t="s">
        <v>5293</v>
      </c>
      <c r="C2061" t="s">
        <v>5294</v>
      </c>
      <c r="D2061" t="s">
        <v>5295</v>
      </c>
      <c r="E2061" t="s">
        <v>1596</v>
      </c>
      <c r="F2061" s="253" t="s">
        <v>1197</v>
      </c>
    </row>
    <row r="2062" spans="1:6" x14ac:dyDescent="0.2">
      <c r="A2062" s="243" t="s">
        <v>1621</v>
      </c>
      <c r="B2062" t="s">
        <v>5296</v>
      </c>
      <c r="C2062" t="s">
        <v>5297</v>
      </c>
      <c r="D2062" t="s">
        <v>5298</v>
      </c>
      <c r="E2062" t="s">
        <v>1596</v>
      </c>
      <c r="F2062" s="253" t="s">
        <v>1197</v>
      </c>
    </row>
    <row r="2063" spans="1:6" x14ac:dyDescent="0.2">
      <c r="A2063" s="243" t="s">
        <v>1621</v>
      </c>
      <c r="B2063" t="s">
        <v>5299</v>
      </c>
      <c r="C2063" t="s">
        <v>5300</v>
      </c>
      <c r="D2063" t="s">
        <v>5301</v>
      </c>
      <c r="E2063" t="s">
        <v>1596</v>
      </c>
      <c r="F2063" s="253" t="s">
        <v>1197</v>
      </c>
    </row>
    <row r="2064" spans="1:6" x14ac:dyDescent="0.2">
      <c r="A2064" s="243" t="s">
        <v>1621</v>
      </c>
      <c r="B2064" t="s">
        <v>5302</v>
      </c>
      <c r="C2064" t="s">
        <v>5303</v>
      </c>
      <c r="D2064" t="s">
        <v>5304</v>
      </c>
      <c r="E2064" t="s">
        <v>1596</v>
      </c>
      <c r="F2064" s="253" t="s">
        <v>1197</v>
      </c>
    </row>
    <row r="2065" spans="1:6" x14ac:dyDescent="0.2">
      <c r="A2065" s="243" t="s">
        <v>1621</v>
      </c>
      <c r="B2065" t="s">
        <v>5305</v>
      </c>
      <c r="C2065" t="s">
        <v>5306</v>
      </c>
      <c r="D2065" t="s">
        <v>5307</v>
      </c>
      <c r="E2065" t="s">
        <v>1596</v>
      </c>
      <c r="F2065" s="253" t="s">
        <v>1197</v>
      </c>
    </row>
    <row r="2066" spans="1:6" x14ac:dyDescent="0.2">
      <c r="A2066" s="243" t="s">
        <v>1621</v>
      </c>
      <c r="B2066" t="s">
        <v>5308</v>
      </c>
      <c r="C2066" t="s">
        <v>5309</v>
      </c>
      <c r="D2066" t="s">
        <v>5310</v>
      </c>
      <c r="E2066" t="s">
        <v>1596</v>
      </c>
      <c r="F2066" s="253" t="s">
        <v>1197</v>
      </c>
    </row>
    <row r="2067" spans="1:6" x14ac:dyDescent="0.2">
      <c r="A2067" s="243" t="s">
        <v>1621</v>
      </c>
      <c r="B2067" t="s">
        <v>5311</v>
      </c>
      <c r="C2067" t="s">
        <v>5312</v>
      </c>
      <c r="D2067" t="s">
        <v>5313</v>
      </c>
      <c r="E2067" t="s">
        <v>1596</v>
      </c>
      <c r="F2067" s="253" t="s">
        <v>1197</v>
      </c>
    </row>
    <row r="2068" spans="1:6" x14ac:dyDescent="0.2">
      <c r="A2068" s="243" t="s">
        <v>1621</v>
      </c>
      <c r="B2068" t="s">
        <v>5314</v>
      </c>
      <c r="C2068" t="s">
        <v>5315</v>
      </c>
      <c r="D2068" t="s">
        <v>5316</v>
      </c>
      <c r="E2068" t="s">
        <v>1596</v>
      </c>
      <c r="F2068" s="253" t="s">
        <v>1197</v>
      </c>
    </row>
    <row r="2069" spans="1:6" x14ac:dyDescent="0.2">
      <c r="A2069" s="243" t="s">
        <v>1621</v>
      </c>
      <c r="B2069" t="s">
        <v>5317</v>
      </c>
      <c r="C2069" t="s">
        <v>5318</v>
      </c>
      <c r="D2069" t="s">
        <v>5319</v>
      </c>
      <c r="E2069" t="s">
        <v>1599</v>
      </c>
      <c r="F2069" s="253" t="s">
        <v>1197</v>
      </c>
    </row>
    <row r="2070" spans="1:6" x14ac:dyDescent="0.2">
      <c r="A2070" s="243" t="s">
        <v>1621</v>
      </c>
      <c r="B2070" t="s">
        <v>5320</v>
      </c>
      <c r="C2070" t="s">
        <v>5321</v>
      </c>
      <c r="D2070" t="s">
        <v>5322</v>
      </c>
      <c r="E2070" t="s">
        <v>1599</v>
      </c>
      <c r="F2070" s="253" t="s">
        <v>1197</v>
      </c>
    </row>
    <row r="2071" spans="1:6" x14ac:dyDescent="0.2">
      <c r="A2071" s="243" t="s">
        <v>1621</v>
      </c>
      <c r="B2071" t="s">
        <v>5323</v>
      </c>
      <c r="C2071" t="s">
        <v>5324</v>
      </c>
      <c r="D2071" t="s">
        <v>5325</v>
      </c>
      <c r="E2071" t="s">
        <v>1599</v>
      </c>
      <c r="F2071" s="253" t="s">
        <v>1197</v>
      </c>
    </row>
    <row r="2072" spans="1:6" x14ac:dyDescent="0.2">
      <c r="A2072" s="243" t="s">
        <v>1621</v>
      </c>
      <c r="B2072" t="s">
        <v>5326</v>
      </c>
      <c r="C2072" t="s">
        <v>5327</v>
      </c>
      <c r="D2072" t="s">
        <v>5328</v>
      </c>
      <c r="E2072" t="s">
        <v>1599</v>
      </c>
      <c r="F2072" s="253" t="s">
        <v>1197</v>
      </c>
    </row>
    <row r="2073" spans="1:6" x14ac:dyDescent="0.2">
      <c r="A2073" s="243" t="s">
        <v>1621</v>
      </c>
      <c r="B2073" t="s">
        <v>5329</v>
      </c>
      <c r="C2073" t="s">
        <v>5330</v>
      </c>
      <c r="D2073" t="s">
        <v>5331</v>
      </c>
      <c r="E2073" t="s">
        <v>1599</v>
      </c>
      <c r="F2073" s="253" t="s">
        <v>1197</v>
      </c>
    </row>
    <row r="2074" spans="1:6" x14ac:dyDescent="0.2">
      <c r="A2074" s="243" t="s">
        <v>1621</v>
      </c>
      <c r="B2074" t="s">
        <v>5332</v>
      </c>
      <c r="C2074" t="s">
        <v>5333</v>
      </c>
      <c r="D2074" t="s">
        <v>5334</v>
      </c>
      <c r="E2074" t="s">
        <v>1599</v>
      </c>
      <c r="F2074" s="253" t="s">
        <v>1197</v>
      </c>
    </row>
    <row r="2075" spans="1:6" x14ac:dyDescent="0.2">
      <c r="A2075" s="243" t="s">
        <v>1621</v>
      </c>
      <c r="B2075" t="s">
        <v>5335</v>
      </c>
      <c r="C2075" t="s">
        <v>5336</v>
      </c>
      <c r="D2075" t="s">
        <v>5337</v>
      </c>
      <c r="E2075" t="s">
        <v>1599</v>
      </c>
      <c r="F2075" s="253" t="s">
        <v>1197</v>
      </c>
    </row>
    <row r="2076" spans="1:6" x14ac:dyDescent="0.2">
      <c r="A2076" s="243" t="s">
        <v>1621</v>
      </c>
      <c r="B2076" t="s">
        <v>5338</v>
      </c>
      <c r="C2076" t="s">
        <v>5339</v>
      </c>
      <c r="D2076" t="s">
        <v>5340</v>
      </c>
      <c r="E2076" t="s">
        <v>1599</v>
      </c>
      <c r="F2076" s="253" t="s">
        <v>1197</v>
      </c>
    </row>
    <row r="2077" spans="1:6" x14ac:dyDescent="0.2">
      <c r="A2077" s="243" t="s">
        <v>1621</v>
      </c>
      <c r="B2077" t="s">
        <v>5341</v>
      </c>
      <c r="C2077" t="s">
        <v>5342</v>
      </c>
      <c r="D2077" t="s">
        <v>5343</v>
      </c>
      <c r="E2077" t="s">
        <v>1599</v>
      </c>
      <c r="F2077" s="253" t="s">
        <v>1197</v>
      </c>
    </row>
    <row r="2078" spans="1:6" x14ac:dyDescent="0.2">
      <c r="A2078" s="243" t="s">
        <v>1621</v>
      </c>
      <c r="B2078" t="s">
        <v>5344</v>
      </c>
      <c r="C2078" t="s">
        <v>5345</v>
      </c>
      <c r="D2078" t="s">
        <v>5346</v>
      </c>
      <c r="E2078" t="s">
        <v>1599</v>
      </c>
      <c r="F2078" s="253" t="s">
        <v>1197</v>
      </c>
    </row>
    <row r="2079" spans="1:6" x14ac:dyDescent="0.2">
      <c r="A2079" s="243" t="s">
        <v>1621</v>
      </c>
      <c r="B2079" t="s">
        <v>5347</v>
      </c>
      <c r="C2079" t="s">
        <v>5348</v>
      </c>
      <c r="D2079" t="s">
        <v>5349</v>
      </c>
      <c r="E2079" t="s">
        <v>1602</v>
      </c>
      <c r="F2079" s="253" t="s">
        <v>1197</v>
      </c>
    </row>
    <row r="2080" spans="1:6" x14ac:dyDescent="0.2">
      <c r="A2080" s="243" t="s">
        <v>1621</v>
      </c>
      <c r="B2080" t="s">
        <v>5350</v>
      </c>
      <c r="C2080" t="s">
        <v>5351</v>
      </c>
      <c r="D2080" t="s">
        <v>5352</v>
      </c>
      <c r="E2080" t="s">
        <v>1602</v>
      </c>
      <c r="F2080" s="253" t="s">
        <v>1197</v>
      </c>
    </row>
    <row r="2081" spans="1:6" x14ac:dyDescent="0.2">
      <c r="A2081" s="243" t="s">
        <v>1621</v>
      </c>
      <c r="B2081" t="s">
        <v>5353</v>
      </c>
      <c r="C2081" t="s">
        <v>5354</v>
      </c>
      <c r="D2081" t="s">
        <v>5355</v>
      </c>
      <c r="E2081" t="s">
        <v>1602</v>
      </c>
      <c r="F2081" s="253" t="s">
        <v>1197</v>
      </c>
    </row>
    <row r="2082" spans="1:6" x14ac:dyDescent="0.2">
      <c r="A2082" s="243" t="s">
        <v>1621</v>
      </c>
      <c r="B2082" t="s">
        <v>5356</v>
      </c>
      <c r="C2082" t="s">
        <v>5357</v>
      </c>
      <c r="D2082" t="s">
        <v>5358</v>
      </c>
      <c r="E2082" t="s">
        <v>1602</v>
      </c>
      <c r="F2082" s="253" t="s">
        <v>1197</v>
      </c>
    </row>
    <row r="2083" spans="1:6" x14ac:dyDescent="0.2">
      <c r="A2083" s="243" t="s">
        <v>1621</v>
      </c>
      <c r="B2083" t="s">
        <v>5359</v>
      </c>
      <c r="C2083" t="s">
        <v>5360</v>
      </c>
      <c r="D2083" t="s">
        <v>5361</v>
      </c>
      <c r="E2083" t="s">
        <v>1602</v>
      </c>
      <c r="F2083" s="253" t="s">
        <v>1197</v>
      </c>
    </row>
    <row r="2084" spans="1:6" x14ac:dyDescent="0.2">
      <c r="A2084" s="243" t="s">
        <v>1621</v>
      </c>
      <c r="B2084" t="s">
        <v>5362</v>
      </c>
      <c r="C2084" t="s">
        <v>5363</v>
      </c>
      <c r="D2084" t="s">
        <v>5364</v>
      </c>
      <c r="E2084" t="s">
        <v>1602</v>
      </c>
      <c r="F2084" s="253" t="s">
        <v>1197</v>
      </c>
    </row>
    <row r="2085" spans="1:6" x14ac:dyDescent="0.2">
      <c r="A2085" s="243" t="s">
        <v>1621</v>
      </c>
      <c r="B2085" t="s">
        <v>5365</v>
      </c>
      <c r="C2085" t="s">
        <v>5366</v>
      </c>
      <c r="D2085" t="s">
        <v>5367</v>
      </c>
      <c r="E2085" t="s">
        <v>1602</v>
      </c>
      <c r="F2085" s="253" t="s">
        <v>1197</v>
      </c>
    </row>
    <row r="2086" spans="1:6" x14ac:dyDescent="0.2">
      <c r="A2086" s="243" t="s">
        <v>1621</v>
      </c>
      <c r="B2086" t="s">
        <v>5368</v>
      </c>
      <c r="C2086" t="s">
        <v>5369</v>
      </c>
      <c r="D2086" t="s">
        <v>5370</v>
      </c>
      <c r="E2086" t="s">
        <v>1602</v>
      </c>
      <c r="F2086" s="253" t="s">
        <v>1197</v>
      </c>
    </row>
    <row r="2087" spans="1:6" x14ac:dyDescent="0.2">
      <c r="A2087" s="243" t="s">
        <v>1621</v>
      </c>
      <c r="B2087" t="s">
        <v>5371</v>
      </c>
      <c r="C2087" t="s">
        <v>5372</v>
      </c>
      <c r="D2087" t="s">
        <v>5373</v>
      </c>
      <c r="E2087" t="s">
        <v>1602</v>
      </c>
      <c r="F2087" s="253" t="s">
        <v>1197</v>
      </c>
    </row>
    <row r="2088" spans="1:6" x14ac:dyDescent="0.2">
      <c r="A2088" s="243" t="s">
        <v>1621</v>
      </c>
      <c r="B2088" t="s">
        <v>5374</v>
      </c>
      <c r="C2088" t="s">
        <v>5375</v>
      </c>
      <c r="D2088" t="s">
        <v>5376</v>
      </c>
      <c r="E2088" t="s">
        <v>1602</v>
      </c>
      <c r="F2088" s="253" t="s">
        <v>1197</v>
      </c>
    </row>
    <row r="2089" spans="1:6" x14ac:dyDescent="0.2">
      <c r="A2089" s="243" t="s">
        <v>1621</v>
      </c>
      <c r="B2089" t="s">
        <v>5377</v>
      </c>
      <c r="C2089" t="s">
        <v>5378</v>
      </c>
      <c r="D2089" t="s">
        <v>5379</v>
      </c>
      <c r="E2089" t="s">
        <v>1602</v>
      </c>
      <c r="F2089" s="253" t="s">
        <v>1197</v>
      </c>
    </row>
    <row r="2090" spans="1:6" x14ac:dyDescent="0.2">
      <c r="A2090" s="243" t="s">
        <v>1621</v>
      </c>
      <c r="B2090" t="s">
        <v>5380</v>
      </c>
      <c r="C2090" t="s">
        <v>5381</v>
      </c>
      <c r="D2090" t="s">
        <v>5382</v>
      </c>
      <c r="E2090" t="s">
        <v>1602</v>
      </c>
      <c r="F2090" s="253" t="s">
        <v>1197</v>
      </c>
    </row>
    <row r="2091" spans="1:6" x14ac:dyDescent="0.2">
      <c r="A2091" s="243" t="s">
        <v>1621</v>
      </c>
      <c r="B2091" t="s">
        <v>5383</v>
      </c>
      <c r="C2091" t="s">
        <v>2036</v>
      </c>
      <c r="D2091" t="s">
        <v>2037</v>
      </c>
      <c r="E2091" t="s">
        <v>1602</v>
      </c>
      <c r="F2091" s="253" t="s">
        <v>1197</v>
      </c>
    </row>
    <row r="2092" spans="1:6" x14ac:dyDescent="0.2">
      <c r="A2092" s="243" t="s">
        <v>1621</v>
      </c>
      <c r="B2092" t="s">
        <v>5384</v>
      </c>
      <c r="C2092" t="s">
        <v>5385</v>
      </c>
      <c r="D2092" t="s">
        <v>5386</v>
      </c>
      <c r="E2092" t="s">
        <v>1602</v>
      </c>
      <c r="F2092" s="253" t="s">
        <v>1197</v>
      </c>
    </row>
    <row r="2093" spans="1:6" x14ac:dyDescent="0.2">
      <c r="A2093" s="243" t="s">
        <v>1621</v>
      </c>
      <c r="B2093" t="s">
        <v>5387</v>
      </c>
      <c r="C2093" t="s">
        <v>5388</v>
      </c>
      <c r="D2093" t="s">
        <v>5389</v>
      </c>
      <c r="E2093" t="s">
        <v>1602</v>
      </c>
      <c r="F2093" s="253" t="s">
        <v>1197</v>
      </c>
    </row>
    <row r="2094" spans="1:6" x14ac:dyDescent="0.2">
      <c r="A2094" s="243" t="s">
        <v>1621</v>
      </c>
      <c r="B2094" t="s">
        <v>5390</v>
      </c>
      <c r="C2094" t="s">
        <v>5391</v>
      </c>
      <c r="D2094" t="s">
        <v>5392</v>
      </c>
      <c r="E2094" t="s">
        <v>1602</v>
      </c>
      <c r="F2094" s="253" t="s">
        <v>1197</v>
      </c>
    </row>
    <row r="2095" spans="1:6" x14ac:dyDescent="0.2">
      <c r="A2095" s="243" t="s">
        <v>1621</v>
      </c>
      <c r="B2095" t="s">
        <v>5393</v>
      </c>
      <c r="C2095" t="s">
        <v>5394</v>
      </c>
      <c r="D2095" t="s">
        <v>5395</v>
      </c>
      <c r="E2095" t="s">
        <v>1602</v>
      </c>
      <c r="F2095" s="253" t="s">
        <v>1197</v>
      </c>
    </row>
    <row r="2096" spans="1:6" x14ac:dyDescent="0.2">
      <c r="A2096" s="243" t="s">
        <v>1621</v>
      </c>
      <c r="B2096" t="s">
        <v>5396</v>
      </c>
      <c r="C2096" t="s">
        <v>5397</v>
      </c>
      <c r="D2096" t="s">
        <v>5398</v>
      </c>
      <c r="E2096" t="s">
        <v>1602</v>
      </c>
      <c r="F2096" s="253" t="s">
        <v>1197</v>
      </c>
    </row>
    <row r="2097" spans="1:6" x14ac:dyDescent="0.2">
      <c r="A2097" s="243" t="s">
        <v>1621</v>
      </c>
      <c r="B2097" t="s">
        <v>5399</v>
      </c>
      <c r="C2097" t="s">
        <v>5400</v>
      </c>
      <c r="D2097" t="s">
        <v>5401</v>
      </c>
      <c r="E2097" t="s">
        <v>1602</v>
      </c>
      <c r="F2097" s="253" t="s">
        <v>1197</v>
      </c>
    </row>
    <row r="2098" spans="1:6" x14ac:dyDescent="0.2">
      <c r="A2098" s="243" t="s">
        <v>1621</v>
      </c>
      <c r="B2098" t="s">
        <v>5402</v>
      </c>
      <c r="C2098" t="s">
        <v>5403</v>
      </c>
      <c r="D2098" t="s">
        <v>5404</v>
      </c>
      <c r="E2098" t="s">
        <v>1602</v>
      </c>
      <c r="F2098" s="253" t="s">
        <v>1197</v>
      </c>
    </row>
    <row r="2099" spans="1:6" x14ac:dyDescent="0.2">
      <c r="A2099" s="243" t="s">
        <v>1621</v>
      </c>
      <c r="B2099" t="s">
        <v>5405</v>
      </c>
      <c r="C2099" t="s">
        <v>5406</v>
      </c>
      <c r="D2099" t="s">
        <v>5407</v>
      </c>
      <c r="E2099" t="s">
        <v>1602</v>
      </c>
      <c r="F2099" s="253" t="s">
        <v>1197</v>
      </c>
    </row>
    <row r="2100" spans="1:6" x14ac:dyDescent="0.2">
      <c r="A2100" s="243" t="s">
        <v>1621</v>
      </c>
      <c r="B2100" t="s">
        <v>5408</v>
      </c>
      <c r="C2100" t="s">
        <v>5409</v>
      </c>
      <c r="D2100" t="s">
        <v>5410</v>
      </c>
      <c r="E2100" t="s">
        <v>1602</v>
      </c>
      <c r="F2100" s="253" t="s">
        <v>1197</v>
      </c>
    </row>
    <row r="2101" spans="1:6" x14ac:dyDescent="0.2">
      <c r="A2101" s="243" t="s">
        <v>1621</v>
      </c>
      <c r="B2101" t="s">
        <v>5411</v>
      </c>
      <c r="C2101" t="s">
        <v>5412</v>
      </c>
      <c r="D2101" t="s">
        <v>5413</v>
      </c>
      <c r="E2101" t="s">
        <v>1602</v>
      </c>
      <c r="F2101" s="253" t="s">
        <v>1197</v>
      </c>
    </row>
    <row r="2102" spans="1:6" x14ac:dyDescent="0.2">
      <c r="A2102" s="243" t="s">
        <v>1621</v>
      </c>
      <c r="B2102" t="s">
        <v>5414</v>
      </c>
      <c r="C2102" t="s">
        <v>5415</v>
      </c>
      <c r="D2102" t="s">
        <v>5416</v>
      </c>
      <c r="E2102" t="s">
        <v>1602</v>
      </c>
      <c r="F2102" s="253" t="s">
        <v>1197</v>
      </c>
    </row>
    <row r="2103" spans="1:6" x14ac:dyDescent="0.2">
      <c r="A2103" s="243" t="s">
        <v>1621</v>
      </c>
      <c r="B2103" t="s">
        <v>5417</v>
      </c>
      <c r="C2103" t="s">
        <v>5418</v>
      </c>
      <c r="D2103" t="s">
        <v>5419</v>
      </c>
      <c r="E2103" t="s">
        <v>1602</v>
      </c>
      <c r="F2103" s="253" t="s">
        <v>1197</v>
      </c>
    </row>
    <row r="2104" spans="1:6" x14ac:dyDescent="0.2">
      <c r="A2104" s="243" t="s">
        <v>1621</v>
      </c>
      <c r="B2104" t="s">
        <v>5420</v>
      </c>
      <c r="C2104" t="s">
        <v>5421</v>
      </c>
      <c r="D2104" t="s">
        <v>5422</v>
      </c>
      <c r="E2104" t="s">
        <v>1602</v>
      </c>
      <c r="F2104" s="253" t="s">
        <v>1197</v>
      </c>
    </row>
    <row r="2105" spans="1:6" x14ac:dyDescent="0.2">
      <c r="A2105" s="243" t="s">
        <v>1621</v>
      </c>
      <c r="B2105" t="s">
        <v>5423</v>
      </c>
      <c r="C2105" t="s">
        <v>5424</v>
      </c>
      <c r="D2105" t="s">
        <v>5425</v>
      </c>
      <c r="E2105" t="s">
        <v>1602</v>
      </c>
      <c r="F2105" s="253" t="s">
        <v>1197</v>
      </c>
    </row>
    <row r="2106" spans="1:6" x14ac:dyDescent="0.2">
      <c r="A2106" s="243" t="s">
        <v>1621</v>
      </c>
      <c r="B2106" t="s">
        <v>5426</v>
      </c>
      <c r="C2106" t="s">
        <v>5427</v>
      </c>
      <c r="D2106" t="s">
        <v>5428</v>
      </c>
      <c r="E2106" t="s">
        <v>1602</v>
      </c>
      <c r="F2106" s="253" t="s">
        <v>1197</v>
      </c>
    </row>
    <row r="2107" spans="1:6" x14ac:dyDescent="0.2">
      <c r="A2107" s="243" t="s">
        <v>1621</v>
      </c>
      <c r="B2107" t="s">
        <v>5429</v>
      </c>
      <c r="C2107" t="s">
        <v>5430</v>
      </c>
      <c r="D2107" t="s">
        <v>5431</v>
      </c>
      <c r="E2107" t="s">
        <v>1602</v>
      </c>
      <c r="F2107" s="253" t="s">
        <v>1197</v>
      </c>
    </row>
    <row r="2108" spans="1:6" x14ac:dyDescent="0.2">
      <c r="A2108" s="243" t="s">
        <v>1621</v>
      </c>
      <c r="B2108" t="s">
        <v>5432</v>
      </c>
      <c r="C2108" t="s">
        <v>5433</v>
      </c>
      <c r="D2108" t="s">
        <v>5434</v>
      </c>
      <c r="E2108" t="s">
        <v>1602</v>
      </c>
      <c r="F2108" s="253" t="s">
        <v>1197</v>
      </c>
    </row>
    <row r="2109" spans="1:6" x14ac:dyDescent="0.2">
      <c r="A2109" s="243" t="s">
        <v>1621</v>
      </c>
      <c r="B2109" t="s">
        <v>5435</v>
      </c>
      <c r="C2109" t="s">
        <v>1197</v>
      </c>
      <c r="D2109" t="s">
        <v>1198</v>
      </c>
      <c r="E2109" t="s">
        <v>1602</v>
      </c>
      <c r="F2109" s="253" t="s">
        <v>1197</v>
      </c>
    </row>
    <row r="2110" spans="1:6" x14ac:dyDescent="0.2">
      <c r="A2110" s="243" t="s">
        <v>1621</v>
      </c>
      <c r="B2110" t="s">
        <v>5436</v>
      </c>
      <c r="C2110" t="s">
        <v>5437</v>
      </c>
      <c r="D2110" t="s">
        <v>5438</v>
      </c>
      <c r="E2110" t="s">
        <v>1602</v>
      </c>
      <c r="F2110" s="253" t="s">
        <v>1197</v>
      </c>
    </row>
    <row r="2111" spans="1:6" x14ac:dyDescent="0.2">
      <c r="A2111" s="243" t="s">
        <v>1621</v>
      </c>
      <c r="B2111" t="s">
        <v>5439</v>
      </c>
      <c r="C2111" t="s">
        <v>5440</v>
      </c>
      <c r="D2111" t="s">
        <v>5441</v>
      </c>
      <c r="E2111" t="s">
        <v>1602</v>
      </c>
      <c r="F2111" s="253" t="s">
        <v>1197</v>
      </c>
    </row>
    <row r="2112" spans="1:6" x14ac:dyDescent="0.2">
      <c r="A2112" s="243" t="s">
        <v>1621</v>
      </c>
      <c r="B2112" t="s">
        <v>5442</v>
      </c>
      <c r="C2112" t="s">
        <v>5443</v>
      </c>
      <c r="D2112" t="s">
        <v>5444</v>
      </c>
      <c r="E2112" t="s">
        <v>1605</v>
      </c>
      <c r="F2112" s="253" t="s">
        <v>1194</v>
      </c>
    </row>
    <row r="2113" spans="1:6" x14ac:dyDescent="0.2">
      <c r="A2113" s="243" t="s">
        <v>1621</v>
      </c>
      <c r="B2113" t="s">
        <v>5445</v>
      </c>
      <c r="C2113" t="s">
        <v>5446</v>
      </c>
      <c r="D2113" t="s">
        <v>5447</v>
      </c>
      <c r="E2113" t="s">
        <v>1605</v>
      </c>
      <c r="F2113" s="253" t="s">
        <v>1194</v>
      </c>
    </row>
    <row r="2114" spans="1:6" x14ac:dyDescent="0.2">
      <c r="A2114" s="243" t="s">
        <v>1621</v>
      </c>
      <c r="B2114" t="s">
        <v>5448</v>
      </c>
      <c r="C2114" t="s">
        <v>5449</v>
      </c>
      <c r="D2114" t="s">
        <v>5450</v>
      </c>
      <c r="E2114" t="s">
        <v>1605</v>
      </c>
      <c r="F2114" s="253" t="s">
        <v>1194</v>
      </c>
    </row>
    <row r="2115" spans="1:6" x14ac:dyDescent="0.2">
      <c r="A2115" s="243" t="s">
        <v>1621</v>
      </c>
      <c r="B2115" t="s">
        <v>5451</v>
      </c>
      <c r="C2115" t="s">
        <v>5452</v>
      </c>
      <c r="D2115" t="s">
        <v>5453</v>
      </c>
      <c r="E2115" t="s">
        <v>1605</v>
      </c>
      <c r="F2115" s="253" t="s">
        <v>1194</v>
      </c>
    </row>
    <row r="2116" spans="1:6" x14ac:dyDescent="0.2">
      <c r="A2116" s="243" t="s">
        <v>1621</v>
      </c>
      <c r="B2116" t="s">
        <v>5454</v>
      </c>
      <c r="C2116" t="s">
        <v>5455</v>
      </c>
      <c r="D2116" t="s">
        <v>5456</v>
      </c>
      <c r="E2116" t="s">
        <v>1605</v>
      </c>
      <c r="F2116" s="253" t="s">
        <v>1194</v>
      </c>
    </row>
    <row r="2117" spans="1:6" x14ac:dyDescent="0.2">
      <c r="A2117" s="243" t="s">
        <v>1621</v>
      </c>
      <c r="B2117" t="s">
        <v>5457</v>
      </c>
      <c r="C2117" t="s">
        <v>5458</v>
      </c>
      <c r="D2117" t="s">
        <v>5459</v>
      </c>
      <c r="E2117" t="s">
        <v>1608</v>
      </c>
      <c r="F2117" s="253" t="s">
        <v>1194</v>
      </c>
    </row>
    <row r="2118" spans="1:6" x14ac:dyDescent="0.2">
      <c r="A2118" s="243" t="s">
        <v>1621</v>
      </c>
      <c r="B2118" t="s">
        <v>5460</v>
      </c>
      <c r="C2118" t="s">
        <v>5461</v>
      </c>
      <c r="D2118" t="s">
        <v>5462</v>
      </c>
      <c r="E2118" t="s">
        <v>1608</v>
      </c>
      <c r="F2118" s="253" t="s">
        <v>1194</v>
      </c>
    </row>
    <row r="2119" spans="1:6" x14ac:dyDescent="0.2">
      <c r="A2119" s="243" t="s">
        <v>1621</v>
      </c>
      <c r="B2119" t="s">
        <v>5463</v>
      </c>
      <c r="C2119" t="s">
        <v>5464</v>
      </c>
      <c r="D2119" t="s">
        <v>5465</v>
      </c>
      <c r="E2119" t="s">
        <v>1608</v>
      </c>
      <c r="F2119" s="253" t="s">
        <v>1194</v>
      </c>
    </row>
    <row r="2120" spans="1:6" x14ac:dyDescent="0.2">
      <c r="A2120" s="243" t="s">
        <v>1621</v>
      </c>
      <c r="B2120" t="s">
        <v>5466</v>
      </c>
      <c r="C2120" t="s">
        <v>5467</v>
      </c>
      <c r="D2120" t="s">
        <v>5468</v>
      </c>
      <c r="E2120" t="s">
        <v>1608</v>
      </c>
      <c r="F2120" s="253" t="s">
        <v>1194</v>
      </c>
    </row>
    <row r="2121" spans="1:6" x14ac:dyDescent="0.2">
      <c r="A2121" s="243" t="s">
        <v>1621</v>
      </c>
      <c r="B2121" t="s">
        <v>5469</v>
      </c>
      <c r="C2121" t="s">
        <v>5470</v>
      </c>
      <c r="D2121" t="s">
        <v>5471</v>
      </c>
      <c r="E2121" t="s">
        <v>1608</v>
      </c>
      <c r="F2121" s="253" t="s">
        <v>1194</v>
      </c>
    </row>
    <row r="2122" spans="1:6" x14ac:dyDescent="0.2">
      <c r="A2122" s="243" t="s">
        <v>1621</v>
      </c>
      <c r="B2122" t="s">
        <v>5472</v>
      </c>
      <c r="C2122" t="s">
        <v>4766</v>
      </c>
      <c r="D2122" t="s">
        <v>4767</v>
      </c>
      <c r="E2122" t="s">
        <v>1608</v>
      </c>
      <c r="F2122" s="253" t="s">
        <v>1194</v>
      </c>
    </row>
    <row r="2123" spans="1:6" x14ac:dyDescent="0.2">
      <c r="A2123" s="243" t="s">
        <v>1621</v>
      </c>
      <c r="B2123" t="s">
        <v>5473</v>
      </c>
      <c r="C2123" t="s">
        <v>3248</v>
      </c>
      <c r="D2123" t="s">
        <v>3249</v>
      </c>
      <c r="E2123" t="s">
        <v>1608</v>
      </c>
      <c r="F2123" s="253" t="s">
        <v>1194</v>
      </c>
    </row>
    <row r="2124" spans="1:6" x14ac:dyDescent="0.2">
      <c r="A2124" s="243" t="s">
        <v>1621</v>
      </c>
      <c r="B2124" t="s">
        <v>5474</v>
      </c>
      <c r="C2124" t="s">
        <v>5475</v>
      </c>
      <c r="D2124" t="s">
        <v>5476</v>
      </c>
      <c r="E2124" t="s">
        <v>1608</v>
      </c>
      <c r="F2124" s="253" t="s">
        <v>1194</v>
      </c>
    </row>
    <row r="2125" spans="1:6" x14ac:dyDescent="0.2">
      <c r="A2125" s="243" t="s">
        <v>1621</v>
      </c>
      <c r="B2125" t="s">
        <v>5477</v>
      </c>
      <c r="C2125" t="s">
        <v>5478</v>
      </c>
      <c r="D2125" t="s">
        <v>5479</v>
      </c>
      <c r="E2125" t="s">
        <v>1608</v>
      </c>
      <c r="F2125" s="253" t="s">
        <v>1194</v>
      </c>
    </row>
    <row r="2126" spans="1:6" x14ac:dyDescent="0.2">
      <c r="A2126" s="243" t="s">
        <v>1621</v>
      </c>
      <c r="B2126" t="s">
        <v>5480</v>
      </c>
      <c r="C2126" t="s">
        <v>5481</v>
      </c>
      <c r="D2126" t="s">
        <v>5482</v>
      </c>
      <c r="E2126" t="s">
        <v>1608</v>
      </c>
      <c r="F2126" s="253" t="s">
        <v>1194</v>
      </c>
    </row>
    <row r="2127" spans="1:6" x14ac:dyDescent="0.2">
      <c r="A2127" s="243" t="s">
        <v>1621</v>
      </c>
      <c r="B2127" t="s">
        <v>5483</v>
      </c>
      <c r="C2127" t="s">
        <v>2289</v>
      </c>
      <c r="D2127" t="s">
        <v>2290</v>
      </c>
      <c r="E2127" t="s">
        <v>1608</v>
      </c>
      <c r="F2127" s="253" t="s">
        <v>1194</v>
      </c>
    </row>
    <row r="2128" spans="1:6" x14ac:dyDescent="0.2">
      <c r="A2128" s="243" t="s">
        <v>1621</v>
      </c>
      <c r="B2128" t="s">
        <v>5484</v>
      </c>
      <c r="C2128" t="s">
        <v>5485</v>
      </c>
      <c r="D2128" t="s">
        <v>5486</v>
      </c>
      <c r="E2128" t="s">
        <v>1608</v>
      </c>
      <c r="F2128" s="253" t="s">
        <v>1194</v>
      </c>
    </row>
    <row r="2129" spans="1:6" x14ac:dyDescent="0.2">
      <c r="A2129" s="243" t="s">
        <v>1621</v>
      </c>
      <c r="B2129" t="s">
        <v>5487</v>
      </c>
      <c r="C2129" t="s">
        <v>5488</v>
      </c>
      <c r="D2129" t="s">
        <v>5489</v>
      </c>
      <c r="E2129" t="s">
        <v>1608</v>
      </c>
      <c r="F2129" s="253" t="s">
        <v>1194</v>
      </c>
    </row>
    <row r="2130" spans="1:6" x14ac:dyDescent="0.2">
      <c r="A2130" s="243" t="s">
        <v>1621</v>
      </c>
      <c r="B2130" t="s">
        <v>5490</v>
      </c>
      <c r="C2130" t="s">
        <v>5491</v>
      </c>
      <c r="D2130" t="s">
        <v>5492</v>
      </c>
      <c r="E2130" t="s">
        <v>1608</v>
      </c>
      <c r="F2130" s="253" t="s">
        <v>1194</v>
      </c>
    </row>
    <row r="2131" spans="1:6" x14ac:dyDescent="0.2">
      <c r="A2131" s="243" t="s">
        <v>1621</v>
      </c>
      <c r="B2131" t="s">
        <v>5493</v>
      </c>
      <c r="C2131" t="s">
        <v>5494</v>
      </c>
      <c r="D2131" t="s">
        <v>5495</v>
      </c>
      <c r="E2131" t="s">
        <v>1608</v>
      </c>
      <c r="F2131" s="253" t="s">
        <v>1194</v>
      </c>
    </row>
    <row r="2132" spans="1:6" x14ac:dyDescent="0.2">
      <c r="A2132" s="243" t="s">
        <v>1621</v>
      </c>
      <c r="B2132" t="s">
        <v>5496</v>
      </c>
      <c r="C2132" t="s">
        <v>5497</v>
      </c>
      <c r="D2132" t="s">
        <v>5498</v>
      </c>
      <c r="E2132" t="s">
        <v>1608</v>
      </c>
      <c r="F2132" s="253" t="s">
        <v>1194</v>
      </c>
    </row>
    <row r="2133" spans="1:6" x14ac:dyDescent="0.2">
      <c r="A2133" s="243" t="s">
        <v>1621</v>
      </c>
      <c r="B2133" t="s">
        <v>5499</v>
      </c>
      <c r="C2133" t="s">
        <v>5500</v>
      </c>
      <c r="D2133" t="s">
        <v>5501</v>
      </c>
      <c r="E2133" t="s">
        <v>1608</v>
      </c>
      <c r="F2133" s="253" t="s">
        <v>1194</v>
      </c>
    </row>
    <row r="2134" spans="1:6" x14ac:dyDescent="0.2">
      <c r="A2134" s="243" t="s">
        <v>1621</v>
      </c>
      <c r="B2134" t="s">
        <v>5502</v>
      </c>
      <c r="C2134" t="s">
        <v>5503</v>
      </c>
      <c r="D2134" t="s">
        <v>5504</v>
      </c>
      <c r="E2134" t="s">
        <v>1611</v>
      </c>
      <c r="F2134" s="253" t="s">
        <v>1194</v>
      </c>
    </row>
    <row r="2135" spans="1:6" x14ac:dyDescent="0.2">
      <c r="A2135" s="243" t="s">
        <v>1621</v>
      </c>
      <c r="B2135" t="s">
        <v>5505</v>
      </c>
      <c r="C2135" t="s">
        <v>5506</v>
      </c>
      <c r="D2135" t="s">
        <v>5507</v>
      </c>
      <c r="E2135" t="s">
        <v>1611</v>
      </c>
      <c r="F2135" s="253" t="s">
        <v>1194</v>
      </c>
    </row>
    <row r="2136" spans="1:6" x14ac:dyDescent="0.2">
      <c r="A2136" s="243" t="s">
        <v>1621</v>
      </c>
      <c r="B2136" t="s">
        <v>5508</v>
      </c>
      <c r="C2136" t="s">
        <v>5509</v>
      </c>
      <c r="D2136" t="s">
        <v>5510</v>
      </c>
      <c r="E2136" t="s">
        <v>1611</v>
      </c>
      <c r="F2136" s="253" t="s">
        <v>1194</v>
      </c>
    </row>
    <row r="2137" spans="1:6" x14ac:dyDescent="0.2">
      <c r="A2137" s="243" t="s">
        <v>1621</v>
      </c>
      <c r="B2137" t="s">
        <v>5511</v>
      </c>
      <c r="C2137" t="s">
        <v>2415</v>
      </c>
      <c r="D2137" t="s">
        <v>2416</v>
      </c>
      <c r="E2137" t="s">
        <v>1611</v>
      </c>
      <c r="F2137" s="253" t="s">
        <v>1194</v>
      </c>
    </row>
    <row r="2138" spans="1:6" x14ac:dyDescent="0.2">
      <c r="A2138" s="243" t="s">
        <v>1621</v>
      </c>
      <c r="B2138" t="s">
        <v>5512</v>
      </c>
      <c r="C2138" t="s">
        <v>5513</v>
      </c>
      <c r="D2138" t="s">
        <v>5514</v>
      </c>
      <c r="E2138" t="s">
        <v>1614</v>
      </c>
      <c r="F2138" s="253" t="s">
        <v>1194</v>
      </c>
    </row>
    <row r="2139" spans="1:6" x14ac:dyDescent="0.2">
      <c r="A2139" s="243" t="s">
        <v>1621</v>
      </c>
      <c r="B2139" t="s">
        <v>5515</v>
      </c>
      <c r="C2139" t="s">
        <v>5516</v>
      </c>
      <c r="D2139" t="s">
        <v>5517</v>
      </c>
      <c r="E2139" t="s">
        <v>1614</v>
      </c>
      <c r="F2139" s="253" t="s">
        <v>1194</v>
      </c>
    </row>
    <row r="2140" spans="1:6" x14ac:dyDescent="0.2">
      <c r="A2140" s="243" t="s">
        <v>1621</v>
      </c>
      <c r="B2140" t="s">
        <v>5518</v>
      </c>
      <c r="C2140" t="s">
        <v>5519</v>
      </c>
      <c r="D2140" t="s">
        <v>5520</v>
      </c>
      <c r="E2140" t="s">
        <v>1614</v>
      </c>
      <c r="F2140" s="253" t="s">
        <v>1194</v>
      </c>
    </row>
    <row r="2141" spans="1:6" x14ac:dyDescent="0.2">
      <c r="A2141" s="243" t="s">
        <v>1621</v>
      </c>
      <c r="B2141" t="s">
        <v>5521</v>
      </c>
      <c r="C2141" t="s">
        <v>5522</v>
      </c>
      <c r="D2141" t="s">
        <v>5523</v>
      </c>
      <c r="E2141" t="s">
        <v>1614</v>
      </c>
      <c r="F2141" s="253" t="s">
        <v>1194</v>
      </c>
    </row>
    <row r="2142" spans="1:6" x14ac:dyDescent="0.2">
      <c r="A2142" s="243" t="s">
        <v>1621</v>
      </c>
      <c r="B2142" t="s">
        <v>5524</v>
      </c>
      <c r="C2142" t="s">
        <v>5525</v>
      </c>
      <c r="D2142" t="s">
        <v>5526</v>
      </c>
      <c r="E2142" t="s">
        <v>1614</v>
      </c>
      <c r="F2142" s="253" t="s">
        <v>1194</v>
      </c>
    </row>
    <row r="2143" spans="1:6" x14ac:dyDescent="0.2">
      <c r="A2143" s="243" t="s">
        <v>1621</v>
      </c>
      <c r="B2143" t="s">
        <v>5527</v>
      </c>
      <c r="C2143" t="s">
        <v>5528</v>
      </c>
      <c r="D2143" t="s">
        <v>5529</v>
      </c>
      <c r="E2143" t="s">
        <v>1614</v>
      </c>
      <c r="F2143" s="253" t="s">
        <v>1194</v>
      </c>
    </row>
    <row r="2144" spans="1:6" x14ac:dyDescent="0.2">
      <c r="A2144" s="243" t="s">
        <v>1621</v>
      </c>
      <c r="B2144" t="s">
        <v>5530</v>
      </c>
      <c r="C2144" t="s">
        <v>5531</v>
      </c>
      <c r="D2144" t="s">
        <v>5532</v>
      </c>
      <c r="E2144" t="s">
        <v>1614</v>
      </c>
      <c r="F2144" s="253" t="s">
        <v>1194</v>
      </c>
    </row>
    <row r="2145" spans="1:6" x14ac:dyDescent="0.2">
      <c r="A2145" s="243" t="s">
        <v>1621</v>
      </c>
      <c r="B2145" t="s">
        <v>5533</v>
      </c>
      <c r="C2145" t="s">
        <v>5534</v>
      </c>
      <c r="D2145" t="s">
        <v>5535</v>
      </c>
      <c r="E2145" t="s">
        <v>1614</v>
      </c>
      <c r="F2145" s="253" t="s">
        <v>1194</v>
      </c>
    </row>
    <row r="2146" spans="1:6" x14ac:dyDescent="0.2">
      <c r="A2146" s="243" t="s">
        <v>1621</v>
      </c>
      <c r="B2146" t="s">
        <v>5536</v>
      </c>
      <c r="C2146" t="s">
        <v>5537</v>
      </c>
      <c r="D2146" t="s">
        <v>5538</v>
      </c>
      <c r="E2146" t="s">
        <v>1614</v>
      </c>
      <c r="F2146" s="253" t="s">
        <v>1194</v>
      </c>
    </row>
    <row r="2147" spans="1:6" x14ac:dyDescent="0.2">
      <c r="A2147" s="243" t="s">
        <v>1621</v>
      </c>
      <c r="B2147" t="s">
        <v>5539</v>
      </c>
      <c r="C2147" t="s">
        <v>5500</v>
      </c>
      <c r="D2147" t="s">
        <v>5501</v>
      </c>
      <c r="E2147" t="s">
        <v>1614</v>
      </c>
      <c r="F2147" s="253" t="s">
        <v>1194</v>
      </c>
    </row>
    <row r="2148" spans="1:6" x14ac:dyDescent="0.2">
      <c r="A2148" s="243" t="s">
        <v>1621</v>
      </c>
      <c r="B2148" t="s">
        <v>5540</v>
      </c>
      <c r="C2148" t="s">
        <v>3108</v>
      </c>
      <c r="D2148" t="s">
        <v>3109</v>
      </c>
      <c r="E2148" t="s">
        <v>1614</v>
      </c>
      <c r="F2148" s="253" t="s">
        <v>1194</v>
      </c>
    </row>
    <row r="2149" spans="1:6" x14ac:dyDescent="0.2">
      <c r="A2149" s="243" t="s">
        <v>1621</v>
      </c>
      <c r="B2149" t="s">
        <v>5541</v>
      </c>
      <c r="C2149" t="s">
        <v>5542</v>
      </c>
      <c r="D2149" t="s">
        <v>5543</v>
      </c>
      <c r="E2149" t="s">
        <v>1617</v>
      </c>
      <c r="F2149" s="253" t="s">
        <v>1194</v>
      </c>
    </row>
    <row r="2150" spans="1:6" x14ac:dyDescent="0.2">
      <c r="A2150" s="243" t="s">
        <v>1621</v>
      </c>
      <c r="B2150" t="s">
        <v>5544</v>
      </c>
      <c r="C2150" t="s">
        <v>5545</v>
      </c>
      <c r="D2150" t="s">
        <v>5546</v>
      </c>
      <c r="E2150" t="s">
        <v>1617</v>
      </c>
      <c r="F2150" s="253" t="s">
        <v>1194</v>
      </c>
    </row>
    <row r="2151" spans="1:6" x14ac:dyDescent="0.2">
      <c r="A2151" s="243" t="s">
        <v>1621</v>
      </c>
      <c r="B2151" t="s">
        <v>5547</v>
      </c>
      <c r="C2151" t="s">
        <v>5548</v>
      </c>
      <c r="D2151" t="s">
        <v>5549</v>
      </c>
      <c r="E2151" t="s">
        <v>1617</v>
      </c>
      <c r="F2151" s="253" t="s">
        <v>1194</v>
      </c>
    </row>
    <row r="2152" spans="1:6" x14ac:dyDescent="0.2">
      <c r="A2152" s="243" t="s">
        <v>1621</v>
      </c>
      <c r="B2152" t="s">
        <v>5550</v>
      </c>
      <c r="C2152" t="s">
        <v>5551</v>
      </c>
      <c r="D2152" t="s">
        <v>5552</v>
      </c>
      <c r="E2152" t="s">
        <v>1617</v>
      </c>
      <c r="F2152" s="253" t="s">
        <v>1194</v>
      </c>
    </row>
    <row r="2153" spans="1:6" x14ac:dyDescent="0.2">
      <c r="A2153" s="243" t="s">
        <v>1621</v>
      </c>
      <c r="B2153" t="s">
        <v>5553</v>
      </c>
      <c r="C2153" t="s">
        <v>5554</v>
      </c>
      <c r="D2153" t="s">
        <v>5555</v>
      </c>
      <c r="E2153" t="s">
        <v>1617</v>
      </c>
      <c r="F2153" s="253" t="s">
        <v>1194</v>
      </c>
    </row>
    <row r="2154" spans="1:6" x14ac:dyDescent="0.2">
      <c r="A2154" s="243" t="s">
        <v>1621</v>
      </c>
      <c r="B2154" t="s">
        <v>5556</v>
      </c>
      <c r="C2154" t="s">
        <v>1787</v>
      </c>
      <c r="D2154" t="s">
        <v>1788</v>
      </c>
      <c r="E2154" t="s">
        <v>1617</v>
      </c>
      <c r="F2154" s="253" t="s">
        <v>1194</v>
      </c>
    </row>
    <row r="2155" spans="1:6" x14ac:dyDescent="0.2">
      <c r="A2155" s="243" t="s">
        <v>1621</v>
      </c>
      <c r="B2155" t="s">
        <v>5557</v>
      </c>
      <c r="C2155" t="s">
        <v>5558</v>
      </c>
      <c r="D2155" t="s">
        <v>5559</v>
      </c>
      <c r="E2155" t="s">
        <v>1617</v>
      </c>
      <c r="F2155" s="253" t="s">
        <v>1194</v>
      </c>
    </row>
    <row r="2156" spans="1:6" x14ac:dyDescent="0.2">
      <c r="A2156" s="243" t="s">
        <v>1621</v>
      </c>
      <c r="B2156" t="s">
        <v>5560</v>
      </c>
      <c r="C2156" t="s">
        <v>5561</v>
      </c>
      <c r="D2156" t="s">
        <v>5562</v>
      </c>
      <c r="E2156" t="s">
        <v>1617</v>
      </c>
      <c r="F2156" s="253" t="s">
        <v>1194</v>
      </c>
    </row>
    <row r="2157" spans="1:6" x14ac:dyDescent="0.2">
      <c r="A2157" s="243" t="s">
        <v>1621</v>
      </c>
      <c r="B2157" t="s">
        <v>5563</v>
      </c>
      <c r="C2157" t="s">
        <v>5564</v>
      </c>
      <c r="D2157" t="s">
        <v>5565</v>
      </c>
      <c r="E2157" t="s">
        <v>1617</v>
      </c>
      <c r="F2157" s="253" t="s">
        <v>1194</v>
      </c>
    </row>
    <row r="2158" spans="1:6" x14ac:dyDescent="0.2">
      <c r="A2158" s="243" t="s">
        <v>1621</v>
      </c>
      <c r="B2158" t="s">
        <v>5566</v>
      </c>
      <c r="C2158" t="s">
        <v>5567</v>
      </c>
      <c r="D2158" t="s">
        <v>5568</v>
      </c>
      <c r="E2158" t="s">
        <v>1617</v>
      </c>
      <c r="F2158" s="253" t="s">
        <v>1194</v>
      </c>
    </row>
    <row r="2159" spans="1:6" x14ac:dyDescent="0.2">
      <c r="A2159" s="243" t="s">
        <v>1621</v>
      </c>
      <c r="B2159" t="s">
        <v>5569</v>
      </c>
      <c r="C2159" t="s">
        <v>3530</v>
      </c>
      <c r="D2159" t="s">
        <v>3531</v>
      </c>
      <c r="E2159" t="s">
        <v>1617</v>
      </c>
      <c r="F2159" s="253" t="s">
        <v>1194</v>
      </c>
    </row>
    <row r="2160" spans="1:6" x14ac:dyDescent="0.2">
      <c r="A2160" s="243" t="s">
        <v>1621</v>
      </c>
      <c r="B2160" t="s">
        <v>5570</v>
      </c>
      <c r="C2160" t="s">
        <v>5571</v>
      </c>
      <c r="D2160" t="s">
        <v>5572</v>
      </c>
      <c r="E2160" t="s">
        <v>1617</v>
      </c>
      <c r="F2160" s="253" t="s">
        <v>1194</v>
      </c>
    </row>
    <row r="2161" spans="1:6" x14ac:dyDescent="0.2">
      <c r="A2161" s="243" t="s">
        <v>1621</v>
      </c>
      <c r="B2161" t="s">
        <v>5573</v>
      </c>
      <c r="C2161" t="s">
        <v>5574</v>
      </c>
      <c r="D2161" t="s">
        <v>5575</v>
      </c>
      <c r="E2161" t="s">
        <v>1617</v>
      </c>
      <c r="F2161" s="253" t="s">
        <v>1194</v>
      </c>
    </row>
    <row r="2162" spans="1:6" x14ac:dyDescent="0.2">
      <c r="A2162" s="243" t="s">
        <v>1621</v>
      </c>
      <c r="B2162" t="s">
        <v>5576</v>
      </c>
      <c r="C2162" t="s">
        <v>5577</v>
      </c>
      <c r="D2162" t="s">
        <v>5578</v>
      </c>
      <c r="E2162" t="s">
        <v>1617</v>
      </c>
      <c r="F2162" s="253" t="s">
        <v>1194</v>
      </c>
    </row>
    <row r="2163" spans="1:6" x14ac:dyDescent="0.2">
      <c r="A2163" s="243" t="s">
        <v>1621</v>
      </c>
      <c r="B2163" t="s">
        <v>5579</v>
      </c>
      <c r="C2163" t="s">
        <v>5580</v>
      </c>
      <c r="D2163" t="s">
        <v>5581</v>
      </c>
      <c r="E2163" t="s">
        <v>1617</v>
      </c>
      <c r="F2163" s="253" t="s">
        <v>1194</v>
      </c>
    </row>
    <row r="2164" spans="1:6" x14ac:dyDescent="0.2">
      <c r="A2164" s="243" t="s">
        <v>1621</v>
      </c>
      <c r="B2164" t="s">
        <v>5582</v>
      </c>
      <c r="C2164" t="s">
        <v>5583</v>
      </c>
      <c r="D2164" t="s">
        <v>5584</v>
      </c>
      <c r="E2164" t="s">
        <v>1617</v>
      </c>
      <c r="F2164" s="253" t="s">
        <v>1194</v>
      </c>
    </row>
    <row r="2165" spans="1:6" x14ac:dyDescent="0.2">
      <c r="A2165" s="243" t="s">
        <v>1621</v>
      </c>
      <c r="B2165" t="s">
        <v>5585</v>
      </c>
      <c r="C2165" t="s">
        <v>5586</v>
      </c>
      <c r="D2165" t="s">
        <v>5587</v>
      </c>
      <c r="E2165" t="s">
        <v>1617</v>
      </c>
      <c r="F2165" s="253" t="s">
        <v>1194</v>
      </c>
    </row>
    <row r="2166" spans="1:6" x14ac:dyDescent="0.2">
      <c r="A2166" s="243" t="s">
        <v>1621</v>
      </c>
      <c r="B2166" t="s">
        <v>5588</v>
      </c>
      <c r="C2166" t="s">
        <v>5589</v>
      </c>
      <c r="D2166" t="s">
        <v>5590</v>
      </c>
      <c r="E2166" t="s">
        <v>1617</v>
      </c>
      <c r="F2166" s="253" t="s">
        <v>1194</v>
      </c>
    </row>
    <row r="2167" spans="1:6" x14ac:dyDescent="0.2">
      <c r="A2167" s="243" t="s">
        <v>1621</v>
      </c>
      <c r="B2167" t="s">
        <v>5591</v>
      </c>
      <c r="C2167" t="s">
        <v>5592</v>
      </c>
      <c r="D2167" t="s">
        <v>5593</v>
      </c>
      <c r="E2167" t="s">
        <v>1617</v>
      </c>
      <c r="F2167" s="253" t="s">
        <v>1194</v>
      </c>
    </row>
    <row r="2168" spans="1:6" x14ac:dyDescent="0.2">
      <c r="A2168" s="243" t="s">
        <v>1621</v>
      </c>
      <c r="B2168" t="s">
        <v>5594</v>
      </c>
      <c r="C2168" t="s">
        <v>1194</v>
      </c>
      <c r="D2168" t="s">
        <v>1195</v>
      </c>
      <c r="E2168" t="s">
        <v>1617</v>
      </c>
      <c r="F2168" s="253" t="s">
        <v>1194</v>
      </c>
    </row>
    <row r="2169" spans="1:6" x14ac:dyDescent="0.2">
      <c r="A2169" s="243" t="s">
        <v>1621</v>
      </c>
      <c r="B2169" t="s">
        <v>5595</v>
      </c>
      <c r="C2169" t="s">
        <v>1221</v>
      </c>
      <c r="D2169" t="s">
        <v>1222</v>
      </c>
      <c r="E2169" t="s">
        <v>1620</v>
      </c>
      <c r="F2169" s="253" t="s">
        <v>1221</v>
      </c>
    </row>
    <row r="2171" spans="1:6" x14ac:dyDescent="0.2">
      <c r="A2171" s="243" t="s">
        <v>5596</v>
      </c>
      <c r="B2171" s="114">
        <v>1</v>
      </c>
      <c r="C2171" s="114" t="s">
        <v>5597</v>
      </c>
    </row>
    <row r="2172" spans="1:6" x14ac:dyDescent="0.2">
      <c r="A2172" s="243" t="s">
        <v>5596</v>
      </c>
      <c r="B2172" s="114">
        <v>2</v>
      </c>
      <c r="C2172" s="114" t="s">
        <v>5598</v>
      </c>
    </row>
    <row r="2173" spans="1:6" x14ac:dyDescent="0.2">
      <c r="A2173" s="243" t="s">
        <v>5596</v>
      </c>
      <c r="B2173" s="114">
        <v>3</v>
      </c>
      <c r="C2173" s="114" t="s">
        <v>5599</v>
      </c>
    </row>
    <row r="2174" spans="1:6" x14ac:dyDescent="0.2">
      <c r="A2174" s="243" t="s">
        <v>5596</v>
      </c>
      <c r="B2174" s="114">
        <v>4</v>
      </c>
      <c r="C2174" s="114" t="s">
        <v>5600</v>
      </c>
    </row>
    <row r="2175" spans="1:6" x14ac:dyDescent="0.2">
      <c r="A2175" s="243" t="s">
        <v>5596</v>
      </c>
      <c r="B2175" s="114">
        <v>5</v>
      </c>
      <c r="C2175" s="114" t="s">
        <v>5601</v>
      </c>
    </row>
    <row r="2177" spans="1:3" x14ac:dyDescent="0.2">
      <c r="A2177" t="s">
        <v>5602</v>
      </c>
      <c r="B2177" t="s">
        <v>5603</v>
      </c>
      <c r="C2177" t="s">
        <v>5604</v>
      </c>
    </row>
    <row r="2178" spans="1:3" x14ac:dyDescent="0.2">
      <c r="A2178" t="s">
        <v>5602</v>
      </c>
      <c r="B2178" t="s">
        <v>5605</v>
      </c>
      <c r="C2178" t="s">
        <v>5606</v>
      </c>
    </row>
    <row r="2179" spans="1:3" x14ac:dyDescent="0.2">
      <c r="A2179" t="s">
        <v>5602</v>
      </c>
      <c r="B2179" t="s">
        <v>5607</v>
      </c>
      <c r="C2179" t="s">
        <v>5608</v>
      </c>
    </row>
    <row r="2180" spans="1:3" x14ac:dyDescent="0.2">
      <c r="A2180" t="s">
        <v>5602</v>
      </c>
      <c r="B2180" t="s">
        <v>5609</v>
      </c>
      <c r="C2180" t="s">
        <v>5610</v>
      </c>
    </row>
    <row r="2181" spans="1:3" x14ac:dyDescent="0.2">
      <c r="A2181" t="s">
        <v>5602</v>
      </c>
      <c r="B2181" t="s">
        <v>5611</v>
      </c>
      <c r="C2181" t="s">
        <v>5612</v>
      </c>
    </row>
    <row r="2182" spans="1:3" x14ac:dyDescent="0.2">
      <c r="A2182" t="s">
        <v>5602</v>
      </c>
      <c r="B2182" t="s">
        <v>5613</v>
      </c>
      <c r="C2182" t="s">
        <v>5614</v>
      </c>
    </row>
    <row r="2183" spans="1:3" x14ac:dyDescent="0.2">
      <c r="A2183" t="s">
        <v>5602</v>
      </c>
      <c r="B2183" t="s">
        <v>5615</v>
      </c>
      <c r="C2183" t="s">
        <v>5616</v>
      </c>
    </row>
    <row r="2184" spans="1:3" x14ac:dyDescent="0.2">
      <c r="A2184" t="s">
        <v>5602</v>
      </c>
      <c r="B2184" t="s">
        <v>5617</v>
      </c>
      <c r="C2184" t="s">
        <v>5618</v>
      </c>
    </row>
    <row r="2185" spans="1:3" x14ac:dyDescent="0.2">
      <c r="A2185" t="s">
        <v>5602</v>
      </c>
      <c r="B2185" t="s">
        <v>5619</v>
      </c>
      <c r="C2185" t="s">
        <v>5620</v>
      </c>
    </row>
    <row r="2186" spans="1:3" x14ac:dyDescent="0.2">
      <c r="A2186" t="s">
        <v>5602</v>
      </c>
      <c r="B2186" t="s">
        <v>5621</v>
      </c>
      <c r="C2186" t="s">
        <v>5622</v>
      </c>
    </row>
    <row r="2187" spans="1:3" x14ac:dyDescent="0.2">
      <c r="A2187" t="s">
        <v>5602</v>
      </c>
      <c r="B2187" t="s">
        <v>5623</v>
      </c>
      <c r="C2187" t="s">
        <v>5624</v>
      </c>
    </row>
    <row r="2188" spans="1:3" x14ac:dyDescent="0.2">
      <c r="A2188" t="s">
        <v>5602</v>
      </c>
      <c r="B2188" t="s">
        <v>5625</v>
      </c>
      <c r="C2188" t="s">
        <v>5626</v>
      </c>
    </row>
    <row r="2189" spans="1:3" x14ac:dyDescent="0.2">
      <c r="A2189" t="s">
        <v>5602</v>
      </c>
      <c r="B2189" t="s">
        <v>5627</v>
      </c>
      <c r="C2189" t="s">
        <v>5628</v>
      </c>
    </row>
    <row r="2190" spans="1:3" x14ac:dyDescent="0.2">
      <c r="A2190" t="s">
        <v>5602</v>
      </c>
      <c r="B2190" t="s">
        <v>5629</v>
      </c>
      <c r="C2190" t="s">
        <v>5630</v>
      </c>
    </row>
    <row r="2191" spans="1:3" x14ac:dyDescent="0.2">
      <c r="A2191" t="s">
        <v>5602</v>
      </c>
      <c r="B2191" t="s">
        <v>5631</v>
      </c>
      <c r="C2191" t="s">
        <v>5632</v>
      </c>
    </row>
    <row r="2192" spans="1:3" x14ac:dyDescent="0.2">
      <c r="A2192" t="s">
        <v>5602</v>
      </c>
      <c r="B2192" t="s">
        <v>5633</v>
      </c>
      <c r="C2192" t="s">
        <v>5634</v>
      </c>
    </row>
    <row r="2193" spans="1:3" x14ac:dyDescent="0.2">
      <c r="A2193" t="s">
        <v>5602</v>
      </c>
      <c r="B2193" t="s">
        <v>5635</v>
      </c>
      <c r="C2193" t="s">
        <v>5636</v>
      </c>
    </row>
    <row r="2194" spans="1:3" x14ac:dyDescent="0.2">
      <c r="A2194" t="s">
        <v>5602</v>
      </c>
      <c r="B2194" t="s">
        <v>5637</v>
      </c>
      <c r="C2194" t="s">
        <v>5638</v>
      </c>
    </row>
    <row r="2195" spans="1:3" x14ac:dyDescent="0.2">
      <c r="A2195" t="s">
        <v>5602</v>
      </c>
      <c r="B2195" t="s">
        <v>5639</v>
      </c>
      <c r="C2195" t="s">
        <v>5640</v>
      </c>
    </row>
    <row r="2196" spans="1:3" x14ac:dyDescent="0.2">
      <c r="A2196" t="s">
        <v>5602</v>
      </c>
      <c r="B2196" t="s">
        <v>5641</v>
      </c>
      <c r="C2196" t="s">
        <v>5642</v>
      </c>
    </row>
    <row r="2197" spans="1:3" x14ac:dyDescent="0.2">
      <c r="A2197" t="s">
        <v>5602</v>
      </c>
      <c r="B2197" t="s">
        <v>5643</v>
      </c>
      <c r="C2197" t="s">
        <v>5644</v>
      </c>
    </row>
    <row r="2198" spans="1:3" x14ac:dyDescent="0.2">
      <c r="A2198" t="s">
        <v>5602</v>
      </c>
      <c r="B2198" t="s">
        <v>5645</v>
      </c>
      <c r="C2198" t="s">
        <v>5646</v>
      </c>
    </row>
    <row r="2199" spans="1:3" x14ac:dyDescent="0.2">
      <c r="A2199" t="s">
        <v>5602</v>
      </c>
      <c r="B2199" t="s">
        <v>5647</v>
      </c>
      <c r="C2199" t="s">
        <v>5648</v>
      </c>
    </row>
    <row r="2200" spans="1:3" x14ac:dyDescent="0.2">
      <c r="A2200" t="s">
        <v>5602</v>
      </c>
      <c r="B2200" t="s">
        <v>5649</v>
      </c>
      <c r="C2200" t="s">
        <v>5650</v>
      </c>
    </row>
    <row r="2201" spans="1:3" x14ac:dyDescent="0.2">
      <c r="A2201" t="s">
        <v>5602</v>
      </c>
      <c r="B2201" t="s">
        <v>5651</v>
      </c>
      <c r="C2201" t="s">
        <v>5652</v>
      </c>
    </row>
    <row r="2202" spans="1:3" x14ac:dyDescent="0.2">
      <c r="A2202" t="s">
        <v>5602</v>
      </c>
      <c r="B2202" t="s">
        <v>5653</v>
      </c>
      <c r="C2202" t="s">
        <v>5654</v>
      </c>
    </row>
    <row r="2203" spans="1:3" x14ac:dyDescent="0.2">
      <c r="A2203" t="s">
        <v>5602</v>
      </c>
      <c r="B2203" t="s">
        <v>5655</v>
      </c>
      <c r="C2203" t="s">
        <v>5656</v>
      </c>
    </row>
    <row r="2204" spans="1:3" x14ac:dyDescent="0.2">
      <c r="A2204" t="s">
        <v>5602</v>
      </c>
      <c r="B2204" t="s">
        <v>5657</v>
      </c>
      <c r="C2204" t="s">
        <v>5658</v>
      </c>
    </row>
    <row r="2205" spans="1:3" x14ac:dyDescent="0.2">
      <c r="A2205" t="s">
        <v>5602</v>
      </c>
      <c r="B2205" t="s">
        <v>5659</v>
      </c>
      <c r="C2205" t="s">
        <v>5660</v>
      </c>
    </row>
    <row r="2206" spans="1:3" x14ac:dyDescent="0.2">
      <c r="A2206" t="s">
        <v>5602</v>
      </c>
      <c r="B2206" t="s">
        <v>5661</v>
      </c>
      <c r="C2206" t="s">
        <v>5662</v>
      </c>
    </row>
    <row r="2207" spans="1:3" x14ac:dyDescent="0.2">
      <c r="A2207" t="s">
        <v>5602</v>
      </c>
      <c r="B2207" t="s">
        <v>5663</v>
      </c>
      <c r="C2207" t="s">
        <v>5664</v>
      </c>
    </row>
    <row r="2208" spans="1:3" x14ac:dyDescent="0.2">
      <c r="A2208" t="s">
        <v>5602</v>
      </c>
      <c r="B2208" t="s">
        <v>5665</v>
      </c>
      <c r="C2208" t="s">
        <v>5666</v>
      </c>
    </row>
    <row r="2209" spans="1:3" x14ac:dyDescent="0.2">
      <c r="A2209" t="s">
        <v>5602</v>
      </c>
      <c r="B2209" t="s">
        <v>5667</v>
      </c>
      <c r="C2209" t="s">
        <v>5668</v>
      </c>
    </row>
    <row r="2210" spans="1:3" x14ac:dyDescent="0.2">
      <c r="A2210" t="s">
        <v>5602</v>
      </c>
      <c r="B2210" t="s">
        <v>5669</v>
      </c>
      <c r="C2210" t="s">
        <v>5670</v>
      </c>
    </row>
    <row r="2211" spans="1:3" x14ac:dyDescent="0.2">
      <c r="A2211" t="s">
        <v>5602</v>
      </c>
      <c r="B2211" t="s">
        <v>5671</v>
      </c>
      <c r="C2211" t="s">
        <v>5672</v>
      </c>
    </row>
    <row r="2212" spans="1:3" x14ac:dyDescent="0.2">
      <c r="A2212" t="s">
        <v>5602</v>
      </c>
      <c r="B2212" t="s">
        <v>5673</v>
      </c>
      <c r="C2212" t="s">
        <v>5674</v>
      </c>
    </row>
    <row r="2213" spans="1:3" x14ac:dyDescent="0.2">
      <c r="A2213" t="s">
        <v>5602</v>
      </c>
      <c r="B2213" t="s">
        <v>5675</v>
      </c>
      <c r="C2213" t="s">
        <v>5676</v>
      </c>
    </row>
    <row r="2214" spans="1:3" x14ac:dyDescent="0.2">
      <c r="A2214" t="s">
        <v>5602</v>
      </c>
      <c r="B2214" t="s">
        <v>5677</v>
      </c>
      <c r="C2214" t="s">
        <v>5678</v>
      </c>
    </row>
    <row r="2215" spans="1:3" x14ac:dyDescent="0.2">
      <c r="A2215" t="s">
        <v>5602</v>
      </c>
      <c r="B2215" t="s">
        <v>5679</v>
      </c>
      <c r="C2215" t="s">
        <v>5680</v>
      </c>
    </row>
    <row r="2216" spans="1:3" x14ac:dyDescent="0.2">
      <c r="A2216" t="s">
        <v>5602</v>
      </c>
      <c r="B2216" t="s">
        <v>5681</v>
      </c>
      <c r="C2216" t="s">
        <v>5682</v>
      </c>
    </row>
    <row r="2217" spans="1:3" x14ac:dyDescent="0.2">
      <c r="A2217" t="s">
        <v>5602</v>
      </c>
      <c r="B2217" t="s">
        <v>5683</v>
      </c>
      <c r="C2217" t="s">
        <v>5684</v>
      </c>
    </row>
    <row r="2218" spans="1:3" x14ac:dyDescent="0.2">
      <c r="A2218" t="s">
        <v>5602</v>
      </c>
      <c r="B2218" t="s">
        <v>5685</v>
      </c>
      <c r="C2218" t="s">
        <v>5686</v>
      </c>
    </row>
    <row r="2219" spans="1:3" x14ac:dyDescent="0.2">
      <c r="A2219" t="s">
        <v>5602</v>
      </c>
      <c r="B2219" t="s">
        <v>5687</v>
      </c>
      <c r="C2219" t="s">
        <v>5688</v>
      </c>
    </row>
    <row r="2220" spans="1:3" x14ac:dyDescent="0.2">
      <c r="A2220" t="s">
        <v>5602</v>
      </c>
      <c r="B2220" t="s">
        <v>5689</v>
      </c>
      <c r="C2220" t="s">
        <v>5690</v>
      </c>
    </row>
    <row r="2221" spans="1:3" x14ac:dyDescent="0.2">
      <c r="A2221" t="s">
        <v>5602</v>
      </c>
      <c r="B2221" t="s">
        <v>5691</v>
      </c>
      <c r="C2221" t="s">
        <v>5692</v>
      </c>
    </row>
    <row r="2222" spans="1:3" x14ac:dyDescent="0.2">
      <c r="A2222" t="s">
        <v>5602</v>
      </c>
      <c r="B2222" t="s">
        <v>5693</v>
      </c>
      <c r="C2222" t="s">
        <v>5694</v>
      </c>
    </row>
    <row r="2223" spans="1:3" x14ac:dyDescent="0.2">
      <c r="A2223" t="s">
        <v>5602</v>
      </c>
      <c r="B2223" t="s">
        <v>5695</v>
      </c>
      <c r="C2223" t="s">
        <v>5696</v>
      </c>
    </row>
    <row r="2224" spans="1:3" x14ac:dyDescent="0.2">
      <c r="A2224" t="s">
        <v>5602</v>
      </c>
      <c r="B2224" t="s">
        <v>5697</v>
      </c>
      <c r="C2224" t="s">
        <v>5698</v>
      </c>
    </row>
    <row r="2225" spans="1:3" x14ac:dyDescent="0.2">
      <c r="A2225" t="s">
        <v>5602</v>
      </c>
      <c r="B2225" t="s">
        <v>5699</v>
      </c>
      <c r="C2225" t="s">
        <v>5700</v>
      </c>
    </row>
    <row r="2226" spans="1:3" x14ac:dyDescent="0.2">
      <c r="A2226" t="s">
        <v>5602</v>
      </c>
      <c r="B2226" t="s">
        <v>5701</v>
      </c>
      <c r="C2226" t="s">
        <v>5702</v>
      </c>
    </row>
    <row r="2227" spans="1:3" x14ac:dyDescent="0.2">
      <c r="A2227" t="s">
        <v>5602</v>
      </c>
      <c r="B2227" t="s">
        <v>5703</v>
      </c>
      <c r="C2227" t="s">
        <v>5704</v>
      </c>
    </row>
    <row r="2228" spans="1:3" x14ac:dyDescent="0.2">
      <c r="A2228" t="s">
        <v>5602</v>
      </c>
      <c r="B2228" t="s">
        <v>5705</v>
      </c>
      <c r="C2228" t="s">
        <v>5706</v>
      </c>
    </row>
    <row r="2229" spans="1:3" x14ac:dyDescent="0.2">
      <c r="A2229" t="s">
        <v>5602</v>
      </c>
      <c r="B2229" t="s">
        <v>5707</v>
      </c>
      <c r="C2229" t="s">
        <v>5708</v>
      </c>
    </row>
    <row r="2230" spans="1:3" x14ac:dyDescent="0.2">
      <c r="A2230" t="s">
        <v>5602</v>
      </c>
      <c r="B2230" t="s">
        <v>5709</v>
      </c>
      <c r="C2230" t="s">
        <v>5710</v>
      </c>
    </row>
    <row r="2231" spans="1:3" x14ac:dyDescent="0.2">
      <c r="A2231" t="s">
        <v>5602</v>
      </c>
      <c r="B2231" t="s">
        <v>5711</v>
      </c>
      <c r="C2231" t="s">
        <v>5712</v>
      </c>
    </row>
    <row r="2232" spans="1:3" x14ac:dyDescent="0.2">
      <c r="A2232" t="s">
        <v>5602</v>
      </c>
      <c r="B2232" t="s">
        <v>5713</v>
      </c>
      <c r="C2232" t="s">
        <v>5714</v>
      </c>
    </row>
    <row r="2233" spans="1:3" x14ac:dyDescent="0.2">
      <c r="A2233" t="s">
        <v>5602</v>
      </c>
      <c r="B2233" t="s">
        <v>5715</v>
      </c>
      <c r="C2233" t="s">
        <v>5716</v>
      </c>
    </row>
    <row r="2234" spans="1:3" x14ac:dyDescent="0.2">
      <c r="A2234" t="s">
        <v>5602</v>
      </c>
      <c r="B2234" t="s">
        <v>5717</v>
      </c>
      <c r="C2234" t="s">
        <v>5718</v>
      </c>
    </row>
    <row r="2235" spans="1:3" x14ac:dyDescent="0.2">
      <c r="A2235" t="s">
        <v>5602</v>
      </c>
      <c r="B2235" t="s">
        <v>5719</v>
      </c>
      <c r="C2235" t="s">
        <v>5720</v>
      </c>
    </row>
    <row r="2236" spans="1:3" x14ac:dyDescent="0.2">
      <c r="A2236" t="s">
        <v>5602</v>
      </c>
      <c r="B2236" t="s">
        <v>5721</v>
      </c>
      <c r="C2236" t="s">
        <v>5722</v>
      </c>
    </row>
    <row r="2237" spans="1:3" x14ac:dyDescent="0.2">
      <c r="A2237" t="s">
        <v>5602</v>
      </c>
      <c r="B2237" t="s">
        <v>5723</v>
      </c>
      <c r="C2237" t="s">
        <v>5724</v>
      </c>
    </row>
    <row r="2238" spans="1:3" x14ac:dyDescent="0.2">
      <c r="A2238" t="s">
        <v>5602</v>
      </c>
      <c r="B2238" t="s">
        <v>5725</v>
      </c>
      <c r="C2238" t="s">
        <v>5726</v>
      </c>
    </row>
    <row r="2239" spans="1:3" x14ac:dyDescent="0.2">
      <c r="A2239" t="s">
        <v>5602</v>
      </c>
      <c r="B2239" t="s">
        <v>5727</v>
      </c>
      <c r="C2239" t="s">
        <v>5728</v>
      </c>
    </row>
    <row r="2240" spans="1:3" x14ac:dyDescent="0.2">
      <c r="A2240" t="s">
        <v>5602</v>
      </c>
      <c r="B2240" t="s">
        <v>5729</v>
      </c>
      <c r="C2240" t="s">
        <v>5730</v>
      </c>
    </row>
    <row r="2241" spans="1:5" x14ac:dyDescent="0.2">
      <c r="A2241" t="s">
        <v>5602</v>
      </c>
      <c r="B2241" t="s">
        <v>5731</v>
      </c>
      <c r="C2241" t="s">
        <v>5732</v>
      </c>
    </row>
    <row r="2242" spans="1:5" x14ac:dyDescent="0.2">
      <c r="A2242" t="s">
        <v>5602</v>
      </c>
      <c r="B2242" t="s">
        <v>5733</v>
      </c>
      <c r="C2242" t="s">
        <v>5734</v>
      </c>
    </row>
    <row r="2243" spans="1:5" x14ac:dyDescent="0.2">
      <c r="A2243" t="s">
        <v>5602</v>
      </c>
      <c r="B2243" t="s">
        <v>5735</v>
      </c>
      <c r="C2243" t="s">
        <v>5736</v>
      </c>
    </row>
    <row r="2244" spans="1:5" x14ac:dyDescent="0.2">
      <c r="A2244" t="s">
        <v>5602</v>
      </c>
      <c r="B2244" t="s">
        <v>5737</v>
      </c>
      <c r="C2244" t="s">
        <v>5738</v>
      </c>
    </row>
    <row r="2245" spans="1:5" x14ac:dyDescent="0.2">
      <c r="A2245" t="s">
        <v>5602</v>
      </c>
      <c r="B2245" t="s">
        <v>5739</v>
      </c>
      <c r="C2245" t="s">
        <v>5740</v>
      </c>
    </row>
    <row r="2246" spans="1:5" x14ac:dyDescent="0.2">
      <c r="A2246" t="s">
        <v>5602</v>
      </c>
      <c r="B2246" t="s">
        <v>5741</v>
      </c>
      <c r="C2246" t="s">
        <v>5742</v>
      </c>
    </row>
    <row r="2247" spans="1:5" x14ac:dyDescent="0.2">
      <c r="A2247" t="s">
        <v>5602</v>
      </c>
      <c r="B2247" t="s">
        <v>5743</v>
      </c>
      <c r="C2247" t="s">
        <v>5744</v>
      </c>
    </row>
    <row r="2248" spans="1:5" x14ac:dyDescent="0.2">
      <c r="A2248" t="s">
        <v>5602</v>
      </c>
      <c r="B2248" t="s">
        <v>5745</v>
      </c>
      <c r="C2248" t="s">
        <v>5746</v>
      </c>
    </row>
    <row r="2249" spans="1:5" x14ac:dyDescent="0.2">
      <c r="A2249" t="s">
        <v>5602</v>
      </c>
      <c r="B2249" t="s">
        <v>5747</v>
      </c>
      <c r="C2249" t="s">
        <v>5748</v>
      </c>
    </row>
    <row r="2250" spans="1:5" x14ac:dyDescent="0.2">
      <c r="A2250" t="s">
        <v>5602</v>
      </c>
      <c r="B2250" t="s">
        <v>5749</v>
      </c>
      <c r="C2250" t="s">
        <v>5750</v>
      </c>
    </row>
    <row r="2251" spans="1:5" x14ac:dyDescent="0.2">
      <c r="A2251" t="s">
        <v>5602</v>
      </c>
      <c r="B2251" t="s">
        <v>5751</v>
      </c>
      <c r="C2251" t="s">
        <v>5752</v>
      </c>
    </row>
    <row r="2252" spans="1:5" x14ac:dyDescent="0.2">
      <c r="A2252" t="s">
        <v>5602</v>
      </c>
      <c r="B2252" t="s">
        <v>5753</v>
      </c>
      <c r="C2252" t="s">
        <v>5754</v>
      </c>
      <c r="E2252"/>
    </row>
    <row r="2253" spans="1:5" x14ac:dyDescent="0.2">
      <c r="A2253" t="s">
        <v>5602</v>
      </c>
      <c r="B2253" t="s">
        <v>5755</v>
      </c>
      <c r="C2253" t="s">
        <v>5756</v>
      </c>
      <c r="E2253"/>
    </row>
    <row r="2254" spans="1:5" x14ac:dyDescent="0.2">
      <c r="A2254" t="s">
        <v>5602</v>
      </c>
      <c r="B2254" t="s">
        <v>5757</v>
      </c>
      <c r="C2254" t="s">
        <v>5758</v>
      </c>
      <c r="E2254"/>
    </row>
    <row r="2255" spans="1:5" x14ac:dyDescent="0.2">
      <c r="A2255" t="s">
        <v>5602</v>
      </c>
      <c r="B2255" t="s">
        <v>5759</v>
      </c>
      <c r="C2255" t="s">
        <v>5760</v>
      </c>
      <c r="E2255"/>
    </row>
    <row r="2256" spans="1:5" x14ac:dyDescent="0.2">
      <c r="A2256" t="s">
        <v>5602</v>
      </c>
      <c r="B2256" t="s">
        <v>5761</v>
      </c>
      <c r="C2256" t="s">
        <v>5762</v>
      </c>
      <c r="E2256"/>
    </row>
    <row r="2257" spans="1:3" x14ac:dyDescent="0.2">
      <c r="A2257" t="s">
        <v>5602</v>
      </c>
      <c r="B2257" t="s">
        <v>5763</v>
      </c>
      <c r="C2257" t="s">
        <v>5764</v>
      </c>
    </row>
    <row r="2258" spans="1:3" x14ac:dyDescent="0.2">
      <c r="A2258" t="s">
        <v>5602</v>
      </c>
      <c r="B2258" t="s">
        <v>5765</v>
      </c>
      <c r="C2258" t="s">
        <v>5766</v>
      </c>
    </row>
    <row r="2259" spans="1:3" x14ac:dyDescent="0.2">
      <c r="A2259" t="s">
        <v>5602</v>
      </c>
      <c r="B2259" t="s">
        <v>5862</v>
      </c>
      <c r="C2259" t="s">
        <v>5861</v>
      </c>
    </row>
    <row r="2260" spans="1:3" x14ac:dyDescent="0.2">
      <c r="A2260" t="s">
        <v>5602</v>
      </c>
      <c r="B2260" t="s">
        <v>5863</v>
      </c>
      <c r="C2260" t="s">
        <v>5864</v>
      </c>
    </row>
    <row r="2261" spans="1:3" x14ac:dyDescent="0.2">
      <c r="A2261" t="s">
        <v>5602</v>
      </c>
      <c r="B2261" t="s">
        <v>5767</v>
      </c>
      <c r="C2261" t="s">
        <v>5768</v>
      </c>
    </row>
    <row r="2262" spans="1:3" x14ac:dyDescent="0.2">
      <c r="A2262" t="s">
        <v>5602</v>
      </c>
      <c r="B2262" t="s">
        <v>5769</v>
      </c>
      <c r="C2262" t="s">
        <v>5770</v>
      </c>
    </row>
    <row r="2263" spans="1:3" x14ac:dyDescent="0.2">
      <c r="A2263" t="s">
        <v>5602</v>
      </c>
      <c r="B2263" t="s">
        <v>5771</v>
      </c>
      <c r="C2263" t="s">
        <v>5772</v>
      </c>
    </row>
    <row r="2264" spans="1:3" x14ac:dyDescent="0.2">
      <c r="A2264" t="s">
        <v>5602</v>
      </c>
      <c r="B2264" t="s">
        <v>5773</v>
      </c>
      <c r="C2264" t="s">
        <v>5774</v>
      </c>
    </row>
    <row r="2265" spans="1:3" x14ac:dyDescent="0.2">
      <c r="A2265" t="s">
        <v>5602</v>
      </c>
      <c r="B2265" t="s">
        <v>5775</v>
      </c>
      <c r="C2265" t="s">
        <v>5776</v>
      </c>
    </row>
    <row r="2266" spans="1:3" x14ac:dyDescent="0.2">
      <c r="A2266" t="s">
        <v>5602</v>
      </c>
      <c r="B2266" t="s">
        <v>5777</v>
      </c>
      <c r="C2266" t="s">
        <v>5778</v>
      </c>
    </row>
    <row r="2267" spans="1:3" x14ac:dyDescent="0.2">
      <c r="A2267" t="s">
        <v>5602</v>
      </c>
      <c r="B2267" t="s">
        <v>5779</v>
      </c>
      <c r="C2267" t="s">
        <v>5780</v>
      </c>
    </row>
    <row r="2268" spans="1:3" x14ac:dyDescent="0.2">
      <c r="A2268" t="s">
        <v>5602</v>
      </c>
      <c r="B2268" t="s">
        <v>5781</v>
      </c>
      <c r="C2268" t="s">
        <v>5782</v>
      </c>
    </row>
    <row r="2269" spans="1:3" x14ac:dyDescent="0.2">
      <c r="A2269" t="s">
        <v>5602</v>
      </c>
      <c r="B2269" t="s">
        <v>5783</v>
      </c>
      <c r="C2269" t="s">
        <v>5784</v>
      </c>
    </row>
    <row r="2270" spans="1:3" x14ac:dyDescent="0.2">
      <c r="A2270" t="s">
        <v>5602</v>
      </c>
      <c r="B2270" t="s">
        <v>5785</v>
      </c>
      <c r="C2270" t="s">
        <v>5600</v>
      </c>
    </row>
    <row r="2271" spans="1:3" x14ac:dyDescent="0.2">
      <c r="A2271" t="s">
        <v>5602</v>
      </c>
      <c r="B2271" t="s">
        <v>5786</v>
      </c>
      <c r="C2271" t="s">
        <v>5601</v>
      </c>
    </row>
    <row r="2273" spans="1:3" x14ac:dyDescent="0.2">
      <c r="A2273" t="s">
        <v>5787</v>
      </c>
      <c r="B2273" t="s">
        <v>5603</v>
      </c>
      <c r="C2273" t="s">
        <v>5604</v>
      </c>
    </row>
    <row r="2274" spans="1:3" x14ac:dyDescent="0.2">
      <c r="A2274" t="s">
        <v>5787</v>
      </c>
      <c r="B2274" t="s">
        <v>5605</v>
      </c>
      <c r="C2274" t="s">
        <v>5606</v>
      </c>
    </row>
    <row r="2275" spans="1:3" x14ac:dyDescent="0.2">
      <c r="A2275" t="s">
        <v>5787</v>
      </c>
      <c r="B2275" t="s">
        <v>5607</v>
      </c>
      <c r="C2275" t="s">
        <v>5608</v>
      </c>
    </row>
    <row r="2276" spans="1:3" x14ac:dyDescent="0.2">
      <c r="A2276" t="s">
        <v>5787</v>
      </c>
      <c r="B2276" t="s">
        <v>5609</v>
      </c>
      <c r="C2276" t="s">
        <v>5610</v>
      </c>
    </row>
    <row r="2277" spans="1:3" x14ac:dyDescent="0.2">
      <c r="A2277" t="s">
        <v>5787</v>
      </c>
      <c r="B2277" t="s">
        <v>5611</v>
      </c>
      <c r="C2277" t="s">
        <v>5612</v>
      </c>
    </row>
    <row r="2278" spans="1:3" x14ac:dyDescent="0.2">
      <c r="A2278" t="s">
        <v>5787</v>
      </c>
      <c r="B2278" t="s">
        <v>5613</v>
      </c>
      <c r="C2278" t="s">
        <v>5614</v>
      </c>
    </row>
    <row r="2279" spans="1:3" x14ac:dyDescent="0.2">
      <c r="A2279" t="s">
        <v>5787</v>
      </c>
      <c r="B2279" t="s">
        <v>5615</v>
      </c>
      <c r="C2279" t="s">
        <v>5616</v>
      </c>
    </row>
    <row r="2280" spans="1:3" x14ac:dyDescent="0.2">
      <c r="A2280" t="s">
        <v>5787</v>
      </c>
      <c r="B2280" t="s">
        <v>5617</v>
      </c>
      <c r="C2280" t="s">
        <v>5618</v>
      </c>
    </row>
    <row r="2281" spans="1:3" x14ac:dyDescent="0.2">
      <c r="A2281" t="s">
        <v>5787</v>
      </c>
      <c r="B2281" t="s">
        <v>5619</v>
      </c>
      <c r="C2281" t="s">
        <v>5620</v>
      </c>
    </row>
    <row r="2282" spans="1:3" x14ac:dyDescent="0.2">
      <c r="A2282" t="s">
        <v>5787</v>
      </c>
      <c r="B2282" t="s">
        <v>5621</v>
      </c>
      <c r="C2282" t="s">
        <v>5622</v>
      </c>
    </row>
    <row r="2283" spans="1:3" x14ac:dyDescent="0.2">
      <c r="A2283" t="s">
        <v>5787</v>
      </c>
      <c r="B2283" t="s">
        <v>5623</v>
      </c>
      <c r="C2283" t="s">
        <v>5624</v>
      </c>
    </row>
    <row r="2284" spans="1:3" x14ac:dyDescent="0.2">
      <c r="A2284" t="s">
        <v>5787</v>
      </c>
      <c r="B2284" t="s">
        <v>5625</v>
      </c>
      <c r="C2284" t="s">
        <v>5626</v>
      </c>
    </row>
    <row r="2285" spans="1:3" x14ac:dyDescent="0.2">
      <c r="A2285" t="s">
        <v>5787</v>
      </c>
      <c r="B2285" t="s">
        <v>5627</v>
      </c>
      <c r="C2285" t="s">
        <v>5628</v>
      </c>
    </row>
    <row r="2286" spans="1:3" x14ac:dyDescent="0.2">
      <c r="A2286" t="s">
        <v>5787</v>
      </c>
      <c r="B2286" t="s">
        <v>5629</v>
      </c>
      <c r="C2286" t="s">
        <v>5630</v>
      </c>
    </row>
    <row r="2287" spans="1:3" x14ac:dyDescent="0.2">
      <c r="A2287" t="s">
        <v>5787</v>
      </c>
      <c r="B2287" t="s">
        <v>5631</v>
      </c>
      <c r="C2287" t="s">
        <v>5632</v>
      </c>
    </row>
    <row r="2288" spans="1:3" x14ac:dyDescent="0.2">
      <c r="A2288" t="s">
        <v>5787</v>
      </c>
      <c r="B2288" t="s">
        <v>5633</v>
      </c>
      <c r="C2288" t="s">
        <v>5634</v>
      </c>
    </row>
    <row r="2289" spans="1:3" x14ac:dyDescent="0.2">
      <c r="A2289" t="s">
        <v>5787</v>
      </c>
      <c r="B2289" t="s">
        <v>5635</v>
      </c>
      <c r="C2289" t="s">
        <v>5636</v>
      </c>
    </row>
    <row r="2290" spans="1:3" x14ac:dyDescent="0.2">
      <c r="A2290" t="s">
        <v>5787</v>
      </c>
      <c r="B2290" t="s">
        <v>5637</v>
      </c>
      <c r="C2290" t="s">
        <v>5638</v>
      </c>
    </row>
    <row r="2291" spans="1:3" x14ac:dyDescent="0.2">
      <c r="A2291" t="s">
        <v>5787</v>
      </c>
      <c r="B2291" t="s">
        <v>5639</v>
      </c>
      <c r="C2291" t="s">
        <v>5640</v>
      </c>
    </row>
    <row r="2292" spans="1:3" x14ac:dyDescent="0.2">
      <c r="A2292" t="s">
        <v>5787</v>
      </c>
      <c r="B2292" t="s">
        <v>5641</v>
      </c>
      <c r="C2292" t="s">
        <v>5642</v>
      </c>
    </row>
    <row r="2293" spans="1:3" x14ac:dyDescent="0.2">
      <c r="A2293" t="s">
        <v>5787</v>
      </c>
      <c r="B2293" t="s">
        <v>5643</v>
      </c>
      <c r="C2293" t="s">
        <v>5644</v>
      </c>
    </row>
    <row r="2294" spans="1:3" x14ac:dyDescent="0.2">
      <c r="A2294" t="s">
        <v>5787</v>
      </c>
      <c r="B2294" t="s">
        <v>5645</v>
      </c>
      <c r="C2294" t="s">
        <v>5646</v>
      </c>
    </row>
    <row r="2295" spans="1:3" x14ac:dyDescent="0.2">
      <c r="A2295" t="s">
        <v>5787</v>
      </c>
      <c r="B2295" t="s">
        <v>5647</v>
      </c>
      <c r="C2295" t="s">
        <v>5648</v>
      </c>
    </row>
    <row r="2296" spans="1:3" x14ac:dyDescent="0.2">
      <c r="A2296" t="s">
        <v>5787</v>
      </c>
      <c r="B2296" t="s">
        <v>5649</v>
      </c>
      <c r="C2296" t="s">
        <v>5650</v>
      </c>
    </row>
    <row r="2297" spans="1:3" x14ac:dyDescent="0.2">
      <c r="A2297" t="s">
        <v>5787</v>
      </c>
      <c r="B2297" t="s">
        <v>5651</v>
      </c>
      <c r="C2297" t="s">
        <v>5652</v>
      </c>
    </row>
    <row r="2298" spans="1:3" x14ac:dyDescent="0.2">
      <c r="A2298" t="s">
        <v>5787</v>
      </c>
      <c r="B2298" t="s">
        <v>5653</v>
      </c>
      <c r="C2298" t="s">
        <v>5654</v>
      </c>
    </row>
    <row r="2299" spans="1:3" x14ac:dyDescent="0.2">
      <c r="A2299" t="s">
        <v>5787</v>
      </c>
      <c r="B2299" t="s">
        <v>5655</v>
      </c>
      <c r="C2299" t="s">
        <v>5656</v>
      </c>
    </row>
    <row r="2300" spans="1:3" x14ac:dyDescent="0.2">
      <c r="A2300" t="s">
        <v>5787</v>
      </c>
      <c r="B2300" t="s">
        <v>5657</v>
      </c>
      <c r="C2300" t="s">
        <v>5658</v>
      </c>
    </row>
    <row r="2301" spans="1:3" x14ac:dyDescent="0.2">
      <c r="A2301" t="s">
        <v>5787</v>
      </c>
      <c r="B2301" t="s">
        <v>5659</v>
      </c>
      <c r="C2301" t="s">
        <v>5660</v>
      </c>
    </row>
    <row r="2302" spans="1:3" x14ac:dyDescent="0.2">
      <c r="A2302" t="s">
        <v>5787</v>
      </c>
      <c r="B2302" t="s">
        <v>5661</v>
      </c>
      <c r="C2302" t="s">
        <v>5662</v>
      </c>
    </row>
    <row r="2303" spans="1:3" x14ac:dyDescent="0.2">
      <c r="A2303" t="s">
        <v>5787</v>
      </c>
      <c r="B2303" t="s">
        <v>5663</v>
      </c>
      <c r="C2303" t="s">
        <v>5664</v>
      </c>
    </row>
    <row r="2304" spans="1:3" x14ac:dyDescent="0.2">
      <c r="A2304" t="s">
        <v>5787</v>
      </c>
      <c r="B2304" t="s">
        <v>5665</v>
      </c>
      <c r="C2304" t="s">
        <v>5666</v>
      </c>
    </row>
    <row r="2305" spans="1:3" x14ac:dyDescent="0.2">
      <c r="A2305" t="s">
        <v>5787</v>
      </c>
      <c r="B2305" t="s">
        <v>5667</v>
      </c>
      <c r="C2305" t="s">
        <v>5668</v>
      </c>
    </row>
    <row r="2306" spans="1:3" x14ac:dyDescent="0.2">
      <c r="A2306" t="s">
        <v>5787</v>
      </c>
      <c r="B2306" t="s">
        <v>5669</v>
      </c>
      <c r="C2306" t="s">
        <v>5670</v>
      </c>
    </row>
    <row r="2307" spans="1:3" x14ac:dyDescent="0.2">
      <c r="A2307" t="s">
        <v>5787</v>
      </c>
      <c r="B2307" t="s">
        <v>5671</v>
      </c>
      <c r="C2307" t="s">
        <v>5672</v>
      </c>
    </row>
    <row r="2308" spans="1:3" x14ac:dyDescent="0.2">
      <c r="A2308" t="s">
        <v>5787</v>
      </c>
      <c r="B2308" t="s">
        <v>5673</v>
      </c>
      <c r="C2308" t="s">
        <v>5674</v>
      </c>
    </row>
    <row r="2309" spans="1:3" x14ac:dyDescent="0.2">
      <c r="A2309" t="s">
        <v>5787</v>
      </c>
      <c r="B2309" t="s">
        <v>5675</v>
      </c>
      <c r="C2309" t="s">
        <v>5676</v>
      </c>
    </row>
    <row r="2310" spans="1:3" x14ac:dyDescent="0.2">
      <c r="A2310" t="s">
        <v>5787</v>
      </c>
      <c r="B2310" t="s">
        <v>5677</v>
      </c>
      <c r="C2310" t="s">
        <v>5678</v>
      </c>
    </row>
    <row r="2311" spans="1:3" x14ac:dyDescent="0.2">
      <c r="A2311" t="s">
        <v>5787</v>
      </c>
      <c r="B2311" t="s">
        <v>5679</v>
      </c>
      <c r="C2311" t="s">
        <v>5680</v>
      </c>
    </row>
    <row r="2312" spans="1:3" x14ac:dyDescent="0.2">
      <c r="A2312" t="s">
        <v>5787</v>
      </c>
      <c r="B2312" t="s">
        <v>5681</v>
      </c>
      <c r="C2312" t="s">
        <v>5682</v>
      </c>
    </row>
    <row r="2313" spans="1:3" x14ac:dyDescent="0.2">
      <c r="A2313" t="s">
        <v>5787</v>
      </c>
      <c r="B2313" t="s">
        <v>5683</v>
      </c>
      <c r="C2313" t="s">
        <v>5684</v>
      </c>
    </row>
    <row r="2314" spans="1:3" x14ac:dyDescent="0.2">
      <c r="A2314" t="s">
        <v>5787</v>
      </c>
      <c r="B2314" t="s">
        <v>5685</v>
      </c>
      <c r="C2314" t="s">
        <v>5686</v>
      </c>
    </row>
    <row r="2315" spans="1:3" x14ac:dyDescent="0.2">
      <c r="A2315" t="s">
        <v>5787</v>
      </c>
      <c r="B2315" t="s">
        <v>5687</v>
      </c>
      <c r="C2315" t="s">
        <v>5688</v>
      </c>
    </row>
    <row r="2316" spans="1:3" x14ac:dyDescent="0.2">
      <c r="A2316" t="s">
        <v>5787</v>
      </c>
      <c r="B2316" t="s">
        <v>5689</v>
      </c>
      <c r="C2316" t="s">
        <v>5690</v>
      </c>
    </row>
    <row r="2317" spans="1:3" x14ac:dyDescent="0.2">
      <c r="A2317" t="s">
        <v>5787</v>
      </c>
      <c r="B2317" t="s">
        <v>5691</v>
      </c>
      <c r="C2317" t="s">
        <v>5692</v>
      </c>
    </row>
    <row r="2318" spans="1:3" x14ac:dyDescent="0.2">
      <c r="A2318" t="s">
        <v>5787</v>
      </c>
      <c r="B2318" t="s">
        <v>5693</v>
      </c>
      <c r="C2318" t="s">
        <v>5694</v>
      </c>
    </row>
    <row r="2319" spans="1:3" x14ac:dyDescent="0.2">
      <c r="A2319" t="s">
        <v>5787</v>
      </c>
      <c r="B2319" t="s">
        <v>5695</v>
      </c>
      <c r="C2319" t="s">
        <v>5696</v>
      </c>
    </row>
    <row r="2320" spans="1:3" x14ac:dyDescent="0.2">
      <c r="A2320" t="s">
        <v>5787</v>
      </c>
      <c r="B2320" t="s">
        <v>5697</v>
      </c>
      <c r="C2320" t="s">
        <v>5698</v>
      </c>
    </row>
    <row r="2321" spans="1:3" x14ac:dyDescent="0.2">
      <c r="A2321" t="s">
        <v>5787</v>
      </c>
      <c r="B2321" t="s">
        <v>5699</v>
      </c>
      <c r="C2321" t="s">
        <v>5700</v>
      </c>
    </row>
    <row r="2322" spans="1:3" x14ac:dyDescent="0.2">
      <c r="A2322" t="s">
        <v>5787</v>
      </c>
      <c r="B2322" t="s">
        <v>5701</v>
      </c>
      <c r="C2322" t="s">
        <v>5702</v>
      </c>
    </row>
    <row r="2323" spans="1:3" x14ac:dyDescent="0.2">
      <c r="A2323" t="s">
        <v>5787</v>
      </c>
      <c r="B2323" t="s">
        <v>5703</v>
      </c>
      <c r="C2323" t="s">
        <v>5704</v>
      </c>
    </row>
    <row r="2324" spans="1:3" x14ac:dyDescent="0.2">
      <c r="A2324" t="s">
        <v>5787</v>
      </c>
      <c r="B2324" t="s">
        <v>5705</v>
      </c>
      <c r="C2324" t="s">
        <v>5706</v>
      </c>
    </row>
    <row r="2325" spans="1:3" x14ac:dyDescent="0.2">
      <c r="A2325" t="s">
        <v>5787</v>
      </c>
      <c r="B2325" t="s">
        <v>5707</v>
      </c>
      <c r="C2325" t="s">
        <v>5708</v>
      </c>
    </row>
    <row r="2326" spans="1:3" x14ac:dyDescent="0.2">
      <c r="A2326" t="s">
        <v>5787</v>
      </c>
      <c r="B2326" t="s">
        <v>5709</v>
      </c>
      <c r="C2326" t="s">
        <v>5710</v>
      </c>
    </row>
    <row r="2327" spans="1:3" x14ac:dyDescent="0.2">
      <c r="A2327" t="s">
        <v>5787</v>
      </c>
      <c r="B2327" t="s">
        <v>5711</v>
      </c>
      <c r="C2327" t="s">
        <v>5712</v>
      </c>
    </row>
    <row r="2328" spans="1:3" x14ac:dyDescent="0.2">
      <c r="A2328" t="s">
        <v>5787</v>
      </c>
      <c r="B2328" t="s">
        <v>5713</v>
      </c>
      <c r="C2328" t="s">
        <v>5714</v>
      </c>
    </row>
    <row r="2329" spans="1:3" x14ac:dyDescent="0.2">
      <c r="A2329" t="s">
        <v>5787</v>
      </c>
      <c r="B2329" t="s">
        <v>5715</v>
      </c>
      <c r="C2329" t="s">
        <v>5716</v>
      </c>
    </row>
    <row r="2330" spans="1:3" x14ac:dyDescent="0.2">
      <c r="A2330" t="s">
        <v>5787</v>
      </c>
      <c r="B2330" t="s">
        <v>5717</v>
      </c>
      <c r="C2330" t="s">
        <v>5718</v>
      </c>
    </row>
    <row r="2331" spans="1:3" x14ac:dyDescent="0.2">
      <c r="A2331" t="s">
        <v>5787</v>
      </c>
      <c r="B2331" t="s">
        <v>5719</v>
      </c>
      <c r="C2331" t="s">
        <v>5720</v>
      </c>
    </row>
    <row r="2332" spans="1:3" x14ac:dyDescent="0.2">
      <c r="A2332" t="s">
        <v>5787</v>
      </c>
      <c r="B2332" t="s">
        <v>5721</v>
      </c>
      <c r="C2332" t="s">
        <v>5722</v>
      </c>
    </row>
    <row r="2333" spans="1:3" x14ac:dyDescent="0.2">
      <c r="A2333" t="s">
        <v>5787</v>
      </c>
      <c r="B2333" t="s">
        <v>5723</v>
      </c>
      <c r="C2333" t="s">
        <v>5724</v>
      </c>
    </row>
    <row r="2334" spans="1:3" x14ac:dyDescent="0.2">
      <c r="A2334" t="s">
        <v>5787</v>
      </c>
      <c r="B2334" t="s">
        <v>5725</v>
      </c>
      <c r="C2334" t="s">
        <v>5726</v>
      </c>
    </row>
    <row r="2335" spans="1:3" x14ac:dyDescent="0.2">
      <c r="A2335" t="s">
        <v>5787</v>
      </c>
      <c r="B2335" t="s">
        <v>5727</v>
      </c>
      <c r="C2335" t="s">
        <v>5728</v>
      </c>
    </row>
    <row r="2336" spans="1:3" x14ac:dyDescent="0.2">
      <c r="A2336" t="s">
        <v>5787</v>
      </c>
      <c r="B2336" t="s">
        <v>5729</v>
      </c>
      <c r="C2336" t="s">
        <v>5730</v>
      </c>
    </row>
    <row r="2337" spans="1:3" x14ac:dyDescent="0.2">
      <c r="A2337" t="s">
        <v>5787</v>
      </c>
      <c r="B2337" t="s">
        <v>5731</v>
      </c>
      <c r="C2337" t="s">
        <v>5732</v>
      </c>
    </row>
    <row r="2338" spans="1:3" x14ac:dyDescent="0.2">
      <c r="A2338" t="s">
        <v>5787</v>
      </c>
      <c r="B2338" t="s">
        <v>5733</v>
      </c>
      <c r="C2338" t="s">
        <v>5734</v>
      </c>
    </row>
    <row r="2339" spans="1:3" x14ac:dyDescent="0.2">
      <c r="A2339" t="s">
        <v>5787</v>
      </c>
      <c r="B2339" t="s">
        <v>5735</v>
      </c>
      <c r="C2339" t="s">
        <v>5736</v>
      </c>
    </row>
    <row r="2340" spans="1:3" x14ac:dyDescent="0.2">
      <c r="A2340" t="s">
        <v>5787</v>
      </c>
      <c r="B2340" t="s">
        <v>5737</v>
      </c>
      <c r="C2340" t="s">
        <v>5738</v>
      </c>
    </row>
    <row r="2341" spans="1:3" x14ac:dyDescent="0.2">
      <c r="A2341" t="s">
        <v>5787</v>
      </c>
      <c r="B2341" t="s">
        <v>5739</v>
      </c>
      <c r="C2341" t="s">
        <v>5740</v>
      </c>
    </row>
    <row r="2342" spans="1:3" x14ac:dyDescent="0.2">
      <c r="A2342" t="s">
        <v>5787</v>
      </c>
      <c r="B2342" t="s">
        <v>5741</v>
      </c>
      <c r="C2342" t="s">
        <v>5742</v>
      </c>
    </row>
    <row r="2343" spans="1:3" x14ac:dyDescent="0.2">
      <c r="A2343" t="s">
        <v>5787</v>
      </c>
      <c r="B2343" t="s">
        <v>5743</v>
      </c>
      <c r="C2343" t="s">
        <v>5744</v>
      </c>
    </row>
    <row r="2344" spans="1:3" x14ac:dyDescent="0.2">
      <c r="A2344" t="s">
        <v>5787</v>
      </c>
      <c r="B2344" t="s">
        <v>5745</v>
      </c>
      <c r="C2344" t="s">
        <v>5746</v>
      </c>
    </row>
    <row r="2345" spans="1:3" x14ac:dyDescent="0.2">
      <c r="A2345" t="s">
        <v>5787</v>
      </c>
      <c r="B2345" t="s">
        <v>5747</v>
      </c>
      <c r="C2345" t="s">
        <v>5748</v>
      </c>
    </row>
    <row r="2346" spans="1:3" x14ac:dyDescent="0.2">
      <c r="A2346" t="s">
        <v>5787</v>
      </c>
      <c r="B2346" t="s">
        <v>5749</v>
      </c>
      <c r="C2346" t="s">
        <v>5750</v>
      </c>
    </row>
    <row r="2347" spans="1:3" x14ac:dyDescent="0.2">
      <c r="A2347" t="s">
        <v>5787</v>
      </c>
      <c r="B2347" t="s">
        <v>5751</v>
      </c>
      <c r="C2347" t="s">
        <v>5752</v>
      </c>
    </row>
    <row r="2348" spans="1:3" x14ac:dyDescent="0.2">
      <c r="A2348" t="s">
        <v>5787</v>
      </c>
      <c r="B2348" t="s">
        <v>5753</v>
      </c>
      <c r="C2348" t="s">
        <v>5754</v>
      </c>
    </row>
    <row r="2349" spans="1:3" x14ac:dyDescent="0.2">
      <c r="A2349" t="s">
        <v>5787</v>
      </c>
      <c r="B2349" t="s">
        <v>5755</v>
      </c>
      <c r="C2349" t="s">
        <v>5756</v>
      </c>
    </row>
    <row r="2350" spans="1:3" x14ac:dyDescent="0.2">
      <c r="A2350" t="s">
        <v>5787</v>
      </c>
      <c r="B2350" t="s">
        <v>5757</v>
      </c>
      <c r="C2350" t="s">
        <v>5758</v>
      </c>
    </row>
    <row r="2351" spans="1:3" x14ac:dyDescent="0.2">
      <c r="A2351" t="s">
        <v>5787</v>
      </c>
      <c r="B2351" t="s">
        <v>5759</v>
      </c>
      <c r="C2351" t="s">
        <v>5760</v>
      </c>
    </row>
    <row r="2352" spans="1:3" x14ac:dyDescent="0.2">
      <c r="A2352" t="s">
        <v>5787</v>
      </c>
      <c r="B2352" t="s">
        <v>5761</v>
      </c>
      <c r="C2352" t="s">
        <v>5762</v>
      </c>
    </row>
    <row r="2353" spans="1:3" x14ac:dyDescent="0.2">
      <c r="A2353" t="s">
        <v>5787</v>
      </c>
      <c r="B2353" t="s">
        <v>5763</v>
      </c>
      <c r="C2353" t="s">
        <v>5764</v>
      </c>
    </row>
    <row r="2354" spans="1:3" x14ac:dyDescent="0.2">
      <c r="A2354" t="s">
        <v>5787</v>
      </c>
      <c r="B2354" t="s">
        <v>5765</v>
      </c>
      <c r="C2354" t="s">
        <v>5766</v>
      </c>
    </row>
    <row r="2355" spans="1:3" x14ac:dyDescent="0.2">
      <c r="A2355" t="s">
        <v>5787</v>
      </c>
      <c r="B2355" t="s">
        <v>5862</v>
      </c>
      <c r="C2355" t="s">
        <v>5861</v>
      </c>
    </row>
    <row r="2356" spans="1:3" x14ac:dyDescent="0.2">
      <c r="A2356" t="s">
        <v>5787</v>
      </c>
      <c r="B2356" t="s">
        <v>5863</v>
      </c>
      <c r="C2356" t="s">
        <v>5864</v>
      </c>
    </row>
    <row r="2357" spans="1:3" x14ac:dyDescent="0.2">
      <c r="A2357" t="s">
        <v>5787</v>
      </c>
      <c r="B2357" t="s">
        <v>5767</v>
      </c>
      <c r="C2357" t="s">
        <v>5768</v>
      </c>
    </row>
    <row r="2358" spans="1:3" x14ac:dyDescent="0.2">
      <c r="A2358" t="s">
        <v>5787</v>
      </c>
      <c r="B2358" t="s">
        <v>5769</v>
      </c>
      <c r="C2358" t="s">
        <v>5770</v>
      </c>
    </row>
    <row r="2359" spans="1:3" x14ac:dyDescent="0.2">
      <c r="A2359" t="s">
        <v>5787</v>
      </c>
      <c r="B2359" t="s">
        <v>5771</v>
      </c>
      <c r="C2359" t="s">
        <v>5772</v>
      </c>
    </row>
    <row r="2360" spans="1:3" x14ac:dyDescent="0.2">
      <c r="A2360" t="s">
        <v>5787</v>
      </c>
      <c r="B2360" t="s">
        <v>5773</v>
      </c>
      <c r="C2360" t="s">
        <v>5774</v>
      </c>
    </row>
    <row r="2361" spans="1:3" x14ac:dyDescent="0.2">
      <c r="A2361" t="s">
        <v>5787</v>
      </c>
      <c r="B2361" t="s">
        <v>5775</v>
      </c>
      <c r="C2361" t="s">
        <v>5776</v>
      </c>
    </row>
    <row r="2362" spans="1:3" x14ac:dyDescent="0.2">
      <c r="A2362" t="s">
        <v>5787</v>
      </c>
      <c r="B2362" t="s">
        <v>5777</v>
      </c>
      <c r="C2362" t="s">
        <v>5778</v>
      </c>
    </row>
    <row r="2363" spans="1:3" x14ac:dyDescent="0.2">
      <c r="A2363" t="s">
        <v>5787</v>
      </c>
      <c r="B2363" t="s">
        <v>5779</v>
      </c>
      <c r="C2363" t="s">
        <v>5780</v>
      </c>
    </row>
    <row r="2364" spans="1:3" x14ac:dyDescent="0.2">
      <c r="A2364" t="s">
        <v>5787</v>
      </c>
      <c r="B2364" t="s">
        <v>5781</v>
      </c>
      <c r="C2364" t="s">
        <v>5782</v>
      </c>
    </row>
    <row r="2365" spans="1:3" x14ac:dyDescent="0.2">
      <c r="A2365" t="s">
        <v>5787</v>
      </c>
      <c r="B2365" t="s">
        <v>5788</v>
      </c>
      <c r="C2365" t="s">
        <v>5789</v>
      </c>
    </row>
    <row r="2366" spans="1:3" x14ac:dyDescent="0.2">
      <c r="A2366" t="s">
        <v>5787</v>
      </c>
      <c r="B2366" t="s">
        <v>5785</v>
      </c>
      <c r="C2366" t="s">
        <v>5600</v>
      </c>
    </row>
    <row r="2367" spans="1:3" x14ac:dyDescent="0.2">
      <c r="A2367" t="s">
        <v>5787</v>
      </c>
      <c r="B2367" t="s">
        <v>5786</v>
      </c>
      <c r="C2367" t="s">
        <v>5601</v>
      </c>
    </row>
    <row r="2369" spans="1:3" x14ac:dyDescent="0.2">
      <c r="A2369" t="s">
        <v>5790</v>
      </c>
      <c r="B2369" t="s">
        <v>5603</v>
      </c>
      <c r="C2369" t="s">
        <v>5604</v>
      </c>
    </row>
    <row r="2370" spans="1:3" x14ac:dyDescent="0.2">
      <c r="A2370" t="s">
        <v>5790</v>
      </c>
      <c r="B2370" t="s">
        <v>5605</v>
      </c>
      <c r="C2370" t="s">
        <v>5606</v>
      </c>
    </row>
    <row r="2371" spans="1:3" x14ac:dyDescent="0.2">
      <c r="A2371" t="s">
        <v>5790</v>
      </c>
      <c r="B2371" t="s">
        <v>5607</v>
      </c>
      <c r="C2371" t="s">
        <v>5608</v>
      </c>
    </row>
    <row r="2372" spans="1:3" x14ac:dyDescent="0.2">
      <c r="A2372" t="s">
        <v>5790</v>
      </c>
      <c r="B2372" t="s">
        <v>5609</v>
      </c>
      <c r="C2372" t="s">
        <v>5610</v>
      </c>
    </row>
    <row r="2373" spans="1:3" x14ac:dyDescent="0.2">
      <c r="A2373" t="s">
        <v>5790</v>
      </c>
      <c r="B2373" t="s">
        <v>5611</v>
      </c>
      <c r="C2373" t="s">
        <v>5612</v>
      </c>
    </row>
    <row r="2374" spans="1:3" x14ac:dyDescent="0.2">
      <c r="A2374" t="s">
        <v>5790</v>
      </c>
      <c r="B2374" t="s">
        <v>5613</v>
      </c>
      <c r="C2374" t="s">
        <v>5614</v>
      </c>
    </row>
    <row r="2375" spans="1:3" x14ac:dyDescent="0.2">
      <c r="A2375" t="s">
        <v>5790</v>
      </c>
      <c r="B2375" t="s">
        <v>5615</v>
      </c>
      <c r="C2375" t="s">
        <v>5616</v>
      </c>
    </row>
    <row r="2376" spans="1:3" x14ac:dyDescent="0.2">
      <c r="A2376" t="s">
        <v>5790</v>
      </c>
      <c r="B2376" t="s">
        <v>5617</v>
      </c>
      <c r="C2376" t="s">
        <v>5618</v>
      </c>
    </row>
    <row r="2377" spans="1:3" x14ac:dyDescent="0.2">
      <c r="A2377" t="s">
        <v>5790</v>
      </c>
      <c r="B2377" t="s">
        <v>5619</v>
      </c>
      <c r="C2377" t="s">
        <v>5620</v>
      </c>
    </row>
    <row r="2378" spans="1:3" x14ac:dyDescent="0.2">
      <c r="A2378" t="s">
        <v>5790</v>
      </c>
      <c r="B2378" t="s">
        <v>5621</v>
      </c>
      <c r="C2378" t="s">
        <v>5622</v>
      </c>
    </row>
    <row r="2379" spans="1:3" x14ac:dyDescent="0.2">
      <c r="A2379" t="s">
        <v>5790</v>
      </c>
      <c r="B2379" t="s">
        <v>5623</v>
      </c>
      <c r="C2379" t="s">
        <v>5624</v>
      </c>
    </row>
    <row r="2380" spans="1:3" x14ac:dyDescent="0.2">
      <c r="A2380" t="s">
        <v>5790</v>
      </c>
      <c r="B2380" t="s">
        <v>5625</v>
      </c>
      <c r="C2380" t="s">
        <v>5626</v>
      </c>
    </row>
    <row r="2381" spans="1:3" x14ac:dyDescent="0.2">
      <c r="A2381" t="s">
        <v>5790</v>
      </c>
      <c r="B2381" t="s">
        <v>5627</v>
      </c>
      <c r="C2381" t="s">
        <v>5628</v>
      </c>
    </row>
    <row r="2382" spans="1:3" x14ac:dyDescent="0.2">
      <c r="A2382" t="s">
        <v>5790</v>
      </c>
      <c r="B2382" t="s">
        <v>5629</v>
      </c>
      <c r="C2382" t="s">
        <v>5630</v>
      </c>
    </row>
    <row r="2383" spans="1:3" x14ac:dyDescent="0.2">
      <c r="A2383" t="s">
        <v>5790</v>
      </c>
      <c r="B2383" t="s">
        <v>5631</v>
      </c>
      <c r="C2383" t="s">
        <v>5632</v>
      </c>
    </row>
    <row r="2384" spans="1:3" x14ac:dyDescent="0.2">
      <c r="A2384" t="s">
        <v>5790</v>
      </c>
      <c r="B2384" t="s">
        <v>5633</v>
      </c>
      <c r="C2384" t="s">
        <v>5634</v>
      </c>
    </row>
    <row r="2385" spans="1:3" x14ac:dyDescent="0.2">
      <c r="A2385" t="s">
        <v>5790</v>
      </c>
      <c r="B2385" t="s">
        <v>5635</v>
      </c>
      <c r="C2385" t="s">
        <v>5636</v>
      </c>
    </row>
    <row r="2386" spans="1:3" x14ac:dyDescent="0.2">
      <c r="A2386" t="s">
        <v>5790</v>
      </c>
      <c r="B2386" t="s">
        <v>5637</v>
      </c>
      <c r="C2386" t="s">
        <v>5638</v>
      </c>
    </row>
    <row r="2387" spans="1:3" x14ac:dyDescent="0.2">
      <c r="A2387" t="s">
        <v>5790</v>
      </c>
      <c r="B2387" t="s">
        <v>5639</v>
      </c>
      <c r="C2387" t="s">
        <v>5640</v>
      </c>
    </row>
    <row r="2388" spans="1:3" x14ac:dyDescent="0.2">
      <c r="A2388" t="s">
        <v>5790</v>
      </c>
      <c r="B2388" t="s">
        <v>5641</v>
      </c>
      <c r="C2388" t="s">
        <v>5642</v>
      </c>
    </row>
    <row r="2389" spans="1:3" x14ac:dyDescent="0.2">
      <c r="A2389" t="s">
        <v>5790</v>
      </c>
      <c r="B2389" t="s">
        <v>5643</v>
      </c>
      <c r="C2389" t="s">
        <v>5644</v>
      </c>
    </row>
    <row r="2390" spans="1:3" x14ac:dyDescent="0.2">
      <c r="A2390" t="s">
        <v>5790</v>
      </c>
      <c r="B2390" t="s">
        <v>5645</v>
      </c>
      <c r="C2390" t="s">
        <v>5646</v>
      </c>
    </row>
    <row r="2391" spans="1:3" x14ac:dyDescent="0.2">
      <c r="A2391" t="s">
        <v>5790</v>
      </c>
      <c r="B2391" t="s">
        <v>5647</v>
      </c>
      <c r="C2391" t="s">
        <v>5648</v>
      </c>
    </row>
    <row r="2392" spans="1:3" x14ac:dyDescent="0.2">
      <c r="A2392" t="s">
        <v>5790</v>
      </c>
      <c r="B2392" t="s">
        <v>5649</v>
      </c>
      <c r="C2392" t="s">
        <v>5650</v>
      </c>
    </row>
    <row r="2393" spans="1:3" x14ac:dyDescent="0.2">
      <c r="A2393" t="s">
        <v>5790</v>
      </c>
      <c r="B2393" t="s">
        <v>5651</v>
      </c>
      <c r="C2393" t="s">
        <v>5652</v>
      </c>
    </row>
    <row r="2394" spans="1:3" x14ac:dyDescent="0.2">
      <c r="A2394" t="s">
        <v>5790</v>
      </c>
      <c r="B2394" t="s">
        <v>5653</v>
      </c>
      <c r="C2394" t="s">
        <v>5654</v>
      </c>
    </row>
    <row r="2395" spans="1:3" x14ac:dyDescent="0.2">
      <c r="A2395" t="s">
        <v>5790</v>
      </c>
      <c r="B2395" t="s">
        <v>5655</v>
      </c>
      <c r="C2395" t="s">
        <v>5656</v>
      </c>
    </row>
    <row r="2396" spans="1:3" x14ac:dyDescent="0.2">
      <c r="A2396" t="s">
        <v>5790</v>
      </c>
      <c r="B2396" t="s">
        <v>5657</v>
      </c>
      <c r="C2396" t="s">
        <v>5658</v>
      </c>
    </row>
    <row r="2397" spans="1:3" x14ac:dyDescent="0.2">
      <c r="A2397" t="s">
        <v>5790</v>
      </c>
      <c r="B2397" t="s">
        <v>5659</v>
      </c>
      <c r="C2397" t="s">
        <v>5660</v>
      </c>
    </row>
    <row r="2398" spans="1:3" x14ac:dyDescent="0.2">
      <c r="A2398" t="s">
        <v>5790</v>
      </c>
      <c r="B2398" t="s">
        <v>5661</v>
      </c>
      <c r="C2398" t="s">
        <v>5662</v>
      </c>
    </row>
    <row r="2399" spans="1:3" x14ac:dyDescent="0.2">
      <c r="A2399" t="s">
        <v>5790</v>
      </c>
      <c r="B2399" t="s">
        <v>5663</v>
      </c>
      <c r="C2399" t="s">
        <v>5664</v>
      </c>
    </row>
    <row r="2400" spans="1:3" x14ac:dyDescent="0.2">
      <c r="A2400" t="s">
        <v>5790</v>
      </c>
      <c r="B2400" t="s">
        <v>5665</v>
      </c>
      <c r="C2400" t="s">
        <v>5666</v>
      </c>
    </row>
    <row r="2401" spans="1:3" x14ac:dyDescent="0.2">
      <c r="A2401" t="s">
        <v>5790</v>
      </c>
      <c r="B2401" t="s">
        <v>5667</v>
      </c>
      <c r="C2401" t="s">
        <v>5668</v>
      </c>
    </row>
    <row r="2402" spans="1:3" x14ac:dyDescent="0.2">
      <c r="A2402" t="s">
        <v>5790</v>
      </c>
      <c r="B2402" t="s">
        <v>5669</v>
      </c>
      <c r="C2402" t="s">
        <v>5670</v>
      </c>
    </row>
    <row r="2403" spans="1:3" x14ac:dyDescent="0.2">
      <c r="A2403" t="s">
        <v>5790</v>
      </c>
      <c r="B2403" t="s">
        <v>5671</v>
      </c>
      <c r="C2403" t="s">
        <v>5672</v>
      </c>
    </row>
    <row r="2404" spans="1:3" x14ac:dyDescent="0.2">
      <c r="A2404" t="s">
        <v>5790</v>
      </c>
      <c r="B2404" t="s">
        <v>5673</v>
      </c>
      <c r="C2404" t="s">
        <v>5674</v>
      </c>
    </row>
    <row r="2405" spans="1:3" x14ac:dyDescent="0.2">
      <c r="A2405" t="s">
        <v>5790</v>
      </c>
      <c r="B2405" t="s">
        <v>5675</v>
      </c>
      <c r="C2405" t="s">
        <v>5676</v>
      </c>
    </row>
    <row r="2406" spans="1:3" x14ac:dyDescent="0.2">
      <c r="A2406" t="s">
        <v>5790</v>
      </c>
      <c r="B2406" t="s">
        <v>5677</v>
      </c>
      <c r="C2406" t="s">
        <v>5678</v>
      </c>
    </row>
    <row r="2407" spans="1:3" x14ac:dyDescent="0.2">
      <c r="A2407" t="s">
        <v>5790</v>
      </c>
      <c r="B2407" t="s">
        <v>5679</v>
      </c>
      <c r="C2407" t="s">
        <v>5680</v>
      </c>
    </row>
    <row r="2408" spans="1:3" x14ac:dyDescent="0.2">
      <c r="A2408" t="s">
        <v>5790</v>
      </c>
      <c r="B2408" t="s">
        <v>5681</v>
      </c>
      <c r="C2408" t="s">
        <v>5682</v>
      </c>
    </row>
    <row r="2409" spans="1:3" x14ac:dyDescent="0.2">
      <c r="A2409" t="s">
        <v>5790</v>
      </c>
      <c r="B2409" t="s">
        <v>5683</v>
      </c>
      <c r="C2409" t="s">
        <v>5684</v>
      </c>
    </row>
    <row r="2410" spans="1:3" x14ac:dyDescent="0.2">
      <c r="A2410" t="s">
        <v>5790</v>
      </c>
      <c r="B2410" t="s">
        <v>5685</v>
      </c>
      <c r="C2410" t="s">
        <v>5686</v>
      </c>
    </row>
    <row r="2411" spans="1:3" x14ac:dyDescent="0.2">
      <c r="A2411" t="s">
        <v>5790</v>
      </c>
      <c r="B2411" t="s">
        <v>5687</v>
      </c>
      <c r="C2411" t="s">
        <v>5688</v>
      </c>
    </row>
    <row r="2412" spans="1:3" x14ac:dyDescent="0.2">
      <c r="A2412" t="s">
        <v>5790</v>
      </c>
      <c r="B2412" t="s">
        <v>5689</v>
      </c>
      <c r="C2412" t="s">
        <v>5690</v>
      </c>
    </row>
    <row r="2413" spans="1:3" x14ac:dyDescent="0.2">
      <c r="A2413" t="s">
        <v>5790</v>
      </c>
      <c r="B2413" t="s">
        <v>5691</v>
      </c>
      <c r="C2413" t="s">
        <v>5692</v>
      </c>
    </row>
    <row r="2414" spans="1:3" x14ac:dyDescent="0.2">
      <c r="A2414" t="s">
        <v>5790</v>
      </c>
      <c r="B2414" t="s">
        <v>5693</v>
      </c>
      <c r="C2414" t="s">
        <v>5694</v>
      </c>
    </row>
    <row r="2415" spans="1:3" x14ac:dyDescent="0.2">
      <c r="A2415" t="s">
        <v>5790</v>
      </c>
      <c r="B2415" t="s">
        <v>5695</v>
      </c>
      <c r="C2415" t="s">
        <v>5696</v>
      </c>
    </row>
    <row r="2416" spans="1:3" x14ac:dyDescent="0.2">
      <c r="A2416" t="s">
        <v>5790</v>
      </c>
      <c r="B2416" t="s">
        <v>5697</v>
      </c>
      <c r="C2416" t="s">
        <v>5698</v>
      </c>
    </row>
    <row r="2417" spans="1:3" x14ac:dyDescent="0.2">
      <c r="A2417" t="s">
        <v>5790</v>
      </c>
      <c r="B2417" t="s">
        <v>5699</v>
      </c>
      <c r="C2417" t="s">
        <v>5700</v>
      </c>
    </row>
    <row r="2418" spans="1:3" x14ac:dyDescent="0.2">
      <c r="A2418" t="s">
        <v>5790</v>
      </c>
      <c r="B2418" t="s">
        <v>5701</v>
      </c>
      <c r="C2418" t="s">
        <v>5702</v>
      </c>
    </row>
    <row r="2419" spans="1:3" x14ac:dyDescent="0.2">
      <c r="A2419" t="s">
        <v>5790</v>
      </c>
      <c r="B2419" t="s">
        <v>5703</v>
      </c>
      <c r="C2419" t="s">
        <v>5704</v>
      </c>
    </row>
    <row r="2420" spans="1:3" x14ac:dyDescent="0.2">
      <c r="A2420" t="s">
        <v>5790</v>
      </c>
      <c r="B2420" t="s">
        <v>5705</v>
      </c>
      <c r="C2420" t="s">
        <v>5706</v>
      </c>
    </row>
    <row r="2421" spans="1:3" x14ac:dyDescent="0.2">
      <c r="A2421" t="s">
        <v>5790</v>
      </c>
      <c r="B2421" t="s">
        <v>5707</v>
      </c>
      <c r="C2421" t="s">
        <v>5708</v>
      </c>
    </row>
    <row r="2422" spans="1:3" x14ac:dyDescent="0.2">
      <c r="A2422" t="s">
        <v>5790</v>
      </c>
      <c r="B2422" t="s">
        <v>5709</v>
      </c>
      <c r="C2422" t="s">
        <v>5710</v>
      </c>
    </row>
    <row r="2423" spans="1:3" x14ac:dyDescent="0.2">
      <c r="A2423" t="s">
        <v>5790</v>
      </c>
      <c r="B2423" t="s">
        <v>5711</v>
      </c>
      <c r="C2423" t="s">
        <v>5712</v>
      </c>
    </row>
    <row r="2424" spans="1:3" x14ac:dyDescent="0.2">
      <c r="A2424" t="s">
        <v>5790</v>
      </c>
      <c r="B2424" t="s">
        <v>5713</v>
      </c>
      <c r="C2424" t="s">
        <v>5714</v>
      </c>
    </row>
    <row r="2425" spans="1:3" x14ac:dyDescent="0.2">
      <c r="A2425" t="s">
        <v>5790</v>
      </c>
      <c r="B2425" t="s">
        <v>5715</v>
      </c>
      <c r="C2425" t="s">
        <v>5716</v>
      </c>
    </row>
    <row r="2426" spans="1:3" x14ac:dyDescent="0.2">
      <c r="A2426" t="s">
        <v>5790</v>
      </c>
      <c r="B2426" t="s">
        <v>5717</v>
      </c>
      <c r="C2426" t="s">
        <v>5718</v>
      </c>
    </row>
    <row r="2427" spans="1:3" x14ac:dyDescent="0.2">
      <c r="A2427" t="s">
        <v>5790</v>
      </c>
      <c r="B2427" t="s">
        <v>5719</v>
      </c>
      <c r="C2427" t="s">
        <v>5720</v>
      </c>
    </row>
    <row r="2428" spans="1:3" x14ac:dyDescent="0.2">
      <c r="A2428" t="s">
        <v>5790</v>
      </c>
      <c r="B2428" t="s">
        <v>5721</v>
      </c>
      <c r="C2428" t="s">
        <v>5722</v>
      </c>
    </row>
    <row r="2429" spans="1:3" x14ac:dyDescent="0.2">
      <c r="A2429" t="s">
        <v>5790</v>
      </c>
      <c r="B2429" t="s">
        <v>5723</v>
      </c>
      <c r="C2429" t="s">
        <v>5724</v>
      </c>
    </row>
    <row r="2430" spans="1:3" x14ac:dyDescent="0.2">
      <c r="A2430" t="s">
        <v>5790</v>
      </c>
      <c r="B2430" t="s">
        <v>5725</v>
      </c>
      <c r="C2430" t="s">
        <v>5726</v>
      </c>
    </row>
    <row r="2431" spans="1:3" x14ac:dyDescent="0.2">
      <c r="A2431" t="s">
        <v>5790</v>
      </c>
      <c r="B2431" t="s">
        <v>5727</v>
      </c>
      <c r="C2431" t="s">
        <v>5728</v>
      </c>
    </row>
    <row r="2432" spans="1:3" x14ac:dyDescent="0.2">
      <c r="A2432" t="s">
        <v>5790</v>
      </c>
      <c r="B2432" t="s">
        <v>5729</v>
      </c>
      <c r="C2432" t="s">
        <v>5730</v>
      </c>
    </row>
    <row r="2433" spans="1:3" x14ac:dyDescent="0.2">
      <c r="A2433" t="s">
        <v>5790</v>
      </c>
      <c r="B2433" t="s">
        <v>5731</v>
      </c>
      <c r="C2433" t="s">
        <v>5732</v>
      </c>
    </row>
    <row r="2434" spans="1:3" x14ac:dyDescent="0.2">
      <c r="A2434" t="s">
        <v>5790</v>
      </c>
      <c r="B2434" t="s">
        <v>5733</v>
      </c>
      <c r="C2434" t="s">
        <v>5734</v>
      </c>
    </row>
    <row r="2435" spans="1:3" x14ac:dyDescent="0.2">
      <c r="A2435" t="s">
        <v>5790</v>
      </c>
      <c r="B2435" t="s">
        <v>5735</v>
      </c>
      <c r="C2435" t="s">
        <v>5736</v>
      </c>
    </row>
    <row r="2436" spans="1:3" x14ac:dyDescent="0.2">
      <c r="A2436" t="s">
        <v>5790</v>
      </c>
      <c r="B2436" t="s">
        <v>5737</v>
      </c>
      <c r="C2436" t="s">
        <v>5738</v>
      </c>
    </row>
    <row r="2437" spans="1:3" x14ac:dyDescent="0.2">
      <c r="A2437" t="s">
        <v>5790</v>
      </c>
      <c r="B2437" t="s">
        <v>5739</v>
      </c>
      <c r="C2437" t="s">
        <v>5740</v>
      </c>
    </row>
    <row r="2438" spans="1:3" x14ac:dyDescent="0.2">
      <c r="A2438" t="s">
        <v>5790</v>
      </c>
      <c r="B2438" t="s">
        <v>5741</v>
      </c>
      <c r="C2438" t="s">
        <v>5742</v>
      </c>
    </row>
    <row r="2439" spans="1:3" x14ac:dyDescent="0.2">
      <c r="A2439" t="s">
        <v>5790</v>
      </c>
      <c r="B2439" t="s">
        <v>5743</v>
      </c>
      <c r="C2439" t="s">
        <v>5744</v>
      </c>
    </row>
    <row r="2440" spans="1:3" x14ac:dyDescent="0.2">
      <c r="A2440" t="s">
        <v>5790</v>
      </c>
      <c r="B2440" t="s">
        <v>5745</v>
      </c>
      <c r="C2440" t="s">
        <v>5746</v>
      </c>
    </row>
    <row r="2441" spans="1:3" x14ac:dyDescent="0.2">
      <c r="A2441" t="s">
        <v>5790</v>
      </c>
      <c r="B2441" t="s">
        <v>5747</v>
      </c>
      <c r="C2441" t="s">
        <v>5748</v>
      </c>
    </row>
    <row r="2442" spans="1:3" x14ac:dyDescent="0.2">
      <c r="A2442" t="s">
        <v>5790</v>
      </c>
      <c r="B2442" t="s">
        <v>5749</v>
      </c>
      <c r="C2442" t="s">
        <v>5750</v>
      </c>
    </row>
    <row r="2443" spans="1:3" x14ac:dyDescent="0.2">
      <c r="A2443" t="s">
        <v>5790</v>
      </c>
      <c r="B2443" t="s">
        <v>5751</v>
      </c>
      <c r="C2443" t="s">
        <v>5752</v>
      </c>
    </row>
    <row r="2444" spans="1:3" x14ac:dyDescent="0.2">
      <c r="A2444" t="s">
        <v>5790</v>
      </c>
      <c r="B2444" t="s">
        <v>5753</v>
      </c>
      <c r="C2444" t="s">
        <v>5754</v>
      </c>
    </row>
    <row r="2445" spans="1:3" x14ac:dyDescent="0.2">
      <c r="A2445" t="s">
        <v>5790</v>
      </c>
      <c r="B2445" t="s">
        <v>5755</v>
      </c>
      <c r="C2445" t="s">
        <v>5756</v>
      </c>
    </row>
    <row r="2446" spans="1:3" x14ac:dyDescent="0.2">
      <c r="A2446" t="s">
        <v>5790</v>
      </c>
      <c r="B2446" t="s">
        <v>5757</v>
      </c>
      <c r="C2446" t="s">
        <v>5758</v>
      </c>
    </row>
    <row r="2447" spans="1:3" x14ac:dyDescent="0.2">
      <c r="A2447" t="s">
        <v>5790</v>
      </c>
      <c r="B2447" t="s">
        <v>5759</v>
      </c>
      <c r="C2447" t="s">
        <v>5760</v>
      </c>
    </row>
    <row r="2448" spans="1:3" x14ac:dyDescent="0.2">
      <c r="A2448" t="s">
        <v>5790</v>
      </c>
      <c r="B2448" t="s">
        <v>5761</v>
      </c>
      <c r="C2448" t="s">
        <v>5762</v>
      </c>
    </row>
    <row r="2449" spans="1:3" x14ac:dyDescent="0.2">
      <c r="A2449" t="s">
        <v>5790</v>
      </c>
      <c r="B2449" t="s">
        <v>5763</v>
      </c>
      <c r="C2449" t="s">
        <v>5764</v>
      </c>
    </row>
    <row r="2450" spans="1:3" x14ac:dyDescent="0.2">
      <c r="A2450" t="s">
        <v>5790</v>
      </c>
      <c r="B2450" t="s">
        <v>5765</v>
      </c>
      <c r="C2450" t="s">
        <v>5766</v>
      </c>
    </row>
    <row r="2451" spans="1:3" x14ac:dyDescent="0.2">
      <c r="A2451" t="s">
        <v>5790</v>
      </c>
      <c r="B2451" t="s">
        <v>5862</v>
      </c>
      <c r="C2451" t="s">
        <v>5861</v>
      </c>
    </row>
    <row r="2452" spans="1:3" x14ac:dyDescent="0.2">
      <c r="A2452" t="s">
        <v>5790</v>
      </c>
      <c r="B2452" t="s">
        <v>5863</v>
      </c>
      <c r="C2452" t="s">
        <v>5864</v>
      </c>
    </row>
    <row r="2453" spans="1:3" x14ac:dyDescent="0.2">
      <c r="A2453" t="s">
        <v>5790</v>
      </c>
      <c r="B2453" t="s">
        <v>5767</v>
      </c>
      <c r="C2453" t="s">
        <v>5768</v>
      </c>
    </row>
    <row r="2454" spans="1:3" x14ac:dyDescent="0.2">
      <c r="A2454" t="s">
        <v>5790</v>
      </c>
      <c r="B2454" t="s">
        <v>5769</v>
      </c>
      <c r="C2454" t="s">
        <v>5770</v>
      </c>
    </row>
    <row r="2455" spans="1:3" x14ac:dyDescent="0.2">
      <c r="A2455" t="s">
        <v>5790</v>
      </c>
      <c r="B2455" t="s">
        <v>5771</v>
      </c>
      <c r="C2455" t="s">
        <v>5772</v>
      </c>
    </row>
    <row r="2456" spans="1:3" x14ac:dyDescent="0.2">
      <c r="A2456" t="s">
        <v>5790</v>
      </c>
      <c r="B2456" t="s">
        <v>5773</v>
      </c>
      <c r="C2456" t="s">
        <v>5774</v>
      </c>
    </row>
    <row r="2457" spans="1:3" x14ac:dyDescent="0.2">
      <c r="A2457" t="s">
        <v>5790</v>
      </c>
      <c r="B2457" t="s">
        <v>5775</v>
      </c>
      <c r="C2457" t="s">
        <v>5776</v>
      </c>
    </row>
    <row r="2458" spans="1:3" x14ac:dyDescent="0.2">
      <c r="A2458" t="s">
        <v>5790</v>
      </c>
      <c r="B2458" t="s">
        <v>5777</v>
      </c>
      <c r="C2458" t="s">
        <v>5778</v>
      </c>
    </row>
    <row r="2459" spans="1:3" x14ac:dyDescent="0.2">
      <c r="A2459" t="s">
        <v>5790</v>
      </c>
      <c r="B2459" t="s">
        <v>5779</v>
      </c>
      <c r="C2459" t="s">
        <v>5780</v>
      </c>
    </row>
    <row r="2460" spans="1:3" x14ac:dyDescent="0.2">
      <c r="A2460" t="s">
        <v>5790</v>
      </c>
      <c r="B2460" t="s">
        <v>5781</v>
      </c>
      <c r="C2460" t="s">
        <v>5782</v>
      </c>
    </row>
    <row r="2461" spans="1:3" x14ac:dyDescent="0.2">
      <c r="A2461" t="s">
        <v>5790</v>
      </c>
      <c r="B2461" t="s">
        <v>5785</v>
      </c>
      <c r="C2461" t="s">
        <v>5600</v>
      </c>
    </row>
    <row r="2462" spans="1:3" x14ac:dyDescent="0.2">
      <c r="A2462" t="s">
        <v>5790</v>
      </c>
      <c r="B2462" t="s">
        <v>5786</v>
      </c>
      <c r="C2462" t="s">
        <v>5601</v>
      </c>
    </row>
  </sheetData>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sqref="A1:XFD1048576"/>
    </sheetView>
  </sheetViews>
  <sheetFormatPr baseColWidth="10" defaultColWidth="8.83203125" defaultRowHeight="15" x14ac:dyDescent="0.2"/>
  <cols>
    <col min="1" max="4" width="28.1640625" style="114" customWidth="1"/>
    <col min="5" max="5" width="8.83203125" style="114" customWidth="1"/>
    <col min="6" max="16384" width="8.83203125" style="114"/>
  </cols>
  <sheetData>
    <row r="1" spans="1:4" s="119" customFormat="1" x14ac:dyDescent="0.2">
      <c r="A1" s="112" t="s">
        <v>5793</v>
      </c>
      <c r="B1" s="112" t="s">
        <v>5794</v>
      </c>
      <c r="C1" s="112" t="s">
        <v>5795</v>
      </c>
      <c r="D1" s="112" t="s">
        <v>5796</v>
      </c>
    </row>
    <row r="2" spans="1:4" x14ac:dyDescent="0.2">
      <c r="A2" s="114" t="s">
        <v>5797</v>
      </c>
      <c r="B2" s="121" t="s">
        <v>5798</v>
      </c>
      <c r="C2" t="s">
        <v>38</v>
      </c>
      <c r="D2" s="114" t="s">
        <v>5799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zoomScale="150" workbookViewId="0">
      <pane ySplit="3" topLeftCell="A64" activePane="bottomLeft" state="frozen"/>
      <selection pane="bottomLeft" activeCell="C88" sqref="C88"/>
    </sheetView>
  </sheetViews>
  <sheetFormatPr baseColWidth="10" defaultColWidth="10.83203125" defaultRowHeight="15" x14ac:dyDescent="0.2"/>
  <cols>
    <col min="1" max="2" width="10.83203125" style="134" customWidth="1"/>
    <col min="3" max="3" width="15.1640625" style="150" customWidth="1"/>
    <col min="4" max="4" width="10.83203125" style="151" customWidth="1"/>
    <col min="5" max="5" width="28.6640625" style="152" customWidth="1"/>
    <col min="6" max="6" width="10.83203125" style="134" customWidth="1"/>
    <col min="7" max="16384" width="10.83203125" style="134"/>
  </cols>
  <sheetData>
    <row r="2" spans="2:5" x14ac:dyDescent="0.2">
      <c r="C2" s="135"/>
      <c r="D2" s="136"/>
      <c r="E2" s="137"/>
    </row>
    <row r="3" spans="2:5" ht="32" customHeight="1" x14ac:dyDescent="0.2">
      <c r="B3" s="138"/>
      <c r="C3" s="139" t="s">
        <v>5800</v>
      </c>
      <c r="D3" s="140" t="s">
        <v>5801</v>
      </c>
      <c r="E3" s="141" t="s">
        <v>5802</v>
      </c>
    </row>
    <row r="4" spans="2:5" ht="16" customHeight="1" x14ac:dyDescent="0.2">
      <c r="B4" s="138"/>
      <c r="C4" s="142"/>
      <c r="D4" s="143" t="s">
        <v>5619</v>
      </c>
      <c r="E4" s="144" t="s">
        <v>5620</v>
      </c>
    </row>
    <row r="5" spans="2:5" ht="16" customHeight="1" x14ac:dyDescent="0.2">
      <c r="B5" s="138"/>
      <c r="C5" s="142" t="s">
        <v>5803</v>
      </c>
      <c r="D5" s="143" t="s">
        <v>5603</v>
      </c>
      <c r="E5" s="144" t="s">
        <v>5604</v>
      </c>
    </row>
    <row r="6" spans="2:5" ht="16" customHeight="1" x14ac:dyDescent="0.2">
      <c r="B6" s="138"/>
      <c r="C6" s="142"/>
      <c r="D6" s="143" t="s">
        <v>5621</v>
      </c>
      <c r="E6" s="144" t="s">
        <v>5622</v>
      </c>
    </row>
    <row r="7" spans="2:5" ht="16" customHeight="1" x14ac:dyDescent="0.2">
      <c r="B7" s="138"/>
      <c r="C7" s="142"/>
      <c r="D7" s="143" t="s">
        <v>5623</v>
      </c>
      <c r="E7" s="144" t="s">
        <v>5624</v>
      </c>
    </row>
    <row r="8" spans="2:5" ht="16" customHeight="1" x14ac:dyDescent="0.2">
      <c r="B8" s="138"/>
      <c r="C8" s="142" t="s">
        <v>5803</v>
      </c>
      <c r="D8" s="143" t="s">
        <v>5605</v>
      </c>
      <c r="E8" s="144" t="s">
        <v>5606</v>
      </c>
    </row>
    <row r="9" spans="2:5" ht="16" customHeight="1" x14ac:dyDescent="0.2">
      <c r="B9" s="138"/>
      <c r="C9" s="142" t="s">
        <v>5803</v>
      </c>
      <c r="D9" s="143" t="s">
        <v>5607</v>
      </c>
      <c r="E9" s="144" t="s">
        <v>5608</v>
      </c>
    </row>
    <row r="10" spans="2:5" ht="16" customHeight="1" x14ac:dyDescent="0.2">
      <c r="B10" s="138"/>
      <c r="C10" s="145"/>
      <c r="D10" s="143" t="s">
        <v>5625</v>
      </c>
      <c r="E10" s="146" t="s">
        <v>5626</v>
      </c>
    </row>
    <row r="11" spans="2:5" ht="16" customHeight="1" x14ac:dyDescent="0.2">
      <c r="B11" s="138"/>
      <c r="C11" s="142"/>
      <c r="D11" s="143" t="s">
        <v>5627</v>
      </c>
      <c r="E11" s="144" t="s">
        <v>5628</v>
      </c>
    </row>
    <row r="12" spans="2:5" ht="16" customHeight="1" x14ac:dyDescent="0.2">
      <c r="B12" s="138"/>
      <c r="C12" s="142" t="s">
        <v>5803</v>
      </c>
      <c r="D12" s="143" t="s">
        <v>5609</v>
      </c>
      <c r="E12" s="144" t="s">
        <v>5610</v>
      </c>
    </row>
    <row r="13" spans="2:5" ht="16" customHeight="1" x14ac:dyDescent="0.2">
      <c r="B13" s="138"/>
      <c r="C13" s="142"/>
      <c r="D13" s="143" t="s">
        <v>5629</v>
      </c>
      <c r="E13" s="144" t="s">
        <v>5630</v>
      </c>
    </row>
    <row r="14" spans="2:5" ht="16" customHeight="1" x14ac:dyDescent="0.2">
      <c r="B14" s="138"/>
      <c r="C14" s="142"/>
      <c r="D14" s="143" t="s">
        <v>5631</v>
      </c>
      <c r="E14" s="144" t="s">
        <v>5632</v>
      </c>
    </row>
    <row r="15" spans="2:5" ht="16" customHeight="1" x14ac:dyDescent="0.2">
      <c r="B15" s="138"/>
      <c r="C15" s="142"/>
      <c r="D15" s="143" t="s">
        <v>5633</v>
      </c>
      <c r="E15" s="144" t="s">
        <v>5634</v>
      </c>
    </row>
    <row r="16" spans="2:5" ht="16" customHeight="1" x14ac:dyDescent="0.2">
      <c r="B16" s="138"/>
      <c r="C16" s="142"/>
      <c r="D16" s="143" t="s">
        <v>5635</v>
      </c>
      <c r="E16" s="144" t="s">
        <v>5636</v>
      </c>
    </row>
    <row r="17" spans="2:5" ht="16" customHeight="1" x14ac:dyDescent="0.2">
      <c r="B17" s="138"/>
      <c r="C17" s="145"/>
      <c r="D17" s="143" t="s">
        <v>5637</v>
      </c>
      <c r="E17" s="146" t="s">
        <v>5638</v>
      </c>
    </row>
    <row r="18" spans="2:5" ht="16" customHeight="1" x14ac:dyDescent="0.2">
      <c r="B18" s="138"/>
      <c r="C18" s="142"/>
      <c r="D18" s="143" t="s">
        <v>5639</v>
      </c>
      <c r="E18" s="144" t="s">
        <v>5640</v>
      </c>
    </row>
    <row r="19" spans="2:5" ht="16" customHeight="1" x14ac:dyDescent="0.2">
      <c r="B19" s="138"/>
      <c r="C19" s="142"/>
      <c r="D19" s="143" t="s">
        <v>5641</v>
      </c>
      <c r="E19" s="144" t="s">
        <v>5642</v>
      </c>
    </row>
    <row r="20" spans="2:5" ht="16" customHeight="1" x14ac:dyDescent="0.2">
      <c r="B20" s="138"/>
      <c r="C20" s="142"/>
      <c r="D20" s="143" t="s">
        <v>5643</v>
      </c>
      <c r="E20" s="144" t="s">
        <v>5644</v>
      </c>
    </row>
    <row r="21" spans="2:5" ht="16" customHeight="1" x14ac:dyDescent="0.2">
      <c r="B21" s="138"/>
      <c r="C21" s="142" t="s">
        <v>5803</v>
      </c>
      <c r="D21" s="143" t="s">
        <v>5611</v>
      </c>
      <c r="E21" s="144" t="s">
        <v>5612</v>
      </c>
    </row>
    <row r="22" spans="2:5" ht="16" customHeight="1" x14ac:dyDescent="0.2">
      <c r="B22" s="138"/>
      <c r="C22" s="142"/>
      <c r="D22" s="143" t="s">
        <v>5645</v>
      </c>
      <c r="E22" s="144" t="s">
        <v>5646</v>
      </c>
    </row>
    <row r="23" spans="2:5" ht="16" customHeight="1" x14ac:dyDescent="0.2">
      <c r="B23" s="138"/>
      <c r="C23" s="142"/>
      <c r="D23" s="143" t="s">
        <v>5647</v>
      </c>
      <c r="E23" s="144" t="s">
        <v>5648</v>
      </c>
    </row>
    <row r="24" spans="2:5" ht="16" customHeight="1" x14ac:dyDescent="0.2">
      <c r="B24" s="138"/>
      <c r="C24" s="142"/>
      <c r="D24" s="143" t="s">
        <v>5649</v>
      </c>
      <c r="E24" s="144" t="s">
        <v>5650</v>
      </c>
    </row>
    <row r="25" spans="2:5" ht="16" customHeight="1" x14ac:dyDescent="0.2">
      <c r="B25" s="138"/>
      <c r="C25" s="145"/>
      <c r="D25" s="143" t="s">
        <v>5651</v>
      </c>
      <c r="E25" s="146" t="s">
        <v>5652</v>
      </c>
    </row>
    <row r="26" spans="2:5" ht="16" customHeight="1" x14ac:dyDescent="0.2">
      <c r="B26" s="138"/>
      <c r="C26" s="142" t="s">
        <v>5803</v>
      </c>
      <c r="D26" s="143" t="s">
        <v>5613</v>
      </c>
      <c r="E26" s="144" t="s">
        <v>5614</v>
      </c>
    </row>
    <row r="27" spans="2:5" ht="16" customHeight="1" x14ac:dyDescent="0.2">
      <c r="B27" s="138"/>
      <c r="C27" s="142"/>
      <c r="D27" s="143" t="s">
        <v>5655</v>
      </c>
      <c r="E27" s="144" t="s">
        <v>5656</v>
      </c>
    </row>
    <row r="28" spans="2:5" ht="16" customHeight="1" x14ac:dyDescent="0.2">
      <c r="B28" s="138"/>
      <c r="C28" s="142"/>
      <c r="D28" s="143" t="s">
        <v>5657</v>
      </c>
      <c r="E28" s="144" t="s">
        <v>5658</v>
      </c>
    </row>
    <row r="29" spans="2:5" ht="16" customHeight="1" x14ac:dyDescent="0.2">
      <c r="B29" s="138"/>
      <c r="C29" s="142"/>
      <c r="D29" s="143" t="s">
        <v>5659</v>
      </c>
      <c r="E29" s="144" t="s">
        <v>5660</v>
      </c>
    </row>
    <row r="30" spans="2:5" ht="16" customHeight="1" x14ac:dyDescent="0.2">
      <c r="B30" s="138"/>
      <c r="C30" s="142"/>
      <c r="D30" s="143" t="s">
        <v>5661</v>
      </c>
      <c r="E30" s="144" t="s">
        <v>5662</v>
      </c>
    </row>
    <row r="31" spans="2:5" ht="16" customHeight="1" x14ac:dyDescent="0.2">
      <c r="B31" s="138"/>
      <c r="C31" s="142"/>
      <c r="D31" s="143" t="s">
        <v>5663</v>
      </c>
      <c r="E31" s="144" t="s">
        <v>5664</v>
      </c>
    </row>
    <row r="32" spans="2:5" ht="16" customHeight="1" x14ac:dyDescent="0.2">
      <c r="B32" s="138"/>
      <c r="C32" s="142"/>
      <c r="D32" s="143" t="s">
        <v>5665</v>
      </c>
      <c r="E32" s="144" t="s">
        <v>5666</v>
      </c>
    </row>
    <row r="33" spans="2:5" ht="32" customHeight="1" x14ac:dyDescent="0.2">
      <c r="B33" s="138"/>
      <c r="C33" s="142"/>
      <c r="D33" s="143" t="s">
        <v>5667</v>
      </c>
      <c r="E33" s="144" t="s">
        <v>5668</v>
      </c>
    </row>
    <row r="34" spans="2:5" ht="16" customHeight="1" x14ac:dyDescent="0.2">
      <c r="B34" s="138"/>
      <c r="C34" s="142"/>
      <c r="D34" s="143" t="s">
        <v>5653</v>
      </c>
      <c r="E34" s="144" t="s">
        <v>5654</v>
      </c>
    </row>
    <row r="35" spans="2:5" ht="16" customHeight="1" x14ac:dyDescent="0.2">
      <c r="B35" s="138"/>
      <c r="C35" s="145"/>
      <c r="D35" s="143" t="s">
        <v>5669</v>
      </c>
      <c r="E35" s="146" t="s">
        <v>5670</v>
      </c>
    </row>
    <row r="36" spans="2:5" ht="16" customHeight="1" x14ac:dyDescent="0.2">
      <c r="B36" s="138"/>
      <c r="C36" s="142" t="s">
        <v>5803</v>
      </c>
      <c r="D36" s="143" t="s">
        <v>5615</v>
      </c>
      <c r="E36" s="144" t="s">
        <v>5616</v>
      </c>
    </row>
    <row r="37" spans="2:5" ht="16" customHeight="1" x14ac:dyDescent="0.2">
      <c r="B37" s="138"/>
      <c r="C37" s="142"/>
      <c r="D37" s="143" t="s">
        <v>5675</v>
      </c>
      <c r="E37" s="144" t="s">
        <v>5676</v>
      </c>
    </row>
    <row r="38" spans="2:5" ht="16" customHeight="1" x14ac:dyDescent="0.2">
      <c r="B38" s="138"/>
      <c r="C38" s="142"/>
      <c r="D38" s="143" t="s">
        <v>5677</v>
      </c>
      <c r="E38" s="144" t="s">
        <v>5678</v>
      </c>
    </row>
    <row r="39" spans="2:5" ht="16" customHeight="1" x14ac:dyDescent="0.2">
      <c r="B39" s="138"/>
      <c r="C39" s="142"/>
      <c r="D39" s="143" t="s">
        <v>5679</v>
      </c>
      <c r="E39" s="144" t="s">
        <v>5680</v>
      </c>
    </row>
    <row r="40" spans="2:5" ht="16" customHeight="1" x14ac:dyDescent="0.2">
      <c r="B40" s="138"/>
      <c r="C40" s="142"/>
      <c r="D40" s="143" t="s">
        <v>5681</v>
      </c>
      <c r="E40" s="144" t="s">
        <v>5682</v>
      </c>
    </row>
    <row r="41" spans="2:5" ht="16" customHeight="1" x14ac:dyDescent="0.2">
      <c r="B41" s="138"/>
      <c r="C41" s="142"/>
      <c r="D41" s="143" t="s">
        <v>5683</v>
      </c>
      <c r="E41" s="144" t="s">
        <v>5684</v>
      </c>
    </row>
    <row r="42" spans="2:5" ht="16" customHeight="1" x14ac:dyDescent="0.2">
      <c r="B42" s="138"/>
      <c r="C42" s="142"/>
      <c r="D42" s="143" t="s">
        <v>5685</v>
      </c>
      <c r="E42" s="144" t="s">
        <v>5686</v>
      </c>
    </row>
    <row r="43" spans="2:5" ht="16" customHeight="1" x14ac:dyDescent="0.2">
      <c r="B43" s="138"/>
      <c r="C43" s="142"/>
      <c r="D43" s="143" t="s">
        <v>5687</v>
      </c>
      <c r="E43" s="144" t="s">
        <v>5688</v>
      </c>
    </row>
    <row r="44" spans="2:5" ht="16" customHeight="1" x14ac:dyDescent="0.2">
      <c r="B44" s="138"/>
      <c r="C44" s="142"/>
      <c r="D44" s="143" t="s">
        <v>5689</v>
      </c>
      <c r="E44" s="144" t="s">
        <v>5690</v>
      </c>
    </row>
    <row r="45" spans="2:5" ht="16" customHeight="1" x14ac:dyDescent="0.2">
      <c r="B45" s="138"/>
      <c r="C45" s="142"/>
      <c r="D45" s="143" t="s">
        <v>5671</v>
      </c>
      <c r="E45" s="144" t="s">
        <v>5672</v>
      </c>
    </row>
    <row r="46" spans="2:5" ht="16" customHeight="1" x14ac:dyDescent="0.2">
      <c r="B46" s="138"/>
      <c r="C46" s="142"/>
      <c r="D46" s="143" t="s">
        <v>5673</v>
      </c>
      <c r="E46" s="144" t="s">
        <v>5674</v>
      </c>
    </row>
    <row r="47" spans="2:5" ht="16" customHeight="1" x14ac:dyDescent="0.2">
      <c r="B47" s="138"/>
      <c r="C47" s="145"/>
      <c r="D47" s="143" t="s">
        <v>5691</v>
      </c>
      <c r="E47" s="146" t="s">
        <v>5692</v>
      </c>
    </row>
    <row r="48" spans="2:5" ht="16" customHeight="1" x14ac:dyDescent="0.2">
      <c r="B48" s="138"/>
      <c r="C48" s="142"/>
      <c r="D48" s="143" t="s">
        <v>5693</v>
      </c>
      <c r="E48" s="144" t="s">
        <v>5694</v>
      </c>
    </row>
    <row r="49" spans="2:5" ht="16" customHeight="1" x14ac:dyDescent="0.2">
      <c r="B49" s="138"/>
      <c r="C49" s="142"/>
      <c r="D49" s="143" t="s">
        <v>5695</v>
      </c>
      <c r="E49" s="144" t="s">
        <v>5696</v>
      </c>
    </row>
    <row r="50" spans="2:5" ht="16" customHeight="1" x14ac:dyDescent="0.2">
      <c r="B50" s="138"/>
      <c r="C50" s="142"/>
      <c r="D50" s="143" t="s">
        <v>5697</v>
      </c>
      <c r="E50" s="144" t="s">
        <v>5698</v>
      </c>
    </row>
    <row r="51" spans="2:5" ht="16" customHeight="1" x14ac:dyDescent="0.2">
      <c r="B51" s="138"/>
      <c r="C51" s="142"/>
      <c r="D51" s="143" t="s">
        <v>5699</v>
      </c>
      <c r="E51" s="144" t="s">
        <v>5700</v>
      </c>
    </row>
    <row r="52" spans="2:5" ht="16" customHeight="1" x14ac:dyDescent="0.2">
      <c r="B52" s="138"/>
      <c r="C52" s="145"/>
      <c r="D52" s="143" t="s">
        <v>5701</v>
      </c>
      <c r="E52" s="146" t="s">
        <v>5702</v>
      </c>
    </row>
    <row r="53" spans="2:5" ht="16" customHeight="1" x14ac:dyDescent="0.2">
      <c r="B53" s="138"/>
      <c r="C53" s="142"/>
      <c r="D53" s="143" t="s">
        <v>5703</v>
      </c>
      <c r="E53" s="144" t="s">
        <v>5704</v>
      </c>
    </row>
    <row r="54" spans="2:5" ht="16" customHeight="1" x14ac:dyDescent="0.2">
      <c r="B54" s="138"/>
      <c r="C54" s="142"/>
      <c r="D54" s="143" t="s">
        <v>5723</v>
      </c>
      <c r="E54" s="144" t="s">
        <v>5724</v>
      </c>
    </row>
    <row r="55" spans="2:5" ht="16" customHeight="1" x14ac:dyDescent="0.2">
      <c r="B55" s="138"/>
      <c r="C55" s="142"/>
      <c r="D55" s="143" t="s">
        <v>5725</v>
      </c>
      <c r="E55" s="144" t="s">
        <v>5726</v>
      </c>
    </row>
    <row r="56" spans="2:5" ht="16" customHeight="1" x14ac:dyDescent="0.2">
      <c r="B56" s="138"/>
      <c r="C56" s="142"/>
      <c r="D56" s="143" t="s">
        <v>5727</v>
      </c>
      <c r="E56" s="144" t="s">
        <v>5728</v>
      </c>
    </row>
    <row r="57" spans="2:5" ht="16" customHeight="1" x14ac:dyDescent="0.2">
      <c r="B57" s="138"/>
      <c r="C57" s="142"/>
      <c r="D57" s="143" t="s">
        <v>5729</v>
      </c>
      <c r="E57" s="144" t="s">
        <v>5730</v>
      </c>
    </row>
    <row r="58" spans="2:5" ht="16" customHeight="1" x14ac:dyDescent="0.2">
      <c r="B58" s="138"/>
      <c r="C58" s="142"/>
      <c r="D58" s="143" t="s">
        <v>5731</v>
      </c>
      <c r="E58" s="144" t="s">
        <v>5732</v>
      </c>
    </row>
    <row r="59" spans="2:5" ht="16" customHeight="1" x14ac:dyDescent="0.2">
      <c r="B59" s="138"/>
      <c r="C59" s="142"/>
      <c r="D59" s="143" t="s">
        <v>5733</v>
      </c>
      <c r="E59" s="144" t="s">
        <v>5734</v>
      </c>
    </row>
    <row r="60" spans="2:5" ht="16" customHeight="1" x14ac:dyDescent="0.2">
      <c r="B60" s="138"/>
      <c r="C60" s="142"/>
      <c r="D60" s="143" t="s">
        <v>5735</v>
      </c>
      <c r="E60" s="144" t="s">
        <v>5736</v>
      </c>
    </row>
    <row r="61" spans="2:5" ht="16" customHeight="1" x14ac:dyDescent="0.2">
      <c r="B61" s="138"/>
      <c r="C61" s="142"/>
      <c r="D61" s="143" t="s">
        <v>5737</v>
      </c>
      <c r="E61" s="144" t="s">
        <v>5738</v>
      </c>
    </row>
    <row r="62" spans="2:5" ht="16" customHeight="1" x14ac:dyDescent="0.2">
      <c r="B62" s="138"/>
      <c r="C62" s="142"/>
      <c r="D62" s="143" t="s">
        <v>5705</v>
      </c>
      <c r="E62" s="144" t="s">
        <v>5706</v>
      </c>
    </row>
    <row r="63" spans="2:5" ht="16" customHeight="1" x14ac:dyDescent="0.2">
      <c r="B63" s="138"/>
      <c r="C63" s="142"/>
      <c r="D63" s="143" t="s">
        <v>5707</v>
      </c>
      <c r="E63" s="144" t="s">
        <v>5708</v>
      </c>
    </row>
    <row r="64" spans="2:5" ht="16" customHeight="1" x14ac:dyDescent="0.2">
      <c r="B64" s="138"/>
      <c r="C64" s="142"/>
      <c r="D64" s="143" t="s">
        <v>5709</v>
      </c>
      <c r="E64" s="144" t="s">
        <v>5710</v>
      </c>
    </row>
    <row r="65" spans="2:5" ht="16" customHeight="1" x14ac:dyDescent="0.2">
      <c r="B65" s="138"/>
      <c r="C65" s="142"/>
      <c r="D65" s="143" t="s">
        <v>5711</v>
      </c>
      <c r="E65" s="144" t="s">
        <v>5712</v>
      </c>
    </row>
    <row r="66" spans="2:5" ht="16" customHeight="1" x14ac:dyDescent="0.2">
      <c r="B66" s="138"/>
      <c r="C66" s="142"/>
      <c r="D66" s="143" t="s">
        <v>5713</v>
      </c>
      <c r="E66" s="144" t="s">
        <v>5714</v>
      </c>
    </row>
    <row r="67" spans="2:5" ht="16" customHeight="1" x14ac:dyDescent="0.2">
      <c r="B67" s="138"/>
      <c r="C67" s="142"/>
      <c r="D67" s="143" t="s">
        <v>5715</v>
      </c>
      <c r="E67" s="144" t="s">
        <v>5716</v>
      </c>
    </row>
    <row r="68" spans="2:5" ht="16" customHeight="1" x14ac:dyDescent="0.2">
      <c r="B68" s="138"/>
      <c r="C68" s="142"/>
      <c r="D68" s="143" t="s">
        <v>5717</v>
      </c>
      <c r="E68" s="144" t="s">
        <v>5718</v>
      </c>
    </row>
    <row r="69" spans="2:5" ht="16" customHeight="1" x14ac:dyDescent="0.2">
      <c r="B69" s="138"/>
      <c r="C69" s="142"/>
      <c r="D69" s="143" t="s">
        <v>5719</v>
      </c>
      <c r="E69" s="144" t="s">
        <v>5720</v>
      </c>
    </row>
    <row r="70" spans="2:5" ht="16" customHeight="1" x14ac:dyDescent="0.2">
      <c r="B70" s="138"/>
      <c r="C70" s="142"/>
      <c r="D70" s="143" t="s">
        <v>5721</v>
      </c>
      <c r="E70" s="144" t="s">
        <v>5722</v>
      </c>
    </row>
    <row r="71" spans="2:5" ht="16" customHeight="1" x14ac:dyDescent="0.2">
      <c r="B71" s="138"/>
      <c r="C71" s="145"/>
      <c r="D71" s="143" t="s">
        <v>5739</v>
      </c>
      <c r="E71" s="146" t="s">
        <v>5740</v>
      </c>
    </row>
    <row r="72" spans="2:5" ht="16" customHeight="1" x14ac:dyDescent="0.2">
      <c r="B72" s="138"/>
      <c r="C72" s="142"/>
      <c r="D72" s="143" t="s">
        <v>5741</v>
      </c>
      <c r="E72" s="144" t="s">
        <v>5742</v>
      </c>
    </row>
    <row r="73" spans="2:5" ht="16" customHeight="1" x14ac:dyDescent="0.2">
      <c r="B73" s="138"/>
      <c r="C73" s="142"/>
      <c r="D73" s="143" t="s">
        <v>5743</v>
      </c>
      <c r="E73" s="144" t="s">
        <v>5744</v>
      </c>
    </row>
    <row r="74" spans="2:5" ht="16" customHeight="1" x14ac:dyDescent="0.2">
      <c r="B74" s="138"/>
      <c r="C74" s="142"/>
      <c r="D74" s="143" t="s">
        <v>5745</v>
      </c>
      <c r="E74" s="144" t="s">
        <v>5746</v>
      </c>
    </row>
    <row r="75" spans="2:5" ht="16" customHeight="1" x14ac:dyDescent="0.2">
      <c r="B75" s="138"/>
      <c r="C75" s="142"/>
      <c r="D75" s="143" t="s">
        <v>5747</v>
      </c>
      <c r="E75" s="144" t="s">
        <v>5748</v>
      </c>
    </row>
    <row r="76" spans="2:5" ht="16" customHeight="1" x14ac:dyDescent="0.2">
      <c r="B76" s="138"/>
      <c r="C76" s="142"/>
      <c r="D76" s="143" t="s">
        <v>5749</v>
      </c>
      <c r="E76" s="144" t="s">
        <v>5750</v>
      </c>
    </row>
    <row r="77" spans="2:5" ht="16" customHeight="1" x14ac:dyDescent="0.2">
      <c r="B77" s="138"/>
      <c r="C77" s="142"/>
      <c r="D77" s="143" t="s">
        <v>5751</v>
      </c>
      <c r="E77" s="144" t="s">
        <v>5752</v>
      </c>
    </row>
    <row r="78" spans="2:5" ht="16" customHeight="1" x14ac:dyDescent="0.2">
      <c r="B78" s="138"/>
      <c r="C78" s="142"/>
      <c r="D78" s="143" t="s">
        <v>5753</v>
      </c>
      <c r="E78" s="144" t="s">
        <v>5754</v>
      </c>
    </row>
    <row r="79" spans="2:5" ht="16" customHeight="1" x14ac:dyDescent="0.2">
      <c r="B79" s="138"/>
      <c r="C79" s="142"/>
      <c r="D79" s="143" t="s">
        <v>5755</v>
      </c>
      <c r="E79" s="144" t="s">
        <v>5756</v>
      </c>
    </row>
    <row r="80" spans="2:5" ht="16" customHeight="1" x14ac:dyDescent="0.2">
      <c r="B80" s="138"/>
      <c r="C80" s="145"/>
      <c r="D80" s="143" t="s">
        <v>5757</v>
      </c>
      <c r="E80" s="146" t="s">
        <v>5758</v>
      </c>
    </row>
    <row r="81" spans="2:5" ht="16" customHeight="1" x14ac:dyDescent="0.2">
      <c r="B81" s="138"/>
      <c r="C81" s="142"/>
      <c r="D81" s="143" t="s">
        <v>5759</v>
      </c>
      <c r="E81" s="144" t="s">
        <v>5760</v>
      </c>
    </row>
    <row r="82" spans="2:5" ht="16" customHeight="1" x14ac:dyDescent="0.2">
      <c r="B82" s="138"/>
      <c r="C82" s="142"/>
      <c r="D82" s="143" t="s">
        <v>5761</v>
      </c>
      <c r="E82" s="144" t="s">
        <v>5762</v>
      </c>
    </row>
    <row r="83" spans="2:5" ht="16" customHeight="1" x14ac:dyDescent="0.2">
      <c r="B83" s="138"/>
      <c r="C83" s="142"/>
      <c r="D83" s="143" t="s">
        <v>5763</v>
      </c>
      <c r="E83" s="144" t="s">
        <v>5764</v>
      </c>
    </row>
    <row r="84" spans="2:5" ht="16" customHeight="1" x14ac:dyDescent="0.2">
      <c r="B84" s="138"/>
      <c r="C84" s="142"/>
      <c r="D84" s="143" t="s">
        <v>5765</v>
      </c>
      <c r="E84" s="144" t="s">
        <v>5766</v>
      </c>
    </row>
    <row r="85" spans="2:5" ht="16" customHeight="1" x14ac:dyDescent="0.2">
      <c r="B85" s="138"/>
      <c r="C85" s="142" t="s">
        <v>5803</v>
      </c>
      <c r="D85" s="143" t="s">
        <v>5617</v>
      </c>
      <c r="E85" s="144" t="s">
        <v>5618</v>
      </c>
    </row>
    <row r="86" spans="2:5" ht="16" customHeight="1" x14ac:dyDescent="0.2">
      <c r="B86" s="138"/>
      <c r="C86" s="145"/>
      <c r="D86" s="143" t="s">
        <v>5767</v>
      </c>
      <c r="E86" s="146" t="s">
        <v>5768</v>
      </c>
    </row>
    <row r="87" spans="2:5" ht="16" customHeight="1" x14ac:dyDescent="0.2">
      <c r="B87" s="138"/>
      <c r="C87" s="142"/>
      <c r="D87" s="143" t="s">
        <v>5769</v>
      </c>
      <c r="E87" s="144" t="s">
        <v>5770</v>
      </c>
    </row>
    <row r="88" spans="2:5" ht="16" customHeight="1" x14ac:dyDescent="0.2">
      <c r="B88" s="138"/>
      <c r="C88" s="142"/>
      <c r="D88" s="143" t="s">
        <v>5771</v>
      </c>
      <c r="E88" s="144" t="s">
        <v>5772</v>
      </c>
    </row>
    <row r="89" spans="2:5" ht="16" customHeight="1" x14ac:dyDescent="0.2">
      <c r="B89" s="138"/>
      <c r="C89" s="142"/>
      <c r="D89" s="143" t="s">
        <v>5773</v>
      </c>
      <c r="E89" s="144" t="s">
        <v>5774</v>
      </c>
    </row>
    <row r="90" spans="2:5" ht="16" customHeight="1" x14ac:dyDescent="0.2">
      <c r="B90" s="138"/>
      <c r="C90" s="142"/>
      <c r="D90" s="143" t="s">
        <v>5775</v>
      </c>
      <c r="E90" s="144" t="s">
        <v>5776</v>
      </c>
    </row>
    <row r="91" spans="2:5" ht="16" customHeight="1" x14ac:dyDescent="0.2">
      <c r="B91" s="138"/>
      <c r="C91" s="142"/>
      <c r="D91" s="143" t="s">
        <v>5777</v>
      </c>
      <c r="E91" s="144" t="s">
        <v>5778</v>
      </c>
    </row>
    <row r="92" spans="2:5" ht="16" customHeight="1" x14ac:dyDescent="0.2">
      <c r="B92" s="138"/>
      <c r="C92" s="142"/>
      <c r="D92" s="143" t="s">
        <v>5779</v>
      </c>
      <c r="E92" s="144" t="s">
        <v>5780</v>
      </c>
    </row>
    <row r="93" spans="2:5" ht="16" customHeight="1" x14ac:dyDescent="0.2">
      <c r="B93" s="138"/>
      <c r="C93" s="145"/>
      <c r="D93" s="143" t="s">
        <v>5781</v>
      </c>
      <c r="E93" s="146" t="s">
        <v>5782</v>
      </c>
    </row>
    <row r="94" spans="2:5" x14ac:dyDescent="0.2">
      <c r="C94" s="147"/>
      <c r="D94" s="148"/>
      <c r="E94" s="149"/>
    </row>
  </sheetData>
  <sheetProtection algorithmName="SHA-512" hashValue="Qi5iwkTGSJaXWFJJ2Re58Sz5YDkRE7CXe+0klBaKIAOSY72uHhzTsfNQ1kB8AmT9UaSDo0M1TJV5tSKQEFTsuw==" saltValue="rXVDt8FxrrrRcd7PW0QIEw=="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109" zoomScaleNormal="80" workbookViewId="0">
      <selection activeCell="D5" sqref="D5"/>
    </sheetView>
  </sheetViews>
  <sheetFormatPr baseColWidth="10" defaultColWidth="10.83203125" defaultRowHeight="16" x14ac:dyDescent="0.2"/>
  <cols>
    <col min="1" max="1" width="10.83203125" style="153" customWidth="1"/>
    <col min="2" max="2" width="8.83203125" style="153" customWidth="1"/>
    <col min="3" max="3" width="27.6640625" style="153" customWidth="1"/>
    <col min="4" max="4" width="20.83203125" style="153" customWidth="1"/>
    <col min="5" max="5" width="46.5" style="163" customWidth="1"/>
    <col min="6" max="6" width="20.83203125" style="153" customWidth="1"/>
    <col min="7" max="7" width="10.83203125" style="153" customWidth="1"/>
    <col min="8" max="16384" width="10.83203125" style="153"/>
  </cols>
  <sheetData>
    <row r="1" spans="1:8" ht="17" customHeight="1" thickBot="1" x14ac:dyDescent="0.25">
      <c r="C1" s="154"/>
      <c r="D1" s="154"/>
      <c r="E1" s="155"/>
      <c r="F1" s="154"/>
    </row>
    <row r="2" spans="1:8" s="163" customFormat="1" ht="17" customHeight="1" thickBot="1" x14ac:dyDescent="0.25">
      <c r="A2" s="156"/>
      <c r="B2" s="157"/>
      <c r="C2" s="158" t="s">
        <v>5804</v>
      </c>
      <c r="D2" s="159" t="s">
        <v>5805</v>
      </c>
      <c r="E2" s="160" t="s">
        <v>5806</v>
      </c>
      <c r="F2" s="161" t="s">
        <v>5807</v>
      </c>
      <c r="G2" s="162"/>
    </row>
    <row r="3" spans="1:8" ht="62.5" customHeight="1" x14ac:dyDescent="0.2">
      <c r="A3" s="164"/>
      <c r="B3" s="270" t="s">
        <v>5808</v>
      </c>
      <c r="C3" s="165" t="s">
        <v>5809</v>
      </c>
      <c r="D3" s="166" t="s">
        <v>5810</v>
      </c>
      <c r="E3" s="167" t="s">
        <v>5811</v>
      </c>
      <c r="F3" s="168" t="s">
        <v>5812</v>
      </c>
      <c r="G3" s="169"/>
    </row>
    <row r="4" spans="1:8" ht="31.75" customHeight="1" x14ac:dyDescent="0.2">
      <c r="A4" s="164"/>
      <c r="B4" s="271"/>
      <c r="C4" s="170" t="s">
        <v>5813</v>
      </c>
      <c r="D4" s="171">
        <v>18</v>
      </c>
      <c r="E4" s="172" t="s">
        <v>5814</v>
      </c>
      <c r="F4" s="173">
        <v>18</v>
      </c>
      <c r="G4" s="169"/>
    </row>
    <row r="5" spans="1:8" ht="43.5" customHeight="1" x14ac:dyDescent="0.2">
      <c r="A5" s="164"/>
      <c r="B5" s="271"/>
      <c r="C5" s="174" t="s">
        <v>5815</v>
      </c>
      <c r="D5" s="175" t="s">
        <v>5791</v>
      </c>
      <c r="E5" s="172" t="s">
        <v>5816</v>
      </c>
      <c r="F5" s="176" t="s">
        <v>5817</v>
      </c>
      <c r="G5" s="169"/>
    </row>
    <row r="6" spans="1:8" ht="48" customHeight="1" x14ac:dyDescent="0.2">
      <c r="A6" s="164"/>
      <c r="B6" s="271"/>
      <c r="C6" s="177" t="s">
        <v>5818</v>
      </c>
      <c r="D6" s="175" t="s">
        <v>5792</v>
      </c>
      <c r="E6" s="178" t="s">
        <v>5819</v>
      </c>
      <c r="F6" s="179" t="s">
        <v>5820</v>
      </c>
      <c r="G6" s="169"/>
    </row>
    <row r="7" spans="1:8" ht="80" customHeight="1" x14ac:dyDescent="0.2">
      <c r="A7" s="164"/>
      <c r="B7" s="271"/>
      <c r="C7" s="180" t="s">
        <v>5821</v>
      </c>
      <c r="D7" s="175" t="s">
        <v>5822</v>
      </c>
      <c r="E7" s="181" t="s">
        <v>5823</v>
      </c>
      <c r="F7" s="179" t="s">
        <v>5824</v>
      </c>
      <c r="G7" s="169"/>
    </row>
    <row r="8" spans="1:8" ht="80" customHeight="1" x14ac:dyDescent="0.2">
      <c r="A8" s="164"/>
      <c r="B8" s="271"/>
      <c r="C8" s="177" t="s">
        <v>5825</v>
      </c>
      <c r="D8" s="175" t="s">
        <v>5826</v>
      </c>
      <c r="E8" s="182" t="s">
        <v>5827</v>
      </c>
      <c r="F8" s="183" t="s">
        <v>5828</v>
      </c>
      <c r="G8" s="169"/>
    </row>
    <row r="9" spans="1:8" ht="96" customHeight="1" x14ac:dyDescent="0.2">
      <c r="A9" s="164"/>
      <c r="B9" s="271"/>
      <c r="C9" s="177" t="s">
        <v>5829</v>
      </c>
      <c r="D9" s="175" t="s">
        <v>5830</v>
      </c>
      <c r="E9" s="182" t="s">
        <v>5831</v>
      </c>
      <c r="F9" s="183" t="s">
        <v>5832</v>
      </c>
      <c r="G9" s="169"/>
    </row>
    <row r="10" spans="1:8" ht="58" customHeight="1" x14ac:dyDescent="0.2">
      <c r="A10" s="164"/>
      <c r="B10" s="271"/>
      <c r="C10" s="184" t="s">
        <v>5833</v>
      </c>
      <c r="D10" s="175"/>
      <c r="E10" s="185" t="s">
        <v>5834</v>
      </c>
      <c r="F10" s="183" t="s">
        <v>5835</v>
      </c>
      <c r="G10" s="169"/>
    </row>
    <row r="11" spans="1:8" ht="50.25" customHeight="1" thickBot="1" x14ac:dyDescent="0.25">
      <c r="A11" s="164"/>
      <c r="B11" s="272"/>
      <c r="C11" s="186" t="s">
        <v>5836</v>
      </c>
      <c r="D11" s="187"/>
      <c r="E11" s="188" t="s">
        <v>5837</v>
      </c>
      <c r="F11" s="189">
        <v>0.2</v>
      </c>
      <c r="G11" s="169"/>
    </row>
    <row r="12" spans="1:8" ht="32" customHeight="1" x14ac:dyDescent="0.2">
      <c r="A12" s="164"/>
      <c r="B12" s="273" t="s">
        <v>5838</v>
      </c>
      <c r="C12" s="170" t="s">
        <v>5839</v>
      </c>
      <c r="D12" s="190"/>
      <c r="E12" s="191" t="s">
        <v>5840</v>
      </c>
      <c r="F12" s="176" t="s">
        <v>5841</v>
      </c>
      <c r="G12" s="169"/>
    </row>
    <row r="13" spans="1:8" ht="112" customHeight="1" x14ac:dyDescent="0.2">
      <c r="A13" s="164"/>
      <c r="B13" s="271"/>
      <c r="C13" s="192" t="s">
        <v>5842</v>
      </c>
      <c r="D13" s="193"/>
      <c r="E13" s="185" t="s">
        <v>5843</v>
      </c>
      <c r="F13" s="183">
        <v>5</v>
      </c>
      <c r="G13" s="194"/>
      <c r="H13" s="195"/>
    </row>
    <row r="14" spans="1:8" ht="149.5" customHeight="1" x14ac:dyDescent="0.2">
      <c r="A14" s="164"/>
      <c r="B14" s="271"/>
      <c r="C14" s="192" t="s">
        <v>5844</v>
      </c>
      <c r="D14" s="193"/>
      <c r="E14" s="185" t="s">
        <v>5845</v>
      </c>
      <c r="F14" s="183">
        <v>1200000</v>
      </c>
      <c r="G14" s="169"/>
    </row>
    <row r="15" spans="1:8" ht="32" customHeight="1" x14ac:dyDescent="0.2">
      <c r="A15" s="164"/>
      <c r="B15" s="271"/>
      <c r="C15" s="196" t="s">
        <v>5846</v>
      </c>
      <c r="D15" s="175"/>
      <c r="E15" s="185" t="s">
        <v>5847</v>
      </c>
      <c r="F15" s="183" t="s">
        <v>5848</v>
      </c>
      <c r="G15" s="169"/>
    </row>
    <row r="16" spans="1:8" ht="33" customHeight="1" thickBot="1" x14ac:dyDescent="0.25">
      <c r="A16" s="164"/>
      <c r="B16" s="272"/>
      <c r="C16" s="197" t="s">
        <v>5849</v>
      </c>
      <c r="D16" s="198"/>
      <c r="E16" s="199" t="s">
        <v>5850</v>
      </c>
      <c r="F16" s="200" t="s">
        <v>5851</v>
      </c>
      <c r="G16" s="169"/>
    </row>
    <row r="17" spans="1:7" s="207" customFormat="1" ht="5.5" customHeight="1" thickBot="1" x14ac:dyDescent="0.25">
      <c r="A17" s="201"/>
      <c r="B17" s="202"/>
      <c r="C17" s="203"/>
      <c r="D17" s="204"/>
      <c r="E17" s="205"/>
      <c r="F17" s="206"/>
      <c r="G17" s="195"/>
    </row>
    <row r="18" spans="1:7" ht="160" customHeight="1" x14ac:dyDescent="0.2">
      <c r="A18" s="164"/>
      <c r="B18" s="274" t="s">
        <v>5852</v>
      </c>
      <c r="C18" s="208" t="s">
        <v>5853</v>
      </c>
      <c r="D18" s="209">
        <v>0.27</v>
      </c>
      <c r="E18" s="210" t="s">
        <v>5854</v>
      </c>
      <c r="F18" s="211">
        <v>0.91</v>
      </c>
      <c r="G18" s="169"/>
    </row>
    <row r="19" spans="1:7" ht="160" customHeight="1" x14ac:dyDescent="0.2">
      <c r="A19" s="164"/>
      <c r="B19" s="271"/>
      <c r="C19" s="212" t="s">
        <v>5855</v>
      </c>
      <c r="D19" s="213">
        <v>0.27</v>
      </c>
      <c r="E19" s="214" t="s">
        <v>5856</v>
      </c>
      <c r="F19" s="215">
        <v>0.91</v>
      </c>
      <c r="G19" s="169"/>
    </row>
    <row r="20" spans="1:7" ht="141" customHeight="1" thickBot="1" x14ac:dyDescent="0.25">
      <c r="A20" s="164"/>
      <c r="B20" s="272"/>
      <c r="C20" s="216" t="s">
        <v>5857</v>
      </c>
      <c r="D20" s="217">
        <v>0.27</v>
      </c>
      <c r="E20" s="218" t="s">
        <v>5858</v>
      </c>
      <c r="F20" s="219">
        <v>0.05</v>
      </c>
      <c r="G20" s="169"/>
    </row>
    <row r="21" spans="1:7" x14ac:dyDescent="0.2">
      <c r="B21" s="220"/>
      <c r="C21" s="220"/>
      <c r="D21" s="220"/>
      <c r="E21" s="221"/>
      <c r="F21" s="220"/>
    </row>
  </sheetData>
  <sheetProtection algorithmName="SHA-512" hashValue="HDbMtU4Jlh9HWHGdk0LayFfVJStngmavgwcVKMKWc5VZrrpztmDjYI1oHTcDjIn3M/ll6/9HZ5Z2AvinCdU0yg==" saltValue="TuJoTWts+weDzmqRgBxRHQ==" spinCount="100000" sheet="1" objects="1" scenarios="1"/>
  <mergeCells count="3">
    <mergeCell ref="B3:B11"/>
    <mergeCell ref="B12:B16"/>
    <mergeCell ref="B18:B20"/>
  </mergeCells>
  <dataValidations count="2">
    <dataValidation type="list" showInputMessage="1" showErrorMessage="1" sqref="D7" xr:uid="{00000000-0002-0000-0400-000000000000}">
      <formula1>"last year, a normal year"</formula1>
    </dataValidation>
    <dataValidation type="list" showInputMessage="1" showErrorMessage="1" sqref="D9" xr:uid="{00000000-0002-0000-0400-000001000000}">
      <formula1>"Not yet in season,Land preparation,Planting,Early growing,Growing,Maturing,Harvesting,Recently finished"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Elyse Battistella</dc:creator>
  <cp:lastModifiedBy>Ibrahim Ali Ahmad</cp:lastModifiedBy>
  <dcterms:created xsi:type="dcterms:W3CDTF">2023-10-25T15:01:25Z</dcterms:created>
  <dcterms:modified xsi:type="dcterms:W3CDTF">2023-11-21T14:09:23Z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2023-11-21T12:29:56Z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75b0948e-98bb-4228-99b3-cf99a3313e28</vt:lpwstr>
  </property>
  <property fmtid="{D5CDD505-2E9C-101B-9397-08002B2CF9AE}" pid="8" name="MSIP_Label_46ec50b2-b191-4ad7-ba82-7deb0436e358_ContentBits">
    <vt:lpwstr>0</vt:lpwstr>
  </property>
</Properties>
</file>