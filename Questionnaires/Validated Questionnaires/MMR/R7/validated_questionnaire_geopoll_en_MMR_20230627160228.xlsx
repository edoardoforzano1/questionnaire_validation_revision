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1"/>
  <workbookPr defaultThemeVersion="166925"/>
  <mc:AlternateContent xmlns:mc="http://schemas.openxmlformats.org/markup-compatibility/2006">
    <mc:Choice Requires="x15">
      <x15ac:absPath xmlns:x15ac="http://schemas.microsoft.com/office/spreadsheetml/2010/11/ac" url="/Users/ibrahim.aliahmad/Documents/FAO/Working Files/Questionnaire Validation/Script/questionnaire_validation/NEW Questionnaire/Questionnaires/Validated Questionnaires/MMR/R7/"/>
    </mc:Choice>
  </mc:AlternateContent>
  <xr:revisionPtr revIDLastSave="0" documentId="13_ncr:1_{1D306C93-7AF4-EB41-84A0-35EE5AF196BA}" xr6:coauthVersionLast="47" xr6:coauthVersionMax="47" xr10:uidLastSave="{00000000-0000-0000-0000-000000000000}"/>
  <bookViews>
    <workbookView xWindow="-38400" yWindow="-600" windowWidth="38400" windowHeight="21600" xr2:uid="{00000000-000D-0000-FFFF-FFFF00000000}"/>
  </bookViews>
  <sheets>
    <sheet name="survey" sheetId="1" r:id="rId1"/>
    <sheet name="New Durations" sheetId="2" state="hidden" r:id="rId2"/>
    <sheet name="Crop list" sheetId="3" state="hidden" r:id="rId3"/>
    <sheet name="Additional information" sheetId="4" state="hidden" r:id="rId4"/>
    <sheet name="Admin 3 info" sheetId="5" r:id="rId5"/>
  </sheets>
  <definedNames>
    <definedName name="_xlnm._FilterDatabase" localSheetId="2" hidden="1">'Crop list'!$C$3:$F$93</definedName>
    <definedName name="_xlnm._FilterDatabase" localSheetId="0" hidden="1">survey!$A$3:$XEN$3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3" l="1" a="1"/>
  <c r="D93" i="3" s="1"/>
  <c r="X226" i="1"/>
  <c r="W226" i="1"/>
  <c r="E226" i="1"/>
  <c r="X225" i="1"/>
  <c r="W225" i="1"/>
  <c r="E225" i="1"/>
  <c r="X224" i="1"/>
  <c r="W224" i="1"/>
  <c r="X219" i="1"/>
  <c r="O219" i="1"/>
  <c r="W219" i="1" s="1"/>
  <c r="E219" i="1"/>
  <c r="X218" i="1"/>
  <c r="O218" i="1"/>
  <c r="W218" i="1" s="1"/>
  <c r="E218" i="1"/>
  <c r="X217" i="1"/>
  <c r="W217" i="1"/>
  <c r="E217" i="1"/>
  <c r="X216" i="1"/>
  <c r="W216" i="1"/>
  <c r="X215" i="1"/>
  <c r="W215" i="1"/>
  <c r="X214" i="1"/>
  <c r="W214" i="1"/>
  <c r="W213" i="1"/>
  <c r="X213" i="1" s="1"/>
  <c r="E213" i="1"/>
  <c r="X212" i="1"/>
  <c r="W212" i="1"/>
  <c r="X211" i="1"/>
  <c r="W211" i="1"/>
  <c r="E211" i="1"/>
  <c r="X210" i="1"/>
  <c r="W210" i="1"/>
  <c r="E210" i="1"/>
  <c r="X209" i="1"/>
  <c r="W209" i="1"/>
  <c r="E208" i="1"/>
  <c r="E207" i="1"/>
  <c r="X206" i="1"/>
  <c r="W206" i="1"/>
  <c r="E206" i="1"/>
  <c r="X205" i="1"/>
  <c r="W205" i="1"/>
  <c r="E205" i="1"/>
  <c r="X204" i="1"/>
  <c r="W204" i="1"/>
  <c r="E204" i="1"/>
  <c r="X203" i="1"/>
  <c r="W203" i="1"/>
  <c r="E203" i="1"/>
  <c r="X202" i="1"/>
  <c r="W202" i="1"/>
  <c r="E202" i="1"/>
  <c r="X201" i="1"/>
  <c r="W201" i="1"/>
  <c r="E201" i="1"/>
  <c r="E200" i="1"/>
  <c r="X199" i="1"/>
  <c r="W199" i="1"/>
  <c r="E199" i="1"/>
  <c r="X198" i="1"/>
  <c r="W198" i="1"/>
  <c r="E198" i="1"/>
  <c r="X197" i="1"/>
  <c r="W197" i="1"/>
  <c r="E197" i="1"/>
  <c r="X196" i="1"/>
  <c r="W196" i="1"/>
  <c r="E196" i="1"/>
  <c r="X195" i="1"/>
  <c r="W195" i="1"/>
  <c r="E195" i="1"/>
  <c r="X194" i="1"/>
  <c r="W194" i="1"/>
  <c r="E194" i="1"/>
  <c r="X193" i="1"/>
  <c r="W193" i="1"/>
  <c r="E193" i="1"/>
  <c r="X192" i="1"/>
  <c r="W192" i="1"/>
  <c r="E192" i="1"/>
  <c r="X191" i="1"/>
  <c r="W191" i="1"/>
  <c r="E191" i="1"/>
  <c r="A191" i="1"/>
  <c r="A192" i="1" s="1"/>
  <c r="A193" i="1" s="1"/>
  <c r="A194" i="1" s="1"/>
  <c r="A195" i="1" s="1"/>
  <c r="A196" i="1" s="1"/>
  <c r="A197" i="1" s="1"/>
  <c r="A198" i="1" s="1"/>
  <c r="A199" i="1" s="1"/>
  <c r="A201" i="1" s="1"/>
  <c r="A202" i="1" s="1"/>
  <c r="A203" i="1" s="1"/>
  <c r="A204" i="1" s="1"/>
  <c r="A205" i="1" s="1"/>
  <c r="A206" i="1" s="1"/>
  <c r="A210" i="1" s="1"/>
  <c r="A211" i="1" s="1"/>
  <c r="A213" i="1" s="1"/>
  <c r="X190" i="1"/>
  <c r="O190" i="1"/>
  <c r="W190" i="1" s="1"/>
  <c r="E190" i="1"/>
  <c r="A190" i="1"/>
  <c r="X188" i="1"/>
  <c r="W188" i="1"/>
  <c r="E188" i="1"/>
  <c r="X187" i="1"/>
  <c r="W187" i="1"/>
  <c r="E187" i="1"/>
  <c r="X186" i="1"/>
  <c r="W186" i="1"/>
  <c r="E186" i="1"/>
  <c r="A186" i="1"/>
  <c r="A187" i="1" s="1"/>
  <c r="A188" i="1" s="1"/>
  <c r="X185" i="1"/>
  <c r="W185" i="1"/>
  <c r="E185" i="1"/>
  <c r="A185" i="1"/>
  <c r="X184" i="1"/>
  <c r="W184" i="1"/>
  <c r="E184" i="1"/>
  <c r="A184" i="1"/>
  <c r="X183" i="1"/>
  <c r="W183" i="1"/>
  <c r="E183" i="1"/>
  <c r="X182" i="1"/>
  <c r="W182" i="1"/>
  <c r="E182" i="1"/>
  <c r="X181" i="1"/>
  <c r="W181" i="1"/>
  <c r="E181" i="1"/>
  <c r="A181" i="1"/>
  <c r="A182" i="1" s="1"/>
  <c r="A183" i="1" s="1"/>
  <c r="X180" i="1"/>
  <c r="W180" i="1"/>
  <c r="E180" i="1"/>
  <c r="A180" i="1"/>
  <c r="X179" i="1"/>
  <c r="W179" i="1"/>
  <c r="E179" i="1"/>
  <c r="A179" i="1"/>
  <c r="X178" i="1"/>
  <c r="W178" i="1"/>
  <c r="E178" i="1"/>
  <c r="X177" i="1"/>
  <c r="W177" i="1"/>
  <c r="E177" i="1"/>
  <c r="X176" i="1"/>
  <c r="W176" i="1"/>
  <c r="E176" i="1"/>
  <c r="W175" i="1"/>
  <c r="X175" i="1" s="1"/>
  <c r="E175" i="1"/>
  <c r="W174" i="1"/>
  <c r="X174" i="1" s="1"/>
  <c r="E174" i="1"/>
  <c r="W173" i="1"/>
  <c r="X173" i="1" s="1"/>
  <c r="E173" i="1"/>
  <c r="W172" i="1"/>
  <c r="X172" i="1" s="1"/>
  <c r="E172" i="1"/>
  <c r="W171" i="1"/>
  <c r="X171" i="1" s="1"/>
  <c r="E171" i="1"/>
  <c r="W170" i="1"/>
  <c r="X170" i="1" s="1"/>
  <c r="E170" i="1"/>
  <c r="W169" i="1"/>
  <c r="X169" i="1" s="1"/>
  <c r="E169" i="1"/>
  <c r="W168" i="1"/>
  <c r="X168" i="1" s="1"/>
  <c r="E168" i="1"/>
  <c r="W167" i="1"/>
  <c r="X167" i="1" s="1"/>
  <c r="E167" i="1"/>
  <c r="W166" i="1"/>
  <c r="X166" i="1" s="1"/>
  <c r="E166" i="1"/>
  <c r="W165" i="1"/>
  <c r="X165" i="1" s="1"/>
  <c r="E165" i="1"/>
  <c r="W164" i="1"/>
  <c r="X164" i="1" s="1"/>
  <c r="E164" i="1"/>
  <c r="X163" i="1"/>
  <c r="W163" i="1"/>
  <c r="X162" i="1"/>
  <c r="W162" i="1"/>
  <c r="O162" i="1"/>
  <c r="W161" i="1"/>
  <c r="X161" i="1" s="1"/>
  <c r="O161" i="1"/>
  <c r="E161" i="1"/>
  <c r="X160" i="1"/>
  <c r="W160" i="1"/>
  <c r="O160" i="1"/>
  <c r="O159" i="1"/>
  <c r="W159" i="1" s="1"/>
  <c r="X159" i="1" s="1"/>
  <c r="E159" i="1"/>
  <c r="O158" i="1"/>
  <c r="W158" i="1" s="1"/>
  <c r="X158" i="1" s="1"/>
  <c r="E158" i="1"/>
  <c r="X157" i="1"/>
  <c r="W157" i="1"/>
  <c r="O157" i="1"/>
  <c r="O156" i="1"/>
  <c r="W156" i="1" s="1"/>
  <c r="X156" i="1" s="1"/>
  <c r="E156" i="1"/>
  <c r="X155" i="1"/>
  <c r="W155" i="1"/>
  <c r="X154" i="1"/>
  <c r="W154" i="1"/>
  <c r="O154" i="1"/>
  <c r="X153" i="1"/>
  <c r="O153" i="1"/>
  <c r="W153" i="1" s="1"/>
  <c r="E153" i="1"/>
  <c r="O152" i="1"/>
  <c r="W152" i="1" s="1"/>
  <c r="X152" i="1" s="1"/>
  <c r="E152" i="1"/>
  <c r="O151" i="1"/>
  <c r="W151" i="1" s="1"/>
  <c r="X151" i="1" s="1"/>
  <c r="E151" i="1"/>
  <c r="X150" i="1"/>
  <c r="W150" i="1"/>
  <c r="O150" i="1"/>
  <c r="W149" i="1"/>
  <c r="X149" i="1" s="1"/>
  <c r="O149" i="1"/>
  <c r="E149" i="1"/>
  <c r="X148" i="1"/>
  <c r="W148" i="1"/>
  <c r="O148" i="1"/>
  <c r="O147" i="1"/>
  <c r="W147" i="1" s="1"/>
  <c r="X147" i="1" s="1"/>
  <c r="E147" i="1"/>
  <c r="X146" i="1"/>
  <c r="W146" i="1"/>
  <c r="O146" i="1"/>
  <c r="W145" i="1"/>
  <c r="X145" i="1" s="1"/>
  <c r="O145" i="1"/>
  <c r="E145" i="1"/>
  <c r="X144" i="1"/>
  <c r="W144" i="1"/>
  <c r="X143" i="1"/>
  <c r="W143" i="1"/>
  <c r="O143" i="1"/>
  <c r="W142" i="1"/>
  <c r="X142" i="1" s="1"/>
  <c r="O142" i="1"/>
  <c r="E142" i="1"/>
  <c r="X141" i="1"/>
  <c r="W141" i="1"/>
  <c r="O141" i="1"/>
  <c r="W140" i="1"/>
  <c r="X140" i="1" s="1"/>
  <c r="O140" i="1"/>
  <c r="E140" i="1"/>
  <c r="X139" i="1"/>
  <c r="W139" i="1"/>
  <c r="O139" i="1"/>
  <c r="E139" i="1"/>
  <c r="O138" i="1"/>
  <c r="W138" i="1" s="1"/>
  <c r="X138" i="1" s="1"/>
  <c r="E138" i="1"/>
  <c r="X137" i="1"/>
  <c r="W137" i="1"/>
  <c r="X136" i="1"/>
  <c r="W136" i="1"/>
  <c r="O136" i="1"/>
  <c r="W135" i="1"/>
  <c r="X135" i="1" s="1"/>
  <c r="O135" i="1"/>
  <c r="E135" i="1"/>
  <c r="A135" i="1"/>
  <c r="A138" i="1" s="1"/>
  <c r="A139" i="1" s="1"/>
  <c r="A140" i="1" s="1"/>
  <c r="A142" i="1" s="1"/>
  <c r="A145" i="1" s="1"/>
  <c r="A147" i="1" s="1"/>
  <c r="A149" i="1" s="1"/>
  <c r="A151" i="1" s="1"/>
  <c r="A152" i="1" s="1"/>
  <c r="A153" i="1" s="1"/>
  <c r="A156" i="1" s="1"/>
  <c r="A158" i="1" s="1"/>
  <c r="A159" i="1" s="1"/>
  <c r="A161" i="1" s="1"/>
  <c r="A164" i="1" s="1"/>
  <c r="A165" i="1" s="1"/>
  <c r="A166" i="1" s="1"/>
  <c r="A167" i="1" s="1"/>
  <c r="A168" i="1" s="1"/>
  <c r="A169" i="1" s="1"/>
  <c r="A170" i="1" s="1"/>
  <c r="A171" i="1" s="1"/>
  <c r="A172" i="1" s="1"/>
  <c r="A173" i="1" s="1"/>
  <c r="A174" i="1" s="1"/>
  <c r="A175" i="1" s="1"/>
  <c r="A176" i="1" s="1"/>
  <c r="A177" i="1" s="1"/>
  <c r="A178" i="1" s="1"/>
  <c r="X134" i="1"/>
  <c r="W134" i="1"/>
  <c r="O134" i="1"/>
  <c r="E134" i="1"/>
  <c r="A134" i="1"/>
  <c r="X133" i="1"/>
  <c r="W133" i="1"/>
  <c r="O133" i="1"/>
  <c r="X132" i="1"/>
  <c r="O132" i="1"/>
  <c r="W132" i="1" s="1"/>
  <c r="E132" i="1"/>
  <c r="O131" i="1"/>
  <c r="W131" i="1" s="1"/>
  <c r="X131" i="1" s="1"/>
  <c r="E131" i="1"/>
  <c r="X130" i="1"/>
  <c r="W130" i="1"/>
  <c r="O130" i="1"/>
  <c r="E130" i="1"/>
  <c r="W129" i="1"/>
  <c r="X129" i="1" s="1"/>
  <c r="O129" i="1"/>
  <c r="E129" i="1"/>
  <c r="X128" i="1"/>
  <c r="W128" i="1"/>
  <c r="O128" i="1"/>
  <c r="O127" i="1"/>
  <c r="W127" i="1" s="1"/>
  <c r="X127" i="1" s="1"/>
  <c r="E127" i="1"/>
  <c r="X126" i="1"/>
  <c r="W126" i="1"/>
  <c r="O126" i="1"/>
  <c r="W125" i="1"/>
  <c r="X125" i="1" s="1"/>
  <c r="O125" i="1"/>
  <c r="E125" i="1"/>
  <c r="X124" i="1"/>
  <c r="W124" i="1"/>
  <c r="X123" i="1"/>
  <c r="W123" i="1"/>
  <c r="O123" i="1"/>
  <c r="W122" i="1"/>
  <c r="X122" i="1" s="1"/>
  <c r="O122" i="1"/>
  <c r="E122" i="1"/>
  <c r="X121" i="1"/>
  <c r="W121" i="1"/>
  <c r="O121" i="1"/>
  <c r="W120" i="1"/>
  <c r="X120" i="1" s="1"/>
  <c r="O120" i="1"/>
  <c r="E120" i="1"/>
  <c r="O119" i="1"/>
  <c r="W119" i="1" s="1"/>
  <c r="X119" i="1" s="1"/>
  <c r="E119" i="1"/>
  <c r="X118" i="1"/>
  <c r="W118" i="1"/>
  <c r="O118" i="1"/>
  <c r="O117" i="1"/>
  <c r="W117" i="1" s="1"/>
  <c r="X117" i="1" s="1"/>
  <c r="E117" i="1"/>
  <c r="X116" i="1"/>
  <c r="W116" i="1"/>
  <c r="X115" i="1"/>
  <c r="W115" i="1"/>
  <c r="O115" i="1"/>
  <c r="X114" i="1"/>
  <c r="W114" i="1"/>
  <c r="O114" i="1"/>
  <c r="O113" i="1"/>
  <c r="W113" i="1" s="1"/>
  <c r="X113" i="1" s="1"/>
  <c r="E113" i="1"/>
  <c r="W112" i="1"/>
  <c r="X112" i="1" s="1"/>
  <c r="O112" i="1"/>
  <c r="E112" i="1"/>
  <c r="X111" i="1"/>
  <c r="W111" i="1"/>
  <c r="O111" i="1"/>
  <c r="X110" i="1"/>
  <c r="O110" i="1"/>
  <c r="W110" i="1" s="1"/>
  <c r="E110" i="1"/>
  <c r="X109" i="1"/>
  <c r="W109" i="1"/>
  <c r="O109" i="1"/>
  <c r="E109" i="1"/>
  <c r="X108" i="1"/>
  <c r="W108" i="1"/>
  <c r="O108" i="1"/>
  <c r="E108" i="1"/>
  <c r="X107" i="1"/>
  <c r="O107" i="1"/>
  <c r="W107" i="1" s="1"/>
  <c r="E107" i="1"/>
  <c r="A107" i="1"/>
  <c r="A108" i="1" s="1"/>
  <c r="A109" i="1" s="1"/>
  <c r="A110" i="1" s="1"/>
  <c r="A112" i="1" s="1"/>
  <c r="A113" i="1" s="1"/>
  <c r="A119" i="1" s="1"/>
  <c r="A120" i="1" s="1"/>
  <c r="A122" i="1" s="1"/>
  <c r="A125" i="1" s="1"/>
  <c r="A127" i="1" s="1"/>
  <c r="A129" i="1" s="1"/>
  <c r="A130" i="1" s="1"/>
  <c r="O106" i="1"/>
  <c r="W106" i="1" s="1"/>
  <c r="X106" i="1" s="1"/>
  <c r="E106" i="1"/>
  <c r="A106" i="1"/>
  <c r="X105" i="1"/>
  <c r="W105" i="1"/>
  <c r="O105" i="1"/>
  <c r="W104" i="1"/>
  <c r="X104" i="1" s="1"/>
  <c r="O104" i="1"/>
  <c r="E104" i="1"/>
  <c r="A104" i="1"/>
  <c r="X103" i="1"/>
  <c r="W103" i="1"/>
  <c r="O103" i="1"/>
  <c r="X102" i="1"/>
  <c r="W102" i="1"/>
  <c r="O102" i="1"/>
  <c r="O101" i="1"/>
  <c r="W101" i="1" s="1"/>
  <c r="X101" i="1" s="1"/>
  <c r="E101" i="1"/>
  <c r="A101" i="1"/>
  <c r="E99" i="1"/>
  <c r="X98" i="1"/>
  <c r="W98" i="1"/>
  <c r="O98" i="1"/>
  <c r="E98" i="1"/>
  <c r="O97" i="1"/>
  <c r="W97" i="1" s="1"/>
  <c r="X97" i="1" s="1"/>
  <c r="E97" i="1"/>
  <c r="W96" i="1"/>
  <c r="X96" i="1" s="1"/>
  <c r="O96" i="1"/>
  <c r="E96" i="1"/>
  <c r="A96" i="1"/>
  <c r="X95" i="1"/>
  <c r="W95" i="1"/>
  <c r="O95" i="1"/>
  <c r="O94" i="1"/>
  <c r="W94" i="1" s="1"/>
  <c r="X94" i="1" s="1"/>
  <c r="E94" i="1"/>
  <c r="O93" i="1"/>
  <c r="W93" i="1" s="1"/>
  <c r="X93" i="1" s="1"/>
  <c r="E93" i="1"/>
  <c r="X92" i="1"/>
  <c r="W92" i="1"/>
  <c r="O92" i="1"/>
  <c r="O91" i="1"/>
  <c r="W91" i="1" s="1"/>
  <c r="X91" i="1" s="1"/>
  <c r="E91" i="1"/>
  <c r="A91" i="1"/>
  <c r="X90" i="1"/>
  <c r="W90" i="1"/>
  <c r="X89" i="1"/>
  <c r="W89" i="1"/>
  <c r="O89" i="1"/>
  <c r="W88" i="1"/>
  <c r="X88" i="1" s="1"/>
  <c r="O88" i="1"/>
  <c r="E88" i="1"/>
  <c r="A88" i="1"/>
  <c r="X80" i="1"/>
  <c r="W80" i="1"/>
  <c r="O80" i="1"/>
  <c r="W78" i="1"/>
  <c r="X78" i="1" s="1"/>
  <c r="O78" i="1"/>
  <c r="E78" i="1"/>
  <c r="A78" i="1"/>
  <c r="X77" i="1"/>
  <c r="W77" i="1"/>
  <c r="O77" i="1"/>
  <c r="X75" i="1"/>
  <c r="W75" i="1"/>
  <c r="O75" i="1"/>
  <c r="E75" i="1"/>
  <c r="O74" i="1"/>
  <c r="W74" i="1" s="1"/>
  <c r="X74" i="1" s="1"/>
  <c r="E74" i="1"/>
  <c r="W73" i="1"/>
  <c r="X73" i="1" s="1"/>
  <c r="O73" i="1"/>
  <c r="E73" i="1"/>
  <c r="W72" i="1"/>
  <c r="X72" i="1" s="1"/>
  <c r="O72" i="1"/>
  <c r="E72" i="1"/>
  <c r="W71" i="1"/>
  <c r="X71" i="1" s="1"/>
  <c r="O71" i="1"/>
  <c r="E71" i="1"/>
  <c r="X70" i="1"/>
  <c r="W70" i="1"/>
  <c r="O70" i="1"/>
  <c r="W69" i="1"/>
  <c r="X69" i="1" s="1"/>
  <c r="O69" i="1"/>
  <c r="E69" i="1"/>
  <c r="A69" i="1"/>
  <c r="A71" i="1" s="1"/>
  <c r="X68" i="1"/>
  <c r="W68" i="1"/>
  <c r="O68" i="1"/>
  <c r="T67" i="1"/>
  <c r="U67" i="1" s="1"/>
  <c r="G67" i="1"/>
  <c r="E67" i="1"/>
  <c r="A67" i="1"/>
  <c r="X66" i="1"/>
  <c r="W66" i="1"/>
  <c r="O66" i="1"/>
  <c r="E66" i="1"/>
  <c r="O65" i="1"/>
  <c r="W65" i="1" s="1"/>
  <c r="X65" i="1" s="1"/>
  <c r="E65" i="1"/>
  <c r="O64" i="1"/>
  <c r="W64" i="1" s="1"/>
  <c r="X64" i="1" s="1"/>
  <c r="E64" i="1"/>
  <c r="O63" i="1"/>
  <c r="W63" i="1" s="1"/>
  <c r="X63" i="1" s="1"/>
  <c r="E63" i="1"/>
  <c r="O62" i="1"/>
  <c r="W62" i="1" s="1"/>
  <c r="X62" i="1" s="1"/>
  <c r="E62" i="1"/>
  <c r="X61" i="1"/>
  <c r="W61" i="1"/>
  <c r="O61" i="1"/>
  <c r="O60" i="1"/>
  <c r="W60" i="1" s="1"/>
  <c r="X60" i="1" s="1"/>
  <c r="E60" i="1"/>
  <c r="A60" i="1"/>
  <c r="A62" i="1" s="1"/>
  <c r="X59" i="1"/>
  <c r="W59" i="1"/>
  <c r="O59" i="1"/>
  <c r="X57" i="1"/>
  <c r="W57" i="1"/>
  <c r="O57" i="1"/>
  <c r="W55" i="1"/>
  <c r="X55" i="1" s="1"/>
  <c r="O55" i="1"/>
  <c r="E55" i="1"/>
  <c r="W54" i="1"/>
  <c r="X54" i="1" s="1"/>
  <c r="O54" i="1"/>
  <c r="E54" i="1"/>
  <c r="W53" i="1"/>
  <c r="X53" i="1" s="1"/>
  <c r="O53" i="1"/>
  <c r="E53" i="1"/>
  <c r="O52" i="1"/>
  <c r="W52" i="1" s="1"/>
  <c r="X52" i="1" s="1"/>
  <c r="E52" i="1"/>
  <c r="X50" i="1"/>
  <c r="W50" i="1"/>
  <c r="O50" i="1"/>
  <c r="X47" i="1"/>
  <c r="W47" i="1"/>
  <c r="X46" i="1"/>
  <c r="W46" i="1"/>
  <c r="O46" i="1"/>
  <c r="O44" i="1"/>
  <c r="W44" i="1" s="1"/>
  <c r="X44" i="1" s="1"/>
  <c r="E44" i="1"/>
  <c r="X43" i="1"/>
  <c r="W43" i="1"/>
  <c r="O43" i="1"/>
  <c r="W42" i="1"/>
  <c r="X42" i="1" s="1"/>
  <c r="O42" i="1"/>
  <c r="E42" i="1"/>
  <c r="X41" i="1"/>
  <c r="O41" i="1"/>
  <c r="W41" i="1" s="1"/>
  <c r="E41" i="1"/>
  <c r="A41" i="1"/>
  <c r="A52" i="1" s="1"/>
  <c r="E40" i="1"/>
  <c r="E39" i="1"/>
  <c r="E38" i="1"/>
  <c r="E37" i="1"/>
  <c r="E36" i="1"/>
  <c r="X35" i="1"/>
  <c r="W35" i="1"/>
  <c r="O35" i="1"/>
  <c r="E35" i="1"/>
  <c r="A35" i="1"/>
  <c r="A36" i="1" s="1"/>
  <c r="A37" i="1" s="1"/>
  <c r="A38" i="1" s="1"/>
  <c r="A39" i="1" s="1"/>
  <c r="A40" i="1" s="1"/>
  <c r="X34" i="1"/>
  <c r="W34" i="1"/>
  <c r="O34" i="1"/>
  <c r="O33" i="1"/>
  <c r="W33" i="1" s="1"/>
  <c r="X33" i="1" s="1"/>
  <c r="E33" i="1"/>
  <c r="A33" i="1"/>
  <c r="A42" i="1" s="1"/>
  <c r="X32" i="1"/>
  <c r="W32" i="1"/>
  <c r="O32" i="1"/>
  <c r="X31" i="1"/>
  <c r="W31" i="1"/>
  <c r="X29" i="1"/>
  <c r="W29" i="1"/>
  <c r="O29" i="1"/>
  <c r="E29" i="1"/>
  <c r="O28" i="1"/>
  <c r="W28" i="1" s="1"/>
  <c r="X28" i="1" s="1"/>
  <c r="E28" i="1"/>
  <c r="A28" i="1"/>
  <c r="E27" i="1"/>
  <c r="W26" i="1"/>
  <c r="X26" i="1" s="1"/>
  <c r="O26" i="1"/>
  <c r="E26" i="1"/>
  <c r="A26" i="1"/>
  <c r="O25" i="1"/>
  <c r="W25" i="1" s="1"/>
  <c r="X25" i="1" s="1"/>
  <c r="E25" i="1"/>
  <c r="X24" i="1"/>
  <c r="W24" i="1"/>
  <c r="O24" i="1"/>
  <c r="X23" i="1"/>
  <c r="W23" i="1"/>
  <c r="O23" i="1"/>
  <c r="O22" i="1"/>
  <c r="W22" i="1" s="1"/>
  <c r="X22" i="1" s="1"/>
  <c r="E22" i="1"/>
  <c r="A22" i="1"/>
  <c r="W21" i="1"/>
  <c r="X21" i="1" s="1"/>
  <c r="O21" i="1"/>
  <c r="E21" i="1"/>
  <c r="X20" i="1"/>
  <c r="W20" i="1"/>
  <c r="X19" i="1"/>
  <c r="W19" i="1"/>
  <c r="E19" i="1"/>
  <c r="X18" i="1"/>
  <c r="W18" i="1"/>
  <c r="E18" i="1"/>
  <c r="X17" i="1"/>
  <c r="W17" i="1"/>
  <c r="E17" i="1"/>
  <c r="X16" i="1"/>
  <c r="W16" i="1"/>
  <c r="E16" i="1"/>
  <c r="X15" i="1"/>
  <c r="W15" i="1"/>
  <c r="E15" i="1"/>
  <c r="X14" i="1"/>
  <c r="W14" i="1"/>
  <c r="E14" i="1"/>
  <c r="X13" i="1"/>
  <c r="W13" i="1"/>
  <c r="E13" i="1"/>
  <c r="X12" i="1"/>
  <c r="W12" i="1"/>
  <c r="E12" i="1"/>
  <c r="X11" i="1"/>
  <c r="W11" i="1"/>
  <c r="E11" i="1"/>
  <c r="X10" i="1"/>
  <c r="W10" i="1"/>
  <c r="E10" i="1"/>
  <c r="X9" i="1"/>
  <c r="W9" i="1"/>
  <c r="E9" i="1"/>
  <c r="X8" i="1"/>
  <c r="W8" i="1"/>
  <c r="E8" i="1"/>
  <c r="X7" i="1"/>
  <c r="W7" i="1"/>
  <c r="E7" i="1"/>
  <c r="X6" i="1"/>
  <c r="W6" i="1"/>
  <c r="E6" i="1"/>
  <c r="X5" i="1"/>
  <c r="W5" i="1"/>
  <c r="E5" i="1"/>
  <c r="X4" i="1"/>
  <c r="X229" i="1" s="1"/>
  <c r="W4" i="1"/>
  <c r="W229" i="1" l="1"/>
  <c r="W231" i="1"/>
  <c r="D14" i="3"/>
  <c r="D30" i="3"/>
  <c r="D46" i="3"/>
  <c r="D62" i="3"/>
  <c r="D78" i="3"/>
  <c r="D15" i="3"/>
  <c r="D31" i="3"/>
  <c r="D47" i="3"/>
  <c r="D63" i="3"/>
  <c r="D79" i="3"/>
  <c r="D16" i="3"/>
  <c r="D32" i="3"/>
  <c r="D48" i="3"/>
  <c r="D64" i="3"/>
  <c r="D80" i="3"/>
  <c r="W230" i="1"/>
  <c r="D17" i="3"/>
  <c r="D33" i="3"/>
  <c r="D49" i="3"/>
  <c r="D65" i="3"/>
  <c r="D81" i="3"/>
  <c r="D18" i="3"/>
  <c r="D34" i="3"/>
  <c r="D50" i="3"/>
  <c r="D66" i="3"/>
  <c r="D82" i="3"/>
  <c r="D4" i="3"/>
  <c r="D19" i="3"/>
  <c r="D35" i="3"/>
  <c r="D51" i="3"/>
  <c r="D67" i="3"/>
  <c r="D83" i="3"/>
  <c r="D20" i="3"/>
  <c r="D36" i="3"/>
  <c r="D52" i="3"/>
  <c r="D68" i="3"/>
  <c r="D84" i="3"/>
  <c r="D5" i="3"/>
  <c r="D21" i="3"/>
  <c r="D37" i="3"/>
  <c r="D53" i="3"/>
  <c r="D69" i="3"/>
  <c r="D85" i="3"/>
  <c r="D6" i="3"/>
  <c r="D22" i="3"/>
  <c r="D38" i="3"/>
  <c r="D54" i="3"/>
  <c r="D70" i="3"/>
  <c r="D86" i="3"/>
  <c r="D7" i="3"/>
  <c r="D23" i="3"/>
  <c r="D39" i="3"/>
  <c r="D55" i="3"/>
  <c r="D71" i="3"/>
  <c r="D87" i="3"/>
  <c r="D8" i="3"/>
  <c r="D24" i="3"/>
  <c r="D40" i="3"/>
  <c r="D56" i="3"/>
  <c r="D72" i="3"/>
  <c r="D88" i="3"/>
  <c r="D9" i="3"/>
  <c r="D25" i="3"/>
  <c r="D41" i="3"/>
  <c r="D57" i="3"/>
  <c r="D73" i="3"/>
  <c r="D89" i="3"/>
  <c r="D10" i="3"/>
  <c r="D26" i="3"/>
  <c r="D42" i="3"/>
  <c r="D58" i="3"/>
  <c r="D74" i="3"/>
  <c r="D90" i="3"/>
  <c r="D11" i="3"/>
  <c r="D27" i="3"/>
  <c r="D43" i="3"/>
  <c r="D59" i="3"/>
  <c r="D75" i="3"/>
  <c r="D91" i="3"/>
  <c r="D12" i="3"/>
  <c r="D28" i="3"/>
  <c r="D44" i="3"/>
  <c r="D60" i="3"/>
  <c r="D76" i="3"/>
  <c r="D92" i="3"/>
  <c r="D13" i="3"/>
  <c r="D29" i="3"/>
  <c r="D45" i="3"/>
  <c r="D61" i="3"/>
  <c r="D77" i="3"/>
</calcChain>
</file>

<file path=xl/sharedStrings.xml><?xml version="1.0" encoding="utf-8"?>
<sst xmlns="http://schemas.openxmlformats.org/spreadsheetml/2006/main" count="5036" uniqueCount="2174">
  <si>
    <t>GeoPoll Submission Form</t>
  </si>
  <si>
    <t>FAO - Household Questionnaire</t>
  </si>
  <si>
    <t>Additional notes</t>
  </si>
  <si>
    <t>Q #</t>
  </si>
  <si>
    <t>Q Name</t>
  </si>
  <si>
    <t>Suggested Qname</t>
  </si>
  <si>
    <t>English</t>
  </si>
  <si>
    <t>Length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</si>
  <si>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</si>
  <si>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</si>
  <si>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</si>
  <si>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</si>
  <si>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</si>
  <si>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</si>
  <si>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</si>
  <si>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</si>
  <si>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</si>
  <si>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</si>
  <si>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</si>
  <si>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</si>
  <si>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</si>
  <si>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</si>
  <si>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</si>
  <si>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</si>
  <si>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</si>
  <si>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</si>
  <si>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</si>
  <si>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phone_number</t>
  </si>
  <si>
    <t>phone_number</t>
  </si>
  <si>
    <t xml:space="preserve">Input the phone number that you are contacting: </t>
  </si>
  <si>
    <t>Any Response = calldispo</t>
  </si>
  <si>
    <t>yes</t>
  </si>
  <si>
    <t>calldispo</t>
  </si>
  <si>
    <t>Phone number: #CATI_MOBILENUMBER#
1)Someone answers
2)Answering machine
3)No answer
4)Hang up or refusal
5)Call back
6)Under review
7)Disconnected</t>
  </si>
  <si>
    <t>Single Choice</t>
  </si>
  <si>
    <t>Form Type - Buttons</t>
  </si>
  <si>
    <t>1 = resp_language
2 = AnsweringMachine
3 = NoAnswer
4 = Refusal
5 = WhenCallBack
6 = UnderReview
7 = Disconnected</t>
  </si>
  <si>
    <t>AnsweringMachine</t>
  </si>
  <si>
    <t>calldispo_answeringmachine</t>
  </si>
  <si>
    <t>Reached an answering machine.</t>
  </si>
  <si>
    <t>End Poll AnsweringMachine</t>
  </si>
  <si>
    <t>NoAnswer</t>
  </si>
  <si>
    <t>calldispo_noanswer</t>
  </si>
  <si>
    <t>Phone rang and no one answered.</t>
  </si>
  <si>
    <t>End Poll NoAnswer</t>
  </si>
  <si>
    <t>UnderReview</t>
  </si>
  <si>
    <t>calldispo_underreview</t>
  </si>
  <si>
    <t>Case needs review by a supervisor.</t>
  </si>
  <si>
    <t>End Poll UnderReview</t>
  </si>
  <si>
    <t>Disconnected</t>
  </si>
  <si>
    <t>calldispo_disconnected</t>
  </si>
  <si>
    <t>Phone was disconnected or out of service.</t>
  </si>
  <si>
    <t>End Poll Disconnected</t>
  </si>
  <si>
    <t>resp_language</t>
  </si>
  <si>
    <t>Which language do you wish to proceed with?
[OPERATOR: READ ANSWER CHOICES. SINGLE RESPONSE.]
1)English
2)other options [add as many as necessary]</t>
  </si>
  <si>
    <t>1 = introduction [English]
2 = introduction [languages &amp; add more if needed]</t>
  </si>
  <si>
    <t>For any response, go to introduction</t>
  </si>
  <si>
    <t>Insert most common national languages here [max 4 for translation with GeoPoll].</t>
  </si>
  <si>
    <t>introduction</t>
  </si>
  <si>
    <t>Hello sir/ma'am, my name is #OPERATOR#, and I am calling from GeoPoll Polling Agency on behalf of the Food and Agriculture Organization of the United Nations [FAO] and the World Food Programme (WFP).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</si>
  <si>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1 = Agree</t>
  </si>
  <si>
    <t>For any response, go to Agree</t>
  </si>
  <si>
    <t>Set the amount of incentive here, if any.</t>
  </si>
  <si>
    <t>Agree</t>
  </si>
  <si>
    <t>resp_agree</t>
  </si>
  <si>
    <t xml:space="preserve">Are you interested in participating in this survey?
[OPERATOR: SINGLE RESPONSE]
1)Yes 
2)Not now but another time in the week 
3)No </t>
  </si>
  <si>
    <t>StartRecording</t>
  </si>
  <si>
    <t>1 = resp_firstname
2 = WhenCallBack
3 = resp_refusalwhy</t>
  </si>
  <si>
    <t>if Agree = 1, go to resp_firstname
if Agree = 2, go to WhenCallBack
if Agree = 3, go to resp_refusalwhy</t>
  </si>
  <si>
    <t>resp_refusalwhy</t>
  </si>
  <si>
    <t>Please let us know why you have REFUSED to take the survey.
[OPERATOR: SINGLE RESPONSE]
1)Not interested
2)Do not want to be recorded
3)Other [specify]</t>
  </si>
  <si>
    <t>Open Ended - Single Choice</t>
  </si>
  <si>
    <t>Form Type - RadioList</t>
  </si>
  <si>
    <t>Any Response = Refusal</t>
  </si>
  <si>
    <t>For any response, go to Refusal</t>
  </si>
  <si>
    <t>WhenCallBack</t>
  </si>
  <si>
    <t>resp_whencallback</t>
  </si>
  <si>
    <t>When would it be a good time to call you back?
[RECORD HH/MM/DD/MM OF CALLBACK]</t>
  </si>
  <si>
    <t>Form Type - TextBox
IsCallBackDemographic</t>
  </si>
  <si>
    <t>Any Response = CallbackMessageEN</t>
  </si>
  <si>
    <t>For any response, go to CallbackMessageEN</t>
  </si>
  <si>
    <t>CallbackMessageEN</t>
  </si>
  <si>
    <t>callbackmessage_en</t>
  </si>
  <si>
    <t>Thank you, we will call you back at {WhenCallBack} you requested. Thank you again and have a great day!
[OPERATOR: ENTER CALL NOTES BELOW, WHO YOU SPOKE TO AND WHAT THEY SAID]</t>
  </si>
  <si>
    <t>Any Response = End poll callback</t>
  </si>
  <si>
    <t>Ineligible</t>
  </si>
  <si>
    <t>You are ineligible for this survey. Thank you for your time and please look out for future surveys!</t>
  </si>
  <si>
    <t>End Poll Ineligible</t>
  </si>
  <si>
    <t>Refusal</t>
  </si>
  <si>
    <t>NA </t>
  </si>
  <si>
    <t>Thank you for your time, you will be removed from today's survey.</t>
  </si>
  <si>
    <t>End poll declined</t>
  </si>
  <si>
    <t>B. GENERAL INFORMATION &amp; ELIGIBILITY CRITERIA</t>
  </si>
  <si>
    <t>resp_age</t>
  </si>
  <si>
    <t>How old are you? 
[OPERATOR: RECORD AGE IN NUMBER OF YEARS. ROUND UP TO NEAREST WHOLE NUMBER. IF THE RESPONDENT GIVES BIRTH YEAR, REPEAT THE QUESTION. ENTER 00 FOR DON'T KNOW.]</t>
  </si>
  <si>
    <t>Range</t>
  </si>
  <si>
    <t>0-17 = Ineligible
18-100 = resp_gender
00 = Ineligible</t>
  </si>
  <si>
    <t>Only respondents from 18-100 will be eligible for the survey.</t>
  </si>
  <si>
    <t>resp_gender</t>
  </si>
  <si>
    <t>What is the gender of the respondent?
[OPERATOR: DO NOT ASK THIS QUESTION OUT LOUD. LISTEN TO THE VOICE AND SELECT THE GENDER.]
1)Male
2)Female
3)DON'T KNOW
4)REFUSED</t>
  </si>
  <si>
    <t>1-4 = phone_number_conf</t>
  </si>
  <si>
    <t>For any response, go to phone_number_conf</t>
  </si>
  <si>
    <t>hh_admin1</t>
  </si>
  <si>
    <t xml:space="preserve">Currently, in which State/Region does your household reside?
[OPERATOR: SINGLE SELECTION.]
[HINT: HOUSEHOLD CONSISTS OF ALL MEMBERS LIVING TOGETHER, SHARING RESOURCES &amp; EATING FROM THE SAME POT.]
1)ADMIN1
2)DON'T KNOW
3)REFUSED </t>
  </si>
  <si>
    <t>Form Type - Buttons
IsDemographic - ADM1</t>
  </si>
  <si>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</si>
  <si>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</si>
  <si>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</si>
  <si>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t xml:space="preserve">Currently, in which Township does your household reside?
[OPERATOR: SINGLE RESPONSE.]
1)ADMIN2
2)DON'T KNOW
3)REFUSED </t>
  </si>
  <si>
    <t>Form Type - Buttons
IsDemographic - ADM2</t>
  </si>
  <si>
    <t>1 =  hh_agricactivity
2-3 = Ineligible</t>
  </si>
  <si>
    <t>quotareached</t>
  </si>
  <si>
    <t>[OPERATOR: DO NOT READ. ANSWER QUESTION BELOW.]
THIS RESPONDENT REPORTED THEY LIVE IN:
{ADM1}
{ADM2}
1)THE GOAL FOR THIS LOCATION HAS BEEN ACHIEVED - END SURVEY
2)THE GOAL FOR THIS LOCATION IS OPEN - CONTINUE SURVEY</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</si>
  <si>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</si>
  <si>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</si>
  <si>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</si>
  <si>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1-4 = resp_id
5-6 = Ineligible</t>
  </si>
  <si>
    <t xml:space="preserve">if hh_agricactivity = 1-4, go to resp_id. Otherwise, the respondent is ineligible. </t>
  </si>
  <si>
    <t>o_cyclaffected</t>
  </si>
  <si>
    <t>Has your household or community being impacted by Cyclone MOCHA and affected your household ability to raise income and/or to produce food for self  consumption?
[OPERATOR: SINGLE RESPONSE.]
1)YES
2)NO
3)DON'T KNOW
4)REFUSED</t>
  </si>
  <si>
    <t>B. GENERAL HOUSEHOLD INFORMATION</t>
  </si>
  <si>
    <t>hh_gender</t>
  </si>
  <si>
    <t>Is the head of your household male or female?
[OPERATOR: SINGLE RESPONSE.]
1)Male 
2)Female
3)DON'T KNOW
4)REFUSED</t>
  </si>
  <si>
    <t>1-4 = hh_education</t>
  </si>
  <si>
    <t>if hh_gender = 1-4, go to hh_education.</t>
  </si>
  <si>
    <t>RuralUrban</t>
  </si>
  <si>
    <t>Are you living in a rural or urban area?
[OPERATOR: CHOOSE ONLY ONE OPTION]
1)RURAL [Village] AREA
2)URBAN [Ward] AREA
3)DON'T KNOW
4)REFUSED</t>
  </si>
  <si>
    <t>hh_size</t>
  </si>
  <si>
    <t>How many people are part of the household?
[OPERATOR: RECORD NUMBER OF MEMBERS IN HOUSEHOLD. ENTER 88 FOR DON'T KNOW &amp; 99 FOR REFUSED.]
[HINT: TO BE A PART OF THE SAME HOUSEHOLD, MEMBERS MUST LIVE UNDER THE SAME ROOF, SHARE THE SAME RESOURCES &amp; EAT FROM THE SAME POT.]</t>
  </si>
  <si>
    <t>1-50 = hh_asset_prod
88-88 = hh_asset_prod
99-99 = hh_asset_prod</t>
  </si>
  <si>
    <t>For any response, go to [next question]</t>
  </si>
  <si>
    <t>o_HHSize04</t>
  </si>
  <si>
    <t>What is the total number of children aged 0 to 4 years old (0-59 months) in your household?
[OPERATOR: RECORD NUMBER GIVEN]</t>
  </si>
  <si>
    <t>GeoPoll: Confirm if we need to add validation rules here. Please note that if we are to add validation rules, we will need to do away with this instruction at hh_size "ENTER 88 FOR DON'T KNOW &amp;99 FOE REFUSED], so as not to interfere with the validations should any of these be selected.</t>
  </si>
  <si>
    <t>o_HHSize5_15</t>
  </si>
  <si>
    <t>What is the total number of members aged 5 to 15 years old in your household?
[OPERATOR: RECORD NUMBER GIVEN]</t>
  </si>
  <si>
    <t>o_HHSize16_59</t>
  </si>
  <si>
    <t>What is the total number of members aged 16 to 59 years old in your household?
[OPERATOR: RECORD NUMBER GIVEN]</t>
  </si>
  <si>
    <t>o_HHSize60</t>
  </si>
  <si>
    <t>What is the total number of members aged 60 years old and older  in your household?
[OPERATOR: RECORD NUMBER GIVEN]</t>
  </si>
  <si>
    <t>o_HHDisability</t>
  </si>
  <si>
    <t>How many members of your household have a disability?
Note: to count as a disability the person must have a lot of difficulty or cannot do at all, any of the following: seeing (even if wearing glasses), hearing (even if wearing hearing aids), walking or climbing steps, remembering or concentrating, self-care (such as washing or dressing) or communicating (understanding or being understood). 
[OPERATOR: RECORD THE NUMBER GIVEN]</t>
  </si>
  <si>
    <t>GeoPoll: Same feedback as above.</t>
  </si>
  <si>
    <t>hh_age</t>
  </si>
  <si>
    <t>How old is the head of household? 
[OPERATOR: SINGLE RESPONSE.]
1)Under 18
2)18 to 40 
3)41 to 65 
4)Over 65
5)DON'T KNOW
6)REFUSED</t>
  </si>
  <si>
    <t>1-6 = income_main</t>
  </si>
  <si>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</si>
  <si>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</si>
  <si>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1-7 = hh_wealth</t>
  </si>
  <si>
    <t>if hh_education = 1-7, go to hh_wealth.</t>
  </si>
  <si>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</si>
  <si>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</si>
  <si>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 xml:space="preserve">
1-12 = [income_main OR other optional question]</t>
  </si>
  <si>
    <t>For any response, go to [income_main OR other optional question]</t>
  </si>
  <si>
    <t>Select wealth indicators based on baseline information available; you can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</si>
  <si>
    <t>hh_wealth_house</t>
  </si>
  <si>
    <t>What kind of dwelling unit does your household live in?
[OPERATOR: SINGLE RESPONSE.]
1)Apartment/condominium
2)Bungalow/brick house
3)Semi-pucca house
4)Wooden house
5)Bamboo House
6)Hut [2-3 years]
7)Hut [1 years]
8)Tent/plastic sheets
9)Substandard shelter / collective shelter [factory/warehouse/garage/shop/worksite/unfinished building]
10)No shelter [sleeping in open]
11)Other [specify]
12)DON'T KNOW
13)REFUSED</t>
  </si>
  <si>
    <t>C. INCOME SOURCES, LIVELIHOOD AND SHOCKS</t>
  </si>
  <si>
    <t>HHIncEarners</t>
  </si>
  <si>
    <t>How many members of your household earned  an income in the last 3 months?
[OPERATOR: RECORD NUMBER GIVEN]</t>
  </si>
  <si>
    <t>HHIncEarners_year</t>
  </si>
  <si>
    <t>How many members of your household were earning an income in this period one year ago?
[OPERATOR: RECORD NUMBER GIVEN]</t>
  </si>
  <si>
    <t>income_main</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</si>
  <si>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</si>
  <si>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Form Type - Buttons
IsDemographic</t>
  </si>
  <si>
    <t>1-3 = income_main_crop_check
4 = income_main_ls_check 
5 = income_main_comp OR optional question
6 = income_main_fish_check 
7-18 = income_main_comp OR optional question
19-20 = shock</t>
  </si>
  <si>
    <t>if options #1-3 selected go to income_main_crop_check 
if options #4 selected go to income_main_ls_check 
if options #6 selected go to income_main_fish_check
if options #5, 7-18 selected, go to [income_main_comp OR optional question] 
if options #19-20 selected, go to shock</t>
  </si>
  <si>
    <t>income_main_crop_check</t>
  </si>
  <si>
    <t xml:space="preserve">Are the crops that you sell also produced by you or anyone in your household?
[OPERATOR: SINGLE RESPONSE.]
1)YES
2)NO
3)DON'T KNOW
4)REFUSED </t>
  </si>
  <si>
    <t>1-4 = income_main_comp OR optional question</t>
  </si>
  <si>
    <t>if income_main_crop_check = 1-4, go to [income_main_comp OR optional question]</t>
  </si>
  <si>
    <t>income_main_ls_check</t>
  </si>
  <si>
    <t xml:space="preserve">Are the livestock and livestock products that you sell also produced by you or anyone in your household?
[OPERATOR: SINGLE RESPONSE.]
1)YES
2)NO
3)DON'T KNOW
4)REFUSED </t>
  </si>
  <si>
    <t>if income_main_ls_check = 1-4, go to [income_main_comp OR optional question]</t>
  </si>
  <si>
    <t>income_main_fish_check</t>
  </si>
  <si>
    <t xml:space="preserve">Are the fish and/or fish products that you sell also captured or harvested by you or anyone in your household?
[OPERATOR: SINGLE RESPONSE.]
1)YES
2)NO
3)DON'T KNOW
4)REFUSED </t>
  </si>
  <si>
    <t>if income_main_fish_check = 1-4, go to [income_main_comp OR optional question]</t>
  </si>
  <si>
    <t>o_income_main_selfemployed</t>
  </si>
  <si>
    <t>What type of self-employment / liberal profession?
[OPERATOR: SINGLE RESPONSE.]
1)Liberal profession [doctor/architect/layer...]
2)Petty trade/selling on streets [own business/self or with family]
3)Small trade [own business/ &lt;5 employees]
4)Medium/large trade [own business/&gt;=5 employees]
5)Other
6)DON'T KNOW
7)REFUSED</t>
  </si>
  <si>
    <t>o_wage_main_amount</t>
  </si>
  <si>
    <t xml:space="preserve">What was the typical wage for wage labourers per person per day  in the past one month (30 days)?
[OPERATOR: RECORD NUMBER GIVEN. ENTER 8888888 FOR DON'T KNOW &amp; 9999999 FOR REFUSED.]  </t>
  </si>
  <si>
    <t>income_main_comp</t>
  </si>
  <si>
    <t>Has your household's income from {income_main} changed in the last 3 months compared to the same period of a normal year?
[OPERATOR: SINGLE RESPONSE.]
1)A lot more [increased by more than 50%]
2)Slightly more
3)Same
4)Slightly less
5)A lot less [less than half as much]
6)DON'T KNOW
7)REFUSED</t>
  </si>
  <si>
    <t>1-7= income_sec</t>
  </si>
  <si>
    <t>if income_main_comp = 1-7, go to income_sec</t>
  </si>
  <si>
    <t>o_incomechangereduced</t>
  </si>
  <si>
    <t>Please describe the degree of income reduction:
[OPERATOR: SINGLE RESPONSE]
1)0-25%
2)26-50%
3)51-75%
4)76-100%
5)DON'T KNOW
6)REFUSED</t>
  </si>
  <si>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</si>
  <si>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</si>
  <si>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Form Type - Buttons
exclude selected "income_main"
IsDemographic</t>
  </si>
  <si>
    <t>1-3 = income_sec_crop_check
4 = income_sec_ls_check
5 = income_sec_comp OR optional question
6 = income_sec_fish_check
7-18 = income_sec_comp OR optional question
19-21 = shock</t>
  </si>
  <si>
    <t>if options #1-3 selected, go to income_sec_crop_check
if options #4 selected, go to income_sec_ls_check
if options #6 selected, go to income_sec_fish_check 
if options #5, 7-18 selected, go to [income_sec_comp OR optional question]
if options #19-21 selected, go to shock</t>
  </si>
  <si>
    <t>income_sec_crop_check</t>
  </si>
  <si>
    <t>1-4 = income_sec_comp OR optional question</t>
  </si>
  <si>
    <t>if income_sec_crop_check = 1-4, go to [income_sec_comp OR optional question]</t>
  </si>
  <si>
    <t>income_sec_ls_check</t>
  </si>
  <si>
    <t>if income_sec_ls_check = 1-4, go to [income_sec_comp OR optional question]</t>
  </si>
  <si>
    <t>income_sec_fish_check</t>
  </si>
  <si>
    <t>if income_sec_fish_check = 1-4, go to [income_sec_comp OR optional question]</t>
  </si>
  <si>
    <t>o_income_sec_selfemployed</t>
  </si>
  <si>
    <t>What type of self-employment / liberal profession?
[OPERATOR: SINGLE RESPONSE.]
1)Liberal profession [doctor/architect/layer...]
2)Petty trade/selling on streets [own business/self or with family]
3)Small trade [own business/&lt;5 employees]
4)Medium/large trade [own business/&gt;=5 employees]
5)Other
6)DON'T KNOW
7)REFUSED</t>
  </si>
  <si>
    <t>o_wage_sec_amount</t>
  </si>
  <si>
    <t>if options #1-4, go to [income_main_comp OR income_main_amount]</t>
  </si>
  <si>
    <t>resp_age = 18-100
hh_agricactivity = 1 | 2 | 3 | 4
quotareached = 2
income_main =  1-18</t>
  </si>
  <si>
    <t>New question</t>
  </si>
  <si>
    <t>income_sec_comp</t>
  </si>
  <si>
    <t>Has your household's income from {income_sec} changed in the last 3 months compared to the same period of a normal year? 
[OPERATOR: SINGLE RESPONSE.]
1)A lot more [increased by more than 50%]
2)Slightly more
3)Same
4)Slightly less
5)A lot less [less than half as much]
6)DON'T KNOW
7)REFUSED</t>
  </si>
  <si>
    <t>1-7= income_third</t>
  </si>
  <si>
    <t>if income_sec_comp = 1-7, go to income_third</t>
  </si>
  <si>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</si>
  <si>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</si>
  <si>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Form Type - Buttons
exclude selected "income_main"
exclude selected "income_sec"
IsDemographic</t>
  </si>
  <si>
    <t>1-3 = income_third_crop_check
4 = income_third_ls_check
5 = income_third_comp OR optional question
6 = income_third_fish_check
7-18 = income_third_comp OR optional question
19-21 = shock</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</si>
  <si>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</si>
  <si>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income_third_crop_check</t>
  </si>
  <si>
    <t>1-4 = income_third_comp OR optional question</t>
  </si>
  <si>
    <t>if income_third_crop_check = 1-4, go to [income_third_comp OR optional question]</t>
  </si>
  <si>
    <t>income_third_ls_check</t>
  </si>
  <si>
    <t>if income_third_ls_check = 1-4, go to [income_third_comp OR optional question]</t>
  </si>
  <si>
    <t>income_third_fish_check</t>
  </si>
  <si>
    <t>if income_third_fish_check = 1-4, go to [income_third_comp OR optional question]</t>
  </si>
  <si>
    <t>o_income_third_selfemployed</t>
  </si>
  <si>
    <t>o_wage_third_amount</t>
  </si>
  <si>
    <t xml:space="preserve">What was the typical wage for wage labourers per person per day  in the past one month (30 days)?
[OPERATOR: RECORD NUMBER GIVEN. ENTER 8888888 FOR DON'T KNOW &amp; 9999999 FOR REFUSED.] </t>
  </si>
  <si>
    <t>range</t>
  </si>
  <si>
    <t>income_third_comp</t>
  </si>
  <si>
    <t>Has your household's income from {income_third} changed in the last 3 months compared to the same period of a normal year?
[OPERATOR: SINGLE RESPONSE.]
1)A lot more [increased by more than 50%]
2)Slightly more
3)Same
4)Slightly less
5)A lot less [less than half as much]
6)DON'T KNOW
7)REFUSED</t>
  </si>
  <si>
    <t>1-7= shock</t>
  </si>
  <si>
    <t>if income_third_comp = 1-7, go to shock</t>
  </si>
  <si>
    <t>o_Income_total_amount</t>
  </si>
  <si>
    <t>How much was the household's total income during the last four weeks [one month]? 
[OPERATOR: RECORD TOTAL INCOME FOR THE LAST FOUR WEEKS. ENTER 8888888 FOR DON'T KNOW &amp; 9999999 FOR REFUSED]</t>
  </si>
  <si>
    <t>o_Income_total_amount_conf</t>
  </si>
  <si>
    <t>Can you confirm the amount of income you just stated is correct? 
[OPERATOR: IF THE TOTAL AMOUNT EARNED OVER THE PAST 1 MONTH IS INDEED OVER 350000 or LESS THAN 25,000, CLICK ON CONTINUE. OTHERWISE, GO BACK AND CHANGE THE AMOUNT ENTERED.]
1)CONTINUE</t>
  </si>
  <si>
    <t>o_Income_total_comp</t>
  </si>
  <si>
    <t>Thinking about your household’s total income in the last one month, how has it changed compared to the same period one year ago?  
[OPERATOR: SINGLE RESPONSE] 
1)A lot more [increased by more than 50%]
2)More
3)Same
4)Less
5)A lot less [less than half as much]
6)DON'T KNOW
7)REFUSED</t>
  </si>
  <si>
    <t>o_HHExpTotal30d</t>
  </si>
  <si>
    <t>How much was your family’s total expenditure in the last 30 days (in MMK)?
[OPERATOR: THE RESPONDENT MENTIONED THAT THEIR TOTAL HOUSEHOLD INCOME IS {Income_total_amount}. PROBE IF THE TOTAL EXPENDITURE IS MORE THAN THE TOTAL HOUSEHOLD INCOME TO ENSURE AMOUNTS ARE CORRECT.  RECORD THE AMOUNT GIVEN. ENTER 8888888 FOR DON'T KNOW &amp; 9999999 FOR REFUSED]</t>
  </si>
  <si>
    <t>o_ExpenseFood30d</t>
  </si>
  <si>
    <t>What percentage of your household's expenditure did you spend on food in the last 30 days?
[OPERATOR: SINGLE RESPONSE]
1)0%-10%
2)11%-20%
3)21%-30%
4)31%- 40%
5)41 % - 50%
6)51% - 60%
7)61%-70%
8)71%-80%
9)81%-90%
10)91%-100%
11)DON'T KNOW
12)REFUSED</t>
  </si>
  <si>
    <t>HHDebt_yn</t>
  </si>
  <si>
    <t>Do you or someone in your household currently have any debt that was incurred in the last one year? 
[OPERATOR: SINGLE RESPONSE]
1)YES
2)NO
3)DON'T KNOW
4)REFUSED</t>
  </si>
  <si>
    <t>HHDebt_BorrowFrom</t>
  </si>
  <si>
    <t>From whom have you mainly borrowed this money (or contracted this debt) in the past year?
[OPERATOR: SINGLE RESPONSE]
1)Relatives [excluding  remittances]
2)Relatives living outside the country
3)Traders/shopkeepers
4)Bank/Credit institution/Government/Micro-credit project
5)Money lender
6)Landlord [more than 1 month behind in rent]
7)Informal savings group
8)Employer
9)Other</t>
  </si>
  <si>
    <t>HHDebt_more</t>
  </si>
  <si>
    <t>Given your current situation, do you expect to need to borrow additional money in the coming 6 months? 
[OPERATOR: SINGLE RESPONSE]
1)YES
2)NO
3)DON'T KNOW
4)REFUSED</t>
  </si>
  <si>
    <t>shock</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</si>
  <si>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</si>
  <si>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</si>
  <si>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Select All That Apply</t>
  </si>
  <si>
    <t>Form Type - Checklist 
1,26,27 = IsNone</t>
  </si>
  <si>
    <t>1-27 = [crp_intro or optional question]</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</si>
  <si>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</si>
  <si>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if shock = 1-27, go to [crp_intro or optional question]</t>
  </si>
  <si>
    <t>D. CROP PRODUCTION</t>
  </si>
  <si>
    <t>crp_intro</t>
  </si>
  <si>
    <t>We will now ask you some questions about crop production which apply to you and anyone in your household that is involved in crop production or sales. All questions refer to the crops grown during monsoon season.
1)CONTINUE</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</si>
  <si>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</si>
  <si>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</si>
  <si>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</si>
  <si>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crp_landsize_num</t>
  </si>
  <si>
    <t>What is the total size of the land you can cultivate?
[OPERATOR: RECORD THE TOTAL LAND SIZE PROVIDED BY THE RESPONDENT. WRITE 8888888 FOR DON'T KNOW AND 9999999 FOR REFUSED. MEASUREMENT UNIT WILL BE SPECIFIED IN THE FOLLOWING QUESTION.]</t>
  </si>
  <si>
    <t>0-1000000 = crp_landsize_unit
8888888-8888888 = crp_main
9999999-9999999 = crp_main</t>
  </si>
  <si>
    <t>For any response, go to crp_landsize_unit. Range is between 0 and 1000000. For "Don't know" and "Refused", go to crp_main.</t>
  </si>
  <si>
    <t>crp_landsize_unit</t>
  </si>
  <si>
    <t xml:space="preserve">Unit of measurement for land size: 
[OPERATOR: DO NOT READ. SINGLE RESPONSE.]
1)Acres
2)Hectares
3)Square meters
4)Square feet
5)Arces, square meter
</t>
  </si>
  <si>
    <t>1-5 = crp_main</t>
  </si>
  <si>
    <t>if crp_landsize_unit = 1-5, go to crp_main</t>
  </si>
  <si>
    <t>crp_main</t>
  </si>
  <si>
    <t>What has been the main crop that your household has grown for food and income generation in monsoon season, if any? 
 [OPERATOR: SINGLE RESPONSE. "NO CROP PRODUCTION" IS IN LAST OPTIONS AT THE END.]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91)No crop production
92)DON'T KNOW
93)REFUSED</t>
  </si>
  <si>
    <t>Form Type - Dropdown
IsDemographic</t>
  </si>
  <si>
    <t>1-90 = crp_irrig_source
91 = crp_main_check
92-93 = crp_salesmain</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</si>
  <si>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91)777
92)888
93)999</t>
  </si>
  <si>
    <t>if crp_main = any type of crop, go to crp_irrig_source;
if crp_main = "No crop production", go to crp_main_check
if crp_main = "Don't know" or "Refused", go to crp_salesmain</t>
  </si>
  <si>
    <t>crp_main_check</t>
  </si>
  <si>
    <t>Why did you not produce any crops in monsoon season?
[OPERATOR: SINGLE RESPONSE.]
1)Don’t usually produce during this season 
2)Wasn't able to produce [e.g. due to difficulties]</t>
  </si>
  <si>
    <t>1 = crp_salesmain
2 = crp_proddif</t>
  </si>
  <si>
    <t>if crp_main_check = 1, go to crp_salesmain
if crp_main_check = 2, go to crp_proddif</t>
  </si>
  <si>
    <t>o_mocha:damage</t>
  </si>
  <si>
    <t>Do the damages from cyclone Mocha have an impact on the area already planted or what you will be able to plant for {crp_main}?
[OPERATOR: SINGLE RESPONSE.]
1)Yes - a lot of impact [more than 50% of the area planted]
2)Yes - a slight impact
3)No - there was  no impact on the area planted
4)DON'T KNOW</t>
  </si>
  <si>
    <t>IF o_cyclaffected = YES</t>
  </si>
  <si>
    <t>O_crp_assets</t>
  </si>
  <si>
    <t>Have you lost the majority of the following tools/assets?
[OPERATOR: MULTIPLE RESPONSE]
1)Hand tools
2)Agricultural machines
3)Seeds stock
4)Inputs [fertilizer and pesticides] stock
5)Irrigation tools [pumps/ parts…]
6)Farmland due to saltwater intrusion/ debris/ sediments…
7)Drying equipment
8)Store equipment [plastic bags/ tarpaulin/ plastic sheets…]
9)Other
10)No - the majority of tools/assets were not lost
11)DON’T KNOW
12)REFUSED</t>
  </si>
  <si>
    <t>crp_irrig_source</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</si>
  <si>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</si>
  <si>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1-8 = crp_area_change OR optional question</t>
  </si>
  <si>
    <t>if crp_irrig_source = 1-8, go to [crp_area_change or optional question]</t>
  </si>
  <si>
    <t>o_irr_dam</t>
  </si>
  <si>
    <t>Was the irrigation infrastructure damaged?
[OPERATOR: SINGLE RESPONSE.]
1)YES
2)NO
3)DON’T KNOW
4)REFUSED</t>
  </si>
  <si>
    <t>crp_area_change</t>
  </si>
  <si>
    <t>How did the area planted for {crp_main} from monsoon season compare to a normal year?
[OPERATOR: SINGLE RESPONSE.]
1)A lot more [increased by more than 50%]
2)Slightly more
3)Same
4)Slightly less
5)A lot less [less than half as much]
6)DON'T KNOW
7)REFUSED</t>
  </si>
  <si>
    <t>1-7 = crp_harv_change</t>
  </si>
  <si>
    <t>if crp_area_change = 1-7, go to crp_harv_change</t>
  </si>
  <si>
    <t>crp_harv_change</t>
  </si>
  <si>
    <t>How does the expected harvest of {crp_main} in the monsoon season compare to a normal year? 
[OPERATOR: SINGLE RESPONSE.]
1)A lot more [increased by more than 50%]
2)Slightly more
3)Same
4)Slightly less
5)A lot less [less than half as much]
6)DON'T KNOW
7)REFUSED</t>
  </si>
  <si>
    <t>1-7 = crp_proddif OR crp_harv_vol</t>
  </si>
  <si>
    <t>if crp_harv_change = 1-7, go to [crp_proddif or crp_harv_vol]</t>
  </si>
  <si>
    <t>crp_harv_vol</t>
  </si>
  <si>
    <t>How much [threshed] {crp_main} did you harvest this monsoon season?
[OPERATOR: RECORD THE RESPONSE GIVEN. UNIT OF MEASUREMENT TO BE SPECIFIED IN NEXT QUESTION. ENTER 8888888 FOR DON'T KNOW &amp; 9999999 FOR REFUSED, TO BE USED RARELY - PROBE!]</t>
  </si>
  <si>
    <t>1-1000000 = crp_harv_unit
8888888-8888888 =  crp_proddif
9999999-9999999 =  crp_proddif</t>
  </si>
  <si>
    <t>For any response, go to crp_harv_unit. For "Don't know" or "Refused", go to crp_proddif</t>
  </si>
  <si>
    <t xml:space="preserve">Keep this block of questions together, if used.
</t>
  </si>
  <si>
    <t>crp_harv_unit</t>
  </si>
  <si>
    <t>Unit of measurement for harvested {crp_main} :
[OPERATOR: SINGLE SELECTION]
1)Kilograms [kgs]
2)Tonnes
3)Ounces
4)Pounds
5)Bags
6)Boxes
7)Bundles
8)Packets
9)Other [specify]</t>
  </si>
  <si>
    <t>Form Type - RadioList
IsDemographic</t>
  </si>
  <si>
    <t>1-4 = crp_harv_lastyr
5-9 = crp_harv_unit_kg</t>
  </si>
  <si>
    <t>If crp_harv_unit = 1-4, go to crp_harv_lastyr
If crp_harv_unit = 5-9, go to crp_harv_unit_kg</t>
  </si>
  <si>
    <t>crp_harv_unit_kg</t>
  </si>
  <si>
    <t>How many kilograms [kgs] in each unit?
[OPERATOR: RECORD THE AMOUNT GIVEN. ENTER 88888 FOR DON'T KNOW &amp; 99999 FOR REFUSED]</t>
  </si>
  <si>
    <t>1-10000 = crp_harv_lastyr
88888-88888 =  crp_harv_lastyr
99999-99999 =  crp_harv_lastyr</t>
  </si>
  <si>
    <t>For any response, go to crp_harv_lastyr</t>
  </si>
  <si>
    <t>crp_harv_lastyr</t>
  </si>
  <si>
    <t>How many {crp_harv_unit} of [threshed] {crp_main} did you harvest last year during the same season?
[OPERATOR: RECORD THE RESPONSE GIVEN. ENTER 8888888 FOR DON'T KNOW &amp; 9999999 FOR REFUSED, TO BE USED RARELY - PROBE!]</t>
  </si>
  <si>
    <t>1-1000000 = crp_proddif
8888888-8888888 = crp_proddif
9999999-9999999 = crp_proddif</t>
  </si>
  <si>
    <t>For any response, go to crp_proddif</t>
  </si>
  <si>
    <t>crp_proddif</t>
  </si>
  <si>
    <t>Has your household faced any significant difficulty in terms of crop production in monsoon season?
[OPERATOR: SINGLE RESPONSE.]
1)YES
2)NO
3)DON'T KNOW
4)REFUSED</t>
  </si>
  <si>
    <t>1 = crp_proddif_2
2-4 = [crp_salesmain or optional question]</t>
  </si>
  <si>
    <t>if crp_proddif = 1, go to crp_proddif_2 ; 
if crp_proddif = 2-4, go to [crp_salesmain or optional question]</t>
  </si>
  <si>
    <t>crp_proddif_2</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</si>
  <si>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</si>
  <si>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Which difficulty has your household faced with crop production in monsoon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</si>
  <si>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 xml:space="preserve">Select All That Apply </t>
  </si>
  <si>
    <t>Form Type - Checklist
17,18 = IsNone</t>
  </si>
  <si>
    <t>1-18 = [crp_salesmain OR optional question]</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</si>
  <si>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</si>
  <si>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if crp_proddif_2 = 1-18, go to [crp_salesmain OR optional question]</t>
  </si>
  <si>
    <t>D. CROP MARKETING</t>
  </si>
  <si>
    <t>crp_salesmain</t>
  </si>
  <si>
    <t>What has been the main crop that you have sold over the last 3 months?
[OPERATOR: "No crop sold in the last 3 months" APPEARS AT THE END OF THE LIST OF OPTIONS. SELECT ALL CROPS LISTED BY THE RESPONDENT.]
1)Rice
2)Wheat
3)Maize
4)Potatoe
5)Beans
6)Onions
7)Groundnut/peanut
8)Sesame
9)Sugarcane
10)Tobacco
11)Millet
12)Sorghum
13)Barley
14)Other Cereal
15)Cassava
16)Sweet Potatoes
17)Yams
18)Carrots
19)Cocoyam
20)Other tubers
21)Lentils
22)Peas
23)Soybeans
24)Chickpeas
25)Fava beans
26)Broad beans
27)Other pulses
28)Cabbage
29)Cauliflower
30)Lettuce
31)Spinach-Amaranth
32)Cassava leaves
33)Potatoe leaves
34)Moringa
35)Sorrel Hibiscus / Rosselle
36)Green salad herbs [thyme, parsley, mint, rocca, other]
37)Other leafy vegetables
38)Tomatoes
39)Green peas
40)Fava beans green
41)Cucumber
42)Pumpkin
43)Eggplant/aubergine
44)Zucchini
45)Okra
46)Bell pepper
47)Haricot
48)Other non leafy vegs
49)Orange
50)Lemon
51)Grapefruit
52)Mandarins/clementines
53)Other citrus fruit
54)Sweet Banana
55)Figs
56)Grapes
57)Olives
58)Apple
59)Apricot
60)Cherries
61)Peach/nectarine
62)Strawberries
63)Melon [Cantaloupe]
64)Plantains
65)Papaya
66)Mango
67)Guava
68)Pineapple
69)Avocado
70)Water Melon
71)Dates
72)Other fruit
73)Coconuts
74)Cashew Nut
75)Kola Nut
76)Bambara nut
77)Almond
78)Walnut
79)Other nuts
80)Cocoa
81)Coffee
82)Tea
83)Sunflower
84)Other food cash crop
85)Cotton
86)Rubber
87)Jute
88)Fodder
89)Qat
90)Other non-food cash crop
92)DON'T KNOW
93)REFUSED</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</si>
  <si>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</si>
  <si>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1-90 = crp_salesdif
91-92 = ls_intro</t>
  </si>
  <si>
    <t>1)1.1
2)1.2
3)1.5
4)2.2
5)3.1
6)5.8
7)8.2
8)8.5
9)9.4
10)10.5
11)1.3
12)1.4
13)1.6
14)1.99
15)2.1
16)2.3
17)2.4
18)2.5
19)2.6
20)2.99
21)3.2
22)3.3
23)3.4
24)3.5
25)3.6
26)3.7
27)3.99
28)4.1
29)4.101
30)4.2
31)4.3
32)4.4
33)4.5
34)4.6
35)4.7
36)4.9
37)4.99
38)5.1
39)5.101
40)5.11
41)5.2
42)5.3
43)5.4
44)5.5
45)5.6
46)5.7
47)5.9
48)5.99
49)6.1
50)6.2
51)6.3
52)6.4
53)6.99
54)7.1
55)7.101
56)7.11
57)7.12
58)7.13
59)7.14
60)7.15
61)7.16
62)7.17
63)7.18
64)7.2
65)7.3
66)7.4
67)7.5
68)7.6
69)7.7
70)7.8
71)7.9
72)7.99
73)8.1
74)8.3
75)8.4
76)8.6
77)8.7
78)8.8
79)8.99
80)9.1
81)9.2
82)9.3
83)9.5
84)9.99
85)10.1
86)10.2
87)10.3
88)10.4
89)10.6
90)10.99
92)888
93)999</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</si>
  <si>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</si>
  <si>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crp_salesdif</t>
  </si>
  <si>
    <t>Has your household faced any significant difficulty in the last 3 months selling your {crp_salesmain}?
[OPERATOR: SINGLE RESPONSE.]
1)YES
2)NO
3)DON'T KNOW
4)REFUSED</t>
  </si>
  <si>
    <t>1 = crp_salesdif_2
2-4 = crp_salesprice</t>
  </si>
  <si>
    <t>if crp_salesdif = 1, go to crp_salesdif_2 ; 
if crp_salesdif = 2-4, go to crp_salesprice</t>
  </si>
  <si>
    <t>crp_salesdif_2</t>
  </si>
  <si>
    <t>crp_saledif_
1) crp_saledif_marketing_cost
2) crp_saledif_damage_losses
3) crp_saledif_low_demand
4) crp_saledif_pay_delay
5) crp_saledif_low_price
6) crp_saledif_processing
7) crp_saledif_competition
8) crp_saledif_other
9) crp_saledif_dk
10) crp_saledif_ref</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</si>
  <si>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</si>
  <si>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Form Type - Checklist
9,10 = IsNone</t>
  </si>
  <si>
    <t>1-10 = crp_salesprice</t>
  </si>
  <si>
    <t>1)crp_saledif_marketing_cost
2)crp_saledif_damage_losses
3)crp_saledif_low_demand
4)crp_saledif_pay_delay
5)crp_saledif_low_price
6)crp_saledif_processing
7)crp_saledif_competition
8)crp_saledif_other
9)crp_saledif_dk
10)crp_saledif_ref</t>
  </si>
  <si>
    <t>if crp_salesdif_2 = 1-10, go to crp_salesprice</t>
  </si>
  <si>
    <t>crp_salesprice</t>
  </si>
  <si>
    <t>How does the current price of your household's {crp_salesmain} compare to the average price in the same period of a normal year? 
[OPERATOR: SINGLE RESPONSE. INSIST ON THE MAIN PRODUCT MENTIONED.]
1)A lot more [increased by more than 50%]
2)Slightly more
3)Same
4)Slightly less
5)A lot less [less than half as much]
6)DON'T KNOW
7)REFUSED</t>
  </si>
  <si>
    <t xml:space="preserve">1-7 = ls_intro </t>
  </si>
  <si>
    <t>if crp_salesprice = 1-7, go to ls_intro</t>
  </si>
  <si>
    <t>E. LIVESTOCK PRODUCTION</t>
  </si>
  <si>
    <t>ls_intro</t>
  </si>
  <si>
    <t>We will now ask you some questions about livestock production which apply to you and anyone in your household that is involved in livestock production or sales. 
1)CONTINUE</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</si>
  <si>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</si>
  <si>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1 = ls_main</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</si>
  <si>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</si>
  <si>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ls_main</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</si>
  <si>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</si>
  <si>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Form Type - Buttons
set demographic</t>
  </si>
  <si>
    <t>1-9 = ls_num_lastyr
10-11 = ls_proddif</t>
  </si>
  <si>
    <t>if ls_main = 1-9, go to ls_num_lastyr ; 
If ls_main = 10-11, go to ls_proddif</t>
  </si>
  <si>
    <t>ls_num_lastyr</t>
  </si>
  <si>
    <t>How many {ls_main] did you have at the same time last year?
[OPERATOR: RECORD THE NUMBER OF ANIMALS. ENTER 88888 FOR DON'T KNOW AND 99999 FOR REFUSED.]</t>
  </si>
  <si>
    <t>Form Type - TextBox
demographic</t>
  </si>
  <si>
    <t>0-10000 = ls_num_now
88888-88888 = ls_num_now
99999-99999 = ls_num_now</t>
  </si>
  <si>
    <t>answers can range from 0-10000; any response goes to ls_num_now</t>
  </si>
  <si>
    <t>ls_num_now</t>
  </si>
  <si>
    <t>How many {ls_main} do you have now?
[OPERATOR: RECORD THE NUMBER OF ANIMALS. ENTER 88888 FOR DON'T KNOW AND 99999 FOR REFUSED.]</t>
  </si>
  <si>
    <t>0-10000 = ls_num_change
88888-88888 = ls_num_change
99999-99999 = ls_num_change</t>
  </si>
  <si>
    <t>answers can range from 0-10000; any response goes to ls_num_change</t>
  </si>
  <si>
    <t>ls_num_change</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</si>
  <si>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</si>
  <si>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</si>
  <si>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Form Type - Checklist
1,13,14 = IsNone</t>
  </si>
  <si>
    <t>1-14 = [ls_proddif OR optional question]</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</si>
  <si>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</si>
  <si>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If ls_num_change 1-14 = [ls_proddif OR optional question]</t>
  </si>
  <si>
    <t>ls_feed</t>
  </si>
  <si>
    <t>ls_feed
1) ls_feed_open_pasture
2) ls_feed_common_pasture
3) ls_feed_self_produced
4) ls_feed_purchased
5) ls_feed_free_dist
6) ls_feed_other
7) ls_feed_dk
8) ls_feed_ref</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</si>
  <si>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</si>
  <si>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Form Type - Checklist
7,8 = IsNone</t>
  </si>
  <si>
    <t>1-8 = ls_proddif</t>
  </si>
  <si>
    <t>1)ls_feed_open_pasture
2)ls_feed_common_pasture
3)ls_feed_self_produced
4)ls_feed_purchased
5)ls_feed_free_dist
6)ls_feed_other
7)ls_feed_dk
8)ls_feed_ref</t>
  </si>
  <si>
    <t>For any response, go to ls_proddif</t>
  </si>
  <si>
    <t>ls_assets</t>
  </si>
  <si>
    <t>Have you lost the following assets/tools due to the cyclone and flooding?
[OPERATOR: READ OPTIONS. MULTIPLE RESPONSE]
1)Stocked feed/fodder/hay
2)Veterinary drugs
3)Tools
4)Hatches/pen
5)Other
6)No assets/tools lost
7)DON’T’T KNOW
8)REFUSED</t>
  </si>
  <si>
    <t>ls_proddif</t>
  </si>
  <si>
    <t>Has your household faced any significant difficulty with livestock production over the last 3 months?
[OPERATOR: SINGLE RESPONSE.]
1)YES 
2)NO
3)DON'T KNOW
4)REFUSED</t>
  </si>
  <si>
    <t>1=ls_proddif_2
2-4= [ls_salesmain OR optional question]</t>
  </si>
  <si>
    <t>if ls_proddif = 1, go to ls_proddif_2 ; 
if ls_proddif = 2-4, go to [ls_salesmain OR optional question]</t>
  </si>
  <si>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</si>
  <si>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</si>
  <si>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</si>
  <si>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Form Type - Checklist
12,13 = IsNone</t>
  </si>
  <si>
    <t>1-13 = [ls_salesmain OR optional question]</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</si>
  <si>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</si>
  <si>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if ls_proddif_2 = 1-13, go to ls_salesmain OR optional question</t>
  </si>
  <si>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</si>
  <si>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</si>
  <si>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</si>
  <si>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</si>
  <si>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Form Type - Buttons
IsDemographic</t>
  </si>
  <si>
    <t>1-11 = ls_salesdif
12-13 = fish_intro</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</si>
  <si>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</si>
  <si>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ls_salesdif</t>
  </si>
  <si>
    <t>Has your household faced any significant difficulty in the last 3 months selling your {ls_salesmain}?
[OPERATOR: SINGLE RESPONSE.]
1)YES
2)NO
3)DON'T KNOW
4)REFUSED</t>
  </si>
  <si>
    <t>1 = ls_salesdif_2
2-4 = ls_salesprice</t>
  </si>
  <si>
    <t>if ls_salesdif = 1, go to ls_salesdif_2 ; 
if ls_salesdif = 2-4, go to ls_salesprice</t>
  </si>
  <si>
    <t>ls_salesdif_2</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</si>
  <si>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</si>
  <si>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</si>
  <si>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Form Type - Checklist
10,11 = IsNone</t>
  </si>
  <si>
    <t>1-11 = ls_salesprice</t>
  </si>
  <si>
    <t>1)ls_salesdif_marketing_cost
2)ls_salesdif_damage_losses
3)ls_salesdif_low_demand
4)ls_salesdif_pay_delay
5)ls_salesdif_low_price
6)ls_salesdif_slaughterhouse
7)ls_salesdif_processing
8)ls_salesdif_competition
9)ls_salesdif_other
10)ls_salesdif_dk
11)ls_salesdif_ref</t>
  </si>
  <si>
    <t>if ls_salesdif_2 = 1-11, go to ls_salesprice</t>
  </si>
  <si>
    <t>ls_salesprice</t>
  </si>
  <si>
    <t>How does the current price of your household's {ls_salesmain} compare to the average price in the same period of a normal year?
[OPERATOR: SINGLE RESPONSE. INSIST ON THE MAIN PRODUCT MENTIONED.]
1)A lot more [increased by more than 50%]
2)Slightly more
3)Same
4)Slightly less
5)A lot less [less than half as much]
6)DON'T KNOW
7)REFUSED</t>
  </si>
  <si>
    <t>1-7 = fish_intro</t>
  </si>
  <si>
    <t>For options #1-7, go to fish_intro</t>
  </si>
  <si>
    <t>F. FISHERIES PRODUCTION</t>
  </si>
  <si>
    <t>fish_intro</t>
  </si>
  <si>
    <t>We will now ask you some questions about fishing and aquaculture production which apply to you and anyone in your household that is involved in the capture, culture, processing or sales of fish.
1)CONTINUE</t>
  </si>
  <si>
    <t>Send if "income_main_fish_check" "Equals" "YES" Or "income_sec_fish_check" "Equals" "YES Or "income_third_fish_check" "Equals" "YES", if not satisfied go to "fies"</t>
  </si>
  <si>
    <t>1 = fish_main</t>
  </si>
  <si>
    <t>If the respondent reported production and sales of fish in one of the three main income sources and confirmed that they are involved in production, then this section will be administered to respondents. Otherwise, skip to fies</t>
  </si>
  <si>
    <t>fish_main</t>
  </si>
  <si>
    <t>fish_main_
1) fish_main_coastal
2) fish_main_offshore_sea
3) fish_main_freshwater
4) fish_main_aquaculture
5) fish_main_dk
6) fish_main_ref</t>
  </si>
  <si>
    <t>What type of fishing activity does your household generally practice?
[OPERATOR: MULTIPLE RESPONSES POSSIBLE.]
1)Near coastal, delta, lagoon fishing
2)Offshore sea fishing
3)Freshwater fishing [in lakes, reservoirs, ponds, rivers, or wetlands]
4)Aquaculture
5)DON'T KNOW
6)REFUSED</t>
  </si>
  <si>
    <t>Form Type - Checklist
5,6 = IsNone</t>
  </si>
  <si>
    <t>1-6 = fish_change</t>
  </si>
  <si>
    <t>1)fish_main_coastal
2)fish_main_offshore_sea
3)fish_main_freshwater
4)fish_main_aquaculture
5)fish_main_dk
6)fish_main_ref</t>
  </si>
  <si>
    <t>if fish_main = 1-6, go to fish_change</t>
  </si>
  <si>
    <t>fish_change</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</si>
  <si>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</si>
  <si>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1-7 = fish_proddif</t>
  </si>
  <si>
    <t>if fish_change = 1-7, go to fish_proddif</t>
  </si>
  <si>
    <t>fish_proddif</t>
  </si>
  <si>
    <t>Has your household faced any significant difficulty with fish catch and/or harvest in the last 3 months?
[OPERATOR: SINGLE RESPONSE.]
1)YES
2)NO
3)DON'T KNOW
4)REFUSED</t>
  </si>
  <si>
    <t>1=fish_proddif_2
2-4= [fish_salesmain OR optional question]</t>
  </si>
  <si>
    <t>if fish_proddif = 1, go to fish_proddif_2 ; 
if fish_proddif = 2-4, go to fish_salesmain OR optional question</t>
  </si>
  <si>
    <t>fish_proddif_2</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</si>
  <si>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</si>
  <si>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</si>
  <si>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1-11 = [fish_salesmain OR optional question]</t>
  </si>
  <si>
    <t>1)fish_proddif_find_fish
2)fish_proddif_pests
3)fish_proddif_access_area
4)fish_proddif_fuel
5)fish_proddif_input_access
6)fish_proddif_labour
7)fish_proddif_infrastructure
8)fish_proddif_damage_equip
9)fish_proddif_other
10)fish_proddif_dk
11)fish_proddif_ref</t>
  </si>
  <si>
    <t>If fish_proddif_2 = 1-11, go to fish_salesmain OR optional question</t>
  </si>
  <si>
    <t>fish_inputdif</t>
  </si>
  <si>
    <t>fish_inputdif_
1) fish_inputdif_bait_feed
2)fish_inputdif_fingerling
3) fish_inputdif_gear
4) fish_inputdif_ice
5) fish_inputdif_fuel
6) fish_inputdif_repairs
7) fish_inputdif_labour
8) fish_inputdif_other 
9)fish_inputdif_dk
10) fish_inputdif_ref</t>
  </si>
  <si>
    <t>Which fishing [culture] input material has your household had difficulties accessing in the last 3 months?
[OPERATOR: MULTIPLE RESPONSE POSSIBLE.]
1)Feed or bait
2) Net
3)Fishing gear [e.g. rods, hooks, nets]
4)Ice
5)Fuel
6)Equipment repairs [including boats] or spare parts
7)Labour
8)Other [specify]
9)DON'T KNOW
10)REFUSED</t>
  </si>
  <si>
    <t xml:space="preserve">Open Ended - Select All That Apply </t>
  </si>
  <si>
    <t>Send if "fish_proddif_2" "Contains" "Access to other fishing or culture inputs [prices higher or not available]" if not satisfied go to "fish_salesmain"</t>
  </si>
  <si>
    <t>Form Type - Checklist
9,10= IsNone</t>
  </si>
  <si>
    <t>1-10 = [fish_salesmain]</t>
  </si>
  <si>
    <t>1)fish_inputdif_bait_feed
2)fish_inputdif_fingerling
3)fish_inputdif_gear
4)fish_inputdif_ice
5)fish_inputdif_fuel
6)fish_inputdif_repairs
7)fish_inputdif_labour
8)fish_inputdif_other 
9)fish_inputdif_dk
10) fish_inputdif_ref</t>
  </si>
  <si>
    <t>Asked only to respondents that answered fish_proddif_2 = 4.
if fish_inputdif = 1-10, go to fish_salesmain</t>
  </si>
  <si>
    <t>F. FISHERIES MARKETING</t>
  </si>
  <si>
    <t>fish_salesmain</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</si>
  <si>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</si>
  <si>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1-5 = fish_salesdif
6-7 = fies</t>
  </si>
  <si>
    <t>if fish_salesmain = 1-5, go to fish_salesdif
if fish_salesmain = 6-7, go to fies</t>
  </si>
  <si>
    <t>fish_salesdif</t>
  </si>
  <si>
    <t>Has your household faced any significant difficulty marketing / selling your {fish_salesmain} in the last 3 months?
[OPERATOR: SINGLE RESPONSE]
1)YES
2)NO
3)DON'T KNOW
4)REFUSED</t>
  </si>
  <si>
    <t>1 = fish_salesdif_2
2-4 = fish_salesprice</t>
  </si>
  <si>
    <t>if fish_salesdif = 1, go to fish_salesdif_2 ;
if fish_salesdif = 2-4, go to fish_salesprice</t>
  </si>
  <si>
    <t>fish_salesdif_2</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</si>
  <si>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</si>
  <si>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</si>
  <si>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1-10 = fish_salesprice</t>
  </si>
  <si>
    <t>1)fish_saledif_marketing_cost
2)fish_saledif_damage_losses
3)fish_saledif_low_demand
4)fish_saledif_pay_delay
5)fish_saledif_low_prices
6)fish_saledif_processing
7)fish_saledif_competition
8)fish_saledif_other
9)fish_saledif_dk
10)fish_saledif_ref</t>
  </si>
  <si>
    <t>if fish_salesdif = 1-10, go to fish_salesprice</t>
  </si>
  <si>
    <t>fish_salesprice</t>
  </si>
  <si>
    <t>How does the current price of your household's {fish_salesmain} sold compare to the average price in the same period/harvest of a normal year? 
[OPERATOR: SINGLE RESPONSE. INSIST ON THE MAIN PRODUCT MENTIONED.]
1)A lot more [increased by more than 50%]
2)Slightly more
3)Same
4)Slightly less
5)A lot less [less than half as much]
6)DON'T KNOW
7)REFUSED</t>
  </si>
  <si>
    <t>1-7 = fies</t>
  </si>
  <si>
    <t>if fish_salesprice = 1-7, go to fies</t>
  </si>
  <si>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</si>
  <si>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</si>
  <si>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</si>
  <si>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1 = fies_worried</t>
  </si>
  <si>
    <t>if fies = 1, go to fies_worried</t>
  </si>
  <si>
    <t>Check if the ESS team has an official translation.</t>
  </si>
  <si>
    <t>fies_worried</t>
  </si>
  <si>
    <t>During the last 30 days, was there a time when you or others in your household were worried about not having enough food to eat because of lack of money or other resources?
[OPERATOR: SINGLE RESPONSE]
1)YES
2)NO
3)DON'T KNOW
4)REFUSED</t>
  </si>
  <si>
    <t>1-4 = fies_healthy</t>
  </si>
  <si>
    <t>if fies_worried = 1-4, go to fies_healthy</t>
  </si>
  <si>
    <t>fies_healthy</t>
  </si>
  <si>
    <t>During the last 30 days, was there a time when you or others in your household were unable to eat healthy and nutritious food because of lack of money or other resources?
[OPERATOR: SINGLE RESPONSE]
1)YES
2)NO
3)DON'T KNOW
4)REFUSED</t>
  </si>
  <si>
    <t>1-4 = fies_fewfoods</t>
  </si>
  <si>
    <t>if fies_healthy = 1-4, go to fies_fewfoods</t>
  </si>
  <si>
    <t>fies_fewfoods</t>
  </si>
  <si>
    <t>During the last 30 days, was there a time when you or others in your household ate only a few kinds of foods because of lack of money or other resources?
[OPERATOR: SINGLE RESPONSE]
1)YES
2)NO
3)DON'T KNOW
4)REFUSED</t>
  </si>
  <si>
    <t>1-4 = fies_skipped</t>
  </si>
  <si>
    <t>if fies_fewfoods = 1-4, go to fies_skipped</t>
  </si>
  <si>
    <t>fies_skipped</t>
  </si>
  <si>
    <t>During the last 30 days, was there a time when you or others in your household had to skip a meal because of lack of money or other resources to get food?
[OPERATOR: SINGLE RESPONSE]
1)YES
2)NO
3)DON'T KNOW
4)REFUSED</t>
  </si>
  <si>
    <t>1-4 = fies_ateless</t>
  </si>
  <si>
    <t>if fies_skipped = 1-4, go to fies_ateless</t>
  </si>
  <si>
    <t>fies_ateless</t>
  </si>
  <si>
    <t>During the last 30 days, was there a time when you or others in your household ate less than you thought you should because of lack of money or other resources?
[OPERATOR: SINGLE RESPONSE]
1)YES
2)NO
3)DON'T KNOW
4)REFUSED</t>
  </si>
  <si>
    <t>1-4 = fies_ranout</t>
  </si>
  <si>
    <t>if fies_ateless = 1-4, go to fies_ranout</t>
  </si>
  <si>
    <t>fies_ranout</t>
  </si>
  <si>
    <t>In the past 30 days, was there ever no food to eat of any kind in your house because of lack of resources to get food?
[OPERATOR: SINGLE RESPONSE]
1)YES
2)NO
3)DON'T KNOW
4)REFUSED</t>
  </si>
  <si>
    <t>1=fies_ranout_hhs
2-4 = fies_hungry</t>
  </si>
  <si>
    <t>if fies_ranout = 1, go to fies_ranout_hhs. Otherwise, go to fies_hungry</t>
  </si>
  <si>
    <t>fies_ranout_hhs</t>
  </si>
  <si>
    <t>How often did this happen?
[OPERATOR: SINGLE RESPONSE]
1)Rarely [1-2 times in the past 30 days]
2)Sometimes [3-10 times in the past 30 days]
3)Often [more than 10 times in the last 30 days]
4)DON'T KNOW
5)REFUSED</t>
  </si>
  <si>
    <t xml:space="preserve">1-5 = fies_hungry </t>
  </si>
  <si>
    <t>if fies_ranout_hhs = 1-5, go to fies_hungry</t>
  </si>
  <si>
    <t>fies_hungry</t>
  </si>
  <si>
    <t>In the past 30 days, did you or any household member ever go to sleep at night hungry because there was not enough food?
[OPERATOR: SINGLE RESPONSE]
1)YES
2)NO
3)DON'T KNOW
4)REFUSED</t>
  </si>
  <si>
    <t>1=fies_hungry_hhs
2-4 = fies_whlday</t>
  </si>
  <si>
    <t>if fies_hungry = 1, go to fies_hungry_hhs. Otherwise, go to fies_whlday</t>
  </si>
  <si>
    <t>fies_hungry_hhs</t>
  </si>
  <si>
    <t>1-5 = fies_whlday</t>
  </si>
  <si>
    <t>if fies_hungry_hhs = 1-5, go to fies_whlday</t>
  </si>
  <si>
    <t>fies_whlday</t>
  </si>
  <si>
    <t>In the past 30 days, did you or any household member ever go a whole day and night without eating anything at all because there was not enough food?
[OPERATOR: SINGLE RESPONSE]
1)YES
2)NO
3)DON'T KNOW
4)REFUSED</t>
  </si>
  <si>
    <t>1=fies_whlday_hhs
2-4 = [lcsi_intro OR hdds]</t>
  </si>
  <si>
    <t>if fies_whlday = 1, go to fies_whlday_hhs. Otherwise, go to lcsi_intro OR hdds</t>
  </si>
  <si>
    <t>fies_whlday_hhs</t>
  </si>
  <si>
    <t>1-5 = [lcsi_intro OR hdds]</t>
  </si>
  <si>
    <t>if fies_whlday_hhs = 1-5, go to lcsi_intro OR hdds</t>
  </si>
  <si>
    <t>copingstrategies</t>
  </si>
  <si>
    <t>lcsi_intro</t>
  </si>
  <si>
    <t>Now I would like to ask you another set of questions on coping strategies, referring to the past 30 days.
[OPERATOR: SINGLE RESPONSE]
1)NEXT</t>
  </si>
  <si>
    <t>1 = [next question]</t>
  </si>
  <si>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</si>
  <si>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LhCSIDomAsset</t>
  </si>
  <si>
    <t xml:space="preserve"> cs_stress_hh_assets</t>
  </si>
  <si>
    <t>During the past 30 days, did anyone in your household have to sell household assets / goods (radio, furniture, television, jewelry, etc.)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</si>
  <si>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1-6 = [next question]</t>
  </si>
  <si>
    <t>LhCSISaving</t>
  </si>
  <si>
    <t xml:space="preserve"> cs_stress_spent_savings</t>
  </si>
  <si>
    <t>During the past 30 days, did anyone in your household have to spend savings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</si>
  <si>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LhCSICrdtFood</t>
  </si>
  <si>
    <t>cs_stress_credit</t>
  </si>
  <si>
    <t>During the past 30 days, did anyone in your household have to purchase food on credit or borrowed food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</si>
  <si>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LhCSIBorrowCash</t>
  </si>
  <si>
    <t>cs_stress_borrowed_money</t>
  </si>
  <si>
    <t>During the past 30 days, did anyone in your household have to borrow money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</si>
  <si>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LhCSIProdAsset</t>
  </si>
  <si>
    <t>cs_crisis_sold_prod_assets</t>
  </si>
  <si>
    <t>During the past 30 days, did anyone in your household have to sell productive assets or means of transport (sewing machine, wheelbarrow, bicycle, car, etc.)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</si>
  <si>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LhCSIReduceNonFood</t>
  </si>
  <si>
    <t>cs_crisis_no_school</t>
  </si>
  <si>
    <t>During the past 30 days, did anyone in your household have to reduce expenses on health (including drugs)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</si>
  <si>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LhCSILabChild</t>
  </si>
  <si>
    <t>cs_crisis_reduced_health_exp</t>
  </si>
  <si>
    <t>During the past 30 days, did any children (under 15 years old) worked to contribute to household income (e.g. maid, casual labour)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</si>
  <si>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LhCSIConsSeed</t>
  </si>
  <si>
    <t>cs_crisis_consume_seed_stock</t>
  </si>
  <si>
    <t>During the past 30 days, did anyone in your household consume seed stocks that were to be held/saved for the next planting season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</si>
  <si>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LhCSIResAsset</t>
  </si>
  <si>
    <t>cs_emergency_sold_house</t>
  </si>
  <si>
    <t>During the past 30 days, did anyone in your household have to sell house or land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</si>
  <si>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LhCSIRiskJobs</t>
  </si>
  <si>
    <t>cs_emergency_illegal</t>
  </si>
  <si>
    <t>During the last 30 days, has your household engaged in high-risk activities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</si>
  <si>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LhCSILastDraught</t>
  </si>
  <si>
    <t>cs_emergency_sold_last_female</t>
  </si>
  <si>
    <t>During the past 30 days, did anyone in your household have to sell the last draught animal or power tiller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</si>
  <si>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LhCSIMoved</t>
  </si>
  <si>
    <t>cs_emergency_hh_migration</t>
  </si>
  <si>
    <t>During the past 30 days, did your entire household have to migrate to cope with a lack of food or money to buy it?
[OPERATOR: SINGLE RESPONSE]
1)Yes
2)No - because it wasn't necessary
3)No - because you already sold those assets or did this activity within the last 12 months and you cannot continue to do it
4)Not applicable [don't have these assets]</t>
  </si>
  <si>
    <t>o_lostHHassets</t>
  </si>
  <si>
    <t>Have you lost any of the following assets, due to the cyclone/floods?
[OPERATOR: MULTIPLE RESPONSE]
1)Bicycle
2)Car/motorbike
3)Toke Toke
4)Trailer
5)Non-agricultural tools
6)Stock of merchandise to sell
7)Productive assets/machine [sowing machine/ saws/ etc…]
8)Households supplies
9)Other [specify]
10)No assets lost</t>
  </si>
  <si>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</si>
  <si>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</si>
  <si>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1-7 = hh_size</t>
  </si>
  <si>
    <t>fcs_intro</t>
  </si>
  <si>
    <t xml:space="preserve">Now I would like to ask you about the foods and drinks your household ate or drank in the last 7 days during the day and at night [breakfast, lunch, dinner, snacks]. 
1)CONTINUE
</t>
  </si>
  <si>
    <t>1 = fcs_staple_days</t>
  </si>
  <si>
    <t>if fcs_intro = 1, go to fcs_staple_days</t>
  </si>
  <si>
    <t>FCSStap</t>
  </si>
  <si>
    <t>fcs_staple_days</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</si>
  <si>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</si>
  <si>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0-7 = fcs_pulses_days</t>
  </si>
  <si>
    <t>For any response, go to fcs_pulses_days</t>
  </si>
  <si>
    <t>FCSPulse</t>
  </si>
  <si>
    <t>fcs_pulses_days</t>
  </si>
  <si>
    <t>How many days over the last 7 days, did members of your household eat pulses and nuts such as beans, lentils, cowpeas, soybean, pigeon peas and peanuts or other nuts?
[OPERATOR: RECORD NUMBER OF DAYS 0 - 7]
[HINT: IF CONSUMED ONLY IN SMALL QUANTITY, DO NOT INCLUDE.]</t>
  </si>
  <si>
    <t>0-7 = fcs_vegetables_days</t>
  </si>
  <si>
    <t>For any response, go to fcs_vegetables_days</t>
  </si>
  <si>
    <t>FCSVeg</t>
  </si>
  <si>
    <t>fcs_vegetables_days</t>
  </si>
  <si>
    <t>How many days over the last 7 days, did members of your household eat vegetables or leaves such as carrot, red pepper, pumpkin, orange sweet potatoes, spinach and/or other leaves/vegetables?
[OPERATOR: RECORD NUMBER OF DAYS 0 - 7] 
[HINT: IF CONSUMED ONLY IN SMALL QUANTITY, DO NOT INCLUDE.]</t>
  </si>
  <si>
    <t>0-7 = fcs_fruit_days</t>
  </si>
  <si>
    <t>For any response, go to fcs_fruit_days</t>
  </si>
  <si>
    <t>FCSFruit</t>
  </si>
  <si>
    <t>fcs_fruit_days</t>
  </si>
  <si>
    <t>How many days over the last 7 days, did members of your household eat fruit such as banana, apple, mango, papaya and/or other fruits?
[OPERATOR: RECORD NUMBER OF DAYS 0 - 7]
[HINT: IF CONSUMED ONLY IN SMALL QUANTITY, DO NOT INCLUDE.]</t>
  </si>
  <si>
    <t>0-7 = fcs_meat_fish_days</t>
  </si>
  <si>
    <t>For any response, go to fcs_meat_fish_days</t>
  </si>
  <si>
    <t>FCSPr</t>
  </si>
  <si>
    <t>fcs_meat_fish_days</t>
  </si>
  <si>
    <t>How many days over the last 7 days, did members of your household eat meat, eggs or fish [any type of meat or fish including insects, birds, bush meat, seafood, or organs]?
[OPERATOR: RECORD NUMBER OF DAYS 0 - 7]
[HINT: IF CONSUMED ONLY IN SMALL QUANTITY, DO NOT INCLUDE.]</t>
  </si>
  <si>
    <t>0-7 = fcs_dairy_days</t>
  </si>
  <si>
    <t>For any response, go to fcs_dairy_days</t>
  </si>
  <si>
    <t>FCSDairy</t>
  </si>
  <si>
    <t>fcs_dairy_days</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</si>
  <si>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</si>
  <si>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0-7 = fcs_sugar_days</t>
  </si>
  <si>
    <t>For any response, go to fcs_sugar_days</t>
  </si>
  <si>
    <t>FCSSugar</t>
  </si>
  <si>
    <t>fcs_sugar_days</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</si>
  <si>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</si>
  <si>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0-7 = fcs_oil_days</t>
  </si>
  <si>
    <t>For any response, go to fcs_oil_days</t>
  </si>
  <si>
    <t>FCSFat</t>
  </si>
  <si>
    <t>fcs_oil_days</t>
  </si>
  <si>
    <t>How many days over the last 7 days, did members of your household eat oil/fat/butter such as vegetable oil, palm oil, groundnut oil, margarine, other fats / oil?
[OPERATOR: RECORD NUMBER OF DAYS 0 - 7]
[HINT: IF CONSUMED ONLY IN SMALL QUANTITY, DO NOT INCLUDE.]</t>
  </si>
  <si>
    <t>0-7 = fcs_condiments_days</t>
  </si>
  <si>
    <t>For any response, go to fcs_condiments_days</t>
  </si>
  <si>
    <t xml:space="preserve">o_meals </t>
  </si>
  <si>
    <t>How many meals did your household have yesterday?
[OPERATOR: CHOOSE ONLY ONE OPTION]
1)0 MEALS
2)1 MEAL
3)2 MEALS
4)3 OR MORE MEALS
5)DON'T KNOW
6)REFUSED</t>
  </si>
  <si>
    <t>rcsi</t>
  </si>
  <si>
    <t>rcsi_intro</t>
  </si>
  <si>
    <t>Now I will ask you about the number of days, in the last 7 days, during which the household has done some of the actions that I will mention to cope with the lack of food or money to buy food.
1)CONTINUE</t>
  </si>
  <si>
    <t>1 = rcsi_less_preferred_foods</t>
  </si>
  <si>
    <t>For any response, go to rcsi_less_preferred_foods</t>
  </si>
  <si>
    <t>rCSILessQlty</t>
  </si>
  <si>
    <t>rcsi_less_preferred_foods</t>
  </si>
  <si>
    <t>In the past 7 days, how many days did your household rely on less preferred or less expensive food due to lack of food/money?  
[OPERATOR: RECORD NUMBER OF DAYS 0 - 7 ]</t>
  </si>
  <si>
    <t>0-7 = rcsi_borrowed_food</t>
  </si>
  <si>
    <t>For any response, go to rcsi_borrowed_food</t>
  </si>
  <si>
    <t>rCSIBorrow</t>
  </si>
  <si>
    <t>rcsi_borrowed_food</t>
  </si>
  <si>
    <t>In the past 7 days, how many days did your household borrow food, or rely on help from a friend or relative due to lack of food or money to buy food? 
[OPERATOR: RECORD NUMBER OF DAYS 0 - 7 ]</t>
  </si>
  <si>
    <t>0-7 = rcsi_reduce_number_meals</t>
  </si>
  <si>
    <t>For any response, go to rcsi_reduce_number_meals</t>
  </si>
  <si>
    <t>rCSIMealNb</t>
  </si>
  <si>
    <t>rcsi_reduce_number_meals</t>
  </si>
  <si>
    <t>In the past 7 days, how many days did your household reduce the number of meals eaten in a day due to lack of food or money to buy food?
[OPERATOR: RECORD NUMBER OF DAYS 0 - 7 ]</t>
  </si>
  <si>
    <t>0-7 = rcsi_limit_portions</t>
  </si>
  <si>
    <t>For any response, go to rcsi_limit_portions</t>
  </si>
  <si>
    <t>rCSIMealSize</t>
  </si>
  <si>
    <t>rcsi_limit_portions</t>
  </si>
  <si>
    <t>In the past 7 days, how many days did your household limit portion sizes at mealtime due to lack of food or money to buy food? 
[OPERATOR: RECORD NUMBER OF DAYS 0 - 7 ]</t>
  </si>
  <si>
    <t>0-7 = rcsi_restrict_adult_consumpt</t>
  </si>
  <si>
    <t>For any response, go to rcsi_restrict_adult_consumpt</t>
  </si>
  <si>
    <t>rCSIMealAdult</t>
  </si>
  <si>
    <t>rcsi_restrict_adult_consumpt</t>
  </si>
  <si>
    <t>In the past 7 days, how many days did your household restrict consumption by adults so children could eat, due to lack of food or money to buy food?
[OPERATOR: RECORD NUMBER OF DAYS 0 - 7 ]</t>
  </si>
  <si>
    <t>0-7 = need</t>
  </si>
  <si>
    <t>For any response, go to need</t>
  </si>
  <si>
    <t>o_AccessMarket</t>
  </si>
  <si>
    <t>Are you able to access a shop/market to buy food for your household? 
[OPERATOR: DO NOT READ THE OPTIONS. SINGLE RESPONSE]
1)YES
2)NO
3)DON'T KNOW
4)REFUSED</t>
  </si>
  <si>
    <t>o_AccessMarket_why</t>
  </si>
  <si>
    <t>If not, what is the main constraint limiting your ability to access the market?
[OPERATOR: SINGLE RESPONSE]
1)Market is too far / too expensive to reach
2)Conflict/Insecurity
3)Market closure
4)Road is damaged / not viable 
5)Other
6)DON'T KNOW
7)REFUSED</t>
  </si>
  <si>
    <t>H. NEEDS ASSISTANCE</t>
  </si>
  <si>
    <t>need</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</si>
  <si>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</si>
  <si>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1 = need_2
2-4= need_received</t>
  </si>
  <si>
    <t>Only administered to agricultural households. Otherwise, go to "callback". 
if need = 1, go to need_2
if need = 2-4, go to need_received</t>
  </si>
  <si>
    <t>need_2</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</si>
  <si>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</si>
  <si>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Form Type - Checklist
18,19 = IsNone</t>
  </si>
  <si>
    <t>1-19 = need_received</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</si>
  <si>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</si>
  <si>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if need_2 = 1-19, go to need_received</t>
  </si>
  <si>
    <t>need_received</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</si>
  <si>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</si>
  <si>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</si>
  <si>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Form Type - Checklist
10,11,12 = IsNone</t>
  </si>
  <si>
    <t>1-9 = assistance_quality 
10-12 = callback</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</si>
  <si>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</si>
  <si>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 xml:space="preserve">if need_received = 1-9, go to assistance_quality.
Otherwise, go to callback. </t>
  </si>
  <si>
    <t>I. CLOSING</t>
  </si>
  <si>
    <t>callback</t>
  </si>
  <si>
    <t>Your answers will help us to understand and respond to your community needs. May we call you back again in a few months?
[OPERATOR: SINGLE RESPONSE.]
1)YES
2)NO</t>
  </si>
  <si>
    <t>1 = leader_contact
2 = language2</t>
  </si>
  <si>
    <t>if callback = 1, go to leader_contact
if 2, go to language2</t>
  </si>
  <si>
    <t>contact_2</t>
  </si>
  <si>
    <t>Can you give me an additonal phone number belonging to you, a relative or a friend at which you can be reached?
[OPERATOR: SINGLE RESPONSE.]
1)YES - mine 
2)YES - friend or relative
3)NO
4)DON'T KNOW
5)REFUSED</t>
  </si>
  <si>
    <t>1-2 = phone_number_2
3-5 = hh_admin1</t>
  </si>
  <si>
    <t>if contact_2 = 1-2, go to phone_number_2
if contact_2 = 3-5, go to contact_3</t>
  </si>
  <si>
    <t>yes - panel</t>
  </si>
  <si>
    <t>phone_number_2</t>
  </si>
  <si>
    <t>What is the additional phone number?
[OPERATOR: RECORD THE NUMBER GIVEN]</t>
  </si>
  <si>
    <t>Any Response = contact_2_name</t>
  </si>
  <si>
    <t>For any response, go to contact_2_name</t>
  </si>
  <si>
    <t xml:space="preserve">phone_number_2_Location </t>
  </si>
  <si>
    <t xml:space="preserve">What Region/State does the relative/friend currently live in?
[OPERATOR: SINGLE RESPONSE]
1)AYEYARWADY
2)BAGO
3)CHIN
4)KACHIN
5)KAYAH
6)KAYIN
7)MAGWAY
8)MANDALAY
9)MON
10)NAY PYI TAW
11)RAKHINE
12)SAGAING
13)SHAN
14)TANINTHARYI
15)YANGON
16)DON'T KNOW
17)REFUSED </t>
  </si>
  <si>
    <t>contact_3_2</t>
  </si>
  <si>
    <t>Can you give me another phone number belonging to a relative or a friend who is not part of your household and who may be interested in participating in this survey?
[OPERATOR: SINGLE RESPONSE]
1)YES
2)NO
3)DON'T KNOW
4)REFUSED</t>
  </si>
  <si>
    <t>phone_number_3_2</t>
  </si>
  <si>
    <t>What is the additional phone number?
[OPERATOR: RECORD THE PHONE NUMBER GIVEN]</t>
  </si>
  <si>
    <t>phone_number_3_Location</t>
  </si>
  <si>
    <t>language2</t>
  </si>
  <si>
    <t>Select the language that was mostly used to complete the interview.
[OPERATOR: SINGLE RESPONSE.]
1)English
2)other languages [consistent with resp_language]</t>
  </si>
  <si>
    <t>1-2 = closeout</t>
  </si>
  <si>
    <t>closeout</t>
  </si>
  <si>
    <t>Thank you for your time. The interview has come to an end. You will receive your #TOPUP# airtime credit on this phone within the next 2 days.</t>
  </si>
  <si>
    <t xml:space="preserve">AVERAGE ESTIMATED DURATION </t>
  </si>
  <si>
    <t>AVERAGE ESTIMATED DURATION (without fisheries section)</t>
  </si>
  <si>
    <t>AVERAGE ESTIMATED DURATION (without fisheries section or panel)</t>
  </si>
  <si>
    <t>question</t>
  </si>
  <si>
    <t>duration</t>
  </si>
  <si>
    <t>responded %</t>
  </si>
  <si>
    <t>weighted time</t>
  </si>
  <si>
    <t>agree</t>
  </si>
  <si>
    <t>hh_milieu</t>
  </si>
  <si>
    <t>hh_wealth_toilet</t>
  </si>
  <si>
    <t>hh_wealthwall</t>
  </si>
  <si>
    <t>hh_reprwomen</t>
  </si>
  <si>
    <t>income_main_amount</t>
  </si>
  <si>
    <t>income_main_amount_conf</t>
  </si>
  <si>
    <t>income_sec_amount</t>
  </si>
  <si>
    <t>income_sec_amount_conf</t>
  </si>
  <si>
    <t>income_third_amount</t>
  </si>
  <si>
    <t>income_third_amount_conf</t>
  </si>
  <si>
    <t>covid_policy</t>
  </si>
  <si>
    <t>wagecompar</t>
  </si>
  <si>
    <t>hh_explanation</t>
  </si>
  <si>
    <t>crp_landsize</t>
  </si>
  <si>
    <t>crp_landsmall</t>
  </si>
  <si>
    <t>crp_landmedium</t>
  </si>
  <si>
    <t>crp_irrigation</t>
  </si>
  <si>
    <t>crp_seed_supply</t>
  </si>
  <si>
    <t>crp_proddif_1</t>
  </si>
  <si>
    <t>crp_salesdif_1</t>
  </si>
  <si>
    <t>mrk_inno</t>
  </si>
  <si>
    <t>crp_proc</t>
  </si>
  <si>
    <t>crp_proc_mach</t>
  </si>
  <si>
    <t>crp_proc_owner</t>
  </si>
  <si>
    <t>crp_proc_state</t>
  </si>
  <si>
    <t>ls_food_supply</t>
  </si>
  <si>
    <t>ls_proddif_1</t>
  </si>
  <si>
    <t>ls_salesdif_1</t>
  </si>
  <si>
    <t>ls_proc_1</t>
  </si>
  <si>
    <t>ls_proc_2</t>
  </si>
  <si>
    <t>ls_proc_fac</t>
  </si>
  <si>
    <t>ls_proc_fac_statedairyprocess</t>
  </si>
  <si>
    <t>ls_proc_fac_statecoldtranspor</t>
  </si>
  <si>
    <t>ls_proc_fac_statedontknow</t>
  </si>
  <si>
    <t>cg</t>
  </si>
  <si>
    <t>ls_proc_fac_statepurchasepriv</t>
  </si>
  <si>
    <t>fish_proddif_1</t>
  </si>
  <si>
    <t>fish_salesdif_1</t>
  </si>
  <si>
    <t>fies</t>
  </si>
  <si>
    <t>cs_stress_hh_assets</t>
  </si>
  <si>
    <t>cs_stress_spent_savings</t>
  </si>
  <si>
    <t>cs_crisis_sold_productive_asset</t>
  </si>
  <si>
    <t>cs_crisis_consumed_seed_stocks</t>
  </si>
  <si>
    <t>cs_emergency_begged</t>
  </si>
  <si>
    <t>cs_emergency_sold_till</t>
  </si>
  <si>
    <t>food_exp</t>
  </si>
  <si>
    <t>hdds</t>
  </si>
  <si>
    <t>hdds_confirmation</t>
  </si>
  <si>
    <t>mdds_w</t>
  </si>
  <si>
    <t>mdds_w1</t>
  </si>
  <si>
    <t>mdds_w2</t>
  </si>
  <si>
    <t>mdds_w3</t>
  </si>
  <si>
    <t>mdds_w4</t>
  </si>
  <si>
    <t>mdds_w5</t>
  </si>
  <si>
    <t>mdds_w6</t>
  </si>
  <si>
    <t>mdds_w7</t>
  </si>
  <si>
    <t>mdds_w8</t>
  </si>
  <si>
    <t>mdds_w9</t>
  </si>
  <si>
    <t>mdds_w10</t>
  </si>
  <si>
    <t>mdds_w11</t>
  </si>
  <si>
    <t>need_1</t>
  </si>
  <si>
    <t>info_needs</t>
  </si>
  <si>
    <t>info_needstype</t>
  </si>
  <si>
    <t>info_needsmedium</t>
  </si>
  <si>
    <t>hh_wealth_light</t>
  </si>
  <si>
    <t>cs_stress_sold_more_animals</t>
  </si>
  <si>
    <t>cs_stress_eat_elsewhere</t>
  </si>
  <si>
    <t>cs_crisis_decr_agric_input_exp</t>
  </si>
  <si>
    <t>covid_assistance</t>
  </si>
  <si>
    <t>what_covid_assistance</t>
  </si>
  <si>
    <t>ruralurban</t>
  </si>
  <si>
    <t>formal_informal</t>
  </si>
  <si>
    <t>hhsize04</t>
  </si>
  <si>
    <t>hhdisability</t>
  </si>
  <si>
    <t>hhincearners</t>
  </si>
  <si>
    <t>incomechangereduced</t>
  </si>
  <si>
    <t>hhexptotal30d</t>
  </si>
  <si>
    <t>expensefood30d</t>
  </si>
  <si>
    <t>cropdifficultyunrest</t>
  </si>
  <si>
    <t>cropsalesdifficultyunrest</t>
  </si>
  <si>
    <t>lsdifficultyunrest</t>
  </si>
  <si>
    <t>ls_salesdifficultyunrest</t>
  </si>
  <si>
    <t>cs_emergency_sold_last_drought</t>
  </si>
  <si>
    <t>cs_emergency_hh_risk</t>
  </si>
  <si>
    <t>wheremigration</t>
  </si>
  <si>
    <t>meals</t>
  </si>
  <si>
    <t>fcsstap</t>
  </si>
  <si>
    <t>fcspulse</t>
  </si>
  <si>
    <t>fcsdairy</t>
  </si>
  <si>
    <t>fcspr</t>
  </si>
  <si>
    <t>fcsveg</t>
  </si>
  <si>
    <t>fcsfruit</t>
  </si>
  <si>
    <t>fcsfat</t>
  </si>
  <si>
    <t>fcssugar</t>
  </si>
  <si>
    <t>accessmarket</t>
  </si>
  <si>
    <t>sourcewater</t>
  </si>
  <si>
    <t>othersourcewater</t>
  </si>
  <si>
    <t>adm1_name</t>
  </si>
  <si>
    <t>adm2_name</t>
  </si>
  <si>
    <t>covid</t>
  </si>
  <si>
    <t>crp_landright</t>
  </si>
  <si>
    <t>crp_seed</t>
  </si>
  <si>
    <t>crp_saledif_2</t>
  </si>
  <si>
    <t>ls_proc</t>
  </si>
  <si>
    <t>ls_proc_fac_state</t>
  </si>
  <si>
    <t>cs_spentsavings</t>
  </si>
  <si>
    <t>cs_borrowmoney</t>
  </si>
  <si>
    <t>cs_purchasedfoodcredit</t>
  </si>
  <si>
    <t>cs_soldhhassetsgoods</t>
  </si>
  <si>
    <t>cs_soldprodassets</t>
  </si>
  <si>
    <t>cs_eatplantingseeds</t>
  </si>
  <si>
    <t>cs_withdrewchild</t>
  </si>
  <si>
    <t>cs_soldlandhouse</t>
  </si>
  <si>
    <t>cs_begging</t>
  </si>
  <si>
    <t>cs_soldfemanimals</t>
  </si>
  <si>
    <t>cs_stress_borrowed_or_helped</t>
  </si>
  <si>
    <t>reasonsmigration</t>
  </si>
  <si>
    <t>need_received_agent</t>
  </si>
  <si>
    <t>crp_area_change_covid19</t>
  </si>
  <si>
    <t>ls_proddif_2_covid19</t>
  </si>
  <si>
    <t xml:space="preserve">Select top 10 crops </t>
  </si>
  <si>
    <t>GeoPoll code</t>
  </si>
  <si>
    <t>Dataset code</t>
  </si>
  <si>
    <t>Label (EN)</t>
  </si>
  <si>
    <t>x</t>
  </si>
  <si>
    <t>1.1</t>
  </si>
  <si>
    <t>Rice</t>
  </si>
  <si>
    <t>1.2</t>
  </si>
  <si>
    <t>Wheat</t>
  </si>
  <si>
    <t>1.3</t>
  </si>
  <si>
    <t>Millet</t>
  </si>
  <si>
    <t>1.4</t>
  </si>
  <si>
    <t>Sorghum</t>
  </si>
  <si>
    <t>1.5</t>
  </si>
  <si>
    <t>Maize</t>
  </si>
  <si>
    <t>1.6</t>
  </si>
  <si>
    <t>Barley</t>
  </si>
  <si>
    <t>1.99</t>
  </si>
  <si>
    <t>Other Cereal</t>
  </si>
  <si>
    <t>2.1</t>
  </si>
  <si>
    <t>Cassava</t>
  </si>
  <si>
    <t>2.2</t>
  </si>
  <si>
    <t>Potatoe</t>
  </si>
  <si>
    <t>2.3</t>
  </si>
  <si>
    <t>Sweet Potatoes</t>
  </si>
  <si>
    <t>2.4</t>
  </si>
  <si>
    <t>Yams</t>
  </si>
  <si>
    <t>2.5</t>
  </si>
  <si>
    <t>Carrots</t>
  </si>
  <si>
    <t>2.6</t>
  </si>
  <si>
    <t>Cocoyam</t>
  </si>
  <si>
    <t>2.99</t>
  </si>
  <si>
    <t>Other tubers</t>
  </si>
  <si>
    <t>3.1</t>
  </si>
  <si>
    <t>Beans</t>
  </si>
  <si>
    <t>3.2</t>
  </si>
  <si>
    <t>Lentils</t>
  </si>
  <si>
    <t>3.3</t>
  </si>
  <si>
    <t>Peas</t>
  </si>
  <si>
    <t>3.4</t>
  </si>
  <si>
    <t>Soybeans</t>
  </si>
  <si>
    <t>3.5</t>
  </si>
  <si>
    <t>Chickpeas</t>
  </si>
  <si>
    <t>3.6</t>
  </si>
  <si>
    <t>Fava beans</t>
  </si>
  <si>
    <t>3.7</t>
  </si>
  <si>
    <t>Broad beans</t>
  </si>
  <si>
    <t>3.99</t>
  </si>
  <si>
    <t>Other pulses</t>
  </si>
  <si>
    <t>4.1</t>
  </si>
  <si>
    <t>Cabbage</t>
  </si>
  <si>
    <t>4.2</t>
  </si>
  <si>
    <t>Lettuce</t>
  </si>
  <si>
    <t>4.3</t>
  </si>
  <si>
    <t>Spinach-Amaranth</t>
  </si>
  <si>
    <t>4.4</t>
  </si>
  <si>
    <t>Cassava leaves</t>
  </si>
  <si>
    <t>4.5</t>
  </si>
  <si>
    <t>Potatoe leaves</t>
  </si>
  <si>
    <t>4.6</t>
  </si>
  <si>
    <t>Moringa</t>
  </si>
  <si>
    <t>4.7</t>
  </si>
  <si>
    <t>Sorrel Hibiscus / Rosselle</t>
  </si>
  <si>
    <t>4.9</t>
  </si>
  <si>
    <t>Green salad herbs [thyme, parsley, mint, rocca, other]</t>
  </si>
  <si>
    <t>4.101</t>
  </si>
  <si>
    <t>Cauliflower</t>
  </si>
  <si>
    <t>4.99</t>
  </si>
  <si>
    <t>Other leafy vegetables</t>
  </si>
  <si>
    <t>5.1</t>
  </si>
  <si>
    <t>Tomatoes</t>
  </si>
  <si>
    <t>5.2</t>
  </si>
  <si>
    <t>Cucumber</t>
  </si>
  <si>
    <t>5.3</t>
  </si>
  <si>
    <t>Pumpkin</t>
  </si>
  <si>
    <t>5.4</t>
  </si>
  <si>
    <t>Eggplant/aubergine</t>
  </si>
  <si>
    <t>5.5</t>
  </si>
  <si>
    <t>Zucchini</t>
  </si>
  <si>
    <t>5.6</t>
  </si>
  <si>
    <t>Okra</t>
  </si>
  <si>
    <t>5.7</t>
  </si>
  <si>
    <t>Bell pepper</t>
  </si>
  <si>
    <t>5.8</t>
  </si>
  <si>
    <t>Onions</t>
  </si>
  <si>
    <t>5.9</t>
  </si>
  <si>
    <t>Haricot</t>
  </si>
  <si>
    <t>5.101</t>
  </si>
  <si>
    <t>Green peas</t>
  </si>
  <si>
    <t>5.11</t>
  </si>
  <si>
    <t>Fava beans green</t>
  </si>
  <si>
    <t>5.99</t>
  </si>
  <si>
    <t>Other non leafy vegs</t>
  </si>
  <si>
    <t>6.1</t>
  </si>
  <si>
    <t>Orange</t>
  </si>
  <si>
    <t>6.2</t>
  </si>
  <si>
    <t>Lemon</t>
  </si>
  <si>
    <t>6.3</t>
  </si>
  <si>
    <t>Grapefruit</t>
  </si>
  <si>
    <t>6.4</t>
  </si>
  <si>
    <t>Mandarins/clementines</t>
  </si>
  <si>
    <t>6.99</t>
  </si>
  <si>
    <t>Other citrus fruit</t>
  </si>
  <si>
    <t>7.1</t>
  </si>
  <si>
    <t>Sweet Banana</t>
  </si>
  <si>
    <t>7.2</t>
  </si>
  <si>
    <t>Plantains</t>
  </si>
  <si>
    <t>7.3</t>
  </si>
  <si>
    <t>Papaya</t>
  </si>
  <si>
    <t>7.4</t>
  </si>
  <si>
    <t>Mango</t>
  </si>
  <si>
    <t>7.5</t>
  </si>
  <si>
    <t>Guava</t>
  </si>
  <si>
    <t>7.6</t>
  </si>
  <si>
    <t>Pineapple</t>
  </si>
  <si>
    <t>7.7</t>
  </si>
  <si>
    <t>Avocado</t>
  </si>
  <si>
    <t>7.8</t>
  </si>
  <si>
    <t>Water Melon</t>
  </si>
  <si>
    <t>7.9</t>
  </si>
  <si>
    <t>Dates</t>
  </si>
  <si>
    <t>7.101</t>
  </si>
  <si>
    <t>Figs</t>
  </si>
  <si>
    <t>7.11</t>
  </si>
  <si>
    <t>Grapes</t>
  </si>
  <si>
    <t>7.12</t>
  </si>
  <si>
    <t>Olives</t>
  </si>
  <si>
    <t>7.13</t>
  </si>
  <si>
    <t>Apple</t>
  </si>
  <si>
    <t>7.14</t>
  </si>
  <si>
    <t>Apricot</t>
  </si>
  <si>
    <t>7.15</t>
  </si>
  <si>
    <t>Cherries</t>
  </si>
  <si>
    <t>7.16</t>
  </si>
  <si>
    <t>Peach/nectarine</t>
  </si>
  <si>
    <t>7.17</t>
  </si>
  <si>
    <t>Strawberries</t>
  </si>
  <si>
    <t>7.18</t>
  </si>
  <si>
    <t>Melon [Cantaloupe]</t>
  </si>
  <si>
    <t>7.99</t>
  </si>
  <si>
    <t>Other fruit</t>
  </si>
  <si>
    <t>8.1</t>
  </si>
  <si>
    <t>Coconuts</t>
  </si>
  <si>
    <t>8.2</t>
  </si>
  <si>
    <t>Groundnut/peanut</t>
  </si>
  <si>
    <t>8.3</t>
  </si>
  <si>
    <t>Cashew Nut</t>
  </si>
  <si>
    <t>8.4</t>
  </si>
  <si>
    <t>Kola Nut</t>
  </si>
  <si>
    <t>8.5</t>
  </si>
  <si>
    <t>Sesame</t>
  </si>
  <si>
    <t>8.6</t>
  </si>
  <si>
    <t>Bambara nut</t>
  </si>
  <si>
    <t>8.7</t>
  </si>
  <si>
    <t>Almond</t>
  </si>
  <si>
    <t>8.8</t>
  </si>
  <si>
    <t>Walnut</t>
  </si>
  <si>
    <t>8.99</t>
  </si>
  <si>
    <t>Other nuts</t>
  </si>
  <si>
    <t>9.1</t>
  </si>
  <si>
    <t>Cocoa</t>
  </si>
  <si>
    <t>9.2</t>
  </si>
  <si>
    <t>Coffee</t>
  </si>
  <si>
    <t>9.3</t>
  </si>
  <si>
    <t>Tea</t>
  </si>
  <si>
    <t>9.4</t>
  </si>
  <si>
    <t>Sugarcane</t>
  </si>
  <si>
    <t>9.5</t>
  </si>
  <si>
    <t>Sunflower</t>
  </si>
  <si>
    <t>9.99</t>
  </si>
  <si>
    <t>Other food cash crop</t>
  </si>
  <si>
    <t>10.1</t>
  </si>
  <si>
    <t>Cotton</t>
  </si>
  <si>
    <t>10.2</t>
  </si>
  <si>
    <t>Rubber</t>
  </si>
  <si>
    <t>10.3</t>
  </si>
  <si>
    <t>Jute</t>
  </si>
  <si>
    <t>10.4</t>
  </si>
  <si>
    <t>Fodder</t>
  </si>
  <si>
    <t>10.5</t>
  </si>
  <si>
    <t>Tobacco</t>
  </si>
  <si>
    <t>10.6</t>
  </si>
  <si>
    <t>Qat</t>
  </si>
  <si>
    <t>10.99</t>
  </si>
  <si>
    <t>Other non-food cash crop</t>
  </si>
  <si>
    <t>Original</t>
  </si>
  <si>
    <t>Replacement</t>
  </si>
  <si>
    <t>Comment</t>
  </si>
  <si>
    <t>Examples</t>
  </si>
  <si>
    <t>FOR CORE QUESTIONS    .
(Mandatory to fill out)    .</t>
  </si>
  <si>
    <t>ADMIN1</t>
  </si>
  <si>
    <t>State/Region</t>
  </si>
  <si>
    <t>The first subdivision of the country, after national level; region; province; governorate; etc.</t>
  </si>
  <si>
    <t>region</t>
  </si>
  <si>
    <t>ADMIN2</t>
  </si>
  <si>
    <t>Township</t>
  </si>
  <si>
    <t>The second subdivision of the country; district; municipality; LGA; etc.</t>
  </si>
  <si>
    <t>district</t>
  </si>
  <si>
    <t>reference year</t>
  </si>
  <si>
    <t>a normal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</si>
  <si>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</si>
  <si>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season</t>
  </si>
  <si>
    <t>monsoon season</t>
  </si>
  <si>
    <t>Name the crop season(s) of interest if there are several cropping seasons in the country (e.g. Meher and Belg in Ethiopia, rainy season / flood-recession cropping / irrigated dry season in the Sahel). You can refer to the “last season” or “ongoing season".</t>
  </si>
  <si>
    <t>wet season</t>
  </si>
  <si>
    <t>season phase</t>
  </si>
  <si>
    <t>Early growing</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</si>
  <si>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</si>
  <si>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Harvesting</t>
  </si>
  <si>
    <t>local measurement unit</t>
  </si>
  <si>
    <t>Arces, square meter</t>
  </si>
  <si>
    <t xml:space="preserve">Specify the local measurement unit for land size, other than acres, hectares, square meters and square feet. If no other unit of measurement is needed, keep this cell blank. </t>
  </si>
  <si>
    <t>Jeribs</t>
  </si>
  <si>
    <t>local measurement unit conversion</t>
  </si>
  <si>
    <t xml:space="preserve">Include the conversion of the local measurement unit to hectares. In other words, how many local measurement units are in 1 ha. </t>
  </si>
  <si>
    <t>FOR OPTIONAL QUESTIONS    .
(Fill out if applicable)    .</t>
  </si>
  <si>
    <t>currency</t>
  </si>
  <si>
    <t>MMK</t>
  </si>
  <si>
    <t xml:space="preserve">The name of the main currency used nationally; USD; Naira; Rial; Pesos; etc. </t>
  </si>
  <si>
    <t>Naira</t>
  </si>
  <si>
    <t>MIN AMOUNT</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</si>
  <si>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</si>
  <si>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MAX AMOUNT</t>
  </si>
  <si>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 Only digits should be inputted.</t>
  </si>
  <si>
    <t>THRESHOLD</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</si>
  <si>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</si>
  <si>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</si>
  <si>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carrot, red pepper, pumpkin, orange sweet potatoes, spinach</t>
  </si>
  <si>
    <t>Input some common local vegetables [to be used as examples in the food consumption score indicator].</t>
  </si>
  <si>
    <t>eggplants, zucchini, cauliflower</t>
  </si>
  <si>
    <t>local fruits</t>
  </si>
  <si>
    <t>banana, apple, mango, papaya</t>
  </si>
  <si>
    <t>Input some common local fruits [to be used as examples in the food consumption score indicator].</t>
  </si>
  <si>
    <t>apples, bananas, oranges</t>
  </si>
  <si>
    <t>FILL OUT FOR QUESTIONNAIRE DURATION ESTIMATION    .</t>
  </si>
  <si>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</si>
  <si>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</si>
  <si>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</si>
  <si>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</si>
  <si>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</si>
  <si>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</si>
  <si>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adm3_name</t>
  </si>
  <si>
    <t>adm3_name_local</t>
  </si>
  <si>
    <t>adm3_pcode</t>
  </si>
  <si>
    <t>adm2_pcode</t>
  </si>
  <si>
    <t>adm1_pcode</t>
  </si>
  <si>
    <t>adm0_name</t>
  </si>
  <si>
    <t>adm0_ISO3</t>
  </si>
  <si>
    <t>Muse</t>
  </si>
  <si>
    <t>မူဆယ်</t>
  </si>
  <si>
    <t>MMR015009</t>
  </si>
  <si>
    <t>MMR015D002</t>
  </si>
  <si>
    <t>Shan</t>
  </si>
  <si>
    <t>MMR222</t>
  </si>
  <si>
    <t>Myanmar</t>
  </si>
  <si>
    <t>MMR</t>
  </si>
  <si>
    <t>Kunlong</t>
  </si>
  <si>
    <t>ကွမ်းလုံ</t>
  </si>
  <si>
    <t>MMR015020</t>
  </si>
  <si>
    <t>Lashio</t>
  </si>
  <si>
    <t>MMR015D001</t>
  </si>
  <si>
    <t>Hseni</t>
  </si>
  <si>
    <t>သိန္နီ</t>
  </si>
  <si>
    <t>MMR015002</t>
  </si>
  <si>
    <t>Mongkaing</t>
  </si>
  <si>
    <t>မိုင်းကိုင်</t>
  </si>
  <si>
    <t>MMR014016</t>
  </si>
  <si>
    <t>Loilen</t>
  </si>
  <si>
    <t>MMR014D002</t>
  </si>
  <si>
    <t>Laihka</t>
  </si>
  <si>
    <t>လဲချား</t>
  </si>
  <si>
    <t>MMR014012</t>
  </si>
  <si>
    <t>Seikphyu</t>
  </si>
  <si>
    <t>ဆိပ်ဖြူ</t>
  </si>
  <si>
    <t>MMR009022</t>
  </si>
  <si>
    <t>Pakokku</t>
  </si>
  <si>
    <t>MMR009D004</t>
  </si>
  <si>
    <t>Magway</t>
  </si>
  <si>
    <t>MMR009</t>
  </si>
  <si>
    <t>Kale</t>
  </si>
  <si>
    <t>ကလေး</t>
  </si>
  <si>
    <t>MMR005027</t>
  </si>
  <si>
    <t>MMR005D005</t>
  </si>
  <si>
    <t>Sagaing</t>
  </si>
  <si>
    <t>MMR005</t>
  </si>
  <si>
    <t>Minbu</t>
  </si>
  <si>
    <t>မင်းဘူး</t>
  </si>
  <si>
    <t>MMR009007</t>
  </si>
  <si>
    <t>MMR009D002</t>
  </si>
  <si>
    <t>Wundwin</t>
  </si>
  <si>
    <t>ဝမ်းတွင်း</t>
  </si>
  <si>
    <t>MMR010031</t>
  </si>
  <si>
    <t>Meiktila</t>
  </si>
  <si>
    <t>MMR010D007</t>
  </si>
  <si>
    <t>Mandalay</t>
  </si>
  <si>
    <t>MMR010</t>
  </si>
  <si>
    <t>Kyaukpadaung</t>
  </si>
  <si>
    <t>ကျောက်ပန်းတောင်း</t>
  </si>
  <si>
    <t>MMR010020</t>
  </si>
  <si>
    <t>Nyaung-U</t>
  </si>
  <si>
    <t>MMR010D005</t>
  </si>
  <si>
    <t>Taze</t>
  </si>
  <si>
    <t>တန့်ဆည်</t>
  </si>
  <si>
    <t>MMR005011</t>
  </si>
  <si>
    <t>Shwebo</t>
  </si>
  <si>
    <t>MMR005D002</t>
  </si>
  <si>
    <t>Myothit</t>
  </si>
  <si>
    <t>မြို့သစ်</t>
  </si>
  <si>
    <t>MMR009005</t>
  </si>
  <si>
    <t>MMR009D001</t>
  </si>
  <si>
    <t>မကွေး</t>
  </si>
  <si>
    <t>MMR009001</t>
  </si>
  <si>
    <t>Banmauk</t>
  </si>
  <si>
    <t>ဗန်းမောက်</t>
  </si>
  <si>
    <t>MMR005023</t>
  </si>
  <si>
    <t>Katha</t>
  </si>
  <si>
    <t>MMR005D004</t>
  </si>
  <si>
    <t>Homalin</t>
  </si>
  <si>
    <t>ဟုမ္မလင်း</t>
  </si>
  <si>
    <t>MMR005034</t>
  </si>
  <si>
    <t>Hkamti</t>
  </si>
  <si>
    <t>MMR005D008</t>
  </si>
  <si>
    <t>Ngazun</t>
  </si>
  <si>
    <t>ငါန်းဇွန်</t>
  </si>
  <si>
    <t>MMR010021</t>
  </si>
  <si>
    <t>Myingyan</t>
  </si>
  <si>
    <t>MMR010D004</t>
  </si>
  <si>
    <t>Mindat</t>
  </si>
  <si>
    <t>မင်းတပ်</t>
  </si>
  <si>
    <t>MMR004006</t>
  </si>
  <si>
    <t>MMR004D002</t>
  </si>
  <si>
    <t>Chin</t>
  </si>
  <si>
    <t>MMR004</t>
  </si>
  <si>
    <t>Tilin</t>
  </si>
  <si>
    <t>ထီးလင်း</t>
  </si>
  <si>
    <t>MMR009024</t>
  </si>
  <si>
    <t>Gangaw</t>
  </si>
  <si>
    <t>MMR009D005</t>
  </si>
  <si>
    <t>Mingin</t>
  </si>
  <si>
    <t>မင်းကင်း</t>
  </si>
  <si>
    <t>MMR005029</t>
  </si>
  <si>
    <t>Paungbyin</t>
  </si>
  <si>
    <t>ဖောင်းပြင်</t>
  </si>
  <si>
    <t>MMR005032</t>
  </si>
  <si>
    <t>Mawlaik</t>
  </si>
  <si>
    <t>MMR005D007</t>
  </si>
  <si>
    <t>Kyunhla</t>
  </si>
  <si>
    <t>ကျွန်းလှ</t>
  </si>
  <si>
    <t>MMR005008</t>
  </si>
  <si>
    <t>Kanbalu</t>
  </si>
  <si>
    <t>MMR005D010</t>
  </si>
  <si>
    <t>Saw</t>
  </si>
  <si>
    <t>ဆော</t>
  </si>
  <si>
    <t>MMR009025</t>
  </si>
  <si>
    <t>Indaw</t>
  </si>
  <si>
    <t>အင်းတော်</t>
  </si>
  <si>
    <t>MMR005021</t>
  </si>
  <si>
    <t>Kalewa</t>
  </si>
  <si>
    <t>ကလေးဝ</t>
  </si>
  <si>
    <t>MMR005028</t>
  </si>
  <si>
    <t>မော်လိုက်</t>
  </si>
  <si>
    <t>MMR005031</t>
  </si>
  <si>
    <t>Singu</t>
  </si>
  <si>
    <t>စဉ့်ကူး</t>
  </si>
  <si>
    <t>MMR010010</t>
  </si>
  <si>
    <t>Pyinoolwin</t>
  </si>
  <si>
    <t>MMR010D002</t>
  </si>
  <si>
    <t>Natogyi</t>
  </si>
  <si>
    <t>နွားထိုးကြီး</t>
  </si>
  <si>
    <t>MMR010019</t>
  </si>
  <si>
    <t>မြင်းခြံ</t>
  </si>
  <si>
    <t>MMR010017</t>
  </si>
  <si>
    <t>Pale</t>
  </si>
  <si>
    <t>ပုလဲ</t>
  </si>
  <si>
    <t>MMR005019</t>
  </si>
  <si>
    <t>Yinmarbin</t>
  </si>
  <si>
    <t>MMR005D009</t>
  </si>
  <si>
    <t>Natmauk</t>
  </si>
  <si>
    <t>နတ်မောက်</t>
  </si>
  <si>
    <t>MMR009006</t>
  </si>
  <si>
    <t>Zigon</t>
  </si>
  <si>
    <t>ဇီးကုန်း</t>
  </si>
  <si>
    <t>MMR008011</t>
  </si>
  <si>
    <t>Thayarwady</t>
  </si>
  <si>
    <t>MMR008D002</t>
  </si>
  <si>
    <t>Bago</t>
  </si>
  <si>
    <t>MMR111</t>
  </si>
  <si>
    <t>သာယာဝတီ</t>
  </si>
  <si>
    <t>MMR008007</t>
  </si>
  <si>
    <t>Gyobingauk</t>
  </si>
  <si>
    <t>ကြို့ပင်ကောက်</t>
  </si>
  <si>
    <t>MMR008014</t>
  </si>
  <si>
    <t>Minhla</t>
  </si>
  <si>
    <t>မင်းလှ</t>
  </si>
  <si>
    <t>MMR008009</t>
  </si>
  <si>
    <t>Myittha</t>
  </si>
  <si>
    <t>မြစ်သား</t>
  </si>
  <si>
    <t>MMR010015</t>
  </si>
  <si>
    <t>Kyaukse</t>
  </si>
  <si>
    <t>MMR010D003</t>
  </si>
  <si>
    <t>Hpruso</t>
  </si>
  <si>
    <t>ဖရူဆို</t>
  </si>
  <si>
    <t>MMR002003</t>
  </si>
  <si>
    <t>Loikaw</t>
  </si>
  <si>
    <t>MMR002D001</t>
  </si>
  <si>
    <t>Kayah</t>
  </si>
  <si>
    <t>MMR002</t>
  </si>
  <si>
    <t>Hpasawng</t>
  </si>
  <si>
    <t>ဖားဆောင်း</t>
  </si>
  <si>
    <t>MMR002006</t>
  </si>
  <si>
    <t>Bawlake</t>
  </si>
  <si>
    <t>MMR002D002</t>
  </si>
  <si>
    <t>Htantabin</t>
  </si>
  <si>
    <t>ထန်းတပင်</t>
  </si>
  <si>
    <t>MMR007014</t>
  </si>
  <si>
    <t>Taungoo</t>
  </si>
  <si>
    <t>MMR007D002</t>
  </si>
  <si>
    <t>Kyaukkyi</t>
  </si>
  <si>
    <t>ကျောက်ကြီး</t>
  </si>
  <si>
    <t>MMR007011</t>
  </si>
  <si>
    <t>Oktwin</t>
  </si>
  <si>
    <t>အုတ်တွင်း</t>
  </si>
  <si>
    <t>MMR007013</t>
  </si>
  <si>
    <t>Ywangan</t>
  </si>
  <si>
    <t>ရွာငံ</t>
  </si>
  <si>
    <t>MMR014007</t>
  </si>
  <si>
    <t>Danu Self-Administered Zone</t>
  </si>
  <si>
    <t>MMR014S001</t>
  </si>
  <si>
    <t>Shwegu</t>
  </si>
  <si>
    <t>ရွှေကူ</t>
  </si>
  <si>
    <t>MMR001011</t>
  </si>
  <si>
    <t>Bhamo</t>
  </si>
  <si>
    <t>MMR001D003</t>
  </si>
  <si>
    <t>Kachin</t>
  </si>
  <si>
    <t>MMR001</t>
  </si>
  <si>
    <t>Phyu</t>
  </si>
  <si>
    <t>ဖြူး</t>
  </si>
  <si>
    <t>MMR007012</t>
  </si>
  <si>
    <t>Hpakant</t>
  </si>
  <si>
    <t>ဖားကန့်</t>
  </si>
  <si>
    <t>MMR001009</t>
  </si>
  <si>
    <t>Mohnyin</t>
  </si>
  <si>
    <t>MMR001D002</t>
  </si>
  <si>
    <t>Mabein</t>
  </si>
  <si>
    <t>မဘိမ်း</t>
  </si>
  <si>
    <t>MMR015018</t>
  </si>
  <si>
    <t>Mongmit</t>
  </si>
  <si>
    <t>MMR015D008</t>
  </si>
  <si>
    <t>Kutkai</t>
  </si>
  <si>
    <t>ကွတ်ခိုင်</t>
  </si>
  <si>
    <t>MMR015011</t>
  </si>
  <si>
    <t>Namhkan</t>
  </si>
  <si>
    <t>နမ့်ခမ်း</t>
  </si>
  <si>
    <t>MMR015010</t>
  </si>
  <si>
    <t>ဗန်းမော်</t>
  </si>
  <si>
    <t>MMR001010</t>
  </si>
  <si>
    <t>Tsawlaw</t>
  </si>
  <si>
    <t>ဆော့လော်</t>
  </si>
  <si>
    <t>MMR001006</t>
  </si>
  <si>
    <t>Myitkyina</t>
  </si>
  <si>
    <t>MMR001D001</t>
  </si>
  <si>
    <t>Waingmaw</t>
  </si>
  <si>
    <t>ဝိုင်းမော်</t>
  </si>
  <si>
    <t>MMR001002</t>
  </si>
  <si>
    <t>Konkyan</t>
  </si>
  <si>
    <t>ကုန်းကြမ်း</t>
  </si>
  <si>
    <t>MMR015023</t>
  </si>
  <si>
    <t>Kokang Self-Administered Zone</t>
  </si>
  <si>
    <t>MMR015S002</t>
  </si>
  <si>
    <t>Chipwi</t>
  </si>
  <si>
    <t>ချီ​ဖွေ</t>
  </si>
  <si>
    <t>MMR001005</t>
  </si>
  <si>
    <t>Momauk</t>
  </si>
  <si>
    <t>မိုးမောက်</t>
  </si>
  <si>
    <t>MMR001012</t>
  </si>
  <si>
    <t>Taungtha</t>
  </si>
  <si>
    <t>တောင်သာ</t>
  </si>
  <si>
    <t>MMR010018</t>
  </si>
  <si>
    <t>Mahlaing</t>
  </si>
  <si>
    <t>မလှိုင်</t>
  </si>
  <si>
    <t>MMR010029</t>
  </si>
  <si>
    <t>Kawlin</t>
  </si>
  <si>
    <t>ကောလင်း</t>
  </si>
  <si>
    <t>MMR005024</t>
  </si>
  <si>
    <t>MMR005D011</t>
  </si>
  <si>
    <t>မိတ္ထီလာ</t>
  </si>
  <si>
    <t>MMR010028</t>
  </si>
  <si>
    <t>Pwintbyu</t>
  </si>
  <si>
    <t>ပွင့်ဖြူ</t>
  </si>
  <si>
    <t>MMR009008</t>
  </si>
  <si>
    <t>ညောင်ဦး</t>
  </si>
  <si>
    <t>MMR010022</t>
  </si>
  <si>
    <t>Tedim</t>
  </si>
  <si>
    <t>တီးတိန်</t>
  </si>
  <si>
    <t>MMR004004</t>
  </si>
  <si>
    <t>Falam</t>
  </si>
  <si>
    <t>MMR004D001</t>
  </si>
  <si>
    <t>Pyawbwe</t>
  </si>
  <si>
    <t>ပျော်ဘွယ်</t>
  </si>
  <si>
    <t>MMR010024</t>
  </si>
  <si>
    <t>Yamethin</t>
  </si>
  <si>
    <t>MMR010D006</t>
  </si>
  <si>
    <t>ဂန့်ဂေါ</t>
  </si>
  <si>
    <t>MMR009023</t>
  </si>
  <si>
    <t>Hakha</t>
  </si>
  <si>
    <t>ဟားခါး</t>
  </si>
  <si>
    <t>MMR004002</t>
  </si>
  <si>
    <t>MMR004D003</t>
  </si>
  <si>
    <t>Khin-U</t>
  </si>
  <si>
    <t>ခင်ဦး</t>
  </si>
  <si>
    <t>MMR005005</t>
  </si>
  <si>
    <t>Lahe</t>
  </si>
  <si>
    <t>လဟယ်</t>
  </si>
  <si>
    <t>MMR005036</t>
  </si>
  <si>
    <t>Naga Self-Administered Zone</t>
  </si>
  <si>
    <t>MMR005S001</t>
  </si>
  <si>
    <t>Lay Shi</t>
  </si>
  <si>
    <t>လေရှီး</t>
  </si>
  <si>
    <t>MMR005035</t>
  </si>
  <si>
    <t>Pauk</t>
  </si>
  <si>
    <t>ပေါက်</t>
  </si>
  <si>
    <t>MMR009021</t>
  </si>
  <si>
    <t>Myaing</t>
  </si>
  <si>
    <t>မြိုင်</t>
  </si>
  <si>
    <t>MMR009020</t>
  </si>
  <si>
    <t>Myaung</t>
  </si>
  <si>
    <t>မြောင်</t>
  </si>
  <si>
    <t>MMR005003</t>
  </si>
  <si>
    <t>MMR005D001</t>
  </si>
  <si>
    <t>Thayet</t>
  </si>
  <si>
    <t>သရက်</t>
  </si>
  <si>
    <t>MMR009012</t>
  </si>
  <si>
    <t>MMR009D003</t>
  </si>
  <si>
    <t>Matupi</t>
  </si>
  <si>
    <t>မတူပီ</t>
  </si>
  <si>
    <t>MMR004007</t>
  </si>
  <si>
    <t>MMR004D004</t>
  </si>
  <si>
    <t>Kani</t>
  </si>
  <si>
    <t>ကနီ</t>
  </si>
  <si>
    <t>MMR005017</t>
  </si>
  <si>
    <t>Thantlang</t>
  </si>
  <si>
    <t>ထန်တလန်</t>
  </si>
  <si>
    <t>MMR004003</t>
  </si>
  <si>
    <t>ဖလမ်း</t>
  </si>
  <si>
    <t>MMR004001</t>
  </si>
  <si>
    <t>Tamu</t>
  </si>
  <si>
    <t>တမူး</t>
  </si>
  <si>
    <t>MMR005030</t>
  </si>
  <si>
    <t>MMR005D006</t>
  </si>
  <si>
    <t>ကသာ</t>
  </si>
  <si>
    <t>MMR005020</t>
  </si>
  <si>
    <t>Pinlebu</t>
  </si>
  <si>
    <t>ပင်လည်ဘူး</t>
  </si>
  <si>
    <t>MMR005026</t>
  </si>
  <si>
    <t>Tonzang</t>
  </si>
  <si>
    <t>တွန်းဇန်</t>
  </si>
  <si>
    <t>MMR004005</t>
  </si>
  <si>
    <t>Myawaddy</t>
  </si>
  <si>
    <t>မြဝတီ</t>
  </si>
  <si>
    <t>MMR003005</t>
  </si>
  <si>
    <t>MMR003D002</t>
  </si>
  <si>
    <t>Kayin</t>
  </si>
  <si>
    <t>MMR003</t>
  </si>
  <si>
    <t>Zalun</t>
  </si>
  <si>
    <t>ဇလွန်</t>
  </si>
  <si>
    <t>MMR017009</t>
  </si>
  <si>
    <t>Hinthada</t>
  </si>
  <si>
    <t>MMR017D002</t>
  </si>
  <si>
    <t>Ayeyarwady</t>
  </si>
  <si>
    <t>MMR017</t>
  </si>
  <si>
    <t>Shwedaung</t>
  </si>
  <si>
    <t>ရွှေတောင်</t>
  </si>
  <si>
    <t>MMR008006</t>
  </si>
  <si>
    <t>Pyay</t>
  </si>
  <si>
    <t>MMR008D001</t>
  </si>
  <si>
    <t>Cocokyun</t>
  </si>
  <si>
    <t>ကိုကိုးကျွန်း</t>
  </si>
  <si>
    <t>MMR013032</t>
  </si>
  <si>
    <t>Yangon (South)</t>
  </si>
  <si>
    <t>MMR013D003</t>
  </si>
  <si>
    <t>Yangon</t>
  </si>
  <si>
    <t>MMR013</t>
  </si>
  <si>
    <t>Okpho</t>
  </si>
  <si>
    <t>အုတ်ဖို</t>
  </si>
  <si>
    <t>MMR008010</t>
  </si>
  <si>
    <t>Paungde</t>
  </si>
  <si>
    <t>ပေါင်းတည်</t>
  </si>
  <si>
    <t>MMR008004</t>
  </si>
  <si>
    <t>ပြည်</t>
  </si>
  <si>
    <t>MMR008001</t>
  </si>
  <si>
    <t>Nanyun</t>
  </si>
  <si>
    <t>နန်းယွန်း</t>
  </si>
  <si>
    <t>MMR005037</t>
  </si>
  <si>
    <t>မိုးညှင်း</t>
  </si>
  <si>
    <t>MMR001007</t>
  </si>
  <si>
    <t>Mogaung</t>
  </si>
  <si>
    <t>မိုးကောင်း</t>
  </si>
  <si>
    <t>MMR001008</t>
  </si>
  <si>
    <t>တောင်ငူ</t>
  </si>
  <si>
    <t>MMR007009</t>
  </si>
  <si>
    <t>Nawngmun</t>
  </si>
  <si>
    <t>နောင်မွန်း</t>
  </si>
  <si>
    <t>MMR001017</t>
  </si>
  <si>
    <t>Puta-O</t>
  </si>
  <si>
    <t>MMR001D004</t>
  </si>
  <si>
    <t>MMR009013</t>
  </si>
  <si>
    <t>Demoso</t>
  </si>
  <si>
    <t>ဒီးမော့ဆို</t>
  </si>
  <si>
    <t>MMR002002</t>
  </si>
  <si>
    <t>Nyaungshwe</t>
  </si>
  <si>
    <t>ညောင်ရွှေ</t>
  </si>
  <si>
    <t>MMR014002</t>
  </si>
  <si>
    <t>Taunggyi</t>
  </si>
  <si>
    <t>MMR014D001</t>
  </si>
  <si>
    <t>Pyigyitagon</t>
  </si>
  <si>
    <t>ပြည်ကြီးတံခွန်</t>
  </si>
  <si>
    <t>MMR010005</t>
  </si>
  <si>
    <t>MMR010D001</t>
  </si>
  <si>
    <t>စစ်ကိုင်း</t>
  </si>
  <si>
    <t>MMR005001</t>
  </si>
  <si>
    <t>Kyonpyaw</t>
  </si>
  <si>
    <t>ကျုံပျော်</t>
  </si>
  <si>
    <t>MMR017005</t>
  </si>
  <si>
    <t>Pathein</t>
  </si>
  <si>
    <t>MMR017D001</t>
  </si>
  <si>
    <t>Mingalartaungnyunt</t>
  </si>
  <si>
    <t>မင်္ဂလာတောင်ညွန့်</t>
  </si>
  <si>
    <t>MMR013022</t>
  </si>
  <si>
    <t>Yangon (East)</t>
  </si>
  <si>
    <t>MMR013D002</t>
  </si>
  <si>
    <t>Insein</t>
  </si>
  <si>
    <t>အင်းစိန်</t>
  </si>
  <si>
    <t>MMR013001</t>
  </si>
  <si>
    <t>Yangon (North)</t>
  </si>
  <si>
    <t>MMR013D001</t>
  </si>
  <si>
    <t>South Okkalapa</t>
  </si>
  <si>
    <t>တောင်ဥက္ကလာပ</t>
  </si>
  <si>
    <t>MMR013011</t>
  </si>
  <si>
    <t>Thingangyun</t>
  </si>
  <si>
    <t>သင်္ဃန်းကျွန်း</t>
  </si>
  <si>
    <t>MMR013009</t>
  </si>
  <si>
    <t>Namtu</t>
  </si>
  <si>
    <t>နမ္မတူ</t>
  </si>
  <si>
    <t>MMR015015</t>
  </si>
  <si>
    <t>Kyaukme</t>
  </si>
  <si>
    <t>MMR015D003</t>
  </si>
  <si>
    <t>လွိုင်လင်</t>
  </si>
  <si>
    <t>MMR014011</t>
  </si>
  <si>
    <t>Monghsu</t>
  </si>
  <si>
    <t>မိုင်းရှူး</t>
  </si>
  <si>
    <t>MMR014017</t>
  </si>
  <si>
    <t>Kyethi</t>
  </si>
  <si>
    <t>ကျေးသီး</t>
  </si>
  <si>
    <t>MMR014015</t>
  </si>
  <si>
    <t>Mongla</t>
  </si>
  <si>
    <t>မိုင်းလား</t>
  </si>
  <si>
    <t>MMR016005</t>
  </si>
  <si>
    <t>Kengtung</t>
  </si>
  <si>
    <t>MMR016D001</t>
  </si>
  <si>
    <t>တောင်ကြီး</t>
  </si>
  <si>
    <t>MMR014001</t>
  </si>
  <si>
    <t>Hopong</t>
  </si>
  <si>
    <t>ဟိုပုံး</t>
  </si>
  <si>
    <t>MMR014003</t>
  </si>
  <si>
    <t>Pa-O Self-Administered Zone</t>
  </si>
  <si>
    <t>MMR014S002</t>
  </si>
  <si>
    <t>လားရှိုး</t>
  </si>
  <si>
    <t>MMR015001</t>
  </si>
  <si>
    <t>Mongyai</t>
  </si>
  <si>
    <t>မိုင်းရယ်</t>
  </si>
  <si>
    <t>MMR015003</t>
  </si>
  <si>
    <t>Tangyan</t>
  </si>
  <si>
    <t>တန့်ယန်း</t>
  </si>
  <si>
    <t>MMR015004</t>
  </si>
  <si>
    <t>Mongpan</t>
  </si>
  <si>
    <t>မိုင်းပန်</t>
  </si>
  <si>
    <t>MMR014021</t>
  </si>
  <si>
    <t>Langkho</t>
  </si>
  <si>
    <t>MMR014D003</t>
  </si>
  <si>
    <t>Narphan</t>
  </si>
  <si>
    <t>နားဖန်း</t>
  </si>
  <si>
    <t>MMR015006</t>
  </si>
  <si>
    <t>Matman</t>
  </si>
  <si>
    <t>MMR015D007</t>
  </si>
  <si>
    <t>Pangsang</t>
  </si>
  <si>
    <t>ပန်ဆန်း (ပန်ခမ်း)</t>
  </si>
  <si>
    <t>MMR015005</t>
  </si>
  <si>
    <t>Mawkmai</t>
  </si>
  <si>
    <t>မောက်မယ်</t>
  </si>
  <si>
    <t>MMR014020</t>
  </si>
  <si>
    <t>လင်းခေး</t>
  </si>
  <si>
    <t>MMR014018</t>
  </si>
  <si>
    <t>Mongton</t>
  </si>
  <si>
    <t>မိုင်းတုံ</t>
  </si>
  <si>
    <t>MMR016008</t>
  </si>
  <si>
    <t>Monghsat</t>
  </si>
  <si>
    <t>MMR016D002</t>
  </si>
  <si>
    <t>Mongnai</t>
  </si>
  <si>
    <t>မိုးနဲ</t>
  </si>
  <si>
    <t>MMR014019</t>
  </si>
  <si>
    <t>Shadaw</t>
  </si>
  <si>
    <t>ရှားတော</t>
  </si>
  <si>
    <t>MMR002004</t>
  </si>
  <si>
    <t>Kunhing</t>
  </si>
  <si>
    <t>ကွန်ဟိန်း</t>
  </si>
  <si>
    <t>MMR014014</t>
  </si>
  <si>
    <t>Nansang</t>
  </si>
  <si>
    <t>နမ့်စန်</t>
  </si>
  <si>
    <t>MMR014013</t>
  </si>
  <si>
    <t>Mongmao</t>
  </si>
  <si>
    <t>မိုင်းမော</t>
  </si>
  <si>
    <t>MMR015008</t>
  </si>
  <si>
    <t>Hopang</t>
  </si>
  <si>
    <t>MMR015D006</t>
  </si>
  <si>
    <t>Pangwaun</t>
  </si>
  <si>
    <t>ပန်ဝိုင်</t>
  </si>
  <si>
    <t>MMR015007</t>
  </si>
  <si>
    <t>Monghpyak</t>
  </si>
  <si>
    <t>မိုင်းဖြတ်</t>
  </si>
  <si>
    <t>MMR016010</t>
  </si>
  <si>
    <t>Tachileik</t>
  </si>
  <si>
    <t>MMR016D003</t>
  </si>
  <si>
    <t>မြစ်ကြီးနား</t>
  </si>
  <si>
    <t>MMR001001</t>
  </si>
  <si>
    <t>Injangyang</t>
  </si>
  <si>
    <t>အင်ဂျန်းယန်</t>
  </si>
  <si>
    <t>MMR001003</t>
  </si>
  <si>
    <t>Khaunglanhpu</t>
  </si>
  <si>
    <t>ခေါင်လန်ဖူး</t>
  </si>
  <si>
    <t>MMR001018</t>
  </si>
  <si>
    <t>Machanbaw</t>
  </si>
  <si>
    <t>မချမ်းဘော</t>
  </si>
  <si>
    <t>MMR001016</t>
  </si>
  <si>
    <t>Mongyang</t>
  </si>
  <si>
    <t>မိုင်းယန်း</t>
  </si>
  <si>
    <t>MMR016003</t>
  </si>
  <si>
    <t>မက်မန်း</t>
  </si>
  <si>
    <t>MMR015024</t>
  </si>
  <si>
    <t>Mongping</t>
  </si>
  <si>
    <t>မိုင်းပျဉ်း</t>
  </si>
  <si>
    <t>MMR016007</t>
  </si>
  <si>
    <t>Mongkhet</t>
  </si>
  <si>
    <t>မိုင်းခတ်</t>
  </si>
  <si>
    <t>MMR016002</t>
  </si>
  <si>
    <t>Sinbaungwe</t>
  </si>
  <si>
    <t>ဆင်ပေါင်ဝဲ</t>
  </si>
  <si>
    <t>MMR009017</t>
  </si>
  <si>
    <t>Lanmadaw</t>
  </si>
  <si>
    <t>လမ်းမတော်</t>
  </si>
  <si>
    <t>MMR013035</t>
  </si>
  <si>
    <t>Yangon (West)</t>
  </si>
  <si>
    <t>MMR013D004</t>
  </si>
  <si>
    <t>Monywa</t>
  </si>
  <si>
    <t>မုံရွာ</t>
  </si>
  <si>
    <t>MMR005012</t>
  </si>
  <si>
    <t>MMR005D003</t>
  </si>
  <si>
    <t>Myinmu</t>
  </si>
  <si>
    <t>မြင်းမူ</t>
  </si>
  <si>
    <t>MMR005002</t>
  </si>
  <si>
    <t>Wetlet</t>
  </si>
  <si>
    <t>ဝက်လက်</t>
  </si>
  <si>
    <t>MMR005006</t>
  </si>
  <si>
    <t>Tabayin</t>
  </si>
  <si>
    <t>ဒီပဲယင်း</t>
  </si>
  <si>
    <t>MMR005010</t>
  </si>
  <si>
    <t>Ayadaw</t>
  </si>
  <si>
    <t>အရာတော်</t>
  </si>
  <si>
    <t>MMR005014</t>
  </si>
  <si>
    <t>Oke Ta Ra Thi Ri</t>
  </si>
  <si>
    <t>ဥတ္တရသီရိ</t>
  </si>
  <si>
    <t>MMR018008</t>
  </si>
  <si>
    <t>Oke Ta Ra</t>
  </si>
  <si>
    <t>MMR018D001</t>
  </si>
  <si>
    <t>Nay Pyi Taw</t>
  </si>
  <si>
    <t>MMR018</t>
  </si>
  <si>
    <t>Sittwe</t>
  </si>
  <si>
    <t>စစ်တွေ</t>
  </si>
  <si>
    <t>MMR012001</t>
  </si>
  <si>
    <t>MMR012D001</t>
  </si>
  <si>
    <t>Rakhine</t>
  </si>
  <si>
    <t>MMR012</t>
  </si>
  <si>
    <t>Ponnagyun</t>
  </si>
  <si>
    <t>ပုဏ္ဏားကျွန်း</t>
  </si>
  <si>
    <t>MMR012002</t>
  </si>
  <si>
    <t>Ngape</t>
  </si>
  <si>
    <t>ငဖဲ</t>
  </si>
  <si>
    <t>MMR009009</t>
  </si>
  <si>
    <t>Sidoktaya</t>
  </si>
  <si>
    <t>စေတုတ္ထရာ</t>
  </si>
  <si>
    <t>MMR009011</t>
  </si>
  <si>
    <t>Thanbyuzayat</t>
  </si>
  <si>
    <t>သံဖြူဇရပ်</t>
  </si>
  <si>
    <t>MMR011004</t>
  </si>
  <si>
    <t>Mawlamyine</t>
  </si>
  <si>
    <t>MMR011D001</t>
  </si>
  <si>
    <t>Mon</t>
  </si>
  <si>
    <t>MMR011</t>
  </si>
  <si>
    <t>Mudon</t>
  </si>
  <si>
    <t>မုဒုံ</t>
  </si>
  <si>
    <t>MMR011005</t>
  </si>
  <si>
    <t>Myeik</t>
  </si>
  <si>
    <t>မြိတ်</t>
  </si>
  <si>
    <t>MMR006005</t>
  </si>
  <si>
    <t>MMR006D002</t>
  </si>
  <si>
    <t>Tanintharyi</t>
  </si>
  <si>
    <t>MMR006</t>
  </si>
  <si>
    <t>Maungdaw</t>
  </si>
  <si>
    <t>မောင်တော</t>
  </si>
  <si>
    <t>MMR012009</t>
  </si>
  <si>
    <t>MMR012D002</t>
  </si>
  <si>
    <t>Kyaikmaraw</t>
  </si>
  <si>
    <t>ကျိုက်မရော</t>
  </si>
  <si>
    <t>MMR011002</t>
  </si>
  <si>
    <t>Kawkareik</t>
  </si>
  <si>
    <t>ကော့ကရိတ်</t>
  </si>
  <si>
    <t>MMR003006</t>
  </si>
  <si>
    <t>MMR003D003</t>
  </si>
  <si>
    <t>Buthidaung</t>
  </si>
  <si>
    <t>ဘူးသီးတောင်</t>
  </si>
  <si>
    <t>MMR012010</t>
  </si>
  <si>
    <t>Mrauk-U</t>
  </si>
  <si>
    <t>မြောက်ဦး</t>
  </si>
  <si>
    <t>MMR012003</t>
  </si>
  <si>
    <t>MMR012D005</t>
  </si>
  <si>
    <t>Kyauktaw</t>
  </si>
  <si>
    <t>ကျောက်တော်</t>
  </si>
  <si>
    <t>MMR012004</t>
  </si>
  <si>
    <t>Kanpetlet</t>
  </si>
  <si>
    <t>ကန်ပက်လက်</t>
  </si>
  <si>
    <t>MMR004008</t>
  </si>
  <si>
    <t>Paletwa</t>
  </si>
  <si>
    <t>ပလက်ဝ</t>
  </si>
  <si>
    <t>MMR004009</t>
  </si>
  <si>
    <t>Za Bu Thi Ri</t>
  </si>
  <si>
    <t>ဇမ္ဗူသီရိ</t>
  </si>
  <si>
    <t>MMR018002</t>
  </si>
  <si>
    <t>Det Khi Na</t>
  </si>
  <si>
    <t>MMR018D002</t>
  </si>
  <si>
    <t>Kyainseikgyi</t>
  </si>
  <si>
    <t>ကြာအင်းဆိပ်ကြီး</t>
  </si>
  <si>
    <t>MMR003007</t>
  </si>
  <si>
    <t>Thaton</t>
  </si>
  <si>
    <t>သထုံ</t>
  </si>
  <si>
    <t>MMR011007</t>
  </si>
  <si>
    <t>MMR011D002</t>
  </si>
  <si>
    <t>တနင်္သာရီ</t>
  </si>
  <si>
    <t>MMR006008</t>
  </si>
  <si>
    <t>Seikgyikanaungto</t>
  </si>
  <si>
    <t>ဆိပ်ကြီး/ခနောင်တို</t>
  </si>
  <si>
    <t>MMR013031</t>
  </si>
  <si>
    <t>Maubin</t>
  </si>
  <si>
    <t>မအူပင်</t>
  </si>
  <si>
    <t>MMR017019</t>
  </si>
  <si>
    <t>MMR017D005</t>
  </si>
  <si>
    <t>ပုသိမ်</t>
  </si>
  <si>
    <t>MMR017001</t>
  </si>
  <si>
    <t>Einme</t>
  </si>
  <si>
    <t>အိမ်မဲ</t>
  </si>
  <si>
    <t>MMR017015</t>
  </si>
  <si>
    <t>Myaungmya</t>
  </si>
  <si>
    <t>MMR017D003</t>
  </si>
  <si>
    <t>Mawlamyinegyun</t>
  </si>
  <si>
    <t>မော်လမြိုင်ကျွန်း</t>
  </si>
  <si>
    <t>MMR017018</t>
  </si>
  <si>
    <t>Labutta</t>
  </si>
  <si>
    <t>MMR017D004</t>
  </si>
  <si>
    <t>Lemyethna</t>
  </si>
  <si>
    <t>လေးမျက်နှာ</t>
  </si>
  <si>
    <t>MMR017010</t>
  </si>
  <si>
    <t>Hlaingtharya (West)</t>
  </si>
  <si>
    <t>လှိုင်သာယာ (အနောက်ပိုင်း)</t>
  </si>
  <si>
    <t>MMR013047</t>
  </si>
  <si>
    <t>Nyaungdon</t>
  </si>
  <si>
    <t>ညောင်တုန်း</t>
  </si>
  <si>
    <t>MMR017021</t>
  </si>
  <si>
    <t>MMR013006</t>
  </si>
  <si>
    <t>Lawksawk</t>
  </si>
  <si>
    <t>ရပ်စောက်</t>
  </si>
  <si>
    <t>MMR014008</t>
  </si>
  <si>
    <t>Hsipaw</t>
  </si>
  <si>
    <t>သီပေါ</t>
  </si>
  <si>
    <t>MMR015014</t>
  </si>
  <si>
    <t>ဘောလခဲ</t>
  </si>
  <si>
    <t>MMR002005</t>
  </si>
  <si>
    <t>ပဲခူး</t>
  </si>
  <si>
    <t>MMR007001</t>
  </si>
  <si>
    <t>MMR007D001</t>
  </si>
  <si>
    <t>Kyauktan</t>
  </si>
  <si>
    <t>ကျောက်တန်း</t>
  </si>
  <si>
    <t>MMR013024</t>
  </si>
  <si>
    <t>Thandaunggyi</t>
  </si>
  <si>
    <t>သံတောင်ကြီး</t>
  </si>
  <si>
    <t>MMR003004</t>
  </si>
  <si>
    <t>Hpa-An</t>
  </si>
  <si>
    <t>MMR003D001</t>
  </si>
  <si>
    <t>Pekon</t>
  </si>
  <si>
    <t>ဖယ်ခုံ</t>
  </si>
  <si>
    <t>MMR014010</t>
  </si>
  <si>
    <t>Pyinmana</t>
  </si>
  <si>
    <t>ပျဉ်းမနား</t>
  </si>
  <si>
    <t>MMR018006</t>
  </si>
  <si>
    <t>Poke Ba Thi Ri</t>
  </si>
  <si>
    <t>ပုဗ္ဗသီရိ</t>
  </si>
  <si>
    <t>MMR018005</t>
  </si>
  <si>
    <t>Pinlaung</t>
  </si>
  <si>
    <t>ပင်လောင်း</t>
  </si>
  <si>
    <t>MMR014009</t>
  </si>
  <si>
    <t>Zay Yar Thi Ri</t>
  </si>
  <si>
    <t>ဇေယျာသီရိ</t>
  </si>
  <si>
    <t>MMR018001</t>
  </si>
  <si>
    <t>Mindon</t>
  </si>
  <si>
    <t>မင်းတုန်း</t>
  </si>
  <si>
    <t>MMR009014</t>
  </si>
  <si>
    <t>Kyauktaga</t>
  </si>
  <si>
    <t>ကျောက်တံခါး</t>
  </si>
  <si>
    <t>MMR007006</t>
  </si>
  <si>
    <t>Daik-U</t>
  </si>
  <si>
    <t>ဒိုက်ဦး</t>
  </si>
  <si>
    <t>MMR007007</t>
  </si>
  <si>
    <t>Waw</t>
  </si>
  <si>
    <t>ဝေါ</t>
  </si>
  <si>
    <t>MMR007004</t>
  </si>
  <si>
    <t>Nyaunglebin</t>
  </si>
  <si>
    <t>ညောင်လေးပင်</t>
  </si>
  <si>
    <t>MMR007005</t>
  </si>
  <si>
    <t>Shwegyin</t>
  </si>
  <si>
    <t>ရွှေကျင်</t>
  </si>
  <si>
    <t>MMR007008</t>
  </si>
  <si>
    <t>Sumprabum</t>
  </si>
  <si>
    <t>ဆွမ်ပရာဘွမ်</t>
  </si>
  <si>
    <t>MMR001015</t>
  </si>
  <si>
    <t>ပူတာအို</t>
  </si>
  <si>
    <t>MMR001014</t>
  </si>
  <si>
    <t>Tanai</t>
  </si>
  <si>
    <t>တနိုင်း</t>
  </si>
  <si>
    <t>MMR001004</t>
  </si>
  <si>
    <t>Thanlyin</t>
  </si>
  <si>
    <t>သန်လျင်</t>
  </si>
  <si>
    <t>MMR013023</t>
  </si>
  <si>
    <t>Kawa</t>
  </si>
  <si>
    <t>ကဝ</t>
  </si>
  <si>
    <t>MMR007003</t>
  </si>
  <si>
    <t>Kayan</t>
  </si>
  <si>
    <t>ခရမ်း</t>
  </si>
  <si>
    <t>MMR013026</t>
  </si>
  <si>
    <t>Kamma</t>
  </si>
  <si>
    <t>ကံမ</t>
  </si>
  <si>
    <t>MMR009015</t>
  </si>
  <si>
    <t>Dawei</t>
  </si>
  <si>
    <t>ထားဝယ်</t>
  </si>
  <si>
    <t>MMR006001</t>
  </si>
  <si>
    <t>MMR006D001</t>
  </si>
  <si>
    <t>Bilin</t>
  </si>
  <si>
    <t>ဘီးလင်း</t>
  </si>
  <si>
    <t>MMR011010</t>
  </si>
  <si>
    <t>Hlaingbwe</t>
  </si>
  <si>
    <t>လှိုင်းဘွဲ့</t>
  </si>
  <si>
    <t>MMR003002</t>
  </si>
  <si>
    <t>Mogoke</t>
  </si>
  <si>
    <t>မိုးကုတ်</t>
  </si>
  <si>
    <t>MMR010011</t>
  </si>
  <si>
    <t>မိုးမိတ်</t>
  </si>
  <si>
    <t>MMR015017</t>
  </si>
  <si>
    <t>Hlaingtharya (East)</t>
  </si>
  <si>
    <t>လှိုင်သာယာ (အရှေ့ပိုင်း)</t>
  </si>
  <si>
    <t>MMR013046</t>
  </si>
  <si>
    <t>Mongyawng</t>
  </si>
  <si>
    <t>မိုင်းယောင်း</t>
  </si>
  <si>
    <t>MMR016011</t>
  </si>
  <si>
    <t>Manton</t>
  </si>
  <si>
    <t>မန်တုံ</t>
  </si>
  <si>
    <t>MMR015019</t>
  </si>
  <si>
    <t>Pa Laung Self-Administered Zone</t>
  </si>
  <si>
    <t>MMR015S001</t>
  </si>
  <si>
    <t>Mansi</t>
  </si>
  <si>
    <t>မံစီ</t>
  </si>
  <si>
    <t>MMR001013</t>
  </si>
  <si>
    <t>ဟိုပန်</t>
  </si>
  <si>
    <t>MMR015021</t>
  </si>
  <si>
    <t>Taikkyi</t>
  </si>
  <si>
    <t>တိုက်ကြီး</t>
  </si>
  <si>
    <t>MMR013005</t>
  </si>
  <si>
    <t>Dagon Myothit (South)</t>
  </si>
  <si>
    <t>ဒဂုံမြို့သစ် (တောင်ပိုင်း)</t>
  </si>
  <si>
    <t>MMR013018</t>
  </si>
  <si>
    <t>Kawhmu</t>
  </si>
  <si>
    <t>ကော့မှုး</t>
  </si>
  <si>
    <t>MMR013028</t>
  </si>
  <si>
    <t>Myanaung</t>
  </si>
  <si>
    <t>မြန်အောင်</t>
  </si>
  <si>
    <t>MMR017011</t>
  </si>
  <si>
    <t>Kyaiklat</t>
  </si>
  <si>
    <t>ကျိုက်လတ်</t>
  </si>
  <si>
    <t>MMR017025</t>
  </si>
  <si>
    <t>Pyapon</t>
  </si>
  <si>
    <t>MMR017D006</t>
  </si>
  <si>
    <t>Kangyidaunt</t>
  </si>
  <si>
    <t>ကန်ကြီးထောင့်</t>
  </si>
  <si>
    <t>MMR017002</t>
  </si>
  <si>
    <t>Yegyi</t>
  </si>
  <si>
    <t>ရေကြည်</t>
  </si>
  <si>
    <t>MMR017006</t>
  </si>
  <si>
    <t>Thabaung</t>
  </si>
  <si>
    <t>သာပေါင်း</t>
  </si>
  <si>
    <t>MMR017003</t>
  </si>
  <si>
    <t>မြောင်းမြ</t>
  </si>
  <si>
    <t>MMR017014</t>
  </si>
  <si>
    <t>Wakema</t>
  </si>
  <si>
    <t>ဝါးခယ်မ</t>
  </si>
  <si>
    <t>MMR017017</t>
  </si>
  <si>
    <t>Laukkaing</t>
  </si>
  <si>
    <t>လောက်ကိုင်</t>
  </si>
  <si>
    <t>MMR015022</t>
  </si>
  <si>
    <t>တာချီလိတ်</t>
  </si>
  <si>
    <t>MMR016009</t>
  </si>
  <si>
    <t>Det Khi Na Thi Ri</t>
  </si>
  <si>
    <t>ဒက္ခိဏသီရိ</t>
  </si>
  <si>
    <t>MMR018004</t>
  </si>
  <si>
    <t>Chauk</t>
  </si>
  <si>
    <t>ချောက်</t>
  </si>
  <si>
    <t>MMR009003</t>
  </si>
  <si>
    <t>Pazundaung</t>
  </si>
  <si>
    <t>ပုဇွန်တောင်</t>
  </si>
  <si>
    <t>MMR013016</t>
  </si>
  <si>
    <t>ပခုက္ကူ</t>
  </si>
  <si>
    <t>MMR009018</t>
  </si>
  <si>
    <t>Tada-U</t>
  </si>
  <si>
    <t>တံတားဦး</t>
  </si>
  <si>
    <t>MMR010016</t>
  </si>
  <si>
    <t>Botahtaung</t>
  </si>
  <si>
    <t>ဗိုလ်တထောင်</t>
  </si>
  <si>
    <t>MMR013017</t>
  </si>
  <si>
    <t>Thazi</t>
  </si>
  <si>
    <t>သာစည်</t>
  </si>
  <si>
    <t>MMR010030</t>
  </si>
  <si>
    <t>Pindaya</t>
  </si>
  <si>
    <t>ပင်းတယ</t>
  </si>
  <si>
    <t>MMR014006</t>
  </si>
  <si>
    <t>Namhsan</t>
  </si>
  <si>
    <t>နမ့်ဆန်</t>
  </si>
  <si>
    <t>MMR015016</t>
  </si>
  <si>
    <t>Salin</t>
  </si>
  <si>
    <t>စလင်း</t>
  </si>
  <si>
    <t>MMR009010</t>
  </si>
  <si>
    <t>လွိုင်ကော်</t>
  </si>
  <si>
    <t>MMR002001</t>
  </si>
  <si>
    <t>မိုင်းဆတ်</t>
  </si>
  <si>
    <t>MMR016006</t>
  </si>
  <si>
    <t>ကျိုင်းတုံ</t>
  </si>
  <si>
    <t>MMR016001</t>
  </si>
  <si>
    <t>Hsihseng</t>
  </si>
  <si>
    <t>ဆီဆိုင်</t>
  </si>
  <si>
    <t>MMR014004</t>
  </si>
  <si>
    <t>Yenangyaung</t>
  </si>
  <si>
    <t>ရေနံချောင်း</t>
  </si>
  <si>
    <t>MMR009002</t>
  </si>
  <si>
    <t>Taungdwingyi</t>
  </si>
  <si>
    <t>တောင်တွင်းကြီး</t>
  </si>
  <si>
    <t>MMR009004</t>
  </si>
  <si>
    <t>Tatkon</t>
  </si>
  <si>
    <t>တပ်ကုန်း</t>
  </si>
  <si>
    <t>MMR018003</t>
  </si>
  <si>
    <t>Chanmyathazi</t>
  </si>
  <si>
    <t>ချမ်းမြသာစည်</t>
  </si>
  <si>
    <t>MMR010004</t>
  </si>
  <si>
    <t>ကန့်ဘလူ</t>
  </si>
  <si>
    <t>MMR005007</t>
  </si>
  <si>
    <t>Sintgaing</t>
  </si>
  <si>
    <t>စဉ့်ကိုင်</t>
  </si>
  <si>
    <t>MMR010014</t>
  </si>
  <si>
    <t>ပြင်ဦးလွင်</t>
  </si>
  <si>
    <t>MMR010008</t>
  </si>
  <si>
    <t>Amarapura</t>
  </si>
  <si>
    <t>အမရပူရ</t>
  </si>
  <si>
    <t>MMR010006</t>
  </si>
  <si>
    <t>Yesagyo</t>
  </si>
  <si>
    <t>ရေစကြို</t>
  </si>
  <si>
    <t>MMR009019</t>
  </si>
  <si>
    <t>Chaung-U</t>
  </si>
  <si>
    <t>ချောင်းဦး</t>
  </si>
  <si>
    <t>MMR005015</t>
  </si>
  <si>
    <t>Salingyi</t>
  </si>
  <si>
    <t>ဆားလင်းကြီး</t>
  </si>
  <si>
    <t>MMR005018</t>
  </si>
  <si>
    <t>Lewe</t>
  </si>
  <si>
    <t>လယ်ဝေး</t>
  </si>
  <si>
    <t>MMR018007</t>
  </si>
  <si>
    <t>Ye-U</t>
  </si>
  <si>
    <t>ရေဦး</t>
  </si>
  <si>
    <t>MMR005009</t>
  </si>
  <si>
    <t>ရွှေဘို</t>
  </si>
  <si>
    <t>MMR005004</t>
  </si>
  <si>
    <t>ယင်းမာပင်</t>
  </si>
  <si>
    <t>MMR005016</t>
  </si>
  <si>
    <t>ခန္တီး</t>
  </si>
  <si>
    <t>MMR005033</t>
  </si>
  <si>
    <t>Mahaaungmyay</t>
  </si>
  <si>
    <t>မဟာအောင်မြေ</t>
  </si>
  <si>
    <t>MMR010003</t>
  </si>
  <si>
    <t>Thabeikkyin</t>
  </si>
  <si>
    <t>သပိတ်ကျင်း</t>
  </si>
  <si>
    <t>MMR010012</t>
  </si>
  <si>
    <t>Wuntho</t>
  </si>
  <si>
    <t>ဝန်းသို</t>
  </si>
  <si>
    <t>MMR005025</t>
  </si>
  <si>
    <t>Budalin</t>
  </si>
  <si>
    <t>ဘုတလင်</t>
  </si>
  <si>
    <t>MMR005013</t>
  </si>
  <si>
    <t>Tigyaing</t>
  </si>
  <si>
    <t>ထီးချိုင့်</t>
  </si>
  <si>
    <t>MMR005022</t>
  </si>
  <si>
    <t>Madaya</t>
  </si>
  <si>
    <t>မတ္တရာ</t>
  </si>
  <si>
    <t>MMR010009</t>
  </si>
  <si>
    <t>ရမည်းသင်း</t>
  </si>
  <si>
    <t>MMR010023</t>
  </si>
  <si>
    <t>Kalaw</t>
  </si>
  <si>
    <t>ကလော</t>
  </si>
  <si>
    <t>MMR014005</t>
  </si>
  <si>
    <t>Aungmyaythazan</t>
  </si>
  <si>
    <t>အောင်မြေသာစံ</t>
  </si>
  <si>
    <t>MMR010001</t>
  </si>
  <si>
    <t>Chanayethazan</t>
  </si>
  <si>
    <t>ချမ်းအေးသာစံ</t>
  </si>
  <si>
    <t>MMR010002</t>
  </si>
  <si>
    <t>Minbya</t>
  </si>
  <si>
    <t>မင်းပြား</t>
  </si>
  <si>
    <t>MMR012005</t>
  </si>
  <si>
    <t>Patheingyi</t>
  </si>
  <si>
    <t>ပုသိမ်ကြီး</t>
  </si>
  <si>
    <t>MMR010007</t>
  </si>
  <si>
    <t>Mese</t>
  </si>
  <si>
    <t>မယ်စဲ</t>
  </si>
  <si>
    <t>MMR002007</t>
  </si>
  <si>
    <t>Hpapun</t>
  </si>
  <si>
    <t>ဖာပွန်</t>
  </si>
  <si>
    <t>MMR003003</t>
  </si>
  <si>
    <t>MMR003D004</t>
  </si>
  <si>
    <t>Thayetchaung</t>
  </si>
  <si>
    <t>သရက်ချောင်း</t>
  </si>
  <si>
    <t>MMR006003</t>
  </si>
  <si>
    <t>Kyaikto</t>
  </si>
  <si>
    <t>ကျိုက်ထို</t>
  </si>
  <si>
    <t>MMR011009</t>
  </si>
  <si>
    <t>Thanatpin</t>
  </si>
  <si>
    <t>သနပ်ပင်</t>
  </si>
  <si>
    <t>MMR007002</t>
  </si>
  <si>
    <t>Thegon</t>
  </si>
  <si>
    <t>သဲကုန်း</t>
  </si>
  <si>
    <t>MMR008005</t>
  </si>
  <si>
    <t>Nattalin</t>
  </si>
  <si>
    <t>နတ်တလင်း</t>
  </si>
  <si>
    <t>MMR008012</t>
  </si>
  <si>
    <t>Dala</t>
  </si>
  <si>
    <t>ဒလ</t>
  </si>
  <si>
    <t>MMR013030</t>
  </si>
  <si>
    <t>Hlaing</t>
  </si>
  <si>
    <t>လှိုင်</t>
  </si>
  <si>
    <t>MMR013040</t>
  </si>
  <si>
    <t>Danubyu</t>
  </si>
  <si>
    <t>ဓနုဖြူ</t>
  </si>
  <si>
    <t>MMR017022</t>
  </si>
  <si>
    <t>ဟင်္သာတ</t>
  </si>
  <si>
    <t>MMR017008</t>
  </si>
  <si>
    <t>Sanchaung</t>
  </si>
  <si>
    <t>စမ်းချောင်း</t>
  </si>
  <si>
    <t>MMR013039</t>
  </si>
  <si>
    <t>Dagon</t>
  </si>
  <si>
    <t>ဒဂုံ</t>
  </si>
  <si>
    <t>MMR013043</t>
  </si>
  <si>
    <t>Monyo</t>
  </si>
  <si>
    <t>မိုးညို</t>
  </si>
  <si>
    <t>MMR008013</t>
  </si>
  <si>
    <t>Kyangin</t>
  </si>
  <si>
    <t>ကြံခင်း</t>
  </si>
  <si>
    <t>MMR017012</t>
  </si>
  <si>
    <t>Kyauktada</t>
  </si>
  <si>
    <t>ကျောက်တံတား</t>
  </si>
  <si>
    <t>MMR013033</t>
  </si>
  <si>
    <t>Pabedan</t>
  </si>
  <si>
    <t>ပန်းဘဲတန်း</t>
  </si>
  <si>
    <t>MMR013034</t>
  </si>
  <si>
    <t>Thaketa</t>
  </si>
  <si>
    <t>သာကေတ</t>
  </si>
  <si>
    <t>MMR013013</t>
  </si>
  <si>
    <t>Pantanaw</t>
  </si>
  <si>
    <t>ပန်းတနော်</t>
  </si>
  <si>
    <t>MMR017020</t>
  </si>
  <si>
    <t>Kamaryut</t>
  </si>
  <si>
    <t>ကမာရွတ်</t>
  </si>
  <si>
    <t>MMR013041</t>
  </si>
  <si>
    <t>Bahan</t>
  </si>
  <si>
    <t>ဗဟန်း</t>
  </si>
  <si>
    <t>MMR013044</t>
  </si>
  <si>
    <t>Tamwe</t>
  </si>
  <si>
    <t>တာမွေ</t>
  </si>
  <si>
    <t>MMR013015</t>
  </si>
  <si>
    <t>Ingapu</t>
  </si>
  <si>
    <t>အင်္ဂပူ</t>
  </si>
  <si>
    <t>MMR017013</t>
  </si>
  <si>
    <t>Letpadan</t>
  </si>
  <si>
    <t>လက်ပံတန်း</t>
  </si>
  <si>
    <t>MMR008008</t>
  </si>
  <si>
    <t>Kyeemyindaing</t>
  </si>
  <si>
    <t>ကြည့်မြင်တိုင်</t>
  </si>
  <si>
    <t>MMR013038</t>
  </si>
  <si>
    <t>Kyaunggon</t>
  </si>
  <si>
    <t>ကျောင်းကုန်း</t>
  </si>
  <si>
    <t>MMR017007</t>
  </si>
  <si>
    <t>Yankin</t>
  </si>
  <si>
    <t>ရန်ကင်း</t>
  </si>
  <si>
    <t>MMR013010</t>
  </si>
  <si>
    <t>Shwepyithar</t>
  </si>
  <si>
    <t>ရွှေပြည်သာ</t>
  </si>
  <si>
    <t>MMR013007</t>
  </si>
  <si>
    <t>Mingaladon</t>
  </si>
  <si>
    <t>မင်္ဂလာဒုံ</t>
  </si>
  <si>
    <t>MMR013002</t>
  </si>
  <si>
    <t>Ahlone</t>
  </si>
  <si>
    <t>အလုံ</t>
  </si>
  <si>
    <t>MMR013037</t>
  </si>
  <si>
    <t>Dawbon</t>
  </si>
  <si>
    <t>ဒေါပုံ</t>
  </si>
  <si>
    <t>MMR013014</t>
  </si>
  <si>
    <t>Latha</t>
  </si>
  <si>
    <t>လသာ</t>
  </si>
  <si>
    <t>MMR013036</t>
  </si>
  <si>
    <t>Dagon Myothit (Seikkan)</t>
  </si>
  <si>
    <t>ဒဂုံမြို့သစ် (ဆိပ်ကမ်း)</t>
  </si>
  <si>
    <t>MMR013021</t>
  </si>
  <si>
    <t>Mayangone</t>
  </si>
  <si>
    <t>မရမ်းကုန်း</t>
  </si>
  <si>
    <t>MMR013042</t>
  </si>
  <si>
    <t>Twantay</t>
  </si>
  <si>
    <t>တွံတေး</t>
  </si>
  <si>
    <t>MMR013027</t>
  </si>
  <si>
    <t>Dagon Myothit (North)</t>
  </si>
  <si>
    <t>ဒဂုံမြို့သစ် (မြောက်ပိုင်း)</t>
  </si>
  <si>
    <t>MMR013019</t>
  </si>
  <si>
    <t>Padaung</t>
  </si>
  <si>
    <t>ပန်းတောင်း</t>
  </si>
  <si>
    <t>MMR008003</t>
  </si>
  <si>
    <t>Hlegu</t>
  </si>
  <si>
    <t>လှည်းကူး</t>
  </si>
  <si>
    <t>MMR013004</t>
  </si>
  <si>
    <t>ကျောက်မဲ</t>
  </si>
  <si>
    <t>MMR015012</t>
  </si>
  <si>
    <t>Nawnghkio</t>
  </si>
  <si>
    <t>နောင်ချို</t>
  </si>
  <si>
    <t>MMR015013</t>
  </si>
  <si>
    <t>ကျောက်ဆည်</t>
  </si>
  <si>
    <t>MMR010013</t>
  </si>
  <si>
    <t>Aunglan</t>
  </si>
  <si>
    <t>အောင်လံ</t>
  </si>
  <si>
    <t>MMR009016</t>
  </si>
  <si>
    <t>Hmawbi</t>
  </si>
  <si>
    <t>မှော်ဘီ</t>
  </si>
  <si>
    <t>MMR013003</t>
  </si>
  <si>
    <t>North Okkalapa</t>
  </si>
  <si>
    <t>မြောက်ဥက္ကလာပ</t>
  </si>
  <si>
    <t>MMR013012</t>
  </si>
  <si>
    <t>Dagon Myothit (East)</t>
  </si>
  <si>
    <t>ဒဂုံမြို့သစ် (အရှေ့ပိုင်း)</t>
  </si>
  <si>
    <t>MMR013020</t>
  </si>
  <si>
    <t>Paung</t>
  </si>
  <si>
    <t>ပေါင်</t>
  </si>
  <si>
    <t>MMR011008</t>
  </si>
  <si>
    <t>Launglon</t>
  </si>
  <si>
    <t>လောင်းလုံး</t>
  </si>
  <si>
    <t>MMR006002</t>
  </si>
  <si>
    <t>Thongwa</t>
  </si>
  <si>
    <t>သုံးခွ</t>
  </si>
  <si>
    <t>MMR013025</t>
  </si>
  <si>
    <t>Yedashe</t>
  </si>
  <si>
    <t>ရေတာရှည်</t>
  </si>
  <si>
    <t>MMR007010</t>
  </si>
  <si>
    <t>Paukkhaung</t>
  </si>
  <si>
    <t>ပေါက်ခေါင်း</t>
  </si>
  <si>
    <t>MMR008002</t>
  </si>
  <si>
    <t>Rathedaung</t>
  </si>
  <si>
    <t>ရသေ့တောင်</t>
  </si>
  <si>
    <t>MMR012008</t>
  </si>
  <si>
    <t>Pauktaw</t>
  </si>
  <si>
    <t>ပေါက်တော</t>
  </si>
  <si>
    <t>MMR012007</t>
  </si>
  <si>
    <t>Ann</t>
  </si>
  <si>
    <t>အမ်း</t>
  </si>
  <si>
    <t>MMR012014</t>
  </si>
  <si>
    <t>Kyaukpyu</t>
  </si>
  <si>
    <t>MMR012D003</t>
  </si>
  <si>
    <t>Myebon</t>
  </si>
  <si>
    <t>မြေပုံ</t>
  </si>
  <si>
    <t>MMR012006</t>
  </si>
  <si>
    <t>ဘားအံ</t>
  </si>
  <si>
    <t>MMR003001</t>
  </si>
  <si>
    <t>မော်လမြိုင်</t>
  </si>
  <si>
    <t>MMR011001</t>
  </si>
  <si>
    <t>Yebyu</t>
  </si>
  <si>
    <t>ရေဖြူ</t>
  </si>
  <si>
    <t>MMR006004</t>
  </si>
  <si>
    <t>Palaw</t>
  </si>
  <si>
    <t>ပုလော</t>
  </si>
  <si>
    <t>MMR006007</t>
  </si>
  <si>
    <t>Chaungzon</t>
  </si>
  <si>
    <t>ချောင်းဆုံ</t>
  </si>
  <si>
    <t>MMR011003</t>
  </si>
  <si>
    <t>Kyunsu</t>
  </si>
  <si>
    <t>ကျွန်းစု</t>
  </si>
  <si>
    <t>MMR006006</t>
  </si>
  <si>
    <t>Kawthoung</t>
  </si>
  <si>
    <t>ကော့သောင်း</t>
  </si>
  <si>
    <t>MMR006009</t>
  </si>
  <si>
    <t>MMR006D003</t>
  </si>
  <si>
    <t>Gwa</t>
  </si>
  <si>
    <t>ဂွ</t>
  </si>
  <si>
    <t>MMR012017</t>
  </si>
  <si>
    <t>Thandwe</t>
  </si>
  <si>
    <t>MMR012D004</t>
  </si>
  <si>
    <t>Munaung</t>
  </si>
  <si>
    <t>မာန်အောင်</t>
  </si>
  <si>
    <t>MMR012012</t>
  </si>
  <si>
    <t>ဖျာပုံ</t>
  </si>
  <si>
    <t>MMR017023</t>
  </si>
  <si>
    <t>Dedaye</t>
  </si>
  <si>
    <t>ဒေးဒရဲ</t>
  </si>
  <si>
    <t>MMR017026</t>
  </si>
  <si>
    <t>Kungyangon</t>
  </si>
  <si>
    <t>ကွမ်းခြံကုန်း</t>
  </si>
  <si>
    <t>MMR013029</t>
  </si>
  <si>
    <t>Ye</t>
  </si>
  <si>
    <t>ရေး</t>
  </si>
  <si>
    <t>MMR011006</t>
  </si>
  <si>
    <t>Bokpyin</t>
  </si>
  <si>
    <t>ဘုတ်ပြင်း</t>
  </si>
  <si>
    <t>MMR006010</t>
  </si>
  <si>
    <t>သံတွဲ</t>
  </si>
  <si>
    <t>MMR012015</t>
  </si>
  <si>
    <t>Bogale</t>
  </si>
  <si>
    <t>ဘိုကလေး</t>
  </si>
  <si>
    <t>MMR017024</t>
  </si>
  <si>
    <t>Ngapudaw</t>
  </si>
  <si>
    <t>ငပုတော</t>
  </si>
  <si>
    <t>MMR017004</t>
  </si>
  <si>
    <t>လပွတ္တာ</t>
  </si>
  <si>
    <t>MMR017016</t>
  </si>
  <si>
    <t>ကျောက်ဖြူ</t>
  </si>
  <si>
    <t>MMR012011</t>
  </si>
  <si>
    <t>Toungup</t>
  </si>
  <si>
    <t>တောင်ကုတ်</t>
  </si>
  <si>
    <t>MMR012016</t>
  </si>
  <si>
    <t>Ramree</t>
  </si>
  <si>
    <t>ရမ်းဗြဲ</t>
  </si>
  <si>
    <t>MMR012013</t>
  </si>
  <si>
    <t>Does your household need assistance over the next 3 to 6 months?
[OPERATOR: SINGLE RESPONSE.]
1)YES
2)NO
3)DON'T KNOW
4)REFUSED</t>
  </si>
  <si>
    <t>What are your greatest needs for assistance for your household in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</si>
</sst>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5"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b/>
      <sz val="12"/>
      <color theme="9" tint="-0.499984740745262"/>
      <name val="Calibri"/>
      <family val="2"/>
      <scheme val="minor"/>
    </font>
    <font>
      <sz val="12"/>
      <color theme="9" tint="-0.499984740745262"/>
      <name val="Calibri"/>
      <family val="2"/>
      <scheme val="minor"/>
    </font>
    <font>
      <sz val="12"/>
      <color theme="4"/>
      <name val="Calibri (Body)"/>
    </font>
    <font>
      <sz val="12"/>
      <color theme="9" tint="-0.499984740745262"/>
      <name val="Calibri (Body)"/>
    </font>
    <font>
      <b/>
      <sz val="12"/>
      <color theme="9" tint="-0.499984740745262"/>
      <name val="Calibri (Body)"/>
    </font>
    <font>
      <sz val="11"/>
      <color theme="9" tint="-0.499984740745262"/>
      <name val="Calibri (Body)"/>
    </font>
    <font>
      <sz val="12"/>
      <name val="Calibri (Body)"/>
    </font>
    <font>
      <sz val="12"/>
      <name val="Calibri"/>
      <family val="2"/>
    </font>
    <font>
      <b/>
      <sz val="12"/>
      <color theme="4"/>
      <name val="Calibri (Body)"/>
    </font>
    <font>
      <b/>
      <sz val="12"/>
      <name val="Calibri (Body)"/>
    </font>
    <font>
      <sz val="14"/>
      <name val="Calibri"/>
      <family val="2"/>
      <scheme val="minor"/>
    </font>
    <font>
      <strike/>
      <sz val="12"/>
      <color rgb="FFFF0000"/>
      <name val="Calibri"/>
      <family val="2"/>
      <scheme val="minor"/>
    </font>
    <font>
      <b/>
      <sz val="14"/>
      <color rgb="FF0070C0"/>
      <name val="Calibri"/>
      <family val="2"/>
      <scheme val="minor"/>
    </font>
    <font>
      <sz val="14"/>
      <name val="Calibri"/>
      <family val="2"/>
    </font>
    <font>
      <b/>
      <sz val="14"/>
      <color theme="1"/>
      <name val="Calibri"/>
      <family val="2"/>
      <scheme val="minor"/>
    </font>
    <font>
      <b/>
      <strike/>
      <sz val="12"/>
      <color rgb="FFFF0000"/>
      <name val="Calibri"/>
      <family val="2"/>
      <scheme val="minor"/>
    </font>
    <font>
      <sz val="14"/>
      <color theme="1"/>
      <name val="Calibri"/>
      <family val="2"/>
      <scheme val="minor"/>
    </font>
    <font>
      <strike/>
      <sz val="10.5"/>
      <color rgb="FFFF0000"/>
      <name val="Calibri"/>
      <family val="2"/>
      <scheme val="minor"/>
    </font>
    <font>
      <b/>
      <u/>
      <sz val="12"/>
      <color rgb="FF008080"/>
      <name val="Calibri"/>
      <family val="2"/>
      <scheme val="minor"/>
    </font>
    <font>
      <u/>
      <sz val="14"/>
      <color rgb="FF008080"/>
      <name val="Calibri"/>
      <family val="2"/>
      <scheme val="minor"/>
    </font>
    <font>
      <u/>
      <sz val="12"/>
      <color rgb="FF008080"/>
      <name val="Calibri"/>
      <family val="2"/>
      <scheme val="minor"/>
    </font>
    <font>
      <b/>
      <sz val="14"/>
      <color rgb="FFFF0000"/>
      <name val="Calibri"/>
      <family val="2"/>
      <scheme val="minor"/>
    </font>
    <font>
      <b/>
      <sz val="9"/>
      <color theme="1"/>
      <name val="Segoe UI"/>
      <family val="2"/>
    </font>
    <font>
      <b/>
      <sz val="11"/>
      <name val="Calibri"/>
      <family val="2"/>
    </font>
  </fonts>
  <fills count="18">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0" tint="-0.14999847407452621"/>
        <bgColor rgb="FF000000"/>
      </patternFill>
    </fill>
    <fill>
      <patternFill patternType="solid">
        <fgColor rgb="FF00B050"/>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5" tint="0.39997558519241921"/>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right style="medium">
        <color indexed="64"/>
      </right>
      <top/>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auto="1"/>
      </left>
      <right style="medium">
        <color indexed="64"/>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22">
    <xf numFmtId="0" fontId="0" fillId="0" borderId="0"/>
    <xf numFmtId="0" fontId="6" fillId="0" borderId="0"/>
    <xf numFmtId="0" fontId="7" fillId="0" borderId="0"/>
    <xf numFmtId="0" fontId="5" fillId="0" borderId="0"/>
    <xf numFmtId="0" fontId="6" fillId="0" borderId="0"/>
    <xf numFmtId="0" fontId="5" fillId="0" borderId="0"/>
    <xf numFmtId="0" fontId="5" fillId="0" borderId="0"/>
    <xf numFmtId="0" fontId="10" fillId="8" borderId="20"/>
    <xf numFmtId="0" fontId="6" fillId="0" borderId="0"/>
    <xf numFmtId="0" fontId="6" fillId="0" borderId="0"/>
    <xf numFmtId="0" fontId="6" fillId="0" borderId="0"/>
    <xf numFmtId="9" fontId="5" fillId="0" borderId="0"/>
    <xf numFmtId="0" fontId="6" fillId="0" borderId="0"/>
    <xf numFmtId="0" fontId="6" fillId="0" borderId="0"/>
    <xf numFmtId="0" fontId="6" fillId="0" borderId="0"/>
    <xf numFmtId="0" fontId="6" fillId="0" borderId="0"/>
    <xf numFmtId="0" fontId="5" fillId="0" borderId="0"/>
    <xf numFmtId="0" fontId="5" fillId="0" borderId="0"/>
    <xf numFmtId="9" fontId="5" fillId="0" borderId="0"/>
    <xf numFmtId="0" fontId="5" fillId="0" borderId="0"/>
    <xf numFmtId="0" fontId="5" fillId="0" borderId="0"/>
    <xf numFmtId="0" fontId="6" fillId="0" borderId="0"/>
  </cellStyleXfs>
  <cellXfs count="610">
    <xf numFmtId="0" fontId="0" fillId="0" borderId="0" xfId="0"/>
    <xf numFmtId="0" fontId="0" fillId="0" borderId="21" xfId="0" applyBorder="1"/>
    <xf numFmtId="0" fontId="8" fillId="0" borderId="21" xfId="0" applyFont="1" applyBorder="1" applyAlignment="1">
      <alignment horizontal="center" vertical="center"/>
    </xf>
    <xf numFmtId="0" fontId="0" fillId="0" borderId="22" xfId="0" applyBorder="1"/>
    <xf numFmtId="0" fontId="8" fillId="0" borderId="24" xfId="0" applyFont="1" applyBorder="1" applyAlignment="1">
      <alignment horizontal="center" vertical="center"/>
    </xf>
    <xf numFmtId="0" fontId="0" fillId="0" borderId="24" xfId="0" applyBorder="1"/>
    <xf numFmtId="0" fontId="8" fillId="0" borderId="25" xfId="0" applyFont="1" applyBorder="1" applyAlignment="1">
      <alignment horizontal="center" vertical="center"/>
    </xf>
    <xf numFmtId="0" fontId="0" fillId="0" borderId="25" xfId="0" applyBorder="1"/>
    <xf numFmtId="0" fontId="8" fillId="0" borderId="1" xfId="0" applyFont="1" applyBorder="1"/>
    <xf numFmtId="0" fontId="9" fillId="0" borderId="34" xfId="3" applyFont="1" applyBorder="1" applyAlignment="1" applyProtection="1">
      <alignment horizontal="left" vertical="center" wrapText="1"/>
      <protection locked="0"/>
    </xf>
    <xf numFmtId="0" fontId="9" fillId="0" borderId="35" xfId="3" applyFont="1" applyBorder="1" applyAlignment="1" applyProtection="1">
      <alignment horizontal="left" vertical="center" wrapText="1"/>
      <protection locked="0"/>
    </xf>
    <xf numFmtId="0" fontId="9" fillId="0" borderId="35" xfId="5" applyFont="1" applyBorder="1" applyAlignment="1" applyProtection="1">
      <alignment horizontal="left" vertical="center" wrapText="1"/>
      <protection locked="0"/>
    </xf>
    <xf numFmtId="0" fontId="14" fillId="9" borderId="35" xfId="3" applyFont="1" applyFill="1" applyBorder="1" applyAlignment="1" applyProtection="1">
      <alignment horizontal="left" vertical="center" wrapText="1"/>
      <protection locked="0"/>
    </xf>
    <xf numFmtId="0" fontId="9" fillId="0" borderId="36" xfId="3" applyFont="1" applyBorder="1" applyAlignment="1" applyProtection="1">
      <alignment horizontal="left" vertical="center" wrapText="1"/>
      <protection locked="0"/>
    </xf>
    <xf numFmtId="0" fontId="9" fillId="6" borderId="8" xfId="2" applyFont="1" applyFill="1" applyBorder="1" applyAlignment="1" applyProtection="1">
      <alignment horizontal="center" vertical="center"/>
      <protection locked="0"/>
    </xf>
    <xf numFmtId="0" fontId="9" fillId="6" borderId="3" xfId="2" applyFont="1" applyFill="1" applyBorder="1" applyAlignment="1" applyProtection="1">
      <alignment horizontal="center" vertical="center" wrapText="1"/>
      <protection locked="0"/>
    </xf>
    <xf numFmtId="0" fontId="9" fillId="6" borderId="3" xfId="0" applyFont="1" applyFill="1" applyBorder="1" applyAlignment="1" applyProtection="1">
      <alignment horizontal="center" vertical="center" wrapText="1"/>
      <protection locked="0"/>
    </xf>
    <xf numFmtId="0" fontId="9" fillId="6" borderId="3" xfId="3" applyFont="1" applyFill="1" applyBorder="1" applyAlignment="1" applyProtection="1">
      <alignment horizontal="left" vertical="center" wrapText="1"/>
      <protection locked="0"/>
    </xf>
    <xf numFmtId="0" fontId="9" fillId="6" borderId="1" xfId="0" applyFont="1" applyFill="1" applyBorder="1" applyAlignment="1" applyProtection="1">
      <alignment horizontal="left" vertical="center" wrapText="1"/>
      <protection locked="0"/>
    </xf>
    <xf numFmtId="0" fontId="9" fillId="6" borderId="1" xfId="2" applyFont="1" applyFill="1" applyBorder="1" applyAlignment="1" applyProtection="1">
      <alignment horizontal="center" vertical="center" wrapText="1"/>
      <protection locked="0"/>
    </xf>
    <xf numFmtId="0" fontId="9" fillId="6" borderId="1" xfId="0" applyFont="1" applyFill="1" applyBorder="1" applyAlignment="1" applyProtection="1">
      <alignment horizontal="center" vertical="center" wrapText="1"/>
      <protection locked="0"/>
    </xf>
    <xf numFmtId="0" fontId="9" fillId="6" borderId="1" xfId="3" applyFont="1" applyFill="1" applyBorder="1" applyAlignment="1" applyProtection="1">
      <alignment horizontal="left" vertical="center" wrapText="1"/>
      <protection locked="0"/>
    </xf>
    <xf numFmtId="0" fontId="9" fillId="6" borderId="2" xfId="2" applyFont="1" applyFill="1" applyBorder="1" applyAlignment="1" applyProtection="1">
      <alignment horizontal="center" vertical="center" wrapText="1"/>
      <protection locked="0"/>
    </xf>
    <xf numFmtId="0" fontId="9" fillId="6" borderId="13" xfId="2" applyFont="1" applyFill="1" applyBorder="1" applyAlignment="1" applyProtection="1">
      <alignment horizontal="center" vertical="center" wrapText="1"/>
      <protection locked="0"/>
    </xf>
    <xf numFmtId="0" fontId="9" fillId="0" borderId="33" xfId="3" applyFont="1" applyBorder="1" applyAlignment="1" applyProtection="1">
      <alignment horizontal="left" vertical="center" wrapText="1"/>
      <protection locked="0"/>
    </xf>
    <xf numFmtId="0" fontId="9" fillId="6" borderId="2" xfId="0" applyFont="1" applyFill="1" applyBorder="1" applyAlignment="1" applyProtection="1">
      <alignment horizontal="left" vertical="center" wrapText="1"/>
      <protection locked="0"/>
    </xf>
    <xf numFmtId="0" fontId="9" fillId="6" borderId="19" xfId="3" applyFont="1" applyFill="1" applyBorder="1" applyAlignment="1" applyProtection="1">
      <alignment horizontal="left" vertical="center" wrapText="1"/>
      <protection locked="0"/>
    </xf>
    <xf numFmtId="0" fontId="9" fillId="10" borderId="17" xfId="0" applyFont="1" applyFill="1" applyBorder="1" applyAlignment="1" applyProtection="1">
      <alignment horizontal="left" vertical="center" wrapText="1"/>
      <protection locked="0"/>
    </xf>
    <xf numFmtId="0" fontId="9" fillId="6" borderId="14" xfId="3" applyFont="1" applyFill="1" applyBorder="1" applyAlignment="1" applyProtection="1">
      <alignment horizontal="left" vertical="center" wrapText="1"/>
      <protection locked="0"/>
    </xf>
    <xf numFmtId="0" fontId="9" fillId="6" borderId="1" xfId="3" applyFont="1" applyFill="1" applyBorder="1" applyAlignment="1" applyProtection="1">
      <alignment horizontal="center" vertical="center" wrapText="1"/>
      <protection locked="0"/>
    </xf>
    <xf numFmtId="0" fontId="9" fillId="6" borderId="1" xfId="3" applyFont="1" applyFill="1" applyBorder="1" applyAlignment="1" applyProtection="1">
      <alignment vertical="center" wrapText="1"/>
      <protection locked="0"/>
    </xf>
    <xf numFmtId="0" fontId="9" fillId="6" borderId="2" xfId="3" applyFont="1" applyFill="1" applyBorder="1" applyAlignment="1" applyProtection="1">
      <alignment horizontal="left" vertical="center" wrapText="1"/>
      <protection locked="0"/>
    </xf>
    <xf numFmtId="0" fontId="9" fillId="6" borderId="15" xfId="3" applyFont="1" applyFill="1" applyBorder="1" applyAlignment="1" applyProtection="1">
      <alignment horizontal="left" vertical="center" wrapText="1"/>
      <protection locked="0"/>
    </xf>
    <xf numFmtId="0" fontId="9" fillId="9" borderId="14" xfId="0" applyFont="1" applyFill="1" applyBorder="1" applyAlignment="1" applyProtection="1">
      <alignment horizontal="left" vertical="center" wrapText="1"/>
      <protection locked="0"/>
    </xf>
    <xf numFmtId="0" fontId="9" fillId="9" borderId="17" xfId="3" applyFont="1" applyFill="1" applyBorder="1" applyAlignment="1" applyProtection="1">
      <alignment horizontal="left" vertical="center" wrapText="1"/>
      <protection locked="0"/>
    </xf>
    <xf numFmtId="0" fontId="9" fillId="0" borderId="8" xfId="2" applyFont="1" applyBorder="1" applyAlignment="1" applyProtection="1">
      <alignment horizontal="center" vertical="center"/>
      <protection locked="0"/>
    </xf>
    <xf numFmtId="0" fontId="9" fillId="0" borderId="1" xfId="0" applyFont="1" applyBorder="1" applyAlignment="1" applyProtection="1">
      <alignment horizontal="left" vertical="center" wrapText="1"/>
      <protection locked="0"/>
    </xf>
    <xf numFmtId="0" fontId="9" fillId="0" borderId="1" xfId="2" applyFont="1" applyBorder="1" applyAlignment="1" applyProtection="1">
      <alignment horizontal="center" vertical="center" wrapText="1"/>
      <protection locked="0"/>
    </xf>
    <xf numFmtId="0" fontId="9" fillId="0" borderId="1" xfId="0" applyFont="1" applyBorder="1" applyAlignment="1" applyProtection="1">
      <alignment horizontal="center" vertical="center" wrapText="1"/>
      <protection locked="0"/>
    </xf>
    <xf numFmtId="0" fontId="25" fillId="0" borderId="1" xfId="0" applyFont="1" applyBorder="1"/>
    <xf numFmtId="0" fontId="11" fillId="12" borderId="1" xfId="7" applyFont="1" applyFill="1" applyBorder="1" applyAlignment="1" applyProtection="1">
      <alignment horizontal="center" vertical="center"/>
      <protection locked="0"/>
    </xf>
    <xf numFmtId="0" fontId="9" fillId="0" borderId="49" xfId="3" applyFont="1" applyBorder="1" applyAlignment="1" applyProtection="1">
      <alignment horizontal="left" vertical="center" wrapText="1"/>
      <protection locked="0"/>
    </xf>
    <xf numFmtId="0" fontId="23" fillId="10" borderId="17" xfId="0" applyFont="1" applyFill="1" applyBorder="1" applyAlignment="1" applyProtection="1">
      <alignment horizontal="left" vertical="center" wrapText="1"/>
      <protection locked="0"/>
    </xf>
    <xf numFmtId="0" fontId="11" fillId="6" borderId="48" xfId="0" applyFont="1" applyFill="1" applyBorder="1" applyAlignment="1" applyProtection="1">
      <alignment horizontal="center" vertical="center"/>
      <protection locked="0"/>
    </xf>
    <xf numFmtId="0" fontId="9" fillId="6" borderId="48" xfId="0" applyFont="1" applyFill="1" applyBorder="1" applyAlignment="1" applyProtection="1">
      <alignment horizontal="center" vertical="center"/>
      <protection locked="0"/>
    </xf>
    <xf numFmtId="0" fontId="9" fillId="6" borderId="48" xfId="3" applyFont="1" applyFill="1" applyBorder="1" applyAlignment="1" applyProtection="1">
      <alignment horizontal="center" vertical="center" wrapText="1"/>
      <protection locked="0"/>
    </xf>
    <xf numFmtId="0" fontId="27" fillId="6" borderId="1" xfId="0" applyFont="1" applyFill="1" applyBorder="1" applyAlignment="1" applyProtection="1">
      <alignment horizontal="left" vertical="center" wrapText="1"/>
      <protection locked="0"/>
    </xf>
    <xf numFmtId="0" fontId="9" fillId="6" borderId="48" xfId="3" applyFont="1" applyFill="1" applyBorder="1" applyAlignment="1" applyProtection="1">
      <alignment vertical="center" wrapText="1"/>
      <protection locked="0"/>
    </xf>
    <xf numFmtId="0" fontId="9" fillId="6" borderId="3" xfId="0" applyFont="1" applyFill="1" applyBorder="1" applyAlignment="1" applyProtection="1">
      <alignment horizontal="left" vertical="center" wrapText="1"/>
      <protection locked="0"/>
    </xf>
    <xf numFmtId="0" fontId="9" fillId="0" borderId="14" xfId="2" applyFont="1" applyBorder="1" applyAlignment="1" applyProtection="1">
      <alignment horizontal="left" vertical="center" wrapText="1"/>
      <protection locked="0"/>
    </xf>
    <xf numFmtId="0" fontId="9" fillId="9" borderId="14" xfId="3" applyFont="1" applyFill="1" applyBorder="1" applyAlignment="1" applyProtection="1">
      <alignment horizontal="left" vertical="center" wrapText="1"/>
      <protection locked="0"/>
    </xf>
    <xf numFmtId="0" fontId="9" fillId="6" borderId="17" xfId="3" applyFont="1" applyFill="1" applyBorder="1" applyAlignment="1" applyProtection="1">
      <alignment horizontal="center" vertical="center" wrapText="1"/>
      <protection locked="0"/>
    </xf>
    <xf numFmtId="0" fontId="16" fillId="13" borderId="17" xfId="0" applyFont="1" applyFill="1" applyBorder="1" applyAlignment="1" applyProtection="1">
      <alignment horizontal="center" vertical="center" wrapText="1"/>
      <protection locked="0"/>
    </xf>
    <xf numFmtId="1" fontId="0" fillId="0" borderId="0" xfId="0" applyNumberFormat="1"/>
    <xf numFmtId="9" fontId="0" fillId="0" borderId="0" xfId="11" applyFont="1"/>
    <xf numFmtId="0" fontId="9" fillId="9" borderId="14" xfId="3" applyFont="1" applyFill="1" applyBorder="1" applyAlignment="1" applyProtection="1">
      <alignment vertical="center" wrapText="1"/>
      <protection locked="0"/>
    </xf>
    <xf numFmtId="0" fontId="16" fillId="6" borderId="19" xfId="3" applyFont="1" applyFill="1" applyBorder="1" applyAlignment="1" applyProtection="1">
      <alignment horizontal="center" vertical="center" wrapText="1"/>
      <protection locked="0"/>
    </xf>
    <xf numFmtId="0" fontId="27" fillId="6" borderId="14" xfId="0" applyFont="1" applyFill="1" applyBorder="1" applyAlignment="1" applyProtection="1">
      <alignment horizontal="left" vertical="center" wrapText="1"/>
      <protection locked="0"/>
    </xf>
    <xf numFmtId="0" fontId="9" fillId="0" borderId="49" xfId="3" applyFont="1" applyBorder="1" applyAlignment="1" applyProtection="1">
      <alignment horizontal="left" vertical="center"/>
      <protection locked="0"/>
    </xf>
    <xf numFmtId="0" fontId="5" fillId="9" borderId="52" xfId="2" applyFont="1" applyFill="1" applyBorder="1" applyAlignment="1" applyProtection="1">
      <alignment horizontal="left" vertical="center" wrapText="1"/>
      <protection locked="0"/>
    </xf>
    <xf numFmtId="0" fontId="30" fillId="4" borderId="35" xfId="3" applyFont="1" applyFill="1" applyBorder="1" applyAlignment="1" applyProtection="1">
      <alignment horizontal="left" vertical="center" wrapText="1"/>
      <protection locked="0"/>
    </xf>
    <xf numFmtId="0" fontId="9" fillId="0" borderId="28" xfId="3" applyFont="1" applyBorder="1" applyAlignment="1" applyProtection="1">
      <alignment horizontal="left" vertical="center" wrapText="1"/>
      <protection locked="0"/>
    </xf>
    <xf numFmtId="0" fontId="30" fillId="4" borderId="7" xfId="2" applyFont="1" applyFill="1" applyBorder="1" applyAlignment="1" applyProtection="1">
      <alignment horizontal="center" vertical="center"/>
      <protection locked="0"/>
    </xf>
    <xf numFmtId="0" fontId="32" fillId="4" borderId="3" xfId="2" applyFont="1" applyFill="1" applyBorder="1" applyAlignment="1" applyProtection="1">
      <alignment horizontal="center" vertical="center" wrapText="1"/>
      <protection locked="0"/>
    </xf>
    <xf numFmtId="0" fontId="32" fillId="4" borderId="3" xfId="3" applyFont="1" applyFill="1" applyBorder="1" applyAlignment="1" applyProtection="1">
      <alignment horizontal="center" vertical="center" wrapText="1"/>
      <protection locked="0"/>
    </xf>
    <xf numFmtId="0" fontId="32" fillId="4" borderId="17" xfId="3" applyFont="1" applyFill="1" applyBorder="1" applyAlignment="1" applyProtection="1">
      <alignment horizontal="left" vertical="center" wrapText="1"/>
      <protection locked="0"/>
    </xf>
    <xf numFmtId="49" fontId="32" fillId="4" borderId="60" xfId="0" applyNumberFormat="1" applyFont="1" applyFill="1" applyBorder="1" applyAlignment="1" applyProtection="1">
      <alignment vertical="center" wrapText="1"/>
      <protection locked="0"/>
    </xf>
    <xf numFmtId="0" fontId="32" fillId="4" borderId="3" xfId="3" applyFont="1" applyFill="1" applyBorder="1" applyAlignment="1" applyProtection="1">
      <alignment horizontal="left" vertical="center" wrapText="1"/>
      <protection locked="0"/>
    </xf>
    <xf numFmtId="0" fontId="30" fillId="4" borderId="3" xfId="3" applyFont="1" applyFill="1" applyBorder="1" applyAlignment="1" applyProtection="1">
      <alignment horizontal="left" vertical="center" wrapText="1"/>
      <protection locked="0"/>
    </xf>
    <xf numFmtId="0" fontId="9" fillId="0" borderId="1" xfId="3" applyFont="1" applyBorder="1" applyAlignment="1" applyProtection="1">
      <alignment horizontal="left" vertical="center" wrapText="1"/>
      <protection locked="0"/>
    </xf>
    <xf numFmtId="0" fontId="9" fillId="0" borderId="17" xfId="3" applyFont="1" applyBorder="1" applyAlignment="1" applyProtection="1">
      <alignment horizontal="center" vertical="center" wrapText="1"/>
      <protection locked="0"/>
    </xf>
    <xf numFmtId="0" fontId="9" fillId="0" borderId="14" xfId="3" applyFont="1" applyBorder="1" applyAlignment="1" applyProtection="1">
      <alignment horizontal="center" vertical="center" wrapText="1"/>
      <protection locked="0"/>
    </xf>
    <xf numFmtId="0" fontId="9" fillId="0" borderId="14" xfId="5" applyFont="1" applyBorder="1" applyAlignment="1" applyProtection="1">
      <alignment horizontal="center" vertical="center" wrapText="1"/>
      <protection locked="0"/>
    </xf>
    <xf numFmtId="0" fontId="14" fillId="0" borderId="14" xfId="3" applyFont="1" applyBorder="1" applyAlignment="1" applyProtection="1">
      <alignment horizontal="left" vertical="center" wrapText="1"/>
      <protection locked="0"/>
    </xf>
    <xf numFmtId="0" fontId="9" fillId="0" borderId="14" xfId="3" applyFont="1" applyBorder="1" applyAlignment="1" applyProtection="1">
      <alignment horizontal="left" vertical="center" wrapText="1"/>
      <protection locked="0"/>
    </xf>
    <xf numFmtId="0" fontId="9" fillId="0" borderId="15" xfId="3" applyFont="1" applyBorder="1" applyAlignment="1" applyProtection="1">
      <alignment horizontal="center" vertical="center" wrapText="1"/>
      <protection locked="0"/>
    </xf>
    <xf numFmtId="0" fontId="9" fillId="0" borderId="17" xfId="3" applyFont="1" applyBorder="1" applyAlignment="1" applyProtection="1">
      <alignment horizontal="left" vertical="center" wrapText="1"/>
      <protection locked="0"/>
    </xf>
    <xf numFmtId="0" fontId="9" fillId="0" borderId="19" xfId="3" applyFont="1" applyBorder="1" applyAlignment="1" applyProtection="1">
      <alignment horizontal="left" vertical="center" wrapText="1"/>
      <protection locked="0"/>
    </xf>
    <xf numFmtId="0" fontId="9" fillId="0" borderId="2" xfId="3" applyFont="1" applyBorder="1" applyAlignment="1" applyProtection="1">
      <alignment horizontal="left" vertical="center" wrapText="1"/>
      <protection locked="0"/>
    </xf>
    <xf numFmtId="0" fontId="9" fillId="9" borderId="14" xfId="2" applyFont="1" applyFill="1" applyBorder="1" applyAlignment="1" applyProtection="1">
      <alignment horizontal="left" vertical="center" wrapText="1"/>
      <protection locked="0"/>
    </xf>
    <xf numFmtId="0" fontId="9" fillId="0" borderId="17" xfId="2" applyFont="1" applyBorder="1" applyAlignment="1" applyProtection="1">
      <alignment horizontal="left" vertical="center" wrapText="1"/>
      <protection locked="0"/>
    </xf>
    <xf numFmtId="0" fontId="9" fillId="0" borderId="17" xfId="0" applyFont="1" applyBorder="1" applyAlignment="1" applyProtection="1">
      <alignment vertical="center"/>
      <protection locked="0"/>
    </xf>
    <xf numFmtId="0" fontId="9" fillId="0" borderId="43" xfId="3" applyFont="1" applyBorder="1" applyAlignment="1" applyProtection="1">
      <alignment horizontal="left" vertical="center" wrapText="1"/>
      <protection locked="0"/>
    </xf>
    <xf numFmtId="0" fontId="9" fillId="0" borderId="15" xfId="0" applyFont="1" applyBorder="1" applyAlignment="1" applyProtection="1">
      <alignment horizontal="left" vertical="center" wrapText="1"/>
      <protection locked="0"/>
    </xf>
    <xf numFmtId="0" fontId="9" fillId="0" borderId="15" xfId="3" applyFont="1" applyBorder="1" applyAlignment="1" applyProtection="1">
      <alignment horizontal="left" vertical="center" wrapText="1"/>
      <protection locked="0"/>
    </xf>
    <xf numFmtId="0" fontId="9" fillId="0" borderId="14" xfId="0" applyFont="1" applyBorder="1" applyAlignment="1" applyProtection="1">
      <alignment horizontal="left" vertical="center" wrapText="1"/>
      <protection locked="0"/>
    </xf>
    <xf numFmtId="0" fontId="9" fillId="0" borderId="16" xfId="2" applyFont="1" applyBorder="1" applyAlignment="1" applyProtection="1">
      <alignment horizontal="center" vertical="center" wrapText="1"/>
      <protection locked="0"/>
    </xf>
    <xf numFmtId="0" fontId="9" fillId="0" borderId="27" xfId="3" applyFont="1" applyBorder="1" applyAlignment="1" applyProtection="1">
      <alignment horizontal="left" vertical="center" wrapText="1"/>
      <protection locked="0"/>
    </xf>
    <xf numFmtId="0" fontId="9" fillId="0" borderId="7" xfId="2" applyFont="1" applyBorder="1" applyAlignment="1" applyProtection="1">
      <alignment horizontal="center" vertical="center"/>
      <protection locked="0"/>
    </xf>
    <xf numFmtId="0" fontId="9" fillId="0" borderId="3" xfId="0" applyFont="1" applyBorder="1" applyAlignment="1" applyProtection="1">
      <alignment horizontal="center" vertical="center" wrapText="1"/>
      <protection locked="0"/>
    </xf>
    <xf numFmtId="0" fontId="9" fillId="0" borderId="1" xfId="3" applyFont="1" applyBorder="1" applyAlignment="1" applyProtection="1">
      <alignment horizontal="center" vertical="center" wrapText="1"/>
      <protection locked="0"/>
    </xf>
    <xf numFmtId="0" fontId="9" fillId="0" borderId="2" xfId="2" applyFont="1" applyBorder="1" applyAlignment="1" applyProtection="1">
      <alignment horizontal="center" vertical="center"/>
      <protection locked="0"/>
    </xf>
    <xf numFmtId="0" fontId="9" fillId="0" borderId="2" xfId="2" applyFont="1" applyBorder="1" applyAlignment="1" applyProtection="1">
      <alignment horizontal="center" vertical="center" wrapText="1"/>
      <protection locked="0"/>
    </xf>
    <xf numFmtId="0" fontId="9" fillId="0" borderId="3" xfId="2" applyFont="1" applyBorder="1" applyAlignment="1" applyProtection="1">
      <alignment horizontal="center" vertical="center" wrapText="1"/>
      <protection locked="0"/>
    </xf>
    <xf numFmtId="0" fontId="11" fillId="0" borderId="3" xfId="0" applyFont="1" applyBorder="1" applyAlignment="1" applyProtection="1">
      <alignment horizontal="center" vertical="center" wrapText="1"/>
      <protection locked="0"/>
    </xf>
    <xf numFmtId="0" fontId="9" fillId="0" borderId="3" xfId="3" applyFont="1" applyBorder="1" applyAlignment="1" applyProtection="1">
      <alignment vertical="center" wrapText="1"/>
      <protection locked="0"/>
    </xf>
    <xf numFmtId="0" fontId="9" fillId="0" borderId="3" xfId="3" applyFont="1" applyBorder="1" applyAlignment="1" applyProtection="1">
      <alignment horizontal="center" vertical="center" wrapText="1"/>
      <protection locked="0"/>
    </xf>
    <xf numFmtId="0" fontId="9" fillId="0" borderId="0" xfId="3" applyFont="1" applyAlignment="1" applyProtection="1">
      <alignment horizontal="center" vertical="center"/>
      <protection locked="0"/>
    </xf>
    <xf numFmtId="0" fontId="9" fillId="0" borderId="1" xfId="3" applyFont="1" applyBorder="1" applyAlignment="1" applyProtection="1">
      <alignment horizontal="center" vertical="center"/>
      <protection locked="0"/>
    </xf>
    <xf numFmtId="0" fontId="9" fillId="0" borderId="6" xfId="2" applyFont="1" applyBorder="1" applyAlignment="1" applyProtection="1">
      <alignment horizontal="center" vertical="center"/>
      <protection locked="0"/>
    </xf>
    <xf numFmtId="0" fontId="9" fillId="0" borderId="2" xfId="0" applyFont="1" applyBorder="1" applyAlignment="1" applyProtection="1">
      <alignment horizontal="center" vertical="center" wrapText="1"/>
      <protection locked="0"/>
    </xf>
    <xf numFmtId="0" fontId="9" fillId="0" borderId="13" xfId="0" applyFont="1" applyBorder="1" applyAlignment="1" applyProtection="1">
      <alignment horizontal="center" vertical="center" wrapText="1"/>
      <protection locked="0"/>
    </xf>
    <xf numFmtId="0" fontId="9" fillId="7" borderId="1" xfId="0" applyFont="1" applyFill="1" applyBorder="1" applyAlignment="1" applyProtection="1">
      <alignment horizontal="center" vertical="center" wrapText="1"/>
      <protection locked="0"/>
    </xf>
    <xf numFmtId="0" fontId="4" fillId="0" borderId="21" xfId="10" applyFont="1" applyBorder="1"/>
    <xf numFmtId="0" fontId="4" fillId="0" borderId="24" xfId="10" applyFont="1" applyBorder="1"/>
    <xf numFmtId="0" fontId="4" fillId="0" borderId="22" xfId="10" applyFont="1" applyBorder="1"/>
    <xf numFmtId="0" fontId="4" fillId="0" borderId="54" xfId="10" applyFont="1" applyBorder="1"/>
    <xf numFmtId="0" fontId="18" fillId="0" borderId="5" xfId="10" applyFont="1" applyBorder="1" applyAlignment="1">
      <alignment horizontal="center"/>
    </xf>
    <xf numFmtId="0" fontId="18" fillId="0" borderId="4" xfId="10" applyFont="1" applyBorder="1" applyAlignment="1">
      <alignment horizontal="center"/>
    </xf>
    <xf numFmtId="0" fontId="18" fillId="0" borderId="32" xfId="10" applyFont="1" applyBorder="1" applyAlignment="1">
      <alignment horizontal="center"/>
    </xf>
    <xf numFmtId="0" fontId="4" fillId="0" borderId="23" xfId="10" applyFont="1" applyBorder="1"/>
    <xf numFmtId="0" fontId="19" fillId="0" borderId="42" xfId="10" applyFont="1" applyBorder="1" applyAlignment="1">
      <alignment vertical="center"/>
    </xf>
    <xf numFmtId="0" fontId="19" fillId="0" borderId="45" xfId="10" applyFont="1" applyBorder="1" applyAlignment="1">
      <alignment horizontal="center" vertical="center" wrapText="1"/>
    </xf>
    <xf numFmtId="0" fontId="19" fillId="0" borderId="8" xfId="10" applyFont="1" applyBorder="1" applyAlignment="1">
      <alignment vertical="center"/>
    </xf>
    <xf numFmtId="0" fontId="19" fillId="0" borderId="39" xfId="10" applyFont="1" applyBorder="1" applyAlignment="1">
      <alignment horizontal="center" vertical="center" wrapText="1"/>
    </xf>
    <xf numFmtId="0" fontId="20" fillId="0" borderId="39" xfId="10" applyFont="1" applyBorder="1" applyAlignment="1">
      <alignment horizontal="center" vertical="center" wrapText="1"/>
    </xf>
    <xf numFmtId="0" fontId="20" fillId="0" borderId="46" xfId="10" applyFont="1" applyBorder="1" applyAlignment="1">
      <alignment horizontal="center" vertical="center" wrapText="1"/>
    </xf>
    <xf numFmtId="0" fontId="19" fillId="0" borderId="7" xfId="10" applyFont="1" applyBorder="1" applyAlignment="1">
      <alignment vertical="center"/>
    </xf>
    <xf numFmtId="0" fontId="19" fillId="0" borderId="58" xfId="10" applyFont="1" applyBorder="1" applyAlignment="1">
      <alignment horizontal="center" vertical="center" wrapText="1"/>
    </xf>
    <xf numFmtId="0" fontId="21" fillId="0" borderId="8" xfId="10" applyFont="1" applyBorder="1" applyAlignment="1">
      <alignment vertical="center"/>
    </xf>
    <xf numFmtId="0" fontId="21" fillId="0" borderId="9" xfId="10" applyFont="1" applyBorder="1" applyAlignment="1">
      <alignment vertical="center"/>
    </xf>
    <xf numFmtId="0" fontId="4" fillId="0" borderId="27" xfId="10" applyFont="1" applyBorder="1" applyAlignment="1">
      <alignment wrapText="1"/>
    </xf>
    <xf numFmtId="0" fontId="19" fillId="0" borderId="55" xfId="10" applyFont="1" applyBorder="1" applyAlignment="1">
      <alignment vertical="center"/>
    </xf>
    <xf numFmtId="0" fontId="20" fillId="0" borderId="51" xfId="10" applyFont="1" applyBorder="1" applyAlignment="1">
      <alignment horizontal="center" vertical="center" wrapText="1"/>
    </xf>
    <xf numFmtId="0" fontId="21" fillId="0" borderId="7" xfId="10" applyFont="1" applyBorder="1" applyAlignment="1">
      <alignment horizontal="left" vertical="center" wrapText="1"/>
    </xf>
    <xf numFmtId="9" fontId="20" fillId="0" borderId="47" xfId="11" applyFont="1" applyBorder="1" applyAlignment="1">
      <alignment horizontal="center" vertical="center" wrapText="1"/>
    </xf>
    <xf numFmtId="0" fontId="21" fillId="0" borderId="8" xfId="10" applyFont="1" applyBorder="1" applyAlignment="1">
      <alignment horizontal="left" vertical="center" wrapText="1"/>
    </xf>
    <xf numFmtId="9" fontId="20" fillId="0" borderId="41" xfId="11" applyFont="1" applyBorder="1" applyAlignment="1">
      <alignment horizontal="center" vertical="center" wrapText="1"/>
    </xf>
    <xf numFmtId="0" fontId="21" fillId="0" borderId="9" xfId="10" applyFont="1" applyBorder="1" applyAlignment="1">
      <alignment horizontal="left" vertical="center" wrapText="1"/>
    </xf>
    <xf numFmtId="9" fontId="20" fillId="0" borderId="46" xfId="11" applyFont="1" applyBorder="1" applyAlignment="1">
      <alignment horizontal="center" vertical="center" wrapText="1"/>
    </xf>
    <xf numFmtId="0" fontId="4" fillId="0" borderId="25" xfId="10" applyFont="1" applyBorder="1"/>
    <xf numFmtId="0" fontId="4" fillId="0" borderId="24" xfId="10" applyFont="1" applyBorder="1" applyAlignment="1">
      <alignment horizontal="left" vertical="center"/>
    </xf>
    <xf numFmtId="0" fontId="18" fillId="0" borderId="38" xfId="10" applyFont="1" applyBorder="1" applyAlignment="1">
      <alignment horizontal="left" vertical="center"/>
    </xf>
    <xf numFmtId="0" fontId="19" fillId="0" borderId="44" xfId="10" applyFont="1" applyBorder="1" applyAlignment="1">
      <alignment horizontal="left" vertical="center" wrapText="1"/>
    </xf>
    <xf numFmtId="0" fontId="19" fillId="0" borderId="40" xfId="10" applyFont="1" applyBorder="1" applyAlignment="1">
      <alignment horizontal="left" vertical="center" wrapText="1"/>
    </xf>
    <xf numFmtId="0" fontId="20" fillId="0" borderId="40" xfId="10" applyFont="1" applyBorder="1" applyAlignment="1">
      <alignment horizontal="left" vertical="center" wrapText="1"/>
    </xf>
    <xf numFmtId="0" fontId="20" fillId="0" borderId="56" xfId="10" applyFont="1" applyBorder="1" applyAlignment="1">
      <alignment horizontal="left" vertical="center" wrapText="1"/>
    </xf>
    <xf numFmtId="0" fontId="19" fillId="0" borderId="57" xfId="10" applyFont="1" applyBorder="1" applyAlignment="1">
      <alignment horizontal="left" vertical="center" wrapText="1"/>
    </xf>
    <xf numFmtId="0" fontId="20" fillId="0" borderId="53" xfId="10" applyFont="1" applyBorder="1" applyAlignment="1">
      <alignment horizontal="left" vertical="center" wrapText="1"/>
    </xf>
    <xf numFmtId="0" fontId="22" fillId="0" borderId="3" xfId="10" applyFont="1" applyBorder="1" applyAlignment="1">
      <alignment horizontal="left" vertical="center" wrapText="1"/>
    </xf>
    <xf numFmtId="0" fontId="22" fillId="0" borderId="1" xfId="10" applyFont="1" applyBorder="1" applyAlignment="1">
      <alignment horizontal="left" vertical="center" wrapText="1"/>
    </xf>
    <xf numFmtId="0" fontId="22" fillId="0" borderId="10" xfId="10" applyFont="1" applyBorder="1" applyAlignment="1">
      <alignment horizontal="left" vertical="center" wrapText="1"/>
    </xf>
    <xf numFmtId="0" fontId="4" fillId="0" borderId="25" xfId="10" applyFont="1" applyBorder="1" applyAlignment="1">
      <alignment horizontal="left" vertical="center"/>
    </xf>
    <xf numFmtId="0" fontId="4" fillId="0" borderId="21" xfId="10" applyFont="1" applyBorder="1" applyAlignment="1">
      <alignment horizontal="left" vertical="center"/>
    </xf>
    <xf numFmtId="2" fontId="3" fillId="9" borderId="1" xfId="12" applyNumberFormat="1" applyFont="1" applyFill="1" applyBorder="1" applyAlignment="1" applyProtection="1">
      <alignment horizontal="center" vertical="center"/>
      <protection locked="0"/>
    </xf>
    <xf numFmtId="4" fontId="20" fillId="0" borderId="39" xfId="10" applyNumberFormat="1" applyFont="1" applyBorder="1" applyAlignment="1">
      <alignment horizontal="center" vertical="center" wrapText="1"/>
    </xf>
    <xf numFmtId="0" fontId="20" fillId="4" borderId="0" xfId="10" applyFont="1" applyFill="1" applyAlignment="1">
      <alignment wrapText="1"/>
    </xf>
    <xf numFmtId="0" fontId="15" fillId="0" borderId="3" xfId="3" applyFont="1" applyBorder="1" applyAlignment="1" applyProtection="1">
      <alignment vertical="center" wrapText="1"/>
      <protection locked="0"/>
    </xf>
    <xf numFmtId="0" fontId="29" fillId="0" borderId="2" xfId="3" applyFont="1" applyBorder="1" applyAlignment="1" applyProtection="1">
      <alignment horizontal="left" vertical="center" wrapText="1"/>
      <protection locked="0"/>
    </xf>
    <xf numFmtId="0" fontId="9" fillId="0" borderId="19" xfId="3" applyFont="1" applyBorder="1" applyAlignment="1" applyProtection="1">
      <alignment horizontal="center" vertical="center" wrapText="1"/>
      <protection locked="0"/>
    </xf>
    <xf numFmtId="0" fontId="16" fillId="9" borderId="35" xfId="3" applyFont="1" applyFill="1" applyBorder="1" applyAlignment="1" applyProtection="1">
      <alignment horizontal="left" vertical="center" wrapText="1"/>
      <protection locked="0"/>
    </xf>
    <xf numFmtId="0" fontId="14" fillId="13" borderId="17" xfId="0" applyFont="1" applyFill="1" applyBorder="1" applyAlignment="1" applyProtection="1">
      <alignment horizontal="left" vertical="center" wrapText="1"/>
      <protection locked="0"/>
    </xf>
    <xf numFmtId="0" fontId="9" fillId="4" borderId="7" xfId="2" applyFont="1" applyFill="1" applyBorder="1" applyAlignment="1" applyProtection="1">
      <alignment horizontal="center" vertical="center"/>
      <protection locked="0"/>
    </xf>
    <xf numFmtId="0" fontId="9" fillId="0" borderId="35" xfId="3" applyFont="1" applyBorder="1" applyAlignment="1" applyProtection="1">
      <alignment horizontal="center" vertical="center" wrapText="1"/>
      <protection locked="0"/>
    </xf>
    <xf numFmtId="0" fontId="9" fillId="0" borderId="49" xfId="3" applyFont="1" applyBorder="1" applyAlignment="1" applyProtection="1">
      <alignment horizontal="center" vertical="center" wrapText="1"/>
      <protection locked="0"/>
    </xf>
    <xf numFmtId="0" fontId="9" fillId="0" borderId="0" xfId="3" applyFont="1" applyAlignment="1" applyProtection="1">
      <alignment horizontal="left" vertical="center" wrapText="1"/>
      <protection locked="0"/>
    </xf>
    <xf numFmtId="0" fontId="9" fillId="0" borderId="16" xfId="2" applyFont="1" applyBorder="1" applyAlignment="1">
      <alignment horizontal="center" vertical="center" wrapText="1"/>
    </xf>
    <xf numFmtId="0" fontId="9" fillId="0" borderId="16" xfId="2" applyFont="1" applyBorder="1" applyAlignment="1">
      <alignment horizontal="left" vertical="center" wrapText="1"/>
    </xf>
    <xf numFmtId="0" fontId="9" fillId="0" borderId="4" xfId="2" applyFont="1" applyBorder="1" applyAlignment="1">
      <alignment horizontal="center" vertical="center" wrapText="1"/>
    </xf>
    <xf numFmtId="0" fontId="9" fillId="0" borderId="4" xfId="3" applyFont="1" applyBorder="1" applyAlignment="1">
      <alignment horizontal="left" vertical="center" wrapText="1"/>
    </xf>
    <xf numFmtId="0" fontId="9" fillId="0" borderId="4" xfId="0" applyFont="1" applyBorder="1" applyAlignment="1">
      <alignment horizontal="center" vertical="center" wrapText="1"/>
    </xf>
    <xf numFmtId="0" fontId="9" fillId="0" borderId="2" xfId="2" applyFont="1" applyBorder="1" applyAlignment="1">
      <alignment horizontal="center" vertical="center" wrapText="1"/>
    </xf>
    <xf numFmtId="0" fontId="9" fillId="0" borderId="13" xfId="2" applyFont="1" applyBorder="1" applyAlignment="1">
      <alignment horizontal="center" vertical="center" wrapText="1"/>
    </xf>
    <xf numFmtId="0" fontId="9" fillId="0" borderId="13" xfId="0" applyFont="1" applyBorder="1" applyAlignment="1">
      <alignment horizontal="center" vertical="center" wrapText="1"/>
    </xf>
    <xf numFmtId="0" fontId="30" fillId="0" borderId="0" xfId="3" applyFont="1" applyProtection="1">
      <protection locked="0"/>
    </xf>
    <xf numFmtId="0" fontId="30" fillId="0" borderId="0" xfId="0" applyFont="1" applyProtection="1">
      <protection locked="0"/>
    </xf>
    <xf numFmtId="0" fontId="31" fillId="0" borderId="0" xfId="3" applyFont="1" applyAlignment="1" applyProtection="1">
      <alignment horizontal="center" vertical="center" wrapText="1"/>
      <protection locked="0"/>
    </xf>
    <xf numFmtId="0" fontId="9" fillId="0" borderId="0" xfId="0" applyFont="1" applyAlignment="1" applyProtection="1">
      <alignment horizontal="center" vertical="center"/>
      <protection locked="0"/>
    </xf>
    <xf numFmtId="0" fontId="9" fillId="0" borderId="0" xfId="0" applyFont="1" applyAlignment="1" applyProtection="1">
      <alignment horizontal="center" vertical="center" wrapText="1"/>
      <protection locked="0"/>
    </xf>
    <xf numFmtId="0" fontId="9" fillId="0" borderId="17" xfId="3" applyFont="1" applyBorder="1" applyAlignment="1">
      <alignment horizontal="left" vertical="center" wrapText="1"/>
    </xf>
    <xf numFmtId="0" fontId="9" fillId="0" borderId="3" xfId="2" applyFont="1" applyBorder="1" applyAlignment="1">
      <alignment horizontal="center" vertical="center" wrapText="1"/>
    </xf>
    <xf numFmtId="0" fontId="9" fillId="0" borderId="3" xfId="3" applyFont="1" applyBorder="1" applyAlignment="1">
      <alignment horizontal="left" vertical="center" wrapText="1"/>
    </xf>
    <xf numFmtId="0" fontId="9" fillId="0" borderId="3" xfId="0" applyFont="1" applyBorder="1" applyAlignment="1">
      <alignment horizontal="center" vertical="center" wrapText="1"/>
    </xf>
    <xf numFmtId="0" fontId="9" fillId="0" borderId="0" xfId="3" applyFont="1" applyProtection="1">
      <protection locked="0"/>
    </xf>
    <xf numFmtId="0" fontId="9" fillId="0" borderId="0" xfId="0" applyFont="1" applyProtection="1">
      <protection locked="0"/>
    </xf>
    <xf numFmtId="0" fontId="11" fillId="0" borderId="0" xfId="3" applyFont="1" applyAlignment="1" applyProtection="1">
      <alignment horizontal="center" vertical="center"/>
      <protection locked="0"/>
    </xf>
    <xf numFmtId="0" fontId="9" fillId="0" borderId="17" xfId="0" applyFont="1" applyBorder="1" applyAlignment="1">
      <alignment horizontal="left" vertical="center" wrapText="1"/>
    </xf>
    <xf numFmtId="0" fontId="9" fillId="0" borderId="14" xfId="3" applyFont="1" applyBorder="1" applyAlignment="1">
      <alignment horizontal="left" vertical="center" wrapText="1"/>
    </xf>
    <xf numFmtId="0" fontId="9" fillId="0" borderId="1" xfId="2" applyFont="1" applyBorder="1" applyAlignment="1">
      <alignment horizontal="center" vertical="center" wrapText="1"/>
    </xf>
    <xf numFmtId="0" fontId="9" fillId="0" borderId="1" xfId="0" applyFont="1" applyBorder="1" applyAlignment="1">
      <alignment horizontal="center" vertical="center" wrapText="1"/>
    </xf>
    <xf numFmtId="0" fontId="9" fillId="0" borderId="3" xfId="3" applyFont="1" applyBorder="1" applyAlignment="1">
      <alignment horizontal="center" vertical="center" wrapText="1"/>
    </xf>
    <xf numFmtId="0" fontId="9" fillId="0" borderId="0" xfId="3" applyFont="1" applyAlignment="1" applyProtection="1">
      <alignment vertical="center" wrapText="1"/>
      <protection locked="0"/>
    </xf>
    <xf numFmtId="0" fontId="9" fillId="0" borderId="19" xfId="3" applyFont="1" applyBorder="1" applyAlignment="1">
      <alignment horizontal="left" vertical="center" wrapText="1"/>
    </xf>
    <xf numFmtId="0" fontId="9" fillId="0" borderId="2" xfId="3" applyFont="1" applyBorder="1" applyAlignment="1">
      <alignment horizontal="left" vertical="center" wrapText="1"/>
    </xf>
    <xf numFmtId="0" fontId="9" fillId="0" borderId="1" xfId="3" applyFont="1" applyBorder="1" applyAlignment="1">
      <alignment horizontal="center" vertical="center" wrapText="1"/>
    </xf>
    <xf numFmtId="0" fontId="5" fillId="0" borderId="0" xfId="0" applyFont="1" applyProtection="1">
      <protection locked="0"/>
    </xf>
    <xf numFmtId="0" fontId="9" fillId="0" borderId="14" xfId="0" applyFont="1" applyBorder="1" applyAlignment="1">
      <alignment horizontal="left" vertical="center" wrapText="1"/>
    </xf>
    <xf numFmtId="0" fontId="8" fillId="0" borderId="48" xfId="6" applyFont="1" applyBorder="1" applyAlignment="1">
      <alignment vertical="center" wrapText="1"/>
    </xf>
    <xf numFmtId="0" fontId="8" fillId="0" borderId="48" xfId="3" applyFont="1" applyBorder="1" applyAlignment="1">
      <alignment vertical="center" wrapText="1"/>
    </xf>
    <xf numFmtId="0" fontId="9" fillId="0" borderId="1" xfId="3" applyFont="1" applyBorder="1" applyAlignment="1">
      <alignment vertical="center" wrapText="1"/>
    </xf>
    <xf numFmtId="0" fontId="9" fillId="0" borderId="1" xfId="3" applyFont="1" applyBorder="1" applyAlignment="1">
      <alignment horizontal="left" vertical="center" wrapText="1"/>
    </xf>
    <xf numFmtId="0" fontId="11" fillId="0" borderId="1" xfId="2" applyFont="1" applyBorder="1" applyAlignment="1">
      <alignment horizontal="center" vertical="center" wrapText="1"/>
    </xf>
    <xf numFmtId="0" fontId="9" fillId="0" borderId="17" xfId="2" applyFont="1" applyBorder="1" applyAlignment="1">
      <alignment horizontal="left" vertical="center" wrapText="1"/>
    </xf>
    <xf numFmtId="0" fontId="9" fillId="0" borderId="3" xfId="3" applyFont="1" applyBorder="1" applyAlignment="1">
      <alignment vertical="center" wrapText="1"/>
    </xf>
    <xf numFmtId="0" fontId="9" fillId="0" borderId="14" xfId="0" applyFont="1" applyBorder="1" applyAlignment="1" applyProtection="1">
      <alignment vertical="center"/>
      <protection locked="0"/>
    </xf>
    <xf numFmtId="0" fontId="9" fillId="0" borderId="3" xfId="0" applyFont="1" applyBorder="1" applyAlignment="1" applyProtection="1">
      <alignment horizontal="center" vertical="center"/>
      <protection locked="0"/>
    </xf>
    <xf numFmtId="0" fontId="9" fillId="0" borderId="3" xfId="3" applyFont="1" applyBorder="1" applyAlignment="1" applyProtection="1">
      <alignment horizontal="left" vertical="center" wrapText="1"/>
      <protection locked="0"/>
    </xf>
    <xf numFmtId="0" fontId="11" fillId="0" borderId="3" xfId="0" applyFont="1" applyBorder="1" applyAlignment="1" applyProtection="1">
      <alignment horizontal="center" vertical="center"/>
      <protection locked="0"/>
    </xf>
    <xf numFmtId="0" fontId="9" fillId="0" borderId="17" xfId="0" applyFont="1" applyBorder="1" applyAlignment="1" applyProtection="1">
      <alignment horizontal="left" vertical="center" wrapText="1"/>
      <protection locked="0"/>
    </xf>
    <xf numFmtId="0" fontId="9" fillId="0" borderId="14" xfId="2" applyFont="1" applyBorder="1" applyAlignment="1">
      <alignment horizontal="left" vertical="center" wrapText="1"/>
    </xf>
    <xf numFmtId="0" fontId="9" fillId="0" borderId="1" xfId="3" applyFont="1" applyBorder="1" applyAlignment="1">
      <alignment horizontal="center" vertical="center"/>
    </xf>
    <xf numFmtId="0" fontId="27" fillId="9" borderId="0" xfId="0" applyFont="1" applyFill="1" applyAlignment="1" applyProtection="1">
      <alignment horizontal="left" vertical="center" wrapText="1"/>
      <protection locked="0"/>
    </xf>
    <xf numFmtId="0" fontId="27" fillId="0" borderId="50" xfId="0" applyFont="1" applyBorder="1" applyAlignment="1">
      <alignment horizontal="left" vertical="center" wrapText="1"/>
    </xf>
    <xf numFmtId="0" fontId="9" fillId="0" borderId="1" xfId="2" applyFont="1" applyBorder="1" applyAlignment="1" applyProtection="1">
      <alignment horizontal="left" vertical="center" wrapText="1"/>
      <protection locked="0"/>
    </xf>
    <xf numFmtId="0" fontId="9" fillId="0" borderId="0" xfId="2" applyFont="1" applyAlignment="1" applyProtection="1">
      <alignment horizontal="left" vertical="center" wrapText="1"/>
      <protection locked="0"/>
    </xf>
    <xf numFmtId="0" fontId="9" fillId="0" borderId="1" xfId="3" applyFont="1" applyBorder="1" applyAlignment="1" applyProtection="1">
      <alignment vertical="center" wrapText="1"/>
      <protection locked="0"/>
    </xf>
    <xf numFmtId="0" fontId="9" fillId="0" borderId="1" xfId="14" applyFont="1" applyBorder="1" applyAlignment="1" applyProtection="1">
      <alignment horizontal="center" vertical="center" wrapText="1"/>
      <protection locked="0"/>
    </xf>
    <xf numFmtId="0" fontId="11" fillId="0" borderId="1" xfId="14" applyFont="1" applyBorder="1" applyAlignment="1" applyProtection="1">
      <alignment horizontal="center" vertical="center" wrapText="1"/>
      <protection locked="0"/>
    </xf>
    <xf numFmtId="0" fontId="9" fillId="0" borderId="1" xfId="14" applyFont="1" applyBorder="1" applyAlignment="1">
      <alignment horizontal="center" vertical="center" wrapText="1"/>
    </xf>
    <xf numFmtId="0" fontId="11" fillId="0" borderId="1" xfId="14" applyFont="1" applyBorder="1" applyAlignment="1">
      <alignment horizontal="center" vertical="center" wrapText="1"/>
    </xf>
    <xf numFmtId="0" fontId="5" fillId="0" borderId="52" xfId="2" applyFont="1" applyBorder="1" applyAlignment="1" applyProtection="1">
      <alignment horizontal="left" vertical="center" wrapText="1"/>
      <protection locked="0"/>
    </xf>
    <xf numFmtId="0" fontId="0" fillId="0" borderId="48" xfId="2" applyFont="1" applyBorder="1" applyAlignment="1">
      <alignment horizontal="left" vertical="center" wrapText="1"/>
    </xf>
    <xf numFmtId="0" fontId="14" fillId="0" borderId="49" xfId="3" applyFont="1" applyBorder="1" applyAlignment="1" applyProtection="1">
      <alignment vertical="center" wrapText="1"/>
      <protection locked="0"/>
    </xf>
    <xf numFmtId="0" fontId="9" fillId="0" borderId="60" xfId="0" applyFont="1" applyBorder="1" applyAlignment="1" applyProtection="1">
      <alignment horizontal="left" vertical="center" wrapText="1"/>
      <protection locked="0"/>
    </xf>
    <xf numFmtId="0" fontId="14" fillId="0" borderId="35" xfId="3" applyFont="1" applyBorder="1" applyAlignment="1" applyProtection="1">
      <alignment vertical="center" wrapText="1"/>
      <protection locked="0"/>
    </xf>
    <xf numFmtId="0" fontId="16" fillId="0" borderId="17" xfId="0" applyFont="1" applyBorder="1" applyAlignment="1" applyProtection="1">
      <alignment horizontal="center" vertical="center" wrapText="1"/>
      <protection locked="0"/>
    </xf>
    <xf numFmtId="0" fontId="11" fillId="0" borderId="35" xfId="3" applyFont="1" applyBorder="1" applyAlignment="1" applyProtection="1">
      <alignment horizontal="center" vertical="center" wrapText="1"/>
      <protection locked="0"/>
    </xf>
    <xf numFmtId="0" fontId="11" fillId="0" borderId="3" xfId="0" applyFont="1" applyBorder="1" applyAlignment="1">
      <alignment horizontal="center" vertical="center" wrapText="1"/>
    </xf>
    <xf numFmtId="0" fontId="9" fillId="0" borderId="1" xfId="0" applyFont="1" applyBorder="1" applyAlignment="1">
      <alignment vertical="center" wrapText="1"/>
    </xf>
    <xf numFmtId="0" fontId="9" fillId="0" borderId="3" xfId="2" applyFont="1" applyBorder="1" applyAlignment="1" applyProtection="1">
      <alignment horizontal="center" vertical="center"/>
      <protection locked="0"/>
    </xf>
    <xf numFmtId="0" fontId="9" fillId="0" borderId="1" xfId="0" applyFont="1" applyBorder="1" applyAlignment="1">
      <alignment horizontal="left" vertical="center" wrapText="1"/>
    </xf>
    <xf numFmtId="0" fontId="9" fillId="0" borderId="3" xfId="0" applyFont="1" applyBorder="1" applyAlignment="1">
      <alignment horizontal="left" vertical="center" wrapText="1"/>
    </xf>
    <xf numFmtId="0" fontId="11" fillId="0" borderId="0" xfId="0" applyFont="1" applyAlignment="1" applyProtection="1">
      <alignment horizontal="center" vertical="center"/>
      <protection locked="0"/>
    </xf>
    <xf numFmtId="0" fontId="9" fillId="0" borderId="0" xfId="3" applyFont="1" applyAlignment="1" applyProtection="1">
      <alignment horizontal="left" vertical="center"/>
      <protection locked="0"/>
    </xf>
    <xf numFmtId="0" fontId="14" fillId="0" borderId="17" xfId="3" applyFont="1" applyBorder="1" applyAlignment="1" applyProtection="1">
      <alignment horizontal="left" vertical="center"/>
      <protection locked="0"/>
    </xf>
    <xf numFmtId="0" fontId="14" fillId="0" borderId="17" xfId="3" applyFont="1" applyBorder="1" applyAlignment="1">
      <alignment horizontal="left" vertical="center" wrapText="1"/>
    </xf>
    <xf numFmtId="0" fontId="9" fillId="0" borderId="3" xfId="2" applyFont="1" applyBorder="1" applyAlignment="1">
      <alignment horizontal="center" vertical="center"/>
    </xf>
    <xf numFmtId="0" fontId="9" fillId="0" borderId="3" xfId="0" applyFont="1" applyBorder="1" applyAlignment="1">
      <alignment horizontal="center" vertical="center"/>
    </xf>
    <xf numFmtId="0" fontId="9" fillId="0" borderId="14" xfId="3" applyFont="1" applyBorder="1" applyAlignment="1">
      <alignment horizontal="center" vertical="center" wrapText="1"/>
    </xf>
    <xf numFmtId="0" fontId="9" fillId="0" borderId="18" xfId="3" applyFont="1" applyBorder="1" applyAlignment="1">
      <alignment horizontal="left" vertical="center" wrapText="1"/>
    </xf>
    <xf numFmtId="0" fontId="9" fillId="0" borderId="10" xfId="2" applyFont="1" applyBorder="1" applyAlignment="1">
      <alignment horizontal="center" vertical="center" wrapText="1"/>
    </xf>
    <xf numFmtId="0" fontId="9" fillId="0" borderId="10" xfId="3" applyFont="1" applyBorder="1" applyAlignment="1">
      <alignment horizontal="center" vertical="center" wrapText="1"/>
    </xf>
    <xf numFmtId="0" fontId="9" fillId="0" borderId="10" xfId="3" applyFont="1" applyBorder="1" applyAlignment="1">
      <alignment horizontal="left" vertical="center" wrapText="1"/>
    </xf>
    <xf numFmtId="0" fontId="9" fillId="0" borderId="12" xfId="0" applyFont="1" applyBorder="1" applyAlignment="1">
      <alignment horizontal="center" vertical="center" wrapText="1"/>
    </xf>
    <xf numFmtId="0" fontId="11" fillId="0" borderId="10" xfId="14" applyFont="1" applyBorder="1" applyAlignment="1">
      <alignment horizontal="center" vertical="center" wrapText="1"/>
    </xf>
    <xf numFmtId="0" fontId="14" fillId="0" borderId="14" xfId="3" applyFont="1" applyBorder="1" applyAlignment="1">
      <alignment horizontal="left" vertical="center" wrapText="1"/>
    </xf>
    <xf numFmtId="0" fontId="9" fillId="0" borderId="14" xfId="5" applyFont="1" applyBorder="1" applyAlignment="1">
      <alignment horizontal="center" vertical="center" wrapText="1"/>
    </xf>
    <xf numFmtId="0" fontId="9" fillId="0" borderId="14" xfId="5" applyFont="1" applyBorder="1" applyAlignment="1">
      <alignment horizontal="left" vertical="center" wrapText="1"/>
    </xf>
    <xf numFmtId="0" fontId="9" fillId="0" borderId="1" xfId="5" applyFont="1" applyBorder="1" applyAlignment="1">
      <alignment horizontal="left" vertical="center" wrapText="1"/>
    </xf>
    <xf numFmtId="0" fontId="9" fillId="0" borderId="17" xfId="3" applyFont="1" applyBorder="1" applyAlignment="1">
      <alignment horizontal="center" vertical="center" wrapText="1"/>
    </xf>
    <xf numFmtId="0" fontId="11" fillId="3" borderId="15" xfId="2" applyFont="1" applyFill="1" applyBorder="1" applyAlignment="1">
      <alignment horizontal="center" vertical="center" wrapText="1"/>
    </xf>
    <xf numFmtId="0" fontId="11" fillId="0" borderId="15" xfId="2" applyFont="1" applyBorder="1" applyAlignment="1">
      <alignment horizontal="center" vertical="center" wrapText="1"/>
    </xf>
    <xf numFmtId="0" fontId="11" fillId="0" borderId="2" xfId="2" applyFont="1" applyBorder="1" applyAlignment="1">
      <alignment horizontal="center" vertical="center" wrapText="1"/>
    </xf>
    <xf numFmtId="0" fontId="11" fillId="4" borderId="2" xfId="2" applyFont="1" applyFill="1" applyBorder="1" applyAlignment="1">
      <alignment horizontal="center" vertical="center" wrapText="1"/>
    </xf>
    <xf numFmtId="0" fontId="11" fillId="3" borderId="2" xfId="2" applyFont="1" applyFill="1" applyBorder="1" applyAlignment="1">
      <alignment horizontal="center" vertical="center" wrapText="1"/>
    </xf>
    <xf numFmtId="0" fontId="11" fillId="0" borderId="6" xfId="2" applyFont="1" applyBorder="1" applyAlignment="1">
      <alignment horizontal="center" vertical="center"/>
    </xf>
    <xf numFmtId="0" fontId="9" fillId="0" borderId="0" xfId="0" applyFont="1" applyAlignment="1" applyProtection="1">
      <alignment wrapText="1"/>
      <protection locked="0"/>
    </xf>
    <xf numFmtId="0" fontId="9" fillId="0" borderId="0" xfId="0" applyFont="1" applyAlignment="1" applyProtection="1">
      <alignment horizontal="center"/>
      <protection locked="0"/>
    </xf>
    <xf numFmtId="0" fontId="11" fillId="0" borderId="0" xfId="0" applyFont="1" applyProtection="1">
      <protection locked="0"/>
    </xf>
    <xf numFmtId="0" fontId="11" fillId="0" borderId="31" xfId="0" applyFont="1" applyBorder="1" applyProtection="1">
      <protection locked="0"/>
    </xf>
    <xf numFmtId="0" fontId="11" fillId="0" borderId="30" xfId="0" applyFont="1" applyBorder="1" applyAlignment="1" applyProtection="1">
      <alignment wrapText="1"/>
      <protection locked="0"/>
    </xf>
    <xf numFmtId="0" fontId="11" fillId="0" borderId="4" xfId="14" applyFont="1" applyBorder="1" applyAlignment="1">
      <alignment horizontal="center" vertical="center" wrapText="1"/>
    </xf>
    <xf numFmtId="0" fontId="9" fillId="0" borderId="0" xfId="3" applyFont="1" applyAlignment="1" applyProtection="1">
      <alignment wrapText="1"/>
      <protection locked="0"/>
    </xf>
    <xf numFmtId="0" fontId="11" fillId="0" borderId="13" xfId="14" applyFont="1" applyBorder="1" applyAlignment="1">
      <alignment horizontal="center" vertical="center" wrapText="1"/>
    </xf>
    <xf numFmtId="0" fontId="11" fillId="0" borderId="3" xfId="14" applyFont="1" applyBorder="1" applyAlignment="1">
      <alignment horizontal="center" vertical="center" wrapText="1"/>
    </xf>
    <xf numFmtId="0" fontId="11" fillId="6" borderId="1" xfId="14" applyFont="1" applyFill="1" applyBorder="1" applyAlignment="1" applyProtection="1">
      <alignment horizontal="center" vertical="center" wrapText="1"/>
      <protection locked="0"/>
    </xf>
    <xf numFmtId="0" fontId="11" fillId="0" borderId="2" xfId="14" applyFont="1" applyBorder="1" applyAlignment="1">
      <alignment horizontal="center" vertical="center" wrapText="1"/>
    </xf>
    <xf numFmtId="0" fontId="11" fillId="6" borderId="2" xfId="14" applyFont="1" applyFill="1" applyBorder="1" applyAlignment="1" applyProtection="1">
      <alignment horizontal="center" vertical="center" wrapText="1"/>
      <protection locked="0"/>
    </xf>
    <xf numFmtId="0" fontId="9" fillId="6" borderId="2" xfId="14" applyFont="1" applyFill="1" applyBorder="1" applyAlignment="1" applyProtection="1">
      <alignment horizontal="center" vertical="center" wrapText="1"/>
      <protection locked="0"/>
    </xf>
    <xf numFmtId="0" fontId="11" fillId="0" borderId="1" xfId="2" applyFont="1" applyBorder="1" applyAlignment="1" applyProtection="1">
      <alignment horizontal="center" vertical="center" wrapText="1"/>
      <protection locked="0"/>
    </xf>
    <xf numFmtId="0" fontId="12" fillId="0" borderId="0" xfId="3" applyFont="1" applyProtection="1">
      <protection locked="0"/>
    </xf>
    <xf numFmtId="0" fontId="9" fillId="0" borderId="0" xfId="0" applyFont="1" applyAlignment="1" applyProtection="1">
      <alignment horizontal="left" vertical="center" wrapText="1"/>
      <protection locked="0"/>
    </xf>
    <xf numFmtId="0" fontId="9" fillId="6" borderId="1" xfId="14" applyFont="1" applyFill="1" applyBorder="1" applyAlignment="1" applyProtection="1">
      <alignment horizontal="center" vertical="center" wrapText="1"/>
      <protection locked="0"/>
    </xf>
    <xf numFmtId="0" fontId="9" fillId="0" borderId="3" xfId="14" applyFont="1" applyBorder="1" applyAlignment="1">
      <alignment horizontal="center" vertical="center" wrapText="1"/>
    </xf>
    <xf numFmtId="0" fontId="15" fillId="0" borderId="2" xfId="3" applyFont="1" applyBorder="1" applyAlignment="1" applyProtection="1">
      <alignment vertical="center" wrapText="1"/>
      <protection locked="0"/>
    </xf>
    <xf numFmtId="0" fontId="31" fillId="4" borderId="3" xfId="14" applyFont="1" applyFill="1" applyBorder="1" applyAlignment="1" applyProtection="1">
      <alignment horizontal="center" vertical="center" wrapText="1"/>
      <protection locked="0"/>
    </xf>
    <xf numFmtId="0" fontId="11" fillId="0" borderId="3" xfId="14" applyFont="1" applyBorder="1" applyAlignment="1">
      <alignment horizontal="center" vertical="center"/>
    </xf>
    <xf numFmtId="0" fontId="11" fillId="0" borderId="0" xfId="0" applyFont="1" applyAlignment="1" applyProtection="1">
      <alignment horizontal="center" vertical="center" wrapText="1"/>
      <protection locked="0"/>
    </xf>
    <xf numFmtId="0" fontId="9" fillId="0" borderId="28" xfId="3" applyFont="1" applyBorder="1" applyAlignment="1" applyProtection="1">
      <alignment horizontal="center" vertical="center" wrapText="1"/>
      <protection locked="0"/>
    </xf>
    <xf numFmtId="0" fontId="9" fillId="0" borderId="19" xfId="3" applyFont="1" applyBorder="1" applyAlignment="1">
      <alignment horizontal="center" vertical="center" wrapText="1"/>
    </xf>
    <xf numFmtId="0" fontId="30" fillId="0" borderId="35" xfId="3" applyFont="1" applyBorder="1" applyAlignment="1" applyProtection="1">
      <alignment horizontal="left" vertical="center" wrapText="1"/>
      <protection locked="0"/>
    </xf>
    <xf numFmtId="0" fontId="30" fillId="0" borderId="17" xfId="3" applyFont="1" applyBorder="1" applyAlignment="1" applyProtection="1">
      <alignment horizontal="left" vertical="center" wrapText="1"/>
      <protection locked="0"/>
    </xf>
    <xf numFmtId="0" fontId="32" fillId="0" borderId="14" xfId="3" applyFont="1" applyBorder="1" applyAlignment="1" applyProtection="1">
      <alignment horizontal="left" vertical="center" wrapText="1"/>
      <protection locked="0"/>
    </xf>
    <xf numFmtId="0" fontId="32" fillId="0" borderId="1" xfId="2" applyFont="1" applyBorder="1" applyAlignment="1" applyProtection="1">
      <alignment horizontal="center" vertical="center" wrapText="1"/>
      <protection locked="0"/>
    </xf>
    <xf numFmtId="0" fontId="32" fillId="0" borderId="3" xfId="2" applyFont="1" applyBorder="1" applyAlignment="1" applyProtection="1">
      <alignment horizontal="center" vertical="center" wrapText="1"/>
      <protection locked="0"/>
    </xf>
    <xf numFmtId="49" fontId="32" fillId="0" borderId="60" xfId="0" applyNumberFormat="1" applyFont="1" applyBorder="1" applyAlignment="1" applyProtection="1">
      <alignment horizontal="left" vertical="center" wrapText="1"/>
      <protection locked="0"/>
    </xf>
    <xf numFmtId="0" fontId="32" fillId="0" borderId="3" xfId="0" applyFont="1" applyBorder="1" applyAlignment="1" applyProtection="1">
      <alignment horizontal="center" vertical="center" wrapText="1"/>
      <protection locked="0"/>
    </xf>
    <xf numFmtId="0" fontId="31" fillId="0" borderId="3" xfId="0" applyFont="1" applyBorder="1" applyAlignment="1" applyProtection="1">
      <alignment horizontal="center" vertical="center" wrapText="1"/>
      <protection locked="0"/>
    </xf>
    <xf numFmtId="0" fontId="30" fillId="0" borderId="6" xfId="2" applyFont="1" applyBorder="1" applyAlignment="1" applyProtection="1">
      <alignment horizontal="center" vertical="center"/>
      <protection locked="0"/>
    </xf>
    <xf numFmtId="0" fontId="9" fillId="0" borderId="19" xfId="0" applyFont="1" applyBorder="1" applyAlignment="1" applyProtection="1">
      <alignment horizontal="left" vertical="center" wrapText="1"/>
      <protection locked="0"/>
    </xf>
    <xf numFmtId="0" fontId="11" fillId="0" borderId="3" xfId="14" applyFont="1" applyBorder="1" applyAlignment="1" applyProtection="1">
      <alignment horizontal="center" vertical="center" wrapText="1"/>
      <protection locked="0"/>
    </xf>
    <xf numFmtId="0" fontId="11" fillId="0" borderId="2" xfId="14" applyFont="1" applyBorder="1" applyAlignment="1" applyProtection="1">
      <alignment horizontal="center" vertical="center" wrapText="1"/>
      <protection locked="0"/>
    </xf>
    <xf numFmtId="0" fontId="11" fillId="0" borderId="3" xfId="2" applyFont="1" applyBorder="1" applyAlignment="1" applyProtection="1">
      <alignment horizontal="center" vertical="center" wrapText="1"/>
      <protection locked="0"/>
    </xf>
    <xf numFmtId="0" fontId="9" fillId="0" borderId="3" xfId="14" applyFont="1" applyBorder="1" applyAlignment="1" applyProtection="1">
      <alignment horizontal="center" vertical="center" wrapText="1"/>
      <protection locked="0"/>
    </xf>
    <xf numFmtId="0" fontId="9" fillId="0" borderId="17" xfId="3" applyFont="1" applyBorder="1" applyAlignment="1" applyProtection="1">
      <alignment vertical="center" wrapText="1"/>
      <protection locked="0"/>
    </xf>
    <xf numFmtId="9" fontId="20" fillId="0" borderId="0" xfId="11" applyFont="1" applyAlignment="1">
      <alignment horizontal="center" vertical="center"/>
    </xf>
    <xf numFmtId="0" fontId="24" fillId="3" borderId="4" xfId="2" applyFont="1" applyFill="1" applyBorder="1" applyAlignment="1">
      <alignment horizontal="center" vertical="center" wrapText="1"/>
    </xf>
    <xf numFmtId="0" fontId="24" fillId="3" borderId="32" xfId="2" applyFont="1" applyFill="1" applyBorder="1" applyAlignment="1">
      <alignment horizontal="center" vertical="center" wrapText="1"/>
    </xf>
    <xf numFmtId="164" fontId="20" fillId="0" borderId="0" xfId="0" applyNumberFormat="1" applyFont="1" applyAlignment="1">
      <alignment horizontal="center" vertical="center"/>
    </xf>
    <xf numFmtId="164" fontId="20" fillId="0" borderId="0" xfId="0" applyNumberFormat="1" applyFont="1" applyAlignment="1" applyProtection="1">
      <alignment horizontal="center" vertical="center"/>
      <protection locked="0"/>
    </xf>
    <xf numFmtId="9" fontId="20" fillId="0" borderId="0" xfId="11" applyFont="1" applyAlignment="1" applyProtection="1">
      <alignment horizontal="center" vertical="center"/>
      <protection locked="0"/>
    </xf>
    <xf numFmtId="0" fontId="20" fillId="0" borderId="0" xfId="0" applyFont="1" applyAlignment="1" applyProtection="1">
      <alignment horizontal="center" vertical="center"/>
      <protection locked="0"/>
    </xf>
    <xf numFmtId="164" fontId="20" fillId="0" borderId="0" xfId="0" applyNumberFormat="1" applyFont="1" applyAlignment="1">
      <alignment horizontal="center" vertical="center" wrapText="1"/>
    </xf>
    <xf numFmtId="164" fontId="20" fillId="0" borderId="0" xfId="0" applyNumberFormat="1" applyFont="1" applyAlignment="1" applyProtection="1">
      <alignment horizontal="center" vertical="center" wrapText="1"/>
      <protection locked="0"/>
    </xf>
    <xf numFmtId="164" fontId="20" fillId="0" borderId="0" xfId="0" applyNumberFormat="1" applyFont="1" applyAlignment="1">
      <alignment horizontal="right" vertical="center"/>
    </xf>
    <xf numFmtId="0" fontId="9" fillId="0" borderId="62" xfId="3" applyFont="1" applyBorder="1" applyAlignment="1" applyProtection="1">
      <alignment horizontal="left" vertical="center" wrapText="1"/>
      <protection locked="0"/>
    </xf>
    <xf numFmtId="0" fontId="34" fillId="4" borderId="17" xfId="3" applyFont="1" applyFill="1" applyBorder="1" applyAlignment="1" applyProtection="1">
      <alignment horizontal="left" vertical="center" wrapText="1"/>
      <protection locked="0"/>
    </xf>
    <xf numFmtId="0" fontId="35" fillId="0" borderId="0" xfId="3" applyFont="1" applyAlignment="1" applyProtection="1">
      <alignment horizontal="center" vertical="center" wrapText="1"/>
      <protection locked="0"/>
    </xf>
    <xf numFmtId="0" fontId="34" fillId="4" borderId="7" xfId="2" applyFont="1" applyFill="1" applyBorder="1" applyAlignment="1" applyProtection="1">
      <alignment horizontal="center" vertical="center"/>
      <protection locked="0"/>
    </xf>
    <xf numFmtId="0" fontId="34" fillId="0" borderId="0" xfId="0" applyFont="1" applyAlignment="1" applyProtection="1">
      <alignment horizontal="center" vertical="center"/>
      <protection locked="0"/>
    </xf>
    <xf numFmtId="0" fontId="34" fillId="0" borderId="0" xfId="3" applyFont="1" applyProtection="1">
      <protection locked="0"/>
    </xf>
    <xf numFmtId="0" fontId="34" fillId="0" borderId="0" xfId="0" applyFont="1" applyProtection="1">
      <protection locked="0"/>
    </xf>
    <xf numFmtId="0" fontId="34" fillId="4" borderId="35" xfId="3" applyFont="1" applyFill="1" applyBorder="1" applyAlignment="1" applyProtection="1">
      <alignment horizontal="left" vertical="center" wrapText="1"/>
      <protection locked="0"/>
    </xf>
    <xf numFmtId="0" fontId="34" fillId="4" borderId="17" xfId="0" applyFont="1" applyFill="1" applyBorder="1" applyAlignment="1" applyProtection="1">
      <alignment horizontal="left" vertical="center" wrapText="1"/>
      <protection locked="0"/>
    </xf>
    <xf numFmtId="0" fontId="34" fillId="4" borderId="14" xfId="3" applyFont="1" applyFill="1" applyBorder="1" applyAlignment="1" applyProtection="1">
      <alignment horizontal="left" vertical="center" wrapText="1"/>
      <protection locked="0"/>
    </xf>
    <xf numFmtId="0" fontId="5" fillId="0" borderId="48" xfId="2" applyFont="1" applyBorder="1" applyAlignment="1" applyProtection="1">
      <alignment horizontal="left" vertical="center" wrapText="1"/>
      <protection locked="0"/>
    </xf>
    <xf numFmtId="0" fontId="25" fillId="0" borderId="1" xfId="0" applyFont="1" applyBorder="1" applyAlignment="1">
      <alignment horizontal="center" vertical="center"/>
    </xf>
    <xf numFmtId="0" fontId="8" fillId="0" borderId="1" xfId="0" applyFont="1" applyBorder="1" applyAlignment="1">
      <alignment horizontal="center"/>
    </xf>
    <xf numFmtId="0" fontId="8" fillId="0" borderId="24" xfId="0" applyFont="1" applyBorder="1"/>
    <xf numFmtId="0" fontId="25" fillId="0" borderId="1" xfId="0" applyFont="1" applyBorder="1" applyAlignment="1">
      <alignment horizontal="center" vertical="center" wrapText="1"/>
    </xf>
    <xf numFmtId="0" fontId="8" fillId="0" borderId="25" xfId="0" applyFont="1" applyBorder="1"/>
    <xf numFmtId="0" fontId="8" fillId="0" borderId="21" xfId="0" applyFont="1" applyBorder="1"/>
    <xf numFmtId="0" fontId="20" fillId="0" borderId="56" xfId="12" applyFont="1" applyBorder="1" applyAlignment="1">
      <alignment vertical="center" wrapText="1"/>
    </xf>
    <xf numFmtId="0" fontId="19" fillId="0" borderId="8" xfId="12" applyFont="1" applyBorder="1" applyAlignment="1">
      <alignment horizontal="left" vertical="center"/>
    </xf>
    <xf numFmtId="0" fontId="20" fillId="0" borderId="40" xfId="10" applyFont="1" applyBorder="1" applyAlignment="1">
      <alignment vertical="center" wrapText="1"/>
    </xf>
    <xf numFmtId="4" fontId="20" fillId="0" borderId="39" xfId="12" applyNumberFormat="1" applyFont="1" applyBorder="1" applyAlignment="1">
      <alignment horizontal="center" vertical="center" wrapText="1"/>
    </xf>
    <xf numFmtId="0" fontId="20" fillId="0" borderId="40" xfId="12" applyFont="1" applyBorder="1" applyAlignment="1">
      <alignment vertical="center" wrapText="1"/>
    </xf>
    <xf numFmtId="0" fontId="9" fillId="4" borderId="8" xfId="2" applyFont="1" applyFill="1" applyBorder="1" applyAlignment="1" applyProtection="1">
      <alignment horizontal="center" vertical="center"/>
      <protection locked="0"/>
    </xf>
    <xf numFmtId="0" fontId="20" fillId="0" borderId="0" xfId="0" applyFont="1" applyAlignment="1" applyProtection="1">
      <alignment horizontal="right" vertical="center"/>
      <protection locked="0"/>
    </xf>
    <xf numFmtId="9" fontId="20" fillId="0" borderId="0" xfId="11" applyFont="1" applyAlignment="1" applyProtection="1">
      <alignment horizontal="right" vertical="center"/>
      <protection locked="0"/>
    </xf>
    <xf numFmtId="9" fontId="24" fillId="0" borderId="31" xfId="11" applyFont="1" applyBorder="1" applyAlignment="1" applyProtection="1">
      <alignment horizontal="right" vertical="center"/>
      <protection locked="0"/>
    </xf>
    <xf numFmtId="0" fontId="24" fillId="0" borderId="31" xfId="0" applyFont="1" applyBorder="1" applyAlignment="1" applyProtection="1">
      <alignment horizontal="right" vertical="center"/>
      <protection locked="0"/>
    </xf>
    <xf numFmtId="9" fontId="24" fillId="0" borderId="65" xfId="11" applyFont="1" applyBorder="1" applyAlignment="1" applyProtection="1">
      <alignment horizontal="right" vertical="center"/>
      <protection locked="0"/>
    </xf>
    <xf numFmtId="0" fontId="24" fillId="0" borderId="65" xfId="0" applyFont="1" applyBorder="1" applyAlignment="1" applyProtection="1">
      <alignment horizontal="right" vertical="center"/>
      <protection locked="0"/>
    </xf>
    <xf numFmtId="0" fontId="11" fillId="0" borderId="65" xfId="0" applyFont="1" applyBorder="1" applyProtection="1">
      <protection locked="0"/>
    </xf>
    <xf numFmtId="0" fontId="11" fillId="0" borderId="66" xfId="0" applyFont="1" applyBorder="1" applyAlignment="1" applyProtection="1">
      <alignment wrapText="1"/>
      <protection locked="0"/>
    </xf>
    <xf numFmtId="164" fontId="20" fillId="0" borderId="0" xfId="0" applyNumberFormat="1" applyFont="1" applyAlignment="1" applyProtection="1">
      <alignment horizontal="right" vertical="center"/>
      <protection locked="0"/>
    </xf>
    <xf numFmtId="0" fontId="9" fillId="0" borderId="5" xfId="2" applyFont="1" applyBorder="1" applyAlignment="1" applyProtection="1">
      <alignment horizontal="center" vertical="center"/>
      <protection locked="0"/>
    </xf>
    <xf numFmtId="0" fontId="9" fillId="0" borderId="6" xfId="2" applyFont="1" applyBorder="1" applyAlignment="1" applyProtection="1">
      <alignment horizontal="center" vertical="center" wrapText="1"/>
      <protection locked="0"/>
    </xf>
    <xf numFmtId="9" fontId="36" fillId="0" borderId="0" xfId="11" applyFont="1" applyAlignment="1" applyProtection="1">
      <alignment horizontal="center" vertical="center"/>
      <protection locked="0"/>
    </xf>
    <xf numFmtId="0" fontId="9" fillId="0" borderId="7" xfId="2" applyFont="1" applyBorder="1" applyAlignment="1" applyProtection="1">
      <alignment horizontal="center" vertical="center" wrapText="1"/>
      <protection locked="0"/>
    </xf>
    <xf numFmtId="0" fontId="11" fillId="0" borderId="0" xfId="3" applyFont="1" applyProtection="1">
      <protection locked="0"/>
    </xf>
    <xf numFmtId="0" fontId="16" fillId="0" borderId="49" xfId="3" applyFont="1" applyBorder="1" applyAlignment="1" applyProtection="1">
      <alignment horizontal="center" vertical="center" wrapText="1"/>
      <protection locked="0"/>
    </xf>
    <xf numFmtId="0" fontId="9" fillId="0" borderId="9" xfId="2" applyFont="1" applyBorder="1" applyAlignment="1" applyProtection="1">
      <alignment horizontal="center" vertical="center"/>
      <protection locked="0"/>
    </xf>
    <xf numFmtId="0" fontId="11" fillId="3" borderId="27" xfId="0" applyFont="1" applyFill="1" applyBorder="1" applyAlignment="1" applyProtection="1">
      <alignment horizontal="center" vertical="center" wrapText="1"/>
      <protection locked="0"/>
    </xf>
    <xf numFmtId="0" fontId="16" fillId="6" borderId="2" xfId="3" applyFont="1" applyFill="1" applyBorder="1" applyAlignment="1" applyProtection="1">
      <alignment vertical="center" wrapText="1"/>
      <protection locked="0"/>
    </xf>
    <xf numFmtId="0" fontId="16" fillId="6" borderId="15" xfId="3" applyFont="1" applyFill="1" applyBorder="1" applyAlignment="1" applyProtection="1">
      <alignment vertical="center" wrapText="1"/>
      <protection locked="0"/>
    </xf>
    <xf numFmtId="0" fontId="9" fillId="6" borderId="1" xfId="3" applyFont="1" applyFill="1" applyBorder="1" applyProtection="1">
      <protection locked="0"/>
    </xf>
    <xf numFmtId="0" fontId="9" fillId="6" borderId="14" xfId="3" applyFont="1" applyFill="1" applyBorder="1" applyProtection="1">
      <protection locked="0"/>
    </xf>
    <xf numFmtId="0" fontId="16" fillId="6" borderId="1" xfId="3" applyFont="1" applyFill="1" applyBorder="1" applyAlignment="1" applyProtection="1">
      <alignment vertical="center" wrapText="1"/>
      <protection locked="0"/>
    </xf>
    <xf numFmtId="0" fontId="16" fillId="6" borderId="14" xfId="3" applyFont="1" applyFill="1" applyBorder="1" applyAlignment="1" applyProtection="1">
      <alignment vertical="center" wrapText="1"/>
      <protection locked="0"/>
    </xf>
    <xf numFmtId="0" fontId="14" fillId="0" borderId="49" xfId="3" applyFont="1" applyBorder="1" applyAlignment="1" applyProtection="1">
      <alignment horizontal="center" vertical="center" wrapText="1"/>
      <protection locked="0"/>
    </xf>
    <xf numFmtId="0" fontId="11" fillId="0" borderId="1" xfId="7" applyFont="1" applyFill="1" applyBorder="1" applyAlignment="1">
      <alignment horizontal="center" vertical="center"/>
    </xf>
    <xf numFmtId="2" fontId="20" fillId="0" borderId="51" xfId="10" applyNumberFormat="1" applyFont="1" applyBorder="1" applyAlignment="1">
      <alignment horizontal="center" vertical="center" wrapText="1"/>
    </xf>
    <xf numFmtId="0" fontId="21" fillId="0" borderId="55" xfId="10" applyFont="1" applyBorder="1" applyAlignment="1">
      <alignment vertical="center"/>
    </xf>
    <xf numFmtId="0" fontId="9" fillId="0" borderId="6" xfId="2" applyFont="1" applyBorder="1" applyAlignment="1">
      <alignment horizontal="center" vertical="center"/>
    </xf>
    <xf numFmtId="0" fontId="23" fillId="0" borderId="1" xfId="2" applyFont="1" applyBorder="1" applyAlignment="1">
      <alignment horizontal="center" vertical="center" wrapText="1"/>
    </xf>
    <xf numFmtId="0" fontId="9" fillId="0" borderId="67" xfId="0" applyFont="1" applyBorder="1" applyAlignment="1" applyProtection="1">
      <alignment horizontal="left" vertical="center" wrapText="1"/>
      <protection locked="0"/>
    </xf>
    <xf numFmtId="0" fontId="37" fillId="0" borderId="17" xfId="2" applyFont="1" applyBorder="1" applyAlignment="1" applyProtection="1">
      <alignment horizontal="center" vertical="center"/>
      <protection locked="0"/>
    </xf>
    <xf numFmtId="0" fontId="37" fillId="0" borderId="49" xfId="3" applyFont="1" applyBorder="1" applyAlignment="1" applyProtection="1">
      <alignment horizontal="left" vertical="center" wrapText="1"/>
      <protection locked="0"/>
    </xf>
    <xf numFmtId="0" fontId="23" fillId="0" borderId="3" xfId="0" applyFont="1" applyBorder="1" applyAlignment="1">
      <alignment horizontal="center" vertical="center" wrapText="1"/>
    </xf>
    <xf numFmtId="0" fontId="8" fillId="0" borderId="1" xfId="3" applyFont="1" applyBorder="1" applyAlignment="1">
      <alignment vertical="top" wrapText="1"/>
    </xf>
    <xf numFmtId="0" fontId="9" fillId="13" borderId="3" xfId="0" applyFont="1" applyFill="1" applyBorder="1" applyAlignment="1" applyProtection="1">
      <alignment horizontal="center" vertical="center" wrapText="1"/>
      <protection locked="0"/>
    </xf>
    <xf numFmtId="0" fontId="9" fillId="6" borderId="48" xfId="3" applyFont="1" applyFill="1" applyBorder="1" applyAlignment="1" applyProtection="1">
      <alignment horizontal="left" vertical="center" wrapText="1"/>
      <protection locked="0"/>
    </xf>
    <xf numFmtId="0" fontId="16" fillId="9" borderId="34" xfId="3" applyFont="1" applyFill="1" applyBorder="1" applyAlignment="1" applyProtection="1">
      <alignment horizontal="left" vertical="center" wrapText="1"/>
      <protection locked="0"/>
    </xf>
    <xf numFmtId="0" fontId="8" fillId="0" borderId="48" xfId="2" applyFont="1" applyBorder="1" applyAlignment="1">
      <alignment horizontal="left" vertical="center" wrapText="1"/>
    </xf>
    <xf numFmtId="0" fontId="9" fillId="0" borderId="67" xfId="3" applyFont="1" applyBorder="1" applyAlignment="1" applyProtection="1">
      <alignment horizontal="center" vertical="center" wrapText="1"/>
      <protection locked="0"/>
    </xf>
    <xf numFmtId="9" fontId="20" fillId="0" borderId="0" xfId="11" applyFont="1" applyAlignment="1">
      <alignment horizontal="center" vertical="center" wrapText="1"/>
    </xf>
    <xf numFmtId="0" fontId="16" fillId="0" borderId="35" xfId="3" applyFont="1" applyBorder="1" applyAlignment="1" applyProtection="1">
      <alignment horizontal="left" vertical="center" wrapText="1"/>
      <protection locked="0"/>
    </xf>
    <xf numFmtId="0" fontId="17" fillId="0" borderId="17" xfId="3" applyFont="1" applyBorder="1" applyAlignment="1">
      <alignment horizontal="center" vertical="center" wrapText="1"/>
    </xf>
    <xf numFmtId="0" fontId="37" fillId="0" borderId="17" xfId="2" applyFont="1" applyBorder="1" applyAlignment="1">
      <alignment horizontal="left" vertical="center" wrapText="1"/>
    </xf>
    <xf numFmtId="0" fontId="39" fillId="0" borderId="17" xfId="3" applyFont="1" applyBorder="1" applyAlignment="1">
      <alignment horizontal="left" vertical="center" wrapText="1"/>
    </xf>
    <xf numFmtId="0" fontId="15" fillId="0" borderId="14" xfId="3" applyFont="1" applyBorder="1" applyAlignment="1">
      <alignment horizontal="left" vertical="center" wrapText="1"/>
    </xf>
    <xf numFmtId="0" fontId="9" fillId="0" borderId="2" xfId="14" applyFont="1" applyBorder="1" applyAlignment="1">
      <alignment horizontal="center" vertical="center" wrapText="1"/>
    </xf>
    <xf numFmtId="0" fontId="9" fillId="0" borderId="2" xfId="3" applyFont="1" applyBorder="1" applyAlignment="1">
      <alignment horizontal="center" vertical="center" wrapText="1"/>
    </xf>
    <xf numFmtId="0" fontId="9" fillId="0" borderId="15" xfId="3" applyFont="1" applyBorder="1" applyAlignment="1">
      <alignment horizontal="left" vertical="center" wrapText="1"/>
    </xf>
    <xf numFmtId="0" fontId="9" fillId="0" borderId="48" xfId="3" applyFont="1" applyBorder="1" applyAlignment="1">
      <alignment horizontal="left" vertical="center" wrapText="1"/>
    </xf>
    <xf numFmtId="0" fontId="11" fillId="0" borderId="3" xfId="2" applyFont="1" applyBorder="1" applyAlignment="1">
      <alignment horizontal="center" vertical="center" wrapText="1"/>
    </xf>
    <xf numFmtId="0" fontId="13" fillId="0" borderId="1" xfId="3" applyFont="1" applyBorder="1" applyAlignment="1">
      <alignment horizontal="left" vertical="center" wrapText="1"/>
    </xf>
    <xf numFmtId="0" fontId="26" fillId="0" borderId="48" xfId="0" applyFont="1" applyBorder="1" applyAlignment="1">
      <alignment horizontal="center" vertical="center"/>
    </xf>
    <xf numFmtId="0" fontId="9" fillId="0" borderId="48" xfId="0" applyFont="1" applyBorder="1" applyAlignment="1">
      <alignment vertical="center" wrapText="1"/>
    </xf>
    <xf numFmtId="0" fontId="9" fillId="0" borderId="48" xfId="0" applyFont="1" applyBorder="1" applyAlignment="1">
      <alignment horizontal="center" vertical="center" wrapText="1"/>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9" fillId="0" borderId="14" xfId="0" applyFont="1" applyBorder="1" applyAlignment="1">
      <alignment vertical="center"/>
    </xf>
    <xf numFmtId="0" fontId="13" fillId="0" borderId="14" xfId="3" applyFont="1" applyBorder="1" applyAlignment="1">
      <alignment horizontal="left" vertical="center" wrapText="1"/>
    </xf>
    <xf numFmtId="0" fontId="9" fillId="0" borderId="48" xfId="3" applyFont="1" applyBorder="1" applyAlignment="1">
      <alignment vertical="center" wrapText="1"/>
    </xf>
    <xf numFmtId="0" fontId="9" fillId="0" borderId="59" xfId="3" applyFont="1" applyBorder="1" applyAlignment="1">
      <alignment horizontal="left" vertical="center" wrapText="1"/>
    </xf>
    <xf numFmtId="0" fontId="9" fillId="0" borderId="15" xfId="0" applyFont="1" applyBorder="1" applyAlignment="1">
      <alignment horizontal="left" vertical="center" wrapText="1"/>
    </xf>
    <xf numFmtId="0" fontId="12" fillId="0" borderId="48" xfId="3" applyFont="1" applyBorder="1" applyAlignment="1">
      <alignment horizontal="left" vertical="center" wrapText="1"/>
    </xf>
    <xf numFmtId="0" fontId="38" fillId="0" borderId="3" xfId="0" applyFont="1" applyBorder="1" applyAlignment="1">
      <alignment horizontal="center" vertical="center" wrapText="1"/>
    </xf>
    <xf numFmtId="0" fontId="9" fillId="0" borderId="2" xfId="0" applyFont="1" applyBorder="1" applyAlignment="1">
      <alignment horizontal="center" vertical="center" wrapText="1"/>
    </xf>
    <xf numFmtId="0" fontId="9" fillId="0" borderId="0" xfId="3" applyFont="1"/>
    <xf numFmtId="0" fontId="11" fillId="0" borderId="0" xfId="3" applyFont="1" applyAlignment="1">
      <alignment horizontal="center" vertical="center"/>
    </xf>
    <xf numFmtId="0" fontId="9" fillId="0" borderId="0" xfId="0" applyFont="1" applyAlignment="1">
      <alignment horizontal="center" vertical="center"/>
    </xf>
    <xf numFmtId="0" fontId="9" fillId="0" borderId="0" xfId="0" applyFont="1"/>
    <xf numFmtId="0" fontId="11" fillId="0" borderId="0" xfId="3" applyFont="1" applyAlignment="1">
      <alignment horizontal="center" vertical="center" wrapText="1"/>
    </xf>
    <xf numFmtId="0" fontId="11" fillId="0" borderId="0" xfId="0" applyFont="1" applyAlignment="1">
      <alignment horizontal="center" vertical="center"/>
    </xf>
    <xf numFmtId="2" fontId="9" fillId="0" borderId="0" xfId="0" applyNumberFormat="1" applyFont="1" applyProtection="1">
      <protection locked="0"/>
    </xf>
    <xf numFmtId="2" fontId="24" fillId="0" borderId="32" xfId="0" applyNumberFormat="1" applyFont="1" applyBorder="1" applyAlignment="1" applyProtection="1">
      <alignment horizontal="right" vertical="center"/>
      <protection locked="0"/>
    </xf>
    <xf numFmtId="2" fontId="24" fillId="0" borderId="64" xfId="0" applyNumberFormat="1" applyFont="1" applyBorder="1" applyAlignment="1" applyProtection="1">
      <alignment horizontal="right" vertical="center"/>
      <protection locked="0"/>
    </xf>
    <xf numFmtId="2" fontId="24" fillId="0" borderId="11" xfId="0" applyNumberFormat="1" applyFont="1" applyBorder="1" applyAlignment="1" applyProtection="1">
      <alignment horizontal="right" vertical="center"/>
      <protection locked="0"/>
    </xf>
    <xf numFmtId="0" fontId="33" fillId="0" borderId="14" xfId="3" applyFont="1" applyBorder="1" applyAlignment="1">
      <alignment horizontal="left" vertical="center" wrapText="1"/>
    </xf>
    <xf numFmtId="0" fontId="0" fillId="0" borderId="48" xfId="3" applyFont="1" applyBorder="1" applyAlignment="1">
      <alignment horizontal="left" vertical="center" wrapText="1"/>
    </xf>
    <xf numFmtId="0" fontId="2" fillId="9" borderId="1" xfId="10" applyFont="1" applyFill="1" applyBorder="1" applyAlignment="1" applyProtection="1">
      <alignment horizontal="center" vertical="center"/>
      <protection locked="0"/>
    </xf>
    <xf numFmtId="0" fontId="41" fillId="0" borderId="3" xfId="2" applyFont="1" applyBorder="1" applyAlignment="1" applyProtection="1">
      <alignment horizontal="center" vertical="center" wrapText="1"/>
      <protection locked="0"/>
    </xf>
    <xf numFmtId="0" fontId="9" fillId="14" borderId="3" xfId="14" applyFont="1" applyFill="1" applyBorder="1" applyAlignment="1" applyProtection="1">
      <alignment horizontal="center" vertical="center" wrapText="1"/>
      <protection locked="0"/>
    </xf>
    <xf numFmtId="0" fontId="9" fillId="14" borderId="3" xfId="0" applyFont="1" applyFill="1" applyBorder="1" applyAlignment="1" applyProtection="1">
      <alignment horizontal="center" vertical="center" wrapText="1"/>
      <protection locked="0"/>
    </xf>
    <xf numFmtId="0" fontId="41" fillId="14" borderId="3" xfId="16" applyFont="1" applyFill="1" applyBorder="1" applyAlignment="1" applyProtection="1">
      <alignment horizontal="left" vertical="center" wrapText="1"/>
      <protection locked="0"/>
    </xf>
    <xf numFmtId="0" fontId="41" fillId="0" borderId="7" xfId="2" applyFont="1" applyBorder="1" applyAlignment="1" applyProtection="1">
      <alignment horizontal="center" vertical="center"/>
      <protection locked="0"/>
    </xf>
    <xf numFmtId="0" fontId="41" fillId="0" borderId="1" xfId="17" applyFont="1" applyBorder="1" applyAlignment="1" applyProtection="1">
      <alignment horizontal="center" vertical="center" wrapText="1"/>
      <protection locked="0"/>
    </xf>
    <xf numFmtId="0" fontId="41" fillId="0" borderId="1" xfId="2" applyFont="1" applyBorder="1" applyAlignment="1" applyProtection="1">
      <alignment horizontal="center" vertical="center" wrapText="1"/>
      <protection locked="0"/>
    </xf>
    <xf numFmtId="0" fontId="41" fillId="0" borderId="17" xfId="2" applyFont="1" applyBorder="1" applyAlignment="1" applyProtection="1">
      <alignment horizontal="center" vertical="center" wrapText="1"/>
      <protection locked="0"/>
    </xf>
    <xf numFmtId="0" fontId="41" fillId="0" borderId="17" xfId="17" applyFont="1" applyBorder="1" applyAlignment="1" applyProtection="1">
      <alignment horizontal="left" vertical="center" wrapText="1"/>
      <protection locked="0"/>
    </xf>
    <xf numFmtId="0" fontId="41" fillId="0" borderId="68" xfId="17" applyFont="1" applyBorder="1" applyAlignment="1" applyProtection="1">
      <alignment horizontal="left" vertical="center" wrapText="1"/>
      <protection locked="0"/>
    </xf>
    <xf numFmtId="0" fontId="41" fillId="0" borderId="28" xfId="17" applyFont="1" applyBorder="1" applyAlignment="1" applyProtection="1">
      <alignment horizontal="left" vertical="center" wrapText="1"/>
      <protection locked="0"/>
    </xf>
    <xf numFmtId="164" fontId="44" fillId="0" borderId="0" xfId="16" applyNumberFormat="1" applyFont="1" applyAlignment="1" applyProtection="1">
      <alignment horizontal="center" vertical="center"/>
      <protection locked="0"/>
    </xf>
    <xf numFmtId="9" fontId="44" fillId="0" borderId="0" xfId="18" applyFont="1" applyAlignment="1" applyProtection="1">
      <alignment horizontal="center" vertical="center"/>
      <protection locked="0"/>
    </xf>
    <xf numFmtId="0" fontId="9" fillId="0" borderId="0" xfId="16" applyFont="1" applyAlignment="1" applyProtection="1">
      <alignment horizontal="center" vertical="center"/>
      <protection locked="0"/>
    </xf>
    <xf numFmtId="0" fontId="9" fillId="0" borderId="0" xfId="17" applyFont="1" applyProtection="1">
      <protection locked="0"/>
    </xf>
    <xf numFmtId="0" fontId="11" fillId="0" borderId="0" xfId="17" applyFont="1" applyAlignment="1" applyProtection="1">
      <alignment horizontal="center" vertical="center"/>
      <protection locked="0"/>
    </xf>
    <xf numFmtId="0" fontId="9" fillId="0" borderId="0" xfId="16" applyFont="1" applyProtection="1">
      <protection locked="0"/>
    </xf>
    <xf numFmtId="0" fontId="9" fillId="0" borderId="0" xfId="17" applyFont="1" applyAlignment="1" applyProtection="1">
      <alignment vertical="center"/>
      <protection locked="0"/>
    </xf>
    <xf numFmtId="0" fontId="43" fillId="0" borderId="17" xfId="17" applyFont="1" applyBorder="1" applyAlignment="1" applyProtection="1">
      <alignment horizontal="left" vertical="center" wrapText="1"/>
      <protection locked="0"/>
    </xf>
    <xf numFmtId="0" fontId="41" fillId="14" borderId="3" xfId="14" applyFont="1" applyFill="1" applyBorder="1" applyAlignment="1" applyProtection="1">
      <alignment horizontal="center" vertical="center" wrapText="1"/>
      <protection locked="0"/>
    </xf>
    <xf numFmtId="0" fontId="41" fillId="14" borderId="1" xfId="16" applyFont="1" applyFill="1" applyBorder="1" applyAlignment="1" applyProtection="1">
      <alignment horizontal="left" vertical="center" wrapText="1"/>
      <protection locked="0"/>
    </xf>
    <xf numFmtId="0" fontId="41" fillId="14" borderId="1" xfId="14" applyFont="1" applyFill="1" applyBorder="1" applyAlignment="1" applyProtection="1">
      <alignment horizontal="center" vertical="center" wrapText="1"/>
      <protection locked="0"/>
    </xf>
    <xf numFmtId="0" fontId="9" fillId="14" borderId="1" xfId="14" applyFont="1" applyFill="1" applyBorder="1" applyAlignment="1" applyProtection="1">
      <alignment horizontal="center" vertical="center" wrapText="1"/>
      <protection locked="0"/>
    </xf>
    <xf numFmtId="0" fontId="9" fillId="14" borderId="1" xfId="0" applyFont="1" applyFill="1" applyBorder="1" applyAlignment="1" applyProtection="1">
      <alignment horizontal="left" vertical="center" wrapText="1"/>
      <protection locked="0"/>
    </xf>
    <xf numFmtId="0" fontId="9" fillId="0" borderId="0" xfId="2" applyFont="1" applyAlignment="1">
      <alignment horizontal="center" vertical="center"/>
    </xf>
    <xf numFmtId="0" fontId="9" fillId="0" borderId="47" xfId="2" applyFont="1" applyBorder="1" applyAlignment="1">
      <alignment horizontal="center" vertical="center"/>
    </xf>
    <xf numFmtId="0" fontId="9" fillId="0" borderId="69" xfId="2" applyFont="1" applyBorder="1" applyAlignment="1" applyProtection="1">
      <alignment horizontal="center" vertical="center"/>
      <protection locked="0"/>
    </xf>
    <xf numFmtId="0" fontId="9" fillId="0" borderId="17" xfId="2" applyFont="1" applyBorder="1" applyAlignment="1" applyProtection="1">
      <alignment horizontal="center" vertical="center"/>
      <protection locked="0"/>
    </xf>
    <xf numFmtId="0" fontId="9" fillId="14" borderId="3" xfId="2" applyFont="1" applyFill="1" applyBorder="1" applyAlignment="1" applyProtection="1">
      <alignment horizontal="center" vertical="center"/>
      <protection locked="0"/>
    </xf>
    <xf numFmtId="0" fontId="41" fillId="14" borderId="3" xfId="17" applyFont="1" applyFill="1" applyBorder="1" applyAlignment="1" applyProtection="1">
      <alignment horizontal="left" vertical="center" wrapText="1"/>
      <protection locked="0"/>
    </xf>
    <xf numFmtId="0" fontId="9" fillId="14" borderId="3" xfId="2" applyFont="1" applyFill="1" applyBorder="1" applyAlignment="1" applyProtection="1">
      <alignment horizontal="left" vertical="center" wrapText="1"/>
      <protection locked="0"/>
    </xf>
    <xf numFmtId="0" fontId="9" fillId="0" borderId="0" xfId="3" applyFont="1" applyAlignment="1">
      <alignment horizontal="left" vertical="center" wrapText="1"/>
    </xf>
    <xf numFmtId="0" fontId="9" fillId="14" borderId="48" xfId="3" applyFont="1" applyFill="1" applyBorder="1" applyAlignment="1" applyProtection="1">
      <alignment vertical="center" wrapText="1"/>
      <protection locked="0"/>
    </xf>
    <xf numFmtId="0" fontId="9" fillId="14" borderId="0" xfId="3" applyFont="1" applyFill="1" applyAlignment="1" applyProtection="1">
      <alignment vertical="center" wrapText="1"/>
      <protection locked="0"/>
    </xf>
    <xf numFmtId="0" fontId="9" fillId="14" borderId="1" xfId="3" applyFont="1" applyFill="1" applyBorder="1" applyAlignment="1" applyProtection="1">
      <alignment vertical="center" wrapText="1"/>
      <protection locked="0"/>
    </xf>
    <xf numFmtId="0" fontId="9" fillId="14" borderId="1" xfId="0" applyFont="1" applyFill="1" applyBorder="1" applyAlignment="1" applyProtection="1">
      <alignment vertical="center" wrapText="1"/>
      <protection locked="0"/>
    </xf>
    <xf numFmtId="0" fontId="41" fillId="14" borderId="14" xfId="17" applyFont="1" applyFill="1" applyBorder="1" applyAlignment="1" applyProtection="1">
      <alignment vertical="center" wrapText="1"/>
      <protection locked="0"/>
    </xf>
    <xf numFmtId="0" fontId="41" fillId="14" borderId="3" xfId="19" applyFont="1" applyFill="1" applyBorder="1" applyAlignment="1" applyProtection="1">
      <alignment horizontal="center" vertical="center" wrapText="1"/>
      <protection locked="0"/>
    </xf>
    <xf numFmtId="0" fontId="41" fillId="14" borderId="14" xfId="20" applyFont="1" applyFill="1" applyBorder="1" applyAlignment="1" applyProtection="1">
      <alignment vertical="center" wrapText="1"/>
      <protection locked="0"/>
    </xf>
    <xf numFmtId="0" fontId="9" fillId="15" borderId="1" xfId="3" applyFont="1" applyFill="1" applyBorder="1" applyAlignment="1" applyProtection="1">
      <alignment horizontal="center" vertical="center" wrapText="1"/>
      <protection locked="0"/>
    </xf>
    <xf numFmtId="0" fontId="9" fillId="15" borderId="1" xfId="2" applyFont="1" applyFill="1" applyBorder="1" applyAlignment="1" applyProtection="1">
      <alignment horizontal="center" vertical="center" wrapText="1"/>
      <protection locked="0"/>
    </xf>
    <xf numFmtId="0" fontId="9" fillId="15" borderId="13" xfId="0" applyFont="1" applyFill="1" applyBorder="1" applyAlignment="1" applyProtection="1">
      <alignment horizontal="left" vertical="center" wrapText="1"/>
      <protection locked="0"/>
    </xf>
    <xf numFmtId="0" fontId="9" fillId="15" borderId="3" xfId="2" applyFont="1" applyFill="1" applyBorder="1" applyAlignment="1" applyProtection="1">
      <alignment horizontal="center" vertical="center" wrapText="1"/>
      <protection locked="0"/>
    </xf>
    <xf numFmtId="0" fontId="9" fillId="15" borderId="3" xfId="0" applyFont="1" applyFill="1" applyBorder="1" applyAlignment="1" applyProtection="1">
      <alignment horizontal="center" vertical="center" wrapText="1"/>
      <protection locked="0"/>
    </xf>
    <xf numFmtId="0" fontId="9" fillId="6" borderId="26" xfId="2" applyFont="1" applyFill="1" applyBorder="1" applyAlignment="1" applyProtection="1">
      <alignment horizontal="center" vertical="center"/>
      <protection locked="0"/>
    </xf>
    <xf numFmtId="0" fontId="9" fillId="6" borderId="0" xfId="3" applyFont="1" applyFill="1" applyAlignment="1" applyProtection="1">
      <alignment horizontal="left" vertical="center" wrapText="1"/>
      <protection locked="0"/>
    </xf>
    <xf numFmtId="0" fontId="9" fillId="6" borderId="0" xfId="2" applyFont="1" applyFill="1" applyAlignment="1" applyProtection="1">
      <alignment horizontal="center" vertical="center" wrapText="1"/>
      <protection locked="0"/>
    </xf>
    <xf numFmtId="0" fontId="9" fillId="0" borderId="0" xfId="3" applyFont="1" applyAlignment="1" applyProtection="1">
      <alignment horizontal="center" vertical="center" wrapText="1"/>
      <protection locked="0"/>
    </xf>
    <xf numFmtId="0" fontId="9" fillId="0" borderId="47" xfId="3" applyFont="1" applyBorder="1" applyAlignment="1" applyProtection="1">
      <alignment horizontal="center" vertical="center" wrapText="1"/>
      <protection locked="0"/>
    </xf>
    <xf numFmtId="0" fontId="47" fillId="14" borderId="1" xfId="14" applyFont="1" applyFill="1" applyBorder="1" applyAlignment="1" applyProtection="1">
      <alignment horizontal="center" vertical="center" wrapText="1"/>
      <protection locked="0"/>
    </xf>
    <xf numFmtId="0" fontId="9" fillId="14" borderId="0" xfId="14" applyFont="1" applyFill="1" applyAlignment="1" applyProtection="1">
      <alignment horizontal="center" vertical="center" wrapText="1"/>
      <protection locked="0"/>
    </xf>
    <xf numFmtId="0" fontId="9" fillId="14" borderId="0" xfId="3" applyFont="1" applyFill="1" applyAlignment="1" applyProtection="1">
      <alignment horizontal="left" vertical="center" wrapText="1"/>
      <protection locked="0"/>
    </xf>
    <xf numFmtId="0" fontId="47" fillId="14" borderId="2" xfId="14" applyFont="1" applyFill="1" applyBorder="1" applyAlignment="1" applyProtection="1">
      <alignment horizontal="center" vertical="center" wrapText="1"/>
      <protection locked="0"/>
    </xf>
    <xf numFmtId="0" fontId="46" fillId="0" borderId="3" xfId="14" applyFont="1" applyBorder="1" applyAlignment="1" applyProtection="1">
      <alignment horizontal="center" vertical="center" wrapText="1"/>
      <protection locked="0"/>
    </xf>
    <xf numFmtId="0" fontId="42" fillId="0" borderId="3" xfId="0" applyFont="1" applyBorder="1" applyAlignment="1" applyProtection="1">
      <alignment horizontal="center" vertical="center" wrapText="1"/>
      <protection locked="0"/>
    </xf>
    <xf numFmtId="0" fontId="48" fillId="0" borderId="2" xfId="3" applyFont="1" applyBorder="1" applyAlignment="1" applyProtection="1">
      <alignment horizontal="left" vertical="center" wrapText="1"/>
      <protection locked="0"/>
    </xf>
    <xf numFmtId="0" fontId="42" fillId="0" borderId="2" xfId="2" applyFont="1" applyBorder="1" applyAlignment="1" applyProtection="1">
      <alignment horizontal="center" vertical="center" wrapText="1"/>
      <protection locked="0"/>
    </xf>
    <xf numFmtId="0" fontId="42" fillId="0" borderId="2" xfId="0" applyFont="1" applyBorder="1" applyAlignment="1" applyProtection="1">
      <alignment horizontal="center" vertical="center" wrapText="1"/>
      <protection locked="0"/>
    </xf>
    <xf numFmtId="0" fontId="42" fillId="0" borderId="15" xfId="3" applyFont="1" applyBorder="1" applyAlignment="1" applyProtection="1">
      <alignment horizontal="left" vertical="center" wrapText="1"/>
      <protection locked="0"/>
    </xf>
    <xf numFmtId="0" fontId="42" fillId="0" borderId="1" xfId="3" applyFont="1" applyBorder="1" applyAlignment="1" applyProtection="1">
      <alignment horizontal="left" vertical="center" wrapText="1"/>
      <protection locked="0"/>
    </xf>
    <xf numFmtId="0" fontId="42" fillId="0" borderId="19" xfId="0" applyFont="1" applyBorder="1" applyAlignment="1" applyProtection="1">
      <alignment horizontal="left" vertical="center" wrapText="1"/>
      <protection locked="0"/>
    </xf>
    <xf numFmtId="0" fontId="41" fillId="14" borderId="1" xfId="16" applyFont="1" applyFill="1" applyBorder="1" applyAlignment="1" applyProtection="1">
      <alignment horizontal="center" vertical="center" wrapText="1"/>
      <protection locked="0"/>
    </xf>
    <xf numFmtId="0" fontId="41" fillId="14" borderId="2" xfId="16" applyFont="1" applyFill="1" applyBorder="1" applyAlignment="1" applyProtection="1">
      <alignment horizontal="center" vertical="center" wrapText="1"/>
      <protection locked="0"/>
    </xf>
    <xf numFmtId="0" fontId="41" fillId="14" borderId="1" xfId="17" applyFont="1" applyFill="1" applyBorder="1" applyAlignment="1" applyProtection="1">
      <alignment horizontal="center" vertical="center" wrapText="1"/>
      <protection locked="0"/>
    </xf>
    <xf numFmtId="0" fontId="9" fillId="14" borderId="1" xfId="2" applyFont="1" applyFill="1" applyBorder="1" applyAlignment="1" applyProtection="1">
      <alignment horizontal="center" vertical="center" wrapText="1"/>
      <protection locked="0"/>
    </xf>
    <xf numFmtId="0" fontId="41" fillId="14" borderId="3" xfId="2" applyFont="1" applyFill="1" applyBorder="1" applyAlignment="1" applyProtection="1">
      <alignment horizontal="center" vertical="center"/>
      <protection locked="0"/>
    </xf>
    <xf numFmtId="0" fontId="9" fillId="14" borderId="1" xfId="0" applyFont="1" applyFill="1" applyBorder="1" applyAlignment="1" applyProtection="1">
      <alignment horizontal="center" vertical="center" wrapText="1"/>
      <protection locked="0"/>
    </xf>
    <xf numFmtId="0" fontId="42" fillId="16" borderId="1" xfId="14" applyFont="1" applyFill="1" applyBorder="1" applyAlignment="1" applyProtection="1">
      <alignment horizontal="center" vertical="center" wrapText="1"/>
      <protection locked="0"/>
    </xf>
    <xf numFmtId="0" fontId="42" fillId="16" borderId="1" xfId="2" applyFont="1" applyFill="1" applyBorder="1" applyAlignment="1" applyProtection="1">
      <alignment horizontal="center" vertical="center" wrapText="1"/>
      <protection locked="0"/>
    </xf>
    <xf numFmtId="0" fontId="42" fillId="16" borderId="14" xfId="3" applyFont="1" applyFill="1" applyBorder="1" applyAlignment="1" applyProtection="1">
      <alignment horizontal="left" vertical="center" wrapText="1"/>
      <protection locked="0"/>
    </xf>
    <xf numFmtId="0" fontId="42" fillId="16" borderId="17" xfId="3" applyFont="1" applyFill="1" applyBorder="1" applyAlignment="1" applyProtection="1">
      <alignment horizontal="center" vertical="center" wrapText="1"/>
      <protection locked="0"/>
    </xf>
    <xf numFmtId="0" fontId="2" fillId="9" borderId="43" xfId="10" applyFont="1" applyFill="1" applyBorder="1" applyAlignment="1" applyProtection="1">
      <alignment horizontal="center" vertical="center"/>
      <protection locked="0"/>
    </xf>
    <xf numFmtId="0" fontId="2" fillId="9" borderId="3" xfId="10" applyFont="1" applyFill="1" applyBorder="1" applyAlignment="1" applyProtection="1">
      <alignment horizontal="center" vertical="center"/>
      <protection locked="0"/>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48" xfId="0" applyFont="1" applyBorder="1" applyAlignment="1">
      <alignment horizontal="center" vertical="center"/>
    </xf>
    <xf numFmtId="0" fontId="2" fillId="0" borderId="48" xfId="0" applyFont="1" applyBorder="1" applyAlignment="1">
      <alignmen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6" borderId="1" xfId="3" applyFont="1" applyFill="1" applyBorder="1" applyAlignment="1" applyProtection="1">
      <alignment vertical="center" wrapText="1"/>
      <protection locked="0"/>
    </xf>
    <xf numFmtId="0" fontId="2" fillId="0" borderId="63" xfId="3" applyFont="1" applyBorder="1" applyAlignment="1">
      <alignment horizontal="left" vertical="center" wrapText="1"/>
    </xf>
    <xf numFmtId="0" fontId="2" fillId="0" borderId="21" xfId="10" applyFont="1" applyBorder="1"/>
    <xf numFmtId="2" fontId="2" fillId="9" borderId="12" xfId="10" applyNumberFormat="1" applyFont="1" applyFill="1" applyBorder="1" applyAlignment="1" applyProtection="1">
      <alignment horizontal="center" vertical="center"/>
      <protection locked="0"/>
    </xf>
    <xf numFmtId="4" fontId="2" fillId="9" borderId="1" xfId="10" applyNumberFormat="1" applyFont="1" applyFill="1" applyBorder="1" applyAlignment="1" applyProtection="1">
      <alignment horizontal="center" vertical="center"/>
      <protection locked="0"/>
    </xf>
    <xf numFmtId="0" fontId="2" fillId="0" borderId="12" xfId="10" applyFont="1" applyBorder="1" applyAlignment="1">
      <alignment horizontal="center" vertical="center"/>
    </xf>
    <xf numFmtId="165" fontId="2" fillId="9" borderId="3" xfId="10" applyNumberFormat="1" applyFont="1" applyFill="1" applyBorder="1" applyAlignment="1" applyProtection="1">
      <alignment horizontal="center" vertical="center"/>
      <protection locked="0"/>
    </xf>
    <xf numFmtId="165" fontId="2" fillId="9" borderId="1" xfId="10" applyNumberFormat="1" applyFont="1" applyFill="1" applyBorder="1" applyAlignment="1" applyProtection="1">
      <alignment horizontal="center" vertical="center"/>
      <protection locked="0"/>
    </xf>
    <xf numFmtId="165" fontId="2" fillId="9" borderId="10" xfId="10" applyNumberFormat="1" applyFont="1" applyFill="1" applyBorder="1" applyAlignment="1" applyProtection="1">
      <alignment horizontal="center" vertical="center"/>
      <protection locked="0"/>
    </xf>
    <xf numFmtId="0" fontId="9" fillId="16" borderId="2" xfId="0" applyFont="1" applyFill="1" applyBorder="1" applyAlignment="1">
      <alignment horizontal="left" vertical="center" wrapText="1"/>
    </xf>
    <xf numFmtId="0" fontId="11" fillId="16" borderId="1" xfId="14" applyFont="1" applyFill="1" applyBorder="1" applyAlignment="1">
      <alignment horizontal="center" vertical="center" wrapText="1"/>
    </xf>
    <xf numFmtId="0" fontId="9" fillId="16" borderId="3" xfId="0" applyFont="1" applyFill="1" applyBorder="1" applyAlignment="1">
      <alignment horizontal="center" vertical="center" wrapText="1"/>
    </xf>
    <xf numFmtId="0" fontId="9" fillId="16" borderId="17" xfId="3" applyFont="1" applyFill="1" applyBorder="1" applyAlignment="1">
      <alignment horizontal="center" vertical="center" wrapText="1"/>
    </xf>
    <xf numFmtId="0" fontId="9" fillId="16" borderId="1" xfId="3" applyFont="1" applyFill="1" applyBorder="1" applyAlignment="1">
      <alignment vertical="center" wrapText="1"/>
    </xf>
    <xf numFmtId="0" fontId="41" fillId="16" borderId="1" xfId="14" applyFont="1" applyFill="1" applyBorder="1" applyAlignment="1" applyProtection="1">
      <alignment horizontal="center" vertical="center" wrapText="1"/>
      <protection locked="0"/>
    </xf>
    <xf numFmtId="0" fontId="9" fillId="16" borderId="3" xfId="14" applyFont="1" applyFill="1" applyBorder="1" applyAlignment="1" applyProtection="1">
      <alignment horizontal="center" vertical="center" wrapText="1"/>
      <protection locked="0"/>
    </xf>
    <xf numFmtId="0" fontId="9" fillId="16" borderId="48" xfId="3" applyFont="1" applyFill="1" applyBorder="1" applyAlignment="1" applyProtection="1">
      <alignment vertical="center" wrapText="1"/>
      <protection locked="0"/>
    </xf>
    <xf numFmtId="0" fontId="9" fillId="16" borderId="3" xfId="2" applyFont="1" applyFill="1" applyBorder="1" applyAlignment="1" applyProtection="1">
      <alignment horizontal="center" vertical="center" wrapText="1"/>
      <protection locked="0"/>
    </xf>
    <xf numFmtId="0" fontId="9" fillId="16" borderId="3" xfId="0" applyFont="1" applyFill="1" applyBorder="1" applyAlignment="1" applyProtection="1">
      <alignment horizontal="center" vertical="center" wrapText="1"/>
      <protection locked="0"/>
    </xf>
    <xf numFmtId="0" fontId="9" fillId="16" borderId="17" xfId="3" applyFont="1" applyFill="1" applyBorder="1" applyAlignment="1" applyProtection="1">
      <alignment horizontal="left" vertical="center" wrapText="1"/>
      <protection locked="0"/>
    </xf>
    <xf numFmtId="0" fontId="9" fillId="16" borderId="14" xfId="2" applyFont="1" applyFill="1" applyBorder="1" applyAlignment="1" applyProtection="1">
      <alignment horizontal="left" vertical="center" wrapText="1"/>
      <protection locked="0"/>
    </xf>
    <xf numFmtId="0" fontId="9" fillId="16" borderId="17" xfId="0" applyFont="1" applyFill="1" applyBorder="1" applyAlignment="1" applyProtection="1">
      <alignment horizontal="left" vertical="center" wrapText="1"/>
      <protection locked="0"/>
    </xf>
    <xf numFmtId="0" fontId="47" fillId="16" borderId="27" xfId="0" applyFont="1" applyFill="1" applyBorder="1" applyAlignment="1" applyProtection="1">
      <alignment horizontal="center" vertical="center" wrapText="1"/>
      <protection locked="0"/>
    </xf>
    <xf numFmtId="0" fontId="9" fillId="16" borderId="1" xfId="14" applyFont="1" applyFill="1" applyBorder="1" applyAlignment="1" applyProtection="1">
      <alignment horizontal="center" vertical="center" wrapText="1"/>
      <protection locked="0"/>
    </xf>
    <xf numFmtId="0" fontId="2" fillId="16" borderId="1" xfId="3" applyFont="1" applyFill="1" applyBorder="1" applyAlignment="1" applyProtection="1">
      <alignment vertical="center" wrapText="1"/>
      <protection locked="0"/>
    </xf>
    <xf numFmtId="0" fontId="9" fillId="16" borderId="1" xfId="2" applyFont="1" applyFill="1" applyBorder="1" applyAlignment="1" applyProtection="1">
      <alignment horizontal="center" vertical="center" wrapText="1"/>
      <protection locked="0"/>
    </xf>
    <xf numFmtId="0" fontId="9" fillId="16" borderId="1" xfId="3" applyFont="1" applyFill="1" applyBorder="1" applyAlignment="1" applyProtection="1">
      <alignment horizontal="center" vertical="center" wrapText="1"/>
      <protection locked="0"/>
    </xf>
    <xf numFmtId="0" fontId="9" fillId="16" borderId="14" xfId="3" applyFont="1" applyFill="1" applyBorder="1" applyAlignment="1" applyProtection="1">
      <alignment horizontal="left" vertical="center" wrapText="1"/>
      <protection locked="0"/>
    </xf>
    <xf numFmtId="0" fontId="9" fillId="16" borderId="17" xfId="3" applyFont="1" applyFill="1" applyBorder="1" applyAlignment="1" applyProtection="1">
      <alignment horizontal="center" vertical="center" wrapText="1"/>
      <protection locked="0"/>
    </xf>
    <xf numFmtId="0" fontId="11" fillId="16" borderId="3" xfId="14" applyFont="1" applyFill="1" applyBorder="1" applyAlignment="1">
      <alignment horizontal="center" vertical="center" wrapText="1"/>
    </xf>
    <xf numFmtId="0" fontId="9" fillId="16" borderId="3" xfId="3" applyFont="1" applyFill="1" applyBorder="1" applyAlignment="1">
      <alignment horizontal="left" vertical="center" wrapText="1"/>
    </xf>
    <xf numFmtId="0" fontId="9" fillId="16" borderId="3" xfId="2" applyFont="1" applyFill="1" applyBorder="1" applyAlignment="1">
      <alignment horizontal="center" vertical="center" wrapText="1"/>
    </xf>
    <xf numFmtId="0" fontId="9" fillId="16" borderId="17" xfId="3" applyFont="1" applyFill="1" applyBorder="1" applyAlignment="1">
      <alignment horizontal="left" vertical="center" wrapText="1"/>
    </xf>
    <xf numFmtId="0" fontId="52" fillId="16" borderId="3" xfId="14" applyFont="1" applyFill="1" applyBorder="1" applyAlignment="1" applyProtection="1">
      <alignment horizontal="center" vertical="center" wrapText="1"/>
      <protection locked="0"/>
    </xf>
    <xf numFmtId="0" fontId="41" fillId="16" borderId="48" xfId="3" applyFont="1" applyFill="1" applyBorder="1" applyAlignment="1" applyProtection="1">
      <alignment vertical="center" wrapText="1"/>
      <protection locked="0"/>
    </xf>
    <xf numFmtId="0" fontId="41" fillId="16" borderId="3" xfId="2" applyFont="1" applyFill="1" applyBorder="1" applyAlignment="1" applyProtection="1">
      <alignment horizontal="center" vertical="center" wrapText="1"/>
      <protection locked="0"/>
    </xf>
    <xf numFmtId="0" fontId="47" fillId="16" borderId="1" xfId="20" applyFont="1" applyFill="1" applyBorder="1" applyAlignment="1" applyProtection="1">
      <alignment horizontal="left" vertical="center" wrapText="1"/>
      <protection locked="0"/>
    </xf>
    <xf numFmtId="0" fontId="41" fillId="16" borderId="3" xfId="0" applyFont="1" applyFill="1" applyBorder="1" applyAlignment="1" applyProtection="1">
      <alignment horizontal="center" vertical="center" wrapText="1"/>
      <protection locked="0"/>
    </xf>
    <xf numFmtId="0" fontId="41" fillId="16" borderId="1" xfId="2" applyFont="1" applyFill="1" applyBorder="1" applyAlignment="1" applyProtection="1">
      <alignment horizontal="center" vertical="center" wrapText="1"/>
      <protection locked="0"/>
    </xf>
    <xf numFmtId="0" fontId="41" fillId="16" borderId="17" xfId="2" applyFont="1" applyFill="1" applyBorder="1" applyAlignment="1" applyProtection="1">
      <alignment horizontal="center" vertical="center" wrapText="1"/>
      <protection locked="0"/>
    </xf>
    <xf numFmtId="0" fontId="41" fillId="16" borderId="14" xfId="3" applyFont="1" applyFill="1" applyBorder="1" applyAlignment="1" applyProtection="1">
      <alignment horizontal="left" vertical="center" wrapText="1"/>
      <protection locked="0"/>
    </xf>
    <xf numFmtId="0" fontId="43" fillId="0" borderId="17" xfId="3" applyFont="1" applyBorder="1" applyAlignment="1" applyProtection="1">
      <alignment horizontal="left" vertical="center" wrapText="1"/>
      <protection locked="0"/>
    </xf>
    <xf numFmtId="0" fontId="41" fillId="13" borderId="17" xfId="0" applyFont="1" applyFill="1" applyBorder="1" applyAlignment="1" applyProtection="1">
      <alignment horizontal="left" vertical="center" wrapText="1"/>
      <protection locked="0"/>
    </xf>
    <xf numFmtId="0" fontId="41" fillId="0" borderId="68" xfId="3" applyFont="1" applyBorder="1" applyAlignment="1" applyProtection="1">
      <alignment horizontal="left" vertical="center" wrapText="1"/>
      <protection locked="0"/>
    </xf>
    <xf numFmtId="0" fontId="41" fillId="0" borderId="49" xfId="3" applyFont="1" applyBorder="1" applyAlignment="1" applyProtection="1">
      <alignment horizontal="left" vertical="center" wrapText="1"/>
      <protection locked="0"/>
    </xf>
    <xf numFmtId="164" fontId="44" fillId="0" borderId="0" xfId="0" applyNumberFormat="1" applyFont="1" applyAlignment="1" applyProtection="1">
      <alignment horizontal="center" vertical="center"/>
      <protection locked="0"/>
    </xf>
    <xf numFmtId="0" fontId="9" fillId="0" borderId="0" xfId="3" applyFont="1" applyAlignment="1" applyProtection="1">
      <alignment vertical="center"/>
      <protection locked="0"/>
    </xf>
    <xf numFmtId="0" fontId="52" fillId="16" borderId="3" xfId="19" applyFont="1" applyFill="1" applyBorder="1" applyAlignment="1" applyProtection="1">
      <alignment horizontal="center" vertical="center" wrapText="1"/>
      <protection locked="0"/>
    </xf>
    <xf numFmtId="0" fontId="41" fillId="16" borderId="17" xfId="20" applyFont="1" applyFill="1" applyBorder="1" applyAlignment="1" applyProtection="1">
      <alignment horizontal="left" vertical="center" wrapText="1"/>
      <protection locked="0"/>
    </xf>
    <xf numFmtId="0" fontId="51" fillId="0" borderId="0" xfId="0" applyFont="1" applyProtection="1">
      <protection locked="0"/>
    </xf>
    <xf numFmtId="0" fontId="41" fillId="0" borderId="3" xfId="0" applyFont="1" applyBorder="1" applyAlignment="1" applyProtection="1">
      <alignment horizontal="center" vertical="center" wrapText="1"/>
      <protection locked="0"/>
    </xf>
    <xf numFmtId="0" fontId="47" fillId="0" borderId="1" xfId="3" applyFont="1" applyBorder="1" applyAlignment="1" applyProtection="1">
      <alignment horizontal="left" vertical="center" wrapText="1"/>
      <protection locked="0"/>
    </xf>
    <xf numFmtId="0" fontId="41" fillId="0" borderId="1" xfId="3" applyFont="1" applyBorder="1" applyAlignment="1" applyProtection="1">
      <alignment horizontal="left" vertical="center" wrapText="1"/>
      <protection locked="0"/>
    </xf>
    <xf numFmtId="0" fontId="47" fillId="16" borderId="1" xfId="3" applyFont="1" applyFill="1" applyBorder="1" applyAlignment="1" applyProtection="1">
      <alignment horizontal="left" vertical="center" wrapText="1"/>
      <protection locked="0"/>
    </xf>
    <xf numFmtId="0" fontId="49" fillId="0" borderId="29" xfId="0" applyFont="1" applyBorder="1" applyAlignment="1" applyProtection="1">
      <alignment horizontal="center" vertical="center" wrapText="1"/>
      <protection locked="0"/>
    </xf>
    <xf numFmtId="0" fontId="53" fillId="0" borderId="0" xfId="0" applyFont="1" applyProtection="1">
      <protection locked="0"/>
    </xf>
    <xf numFmtId="0" fontId="50" fillId="0" borderId="29" xfId="0" applyFont="1" applyBorder="1" applyAlignment="1" applyProtection="1">
      <alignment horizontal="center" vertical="center" wrapText="1"/>
      <protection locked="0"/>
    </xf>
    <xf numFmtId="0" fontId="50" fillId="0" borderId="28" xfId="0" applyFont="1" applyBorder="1" applyAlignment="1" applyProtection="1">
      <alignment horizontal="center" vertical="center" wrapText="1"/>
      <protection locked="0"/>
    </xf>
    <xf numFmtId="0" fontId="50" fillId="0" borderId="27" xfId="0" applyFont="1" applyBorder="1" applyAlignment="1" applyProtection="1">
      <alignment horizontal="center" vertical="center" wrapText="1"/>
      <protection locked="0"/>
    </xf>
    <xf numFmtId="0" fontId="50" fillId="16" borderId="29" xfId="0" applyFont="1" applyFill="1" applyBorder="1" applyAlignment="1" applyProtection="1">
      <alignment horizontal="center" vertical="center" wrapText="1"/>
      <protection locked="0"/>
    </xf>
    <xf numFmtId="164" fontId="36" fillId="0" borderId="0" xfId="0" applyNumberFormat="1" applyFont="1" applyAlignment="1" applyProtection="1">
      <alignment horizontal="center" vertical="center"/>
      <protection locked="0"/>
    </xf>
    <xf numFmtId="0" fontId="40" fillId="4" borderId="3" xfId="14" applyFont="1" applyFill="1" applyBorder="1" applyAlignment="1" applyProtection="1">
      <alignment horizontal="center" vertical="center" wrapText="1"/>
      <protection locked="0"/>
    </xf>
    <xf numFmtId="0" fontId="37" fillId="4" borderId="3" xfId="14" applyFont="1" applyFill="1" applyBorder="1" applyAlignment="1" applyProtection="1">
      <alignment horizontal="center" vertical="center" wrapText="1"/>
      <protection locked="0"/>
    </xf>
    <xf numFmtId="49" fontId="37" fillId="4" borderId="37" xfId="0" applyNumberFormat="1" applyFont="1" applyFill="1" applyBorder="1" applyAlignment="1" applyProtection="1">
      <alignment vertical="center" wrapText="1"/>
      <protection locked="0"/>
    </xf>
    <xf numFmtId="0" fontId="37" fillId="4" borderId="1" xfId="2" applyFont="1" applyFill="1" applyBorder="1" applyAlignment="1" applyProtection="1">
      <alignment horizontal="center" vertical="center" wrapText="1"/>
      <protection locked="0"/>
    </xf>
    <xf numFmtId="0" fontId="37" fillId="4" borderId="1" xfId="3" applyFont="1" applyFill="1" applyBorder="1" applyAlignment="1" applyProtection="1">
      <alignment horizontal="center" vertical="center" wrapText="1"/>
      <protection locked="0"/>
    </xf>
    <xf numFmtId="0" fontId="37" fillId="4" borderId="17" xfId="3" applyFont="1" applyFill="1" applyBorder="1" applyAlignment="1" applyProtection="1">
      <alignment horizontal="left" vertical="center" wrapText="1"/>
      <protection locked="0"/>
    </xf>
    <xf numFmtId="0" fontId="37" fillId="4" borderId="17" xfId="0" applyFont="1" applyFill="1" applyBorder="1" applyAlignment="1" applyProtection="1">
      <alignment horizontal="left" vertical="center" wrapText="1"/>
      <protection locked="0"/>
    </xf>
    <xf numFmtId="49" fontId="9" fillId="0" borderId="37" xfId="0" applyNumberFormat="1" applyFont="1" applyBorder="1" applyAlignment="1" applyProtection="1">
      <alignment vertical="center" wrapText="1"/>
      <protection locked="0"/>
    </xf>
    <xf numFmtId="0" fontId="37" fillId="4" borderId="1" xfId="3" applyFont="1" applyFill="1" applyBorder="1" applyAlignment="1" applyProtection="1">
      <alignment horizontal="left" vertical="center" wrapText="1"/>
      <protection locked="0"/>
    </xf>
    <xf numFmtId="0" fontId="37" fillId="4" borderId="3" xfId="2" applyFont="1" applyFill="1" applyBorder="1" applyAlignment="1" applyProtection="1">
      <alignment horizontal="center" vertical="center" wrapText="1"/>
      <protection locked="0"/>
    </xf>
    <xf numFmtId="0" fontId="37" fillId="4" borderId="3" xfId="3" applyFont="1" applyFill="1" applyBorder="1" applyAlignment="1" applyProtection="1">
      <alignment horizontal="center" vertical="center" wrapText="1"/>
      <protection locked="0"/>
    </xf>
    <xf numFmtId="49" fontId="41" fillId="0" borderId="1" xfId="0" applyNumberFormat="1" applyFont="1" applyBorder="1" applyAlignment="1" applyProtection="1">
      <alignment vertical="center" wrapText="1"/>
      <protection locked="0"/>
    </xf>
    <xf numFmtId="0" fontId="45" fillId="0" borderId="1" xfId="21" applyFont="1" applyBorder="1" applyAlignment="1" applyProtection="1">
      <alignment horizontal="center" vertical="center" wrapText="1"/>
      <protection locked="0"/>
    </xf>
    <xf numFmtId="0" fontId="41" fillId="0" borderId="1" xfId="21" applyFont="1" applyBorder="1" applyAlignment="1" applyProtection="1">
      <alignment horizontal="center" vertical="center" wrapText="1"/>
      <protection locked="0"/>
    </xf>
    <xf numFmtId="0" fontId="9" fillId="0" borderId="0" xfId="2" applyFont="1" applyAlignment="1" applyProtection="1">
      <alignment horizontal="center" vertical="center"/>
      <protection locked="0"/>
    </xf>
    <xf numFmtId="0" fontId="11" fillId="0" borderId="0" xfId="14" applyFont="1" applyAlignment="1" applyProtection="1">
      <alignment horizontal="center" vertical="center" wrapText="1"/>
      <protection locked="0"/>
    </xf>
    <xf numFmtId="0" fontId="9" fillId="0" borderId="0" xfId="14" applyFont="1" applyAlignment="1" applyProtection="1">
      <alignment horizontal="center" vertical="center" wrapText="1"/>
      <protection locked="0"/>
    </xf>
    <xf numFmtId="0" fontId="9" fillId="0" borderId="0" xfId="2" applyFont="1" applyAlignment="1" applyProtection="1">
      <alignment horizontal="center" vertical="center" wrapText="1"/>
      <protection locked="0"/>
    </xf>
    <xf numFmtId="0" fontId="9" fillId="0" borderId="47" xfId="3" applyFont="1" applyBorder="1" applyAlignment="1" applyProtection="1">
      <alignment horizontal="left" vertical="center" wrapText="1"/>
      <protection locked="0"/>
    </xf>
    <xf numFmtId="0" fontId="11" fillId="17" borderId="2" xfId="14" applyFont="1" applyFill="1" applyBorder="1" applyAlignment="1" applyProtection="1">
      <alignment horizontal="center" vertical="center" wrapText="1"/>
      <protection locked="0"/>
    </xf>
    <xf numFmtId="0" fontId="9" fillId="17" borderId="2" xfId="14" applyFont="1" applyFill="1" applyBorder="1" applyAlignment="1" applyProtection="1">
      <alignment horizontal="center" vertical="center" wrapText="1"/>
      <protection locked="0"/>
    </xf>
    <xf numFmtId="0" fontId="9" fillId="17" borderId="2" xfId="3" applyFont="1" applyFill="1" applyBorder="1" applyAlignment="1" applyProtection="1">
      <alignment horizontal="left" vertical="center" wrapText="1"/>
      <protection locked="0"/>
    </xf>
    <xf numFmtId="0" fontId="9" fillId="17" borderId="2" xfId="2" applyFont="1" applyFill="1" applyBorder="1" applyAlignment="1" applyProtection="1">
      <alignment horizontal="center" vertical="center" wrapText="1"/>
      <protection locked="0"/>
    </xf>
    <xf numFmtId="0" fontId="9" fillId="17" borderId="2" xfId="3" applyFont="1" applyFill="1" applyBorder="1" applyAlignment="1" applyProtection="1">
      <alignment horizontal="center" vertical="center" wrapText="1"/>
      <protection locked="0"/>
    </xf>
    <xf numFmtId="0" fontId="9" fillId="17" borderId="33" xfId="3" applyFont="1" applyFill="1" applyBorder="1" applyAlignment="1" applyProtection="1">
      <alignment horizontal="left" vertical="center" wrapText="1"/>
      <protection locked="0"/>
    </xf>
    <xf numFmtId="0" fontId="11" fillId="17" borderId="3" xfId="14" applyFont="1" applyFill="1" applyBorder="1" applyAlignment="1" applyProtection="1">
      <alignment horizontal="center" vertical="center" wrapText="1"/>
      <protection locked="0"/>
    </xf>
    <xf numFmtId="0" fontId="9" fillId="17" borderId="3" xfId="0" applyFont="1" applyFill="1" applyBorder="1" applyAlignment="1" applyProtection="1">
      <alignment horizontal="center" vertical="center" wrapText="1"/>
      <protection locked="0"/>
    </xf>
    <xf numFmtId="0" fontId="9" fillId="17" borderId="3" xfId="3" applyFont="1" applyFill="1" applyBorder="1" applyAlignment="1" applyProtection="1">
      <alignment vertical="center" wrapText="1"/>
      <protection locked="0"/>
    </xf>
    <xf numFmtId="0" fontId="9" fillId="17" borderId="3" xfId="2" applyFont="1" applyFill="1" applyBorder="1" applyAlignment="1" applyProtection="1">
      <alignment horizontal="center" vertical="center" wrapText="1"/>
      <protection locked="0"/>
    </xf>
    <xf numFmtId="0" fontId="9" fillId="17" borderId="3" xfId="3" applyFont="1" applyFill="1" applyBorder="1" applyAlignment="1" applyProtection="1">
      <alignment horizontal="center" vertical="center" wrapText="1"/>
      <protection locked="0"/>
    </xf>
    <xf numFmtId="0" fontId="9" fillId="17" borderId="17" xfId="2" applyFont="1" applyFill="1" applyBorder="1" applyAlignment="1" applyProtection="1">
      <alignment horizontal="left" vertical="center" wrapText="1"/>
      <protection locked="0"/>
    </xf>
    <xf numFmtId="0" fontId="9" fillId="17" borderId="1" xfId="3" applyFont="1" applyFill="1" applyBorder="1" applyAlignment="1" applyProtection="1">
      <alignment horizontal="left" vertical="center" wrapText="1"/>
      <protection locked="0"/>
    </xf>
    <xf numFmtId="0" fontId="5" fillId="17" borderId="48" xfId="2" applyFont="1" applyFill="1" applyBorder="1" applyAlignment="1" applyProtection="1">
      <alignment horizontal="left" vertical="center" wrapText="1"/>
      <protection locked="0"/>
    </xf>
    <xf numFmtId="0" fontId="5" fillId="17" borderId="52" xfId="2" applyFont="1" applyFill="1" applyBorder="1" applyAlignment="1" applyProtection="1">
      <alignment horizontal="left" vertical="center" wrapText="1"/>
      <protection locked="0"/>
    </xf>
    <xf numFmtId="0" fontId="9" fillId="17" borderId="49" xfId="3" applyFont="1" applyFill="1" applyBorder="1" applyAlignment="1" applyProtection="1">
      <alignment horizontal="left" vertical="center" wrapText="1"/>
      <protection locked="0"/>
    </xf>
    <xf numFmtId="0" fontId="9" fillId="17" borderId="17" xfId="3" applyFont="1" applyFill="1" applyBorder="1" applyAlignment="1" applyProtection="1">
      <alignment horizontal="left" vertical="center" wrapText="1"/>
      <protection locked="0"/>
    </xf>
    <xf numFmtId="0" fontId="11" fillId="17" borderId="1" xfId="14" applyFont="1" applyFill="1" applyBorder="1" applyAlignment="1" applyProtection="1">
      <alignment horizontal="center" vertical="center" wrapText="1"/>
      <protection locked="0"/>
    </xf>
    <xf numFmtId="0" fontId="9" fillId="17" borderId="1" xfId="14" applyFont="1" applyFill="1" applyBorder="1" applyAlignment="1" applyProtection="1">
      <alignment horizontal="center" vertical="center" wrapText="1"/>
      <protection locked="0"/>
    </xf>
    <xf numFmtId="0" fontId="9" fillId="17" borderId="1" xfId="3" applyFont="1" applyFill="1" applyBorder="1" applyAlignment="1" applyProtection="1">
      <alignment vertical="center" wrapText="1"/>
      <protection locked="0"/>
    </xf>
    <xf numFmtId="0" fontId="9" fillId="17" borderId="1" xfId="2" applyFont="1" applyFill="1" applyBorder="1" applyAlignment="1" applyProtection="1">
      <alignment horizontal="center" vertical="center" wrapText="1"/>
      <protection locked="0"/>
    </xf>
    <xf numFmtId="0" fontId="9" fillId="17" borderId="1" xfId="3" applyFont="1" applyFill="1" applyBorder="1" applyAlignment="1" applyProtection="1">
      <alignment horizontal="center" vertical="center" wrapText="1"/>
      <protection locked="0"/>
    </xf>
    <xf numFmtId="0" fontId="9" fillId="17" borderId="1" xfId="2" applyFont="1" applyFill="1" applyBorder="1" applyAlignment="1" applyProtection="1">
      <alignment horizontal="left" vertical="center" wrapText="1"/>
      <protection locked="0"/>
    </xf>
    <xf numFmtId="0" fontId="9" fillId="17" borderId="60" xfId="2" applyFont="1" applyFill="1" applyBorder="1" applyAlignment="1" applyProtection="1">
      <alignment horizontal="left" vertical="center" wrapText="1"/>
      <protection locked="0"/>
    </xf>
    <xf numFmtId="0" fontId="9" fillId="17" borderId="14" xfId="3" applyFont="1" applyFill="1" applyBorder="1" applyAlignment="1" applyProtection="1">
      <alignment horizontal="left" vertical="center" wrapText="1"/>
      <protection locked="0"/>
    </xf>
    <xf numFmtId="0" fontId="41" fillId="17" borderId="3" xfId="0" applyFont="1" applyFill="1" applyBorder="1" applyAlignment="1" applyProtection="1">
      <alignment horizontal="center" vertical="center" wrapText="1"/>
      <protection locked="0"/>
    </xf>
    <xf numFmtId="0" fontId="47" fillId="17" borderId="13" xfId="3" applyFont="1" applyFill="1" applyBorder="1" applyAlignment="1" applyProtection="1">
      <alignment horizontal="left" vertical="center" wrapText="1"/>
      <protection locked="0"/>
    </xf>
    <xf numFmtId="0" fontId="9" fillId="17" borderId="17" xfId="3" applyFont="1" applyFill="1" applyBorder="1" applyAlignment="1" applyProtection="1">
      <alignment horizontal="center" vertical="center" wrapText="1"/>
      <protection locked="0"/>
    </xf>
    <xf numFmtId="0" fontId="16" fillId="17" borderId="1" xfId="3" applyFont="1" applyFill="1" applyBorder="1" applyAlignment="1" applyProtection="1">
      <alignment vertical="center" wrapText="1"/>
      <protection locked="0"/>
    </xf>
    <xf numFmtId="0" fontId="16" fillId="17" borderId="17" xfId="3" applyFont="1" applyFill="1" applyBorder="1" applyAlignment="1" applyProtection="1">
      <alignment vertical="center" wrapText="1"/>
      <protection locked="0"/>
    </xf>
    <xf numFmtId="0" fontId="1" fillId="9" borderId="1" xfId="10" applyFont="1" applyFill="1" applyBorder="1" applyAlignment="1" applyProtection="1">
      <alignment horizontal="center" vertical="center"/>
      <protection locked="0"/>
    </xf>
    <xf numFmtId="0" fontId="54" fillId="0" borderId="71" xfId="0" applyFont="1" applyBorder="1" applyAlignment="1">
      <alignment horizontal="center" vertical="top"/>
    </xf>
    <xf numFmtId="0" fontId="9" fillId="5" borderId="27" xfId="2" applyFont="1" applyFill="1" applyBorder="1" applyAlignment="1">
      <alignment horizontal="center" vertical="center"/>
    </xf>
    <xf numFmtId="0" fontId="0" fillId="0" borderId="31" xfId="0" applyBorder="1"/>
    <xf numFmtId="0" fontId="0" fillId="0" borderId="32" xfId="0" applyBorder="1"/>
    <xf numFmtId="0" fontId="28" fillId="9" borderId="35" xfId="3" applyFont="1" applyFill="1" applyBorder="1" applyAlignment="1" applyProtection="1">
      <alignment horizontal="center" vertical="center" wrapText="1"/>
      <protection locked="0"/>
    </xf>
    <xf numFmtId="0" fontId="0" fillId="0" borderId="28" xfId="0" applyBorder="1"/>
    <xf numFmtId="0" fontId="0" fillId="0" borderId="49" xfId="0" applyBorder="1"/>
    <xf numFmtId="0" fontId="14" fillId="11" borderId="1" xfId="3" applyFont="1" applyFill="1" applyBorder="1" applyAlignment="1">
      <alignment horizontal="center" vertical="center" wrapText="1"/>
    </xf>
    <xf numFmtId="0" fontId="0" fillId="0" borderId="3" xfId="0" applyBorder="1"/>
    <xf numFmtId="0" fontId="16" fillId="0" borderId="33" xfId="3" applyFont="1" applyBorder="1" applyAlignment="1" applyProtection="1">
      <alignment horizontal="center" vertical="center" wrapText="1"/>
      <protection locked="0"/>
    </xf>
    <xf numFmtId="0" fontId="43" fillId="0" borderId="1" xfId="17" applyFont="1" applyBorder="1" applyAlignment="1" applyProtection="1">
      <alignment horizontal="left" vertical="center" wrapText="1"/>
      <protection locked="0"/>
    </xf>
    <xf numFmtId="0" fontId="0" fillId="0" borderId="70" xfId="0" applyBorder="1"/>
    <xf numFmtId="0" fontId="9" fillId="2" borderId="26" xfId="14" applyFont="1" applyFill="1" applyBorder="1" applyAlignment="1">
      <alignment horizontal="center" vertical="center" wrapText="1"/>
    </xf>
    <xf numFmtId="0" fontId="11" fillId="0" borderId="0" xfId="0" applyFont="1" applyProtection="1">
      <protection locked="0"/>
    </xf>
    <xf numFmtId="0" fontId="9" fillId="0" borderId="0" xfId="0" applyFont="1" applyAlignment="1" applyProtection="1">
      <alignment horizontal="center"/>
      <protection locked="0"/>
    </xf>
    <xf numFmtId="0" fontId="9" fillId="0" borderId="0" xfId="0" applyFont="1" applyAlignment="1" applyProtection="1">
      <alignment wrapText="1"/>
      <protection locked="0"/>
    </xf>
    <xf numFmtId="0" fontId="9" fillId="0" borderId="0" xfId="0" applyFont="1" applyProtection="1">
      <protection locked="0"/>
    </xf>
    <xf numFmtId="0" fontId="9" fillId="3" borderId="61" xfId="14" applyFont="1" applyFill="1" applyBorder="1" applyAlignment="1">
      <alignment horizontal="center" vertical="center" wrapText="1"/>
    </xf>
    <xf numFmtId="0" fontId="0" fillId="0" borderId="62" xfId="0" applyBorder="1"/>
    <xf numFmtId="0" fontId="11" fillId="3" borderId="27" xfId="2" applyFont="1" applyFill="1" applyBorder="1" applyAlignment="1">
      <alignment horizontal="center" vertical="center" wrapText="1"/>
    </xf>
    <xf numFmtId="0" fontId="0" fillId="0" borderId="29" xfId="0" applyBorder="1"/>
    <xf numFmtId="0" fontId="2" fillId="0" borderId="27" xfId="10" applyFont="1" applyBorder="1" applyAlignment="1">
      <alignment horizontal="center" vertical="top" textRotation="90"/>
    </xf>
    <xf numFmtId="0" fontId="2" fillId="0" borderId="27" xfId="10" applyFont="1" applyBorder="1" applyAlignment="1">
      <alignment horizontal="center" vertical="top" textRotation="90" wrapText="1"/>
    </xf>
  </cellXfs>
  <cellStyles count="22">
    <cellStyle name="Check Cell" xfId="7" builtinId="23"/>
    <cellStyle name="Normal" xfId="0" builtinId="0"/>
    <cellStyle name="Normal 2" xfId="1" xr:uid="{00000000-0005-0000-0000-000001000000}"/>
    <cellStyle name="Normal 2 2" xfId="4" xr:uid="{00000000-0005-0000-0000-000004000000}"/>
    <cellStyle name="Normal 2 2 2" xfId="9" xr:uid="{00000000-0005-0000-0000-000009000000}"/>
    <cellStyle name="Normal 2 2 3" xfId="14" xr:uid="{00000000-0005-0000-0000-00000E000000}"/>
    <cellStyle name="Normal 2 2 3 2" xfId="15" xr:uid="{00000000-0005-0000-0000-00000F000000}"/>
    <cellStyle name="Normal 2 2 3 2 2" xfId="21" xr:uid="{00000000-0005-0000-0000-000015000000}"/>
    <cellStyle name="Normal 2 3" xfId="8" xr:uid="{00000000-0005-0000-0000-000008000000}"/>
    <cellStyle name="Normal 2 4" xfId="13" xr:uid="{00000000-0005-0000-0000-00000D000000}"/>
    <cellStyle name="Normal 3" xfId="3" xr:uid="{00000000-0005-0000-0000-000003000000}"/>
    <cellStyle name="Normal 3 2" xfId="6" xr:uid="{00000000-0005-0000-0000-000006000000}"/>
    <cellStyle name="Normal 3 3" xfId="17" xr:uid="{00000000-0005-0000-0000-000011000000}"/>
    <cellStyle name="Normal 3 5 2" xfId="20" xr:uid="{00000000-0005-0000-0000-000014000000}"/>
    <cellStyle name="Normal 4" xfId="5" xr:uid="{00000000-0005-0000-0000-000005000000}"/>
    <cellStyle name="Normal 4 2" xfId="10" xr:uid="{00000000-0005-0000-0000-00000A000000}"/>
    <cellStyle name="Normal 4 2 2" xfId="12" xr:uid="{00000000-0005-0000-0000-00000C000000}"/>
    <cellStyle name="Normal 5" xfId="2" xr:uid="{00000000-0005-0000-0000-000002000000}"/>
    <cellStyle name="Normal 6" xfId="16" xr:uid="{00000000-0005-0000-0000-000010000000}"/>
    <cellStyle name="Normal 8 2" xfId="19" xr:uid="{00000000-0005-0000-0000-000013000000}"/>
    <cellStyle name="Percent" xfId="11" builtinId="5"/>
    <cellStyle name="Percent 3" xfId="18" xr:uid="{00000000-0005-0000-0000-000012000000}"/>
  </cellStyles>
  <dxfs count="136">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EEB400"/>
        </patternFill>
      </fill>
    </dxf>
    <dxf>
      <fill>
        <patternFill patternType="solid">
          <fgColor indexed="64"/>
          <bgColor rgb="FFBA005D"/>
        </patternFill>
      </fill>
    </dxf>
    <dxf>
      <fill>
        <patternFill patternType="solid">
          <fgColor indexed="64"/>
          <bgColor rgb="FF9E004F"/>
        </patternFill>
      </fill>
    </dxf>
    <dxf>
      <fill>
        <patternFill>
          <bgColor rgb="FFF2DBDA"/>
        </patternFill>
      </fill>
    </dxf>
    <dxf>
      <fill>
        <patternFill>
          <bgColor rgb="FFE1AAA9"/>
        </patternFill>
      </fill>
    </dxf>
    <dxf>
      <fill>
        <patternFill>
          <bgColor theme="7" tint="0.59996337778862885"/>
        </patternFill>
      </fill>
    </dxf>
    <dxf>
      <fill>
        <patternFill>
          <bgColor theme="7" tint="0.39994506668294322"/>
        </patternFill>
      </fill>
    </dxf>
    <dxf>
      <fill>
        <patternFill patternType="solid">
          <fgColor indexed="64"/>
          <bgColor rgb="FFE4E300"/>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E3E0CF"/>
        </patternFill>
      </fill>
    </dxf>
    <dxf>
      <fill>
        <patternFill>
          <bgColor theme="2" tint="-0.24994659260841701"/>
        </patternFill>
      </fill>
    </dxf>
    <dxf>
      <fill>
        <patternFill>
          <bgColor rgb="FFFF0000"/>
        </patternFill>
      </fill>
    </dxf>
    <dxf>
      <fill>
        <patternFill patternType="solid">
          <fgColor indexed="64"/>
          <bgColor theme="0" tint="-4.9989318521683403E-2"/>
        </patternFill>
      </fill>
    </dxf>
    <dxf>
      <fill>
        <patternFill patternType="solid">
          <fgColor indexed="64"/>
          <bgColor theme="6" tint="0.7999816888943144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rgb="FFFF99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t="26785" b="35417"/>
        <a:stretch>
          <a:fillRect/>
        </a:stretch>
      </xdr:blipFill>
      <xdr:spPr bwMode="auto">
        <a:xfrm>
          <a:off x="0" y="28916"/>
          <a:ext cx="935182" cy="411480"/>
        </a:xfrm>
        <a:prstGeom prst="rect">
          <a:avLst/>
        </a:prstGeom>
        <a:noFill/>
        <a:ln>
          <a:noFill/>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A1:AB231"/>
  <sheetViews>
    <sheetView tabSelected="1" zoomScaleNormal="60" workbookViewId="0">
      <pane xSplit="4" ySplit="3" topLeftCell="E211" activePane="bottomRight" state="frozen"/>
      <selection pane="topRight" activeCell="E1" sqref="E1"/>
      <selection pane="bottomLeft" activeCell="A4" sqref="A4"/>
      <selection pane="bottomRight" activeCell="N213" sqref="N213"/>
    </sheetView>
  </sheetViews>
  <sheetFormatPr baseColWidth="10" defaultColWidth="8.83203125" defaultRowHeight="16" outlineLevelCol="1" x14ac:dyDescent="0.2"/>
  <cols>
    <col min="1" max="1" width="7.5" style="174" hidden="1" customWidth="1"/>
    <col min="2" max="2" width="26" style="248" customWidth="1"/>
    <col min="3" max="3" width="36.5" style="247" hidden="1" customWidth="1"/>
    <col min="4" max="4" width="72.5" style="246" customWidth="1"/>
    <col min="5" max="5" width="9.5" style="174" hidden="1" customWidth="1"/>
    <col min="6" max="6" width="15.83203125" style="174" customWidth="1"/>
    <col min="7" max="7" width="12.5" style="174" hidden="1" customWidth="1"/>
    <col min="8" max="8" width="41" style="174" hidden="1" customWidth="1"/>
    <col min="9" max="9" width="33" style="174" hidden="1" customWidth="1"/>
    <col min="10" max="10" width="41.83203125" style="174" hidden="1" customWidth="1"/>
    <col min="11" max="11" width="33.1640625" style="174" hidden="1" customWidth="1"/>
    <col min="12" max="12" width="47.5" style="174" customWidth="1"/>
    <col min="13" max="13" width="22.5" style="174" customWidth="1"/>
    <col min="14" max="14" width="40.83203125" style="174" customWidth="1"/>
    <col min="15" max="15" width="15" style="319" hidden="1" customWidth="1"/>
    <col min="16" max="16" width="8.83203125" style="185" hidden="1" customWidth="1"/>
    <col min="17" max="17" width="8.83203125" style="174" hidden="1" customWidth="1"/>
    <col min="18" max="18" width="20.5" style="222" hidden="1" customWidth="1"/>
    <col min="19" max="19" width="8.83203125" style="174" hidden="1" customWidth="1" outlineLevel="1"/>
    <col min="20" max="20" width="8.83203125" style="174" hidden="1" customWidth="1" collapsed="1"/>
    <col min="21" max="21" width="8.83203125" style="174" hidden="1" customWidth="1"/>
    <col min="22" max="22" width="15.5" style="318" hidden="1" customWidth="1"/>
    <col min="23" max="23" width="11.5" style="318" customWidth="1"/>
    <col min="24" max="24" width="10.5" style="174" hidden="1" customWidth="1" outlineLevel="1"/>
    <col min="25" max="25" width="8.83203125" style="174" customWidth="1" collapsed="1"/>
    <col min="26" max="26" width="8.83203125" style="174" customWidth="1"/>
    <col min="27" max="16384" width="8.83203125" style="174"/>
  </cols>
  <sheetData>
    <row r="1" spans="1:24" ht="18.75" customHeight="1" thickBot="1" x14ac:dyDescent="0.25">
      <c r="A1" s="599" t="s">
        <v>0</v>
      </c>
      <c r="B1" s="600"/>
      <c r="C1" s="601"/>
      <c r="D1" s="602"/>
      <c r="E1" s="603"/>
      <c r="F1" s="603"/>
      <c r="G1" s="603"/>
      <c r="H1" s="603"/>
      <c r="I1" s="603"/>
      <c r="J1" s="603"/>
      <c r="K1" s="603"/>
      <c r="L1" s="603"/>
      <c r="M1" s="603"/>
      <c r="N1" s="603"/>
      <c r="O1" s="290"/>
      <c r="P1" s="167"/>
      <c r="R1" s="167"/>
      <c r="V1" s="291"/>
      <c r="W1" s="291"/>
    </row>
    <row r="2" spans="1:24" ht="15" customHeight="1" thickBot="1" x14ac:dyDescent="0.25">
      <c r="A2" s="604" t="s">
        <v>1</v>
      </c>
      <c r="B2" s="605"/>
      <c r="C2" s="605"/>
      <c r="D2" s="605"/>
      <c r="E2" s="605"/>
      <c r="F2" s="605"/>
      <c r="G2" s="605"/>
      <c r="H2" s="605"/>
      <c r="I2" s="605"/>
      <c r="J2" s="605"/>
      <c r="K2" s="605"/>
      <c r="L2" s="605"/>
      <c r="M2" s="605"/>
      <c r="N2" s="606" t="s">
        <v>2</v>
      </c>
      <c r="O2" s="290"/>
      <c r="P2" s="167"/>
      <c r="V2" s="291"/>
      <c r="W2" s="291"/>
    </row>
    <row r="3" spans="1:24" s="248" customFormat="1" ht="61.5" customHeight="1" thickBot="1" x14ac:dyDescent="0.25">
      <c r="A3" s="245" t="s">
        <v>3</v>
      </c>
      <c r="B3" s="244" t="s">
        <v>4</v>
      </c>
      <c r="C3" s="242" t="s">
        <v>5</v>
      </c>
      <c r="D3" s="244" t="s">
        <v>6</v>
      </c>
      <c r="E3" s="243" t="s">
        <v>7</v>
      </c>
      <c r="F3" s="244" t="s">
        <v>8</v>
      </c>
      <c r="G3" s="243" t="s">
        <v>9</v>
      </c>
      <c r="H3" s="242" t="s">
        <v>10</v>
      </c>
      <c r="I3" s="242" t="s">
        <v>11</v>
      </c>
      <c r="J3" s="241" t="s">
        <v>12</v>
      </c>
      <c r="K3" s="241" t="s">
        <v>13</v>
      </c>
      <c r="L3" s="240" t="s">
        <v>14</v>
      </c>
      <c r="M3" s="240" t="s">
        <v>15</v>
      </c>
      <c r="N3" s="607"/>
      <c r="O3" s="286" t="s">
        <v>16</v>
      </c>
      <c r="P3" s="267"/>
      <c r="R3" s="334" t="s">
        <v>17</v>
      </c>
      <c r="V3" s="286" t="s">
        <v>18</v>
      </c>
      <c r="W3" s="287" t="s">
        <v>19</v>
      </c>
      <c r="X3" s="287" t="s">
        <v>20</v>
      </c>
    </row>
    <row r="4" spans="1:24" ht="18" customHeight="1" thickBot="1" x14ac:dyDescent="0.25">
      <c r="A4" s="588" t="s">
        <v>21</v>
      </c>
      <c r="B4" s="589"/>
      <c r="C4" s="589"/>
      <c r="D4" s="589"/>
      <c r="E4" s="589"/>
      <c r="F4" s="589"/>
      <c r="G4" s="589"/>
      <c r="H4" s="589"/>
      <c r="I4" s="589"/>
      <c r="J4" s="589"/>
      <c r="K4" s="589"/>
      <c r="L4" s="589"/>
      <c r="M4" s="589"/>
      <c r="N4" s="590"/>
      <c r="O4" s="290"/>
      <c r="P4" s="167"/>
      <c r="R4" s="222" t="s">
        <v>22</v>
      </c>
      <c r="V4" s="291"/>
      <c r="W4" s="288" t="str">
        <f>IF(V4="","",V4*T4)</f>
        <v/>
      </c>
      <c r="X4" s="167" t="str">
        <f t="shared" ref="X4:X26" si="0">IF(R4="yes",W4,"")</f>
        <v/>
      </c>
    </row>
    <row r="5" spans="1:24" ht="26.25" customHeight="1" x14ac:dyDescent="0.2">
      <c r="A5" s="88" t="s">
        <v>23</v>
      </c>
      <c r="B5" s="254" t="s">
        <v>24</v>
      </c>
      <c r="C5" s="263"/>
      <c r="D5" s="171" t="s">
        <v>24</v>
      </c>
      <c r="E5" s="170">
        <f t="shared" ref="E5:E19" si="1">LEN(D5)</f>
        <v>5</v>
      </c>
      <c r="F5" s="170" t="s">
        <v>25</v>
      </c>
      <c r="G5" s="170" t="s">
        <v>23</v>
      </c>
      <c r="H5" s="170" t="s">
        <v>23</v>
      </c>
      <c r="I5" s="170" t="s">
        <v>26</v>
      </c>
      <c r="J5" s="169" t="s">
        <v>27</v>
      </c>
      <c r="K5" s="239" t="s">
        <v>23</v>
      </c>
      <c r="L5" s="239" t="s">
        <v>23</v>
      </c>
      <c r="M5" s="70"/>
      <c r="N5" s="9"/>
      <c r="O5" s="290"/>
      <c r="P5" s="167"/>
      <c r="R5" s="222" t="s">
        <v>22</v>
      </c>
      <c r="V5" s="289">
        <v>0</v>
      </c>
      <c r="W5" s="288">
        <f t="shared" ref="W5:W26" si="2">IF(V5="","",V5*O5)</f>
        <v>0</v>
      </c>
      <c r="X5" s="167" t="str">
        <f t="shared" si="0"/>
        <v/>
      </c>
    </row>
    <row r="6" spans="1:24" ht="17" customHeight="1" x14ac:dyDescent="0.2">
      <c r="A6" s="88" t="s">
        <v>23</v>
      </c>
      <c r="B6" s="217" t="s">
        <v>28</v>
      </c>
      <c r="C6" s="172" t="s">
        <v>28</v>
      </c>
      <c r="D6" s="190" t="s">
        <v>29</v>
      </c>
      <c r="E6" s="170">
        <f t="shared" si="1"/>
        <v>48</v>
      </c>
      <c r="F6" s="170" t="s">
        <v>25</v>
      </c>
      <c r="G6" s="170" t="s">
        <v>23</v>
      </c>
      <c r="H6" s="170" t="s">
        <v>23</v>
      </c>
      <c r="I6" s="170" t="s">
        <v>26</v>
      </c>
      <c r="J6" s="169" t="s">
        <v>30</v>
      </c>
      <c r="K6" s="239" t="s">
        <v>23</v>
      </c>
      <c r="L6" s="239" t="s">
        <v>23</v>
      </c>
      <c r="M6" s="70"/>
      <c r="N6" s="41"/>
      <c r="O6" s="290"/>
      <c r="P6" s="167"/>
      <c r="R6" s="222" t="s">
        <v>31</v>
      </c>
      <c r="V6" s="289">
        <v>0</v>
      </c>
      <c r="W6" s="288">
        <f t="shared" si="2"/>
        <v>0</v>
      </c>
      <c r="X6" s="167">
        <f t="shared" si="0"/>
        <v>0</v>
      </c>
    </row>
    <row r="7" spans="1:24" ht="136" customHeight="1" x14ac:dyDescent="0.2">
      <c r="A7" s="35" t="s">
        <v>23</v>
      </c>
      <c r="B7" s="209" t="s">
        <v>32</v>
      </c>
      <c r="C7" s="172" t="s">
        <v>32</v>
      </c>
      <c r="D7" s="190" t="s">
        <v>33</v>
      </c>
      <c r="E7" s="178">
        <f t="shared" si="1"/>
        <v>146</v>
      </c>
      <c r="F7" s="184" t="s">
        <v>34</v>
      </c>
      <c r="G7" s="178" t="s">
        <v>23</v>
      </c>
      <c r="H7" s="178" t="s">
        <v>23</v>
      </c>
      <c r="I7" s="178" t="s">
        <v>35</v>
      </c>
      <c r="J7" s="177" t="s">
        <v>36</v>
      </c>
      <c r="K7" s="239" t="s">
        <v>23</v>
      </c>
      <c r="L7" s="228" t="s">
        <v>23</v>
      </c>
      <c r="M7" s="71"/>
      <c r="N7" s="10"/>
      <c r="O7" s="290"/>
      <c r="P7" s="167"/>
      <c r="R7" s="222" t="s">
        <v>22</v>
      </c>
      <c r="V7" s="289">
        <v>14.69530773162842</v>
      </c>
      <c r="W7" s="288">
        <f t="shared" si="2"/>
        <v>0</v>
      </c>
      <c r="X7" s="167" t="str">
        <f t="shared" si="0"/>
        <v/>
      </c>
    </row>
    <row r="8" spans="1:24" ht="37.5" customHeight="1" x14ac:dyDescent="0.2">
      <c r="A8" s="35" t="s">
        <v>23</v>
      </c>
      <c r="B8" s="209" t="s">
        <v>37</v>
      </c>
      <c r="C8" s="172" t="s">
        <v>38</v>
      </c>
      <c r="D8" s="238" t="s">
        <v>39</v>
      </c>
      <c r="E8" s="178">
        <f t="shared" si="1"/>
        <v>29</v>
      </c>
      <c r="F8" s="184" t="s">
        <v>23</v>
      </c>
      <c r="G8" s="184" t="s">
        <v>23</v>
      </c>
      <c r="H8" s="184" t="s">
        <v>23</v>
      </c>
      <c r="I8" s="184" t="s">
        <v>23</v>
      </c>
      <c r="J8" s="237" t="s">
        <v>40</v>
      </c>
      <c r="K8" s="239" t="s">
        <v>23</v>
      </c>
      <c r="L8" s="236" t="s">
        <v>23</v>
      </c>
      <c r="M8" s="72"/>
      <c r="N8" s="11"/>
      <c r="O8" s="290"/>
      <c r="P8" s="167"/>
      <c r="R8" s="222" t="s">
        <v>22</v>
      </c>
      <c r="V8" s="289">
        <v>0</v>
      </c>
      <c r="W8" s="288">
        <f t="shared" si="2"/>
        <v>0</v>
      </c>
      <c r="X8" s="167" t="str">
        <f t="shared" si="0"/>
        <v/>
      </c>
    </row>
    <row r="9" spans="1:24" ht="37.5" customHeight="1" x14ac:dyDescent="0.2">
      <c r="A9" s="35" t="s">
        <v>23</v>
      </c>
      <c r="B9" s="209" t="s">
        <v>41</v>
      </c>
      <c r="C9" s="172" t="s">
        <v>42</v>
      </c>
      <c r="D9" s="238" t="s">
        <v>43</v>
      </c>
      <c r="E9" s="178">
        <f t="shared" si="1"/>
        <v>31</v>
      </c>
      <c r="F9" s="184" t="s">
        <v>23</v>
      </c>
      <c r="G9" s="184" t="s">
        <v>23</v>
      </c>
      <c r="H9" s="184" t="s">
        <v>23</v>
      </c>
      <c r="I9" s="184" t="s">
        <v>23</v>
      </c>
      <c r="J9" s="237" t="s">
        <v>44</v>
      </c>
      <c r="K9" s="239" t="s">
        <v>23</v>
      </c>
      <c r="L9" s="236" t="s">
        <v>23</v>
      </c>
      <c r="M9" s="72"/>
      <c r="N9" s="11"/>
      <c r="O9" s="290"/>
      <c r="P9" s="167"/>
      <c r="R9" s="222" t="s">
        <v>22</v>
      </c>
      <c r="V9" s="289">
        <v>0</v>
      </c>
      <c r="W9" s="288">
        <f t="shared" si="2"/>
        <v>0</v>
      </c>
      <c r="X9" s="167" t="str">
        <f t="shared" si="0"/>
        <v/>
      </c>
    </row>
    <row r="10" spans="1:24" ht="37.5" customHeight="1" x14ac:dyDescent="0.2">
      <c r="A10" s="35" t="s">
        <v>23</v>
      </c>
      <c r="B10" s="209" t="s">
        <v>45</v>
      </c>
      <c r="C10" s="172" t="s">
        <v>46</v>
      </c>
      <c r="D10" s="238" t="s">
        <v>47</v>
      </c>
      <c r="E10" s="178">
        <f t="shared" si="1"/>
        <v>34</v>
      </c>
      <c r="F10" s="184" t="s">
        <v>23</v>
      </c>
      <c r="G10" s="184" t="s">
        <v>23</v>
      </c>
      <c r="H10" s="184" t="s">
        <v>23</v>
      </c>
      <c r="I10" s="184" t="s">
        <v>23</v>
      </c>
      <c r="J10" s="237" t="s">
        <v>48</v>
      </c>
      <c r="K10" s="239" t="s">
        <v>23</v>
      </c>
      <c r="L10" s="236" t="s">
        <v>23</v>
      </c>
      <c r="M10" s="72"/>
      <c r="N10" s="11"/>
      <c r="O10" s="290"/>
      <c r="P10" s="167"/>
      <c r="R10" s="222" t="s">
        <v>22</v>
      </c>
      <c r="V10" s="289">
        <v>0</v>
      </c>
      <c r="W10" s="288">
        <f t="shared" si="2"/>
        <v>0</v>
      </c>
      <c r="X10" s="167" t="str">
        <f t="shared" si="0"/>
        <v/>
      </c>
    </row>
    <row r="11" spans="1:24" ht="37.5" customHeight="1" x14ac:dyDescent="0.2">
      <c r="A11" s="35" t="s">
        <v>23</v>
      </c>
      <c r="B11" s="209" t="s">
        <v>49</v>
      </c>
      <c r="C11" s="172" t="s">
        <v>50</v>
      </c>
      <c r="D11" s="238" t="s">
        <v>51</v>
      </c>
      <c r="E11" s="178">
        <f t="shared" si="1"/>
        <v>41</v>
      </c>
      <c r="F11" s="184" t="s">
        <v>23</v>
      </c>
      <c r="G11" s="184" t="s">
        <v>23</v>
      </c>
      <c r="H11" s="184" t="s">
        <v>23</v>
      </c>
      <c r="I11" s="184" t="s">
        <v>23</v>
      </c>
      <c r="J11" s="237" t="s">
        <v>52</v>
      </c>
      <c r="K11" s="239" t="s">
        <v>23</v>
      </c>
      <c r="L11" s="236" t="s">
        <v>23</v>
      </c>
      <c r="M11" s="72"/>
      <c r="N11" s="11"/>
      <c r="O11" s="290"/>
      <c r="P11" s="167"/>
      <c r="R11" s="222" t="s">
        <v>22</v>
      </c>
      <c r="V11" s="289">
        <v>0</v>
      </c>
      <c r="W11" s="288">
        <f t="shared" si="2"/>
        <v>0</v>
      </c>
      <c r="X11" s="167" t="str">
        <f t="shared" si="0"/>
        <v/>
      </c>
    </row>
    <row r="12" spans="1:24" ht="98" customHeight="1" x14ac:dyDescent="0.2">
      <c r="A12" s="35" t="s">
        <v>23</v>
      </c>
      <c r="B12" s="209" t="s">
        <v>53</v>
      </c>
      <c r="C12" s="172" t="s">
        <v>53</v>
      </c>
      <c r="D12" s="393" t="s">
        <v>54</v>
      </c>
      <c r="E12" s="178">
        <f t="shared" si="1"/>
        <v>148</v>
      </c>
      <c r="F12" s="184" t="s">
        <v>34</v>
      </c>
      <c r="G12" s="178" t="s">
        <v>23</v>
      </c>
      <c r="H12" s="178" t="s">
        <v>23</v>
      </c>
      <c r="I12" s="178" t="s">
        <v>35</v>
      </c>
      <c r="J12" s="392" t="s">
        <v>55</v>
      </c>
      <c r="K12" s="239" t="s">
        <v>23</v>
      </c>
      <c r="L12" s="235" t="s">
        <v>56</v>
      </c>
      <c r="M12" s="73"/>
      <c r="N12" s="12" t="s">
        <v>57</v>
      </c>
      <c r="O12" s="290"/>
      <c r="P12" s="167"/>
      <c r="R12" s="222" t="s">
        <v>22</v>
      </c>
      <c r="V12" s="289">
        <v>3.103272438049316</v>
      </c>
      <c r="W12" s="288">
        <f t="shared" si="2"/>
        <v>0</v>
      </c>
      <c r="X12" s="167" t="str">
        <f t="shared" si="0"/>
        <v/>
      </c>
    </row>
    <row r="13" spans="1:24" ht="404" customHeight="1" x14ac:dyDescent="0.2">
      <c r="A13" s="35" t="s">
        <v>23</v>
      </c>
      <c r="B13" s="209" t="s">
        <v>58</v>
      </c>
      <c r="C13" s="172" t="s">
        <v>58</v>
      </c>
      <c r="D13" s="36" t="s">
        <v>59</v>
      </c>
      <c r="E13" s="178">
        <f t="shared" si="1"/>
        <v>1133</v>
      </c>
      <c r="F13" s="184" t="s">
        <v>34</v>
      </c>
      <c r="G13" s="178" t="s">
        <v>23</v>
      </c>
      <c r="H13" s="178" t="s">
        <v>23</v>
      </c>
      <c r="I13" s="178" t="s">
        <v>35</v>
      </c>
      <c r="J13" s="177" t="s">
        <v>60</v>
      </c>
      <c r="K13" s="239" t="s">
        <v>23</v>
      </c>
      <c r="L13" s="235" t="s">
        <v>61</v>
      </c>
      <c r="M13" s="73"/>
      <c r="N13" s="12" t="s">
        <v>62</v>
      </c>
      <c r="O13" s="290"/>
      <c r="P13" s="167"/>
      <c r="R13" s="222" t="s">
        <v>22</v>
      </c>
      <c r="V13" s="289">
        <v>37.418449401855469</v>
      </c>
      <c r="W13" s="288">
        <f t="shared" si="2"/>
        <v>0</v>
      </c>
      <c r="X13" s="167" t="str">
        <f t="shared" si="0"/>
        <v/>
      </c>
    </row>
    <row r="14" spans="1:24" s="173" customFormat="1" ht="119" customHeight="1" x14ac:dyDescent="0.2">
      <c r="A14" s="35" t="s">
        <v>23</v>
      </c>
      <c r="B14" s="209" t="s">
        <v>63</v>
      </c>
      <c r="C14" s="172" t="s">
        <v>64</v>
      </c>
      <c r="D14" s="190" t="s">
        <v>65</v>
      </c>
      <c r="E14" s="178">
        <f t="shared" si="1"/>
        <v>134</v>
      </c>
      <c r="F14" s="184" t="s">
        <v>66</v>
      </c>
      <c r="G14" s="178" t="s">
        <v>23</v>
      </c>
      <c r="H14" s="178" t="s">
        <v>23</v>
      </c>
      <c r="I14" s="178" t="s">
        <v>35</v>
      </c>
      <c r="J14" s="177" t="s">
        <v>67</v>
      </c>
      <c r="K14" s="239" t="s">
        <v>23</v>
      </c>
      <c r="L14" s="177" t="s">
        <v>68</v>
      </c>
      <c r="M14" s="74"/>
      <c r="N14" s="10"/>
      <c r="O14" s="290">
        <v>1</v>
      </c>
      <c r="P14" s="167"/>
      <c r="R14" s="222" t="s">
        <v>22</v>
      </c>
      <c r="S14" s="174"/>
      <c r="V14" s="289">
        <v>3.805951595306396</v>
      </c>
      <c r="W14" s="288">
        <f t="shared" si="2"/>
        <v>3.805951595306396</v>
      </c>
      <c r="X14" s="167" t="str">
        <f t="shared" si="0"/>
        <v/>
      </c>
    </row>
    <row r="15" spans="1:24" s="173" customFormat="1" ht="119" customHeight="1" x14ac:dyDescent="0.2">
      <c r="A15" s="35" t="s">
        <v>23</v>
      </c>
      <c r="B15" s="209" t="s">
        <v>69</v>
      </c>
      <c r="C15" s="172" t="s">
        <v>69</v>
      </c>
      <c r="D15" s="220" t="s">
        <v>70</v>
      </c>
      <c r="E15" s="178">
        <f t="shared" si="1"/>
        <v>153</v>
      </c>
      <c r="F15" s="184" t="s">
        <v>71</v>
      </c>
      <c r="G15" s="178" t="s">
        <v>23</v>
      </c>
      <c r="H15" s="178" t="s">
        <v>23</v>
      </c>
      <c r="I15" s="178" t="s">
        <v>72</v>
      </c>
      <c r="J15" s="177" t="s">
        <v>73</v>
      </c>
      <c r="K15" s="239" t="s">
        <v>23</v>
      </c>
      <c r="L15" s="177" t="s">
        <v>74</v>
      </c>
      <c r="M15" s="74"/>
      <c r="N15" s="10"/>
      <c r="O15" s="290">
        <v>1</v>
      </c>
      <c r="P15" s="167"/>
      <c r="R15" s="175" t="s">
        <v>22</v>
      </c>
      <c r="S15" s="174"/>
      <c r="V15" s="289">
        <v>0</v>
      </c>
      <c r="W15" s="288">
        <f t="shared" si="2"/>
        <v>0</v>
      </c>
      <c r="X15" s="167" t="str">
        <f t="shared" si="0"/>
        <v/>
      </c>
    </row>
    <row r="16" spans="1:24" s="173" customFormat="1" ht="51" customHeight="1" x14ac:dyDescent="0.2">
      <c r="A16" s="35" t="s">
        <v>23</v>
      </c>
      <c r="B16" s="209" t="s">
        <v>75</v>
      </c>
      <c r="C16" s="172" t="s">
        <v>76</v>
      </c>
      <c r="D16" s="190" t="s">
        <v>77</v>
      </c>
      <c r="E16" s="178">
        <f t="shared" si="1"/>
        <v>80</v>
      </c>
      <c r="F16" s="184" t="s">
        <v>25</v>
      </c>
      <c r="G16" s="178" t="s">
        <v>23</v>
      </c>
      <c r="H16" s="178" t="s">
        <v>23</v>
      </c>
      <c r="I16" s="178" t="s">
        <v>78</v>
      </c>
      <c r="J16" s="177" t="s">
        <v>79</v>
      </c>
      <c r="K16" s="239" t="s">
        <v>23</v>
      </c>
      <c r="L16" s="177" t="s">
        <v>80</v>
      </c>
      <c r="M16" s="74"/>
      <c r="N16" s="10"/>
      <c r="O16" s="290">
        <v>1</v>
      </c>
      <c r="P16" s="167"/>
      <c r="R16" s="175" t="s">
        <v>22</v>
      </c>
      <c r="S16" s="174"/>
      <c r="V16" s="289">
        <v>0</v>
      </c>
      <c r="W16" s="288">
        <f t="shared" si="2"/>
        <v>0</v>
      </c>
      <c r="X16" s="167" t="str">
        <f t="shared" si="0"/>
        <v/>
      </c>
    </row>
    <row r="17" spans="1:25" s="173" customFormat="1" ht="85" customHeight="1" x14ac:dyDescent="0.2">
      <c r="A17" s="35" t="s">
        <v>23</v>
      </c>
      <c r="B17" s="209" t="s">
        <v>81</v>
      </c>
      <c r="C17" s="172" t="s">
        <v>82</v>
      </c>
      <c r="D17" s="190" t="s">
        <v>83</v>
      </c>
      <c r="E17" s="178">
        <f t="shared" si="1"/>
        <v>176</v>
      </c>
      <c r="F17" s="184" t="s">
        <v>25</v>
      </c>
      <c r="G17" s="178" t="s">
        <v>23</v>
      </c>
      <c r="H17" s="178" t="s">
        <v>23</v>
      </c>
      <c r="I17" s="178" t="s">
        <v>26</v>
      </c>
      <c r="J17" s="177" t="s">
        <v>84</v>
      </c>
      <c r="K17" s="239" t="s">
        <v>23</v>
      </c>
      <c r="L17" s="228" t="s">
        <v>23</v>
      </c>
      <c r="M17" s="71"/>
      <c r="N17" s="10"/>
      <c r="O17" s="290">
        <v>1</v>
      </c>
      <c r="P17" s="167"/>
      <c r="R17" s="175" t="s">
        <v>22</v>
      </c>
      <c r="S17" s="174"/>
      <c r="V17" s="289">
        <v>0</v>
      </c>
      <c r="W17" s="288">
        <f t="shared" si="2"/>
        <v>0</v>
      </c>
      <c r="X17" s="167" t="str">
        <f t="shared" si="0"/>
        <v/>
      </c>
    </row>
    <row r="18" spans="1:25" s="173" customFormat="1" ht="50.25" customHeight="1" x14ac:dyDescent="0.2">
      <c r="A18" s="35" t="s">
        <v>23</v>
      </c>
      <c r="B18" s="209" t="s">
        <v>85</v>
      </c>
      <c r="C18" s="172" t="s">
        <v>23</v>
      </c>
      <c r="D18" s="190" t="s">
        <v>86</v>
      </c>
      <c r="E18" s="178">
        <f t="shared" si="1"/>
        <v>99</v>
      </c>
      <c r="F18" s="184" t="s">
        <v>23</v>
      </c>
      <c r="G18" s="178" t="s">
        <v>23</v>
      </c>
      <c r="H18" s="178" t="s">
        <v>23</v>
      </c>
      <c r="I18" s="178" t="s">
        <v>23</v>
      </c>
      <c r="J18" s="177" t="s">
        <v>87</v>
      </c>
      <c r="K18" s="239" t="s">
        <v>23</v>
      </c>
      <c r="L18" s="228" t="s">
        <v>23</v>
      </c>
      <c r="M18" s="71"/>
      <c r="N18" s="10"/>
      <c r="O18" s="290">
        <v>1</v>
      </c>
      <c r="P18" s="167"/>
      <c r="R18" s="175" t="s">
        <v>22</v>
      </c>
      <c r="S18" s="174"/>
      <c r="V18" s="289">
        <v>0</v>
      </c>
      <c r="W18" s="288">
        <f t="shared" si="2"/>
        <v>0</v>
      </c>
      <c r="X18" s="167" t="str">
        <f t="shared" si="0"/>
        <v/>
      </c>
    </row>
    <row r="19" spans="1:25" s="173" customFormat="1" ht="50.25" customHeight="1" thickBot="1" x14ac:dyDescent="0.25">
      <c r="A19" s="333" t="s">
        <v>23</v>
      </c>
      <c r="B19" s="234" t="s">
        <v>88</v>
      </c>
      <c r="C19" s="233" t="s">
        <v>89</v>
      </c>
      <c r="D19" s="232" t="s">
        <v>90</v>
      </c>
      <c r="E19" s="230">
        <f t="shared" si="1"/>
        <v>65</v>
      </c>
      <c r="F19" s="231" t="s">
        <v>23</v>
      </c>
      <c r="G19" s="230" t="s">
        <v>23</v>
      </c>
      <c r="H19" s="230" t="s">
        <v>23</v>
      </c>
      <c r="I19" s="230" t="s">
        <v>23</v>
      </c>
      <c r="J19" s="229" t="s">
        <v>91</v>
      </c>
      <c r="K19" s="239" t="s">
        <v>23</v>
      </c>
      <c r="L19" s="228" t="s">
        <v>23</v>
      </c>
      <c r="M19" s="75"/>
      <c r="N19" s="13"/>
      <c r="O19" s="290">
        <v>1</v>
      </c>
      <c r="P19" s="167"/>
      <c r="R19" s="175" t="s">
        <v>22</v>
      </c>
      <c r="S19" s="174"/>
      <c r="V19" s="289">
        <v>0</v>
      </c>
      <c r="W19" s="288">
        <f t="shared" si="2"/>
        <v>0</v>
      </c>
      <c r="X19" s="167" t="str">
        <f t="shared" si="0"/>
        <v/>
      </c>
    </row>
    <row r="20" spans="1:25" s="382" customFormat="1" ht="17" customHeight="1" thickBot="1" x14ac:dyDescent="0.25">
      <c r="A20" s="588" t="s">
        <v>92</v>
      </c>
      <c r="B20" s="589"/>
      <c r="C20" s="589"/>
      <c r="D20" s="589"/>
      <c r="E20" s="589"/>
      <c r="F20" s="589"/>
      <c r="G20" s="589"/>
      <c r="H20" s="589"/>
      <c r="I20" s="589"/>
      <c r="J20" s="589"/>
      <c r="K20" s="589"/>
      <c r="L20" s="589"/>
      <c r="M20" s="589"/>
      <c r="N20" s="590"/>
      <c r="O20" s="285"/>
      <c r="P20" s="384"/>
      <c r="R20" s="383"/>
      <c r="S20" s="385"/>
      <c r="V20" s="288"/>
      <c r="W20" s="288" t="str">
        <f t="shared" si="2"/>
        <v/>
      </c>
      <c r="X20" s="384" t="str">
        <f t="shared" si="0"/>
        <v/>
      </c>
    </row>
    <row r="21" spans="1:25" s="173" customFormat="1" ht="85" customHeight="1" x14ac:dyDescent="0.2">
      <c r="A21" s="88">
        <v>1</v>
      </c>
      <c r="B21" s="266" t="s">
        <v>93</v>
      </c>
      <c r="C21" s="227" t="s">
        <v>93</v>
      </c>
      <c r="D21" s="171" t="s">
        <v>94</v>
      </c>
      <c r="E21" s="226">
        <f>LEN(D21)</f>
        <v>177</v>
      </c>
      <c r="F21" s="226" t="s">
        <v>95</v>
      </c>
      <c r="G21" s="226" t="s">
        <v>23</v>
      </c>
      <c r="H21" s="226" t="s">
        <v>23</v>
      </c>
      <c r="I21" s="226" t="s">
        <v>26</v>
      </c>
      <c r="J21" s="169" t="s">
        <v>96</v>
      </c>
      <c r="K21" s="239" t="s">
        <v>23</v>
      </c>
      <c r="L21" s="225" t="s">
        <v>97</v>
      </c>
      <c r="M21" s="224"/>
      <c r="N21" s="58"/>
      <c r="O21" s="285">
        <f>1</f>
        <v>1</v>
      </c>
      <c r="P21" s="167"/>
      <c r="R21" s="387" t="s">
        <v>31</v>
      </c>
      <c r="S21" s="174"/>
      <c r="V21" s="288">
        <v>9.8907184600830078</v>
      </c>
      <c r="W21" s="288">
        <f t="shared" si="2"/>
        <v>9.8907184600830078</v>
      </c>
      <c r="X21" s="167">
        <f t="shared" si="0"/>
        <v>9.8907184600830078</v>
      </c>
    </row>
    <row r="22" spans="1:25" s="173" customFormat="1" ht="153" customHeight="1" x14ac:dyDescent="0.2">
      <c r="A22" s="88">
        <f>A21+1</f>
        <v>2</v>
      </c>
      <c r="B22" s="209" t="s">
        <v>98</v>
      </c>
      <c r="C22" s="172" t="s">
        <v>98</v>
      </c>
      <c r="D22" s="190" t="s">
        <v>99</v>
      </c>
      <c r="E22" s="178">
        <f>LEN(D22)</f>
        <v>168</v>
      </c>
      <c r="F22" s="184" t="s">
        <v>34</v>
      </c>
      <c r="G22" s="178" t="s">
        <v>23</v>
      </c>
      <c r="H22" s="178" t="s">
        <v>23</v>
      </c>
      <c r="I22" s="178" t="s">
        <v>35</v>
      </c>
      <c r="J22" s="177" t="s">
        <v>100</v>
      </c>
      <c r="K22" s="239" t="s">
        <v>23</v>
      </c>
      <c r="L22" s="169" t="s">
        <v>101</v>
      </c>
      <c r="M22" s="76"/>
      <c r="N22" s="10"/>
      <c r="O22" s="285">
        <f>1</f>
        <v>1</v>
      </c>
      <c r="P22" s="167"/>
      <c r="R22" s="387" t="s">
        <v>31</v>
      </c>
      <c r="S22" s="174"/>
      <c r="V22" s="288">
        <v>1.7156481742858889</v>
      </c>
      <c r="W22" s="288">
        <f t="shared" si="2"/>
        <v>1.7156481742858889</v>
      </c>
      <c r="X22" s="167">
        <f t="shared" si="0"/>
        <v>1.7156481742858889</v>
      </c>
    </row>
    <row r="23" spans="1:25" s="173" customFormat="1" x14ac:dyDescent="0.2">
      <c r="A23" s="88"/>
      <c r="B23" s="280"/>
      <c r="C23" s="89"/>
      <c r="D23" s="155"/>
      <c r="E23" s="37"/>
      <c r="F23" s="90"/>
      <c r="G23" s="37"/>
      <c r="H23" s="37"/>
      <c r="I23" s="37"/>
      <c r="J23" s="76"/>
      <c r="K23" s="76"/>
      <c r="L23" s="76"/>
      <c r="M23" s="76"/>
      <c r="N23" s="10"/>
      <c r="O23" s="290">
        <f>1</f>
        <v>1</v>
      </c>
      <c r="P23" s="167"/>
      <c r="R23" s="222"/>
      <c r="S23" s="174"/>
      <c r="V23" s="289"/>
      <c r="W23" s="289" t="str">
        <f t="shared" si="2"/>
        <v/>
      </c>
      <c r="X23" s="167" t="str">
        <f t="shared" si="0"/>
        <v/>
      </c>
    </row>
    <row r="24" spans="1:25" s="164" customFormat="1" x14ac:dyDescent="0.2">
      <c r="A24" s="62"/>
      <c r="B24" s="265"/>
      <c r="C24" s="265"/>
      <c r="D24" s="66"/>
      <c r="E24" s="63"/>
      <c r="F24" s="64"/>
      <c r="G24" s="63"/>
      <c r="H24" s="63"/>
      <c r="I24" s="63"/>
      <c r="J24" s="65"/>
      <c r="K24" s="70"/>
      <c r="L24" s="67"/>
      <c r="M24" s="68"/>
      <c r="N24" s="60"/>
      <c r="O24" s="290">
        <f>1</f>
        <v>1</v>
      </c>
      <c r="P24" s="167"/>
      <c r="R24" s="166"/>
      <c r="S24" s="165"/>
      <c r="V24" s="289"/>
      <c r="W24" s="289" t="str">
        <f t="shared" si="2"/>
        <v/>
      </c>
      <c r="X24" s="167" t="str">
        <f t="shared" si="0"/>
        <v/>
      </c>
    </row>
    <row r="25" spans="1:25" s="173" customFormat="1" ht="153" customHeight="1" x14ac:dyDescent="0.2">
      <c r="A25" s="88">
        <v>3</v>
      </c>
      <c r="B25" s="254" t="s">
        <v>102</v>
      </c>
      <c r="C25" s="172" t="s">
        <v>102</v>
      </c>
      <c r="D25" s="171" t="s">
        <v>103</v>
      </c>
      <c r="E25" s="170">
        <f>LEN(D25)</f>
        <v>230</v>
      </c>
      <c r="F25" s="180" t="s">
        <v>34</v>
      </c>
      <c r="G25" s="170" t="s">
        <v>23</v>
      </c>
      <c r="H25" s="170" t="s">
        <v>23</v>
      </c>
      <c r="I25" s="170" t="s">
        <v>104</v>
      </c>
      <c r="J25" s="361" t="s">
        <v>105</v>
      </c>
      <c r="K25" s="239" t="s">
        <v>23</v>
      </c>
      <c r="L25" s="594" t="s">
        <v>106</v>
      </c>
      <c r="M25" s="295"/>
      <c r="N25" s="10"/>
      <c r="O25" s="285">
        <f>1</f>
        <v>1</v>
      </c>
      <c r="P25" s="167"/>
      <c r="R25" s="387" t="s">
        <v>31</v>
      </c>
      <c r="S25" s="174"/>
      <c r="V25" s="288">
        <v>13.957258919109851</v>
      </c>
      <c r="W25" s="288">
        <f t="shared" si="2"/>
        <v>13.957258919109851</v>
      </c>
      <c r="X25" s="167">
        <f t="shared" si="0"/>
        <v>13.957258919109851</v>
      </c>
    </row>
    <row r="26" spans="1:25" s="173" customFormat="1" ht="119" customHeight="1" x14ac:dyDescent="0.2">
      <c r="A26" s="35">
        <f>A25+1</f>
        <v>4</v>
      </c>
      <c r="B26" s="486" t="s">
        <v>107</v>
      </c>
      <c r="C26" s="487" t="s">
        <v>107</v>
      </c>
      <c r="D26" s="485" t="s">
        <v>108</v>
      </c>
      <c r="E26" s="178">
        <f>LEN(D26)</f>
        <v>120</v>
      </c>
      <c r="F26" s="184" t="s">
        <v>34</v>
      </c>
      <c r="G26" s="178" t="s">
        <v>23</v>
      </c>
      <c r="H26" s="178" t="s">
        <v>23</v>
      </c>
      <c r="I26" s="178" t="s">
        <v>109</v>
      </c>
      <c r="J26" s="362" t="s">
        <v>110</v>
      </c>
      <c r="K26" s="239" t="s">
        <v>23</v>
      </c>
      <c r="L26" s="595"/>
      <c r="M26" s="356"/>
      <c r="N26" s="153"/>
      <c r="O26" s="285">
        <f>1</f>
        <v>1</v>
      </c>
      <c r="P26" s="167"/>
      <c r="R26" s="387" t="s">
        <v>31</v>
      </c>
      <c r="S26" s="174"/>
      <c r="V26" s="288">
        <v>7.9549989700317383</v>
      </c>
      <c r="W26" s="288">
        <f t="shared" si="2"/>
        <v>7.9549989700317383</v>
      </c>
      <c r="X26" s="167">
        <f t="shared" si="0"/>
        <v>7.9549989700317383</v>
      </c>
    </row>
    <row r="27" spans="1:25" s="173" customFormat="1" ht="153" customHeight="1" x14ac:dyDescent="0.2">
      <c r="A27" s="99"/>
      <c r="B27" s="256" t="s">
        <v>111</v>
      </c>
      <c r="C27" s="163" t="s">
        <v>111</v>
      </c>
      <c r="D27" s="190" t="s">
        <v>112</v>
      </c>
      <c r="E27" s="178">
        <f>LEN(D27)</f>
        <v>218</v>
      </c>
      <c r="F27" s="184" t="s">
        <v>34</v>
      </c>
      <c r="G27" s="184" t="s">
        <v>23</v>
      </c>
      <c r="H27" s="184" t="s">
        <v>23</v>
      </c>
      <c r="I27" s="184" t="s">
        <v>35</v>
      </c>
      <c r="J27" s="177" t="s">
        <v>113</v>
      </c>
      <c r="K27" s="239" t="s">
        <v>23</v>
      </c>
      <c r="L27" s="360"/>
      <c r="M27" s="348"/>
      <c r="N27" s="349"/>
      <c r="O27" s="288"/>
      <c r="P27" s="288"/>
      <c r="Q27" s="167"/>
      <c r="S27" s="222"/>
      <c r="T27" s="174"/>
      <c r="W27" s="288"/>
      <c r="X27" s="288"/>
      <c r="Y27" s="167"/>
    </row>
    <row r="28" spans="1:25" s="173" customFormat="1" ht="272" customHeight="1" x14ac:dyDescent="0.2">
      <c r="A28" s="99" t="e">
        <f>#REF!+1</f>
        <v>#REF!</v>
      </c>
      <c r="B28" s="256" t="s">
        <v>114</v>
      </c>
      <c r="C28" s="363" t="s">
        <v>114</v>
      </c>
      <c r="D28" s="183" t="s">
        <v>115</v>
      </c>
      <c r="E28" s="161">
        <f>LEN(D28)</f>
        <v>658</v>
      </c>
      <c r="F28" s="364" t="s">
        <v>34</v>
      </c>
      <c r="G28" s="161" t="s">
        <v>23</v>
      </c>
      <c r="H28" s="161" t="s">
        <v>23</v>
      </c>
      <c r="I28" s="161" t="s">
        <v>35</v>
      </c>
      <c r="J28" s="365" t="s">
        <v>116</v>
      </c>
      <c r="K28" s="239" t="s">
        <v>23</v>
      </c>
      <c r="L28" s="182" t="s">
        <v>117</v>
      </c>
      <c r="M28" s="77"/>
      <c r="N28" s="24"/>
      <c r="O28" s="285">
        <f>1</f>
        <v>1</v>
      </c>
      <c r="P28" s="167"/>
      <c r="R28" s="387" t="s">
        <v>31</v>
      </c>
      <c r="S28" s="174"/>
      <c r="V28" s="288">
        <v>24.41083908081055</v>
      </c>
      <c r="W28" s="288">
        <f>IF(V28="","",V28*O28)</f>
        <v>24.41083908081055</v>
      </c>
      <c r="X28" s="167">
        <f>IF(R28="yes",W28,"")</f>
        <v>24.41083908081055</v>
      </c>
    </row>
    <row r="29" spans="1:25" s="173" customFormat="1" ht="153" customHeight="1" x14ac:dyDescent="0.2">
      <c r="A29" s="91"/>
      <c r="B29" s="556" t="s">
        <v>118</v>
      </c>
      <c r="C29" s="557"/>
      <c r="D29" s="558" t="s">
        <v>119</v>
      </c>
      <c r="E29" s="559">
        <f>LEN(D29)</f>
        <v>226</v>
      </c>
      <c r="F29" s="560" t="s">
        <v>34</v>
      </c>
      <c r="G29" s="559"/>
      <c r="H29" s="559"/>
      <c r="I29" s="559"/>
      <c r="J29" s="558"/>
      <c r="K29" s="558"/>
      <c r="L29" s="558"/>
      <c r="M29" s="558"/>
      <c r="N29" s="561"/>
      <c r="O29" s="290">
        <f>1</f>
        <v>1</v>
      </c>
      <c r="P29" s="167"/>
      <c r="R29" s="222"/>
      <c r="S29" s="174"/>
      <c r="V29" s="289"/>
      <c r="W29" s="288" t="str">
        <f>IF(V29="","",V29*O29)</f>
        <v/>
      </c>
      <c r="X29" s="167" t="str">
        <f>IF(R29="yes",W29,"")</f>
        <v/>
      </c>
    </row>
    <row r="30" spans="1:25" s="173" customFormat="1" ht="17" customHeight="1" thickBot="1" x14ac:dyDescent="0.25">
      <c r="A30" s="551"/>
      <c r="B30" s="552"/>
      <c r="C30" s="553"/>
      <c r="D30" s="155"/>
      <c r="E30" s="554"/>
      <c r="F30" s="442"/>
      <c r="G30" s="554"/>
      <c r="H30" s="554"/>
      <c r="I30" s="554"/>
      <c r="J30" s="155"/>
      <c r="K30" s="155"/>
      <c r="L30" s="155"/>
      <c r="M30" s="155"/>
      <c r="N30" s="555"/>
      <c r="O30" s="290"/>
      <c r="P30" s="167"/>
      <c r="R30" s="222"/>
      <c r="S30" s="174"/>
      <c r="V30" s="289"/>
      <c r="W30" s="288"/>
      <c r="X30" s="167"/>
    </row>
    <row r="31" spans="1:25" s="173" customFormat="1" ht="17" customHeight="1" thickBot="1" x14ac:dyDescent="0.25">
      <c r="A31" s="588" t="s">
        <v>120</v>
      </c>
      <c r="B31" s="589"/>
      <c r="C31" s="589"/>
      <c r="D31" s="589"/>
      <c r="E31" s="589"/>
      <c r="F31" s="589"/>
      <c r="G31" s="589"/>
      <c r="H31" s="589"/>
      <c r="I31" s="589"/>
      <c r="J31" s="589"/>
      <c r="K31" s="589"/>
      <c r="L31" s="589"/>
      <c r="M31" s="589"/>
      <c r="N31" s="590"/>
      <c r="O31" s="290"/>
      <c r="P31" s="167"/>
      <c r="R31" s="175"/>
      <c r="S31" s="174"/>
      <c r="V31" s="289"/>
      <c r="W31" s="288" t="str">
        <f>IF(V31="","",V31*O31)</f>
        <v/>
      </c>
      <c r="X31" s="167" t="str">
        <f>IF(R31="yes",W31,"")</f>
        <v/>
      </c>
    </row>
    <row r="32" spans="1:25" s="173" customFormat="1" x14ac:dyDescent="0.2">
      <c r="A32" s="219"/>
      <c r="B32" s="219"/>
      <c r="C32" s="219"/>
      <c r="D32" s="93"/>
      <c r="E32" s="219"/>
      <c r="F32" s="219"/>
      <c r="G32" s="219"/>
      <c r="H32" s="219"/>
      <c r="I32" s="219"/>
      <c r="J32" s="219"/>
      <c r="K32" s="219"/>
      <c r="L32" s="219"/>
      <c r="M32" s="219"/>
      <c r="N32" s="41"/>
      <c r="O32" s="290">
        <f>1</f>
        <v>1</v>
      </c>
      <c r="P32" s="167"/>
      <c r="R32" s="175"/>
      <c r="S32" s="174"/>
      <c r="V32" s="289"/>
      <c r="W32" s="289" t="str">
        <f>IF(V32="","",V32*O32)</f>
        <v/>
      </c>
      <c r="X32" s="167" t="str">
        <f>IF(R32="yes",W32,"")</f>
        <v/>
      </c>
    </row>
    <row r="33" spans="1:28" s="173" customFormat="1" ht="136" customHeight="1" x14ac:dyDescent="0.2">
      <c r="A33" s="88" t="e">
        <f>#REF!+1</f>
        <v>#REF!</v>
      </c>
      <c r="B33" s="254" t="s">
        <v>121</v>
      </c>
      <c r="C33" s="172" t="s">
        <v>121</v>
      </c>
      <c r="D33" s="221" t="s">
        <v>122</v>
      </c>
      <c r="E33" s="170">
        <f>LEN(D33)</f>
        <v>116</v>
      </c>
      <c r="F33" s="172" t="s">
        <v>34</v>
      </c>
      <c r="G33" s="170" t="s">
        <v>23</v>
      </c>
      <c r="H33" s="170" t="s">
        <v>23</v>
      </c>
      <c r="I33" s="170" t="s">
        <v>35</v>
      </c>
      <c r="J33" s="169" t="s">
        <v>123</v>
      </c>
      <c r="K33" s="239" t="s">
        <v>23</v>
      </c>
      <c r="L33" s="169" t="s">
        <v>124</v>
      </c>
      <c r="M33" s="76"/>
      <c r="N33" s="41"/>
      <c r="O33" s="285">
        <f>1</f>
        <v>1</v>
      </c>
      <c r="P33" s="167"/>
      <c r="R33" s="383" t="s">
        <v>31</v>
      </c>
      <c r="S33" s="174"/>
      <c r="V33" s="288">
        <v>10.504533767700201</v>
      </c>
      <c r="W33" s="288">
        <f>IF(V33="","",V33*O33)</f>
        <v>10.504533767700201</v>
      </c>
      <c r="X33" s="167">
        <f>IF(R33="yes",W33,"")</f>
        <v>10.504533767700201</v>
      </c>
    </row>
    <row r="34" spans="1:28" s="173" customFormat="1" ht="160" customHeight="1" x14ac:dyDescent="0.2">
      <c r="A34" s="88"/>
      <c r="B34" s="396" t="s">
        <v>125</v>
      </c>
      <c r="C34" s="397"/>
      <c r="D34" s="398" t="s">
        <v>126</v>
      </c>
      <c r="E34" s="93"/>
      <c r="F34" s="397" t="s">
        <v>34</v>
      </c>
      <c r="G34" s="93"/>
      <c r="H34" s="93"/>
      <c r="I34" s="93"/>
      <c r="J34" s="76"/>
      <c r="K34" s="76"/>
      <c r="L34" s="76"/>
      <c r="M34" s="76"/>
      <c r="N34" s="41"/>
      <c r="O34" s="290">
        <f>1</f>
        <v>1</v>
      </c>
      <c r="P34" s="167"/>
      <c r="R34" s="175"/>
      <c r="S34" s="174"/>
      <c r="V34" s="289"/>
      <c r="W34" s="289" t="str">
        <f>IF(V34="","",V34*O34)</f>
        <v/>
      </c>
      <c r="X34" s="167" t="str">
        <f>IF(R34="yes",W34,"")</f>
        <v/>
      </c>
    </row>
    <row r="35" spans="1:28" s="173" customFormat="1" ht="102" customHeight="1" x14ac:dyDescent="0.2">
      <c r="A35" s="14" t="e">
        <f>A190+1</f>
        <v>#REF!</v>
      </c>
      <c r="B35" s="255" t="s">
        <v>127</v>
      </c>
      <c r="C35" s="20" t="s">
        <v>127</v>
      </c>
      <c r="D35" s="18" t="s">
        <v>128</v>
      </c>
      <c r="E35" s="19">
        <f t="shared" ref="E35:E42" si="3">LEN(D35)</f>
        <v>269</v>
      </c>
      <c r="F35" s="20" t="s">
        <v>95</v>
      </c>
      <c r="G35" s="19" t="s">
        <v>23</v>
      </c>
      <c r="H35" s="19" t="s">
        <v>23</v>
      </c>
      <c r="I35" s="19" t="s">
        <v>26</v>
      </c>
      <c r="J35" s="21" t="s">
        <v>129</v>
      </c>
      <c r="K35" s="70" t="s">
        <v>23</v>
      </c>
      <c r="L35" s="30" t="s">
        <v>130</v>
      </c>
      <c r="M35" s="51"/>
      <c r="N35" s="10"/>
      <c r="O35" s="290">
        <f>1</f>
        <v>1</v>
      </c>
      <c r="P35" s="167"/>
      <c r="R35" s="175" t="s">
        <v>22</v>
      </c>
      <c r="S35" s="174"/>
      <c r="V35" s="289">
        <v>16.90229415893555</v>
      </c>
      <c r="W35" s="289">
        <f>IF(V35="","",V35*O35)</f>
        <v>16.90229415893555</v>
      </c>
      <c r="X35" s="167" t="str">
        <f>IF(R35="yes",W35,"")</f>
        <v/>
      </c>
    </row>
    <row r="36" spans="1:28" s="409" customFormat="1" ht="80" customHeight="1" x14ac:dyDescent="0.2">
      <c r="A36" s="399" t="e">
        <f>A35+1</f>
        <v>#REF!</v>
      </c>
      <c r="B36" s="414" t="s">
        <v>131</v>
      </c>
      <c r="C36" s="414" t="s">
        <v>131</v>
      </c>
      <c r="D36" s="415" t="s">
        <v>132</v>
      </c>
      <c r="E36" s="395">
        <f t="shared" si="3"/>
        <v>124</v>
      </c>
      <c r="F36" s="461" t="s">
        <v>95</v>
      </c>
      <c r="G36" s="395"/>
      <c r="H36" s="400"/>
      <c r="I36" s="401"/>
      <c r="J36" s="401"/>
      <c r="K36" s="401"/>
      <c r="L36" s="402"/>
      <c r="M36" s="403"/>
      <c r="N36" s="597" t="s">
        <v>133</v>
      </c>
      <c r="O36" s="403"/>
      <c r="P36" s="403"/>
      <c r="Q36" s="404"/>
      <c r="R36" s="405"/>
      <c r="S36" s="406"/>
      <c r="T36" s="407"/>
      <c r="U36" s="406"/>
      <c r="V36" s="408"/>
      <c r="X36" s="410"/>
      <c r="Y36" s="411"/>
      <c r="AB36" s="412"/>
    </row>
    <row r="37" spans="1:28" s="409" customFormat="1" ht="80" customHeight="1" x14ac:dyDescent="0.2">
      <c r="A37" s="399" t="e">
        <f>A36+1</f>
        <v>#REF!</v>
      </c>
      <c r="B37" s="414" t="s">
        <v>134</v>
      </c>
      <c r="C37" s="414" t="s">
        <v>134</v>
      </c>
      <c r="D37" s="415" t="s">
        <v>135</v>
      </c>
      <c r="E37" s="395">
        <f t="shared" si="3"/>
        <v>110</v>
      </c>
      <c r="F37" s="461" t="s">
        <v>95</v>
      </c>
      <c r="G37" s="395"/>
      <c r="H37" s="400"/>
      <c r="I37" s="401"/>
      <c r="J37" s="401"/>
      <c r="K37" s="401"/>
      <c r="L37" s="402"/>
      <c r="M37" s="403"/>
      <c r="N37" s="598"/>
      <c r="O37" s="403"/>
      <c r="P37" s="403"/>
      <c r="Q37" s="404"/>
      <c r="R37" s="405"/>
      <c r="S37" s="406"/>
      <c r="T37" s="407"/>
      <c r="U37" s="406"/>
      <c r="V37" s="408"/>
      <c r="X37" s="410"/>
      <c r="Y37" s="411"/>
      <c r="AB37" s="412"/>
    </row>
    <row r="38" spans="1:28" s="409" customFormat="1" ht="80" customHeight="1" x14ac:dyDescent="0.2">
      <c r="A38" s="399" t="e">
        <f>A37+1</f>
        <v>#REF!</v>
      </c>
      <c r="B38" s="414" t="s">
        <v>136</v>
      </c>
      <c r="C38" s="414" t="s">
        <v>136</v>
      </c>
      <c r="D38" s="415" t="s">
        <v>137</v>
      </c>
      <c r="E38" s="395">
        <f t="shared" si="3"/>
        <v>111</v>
      </c>
      <c r="F38" s="461" t="s">
        <v>95</v>
      </c>
      <c r="G38" s="395"/>
      <c r="H38" s="400"/>
      <c r="I38" s="401"/>
      <c r="J38" s="401"/>
      <c r="K38" s="401"/>
      <c r="L38" s="402"/>
      <c r="M38" s="403"/>
      <c r="N38" s="598"/>
      <c r="O38" s="403"/>
      <c r="P38" s="403"/>
      <c r="Q38" s="404"/>
      <c r="R38" s="405"/>
      <c r="S38" s="406"/>
      <c r="T38" s="407"/>
      <c r="U38" s="406"/>
      <c r="V38" s="408"/>
      <c r="X38" s="410"/>
      <c r="Y38" s="411"/>
      <c r="AB38" s="412"/>
    </row>
    <row r="39" spans="1:28" s="409" customFormat="1" ht="80" customHeight="1" x14ac:dyDescent="0.2">
      <c r="A39" s="399" t="e">
        <f>A38+1</f>
        <v>#REF!</v>
      </c>
      <c r="B39" s="414" t="s">
        <v>138</v>
      </c>
      <c r="C39" s="414" t="s">
        <v>138</v>
      </c>
      <c r="D39" s="415" t="s">
        <v>139</v>
      </c>
      <c r="E39" s="395">
        <f t="shared" si="3"/>
        <v>116</v>
      </c>
      <c r="F39" s="461" t="s">
        <v>95</v>
      </c>
      <c r="G39" s="395"/>
      <c r="H39" s="400"/>
      <c r="I39" s="401"/>
      <c r="J39" s="401"/>
      <c r="K39" s="401"/>
      <c r="L39" s="402"/>
      <c r="M39" s="403"/>
      <c r="N39" s="595"/>
      <c r="O39" s="403"/>
      <c r="P39" s="403"/>
      <c r="Q39" s="404"/>
      <c r="R39" s="405"/>
      <c r="S39" s="406"/>
      <c r="T39" s="407"/>
      <c r="U39" s="406"/>
      <c r="V39" s="408"/>
      <c r="X39" s="410"/>
      <c r="Y39" s="411"/>
      <c r="AB39" s="412"/>
    </row>
    <row r="40" spans="1:28" s="409" customFormat="1" ht="180" customHeight="1" x14ac:dyDescent="0.2">
      <c r="A40" s="399" t="e">
        <f>A39+1</f>
        <v>#REF!</v>
      </c>
      <c r="B40" s="414" t="s">
        <v>140</v>
      </c>
      <c r="C40" s="414" t="s">
        <v>140</v>
      </c>
      <c r="D40" s="415" t="s">
        <v>141</v>
      </c>
      <c r="E40" s="395">
        <f t="shared" si="3"/>
        <v>432</v>
      </c>
      <c r="F40" s="461" t="s">
        <v>95</v>
      </c>
      <c r="G40" s="395"/>
      <c r="H40" s="400"/>
      <c r="I40" s="401"/>
      <c r="J40" s="401"/>
      <c r="K40" s="401"/>
      <c r="L40" s="402"/>
      <c r="M40" s="403"/>
      <c r="N40" s="413" t="s">
        <v>142</v>
      </c>
      <c r="O40" s="403"/>
      <c r="P40" s="403"/>
      <c r="Q40" s="404"/>
      <c r="R40" s="405"/>
      <c r="S40" s="406"/>
      <c r="T40" s="407"/>
      <c r="U40" s="406"/>
      <c r="V40" s="408"/>
      <c r="X40" s="410"/>
      <c r="Y40" s="411"/>
      <c r="AB40" s="412"/>
    </row>
    <row r="41" spans="1:28" s="173" customFormat="1" ht="170" customHeight="1" x14ac:dyDescent="0.2">
      <c r="A41" s="14" t="e">
        <f>#REF!+1</f>
        <v>#REF!</v>
      </c>
      <c r="B41" s="257" t="s">
        <v>143</v>
      </c>
      <c r="C41" s="258" t="s">
        <v>143</v>
      </c>
      <c r="D41" s="25" t="s">
        <v>144</v>
      </c>
      <c r="E41" s="22">
        <f t="shared" si="3"/>
        <v>133</v>
      </c>
      <c r="F41" s="20" t="s">
        <v>34</v>
      </c>
      <c r="G41" s="22" t="s">
        <v>23</v>
      </c>
      <c r="H41" s="22" t="s">
        <v>23</v>
      </c>
      <c r="I41" s="19" t="s">
        <v>35</v>
      </c>
      <c r="J41" s="21" t="s">
        <v>145</v>
      </c>
      <c r="K41" s="70" t="s">
        <v>23</v>
      </c>
      <c r="L41" s="30" t="s">
        <v>130</v>
      </c>
      <c r="M41" s="56"/>
      <c r="N41" s="10"/>
      <c r="O41" s="290">
        <f>1</f>
        <v>1</v>
      </c>
      <c r="P41" s="167"/>
      <c r="R41" s="175" t="s">
        <v>22</v>
      </c>
      <c r="S41" s="174"/>
      <c r="V41" s="289">
        <v>7.02484130859375</v>
      </c>
      <c r="W41" s="289">
        <f>IF(V41="","",V41*O41)</f>
        <v>7.02484130859375</v>
      </c>
      <c r="X41" s="167" t="str">
        <f>IF(R41="yes",W41,"")</f>
        <v/>
      </c>
    </row>
    <row r="42" spans="1:28" s="173" customFormat="1" ht="187" customHeight="1" x14ac:dyDescent="0.2">
      <c r="A42" s="35" t="e">
        <f>A33+1</f>
        <v>#REF!</v>
      </c>
      <c r="B42" s="209" t="s">
        <v>146</v>
      </c>
      <c r="C42" s="172" t="s">
        <v>146</v>
      </c>
      <c r="D42" s="468" t="s">
        <v>147</v>
      </c>
      <c r="E42" s="178">
        <f t="shared" si="3"/>
        <v>314</v>
      </c>
      <c r="F42" s="179" t="s">
        <v>34</v>
      </c>
      <c r="G42" s="178" t="s">
        <v>23</v>
      </c>
      <c r="H42" s="178" t="s">
        <v>23</v>
      </c>
      <c r="I42" s="178" t="s">
        <v>35</v>
      </c>
      <c r="J42" s="177" t="s">
        <v>148</v>
      </c>
      <c r="K42" s="239" t="s">
        <v>23</v>
      </c>
      <c r="L42" s="169" t="s">
        <v>149</v>
      </c>
      <c r="M42" s="76"/>
      <c r="N42" s="24"/>
      <c r="O42" s="285">
        <f>1</f>
        <v>1</v>
      </c>
      <c r="P42" s="167"/>
      <c r="R42" s="383" t="s">
        <v>31</v>
      </c>
      <c r="S42" s="174"/>
      <c r="V42" s="288">
        <v>12.42189884185791</v>
      </c>
      <c r="W42" s="288">
        <f>IF(V42="","",V42*O42)</f>
        <v>12.42189884185791</v>
      </c>
      <c r="X42" s="167">
        <f>IF(R42="yes",W42,"")</f>
        <v>12.42189884185791</v>
      </c>
    </row>
    <row r="43" spans="1:28" s="173" customFormat="1" x14ac:dyDescent="0.2">
      <c r="A43" s="35"/>
      <c r="B43" s="207"/>
      <c r="C43" s="89"/>
      <c r="D43" s="36"/>
      <c r="E43" s="37"/>
      <c r="F43" s="38"/>
      <c r="G43" s="37"/>
      <c r="H43" s="37"/>
      <c r="I43" s="37"/>
      <c r="J43" s="84"/>
      <c r="K43" s="76"/>
      <c r="L43" s="76"/>
      <c r="M43" s="76"/>
      <c r="N43" s="24"/>
      <c r="O43" s="290">
        <f>1</f>
        <v>1</v>
      </c>
      <c r="P43" s="167"/>
      <c r="R43" s="175"/>
      <c r="S43" s="174"/>
      <c r="V43" s="289"/>
      <c r="W43" s="289" t="str">
        <f>IF(V43="","",V43*O43)</f>
        <v/>
      </c>
      <c r="X43" s="167" t="str">
        <f>IF(R43="yes",W43,"")</f>
        <v/>
      </c>
    </row>
    <row r="44" spans="1:28" s="173" customFormat="1" ht="272" customHeight="1" x14ac:dyDescent="0.2">
      <c r="A44" s="35">
        <v>10</v>
      </c>
      <c r="B44" s="207" t="s">
        <v>150</v>
      </c>
      <c r="C44" s="206" t="s">
        <v>150</v>
      </c>
      <c r="D44" s="36" t="s">
        <v>151</v>
      </c>
      <c r="E44" s="37">
        <f>LEN(D44)</f>
        <v>313</v>
      </c>
      <c r="F44" s="38" t="s">
        <v>34</v>
      </c>
      <c r="G44" s="37" t="s">
        <v>23</v>
      </c>
      <c r="H44" s="37" t="s">
        <v>23</v>
      </c>
      <c r="I44" s="37" t="s">
        <v>35</v>
      </c>
      <c r="J44" s="264" t="s">
        <v>152</v>
      </c>
      <c r="K44" s="70" t="s">
        <v>23</v>
      </c>
      <c r="L44" s="205" t="s">
        <v>153</v>
      </c>
      <c r="M44" s="55"/>
      <c r="N44" s="596" t="s">
        <v>154</v>
      </c>
      <c r="O44" s="290">
        <f>1</f>
        <v>1</v>
      </c>
      <c r="P44" s="167"/>
      <c r="R44" s="175" t="s">
        <v>31</v>
      </c>
      <c r="S44" s="174"/>
      <c r="V44" s="289">
        <v>16.615655899047852</v>
      </c>
      <c r="W44" s="289">
        <f>IF(V44="","",V44*O44)</f>
        <v>16.615655899047852</v>
      </c>
      <c r="X44" s="167">
        <f>IF(R44="yes",W44,"")</f>
        <v>16.615655899047852</v>
      </c>
    </row>
    <row r="45" spans="1:28" s="173" customFormat="1" ht="306" customHeight="1" x14ac:dyDescent="0.2">
      <c r="A45" s="35"/>
      <c r="B45" s="416" t="s">
        <v>155</v>
      </c>
      <c r="C45" s="417"/>
      <c r="D45" s="418" t="s">
        <v>156</v>
      </c>
      <c r="E45" s="37"/>
      <c r="F45" s="461" t="s">
        <v>34</v>
      </c>
      <c r="G45" s="37"/>
      <c r="H45" s="37"/>
      <c r="I45" s="37"/>
      <c r="J45" s="264"/>
      <c r="K45" s="70"/>
      <c r="L45" s="205"/>
      <c r="M45" s="55"/>
      <c r="N45" s="592"/>
      <c r="O45" s="290"/>
      <c r="P45" s="167"/>
      <c r="R45" s="175"/>
      <c r="S45" s="174"/>
      <c r="V45" s="289"/>
      <c r="W45" s="289"/>
      <c r="X45" s="167"/>
    </row>
    <row r="46" spans="1:28" s="173" customFormat="1" ht="17" customHeight="1" thickBot="1" x14ac:dyDescent="0.25">
      <c r="A46" s="35"/>
      <c r="B46" s="207"/>
      <c r="C46" s="283"/>
      <c r="D46" s="469"/>
      <c r="E46" s="93"/>
      <c r="F46" s="89"/>
      <c r="G46" s="93"/>
      <c r="H46" s="93"/>
      <c r="I46" s="93"/>
      <c r="J46" s="147"/>
      <c r="K46" s="76"/>
      <c r="L46" s="284"/>
      <c r="M46" s="284"/>
      <c r="N46" s="332"/>
      <c r="O46" s="290">
        <f>1</f>
        <v>1</v>
      </c>
      <c r="P46" s="167"/>
      <c r="R46" s="175"/>
      <c r="S46" s="174"/>
      <c r="V46" s="289"/>
      <c r="W46" s="289" t="str">
        <f>IF(V46="","",V46*O46)</f>
        <v/>
      </c>
      <c r="X46" s="167" t="str">
        <f>IF(R46="yes",W46,"")</f>
        <v/>
      </c>
    </row>
    <row r="47" spans="1:28" s="382" customFormat="1" ht="17" customHeight="1" thickBot="1" x14ac:dyDescent="0.25">
      <c r="A47" s="588" t="s">
        <v>157</v>
      </c>
      <c r="B47" s="589"/>
      <c r="C47" s="589"/>
      <c r="D47" s="589"/>
      <c r="E47" s="589"/>
      <c r="F47" s="589"/>
      <c r="G47" s="589"/>
      <c r="H47" s="589"/>
      <c r="I47" s="589"/>
      <c r="J47" s="589"/>
      <c r="K47" s="589"/>
      <c r="L47" s="589"/>
      <c r="M47" s="589"/>
      <c r="N47" s="590"/>
      <c r="O47" s="285"/>
      <c r="P47" s="384"/>
      <c r="R47" s="383"/>
      <c r="S47" s="385"/>
      <c r="V47" s="288"/>
      <c r="W47" s="288" t="str">
        <f>IF(V47="","",V47*O47)</f>
        <v/>
      </c>
      <c r="X47" s="384" t="str">
        <f>IF(R47="yes",W47,"")</f>
        <v/>
      </c>
    </row>
    <row r="48" spans="1:28" s="382" customFormat="1" x14ac:dyDescent="0.2">
      <c r="A48" s="419"/>
      <c r="B48" s="419"/>
      <c r="C48" s="419"/>
      <c r="D48" s="419"/>
      <c r="E48" s="419"/>
      <c r="F48" s="419"/>
      <c r="G48" s="419"/>
      <c r="H48" s="419"/>
      <c r="I48" s="419"/>
      <c r="J48" s="419"/>
      <c r="K48" s="419"/>
      <c r="L48" s="419"/>
      <c r="M48" s="419"/>
      <c r="N48" s="420"/>
      <c r="O48" s="285"/>
      <c r="P48" s="384"/>
      <c r="R48" s="383"/>
      <c r="S48" s="385"/>
      <c r="V48" s="288"/>
      <c r="W48" s="288"/>
      <c r="X48" s="384"/>
    </row>
    <row r="49" spans="1:24" s="382" customFormat="1" x14ac:dyDescent="0.2">
      <c r="A49" s="419"/>
      <c r="B49" s="419"/>
      <c r="C49" s="419"/>
      <c r="D49" s="419"/>
      <c r="E49" s="419"/>
      <c r="F49" s="419"/>
      <c r="G49" s="419"/>
      <c r="H49" s="419"/>
      <c r="I49" s="419"/>
      <c r="J49" s="419"/>
      <c r="K49" s="419"/>
      <c r="L49" s="419"/>
      <c r="M49" s="419"/>
      <c r="N49" s="420"/>
      <c r="O49" s="285"/>
      <c r="P49" s="384"/>
      <c r="R49" s="383"/>
      <c r="S49" s="385"/>
      <c r="V49" s="288"/>
      <c r="W49" s="288"/>
      <c r="X49" s="384"/>
    </row>
    <row r="50" spans="1:24" s="173" customFormat="1" ht="80" customHeight="1" x14ac:dyDescent="0.2">
      <c r="A50" s="219"/>
      <c r="B50" s="414" t="s">
        <v>158</v>
      </c>
      <c r="C50" s="423"/>
      <c r="D50" s="424" t="s">
        <v>159</v>
      </c>
      <c r="E50" s="219"/>
      <c r="F50" s="460" t="s">
        <v>95</v>
      </c>
      <c r="G50" s="219"/>
      <c r="H50" s="219"/>
      <c r="I50" s="219"/>
      <c r="J50" s="219"/>
      <c r="K50" s="76"/>
      <c r="L50" s="219"/>
      <c r="M50" s="219"/>
      <c r="N50" s="41"/>
      <c r="O50" s="290">
        <f>1</f>
        <v>1</v>
      </c>
      <c r="P50" s="167"/>
      <c r="R50" s="175"/>
      <c r="S50" s="174"/>
      <c r="V50" s="289"/>
      <c r="W50" s="289" t="str">
        <f>IF(V50="","",V50*O50)</f>
        <v/>
      </c>
      <c r="X50" s="167" t="str">
        <f>IF(R50="yes",W50,"")</f>
        <v/>
      </c>
    </row>
    <row r="51" spans="1:24" s="173" customFormat="1" ht="68" customHeight="1" x14ac:dyDescent="0.2">
      <c r="A51" s="421"/>
      <c r="B51" s="414" t="s">
        <v>160</v>
      </c>
      <c r="C51" s="423"/>
      <c r="D51" s="425" t="s">
        <v>161</v>
      </c>
      <c r="E51" s="219"/>
      <c r="F51" s="460" t="s">
        <v>95</v>
      </c>
      <c r="G51" s="219"/>
      <c r="H51" s="219"/>
      <c r="I51" s="219"/>
      <c r="J51" s="422"/>
      <c r="K51" s="76"/>
      <c r="L51" s="422"/>
      <c r="M51" s="422"/>
      <c r="N51" s="41"/>
      <c r="O51" s="290"/>
      <c r="P51" s="167"/>
      <c r="R51" s="175"/>
      <c r="S51" s="174"/>
      <c r="V51" s="289"/>
      <c r="W51" s="289"/>
      <c r="X51" s="167"/>
    </row>
    <row r="52" spans="1:24" s="173" customFormat="1" ht="409.5" customHeight="1" x14ac:dyDescent="0.2">
      <c r="A52" s="88" t="e">
        <f>A41+1</f>
        <v>#REF!</v>
      </c>
      <c r="B52" s="254" t="s">
        <v>162</v>
      </c>
      <c r="C52" s="172" t="s">
        <v>162</v>
      </c>
      <c r="D52" s="171" t="s">
        <v>163</v>
      </c>
      <c r="E52" s="170">
        <f>LEN(D52)</f>
        <v>1204</v>
      </c>
      <c r="F52" s="172" t="s">
        <v>34</v>
      </c>
      <c r="G52" s="170" t="s">
        <v>23</v>
      </c>
      <c r="H52" s="170" t="s">
        <v>23</v>
      </c>
      <c r="I52" s="170" t="s">
        <v>164</v>
      </c>
      <c r="J52" s="169" t="s">
        <v>165</v>
      </c>
      <c r="K52" s="239" t="s">
        <v>23</v>
      </c>
      <c r="L52" s="176" t="s">
        <v>166</v>
      </c>
      <c r="M52" s="42"/>
      <c r="N52" s="41"/>
      <c r="O52" s="285">
        <f>1</f>
        <v>1</v>
      </c>
      <c r="P52" s="167"/>
      <c r="R52" s="383" t="s">
        <v>31</v>
      </c>
      <c r="S52" s="174"/>
      <c r="V52" s="288">
        <v>31.888334274291989</v>
      </c>
      <c r="W52" s="288">
        <f>IF(V52="","",V52*O52)</f>
        <v>31.888334274291989</v>
      </c>
      <c r="X52" s="167">
        <f>IF(R52="yes",W52,"")</f>
        <v>31.888334274291989</v>
      </c>
    </row>
    <row r="53" spans="1:24" s="173" customFormat="1" ht="136" customHeight="1" x14ac:dyDescent="0.2">
      <c r="A53" s="88"/>
      <c r="B53" s="254" t="s">
        <v>167</v>
      </c>
      <c r="C53" s="263" t="s">
        <v>167</v>
      </c>
      <c r="D53" s="177" t="s">
        <v>168</v>
      </c>
      <c r="E53" s="170">
        <f>LEN(D53)</f>
        <v>143</v>
      </c>
      <c r="F53" s="172" t="s">
        <v>34</v>
      </c>
      <c r="G53" s="170" t="s">
        <v>23</v>
      </c>
      <c r="H53" s="170" t="s">
        <v>23</v>
      </c>
      <c r="I53" s="170" t="s">
        <v>35</v>
      </c>
      <c r="J53" s="169" t="s">
        <v>169</v>
      </c>
      <c r="K53" s="239" t="s">
        <v>23</v>
      </c>
      <c r="L53" s="176" t="s">
        <v>170</v>
      </c>
      <c r="M53" s="42"/>
      <c r="N53" s="41"/>
      <c r="O53" s="285">
        <f>1</f>
        <v>1</v>
      </c>
      <c r="P53" s="167"/>
      <c r="R53" s="383" t="s">
        <v>31</v>
      </c>
      <c r="S53" s="174"/>
      <c r="V53" s="288">
        <v>8</v>
      </c>
      <c r="W53" s="288">
        <f>IF(V53="","",V53*O53)</f>
        <v>8</v>
      </c>
      <c r="X53" s="167">
        <f>IF(R53="yes",W53,"")</f>
        <v>8</v>
      </c>
    </row>
    <row r="54" spans="1:24" s="173" customFormat="1" ht="153" customHeight="1" x14ac:dyDescent="0.2">
      <c r="A54" s="88"/>
      <c r="B54" s="254" t="s">
        <v>171</v>
      </c>
      <c r="C54" s="263" t="s">
        <v>171</v>
      </c>
      <c r="D54" s="177" t="s">
        <v>172</v>
      </c>
      <c r="E54" s="170">
        <f>LEN(D54)</f>
        <v>170</v>
      </c>
      <c r="F54" s="172" t="s">
        <v>34</v>
      </c>
      <c r="G54" s="170" t="s">
        <v>23</v>
      </c>
      <c r="H54" s="170" t="s">
        <v>23</v>
      </c>
      <c r="I54" s="170" t="s">
        <v>35</v>
      </c>
      <c r="J54" s="169" t="s">
        <v>169</v>
      </c>
      <c r="K54" s="239" t="s">
        <v>23</v>
      </c>
      <c r="L54" s="176" t="s">
        <v>173</v>
      </c>
      <c r="M54" s="42"/>
      <c r="N54" s="41"/>
      <c r="O54" s="285">
        <f>1</f>
        <v>1</v>
      </c>
      <c r="P54" s="167"/>
      <c r="R54" s="383" t="s">
        <v>31</v>
      </c>
      <c r="S54" s="174"/>
      <c r="V54" s="288">
        <v>8</v>
      </c>
      <c r="W54" s="288">
        <f>IF(V54="","",V54*O54)</f>
        <v>8</v>
      </c>
      <c r="X54" s="167">
        <f>IF(R54="yes",W54,"")</f>
        <v>8</v>
      </c>
    </row>
    <row r="55" spans="1:24" s="173" customFormat="1" ht="153" customHeight="1" x14ac:dyDescent="0.2">
      <c r="A55" s="88"/>
      <c r="B55" s="254" t="s">
        <v>174</v>
      </c>
      <c r="C55" s="263" t="s">
        <v>174</v>
      </c>
      <c r="D55" s="177" t="s">
        <v>175</v>
      </c>
      <c r="E55" s="170">
        <f>LEN(D55)</f>
        <v>176</v>
      </c>
      <c r="F55" s="172" t="s">
        <v>34</v>
      </c>
      <c r="G55" s="170" t="s">
        <v>23</v>
      </c>
      <c r="H55" s="170" t="s">
        <v>23</v>
      </c>
      <c r="I55" s="170" t="s">
        <v>35</v>
      </c>
      <c r="J55" s="169" t="s">
        <v>169</v>
      </c>
      <c r="K55" s="239" t="s">
        <v>23</v>
      </c>
      <c r="L55" s="176" t="s">
        <v>176</v>
      </c>
      <c r="M55" s="42"/>
      <c r="N55" s="41"/>
      <c r="O55" s="285">
        <f>1</f>
        <v>1</v>
      </c>
      <c r="P55" s="167"/>
      <c r="R55" s="383" t="s">
        <v>31</v>
      </c>
      <c r="S55" s="174"/>
      <c r="V55" s="288">
        <v>8</v>
      </c>
      <c r="W55" s="288">
        <f>IF(V55="","",V55*O55)</f>
        <v>8</v>
      </c>
      <c r="X55" s="167">
        <f>IF(R55="yes",W55,"")</f>
        <v>8</v>
      </c>
    </row>
    <row r="56" spans="1:24" s="173" customFormat="1" x14ac:dyDescent="0.2">
      <c r="A56" s="88"/>
      <c r="B56" s="254"/>
      <c r="C56" s="263"/>
      <c r="D56" s="426"/>
      <c r="E56" s="170"/>
      <c r="F56" s="172"/>
      <c r="G56" s="170"/>
      <c r="H56" s="170"/>
      <c r="I56" s="170"/>
      <c r="J56" s="169"/>
      <c r="K56" s="239"/>
      <c r="L56" s="176"/>
      <c r="M56" s="42"/>
      <c r="N56" s="41"/>
      <c r="O56" s="285"/>
      <c r="P56" s="167"/>
      <c r="R56" s="383"/>
      <c r="S56" s="174"/>
      <c r="V56" s="288"/>
      <c r="W56" s="288"/>
      <c r="X56" s="167"/>
    </row>
    <row r="57" spans="1:24" s="173" customFormat="1" ht="187" customHeight="1" x14ac:dyDescent="0.2">
      <c r="A57" s="88"/>
      <c r="B57" s="414" t="s">
        <v>177</v>
      </c>
      <c r="C57" s="396"/>
      <c r="D57" s="427" t="s">
        <v>178</v>
      </c>
      <c r="E57" s="93"/>
      <c r="F57" s="397" t="s">
        <v>34</v>
      </c>
      <c r="G57" s="93"/>
      <c r="H57" s="93"/>
      <c r="I57" s="93"/>
      <c r="J57" s="76"/>
      <c r="K57" s="49"/>
      <c r="L57" s="198"/>
      <c r="M57" s="198"/>
      <c r="N57" s="41"/>
      <c r="O57" s="290">
        <f>1</f>
        <v>1</v>
      </c>
      <c r="P57" s="167"/>
      <c r="R57" s="175"/>
      <c r="S57" s="174"/>
      <c r="V57" s="289"/>
      <c r="W57" s="289" t="str">
        <f>IF(V57="","",V57*O57)</f>
        <v/>
      </c>
      <c r="X57" s="167" t="str">
        <f>IF(R57="yes",W57,"")</f>
        <v/>
      </c>
    </row>
    <row r="58" spans="1:24" s="173" customFormat="1" ht="85" customHeight="1" x14ac:dyDescent="0.2">
      <c r="A58" s="88"/>
      <c r="B58" s="414" t="s">
        <v>179</v>
      </c>
      <c r="C58" s="396"/>
      <c r="D58" s="428" t="s">
        <v>180</v>
      </c>
      <c r="E58" s="93"/>
      <c r="F58" s="459" t="s">
        <v>95</v>
      </c>
      <c r="G58" s="93"/>
      <c r="H58" s="93"/>
      <c r="I58" s="93"/>
      <c r="J58" s="76"/>
      <c r="K58" s="80"/>
      <c r="L58" s="198"/>
      <c r="M58" s="198"/>
      <c r="N58" s="61"/>
      <c r="O58" s="290"/>
      <c r="P58" s="167"/>
      <c r="R58" s="175"/>
      <c r="S58" s="174"/>
      <c r="V58" s="289"/>
      <c r="W58" s="289"/>
      <c r="X58" s="167"/>
    </row>
    <row r="59" spans="1:24" s="173" customFormat="1" x14ac:dyDescent="0.2">
      <c r="A59" s="35"/>
      <c r="B59" s="207"/>
      <c r="C59" s="283"/>
      <c r="D59" s="69"/>
      <c r="E59" s="37"/>
      <c r="F59" s="96"/>
      <c r="G59" s="93"/>
      <c r="H59" s="93"/>
      <c r="I59" s="93"/>
      <c r="J59" s="76"/>
      <c r="K59" s="49"/>
      <c r="L59" s="198"/>
      <c r="M59" s="198"/>
      <c r="N59" s="341"/>
      <c r="O59" s="290">
        <f>1</f>
        <v>1</v>
      </c>
      <c r="P59" s="167"/>
      <c r="R59" s="175"/>
      <c r="S59" s="174"/>
      <c r="V59" s="289"/>
      <c r="W59" s="289" t="str">
        <f t="shared" ref="W59:W66" si="4">IF(V59="","",V59*O59)</f>
        <v/>
      </c>
      <c r="X59" s="167" t="str">
        <f t="shared" ref="X59:X66" si="5">IF(R59="yes",W59,"")</f>
        <v/>
      </c>
    </row>
    <row r="60" spans="1:24" s="173" customFormat="1" ht="204" customHeight="1" x14ac:dyDescent="0.2">
      <c r="A60" s="35" t="e">
        <f>#REF!+1</f>
        <v>#REF!</v>
      </c>
      <c r="B60" s="486" t="s">
        <v>181</v>
      </c>
      <c r="C60" s="487" t="s">
        <v>181</v>
      </c>
      <c r="D60" s="489" t="s">
        <v>182</v>
      </c>
      <c r="E60" s="178">
        <f>LEN(D60)</f>
        <v>294</v>
      </c>
      <c r="F60" s="184" t="s">
        <v>34</v>
      </c>
      <c r="G60" s="178" t="s">
        <v>23</v>
      </c>
      <c r="H60" s="178" t="s">
        <v>23</v>
      </c>
      <c r="I60" s="178" t="s">
        <v>35</v>
      </c>
      <c r="J60" s="199" t="s">
        <v>183</v>
      </c>
      <c r="K60" s="239" t="s">
        <v>23</v>
      </c>
      <c r="L60" s="199" t="s">
        <v>184</v>
      </c>
      <c r="M60" s="49"/>
      <c r="N60" s="10"/>
      <c r="O60" s="285">
        <f>1</f>
        <v>1</v>
      </c>
      <c r="P60" s="167"/>
      <c r="R60" s="383" t="s">
        <v>31</v>
      </c>
      <c r="S60" s="174"/>
      <c r="V60" s="288">
        <v>22.126214981079102</v>
      </c>
      <c r="W60" s="288">
        <f t="shared" si="4"/>
        <v>22.126214981079102</v>
      </c>
      <c r="X60" s="167">
        <f t="shared" si="5"/>
        <v>22.126214981079102</v>
      </c>
    </row>
    <row r="61" spans="1:24" s="173" customFormat="1" ht="170" customHeight="1" x14ac:dyDescent="0.2">
      <c r="A61" s="35"/>
      <c r="B61" s="416" t="s">
        <v>185</v>
      </c>
      <c r="C61" s="397"/>
      <c r="D61" s="429" t="s">
        <v>186</v>
      </c>
      <c r="E61" s="37"/>
      <c r="F61" s="397" t="s">
        <v>34</v>
      </c>
      <c r="G61" s="37"/>
      <c r="H61" s="37"/>
      <c r="I61" s="37"/>
      <c r="J61" s="80"/>
      <c r="K61" s="49"/>
      <c r="L61" s="80"/>
      <c r="M61" s="80"/>
      <c r="N61" s="10"/>
      <c r="O61" s="290">
        <f>1</f>
        <v>1</v>
      </c>
      <c r="P61" s="167"/>
      <c r="R61" s="175"/>
      <c r="S61" s="174"/>
      <c r="V61" s="289"/>
      <c r="W61" s="289" t="str">
        <f t="shared" si="4"/>
        <v/>
      </c>
      <c r="X61" s="167" t="str">
        <f t="shared" si="5"/>
        <v/>
      </c>
    </row>
    <row r="62" spans="1:24" s="173" customFormat="1" ht="408" customHeight="1" x14ac:dyDescent="0.2">
      <c r="A62" s="35" t="e">
        <f>A60+1</f>
        <v>#REF!</v>
      </c>
      <c r="B62" s="209" t="s">
        <v>187</v>
      </c>
      <c r="C62" s="172" t="s">
        <v>187</v>
      </c>
      <c r="D62" s="189" t="s">
        <v>188</v>
      </c>
      <c r="E62" s="178">
        <f t="shared" ref="E62:E67" si="6">LEN(D62)</f>
        <v>1218</v>
      </c>
      <c r="F62" s="184" t="s">
        <v>34</v>
      </c>
      <c r="G62" s="178" t="s">
        <v>23</v>
      </c>
      <c r="H62" s="178" t="s">
        <v>23</v>
      </c>
      <c r="I62" s="178" t="s">
        <v>189</v>
      </c>
      <c r="J62" s="169" t="s">
        <v>190</v>
      </c>
      <c r="K62" s="239" t="s">
        <v>23</v>
      </c>
      <c r="L62" s="176" t="s">
        <v>191</v>
      </c>
      <c r="M62" s="42"/>
      <c r="N62" s="10"/>
      <c r="O62" s="285">
        <f>1</f>
        <v>1</v>
      </c>
      <c r="P62" s="167"/>
      <c r="R62" s="383" t="s">
        <v>31</v>
      </c>
      <c r="S62" s="174"/>
      <c r="V62" s="288">
        <v>18.710653305053711</v>
      </c>
      <c r="W62" s="288">
        <f t="shared" si="4"/>
        <v>18.710653305053711</v>
      </c>
      <c r="X62" s="167">
        <f t="shared" si="5"/>
        <v>18.710653305053711</v>
      </c>
    </row>
    <row r="63" spans="1:24" s="252" customFormat="1" ht="182" customHeight="1" x14ac:dyDescent="0.2">
      <c r="A63" s="35"/>
      <c r="B63" s="254" t="s">
        <v>192</v>
      </c>
      <c r="C63" s="263" t="s">
        <v>192</v>
      </c>
      <c r="D63" s="177" t="s">
        <v>168</v>
      </c>
      <c r="E63" s="170">
        <f t="shared" si="6"/>
        <v>143</v>
      </c>
      <c r="F63" s="172" t="s">
        <v>34</v>
      </c>
      <c r="G63" s="170" t="s">
        <v>23</v>
      </c>
      <c r="H63" s="170" t="s">
        <v>23</v>
      </c>
      <c r="I63" s="170" t="s">
        <v>35</v>
      </c>
      <c r="J63" s="169" t="s">
        <v>193</v>
      </c>
      <c r="K63" s="239" t="s">
        <v>23</v>
      </c>
      <c r="L63" s="176" t="s">
        <v>194</v>
      </c>
      <c r="M63" s="42"/>
      <c r="N63" s="41"/>
      <c r="O63" s="357">
        <f>1</f>
        <v>1</v>
      </c>
      <c r="P63" s="168"/>
      <c r="R63" s="386" t="s">
        <v>31</v>
      </c>
      <c r="S63" s="246"/>
      <c r="V63" s="292">
        <v>8</v>
      </c>
      <c r="W63" s="292">
        <f t="shared" si="4"/>
        <v>8</v>
      </c>
      <c r="X63" s="168">
        <f t="shared" si="5"/>
        <v>8</v>
      </c>
    </row>
    <row r="64" spans="1:24" s="252" customFormat="1" ht="182" customHeight="1" x14ac:dyDescent="0.2">
      <c r="A64" s="35"/>
      <c r="B64" s="254" t="s">
        <v>195</v>
      </c>
      <c r="C64" s="263" t="s">
        <v>195</v>
      </c>
      <c r="D64" s="177" t="s">
        <v>172</v>
      </c>
      <c r="E64" s="170">
        <f t="shared" si="6"/>
        <v>170</v>
      </c>
      <c r="F64" s="172" t="s">
        <v>34</v>
      </c>
      <c r="G64" s="170" t="s">
        <v>23</v>
      </c>
      <c r="H64" s="170" t="s">
        <v>23</v>
      </c>
      <c r="I64" s="170" t="s">
        <v>35</v>
      </c>
      <c r="J64" s="169" t="s">
        <v>193</v>
      </c>
      <c r="K64" s="239" t="s">
        <v>23</v>
      </c>
      <c r="L64" s="176" t="s">
        <v>196</v>
      </c>
      <c r="M64" s="42"/>
      <c r="N64" s="41"/>
      <c r="O64" s="357">
        <f>1</f>
        <v>1</v>
      </c>
      <c r="P64" s="168"/>
      <c r="R64" s="386" t="s">
        <v>31</v>
      </c>
      <c r="S64" s="246"/>
      <c r="V64" s="292">
        <v>8</v>
      </c>
      <c r="W64" s="292">
        <f t="shared" si="4"/>
        <v>8</v>
      </c>
      <c r="X64" s="168">
        <f t="shared" si="5"/>
        <v>8</v>
      </c>
    </row>
    <row r="65" spans="1:28" s="173" customFormat="1" ht="182" customHeight="1" x14ac:dyDescent="0.2">
      <c r="A65" s="35"/>
      <c r="B65" s="254" t="s">
        <v>197</v>
      </c>
      <c r="C65" s="263" t="s">
        <v>197</v>
      </c>
      <c r="D65" s="177" t="s">
        <v>175</v>
      </c>
      <c r="E65" s="170">
        <f t="shared" si="6"/>
        <v>176</v>
      </c>
      <c r="F65" s="172" t="s">
        <v>34</v>
      </c>
      <c r="G65" s="170" t="s">
        <v>23</v>
      </c>
      <c r="H65" s="170" t="s">
        <v>23</v>
      </c>
      <c r="I65" s="170" t="s">
        <v>35</v>
      </c>
      <c r="J65" s="169" t="s">
        <v>193</v>
      </c>
      <c r="K65" s="239" t="s">
        <v>23</v>
      </c>
      <c r="L65" s="176" t="s">
        <v>198</v>
      </c>
      <c r="M65" s="42"/>
      <c r="N65" s="41"/>
      <c r="O65" s="285">
        <f>1</f>
        <v>1</v>
      </c>
      <c r="P65" s="167"/>
      <c r="R65" s="383" t="s">
        <v>31</v>
      </c>
      <c r="S65" s="174"/>
      <c r="V65" s="288">
        <v>8</v>
      </c>
      <c r="W65" s="288">
        <f t="shared" si="4"/>
        <v>8</v>
      </c>
      <c r="X65" s="167">
        <f t="shared" si="5"/>
        <v>8</v>
      </c>
    </row>
    <row r="66" spans="1:28" s="173" customFormat="1" ht="187" customHeight="1" x14ac:dyDescent="0.2">
      <c r="A66" s="88"/>
      <c r="B66" s="490" t="s">
        <v>199</v>
      </c>
      <c r="C66" s="491"/>
      <c r="D66" s="492" t="s">
        <v>200</v>
      </c>
      <c r="E66" s="493">
        <f t="shared" si="6"/>
        <v>321</v>
      </c>
      <c r="F66" s="494" t="s">
        <v>34</v>
      </c>
      <c r="G66" s="493"/>
      <c r="H66" s="493"/>
      <c r="I66" s="493"/>
      <c r="J66" s="495"/>
      <c r="K66" s="496"/>
      <c r="L66" s="497"/>
      <c r="M66" s="198"/>
      <c r="N66" s="41"/>
      <c r="O66" s="290">
        <f>1</f>
        <v>1</v>
      </c>
      <c r="P66" s="167"/>
      <c r="R66" s="175"/>
      <c r="S66" s="174"/>
      <c r="V66" s="289"/>
      <c r="W66" s="289" t="str">
        <f t="shared" si="4"/>
        <v/>
      </c>
      <c r="X66" s="167" t="str">
        <f t="shared" si="5"/>
        <v/>
      </c>
    </row>
    <row r="67" spans="1:28" s="173" customFormat="1" ht="260" customHeight="1" x14ac:dyDescent="0.2">
      <c r="A67" s="399">
        <f>A66+1</f>
        <v>1</v>
      </c>
      <c r="B67" s="509" t="s">
        <v>201</v>
      </c>
      <c r="C67" s="509" t="s">
        <v>179</v>
      </c>
      <c r="D67" s="510" t="s">
        <v>180</v>
      </c>
      <c r="E67" s="511">
        <f t="shared" si="6"/>
        <v>185</v>
      </c>
      <c r="F67" s="512" t="s">
        <v>95</v>
      </c>
      <c r="G67" s="511">
        <f>LEN(F67)</f>
        <v>5</v>
      </c>
      <c r="H67" s="513" t="s">
        <v>95</v>
      </c>
      <c r="I67" s="511" t="s">
        <v>23</v>
      </c>
      <c r="J67" s="511" t="s">
        <v>23</v>
      </c>
      <c r="K67" s="514" t="s">
        <v>26</v>
      </c>
      <c r="L67" s="515"/>
      <c r="M67" s="516"/>
      <c r="N67" s="517"/>
      <c r="O67" s="518" t="s">
        <v>202</v>
      </c>
      <c r="P67" s="518"/>
      <c r="Q67" s="519" t="s">
        <v>203</v>
      </c>
      <c r="R67" s="520"/>
      <c r="S67" s="521">
        <v>17</v>
      </c>
      <c r="T67" s="407">
        <f>1</f>
        <v>1</v>
      </c>
      <c r="U67" s="521">
        <f>S67*T67</f>
        <v>17</v>
      </c>
      <c r="V67" s="167"/>
      <c r="X67" s="175" t="s">
        <v>22</v>
      </c>
      <c r="Y67" s="174"/>
      <c r="AB67" s="522" t="s">
        <v>204</v>
      </c>
    </row>
    <row r="68" spans="1:28" s="173" customFormat="1" x14ac:dyDescent="0.2">
      <c r="A68" s="35"/>
      <c r="B68" s="207"/>
      <c r="C68" s="283"/>
      <c r="D68" s="69"/>
      <c r="E68" s="37"/>
      <c r="F68" s="96"/>
      <c r="G68" s="93"/>
      <c r="H68" s="93"/>
      <c r="I68" s="93"/>
      <c r="J68" s="76"/>
      <c r="K68" s="49"/>
      <c r="L68" s="76"/>
      <c r="M68" s="76"/>
      <c r="N68" s="341"/>
      <c r="O68" s="290">
        <f>1</f>
        <v>1</v>
      </c>
      <c r="P68" s="167"/>
      <c r="R68" s="175"/>
      <c r="S68" s="174"/>
      <c r="V68" s="289"/>
      <c r="W68" s="289" t="str">
        <f t="shared" ref="W68:W75" si="7">IF(V68="","",V68*O68)</f>
        <v/>
      </c>
      <c r="X68" s="167" t="str">
        <f t="shared" ref="X68:X75" si="8">IF(R68="yes",W68,"")</f>
        <v/>
      </c>
    </row>
    <row r="69" spans="1:28" s="173" customFormat="1" ht="204" customHeight="1" x14ac:dyDescent="0.2">
      <c r="A69" s="35" t="e">
        <f>#REF!+1</f>
        <v>#REF!</v>
      </c>
      <c r="B69" s="209" t="s">
        <v>205</v>
      </c>
      <c r="C69" s="172" t="s">
        <v>205</v>
      </c>
      <c r="D69" s="189" t="s">
        <v>206</v>
      </c>
      <c r="E69" s="178">
        <f>LEN(D69)</f>
        <v>294</v>
      </c>
      <c r="F69" s="184" t="s">
        <v>34</v>
      </c>
      <c r="G69" s="178" t="s">
        <v>23</v>
      </c>
      <c r="H69" s="178" t="s">
        <v>23</v>
      </c>
      <c r="I69" s="178" t="s">
        <v>35</v>
      </c>
      <c r="J69" s="199" t="s">
        <v>207</v>
      </c>
      <c r="K69" s="239" t="s">
        <v>23</v>
      </c>
      <c r="L69" s="199" t="s">
        <v>208</v>
      </c>
      <c r="M69" s="49"/>
      <c r="N69" s="10"/>
      <c r="O69" s="285">
        <f>1</f>
        <v>1</v>
      </c>
      <c r="P69" s="167"/>
      <c r="R69" s="383" t="s">
        <v>31</v>
      </c>
      <c r="S69" s="174"/>
      <c r="V69" s="288">
        <v>17.26140213012695</v>
      </c>
      <c r="W69" s="288">
        <f t="shared" si="7"/>
        <v>17.26140213012695</v>
      </c>
      <c r="X69" s="167">
        <f t="shared" si="8"/>
        <v>17.26140213012695</v>
      </c>
    </row>
    <row r="70" spans="1:28" s="173" customFormat="1" x14ac:dyDescent="0.2">
      <c r="A70" s="35"/>
      <c r="B70" s="207"/>
      <c r="C70" s="89"/>
      <c r="D70" s="205"/>
      <c r="E70" s="37"/>
      <c r="F70" s="90"/>
      <c r="G70" s="37"/>
      <c r="H70" s="37"/>
      <c r="I70" s="37"/>
      <c r="J70" s="80"/>
      <c r="K70" s="49"/>
      <c r="L70" s="80"/>
      <c r="M70" s="80"/>
      <c r="N70" s="10"/>
      <c r="O70" s="290">
        <f>1</f>
        <v>1</v>
      </c>
      <c r="P70" s="167"/>
      <c r="R70" s="175"/>
      <c r="S70" s="174"/>
      <c r="V70" s="289"/>
      <c r="W70" s="289" t="str">
        <f t="shared" si="7"/>
        <v/>
      </c>
      <c r="X70" s="167" t="str">
        <f t="shared" si="8"/>
        <v/>
      </c>
    </row>
    <row r="71" spans="1:28" s="173" customFormat="1" ht="409.5" customHeight="1" x14ac:dyDescent="0.2">
      <c r="A71" s="35" t="e">
        <f>A69+1</f>
        <v>#REF!</v>
      </c>
      <c r="B71" s="209" t="s">
        <v>209</v>
      </c>
      <c r="C71" s="172" t="s">
        <v>209</v>
      </c>
      <c r="D71" s="189" t="s">
        <v>210</v>
      </c>
      <c r="E71" s="178">
        <f>LEN(D71)</f>
        <v>1225</v>
      </c>
      <c r="F71" s="184" t="s">
        <v>34</v>
      </c>
      <c r="G71" s="178" t="s">
        <v>23</v>
      </c>
      <c r="H71" s="178" t="s">
        <v>23</v>
      </c>
      <c r="I71" s="178" t="s">
        <v>211</v>
      </c>
      <c r="J71" s="169" t="s">
        <v>212</v>
      </c>
      <c r="K71" s="239" t="s">
        <v>23</v>
      </c>
      <c r="L71" s="176" t="s">
        <v>213</v>
      </c>
      <c r="M71" s="42"/>
      <c r="N71" s="10"/>
      <c r="O71" s="285">
        <f>1</f>
        <v>1</v>
      </c>
      <c r="P71" s="167"/>
      <c r="R71" s="383" t="s">
        <v>31</v>
      </c>
      <c r="S71" s="174"/>
      <c r="V71" s="288">
        <v>14.47539234161377</v>
      </c>
      <c r="W71" s="288">
        <f t="shared" si="7"/>
        <v>14.47539234161377</v>
      </c>
      <c r="X71" s="167">
        <f t="shared" si="8"/>
        <v>14.47539234161377</v>
      </c>
    </row>
    <row r="72" spans="1:28" s="252" customFormat="1" ht="182" customHeight="1" x14ac:dyDescent="0.2">
      <c r="A72" s="330"/>
      <c r="B72" s="254" t="s">
        <v>214</v>
      </c>
      <c r="C72" s="263" t="s">
        <v>214</v>
      </c>
      <c r="D72" s="177" t="s">
        <v>168</v>
      </c>
      <c r="E72" s="170">
        <f>LEN(D72)</f>
        <v>143</v>
      </c>
      <c r="F72" s="172" t="s">
        <v>34</v>
      </c>
      <c r="G72" s="170" t="s">
        <v>23</v>
      </c>
      <c r="H72" s="170" t="s">
        <v>23</v>
      </c>
      <c r="I72" s="170" t="s">
        <v>35</v>
      </c>
      <c r="J72" s="169" t="s">
        <v>215</v>
      </c>
      <c r="K72" s="239" t="s">
        <v>23</v>
      </c>
      <c r="L72" s="176" t="s">
        <v>216</v>
      </c>
      <c r="M72" s="42"/>
      <c r="N72" s="41"/>
      <c r="O72" s="357">
        <f>1</f>
        <v>1</v>
      </c>
      <c r="P72" s="168"/>
      <c r="R72" s="386" t="s">
        <v>31</v>
      </c>
      <c r="S72" s="246"/>
      <c r="V72" s="292">
        <v>8</v>
      </c>
      <c r="W72" s="292">
        <f t="shared" si="7"/>
        <v>8</v>
      </c>
      <c r="X72" s="168">
        <f t="shared" si="8"/>
        <v>8</v>
      </c>
    </row>
    <row r="73" spans="1:28" s="252" customFormat="1" ht="182" customHeight="1" x14ac:dyDescent="0.2">
      <c r="A73" s="330"/>
      <c r="B73" s="254" t="s">
        <v>217</v>
      </c>
      <c r="C73" s="263" t="s">
        <v>217</v>
      </c>
      <c r="D73" s="177" t="s">
        <v>172</v>
      </c>
      <c r="E73" s="170">
        <f>LEN(D73)</f>
        <v>170</v>
      </c>
      <c r="F73" s="172" t="s">
        <v>34</v>
      </c>
      <c r="G73" s="170" t="s">
        <v>23</v>
      </c>
      <c r="H73" s="170" t="s">
        <v>23</v>
      </c>
      <c r="I73" s="170" t="s">
        <v>35</v>
      </c>
      <c r="J73" s="169" t="s">
        <v>215</v>
      </c>
      <c r="K73" s="239" t="s">
        <v>23</v>
      </c>
      <c r="L73" s="176" t="s">
        <v>218</v>
      </c>
      <c r="M73" s="42"/>
      <c r="N73" s="41"/>
      <c r="O73" s="357">
        <f>1</f>
        <v>1</v>
      </c>
      <c r="P73" s="168"/>
      <c r="R73" s="386" t="s">
        <v>31</v>
      </c>
      <c r="S73" s="246"/>
      <c r="V73" s="292">
        <v>8</v>
      </c>
      <c r="W73" s="292">
        <f t="shared" si="7"/>
        <v>8</v>
      </c>
      <c r="X73" s="168">
        <f t="shared" si="8"/>
        <v>8</v>
      </c>
    </row>
    <row r="74" spans="1:28" s="173" customFormat="1" ht="182" customHeight="1" x14ac:dyDescent="0.2">
      <c r="A74" s="330"/>
      <c r="B74" s="254" t="s">
        <v>219</v>
      </c>
      <c r="C74" s="263" t="s">
        <v>219</v>
      </c>
      <c r="D74" s="177" t="s">
        <v>175</v>
      </c>
      <c r="E74" s="170">
        <f>LEN(D74)</f>
        <v>176</v>
      </c>
      <c r="F74" s="172" t="s">
        <v>34</v>
      </c>
      <c r="G74" s="170" t="s">
        <v>23</v>
      </c>
      <c r="H74" s="170" t="s">
        <v>23</v>
      </c>
      <c r="I74" s="170" t="s">
        <v>35</v>
      </c>
      <c r="J74" s="169" t="s">
        <v>215</v>
      </c>
      <c r="K74" s="239" t="s">
        <v>23</v>
      </c>
      <c r="L74" s="176" t="s">
        <v>220</v>
      </c>
      <c r="M74" s="42"/>
      <c r="N74" s="41"/>
      <c r="O74" s="285">
        <f>1</f>
        <v>1</v>
      </c>
      <c r="P74" s="167"/>
      <c r="R74" s="383" t="s">
        <v>31</v>
      </c>
      <c r="S74" s="174"/>
      <c r="V74" s="288">
        <v>8</v>
      </c>
      <c r="W74" s="288">
        <f t="shared" si="7"/>
        <v>8</v>
      </c>
      <c r="X74" s="167">
        <f t="shared" si="8"/>
        <v>8</v>
      </c>
    </row>
    <row r="75" spans="1:28" s="173" customFormat="1" ht="187" customHeight="1" x14ac:dyDescent="0.2">
      <c r="A75" s="88"/>
      <c r="B75" s="414" t="s">
        <v>221</v>
      </c>
      <c r="C75" s="396"/>
      <c r="D75" s="427" t="s">
        <v>200</v>
      </c>
      <c r="E75" s="93">
        <f>LEN(D75)</f>
        <v>321</v>
      </c>
      <c r="F75" s="397" t="s">
        <v>34</v>
      </c>
      <c r="G75" s="93"/>
      <c r="H75" s="93"/>
      <c r="I75" s="93"/>
      <c r="J75" s="76"/>
      <c r="K75" s="49"/>
      <c r="L75" s="198"/>
      <c r="M75" s="198"/>
      <c r="N75" s="41"/>
      <c r="O75" s="290">
        <f>1</f>
        <v>1</v>
      </c>
      <c r="P75" s="167"/>
      <c r="R75" s="175"/>
      <c r="S75" s="174"/>
      <c r="V75" s="289"/>
      <c r="W75" s="289" t="str">
        <f t="shared" si="7"/>
        <v/>
      </c>
      <c r="X75" s="167" t="str">
        <f t="shared" si="8"/>
        <v/>
      </c>
    </row>
    <row r="76" spans="1:28" s="173" customFormat="1" ht="100" customHeight="1" x14ac:dyDescent="0.2">
      <c r="A76" s="88"/>
      <c r="B76" s="523" t="s">
        <v>222</v>
      </c>
      <c r="C76" s="396"/>
      <c r="D76" s="524" t="s">
        <v>223</v>
      </c>
      <c r="E76" s="93"/>
      <c r="F76" s="397" t="s">
        <v>224</v>
      </c>
      <c r="G76" s="93"/>
      <c r="H76" s="93"/>
      <c r="I76" s="93"/>
      <c r="J76" s="76"/>
      <c r="K76" s="80"/>
      <c r="L76" s="198"/>
      <c r="M76" s="198"/>
      <c r="N76" s="61"/>
      <c r="O76" s="290"/>
      <c r="P76" s="167"/>
      <c r="R76" s="175"/>
      <c r="S76" s="174"/>
      <c r="V76" s="289"/>
      <c r="W76" s="289"/>
      <c r="X76" s="167"/>
    </row>
    <row r="77" spans="1:28" s="173" customFormat="1" x14ac:dyDescent="0.2">
      <c r="A77" s="35"/>
      <c r="B77" s="207"/>
      <c r="C77" s="283"/>
      <c r="D77" s="69"/>
      <c r="E77" s="37"/>
      <c r="F77" s="96"/>
      <c r="G77" s="93"/>
      <c r="H77" s="93"/>
      <c r="I77" s="93"/>
      <c r="J77" s="76"/>
      <c r="K77" s="49"/>
      <c r="L77" s="76"/>
      <c r="M77" s="76"/>
      <c r="N77" s="341"/>
      <c r="O77" s="290">
        <f>1</f>
        <v>1</v>
      </c>
      <c r="P77" s="167"/>
      <c r="R77" s="175"/>
      <c r="S77" s="174"/>
      <c r="V77" s="289"/>
      <c r="W77" s="289" t="str">
        <f>IF(V77="","",V77*O77)</f>
        <v/>
      </c>
      <c r="X77" s="167" t="str">
        <f>IF(R77="yes",W77,"")</f>
        <v/>
      </c>
    </row>
    <row r="78" spans="1:28" s="173" customFormat="1" ht="204" customHeight="1" x14ac:dyDescent="0.2">
      <c r="A78" s="35" t="e">
        <f>#REF!+1</f>
        <v>#REF!</v>
      </c>
      <c r="B78" s="209" t="s">
        <v>225</v>
      </c>
      <c r="C78" s="172" t="s">
        <v>225</v>
      </c>
      <c r="D78" s="218" t="s">
        <v>226</v>
      </c>
      <c r="E78" s="178">
        <f>LEN(D78)</f>
        <v>295</v>
      </c>
      <c r="F78" s="184" t="s">
        <v>34</v>
      </c>
      <c r="G78" s="178" t="s">
        <v>23</v>
      </c>
      <c r="H78" s="178" t="s">
        <v>23</v>
      </c>
      <c r="I78" s="178" t="s">
        <v>35</v>
      </c>
      <c r="J78" s="199" t="s">
        <v>227</v>
      </c>
      <c r="K78" s="239" t="s">
        <v>23</v>
      </c>
      <c r="L78" s="199" t="s">
        <v>228</v>
      </c>
      <c r="M78" s="49"/>
      <c r="N78" s="10"/>
      <c r="O78" s="285">
        <f>1</f>
        <v>1</v>
      </c>
      <c r="P78" s="167"/>
      <c r="R78" s="383" t="s">
        <v>31</v>
      </c>
      <c r="S78" s="174"/>
      <c r="V78" s="288">
        <v>15.87650299072266</v>
      </c>
      <c r="W78" s="288">
        <f>IF(V78="","",V78*O78)</f>
        <v>15.87650299072266</v>
      </c>
      <c r="X78" s="167">
        <f>IF(R78="yes",W78,"")</f>
        <v>15.87650299072266</v>
      </c>
    </row>
    <row r="79" spans="1:28" s="173" customFormat="1" x14ac:dyDescent="0.2">
      <c r="A79" s="35"/>
      <c r="B79" s="209"/>
      <c r="C79" s="172"/>
      <c r="D79" s="218"/>
      <c r="E79" s="178"/>
      <c r="F79" s="184"/>
      <c r="G79" s="178"/>
      <c r="H79" s="178"/>
      <c r="I79" s="178"/>
      <c r="J79" s="199"/>
      <c r="K79" s="239"/>
      <c r="L79" s="199"/>
      <c r="M79" s="49"/>
      <c r="N79" s="10"/>
      <c r="O79" s="285"/>
      <c r="P79" s="167"/>
      <c r="R79" s="383"/>
      <c r="S79" s="174"/>
      <c r="V79" s="288"/>
      <c r="W79" s="288"/>
      <c r="X79" s="167"/>
    </row>
    <row r="80" spans="1:28" s="173" customFormat="1" ht="85" customHeight="1" x14ac:dyDescent="0.2">
      <c r="A80" s="35"/>
      <c r="B80" s="416" t="s">
        <v>229</v>
      </c>
      <c r="C80" s="397"/>
      <c r="D80" s="430" t="s">
        <v>230</v>
      </c>
      <c r="E80" s="37"/>
      <c r="F80" s="458" t="s">
        <v>95</v>
      </c>
      <c r="G80" s="37"/>
      <c r="H80" s="37"/>
      <c r="I80" s="37"/>
      <c r="J80" s="49"/>
      <c r="K80" s="49"/>
      <c r="L80" s="49"/>
      <c r="M80" s="49"/>
      <c r="N80" s="10"/>
      <c r="O80" s="290">
        <f>1</f>
        <v>1</v>
      </c>
      <c r="P80" s="167"/>
      <c r="R80" s="175"/>
      <c r="S80" s="174"/>
      <c r="V80" s="289"/>
      <c r="W80" s="289" t="str">
        <f>IF(V80="","",V80*O80)</f>
        <v/>
      </c>
      <c r="X80" s="167" t="str">
        <f>IF(R80="yes",W80,"")</f>
        <v/>
      </c>
    </row>
    <row r="81" spans="1:24" s="173" customFormat="1" ht="140" customHeight="1" x14ac:dyDescent="0.2">
      <c r="A81" s="35"/>
      <c r="B81" s="414" t="s">
        <v>231</v>
      </c>
      <c r="C81" s="397"/>
      <c r="D81" s="431" t="s">
        <v>232</v>
      </c>
      <c r="E81" s="37"/>
      <c r="F81" s="458" t="s">
        <v>34</v>
      </c>
      <c r="G81" s="37"/>
      <c r="H81" s="37"/>
      <c r="I81" s="37"/>
      <c r="J81" s="49"/>
      <c r="K81" s="80"/>
      <c r="L81" s="49"/>
      <c r="M81" s="49"/>
      <c r="N81" s="10"/>
      <c r="O81" s="290"/>
      <c r="P81" s="167"/>
      <c r="R81" s="175"/>
      <c r="S81" s="174"/>
      <c r="V81" s="289"/>
      <c r="W81" s="289"/>
      <c r="X81" s="167"/>
    </row>
    <row r="82" spans="1:24" s="173" customFormat="1" ht="240" customHeight="1" x14ac:dyDescent="0.2">
      <c r="A82" s="35"/>
      <c r="B82" s="414" t="s">
        <v>233</v>
      </c>
      <c r="C82" s="397"/>
      <c r="D82" s="431" t="s">
        <v>234</v>
      </c>
      <c r="E82" s="37"/>
      <c r="F82" s="458" t="s">
        <v>34</v>
      </c>
      <c r="G82" s="37"/>
      <c r="H82" s="37"/>
      <c r="I82" s="37"/>
      <c r="J82" s="49"/>
      <c r="K82" s="80"/>
      <c r="L82" s="49"/>
      <c r="M82" s="49"/>
      <c r="N82" s="10"/>
      <c r="O82" s="290"/>
      <c r="P82" s="167"/>
      <c r="R82" s="175"/>
      <c r="S82" s="174"/>
      <c r="V82" s="289"/>
      <c r="W82" s="289"/>
      <c r="X82" s="167"/>
    </row>
    <row r="83" spans="1:24" s="173" customFormat="1" ht="160" customHeight="1" x14ac:dyDescent="0.2">
      <c r="A83" s="35"/>
      <c r="B83" s="432" t="s">
        <v>235</v>
      </c>
      <c r="C83" s="397"/>
      <c r="D83" s="433" t="s">
        <v>236</v>
      </c>
      <c r="E83" s="37"/>
      <c r="F83" s="458" t="s">
        <v>95</v>
      </c>
      <c r="G83" s="37"/>
      <c r="H83" s="37"/>
      <c r="I83" s="37"/>
      <c r="J83" s="49"/>
      <c r="K83" s="80"/>
      <c r="L83" s="49"/>
      <c r="M83" s="49"/>
      <c r="N83" s="10"/>
      <c r="O83" s="290"/>
      <c r="P83" s="167"/>
      <c r="R83" s="175"/>
      <c r="S83" s="174"/>
      <c r="V83" s="289"/>
      <c r="W83" s="289"/>
      <c r="X83" s="167"/>
    </row>
    <row r="84" spans="1:24" s="173" customFormat="1" ht="340" customHeight="1" x14ac:dyDescent="0.2">
      <c r="A84" s="35"/>
      <c r="B84" s="432" t="s">
        <v>237</v>
      </c>
      <c r="C84" s="397"/>
      <c r="D84" s="433" t="s">
        <v>238</v>
      </c>
      <c r="E84" s="37"/>
      <c r="F84" s="458" t="s">
        <v>34</v>
      </c>
      <c r="G84" s="37"/>
      <c r="H84" s="37"/>
      <c r="I84" s="37"/>
      <c r="J84" s="49"/>
      <c r="K84" s="80"/>
      <c r="L84" s="49"/>
      <c r="M84" s="49"/>
      <c r="N84" s="10"/>
      <c r="O84" s="290"/>
      <c r="P84" s="167"/>
      <c r="R84" s="175"/>
      <c r="S84" s="174"/>
      <c r="V84" s="289"/>
      <c r="W84" s="289"/>
      <c r="X84" s="167"/>
    </row>
    <row r="85" spans="1:24" s="173" customFormat="1" ht="180" customHeight="1" x14ac:dyDescent="0.2">
      <c r="A85" s="35"/>
      <c r="B85" s="432" t="s">
        <v>239</v>
      </c>
      <c r="C85" s="397"/>
      <c r="D85" s="433" t="s">
        <v>240</v>
      </c>
      <c r="E85" s="37"/>
      <c r="F85" s="458" t="s">
        <v>34</v>
      </c>
      <c r="G85" s="37"/>
      <c r="H85" s="37"/>
      <c r="I85" s="37"/>
      <c r="J85" s="49"/>
      <c r="K85" s="80"/>
      <c r="L85" s="49"/>
      <c r="M85" s="49"/>
      <c r="N85" s="10"/>
      <c r="O85" s="290"/>
      <c r="P85" s="167"/>
      <c r="R85" s="175"/>
      <c r="S85" s="174"/>
      <c r="V85" s="289"/>
      <c r="W85" s="289"/>
      <c r="X85" s="167"/>
    </row>
    <row r="86" spans="1:24" s="173" customFormat="1" ht="280" customHeight="1" x14ac:dyDescent="0.2">
      <c r="A86" s="35"/>
      <c r="B86" s="432" t="s">
        <v>241</v>
      </c>
      <c r="C86" s="397"/>
      <c r="D86" s="433" t="s">
        <v>242</v>
      </c>
      <c r="E86" s="37"/>
      <c r="F86" s="458" t="s">
        <v>34</v>
      </c>
      <c r="G86" s="37"/>
      <c r="H86" s="37"/>
      <c r="I86" s="37"/>
      <c r="J86" s="49"/>
      <c r="K86" s="80"/>
      <c r="L86" s="49"/>
      <c r="M86" s="49"/>
      <c r="N86" s="10"/>
      <c r="O86" s="290"/>
      <c r="P86" s="167"/>
      <c r="R86" s="175"/>
      <c r="S86" s="174"/>
      <c r="V86" s="289"/>
      <c r="W86" s="289"/>
      <c r="X86" s="167"/>
    </row>
    <row r="87" spans="1:24" s="173" customFormat="1" ht="180" customHeight="1" x14ac:dyDescent="0.2">
      <c r="A87" s="35"/>
      <c r="B87" s="432" t="s">
        <v>243</v>
      </c>
      <c r="C87" s="397"/>
      <c r="D87" s="433" t="s">
        <v>244</v>
      </c>
      <c r="E87" s="37"/>
      <c r="F87" s="458" t="s">
        <v>34</v>
      </c>
      <c r="G87" s="37"/>
      <c r="H87" s="37"/>
      <c r="I87" s="37"/>
      <c r="J87" s="49"/>
      <c r="K87" s="80"/>
      <c r="L87" s="49"/>
      <c r="M87" s="49"/>
      <c r="N87" s="10"/>
      <c r="O87" s="290"/>
      <c r="P87" s="167"/>
      <c r="R87" s="175"/>
      <c r="S87" s="174"/>
      <c r="V87" s="289"/>
      <c r="W87" s="289"/>
      <c r="X87" s="167"/>
    </row>
    <row r="88" spans="1:24" s="173" customFormat="1" ht="409" customHeight="1" x14ac:dyDescent="0.2">
      <c r="A88" s="35" t="e">
        <f>#REF!+1</f>
        <v>#REF!</v>
      </c>
      <c r="B88" s="209" t="s">
        <v>245</v>
      </c>
      <c r="C88" s="350" t="s">
        <v>246</v>
      </c>
      <c r="D88" s="351" t="s">
        <v>247</v>
      </c>
      <c r="E88" s="178">
        <f>LEN(D88)</f>
        <v>1440</v>
      </c>
      <c r="F88" s="184" t="s">
        <v>248</v>
      </c>
      <c r="G88" s="178" t="s">
        <v>23</v>
      </c>
      <c r="H88" s="178" t="s">
        <v>23</v>
      </c>
      <c r="I88" s="346" t="s">
        <v>249</v>
      </c>
      <c r="J88" s="199" t="s">
        <v>250</v>
      </c>
      <c r="K88" s="239" t="s">
        <v>251</v>
      </c>
      <c r="L88" s="199" t="s">
        <v>252</v>
      </c>
      <c r="M88" s="79"/>
      <c r="N88" s="10"/>
      <c r="O88" s="285">
        <f>1</f>
        <v>1</v>
      </c>
      <c r="P88" s="167"/>
      <c r="R88" s="383" t="s">
        <v>31</v>
      </c>
      <c r="S88" s="174"/>
      <c r="V88" s="288">
        <v>37.853630065917969</v>
      </c>
      <c r="W88" s="288">
        <f t="shared" ref="W88:W98" si="9">IF(V88="","",V88*O88)</f>
        <v>37.853630065917969</v>
      </c>
      <c r="X88" s="167">
        <f t="shared" ref="X88:X98" si="10">IF(R88="yes",W88,"")</f>
        <v>37.853630065917969</v>
      </c>
    </row>
    <row r="89" spans="1:24" s="173" customFormat="1" ht="17" customHeight="1" thickBot="1" x14ac:dyDescent="0.25">
      <c r="A89" s="35"/>
      <c r="B89" s="207"/>
      <c r="C89" s="89"/>
      <c r="D89" s="69"/>
      <c r="E89" s="37"/>
      <c r="F89" s="90"/>
      <c r="G89" s="37"/>
      <c r="H89" s="37"/>
      <c r="I89" s="37"/>
      <c r="J89" s="49"/>
      <c r="K89" s="49"/>
      <c r="L89" s="49"/>
      <c r="M89" s="80"/>
      <c r="N89" s="41"/>
      <c r="O89" s="290">
        <f>1</f>
        <v>1</v>
      </c>
      <c r="P89" s="167"/>
      <c r="R89" s="175"/>
      <c r="S89" s="174"/>
      <c r="V89" s="289"/>
      <c r="W89" s="289" t="str">
        <f t="shared" si="9"/>
        <v/>
      </c>
      <c r="X89" s="167" t="str">
        <f t="shared" si="10"/>
        <v/>
      </c>
    </row>
    <row r="90" spans="1:24" s="382" customFormat="1" ht="17" customHeight="1" thickBot="1" x14ac:dyDescent="0.25">
      <c r="A90" s="588" t="s">
        <v>253</v>
      </c>
      <c r="B90" s="589"/>
      <c r="C90" s="589"/>
      <c r="D90" s="589"/>
      <c r="E90" s="589"/>
      <c r="F90" s="589"/>
      <c r="G90" s="589"/>
      <c r="H90" s="589"/>
      <c r="I90" s="589"/>
      <c r="J90" s="589"/>
      <c r="K90" s="589"/>
      <c r="L90" s="589"/>
      <c r="M90" s="589"/>
      <c r="N90" s="590"/>
      <c r="O90" s="285"/>
      <c r="P90" s="384"/>
      <c r="R90" s="383"/>
      <c r="S90" s="385"/>
      <c r="V90" s="288"/>
      <c r="W90" s="288" t="str">
        <f t="shared" si="9"/>
        <v/>
      </c>
      <c r="X90" s="384" t="str">
        <f t="shared" si="10"/>
        <v/>
      </c>
    </row>
    <row r="91" spans="1:24" s="173" customFormat="1" ht="153" customHeight="1" x14ac:dyDescent="0.2">
      <c r="A91" s="88" t="e">
        <f>#REF!+1</f>
        <v>#REF!</v>
      </c>
      <c r="B91" s="217" t="s">
        <v>254</v>
      </c>
      <c r="C91" s="172" t="s">
        <v>254</v>
      </c>
      <c r="D91" s="193" t="s">
        <v>255</v>
      </c>
      <c r="E91" s="170">
        <f>LEN(D91)</f>
        <v>224</v>
      </c>
      <c r="F91" s="180" t="s">
        <v>34</v>
      </c>
      <c r="G91" s="170" t="s">
        <v>23</v>
      </c>
      <c r="H91" s="170" t="s">
        <v>256</v>
      </c>
      <c r="I91" s="178" t="s">
        <v>35</v>
      </c>
      <c r="J91" s="192" t="s">
        <v>257</v>
      </c>
      <c r="K91" s="239" t="s">
        <v>23</v>
      </c>
      <c r="L91" s="176" t="s">
        <v>258</v>
      </c>
      <c r="M91" s="198"/>
      <c r="N91" s="216"/>
      <c r="O91" s="290">
        <f>'Additional information'!$D$17</f>
        <v>0.91</v>
      </c>
      <c r="P91" s="167"/>
      <c r="R91" s="383" t="s">
        <v>31</v>
      </c>
      <c r="S91" s="174"/>
      <c r="V91" s="288">
        <v>7.3040728569030762</v>
      </c>
      <c r="W91" s="288">
        <f t="shared" si="9"/>
        <v>6.6467062997817994</v>
      </c>
      <c r="X91" s="167">
        <f t="shared" si="10"/>
        <v>6.6467062997817994</v>
      </c>
    </row>
    <row r="92" spans="1:24" s="173" customFormat="1" x14ac:dyDescent="0.2">
      <c r="A92" s="88"/>
      <c r="B92" s="94"/>
      <c r="C92" s="89"/>
      <c r="D92" s="95"/>
      <c r="E92" s="93"/>
      <c r="F92" s="96"/>
      <c r="G92" s="93"/>
      <c r="H92" s="93"/>
      <c r="I92" s="37"/>
      <c r="J92" s="80"/>
      <c r="K92" s="69"/>
      <c r="L92" s="198"/>
      <c r="M92" s="198"/>
      <c r="N92" s="216"/>
      <c r="O92" s="290">
        <f>'Additional information'!$D$17</f>
        <v>0.91</v>
      </c>
      <c r="P92" s="167"/>
      <c r="R92" s="175"/>
      <c r="S92" s="174"/>
      <c r="V92" s="289"/>
      <c r="W92" s="289" t="str">
        <f t="shared" si="9"/>
        <v/>
      </c>
      <c r="X92" s="167" t="str">
        <f t="shared" si="10"/>
        <v/>
      </c>
    </row>
    <row r="93" spans="1:24" s="260" customFormat="1" ht="85" customHeight="1" x14ac:dyDescent="0.2">
      <c r="A93" s="317"/>
      <c r="B93" s="191" t="s">
        <v>259</v>
      </c>
      <c r="C93" s="178" t="s">
        <v>259</v>
      </c>
      <c r="D93" s="189" t="s">
        <v>260</v>
      </c>
      <c r="E93" s="178">
        <f>LEN(D93)</f>
        <v>237</v>
      </c>
      <c r="F93" s="179" t="s">
        <v>95</v>
      </c>
      <c r="G93" s="178" t="s">
        <v>23</v>
      </c>
      <c r="H93" s="178" t="s">
        <v>23</v>
      </c>
      <c r="I93" s="178" t="s">
        <v>26</v>
      </c>
      <c r="J93" s="199" t="s">
        <v>261</v>
      </c>
      <c r="K93" s="239" t="s">
        <v>23</v>
      </c>
      <c r="L93" s="176" t="s">
        <v>262</v>
      </c>
      <c r="M93" s="215"/>
      <c r="N93" s="214"/>
      <c r="O93" s="290">
        <f>'Additional information'!$D$17</f>
        <v>0.91</v>
      </c>
      <c r="P93" s="167"/>
      <c r="R93" s="383" t="s">
        <v>31</v>
      </c>
      <c r="S93" s="174"/>
      <c r="V93" s="288">
        <v>23.93990516662598</v>
      </c>
      <c r="W93" s="288">
        <f t="shared" si="9"/>
        <v>21.785313701629644</v>
      </c>
      <c r="X93" s="167">
        <f t="shared" si="10"/>
        <v>21.785313701629644</v>
      </c>
    </row>
    <row r="94" spans="1:24" s="260" customFormat="1" ht="187" customHeight="1" x14ac:dyDescent="0.2">
      <c r="A94" s="317"/>
      <c r="B94" s="191" t="s">
        <v>263</v>
      </c>
      <c r="C94" s="178" t="s">
        <v>263</v>
      </c>
      <c r="D94" s="189" t="s">
        <v>264</v>
      </c>
      <c r="E94" s="178">
        <f>LEN(D94)</f>
        <v>152</v>
      </c>
      <c r="F94" s="179" t="s">
        <v>34</v>
      </c>
      <c r="G94" s="178" t="s">
        <v>23</v>
      </c>
      <c r="H94" s="178" t="s">
        <v>23</v>
      </c>
      <c r="I94" s="178" t="s">
        <v>35</v>
      </c>
      <c r="J94" s="199" t="s">
        <v>265</v>
      </c>
      <c r="K94" s="239" t="s">
        <v>23</v>
      </c>
      <c r="L94" s="176" t="s">
        <v>266</v>
      </c>
      <c r="M94" s="198"/>
      <c r="N94" s="212"/>
      <c r="O94" s="290">
        <f>'Additional information'!$D$17</f>
        <v>0.91</v>
      </c>
      <c r="P94" s="167"/>
      <c r="R94" s="383" t="s">
        <v>31</v>
      </c>
      <c r="S94" s="174"/>
      <c r="V94" s="288">
        <v>2.2494626045227051</v>
      </c>
      <c r="W94" s="288">
        <f t="shared" si="9"/>
        <v>2.0470109701156618</v>
      </c>
      <c r="X94" s="167">
        <f t="shared" si="10"/>
        <v>2.0470109701156618</v>
      </c>
    </row>
    <row r="95" spans="1:24" s="260" customFormat="1" x14ac:dyDescent="0.2">
      <c r="A95" s="152"/>
      <c r="B95" s="282"/>
      <c r="C95" s="93"/>
      <c r="D95" s="95"/>
      <c r="E95" s="93"/>
      <c r="F95" s="89"/>
      <c r="G95" s="93"/>
      <c r="H95" s="93"/>
      <c r="I95" s="93"/>
      <c r="J95" s="80"/>
      <c r="K95" s="69"/>
      <c r="L95" s="261"/>
      <c r="M95" s="213"/>
      <c r="N95" s="212"/>
      <c r="O95" s="290">
        <f>'Additional information'!$D$17</f>
        <v>0.91</v>
      </c>
      <c r="P95" s="167"/>
      <c r="R95" s="175"/>
      <c r="S95" s="174"/>
      <c r="V95" s="289"/>
      <c r="W95" s="289" t="str">
        <f t="shared" si="9"/>
        <v/>
      </c>
      <c r="X95" s="167" t="str">
        <f t="shared" si="10"/>
        <v/>
      </c>
    </row>
    <row r="96" spans="1:24" s="173" customFormat="1" ht="119" customHeight="1" x14ac:dyDescent="0.2">
      <c r="A96" s="88" t="e">
        <f>A91+1</f>
        <v>#REF!</v>
      </c>
      <c r="B96" s="254" t="s">
        <v>267</v>
      </c>
      <c r="C96" s="172" t="s">
        <v>267</v>
      </c>
      <c r="D96" s="193" t="s">
        <v>268</v>
      </c>
      <c r="E96" s="170">
        <f>LEN(D96)</f>
        <v>1479</v>
      </c>
      <c r="F96" s="180" t="s">
        <v>34</v>
      </c>
      <c r="G96" s="170" t="s">
        <v>23</v>
      </c>
      <c r="H96" s="170" t="s">
        <v>23</v>
      </c>
      <c r="I96" s="172" t="s">
        <v>269</v>
      </c>
      <c r="J96" s="192" t="s">
        <v>270</v>
      </c>
      <c r="K96" s="359" t="s">
        <v>271</v>
      </c>
      <c r="L96" s="355" t="s">
        <v>272</v>
      </c>
      <c r="M96" s="210"/>
      <c r="N96" s="41"/>
      <c r="O96" s="290">
        <f>'Additional information'!$D$17</f>
        <v>0.91</v>
      </c>
      <c r="P96" s="167"/>
      <c r="R96" s="383" t="s">
        <v>31</v>
      </c>
      <c r="S96" s="174"/>
      <c r="V96" s="288">
        <v>23.440116882324219</v>
      </c>
      <c r="W96" s="288">
        <f t="shared" si="9"/>
        <v>21.330506362915038</v>
      </c>
      <c r="X96" s="167">
        <f t="shared" si="10"/>
        <v>21.330506362915038</v>
      </c>
    </row>
    <row r="97" spans="1:24" s="173" customFormat="1" ht="102" customHeight="1" x14ac:dyDescent="0.2">
      <c r="A97" s="88"/>
      <c r="B97" s="254" t="s">
        <v>273</v>
      </c>
      <c r="C97" s="172" t="s">
        <v>273</v>
      </c>
      <c r="D97" s="193" t="s">
        <v>274</v>
      </c>
      <c r="E97" s="170">
        <f>LEN(D97)</f>
        <v>179</v>
      </c>
      <c r="F97" s="180" t="s">
        <v>34</v>
      </c>
      <c r="G97" s="170" t="s">
        <v>23</v>
      </c>
      <c r="H97" s="170" t="s">
        <v>23</v>
      </c>
      <c r="I97" s="172" t="s">
        <v>35</v>
      </c>
      <c r="J97" s="192" t="s">
        <v>275</v>
      </c>
      <c r="K97" s="239" t="s">
        <v>23</v>
      </c>
      <c r="L97" s="211" t="s">
        <v>276</v>
      </c>
      <c r="M97" s="210"/>
      <c r="N97" s="41"/>
      <c r="O97" s="290">
        <f>'Additional information'!$D$17</f>
        <v>0.91</v>
      </c>
      <c r="P97" s="167"/>
      <c r="R97" s="383" t="s">
        <v>31</v>
      </c>
      <c r="S97" s="174"/>
      <c r="V97" s="288">
        <v>7.7659573554992676</v>
      </c>
      <c r="W97" s="288">
        <f t="shared" si="9"/>
        <v>7.0670211935043339</v>
      </c>
      <c r="X97" s="167">
        <f t="shared" si="10"/>
        <v>7.0670211935043339</v>
      </c>
    </row>
    <row r="98" spans="1:24" s="173" customFormat="1" ht="153" customHeight="1" x14ac:dyDescent="0.2">
      <c r="A98" s="88"/>
      <c r="B98" s="562" t="s">
        <v>277</v>
      </c>
      <c r="C98" s="563"/>
      <c r="D98" s="564" t="s">
        <v>278</v>
      </c>
      <c r="E98" s="565">
        <f>LEN(D98)</f>
        <v>302</v>
      </c>
      <c r="F98" s="566"/>
      <c r="G98" s="565"/>
      <c r="H98" s="565"/>
      <c r="I98" s="563"/>
      <c r="J98" s="567"/>
      <c r="K98" s="568"/>
      <c r="L98" s="569"/>
      <c r="M98" s="570"/>
      <c r="N98" s="571" t="s">
        <v>279</v>
      </c>
      <c r="O98" s="290">
        <f>'Additional information'!$D$17</f>
        <v>0.91</v>
      </c>
      <c r="P98" s="167"/>
      <c r="R98" s="175"/>
      <c r="S98" s="174"/>
      <c r="V98" s="289"/>
      <c r="W98" s="289" t="str">
        <f t="shared" si="9"/>
        <v/>
      </c>
      <c r="X98" s="167" t="str">
        <f t="shared" si="10"/>
        <v/>
      </c>
    </row>
    <row r="99" spans="1:24" s="173" customFormat="1" ht="272" customHeight="1" x14ac:dyDescent="0.2">
      <c r="A99" s="88"/>
      <c r="B99" s="562" t="s">
        <v>280</v>
      </c>
      <c r="C99" s="563"/>
      <c r="D99" s="564" t="s">
        <v>281</v>
      </c>
      <c r="E99" s="565">
        <f>LEN(D99)</f>
        <v>440</v>
      </c>
      <c r="F99" s="566"/>
      <c r="G99" s="565"/>
      <c r="H99" s="565"/>
      <c r="I99" s="563"/>
      <c r="J99" s="567"/>
      <c r="K99" s="572"/>
      <c r="L99" s="569"/>
      <c r="M99" s="570"/>
      <c r="N99" s="571" t="s">
        <v>279</v>
      </c>
      <c r="O99" s="290"/>
      <c r="P99" s="167"/>
      <c r="R99" s="175"/>
      <c r="S99" s="174"/>
      <c r="V99" s="289"/>
      <c r="W99" s="289"/>
      <c r="X99" s="167"/>
    </row>
    <row r="100" spans="1:24" s="173" customFormat="1" x14ac:dyDescent="0.2">
      <c r="A100" s="88"/>
      <c r="B100" s="280"/>
      <c r="C100" s="89"/>
      <c r="D100" s="95"/>
      <c r="E100" s="93"/>
      <c r="F100" s="96"/>
      <c r="G100" s="93"/>
      <c r="H100" s="93"/>
      <c r="I100" s="89"/>
      <c r="J100" s="80"/>
      <c r="K100" s="76"/>
      <c r="L100" s="305"/>
      <c r="M100" s="210"/>
      <c r="N100" s="41"/>
      <c r="O100" s="290"/>
      <c r="P100" s="167"/>
      <c r="R100" s="175"/>
      <c r="S100" s="174"/>
      <c r="V100" s="289"/>
      <c r="W100" s="289"/>
      <c r="X100" s="167"/>
    </row>
    <row r="101" spans="1:24" s="173" customFormat="1" ht="204" customHeight="1" x14ac:dyDescent="0.2">
      <c r="A101" s="35" t="e">
        <f>A96+1</f>
        <v>#REF!</v>
      </c>
      <c r="B101" s="191" t="s">
        <v>282</v>
      </c>
      <c r="C101" s="178" t="s">
        <v>282</v>
      </c>
      <c r="D101" s="189" t="s">
        <v>283</v>
      </c>
      <c r="E101" s="178">
        <f>LEN(D101)</f>
        <v>331</v>
      </c>
      <c r="F101" s="179" t="s">
        <v>71</v>
      </c>
      <c r="G101" s="178" t="s">
        <v>23</v>
      </c>
      <c r="H101" s="178" t="s">
        <v>23</v>
      </c>
      <c r="I101" s="178" t="s">
        <v>72</v>
      </c>
      <c r="J101" s="199" t="s">
        <v>284</v>
      </c>
      <c r="K101" s="239" t="s">
        <v>23</v>
      </c>
      <c r="L101" s="211" t="s">
        <v>285</v>
      </c>
      <c r="M101" s="59"/>
      <c r="N101" s="10"/>
      <c r="O101" s="290">
        <f>'Additional information'!$D$17</f>
        <v>0.91</v>
      </c>
      <c r="P101" s="167"/>
      <c r="R101" s="383" t="s">
        <v>31</v>
      </c>
      <c r="S101" s="174"/>
      <c r="V101" s="288">
        <v>16.481756210327148</v>
      </c>
      <c r="W101" s="288">
        <f t="shared" ref="W101:W132" si="11">IF(V101="","",V101*O101)</f>
        <v>14.998398151397705</v>
      </c>
      <c r="X101" s="167">
        <f t="shared" ref="X101:X132" si="12">IF(R101="yes",W101,"")</f>
        <v>14.998398151397705</v>
      </c>
    </row>
    <row r="102" spans="1:24" s="173" customFormat="1" ht="14" customHeight="1" x14ac:dyDescent="0.2">
      <c r="A102" s="35"/>
      <c r="B102" s="573" t="s">
        <v>286</v>
      </c>
      <c r="C102" s="574"/>
      <c r="D102" s="575" t="s">
        <v>287</v>
      </c>
      <c r="E102" s="576"/>
      <c r="F102" s="577"/>
      <c r="G102" s="576"/>
      <c r="H102" s="576"/>
      <c r="I102" s="576"/>
      <c r="J102" s="578"/>
      <c r="K102" s="568"/>
      <c r="L102" s="579"/>
      <c r="M102" s="578"/>
      <c r="N102" s="571" t="s">
        <v>279</v>
      </c>
      <c r="O102" s="290">
        <f>'Additional information'!$D$17</f>
        <v>0.91</v>
      </c>
      <c r="P102" s="167"/>
      <c r="R102" s="175"/>
      <c r="S102" s="174"/>
      <c r="V102" s="289"/>
      <c r="W102" s="289" t="str">
        <f t="shared" si="11"/>
        <v/>
      </c>
      <c r="X102" s="167" t="str">
        <f t="shared" si="12"/>
        <v/>
      </c>
    </row>
    <row r="103" spans="1:24" s="173" customFormat="1" x14ac:dyDescent="0.2">
      <c r="A103" s="35"/>
      <c r="B103" s="207"/>
      <c r="C103" s="206"/>
      <c r="D103" s="205"/>
      <c r="E103" s="37"/>
      <c r="F103" s="90"/>
      <c r="G103" s="37"/>
      <c r="H103" s="37"/>
      <c r="I103" s="37"/>
      <c r="J103" s="203"/>
      <c r="K103" s="69"/>
      <c r="L103" s="204"/>
      <c r="M103" s="203"/>
      <c r="N103" s="10"/>
      <c r="O103" s="290">
        <f>'Additional information'!$D$17</f>
        <v>0.91</v>
      </c>
      <c r="P103" s="167"/>
      <c r="R103" s="175"/>
      <c r="S103" s="174"/>
      <c r="V103" s="289"/>
      <c r="W103" s="289" t="str">
        <f t="shared" si="11"/>
        <v/>
      </c>
      <c r="X103" s="167" t="str">
        <f t="shared" si="12"/>
        <v/>
      </c>
    </row>
    <row r="104" spans="1:24" s="173" customFormat="1" ht="204" customHeight="1" x14ac:dyDescent="0.2">
      <c r="A104" s="35" t="e">
        <f>#REF!+1</f>
        <v>#REF!</v>
      </c>
      <c r="B104" s="209" t="s">
        <v>288</v>
      </c>
      <c r="C104" s="208" t="s">
        <v>288</v>
      </c>
      <c r="D104" s="189" t="s">
        <v>289</v>
      </c>
      <c r="E104" s="178">
        <f>LEN(D104)</f>
        <v>258</v>
      </c>
      <c r="F104" s="184" t="s">
        <v>34</v>
      </c>
      <c r="G104" s="178" t="s">
        <v>23</v>
      </c>
      <c r="H104" s="178" t="s">
        <v>23</v>
      </c>
      <c r="I104" s="178" t="s">
        <v>35</v>
      </c>
      <c r="J104" s="199" t="s">
        <v>290</v>
      </c>
      <c r="K104" s="239" t="s">
        <v>23</v>
      </c>
      <c r="L104" s="199" t="s">
        <v>291</v>
      </c>
      <c r="M104" s="49"/>
      <c r="N104" s="10"/>
      <c r="O104" s="290">
        <f>'Additional information'!$D$17</f>
        <v>0.91</v>
      </c>
      <c r="P104" s="167"/>
      <c r="R104" s="383" t="s">
        <v>31</v>
      </c>
      <c r="S104" s="174"/>
      <c r="V104" s="288">
        <v>20.308681488037109</v>
      </c>
      <c r="W104" s="288">
        <f t="shared" si="11"/>
        <v>18.480900154113769</v>
      </c>
      <c r="X104" s="167">
        <f t="shared" si="12"/>
        <v>18.480900154113769</v>
      </c>
    </row>
    <row r="105" spans="1:24" s="173" customFormat="1" x14ac:dyDescent="0.2">
      <c r="A105" s="35"/>
      <c r="B105" s="207"/>
      <c r="C105" s="206"/>
      <c r="D105" s="205"/>
      <c r="E105" s="37"/>
      <c r="F105" s="90"/>
      <c r="G105" s="37"/>
      <c r="H105" s="37"/>
      <c r="I105" s="37"/>
      <c r="J105" s="203"/>
      <c r="K105" s="69"/>
      <c r="L105" s="204"/>
      <c r="M105" s="203"/>
      <c r="N105" s="10"/>
      <c r="O105" s="290">
        <f>'Additional information'!$D$17</f>
        <v>0.91</v>
      </c>
      <c r="P105" s="167"/>
      <c r="R105" s="175"/>
      <c r="S105" s="174"/>
      <c r="V105" s="289"/>
      <c r="W105" s="289" t="str">
        <f t="shared" si="11"/>
        <v/>
      </c>
      <c r="X105" s="167" t="str">
        <f t="shared" si="12"/>
        <v/>
      </c>
    </row>
    <row r="106" spans="1:24" s="173" customFormat="1" ht="204" customHeight="1" x14ac:dyDescent="0.2">
      <c r="A106" s="35" t="e">
        <f>A104+1</f>
        <v>#REF!</v>
      </c>
      <c r="B106" s="191" t="s">
        <v>292</v>
      </c>
      <c r="C106" s="178" t="s">
        <v>292</v>
      </c>
      <c r="D106" s="189" t="s">
        <v>293</v>
      </c>
      <c r="E106" s="178">
        <f>LEN(D106)</f>
        <v>265</v>
      </c>
      <c r="F106" s="184" t="s">
        <v>34</v>
      </c>
      <c r="G106" s="178" t="s">
        <v>23</v>
      </c>
      <c r="H106" s="178" t="s">
        <v>23</v>
      </c>
      <c r="I106" s="178" t="s">
        <v>35</v>
      </c>
      <c r="J106" s="177" t="s">
        <v>294</v>
      </c>
      <c r="K106" s="239" t="s">
        <v>23</v>
      </c>
      <c r="L106" s="202" t="s">
        <v>295</v>
      </c>
      <c r="M106" s="201"/>
      <c r="N106" s="153"/>
      <c r="O106" s="290">
        <f>'Additional information'!$D$17</f>
        <v>0.91</v>
      </c>
      <c r="P106" s="167"/>
      <c r="R106" s="383" t="s">
        <v>31</v>
      </c>
      <c r="S106" s="174"/>
      <c r="V106" s="288">
        <v>15.448612213134769</v>
      </c>
      <c r="W106" s="288">
        <f t="shared" si="11"/>
        <v>14.058237113952641</v>
      </c>
      <c r="X106" s="167">
        <f t="shared" si="12"/>
        <v>14.058237113952641</v>
      </c>
    </row>
    <row r="107" spans="1:24" s="173" customFormat="1" ht="85" customHeight="1" x14ac:dyDescent="0.2">
      <c r="A107" s="14" t="e">
        <f>A106+1</f>
        <v>#REF!</v>
      </c>
      <c r="B107" s="43" t="s">
        <v>296</v>
      </c>
      <c r="C107" s="44" t="s">
        <v>296</v>
      </c>
      <c r="D107" s="18" t="s">
        <v>297</v>
      </c>
      <c r="E107" s="19">
        <f>LEN(D107)</f>
        <v>240</v>
      </c>
      <c r="F107" s="45" t="s">
        <v>95</v>
      </c>
      <c r="G107" s="19" t="s">
        <v>23</v>
      </c>
      <c r="H107" s="19" t="s">
        <v>23</v>
      </c>
      <c r="I107" s="19" t="s">
        <v>26</v>
      </c>
      <c r="J107" s="21" t="s">
        <v>298</v>
      </c>
      <c r="K107" s="70" t="s">
        <v>23</v>
      </c>
      <c r="L107" s="46" t="s">
        <v>299</v>
      </c>
      <c r="M107" s="57"/>
      <c r="N107" s="591" t="s">
        <v>300</v>
      </c>
      <c r="O107" s="290">
        <f>'Additional information'!$D$17</f>
        <v>0.91</v>
      </c>
      <c r="P107" s="167"/>
      <c r="R107" s="175" t="s">
        <v>22</v>
      </c>
      <c r="S107" s="174"/>
      <c r="V107" s="289">
        <v>30.343915939331051</v>
      </c>
      <c r="W107" s="289">
        <f t="shared" si="11"/>
        <v>27.612963504791256</v>
      </c>
      <c r="X107" s="167" t="str">
        <f t="shared" si="12"/>
        <v/>
      </c>
    </row>
    <row r="108" spans="1:24" s="173" customFormat="1" ht="221" customHeight="1" x14ac:dyDescent="0.2">
      <c r="A108" s="14" t="e">
        <f>A107+1</f>
        <v>#REF!</v>
      </c>
      <c r="B108" s="43" t="s">
        <v>301</v>
      </c>
      <c r="C108" s="44" t="s">
        <v>301</v>
      </c>
      <c r="D108" s="48" t="s">
        <v>302</v>
      </c>
      <c r="E108" s="19">
        <f>LEN(D108)</f>
        <v>175</v>
      </c>
      <c r="F108" s="45" t="s">
        <v>71</v>
      </c>
      <c r="G108" s="19" t="s">
        <v>23</v>
      </c>
      <c r="H108" s="19" t="s">
        <v>23</v>
      </c>
      <c r="I108" s="19" t="s">
        <v>303</v>
      </c>
      <c r="J108" s="21" t="s">
        <v>304</v>
      </c>
      <c r="K108" s="70" t="s">
        <v>23</v>
      </c>
      <c r="L108" s="46" t="s">
        <v>305</v>
      </c>
      <c r="M108" s="57"/>
      <c r="N108" s="592"/>
      <c r="O108" s="290">
        <f>'Additional information'!$D$17</f>
        <v>0.91</v>
      </c>
      <c r="P108" s="167"/>
      <c r="R108" s="175" t="s">
        <v>22</v>
      </c>
      <c r="S108" s="174"/>
      <c r="V108" s="289">
        <v>5.4708995819091797</v>
      </c>
      <c r="W108" s="289">
        <f t="shared" si="11"/>
        <v>4.9785186195373541</v>
      </c>
      <c r="X108" s="167" t="str">
        <f t="shared" si="12"/>
        <v/>
      </c>
    </row>
    <row r="109" spans="1:24" s="173" customFormat="1" ht="68" customHeight="1" x14ac:dyDescent="0.2">
      <c r="A109" s="14" t="e">
        <f>A108+1</f>
        <v>#REF!</v>
      </c>
      <c r="B109" s="43" t="s">
        <v>306</v>
      </c>
      <c r="C109" s="44" t="s">
        <v>306</v>
      </c>
      <c r="D109" s="48" t="s">
        <v>307</v>
      </c>
      <c r="E109" s="19">
        <f>LEN(D109)</f>
        <v>123</v>
      </c>
      <c r="F109" s="45" t="s">
        <v>95</v>
      </c>
      <c r="G109" s="19" t="s">
        <v>23</v>
      </c>
      <c r="H109" s="19" t="s">
        <v>23</v>
      </c>
      <c r="I109" s="19" t="s">
        <v>26</v>
      </c>
      <c r="J109" s="21" t="s">
        <v>308</v>
      </c>
      <c r="K109" s="70" t="s">
        <v>23</v>
      </c>
      <c r="L109" s="46" t="s">
        <v>309</v>
      </c>
      <c r="M109" s="57"/>
      <c r="N109" s="592"/>
      <c r="O109" s="290">
        <f>'Additional information'!$D$17</f>
        <v>0.91</v>
      </c>
      <c r="P109" s="167"/>
      <c r="R109" s="175" t="s">
        <v>22</v>
      </c>
      <c r="S109" s="174"/>
      <c r="V109" s="289">
        <v>7.9054727554321289</v>
      </c>
      <c r="W109" s="289">
        <f t="shared" si="11"/>
        <v>7.1939802074432375</v>
      </c>
      <c r="X109" s="167" t="str">
        <f t="shared" si="12"/>
        <v/>
      </c>
    </row>
    <row r="110" spans="1:24" s="173" customFormat="1" ht="85" customHeight="1" x14ac:dyDescent="0.2">
      <c r="A110" s="14" t="e">
        <f>A109+1</f>
        <v>#REF!</v>
      </c>
      <c r="B110" s="43" t="s">
        <v>310</v>
      </c>
      <c r="C110" s="44" t="s">
        <v>310</v>
      </c>
      <c r="D110" s="47" t="s">
        <v>311</v>
      </c>
      <c r="E110" s="19">
        <f>LEN(D110)</f>
        <v>218</v>
      </c>
      <c r="F110" s="45" t="s">
        <v>95</v>
      </c>
      <c r="G110" s="19" t="s">
        <v>23</v>
      </c>
      <c r="H110" s="19" t="s">
        <v>23</v>
      </c>
      <c r="I110" s="19" t="s">
        <v>26</v>
      </c>
      <c r="J110" s="21" t="s">
        <v>312</v>
      </c>
      <c r="K110" s="70" t="s">
        <v>23</v>
      </c>
      <c r="L110" s="46" t="s">
        <v>313</v>
      </c>
      <c r="M110" s="57"/>
      <c r="N110" s="593"/>
      <c r="O110" s="290">
        <f>'Additional information'!$D$17</f>
        <v>0.91</v>
      </c>
      <c r="P110" s="167"/>
      <c r="R110" s="175" t="s">
        <v>22</v>
      </c>
      <c r="S110" s="174"/>
      <c r="V110" s="289">
        <v>16.435977935791019</v>
      </c>
      <c r="W110" s="289">
        <f t="shared" si="11"/>
        <v>14.956739921569827</v>
      </c>
      <c r="X110" s="167" t="str">
        <f t="shared" si="12"/>
        <v/>
      </c>
    </row>
    <row r="111" spans="1:24" s="173" customFormat="1" x14ac:dyDescent="0.2">
      <c r="A111" s="35"/>
      <c r="B111" s="259"/>
      <c r="C111" s="89"/>
      <c r="D111" s="69"/>
      <c r="E111" s="37"/>
      <c r="F111" s="90"/>
      <c r="G111" s="37"/>
      <c r="H111" s="37"/>
      <c r="I111" s="37"/>
      <c r="J111" s="74"/>
      <c r="K111" s="74"/>
      <c r="L111" s="74"/>
      <c r="M111" s="74"/>
      <c r="N111" s="10"/>
      <c r="O111" s="290">
        <f>'Additional information'!$D$17</f>
        <v>0.91</v>
      </c>
      <c r="P111" s="167"/>
      <c r="R111" s="175"/>
      <c r="S111" s="174"/>
      <c r="V111" s="289"/>
      <c r="W111" s="289" t="str">
        <f t="shared" si="11"/>
        <v/>
      </c>
      <c r="X111" s="167" t="str">
        <f t="shared" si="12"/>
        <v/>
      </c>
    </row>
    <row r="112" spans="1:24" s="173" customFormat="1" ht="153" customHeight="1" x14ac:dyDescent="0.2">
      <c r="A112" s="35" t="e">
        <f>A110+1</f>
        <v>#REF!</v>
      </c>
      <c r="B112" s="191" t="s">
        <v>314</v>
      </c>
      <c r="C112" s="172" t="s">
        <v>314</v>
      </c>
      <c r="D112" s="190" t="s">
        <v>315</v>
      </c>
      <c r="E112" s="178">
        <f>LEN(D112)</f>
        <v>163</v>
      </c>
      <c r="F112" s="184" t="s">
        <v>34</v>
      </c>
      <c r="G112" s="178" t="s">
        <v>23</v>
      </c>
      <c r="H112" s="178" t="s">
        <v>23</v>
      </c>
      <c r="I112" s="178" t="s">
        <v>35</v>
      </c>
      <c r="J112" s="177" t="s">
        <v>316</v>
      </c>
      <c r="K112" s="239" t="s">
        <v>23</v>
      </c>
      <c r="L112" s="177" t="s">
        <v>317</v>
      </c>
      <c r="M112" s="50"/>
      <c r="N112" s="10"/>
      <c r="O112" s="290">
        <f>'Additional information'!$D$17</f>
        <v>0.91</v>
      </c>
      <c r="P112" s="167"/>
      <c r="R112" s="383" t="s">
        <v>31</v>
      </c>
      <c r="S112" s="174"/>
      <c r="V112" s="288">
        <v>11.37532997131348</v>
      </c>
      <c r="W112" s="288">
        <f t="shared" si="11"/>
        <v>10.351550273895267</v>
      </c>
      <c r="X112" s="167">
        <f t="shared" si="12"/>
        <v>10.351550273895267</v>
      </c>
    </row>
    <row r="113" spans="1:24" s="173" customFormat="1" ht="388" customHeight="1" x14ac:dyDescent="0.2">
      <c r="A113" s="99" t="e">
        <f>A112+1</f>
        <v>#REF!</v>
      </c>
      <c r="B113" s="256" t="s">
        <v>318</v>
      </c>
      <c r="C113" s="179" t="s">
        <v>319</v>
      </c>
      <c r="D113" s="366" t="s">
        <v>320</v>
      </c>
      <c r="E113" s="161">
        <f>LEN(D113)</f>
        <v>779</v>
      </c>
      <c r="F113" s="172" t="s">
        <v>321</v>
      </c>
      <c r="G113" s="161" t="s">
        <v>23</v>
      </c>
      <c r="H113" s="161" t="s">
        <v>23</v>
      </c>
      <c r="I113" s="161" t="s">
        <v>322</v>
      </c>
      <c r="J113" s="365" t="s">
        <v>323</v>
      </c>
      <c r="K113" s="239" t="s">
        <v>324</v>
      </c>
      <c r="L113" s="190" t="s">
        <v>325</v>
      </c>
      <c r="M113" s="50"/>
      <c r="N113" s="10"/>
      <c r="O113" s="290">
        <f>'Additional information'!$D$17</f>
        <v>0.91</v>
      </c>
      <c r="P113" s="167"/>
      <c r="R113" s="383" t="s">
        <v>31</v>
      </c>
      <c r="S113" s="174"/>
      <c r="V113" s="288">
        <v>25.844999313354489</v>
      </c>
      <c r="W113" s="288">
        <f t="shared" si="11"/>
        <v>23.518949375152584</v>
      </c>
      <c r="X113" s="167">
        <f t="shared" si="12"/>
        <v>23.518949375152584</v>
      </c>
    </row>
    <row r="114" spans="1:24" s="173" customFormat="1" x14ac:dyDescent="0.2">
      <c r="A114" s="35"/>
      <c r="B114" s="259"/>
      <c r="C114" s="89"/>
      <c r="D114" s="69"/>
      <c r="E114" s="37"/>
      <c r="F114" s="90"/>
      <c r="G114" s="37"/>
      <c r="H114" s="37"/>
      <c r="I114" s="37"/>
      <c r="J114" s="74"/>
      <c r="K114" s="74"/>
      <c r="L114" s="74"/>
      <c r="M114" s="74"/>
      <c r="N114" s="10"/>
      <c r="O114" s="290">
        <f>'Additional information'!$D$17</f>
        <v>0.91</v>
      </c>
      <c r="P114" s="167"/>
      <c r="R114" s="175"/>
      <c r="S114" s="174"/>
      <c r="V114" s="289"/>
      <c r="W114" s="289" t="str">
        <f t="shared" si="11"/>
        <v/>
      </c>
      <c r="X114" s="167" t="str">
        <f t="shared" si="12"/>
        <v/>
      </c>
    </row>
    <row r="115" spans="1:24" s="173" customFormat="1" ht="17" customHeight="1" thickBot="1" x14ac:dyDescent="0.25">
      <c r="A115" s="99"/>
      <c r="B115" s="281"/>
      <c r="C115" s="100"/>
      <c r="D115" s="78"/>
      <c r="E115" s="92"/>
      <c r="F115" s="100"/>
      <c r="G115" s="92"/>
      <c r="H115" s="92"/>
      <c r="I115" s="92"/>
      <c r="J115" s="84"/>
      <c r="K115" s="74"/>
      <c r="L115" s="78"/>
      <c r="M115" s="84"/>
      <c r="N115" s="61"/>
      <c r="O115" s="290">
        <f>'Additional information'!$D$17</f>
        <v>0.91</v>
      </c>
      <c r="P115" s="167"/>
      <c r="R115" s="175"/>
      <c r="S115" s="174"/>
      <c r="V115" s="289"/>
      <c r="W115" s="289" t="str">
        <f t="shared" si="11"/>
        <v/>
      </c>
      <c r="X115" s="167" t="str">
        <f t="shared" si="12"/>
        <v/>
      </c>
    </row>
    <row r="116" spans="1:24" s="382" customFormat="1" ht="17" customHeight="1" thickBot="1" x14ac:dyDescent="0.25">
      <c r="A116" s="588" t="s">
        <v>326</v>
      </c>
      <c r="B116" s="589"/>
      <c r="C116" s="589"/>
      <c r="D116" s="589"/>
      <c r="E116" s="589"/>
      <c r="F116" s="589"/>
      <c r="G116" s="589"/>
      <c r="H116" s="589"/>
      <c r="I116" s="589"/>
      <c r="J116" s="589"/>
      <c r="K116" s="589"/>
      <c r="L116" s="589"/>
      <c r="M116" s="589"/>
      <c r="N116" s="590"/>
      <c r="O116" s="285"/>
      <c r="P116" s="384"/>
      <c r="R116" s="383"/>
      <c r="S116" s="385"/>
      <c r="V116" s="288"/>
      <c r="W116" s="288" t="str">
        <f t="shared" si="11"/>
        <v/>
      </c>
      <c r="X116" s="384" t="str">
        <f t="shared" si="12"/>
        <v/>
      </c>
    </row>
    <row r="117" spans="1:24" s="173" customFormat="1" ht="238" customHeight="1" x14ac:dyDescent="0.2">
      <c r="A117" s="35"/>
      <c r="B117" s="209" t="s">
        <v>327</v>
      </c>
      <c r="C117" s="208" t="s">
        <v>327</v>
      </c>
      <c r="D117" s="470" t="s">
        <v>328</v>
      </c>
      <c r="E117" s="170">
        <f>LEN(D117)</f>
        <v>1461</v>
      </c>
      <c r="F117" s="180" t="s">
        <v>34</v>
      </c>
      <c r="G117" s="178" t="s">
        <v>23</v>
      </c>
      <c r="H117" s="172" t="s">
        <v>329</v>
      </c>
      <c r="I117" s="170" t="s">
        <v>35</v>
      </c>
      <c r="J117" s="177" t="s">
        <v>330</v>
      </c>
      <c r="K117" s="359" t="s">
        <v>331</v>
      </c>
      <c r="L117" s="177" t="s">
        <v>332</v>
      </c>
      <c r="M117" s="74"/>
      <c r="N117" s="10"/>
      <c r="O117" s="290">
        <f>'Additional information'!$D$17</f>
        <v>0.91</v>
      </c>
      <c r="P117" s="167"/>
      <c r="R117" s="383" t="s">
        <v>31</v>
      </c>
      <c r="S117" s="174"/>
      <c r="V117" s="288">
        <v>17.612014770507809</v>
      </c>
      <c r="W117" s="288">
        <f t="shared" si="11"/>
        <v>16.026933441162107</v>
      </c>
      <c r="X117" s="167">
        <f t="shared" si="12"/>
        <v>16.026933441162107</v>
      </c>
    </row>
    <row r="118" spans="1:24" s="173" customFormat="1" x14ac:dyDescent="0.2">
      <c r="A118" s="35"/>
      <c r="B118" s="207"/>
      <c r="C118" s="89"/>
      <c r="D118" s="471"/>
      <c r="E118" s="93"/>
      <c r="F118" s="38"/>
      <c r="G118" s="37"/>
      <c r="H118" s="98"/>
      <c r="I118" s="37"/>
      <c r="J118" s="74"/>
      <c r="K118" s="74"/>
      <c r="L118" s="76"/>
      <c r="M118" s="76"/>
      <c r="N118" s="10"/>
      <c r="O118" s="290">
        <f>'Additional information'!$D$17</f>
        <v>0.91</v>
      </c>
      <c r="P118" s="175"/>
      <c r="Q118" s="174"/>
      <c r="T118" s="181"/>
      <c r="U118" s="223"/>
      <c r="V118" s="289"/>
      <c r="W118" s="289" t="str">
        <f t="shared" si="11"/>
        <v/>
      </c>
      <c r="X118" s="167" t="str">
        <f t="shared" si="12"/>
        <v/>
      </c>
    </row>
    <row r="119" spans="1:24" s="173" customFormat="1" ht="222" customHeight="1" x14ac:dyDescent="0.2">
      <c r="A119" s="88" t="e">
        <f>A113+1</f>
        <v>#REF!</v>
      </c>
      <c r="B119" s="367" t="s">
        <v>333</v>
      </c>
      <c r="C119" s="172" t="s">
        <v>333</v>
      </c>
      <c r="D119" s="171" t="s">
        <v>334</v>
      </c>
      <c r="E119" s="170">
        <f>LEN(D119)</f>
        <v>167</v>
      </c>
      <c r="F119" s="180" t="s">
        <v>34</v>
      </c>
      <c r="G119" s="170" t="s">
        <v>23</v>
      </c>
      <c r="H119" s="172" t="s">
        <v>23</v>
      </c>
      <c r="I119" s="170" t="s">
        <v>35</v>
      </c>
      <c r="J119" s="169" t="s">
        <v>335</v>
      </c>
      <c r="K119" s="239" t="s">
        <v>23</v>
      </c>
      <c r="L119" s="169" t="s">
        <v>336</v>
      </c>
      <c r="M119" s="76"/>
      <c r="N119" s="41"/>
      <c r="O119" s="290">
        <f>'Additional information'!$D$17</f>
        <v>0.91</v>
      </c>
      <c r="P119" s="167"/>
      <c r="R119" s="383" t="s">
        <v>31</v>
      </c>
      <c r="S119" s="174"/>
      <c r="V119" s="288">
        <v>10.457156181335449</v>
      </c>
      <c r="W119" s="288">
        <f t="shared" si="11"/>
        <v>9.5160121250152585</v>
      </c>
      <c r="X119" s="167">
        <f t="shared" si="12"/>
        <v>9.5160121250152585</v>
      </c>
    </row>
    <row r="120" spans="1:24" s="173" customFormat="1" ht="289" customHeight="1" x14ac:dyDescent="0.2">
      <c r="A120" s="35" t="e">
        <f>A119+1</f>
        <v>#REF!</v>
      </c>
      <c r="B120" s="209" t="s">
        <v>337</v>
      </c>
      <c r="C120" s="172" t="s">
        <v>338</v>
      </c>
      <c r="D120" s="366" t="s">
        <v>339</v>
      </c>
      <c r="E120" s="170">
        <f>LEN(D120)</f>
        <v>684</v>
      </c>
      <c r="F120" s="172" t="s">
        <v>321</v>
      </c>
      <c r="G120" s="178" t="s">
        <v>23</v>
      </c>
      <c r="H120" s="200" t="s">
        <v>23</v>
      </c>
      <c r="I120" s="178" t="s">
        <v>340</v>
      </c>
      <c r="J120" s="177" t="s">
        <v>341</v>
      </c>
      <c r="K120" s="239" t="s">
        <v>342</v>
      </c>
      <c r="L120" s="177" t="s">
        <v>343</v>
      </c>
      <c r="M120" s="74"/>
      <c r="N120" s="10"/>
      <c r="O120" s="290">
        <f>'Additional information'!$D$17</f>
        <v>0.91</v>
      </c>
      <c r="P120" s="167"/>
      <c r="R120" s="383" t="s">
        <v>31</v>
      </c>
      <c r="S120" s="174"/>
      <c r="V120" s="288">
        <v>20.769962310791019</v>
      </c>
      <c r="W120" s="288">
        <f t="shared" si="11"/>
        <v>18.900665702819829</v>
      </c>
      <c r="X120" s="167">
        <f t="shared" si="12"/>
        <v>18.900665702819829</v>
      </c>
    </row>
    <row r="121" spans="1:24" s="173" customFormat="1" x14ac:dyDescent="0.2">
      <c r="A121" s="35"/>
      <c r="B121" s="207"/>
      <c r="C121" s="89"/>
      <c r="D121" s="471"/>
      <c r="E121" s="93"/>
      <c r="F121" s="38"/>
      <c r="G121" s="37"/>
      <c r="H121" s="97"/>
      <c r="I121" s="37"/>
      <c r="J121" s="74"/>
      <c r="K121" s="74"/>
      <c r="L121" s="76"/>
      <c r="M121" s="76"/>
      <c r="N121" s="10"/>
      <c r="O121" s="290">
        <f>'Additional information'!$D$17</f>
        <v>0.91</v>
      </c>
      <c r="P121" s="167"/>
      <c r="R121" s="175"/>
      <c r="S121" s="174"/>
      <c r="V121" s="289"/>
      <c r="W121" s="289" t="str">
        <f t="shared" si="11"/>
        <v/>
      </c>
      <c r="X121" s="167" t="str">
        <f t="shared" si="12"/>
        <v/>
      </c>
    </row>
    <row r="122" spans="1:24" s="173" customFormat="1" ht="261" customHeight="1" x14ac:dyDescent="0.2">
      <c r="A122" s="35" t="e">
        <f>A120+1</f>
        <v>#REF!</v>
      </c>
      <c r="B122" s="209" t="s">
        <v>344</v>
      </c>
      <c r="C122" s="172" t="s">
        <v>344</v>
      </c>
      <c r="D122" s="190" t="s">
        <v>345</v>
      </c>
      <c r="E122" s="178">
        <f>LEN(D122)</f>
        <v>340</v>
      </c>
      <c r="F122" s="184" t="s">
        <v>34</v>
      </c>
      <c r="G122" s="178" t="s">
        <v>23</v>
      </c>
      <c r="H122" s="178" t="s">
        <v>23</v>
      </c>
      <c r="I122" s="178" t="s">
        <v>35</v>
      </c>
      <c r="J122" s="199" t="s">
        <v>346</v>
      </c>
      <c r="K122" s="239" t="s">
        <v>23</v>
      </c>
      <c r="L122" s="176" t="s">
        <v>347</v>
      </c>
      <c r="M122" s="198"/>
      <c r="N122" s="10"/>
      <c r="O122" s="290">
        <f>'Additional information'!$D$17</f>
        <v>0.91</v>
      </c>
      <c r="P122" s="167"/>
      <c r="R122" s="383" t="s">
        <v>31</v>
      </c>
      <c r="S122" s="174"/>
      <c r="V122" s="288">
        <v>23.569721221923832</v>
      </c>
      <c r="W122" s="288">
        <f t="shared" si="11"/>
        <v>21.448446311950686</v>
      </c>
      <c r="X122" s="167">
        <f t="shared" si="12"/>
        <v>21.448446311950686</v>
      </c>
    </row>
    <row r="123" spans="1:24" s="173" customFormat="1" ht="17" customHeight="1" thickBot="1" x14ac:dyDescent="0.25">
      <c r="A123" s="35"/>
      <c r="B123" s="207"/>
      <c r="C123" s="89"/>
      <c r="D123" s="471"/>
      <c r="E123" s="93"/>
      <c r="F123" s="38"/>
      <c r="G123" s="37"/>
      <c r="H123" s="97"/>
      <c r="I123" s="37"/>
      <c r="J123" s="74"/>
      <c r="K123" s="74"/>
      <c r="L123" s="76"/>
      <c r="M123" s="76"/>
      <c r="N123" s="10"/>
      <c r="O123" s="290">
        <f>'Additional information'!$D$17</f>
        <v>0.91</v>
      </c>
      <c r="P123" s="167"/>
      <c r="R123" s="175"/>
      <c r="S123" s="174"/>
      <c r="V123" s="289"/>
      <c r="W123" s="289" t="str">
        <f t="shared" si="11"/>
        <v/>
      </c>
      <c r="X123" s="167" t="str">
        <f t="shared" si="12"/>
        <v/>
      </c>
    </row>
    <row r="124" spans="1:24" s="382" customFormat="1" ht="17" customHeight="1" thickBot="1" x14ac:dyDescent="0.25">
      <c r="A124" s="588" t="s">
        <v>348</v>
      </c>
      <c r="B124" s="589"/>
      <c r="C124" s="589"/>
      <c r="D124" s="589"/>
      <c r="E124" s="589"/>
      <c r="F124" s="589"/>
      <c r="G124" s="589"/>
      <c r="H124" s="589"/>
      <c r="I124" s="589"/>
      <c r="J124" s="589"/>
      <c r="K124" s="589"/>
      <c r="L124" s="589"/>
      <c r="M124" s="589"/>
      <c r="N124" s="590"/>
      <c r="O124" s="285"/>
      <c r="P124" s="384"/>
      <c r="R124" s="383"/>
      <c r="S124" s="385"/>
      <c r="V124" s="288"/>
      <c r="W124" s="288" t="str">
        <f t="shared" si="11"/>
        <v/>
      </c>
      <c r="X124" s="384" t="str">
        <f t="shared" si="12"/>
        <v/>
      </c>
    </row>
    <row r="125" spans="1:24" s="173" customFormat="1" ht="136" customHeight="1" x14ac:dyDescent="0.2">
      <c r="A125" s="88" t="e">
        <f>A122+1</f>
        <v>#REF!</v>
      </c>
      <c r="B125" s="369" t="s">
        <v>349</v>
      </c>
      <c r="C125" s="472" t="s">
        <v>349</v>
      </c>
      <c r="D125" s="473" t="s">
        <v>350</v>
      </c>
      <c r="E125" s="170">
        <f>LEN(D125)</f>
        <v>173</v>
      </c>
      <c r="F125" s="170" t="s">
        <v>34</v>
      </c>
      <c r="G125" s="170" t="s">
        <v>23</v>
      </c>
      <c r="H125" s="170" t="s">
        <v>351</v>
      </c>
      <c r="I125" s="170" t="s">
        <v>35</v>
      </c>
      <c r="J125" s="169" t="s">
        <v>352</v>
      </c>
      <c r="K125" s="239" t="s">
        <v>23</v>
      </c>
      <c r="L125" s="176" t="s">
        <v>353</v>
      </c>
      <c r="M125" s="198"/>
      <c r="N125" s="9"/>
      <c r="O125" s="285">
        <f>'Additional information'!$D$18</f>
        <v>0.91</v>
      </c>
      <c r="P125" s="167"/>
      <c r="R125" s="383" t="s">
        <v>31</v>
      </c>
      <c r="S125" s="174"/>
      <c r="V125" s="288">
        <v>4.5019583702087402</v>
      </c>
      <c r="W125" s="288">
        <f t="shared" si="11"/>
        <v>4.0967821168899539</v>
      </c>
      <c r="X125" s="167">
        <f t="shared" si="12"/>
        <v>4.0967821168899539</v>
      </c>
    </row>
    <row r="126" spans="1:24" s="173" customFormat="1" x14ac:dyDescent="0.2">
      <c r="A126" s="35"/>
      <c r="B126" s="207"/>
      <c r="C126" s="89"/>
      <c r="D126" s="471"/>
      <c r="E126" s="93"/>
      <c r="F126" s="38"/>
      <c r="G126" s="37"/>
      <c r="H126" s="98"/>
      <c r="I126" s="37"/>
      <c r="J126" s="74"/>
      <c r="K126" s="74"/>
      <c r="L126" s="76"/>
      <c r="M126" s="76"/>
      <c r="N126" s="10"/>
      <c r="O126" s="290">
        <f>'Additional information'!$D$18</f>
        <v>0.91</v>
      </c>
      <c r="P126" s="167"/>
      <c r="R126" s="175"/>
      <c r="S126" s="174"/>
      <c r="V126" s="289"/>
      <c r="W126" s="289" t="str">
        <f t="shared" si="11"/>
        <v/>
      </c>
      <c r="X126" s="167" t="str">
        <f t="shared" si="12"/>
        <v/>
      </c>
    </row>
    <row r="127" spans="1:24" s="173" customFormat="1" ht="306" customHeight="1" x14ac:dyDescent="0.2">
      <c r="A127" s="88" t="e">
        <f>A125+1</f>
        <v>#REF!</v>
      </c>
      <c r="B127" s="254" t="s">
        <v>354</v>
      </c>
      <c r="C127" s="172" t="s">
        <v>354</v>
      </c>
      <c r="D127" s="171" t="s">
        <v>355</v>
      </c>
      <c r="E127" s="170">
        <f>LEN(D127)</f>
        <v>579</v>
      </c>
      <c r="F127" s="170" t="s">
        <v>34</v>
      </c>
      <c r="G127" s="170" t="s">
        <v>23</v>
      </c>
      <c r="H127" s="170" t="s">
        <v>23</v>
      </c>
      <c r="I127" s="172" t="s">
        <v>356</v>
      </c>
      <c r="J127" s="169" t="s">
        <v>357</v>
      </c>
      <c r="K127" s="239" t="s">
        <v>23</v>
      </c>
      <c r="L127" s="176" t="s">
        <v>358</v>
      </c>
      <c r="M127" s="198"/>
      <c r="N127" s="41"/>
      <c r="O127" s="285">
        <f>'Additional information'!$D$18</f>
        <v>0.91</v>
      </c>
      <c r="P127" s="167"/>
      <c r="R127" s="383" t="s">
        <v>31</v>
      </c>
      <c r="S127" s="174"/>
      <c r="V127" s="288">
        <v>17.402484893798832</v>
      </c>
      <c r="W127" s="288">
        <f t="shared" si="11"/>
        <v>15.836261253356938</v>
      </c>
      <c r="X127" s="167">
        <f t="shared" si="12"/>
        <v>15.836261253356938</v>
      </c>
    </row>
    <row r="128" spans="1:24" s="173" customFormat="1" x14ac:dyDescent="0.2">
      <c r="A128" s="88"/>
      <c r="B128" s="280"/>
      <c r="C128" s="89"/>
      <c r="D128" s="196"/>
      <c r="E128" s="93"/>
      <c r="F128" s="93"/>
      <c r="G128" s="93"/>
      <c r="H128" s="93"/>
      <c r="I128" s="89"/>
      <c r="J128" s="76"/>
      <c r="K128" s="74"/>
      <c r="L128" s="198"/>
      <c r="M128" s="198"/>
      <c r="N128" s="41"/>
      <c r="O128" s="290">
        <f>'Additional information'!$D$18</f>
        <v>0.91</v>
      </c>
      <c r="P128" s="167"/>
      <c r="R128" s="175"/>
      <c r="S128" s="174"/>
      <c r="V128" s="289"/>
      <c r="W128" s="289" t="str">
        <f t="shared" si="11"/>
        <v/>
      </c>
      <c r="X128" s="167" t="str">
        <f t="shared" si="12"/>
        <v/>
      </c>
    </row>
    <row r="129" spans="1:24" s="173" customFormat="1" ht="68" customHeight="1" x14ac:dyDescent="0.2">
      <c r="A129" s="35" t="e">
        <f>A127+1</f>
        <v>#REF!</v>
      </c>
      <c r="B129" s="209" t="s">
        <v>359</v>
      </c>
      <c r="C129" s="172" t="s">
        <v>359</v>
      </c>
      <c r="D129" s="190" t="s">
        <v>360</v>
      </c>
      <c r="E129" s="178">
        <f>LEN(D129)</f>
        <v>152</v>
      </c>
      <c r="F129" s="184" t="s">
        <v>95</v>
      </c>
      <c r="G129" s="178" t="s">
        <v>23</v>
      </c>
      <c r="H129" s="178" t="s">
        <v>23</v>
      </c>
      <c r="I129" s="178" t="s">
        <v>361</v>
      </c>
      <c r="J129" s="177" t="s">
        <v>362</v>
      </c>
      <c r="K129" s="239" t="s">
        <v>23</v>
      </c>
      <c r="L129" s="177" t="s">
        <v>363</v>
      </c>
      <c r="M129" s="76"/>
      <c r="N129" s="10"/>
      <c r="O129" s="285">
        <f>'Additional information'!$D$18</f>
        <v>0.91</v>
      </c>
      <c r="P129" s="167"/>
      <c r="R129" s="383" t="s">
        <v>31</v>
      </c>
      <c r="S129" s="174"/>
      <c r="V129" s="288">
        <v>16.332881927490231</v>
      </c>
      <c r="W129" s="288">
        <f t="shared" si="11"/>
        <v>14.862922554016111</v>
      </c>
      <c r="X129" s="167">
        <f t="shared" si="12"/>
        <v>14.862922554016111</v>
      </c>
    </row>
    <row r="130" spans="1:24" s="173" customFormat="1" ht="68" customHeight="1" x14ac:dyDescent="0.2">
      <c r="A130" s="35" t="e">
        <f>A129+1</f>
        <v>#REF!</v>
      </c>
      <c r="B130" s="209" t="s">
        <v>364</v>
      </c>
      <c r="C130" s="172" t="s">
        <v>364</v>
      </c>
      <c r="D130" s="189" t="s">
        <v>365</v>
      </c>
      <c r="E130" s="178">
        <f>LEN(D130)</f>
        <v>128</v>
      </c>
      <c r="F130" s="184" t="s">
        <v>95</v>
      </c>
      <c r="G130" s="178" t="s">
        <v>23</v>
      </c>
      <c r="H130" s="178" t="s">
        <v>23</v>
      </c>
      <c r="I130" s="178" t="s">
        <v>361</v>
      </c>
      <c r="J130" s="177" t="s">
        <v>366</v>
      </c>
      <c r="K130" s="239" t="s">
        <v>23</v>
      </c>
      <c r="L130" s="177" t="s">
        <v>367</v>
      </c>
      <c r="M130" s="76"/>
      <c r="N130" s="10"/>
      <c r="O130" s="285">
        <f>'Additional information'!$D$18</f>
        <v>0.91</v>
      </c>
      <c r="P130" s="167"/>
      <c r="R130" s="383" t="s">
        <v>31</v>
      </c>
      <c r="S130" s="174"/>
      <c r="V130" s="288">
        <v>7.4144525527954102</v>
      </c>
      <c r="W130" s="288">
        <f t="shared" si="11"/>
        <v>6.7471518230438239</v>
      </c>
      <c r="X130" s="167">
        <f t="shared" si="12"/>
        <v>6.7471518230438239</v>
      </c>
    </row>
    <row r="131" spans="1:24" s="173" customFormat="1" ht="400" customHeight="1" x14ac:dyDescent="0.2">
      <c r="A131" s="35">
        <v>44</v>
      </c>
      <c r="B131" s="209" t="s">
        <v>368</v>
      </c>
      <c r="C131" s="172" t="s">
        <v>369</v>
      </c>
      <c r="D131" s="366" t="s">
        <v>370</v>
      </c>
      <c r="E131" s="178">
        <f>LEN(D131)</f>
        <v>787</v>
      </c>
      <c r="F131" s="172" t="s">
        <v>321</v>
      </c>
      <c r="G131" s="178" t="s">
        <v>23</v>
      </c>
      <c r="H131" s="178" t="s">
        <v>23</v>
      </c>
      <c r="I131" s="178" t="s">
        <v>371</v>
      </c>
      <c r="J131" s="177" t="s">
        <v>372</v>
      </c>
      <c r="K131" s="239" t="s">
        <v>373</v>
      </c>
      <c r="L131" s="176" t="s">
        <v>374</v>
      </c>
      <c r="M131" s="27"/>
      <c r="N131" s="10"/>
      <c r="O131" s="285">
        <f>'Additional information'!$D$18</f>
        <v>0.91</v>
      </c>
      <c r="P131" s="167"/>
      <c r="R131" s="383" t="s">
        <v>31</v>
      </c>
      <c r="S131" s="174"/>
      <c r="V131" s="288">
        <v>17.791135787963871</v>
      </c>
      <c r="W131" s="288">
        <f t="shared" si="11"/>
        <v>16.189933567047124</v>
      </c>
      <c r="X131" s="167">
        <f t="shared" si="12"/>
        <v>16.189933567047124</v>
      </c>
    </row>
    <row r="132" spans="1:24" s="173" customFormat="1" ht="238" customHeight="1" x14ac:dyDescent="0.2">
      <c r="A132" s="14">
        <v>45</v>
      </c>
      <c r="B132" s="255" t="s">
        <v>375</v>
      </c>
      <c r="C132" s="16" t="s">
        <v>376</v>
      </c>
      <c r="D132" s="21" t="s">
        <v>377</v>
      </c>
      <c r="E132" s="19">
        <f>LEN(D132)</f>
        <v>285</v>
      </c>
      <c r="F132" s="352" t="s">
        <v>321</v>
      </c>
      <c r="G132" s="19" t="s">
        <v>23</v>
      </c>
      <c r="H132" s="19" t="s">
        <v>23</v>
      </c>
      <c r="I132" s="19" t="s">
        <v>378</v>
      </c>
      <c r="J132" s="28" t="s">
        <v>379</v>
      </c>
      <c r="K132" s="70" t="s">
        <v>380</v>
      </c>
      <c r="L132" s="151" t="s">
        <v>381</v>
      </c>
      <c r="M132" s="52"/>
      <c r="N132" s="10"/>
      <c r="O132" s="290">
        <f>'Additional information'!$D$18</f>
        <v>0.91</v>
      </c>
      <c r="P132" s="167"/>
      <c r="R132" s="175" t="s">
        <v>22</v>
      </c>
      <c r="S132" s="174"/>
      <c r="V132" s="289">
        <v>18.08681678771973</v>
      </c>
      <c r="W132" s="289">
        <f t="shared" si="11"/>
        <v>16.459003276824955</v>
      </c>
      <c r="X132" s="167" t="str">
        <f t="shared" si="12"/>
        <v/>
      </c>
    </row>
    <row r="133" spans="1:24" s="173" customFormat="1" ht="204" customHeight="1" x14ac:dyDescent="0.2">
      <c r="A133" s="35"/>
      <c r="B133" s="573" t="s">
        <v>382</v>
      </c>
      <c r="C133" s="563"/>
      <c r="D133" s="568" t="s">
        <v>383</v>
      </c>
      <c r="E133" s="576"/>
      <c r="F133" s="577" t="s">
        <v>321</v>
      </c>
      <c r="G133" s="576"/>
      <c r="H133" s="576"/>
      <c r="I133" s="576"/>
      <c r="J133" s="580"/>
      <c r="K133" s="580"/>
      <c r="L133" s="580"/>
      <c r="M133" s="572"/>
      <c r="N133" s="571" t="s">
        <v>279</v>
      </c>
      <c r="O133" s="290">
        <f>'Additional information'!$D$18</f>
        <v>0.91</v>
      </c>
      <c r="P133" s="167"/>
      <c r="R133" s="175"/>
      <c r="S133" s="174"/>
      <c r="V133" s="289"/>
      <c r="W133" s="289" t="str">
        <f t="shared" ref="W133:W164" si="13">IF(V133="","",V133*O133)</f>
        <v/>
      </c>
      <c r="X133" s="167" t="str">
        <f t="shared" ref="X133:X164" si="14">IF(R133="yes",W133,"")</f>
        <v/>
      </c>
    </row>
    <row r="134" spans="1:24" s="173" customFormat="1" ht="153" customHeight="1" x14ac:dyDescent="0.2">
      <c r="A134" s="35">
        <f>A132+1</f>
        <v>46</v>
      </c>
      <c r="B134" s="209" t="s">
        <v>384</v>
      </c>
      <c r="C134" s="172" t="s">
        <v>384</v>
      </c>
      <c r="D134" s="190" t="s">
        <v>385</v>
      </c>
      <c r="E134" s="178">
        <f>LEN(D134)</f>
        <v>167</v>
      </c>
      <c r="F134" s="184" t="s">
        <v>34</v>
      </c>
      <c r="G134" s="178" t="s">
        <v>23</v>
      </c>
      <c r="H134" s="178" t="s">
        <v>23</v>
      </c>
      <c r="I134" s="178" t="s">
        <v>35</v>
      </c>
      <c r="J134" s="177" t="s">
        <v>386</v>
      </c>
      <c r="K134" s="239" t="s">
        <v>23</v>
      </c>
      <c r="L134" s="177" t="s">
        <v>387</v>
      </c>
      <c r="M134" s="34"/>
      <c r="N134" s="10"/>
      <c r="O134" s="285">
        <f>'Additional information'!$D$18</f>
        <v>0.91</v>
      </c>
      <c r="P134" s="167"/>
      <c r="R134" s="383" t="s">
        <v>31</v>
      </c>
      <c r="S134" s="174"/>
      <c r="V134" s="288">
        <v>10.37455940246582</v>
      </c>
      <c r="W134" s="288">
        <f t="shared" si="13"/>
        <v>9.4408490562438967</v>
      </c>
      <c r="X134" s="167">
        <f t="shared" si="14"/>
        <v>9.4408490562438967</v>
      </c>
    </row>
    <row r="135" spans="1:24" s="173" customFormat="1" ht="323" customHeight="1" x14ac:dyDescent="0.2">
      <c r="A135" s="99">
        <f>A134+1</f>
        <v>47</v>
      </c>
      <c r="B135" s="256" t="s">
        <v>388</v>
      </c>
      <c r="C135" s="163" t="s">
        <v>389</v>
      </c>
      <c r="D135" s="190" t="s">
        <v>390</v>
      </c>
      <c r="E135" s="178">
        <f>LEN(D135)</f>
        <v>662</v>
      </c>
      <c r="F135" s="172" t="s">
        <v>321</v>
      </c>
      <c r="G135" s="178" t="s">
        <v>23</v>
      </c>
      <c r="H135" s="178" t="s">
        <v>23</v>
      </c>
      <c r="I135" s="178" t="s">
        <v>391</v>
      </c>
      <c r="J135" s="368" t="s">
        <v>392</v>
      </c>
      <c r="K135" s="239" t="s">
        <v>393</v>
      </c>
      <c r="L135" s="190" t="s">
        <v>394</v>
      </c>
      <c r="M135" s="50"/>
      <c r="N135" s="10"/>
      <c r="O135" s="285">
        <f>'Additional information'!$D$18</f>
        <v>0.91</v>
      </c>
      <c r="P135" s="167"/>
      <c r="R135" s="383" t="s">
        <v>31</v>
      </c>
      <c r="S135" s="174"/>
      <c r="V135" s="288">
        <v>19.616762161254879</v>
      </c>
      <c r="W135" s="288">
        <f t="shared" si="13"/>
        <v>17.851253566741942</v>
      </c>
      <c r="X135" s="167">
        <f t="shared" si="14"/>
        <v>17.851253566741942</v>
      </c>
    </row>
    <row r="136" spans="1:24" s="173" customFormat="1" ht="17" customHeight="1" thickBot="1" x14ac:dyDescent="0.25">
      <c r="A136" s="35"/>
      <c r="B136" s="207"/>
      <c r="C136" s="89"/>
      <c r="D136" s="69"/>
      <c r="E136" s="37"/>
      <c r="F136" s="90"/>
      <c r="G136" s="37"/>
      <c r="H136" s="37"/>
      <c r="I136" s="37"/>
      <c r="J136" s="74"/>
      <c r="K136" s="74"/>
      <c r="L136" s="74"/>
      <c r="M136" s="76"/>
      <c r="N136" s="41"/>
      <c r="O136" s="290">
        <f>'Additional information'!$D$18</f>
        <v>0.91</v>
      </c>
      <c r="P136" s="167"/>
      <c r="R136" s="175"/>
      <c r="S136" s="174"/>
      <c r="V136" s="289"/>
      <c r="W136" s="289" t="str">
        <f t="shared" si="13"/>
        <v/>
      </c>
      <c r="X136" s="167" t="str">
        <f t="shared" si="14"/>
        <v/>
      </c>
    </row>
    <row r="137" spans="1:24" s="382" customFormat="1" ht="17" customHeight="1" thickBot="1" x14ac:dyDescent="0.25">
      <c r="A137" s="588" t="s">
        <v>395</v>
      </c>
      <c r="B137" s="589"/>
      <c r="C137" s="589"/>
      <c r="D137" s="589"/>
      <c r="E137" s="589"/>
      <c r="F137" s="589"/>
      <c r="G137" s="589"/>
      <c r="H137" s="589"/>
      <c r="I137" s="589"/>
      <c r="J137" s="589"/>
      <c r="K137" s="589"/>
      <c r="L137" s="589"/>
      <c r="M137" s="589"/>
      <c r="N137" s="590"/>
      <c r="O137" s="285"/>
      <c r="P137" s="384"/>
      <c r="R137" s="383"/>
      <c r="S137" s="385"/>
      <c r="V137" s="288"/>
      <c r="W137" s="288" t="str">
        <f t="shared" si="13"/>
        <v/>
      </c>
      <c r="X137" s="384" t="str">
        <f t="shared" si="14"/>
        <v/>
      </c>
    </row>
    <row r="138" spans="1:24" s="173" customFormat="1" ht="306" customHeight="1" x14ac:dyDescent="0.2">
      <c r="A138" s="88">
        <f>A135+1</f>
        <v>48</v>
      </c>
      <c r="B138" s="254" t="s">
        <v>396</v>
      </c>
      <c r="C138" s="172" t="s">
        <v>396</v>
      </c>
      <c r="D138" s="193" t="s">
        <v>397</v>
      </c>
      <c r="E138" s="170">
        <f>LEN(D138)</f>
        <v>503</v>
      </c>
      <c r="F138" s="180" t="s">
        <v>34</v>
      </c>
      <c r="G138" s="170" t="s">
        <v>23</v>
      </c>
      <c r="H138" s="170" t="s">
        <v>398</v>
      </c>
      <c r="I138" s="172" t="s">
        <v>399</v>
      </c>
      <c r="J138" s="169" t="s">
        <v>400</v>
      </c>
      <c r="K138" s="239" t="s">
        <v>23</v>
      </c>
      <c r="L138" s="169" t="s">
        <v>401</v>
      </c>
      <c r="M138" s="76"/>
      <c r="N138" s="9"/>
      <c r="O138" s="285">
        <f>'Additional information'!$D$18</f>
        <v>0.91</v>
      </c>
      <c r="P138" s="167"/>
      <c r="R138" s="383" t="s">
        <v>31</v>
      </c>
      <c r="S138" s="174"/>
      <c r="V138" s="288">
        <v>12.992362976074221</v>
      </c>
      <c r="W138" s="288">
        <f t="shared" si="13"/>
        <v>11.823050308227542</v>
      </c>
      <c r="X138" s="167">
        <f t="shared" si="14"/>
        <v>11.823050308227542</v>
      </c>
    </row>
    <row r="139" spans="1:24" s="173" customFormat="1" ht="153" customHeight="1" x14ac:dyDescent="0.2">
      <c r="A139" s="35">
        <f>A138+1</f>
        <v>49</v>
      </c>
      <c r="B139" s="191" t="s">
        <v>402</v>
      </c>
      <c r="C139" s="172" t="s">
        <v>402</v>
      </c>
      <c r="D139" s="190" t="s">
        <v>403</v>
      </c>
      <c r="E139" s="178">
        <f>LEN(D139)</f>
        <v>166</v>
      </c>
      <c r="F139" s="184" t="s">
        <v>34</v>
      </c>
      <c r="G139" s="178" t="s">
        <v>23</v>
      </c>
      <c r="H139" s="178" t="s">
        <v>23</v>
      </c>
      <c r="I139" s="178" t="s">
        <v>35</v>
      </c>
      <c r="J139" s="177" t="s">
        <v>404</v>
      </c>
      <c r="K139" s="239" t="s">
        <v>23</v>
      </c>
      <c r="L139" s="177" t="s">
        <v>405</v>
      </c>
      <c r="M139" s="74"/>
      <c r="N139" s="10"/>
      <c r="O139" s="285">
        <f>'Additional information'!$D$18</f>
        <v>0.91</v>
      </c>
      <c r="P139" s="167"/>
      <c r="R139" s="383" t="s">
        <v>31</v>
      </c>
      <c r="S139" s="174"/>
      <c r="V139" s="288">
        <v>8.6295709609985352</v>
      </c>
      <c r="W139" s="288">
        <f t="shared" si="13"/>
        <v>7.8529095745086677</v>
      </c>
      <c r="X139" s="167">
        <f t="shared" si="14"/>
        <v>7.8529095745086677</v>
      </c>
    </row>
    <row r="140" spans="1:24" s="173" customFormat="1" ht="306" customHeight="1" x14ac:dyDescent="0.2">
      <c r="A140" s="35">
        <f>A139+1</f>
        <v>50</v>
      </c>
      <c r="B140" s="209" t="s">
        <v>406</v>
      </c>
      <c r="C140" s="172" t="s">
        <v>407</v>
      </c>
      <c r="D140" s="366" t="s">
        <v>408</v>
      </c>
      <c r="E140" s="178">
        <f>LEN(D140)</f>
        <v>751</v>
      </c>
      <c r="F140" s="172" t="s">
        <v>321</v>
      </c>
      <c r="G140" s="178" t="s">
        <v>23</v>
      </c>
      <c r="H140" s="178" t="s">
        <v>23</v>
      </c>
      <c r="I140" s="178" t="s">
        <v>409</v>
      </c>
      <c r="J140" s="177" t="s">
        <v>410</v>
      </c>
      <c r="K140" s="239" t="s">
        <v>411</v>
      </c>
      <c r="L140" s="177" t="s">
        <v>412</v>
      </c>
      <c r="M140" s="74"/>
      <c r="N140" s="10"/>
      <c r="O140" s="285">
        <f>'Additional information'!$D$18</f>
        <v>0.91</v>
      </c>
      <c r="P140" s="167"/>
      <c r="R140" s="383" t="s">
        <v>31</v>
      </c>
      <c r="S140" s="174"/>
      <c r="V140" s="288">
        <v>18.256172180175781</v>
      </c>
      <c r="W140" s="288">
        <f t="shared" si="13"/>
        <v>16.613116683959962</v>
      </c>
      <c r="X140" s="167">
        <f t="shared" si="14"/>
        <v>16.613116683959962</v>
      </c>
    </row>
    <row r="141" spans="1:24" s="173" customFormat="1" x14ac:dyDescent="0.2">
      <c r="A141" s="35"/>
      <c r="B141" s="207"/>
      <c r="C141" s="89"/>
      <c r="D141" s="155"/>
      <c r="E141" s="37"/>
      <c r="F141" s="38"/>
      <c r="G141" s="37"/>
      <c r="H141" s="37"/>
      <c r="I141" s="37"/>
      <c r="J141" s="74"/>
      <c r="K141" s="74"/>
      <c r="L141" s="74"/>
      <c r="M141" s="74"/>
      <c r="N141" s="10"/>
      <c r="O141" s="290">
        <f>'Additional information'!$D$18</f>
        <v>0.91</v>
      </c>
      <c r="P141" s="167"/>
      <c r="R141" s="175"/>
      <c r="S141" s="174"/>
      <c r="V141" s="289"/>
      <c r="W141" s="289" t="str">
        <f t="shared" si="13"/>
        <v/>
      </c>
      <c r="X141" s="167" t="str">
        <f t="shared" si="14"/>
        <v/>
      </c>
    </row>
    <row r="142" spans="1:24" s="173" customFormat="1" ht="204" customHeight="1" x14ac:dyDescent="0.2">
      <c r="A142" s="35">
        <f>A140+1</f>
        <v>51</v>
      </c>
      <c r="B142" s="209" t="s">
        <v>413</v>
      </c>
      <c r="C142" s="172" t="s">
        <v>413</v>
      </c>
      <c r="D142" s="190" t="s">
        <v>414</v>
      </c>
      <c r="E142" s="178">
        <f>LEN(D142)</f>
        <v>338</v>
      </c>
      <c r="F142" s="184" t="s">
        <v>34</v>
      </c>
      <c r="G142" s="178" t="s">
        <v>23</v>
      </c>
      <c r="H142" s="178" t="s">
        <v>23</v>
      </c>
      <c r="I142" s="178" t="s">
        <v>35</v>
      </c>
      <c r="J142" s="199" t="s">
        <v>415</v>
      </c>
      <c r="K142" s="239" t="s">
        <v>23</v>
      </c>
      <c r="L142" s="199" t="s">
        <v>416</v>
      </c>
      <c r="M142" s="49"/>
      <c r="N142" s="10"/>
      <c r="O142" s="285">
        <f>'Additional information'!$D$18</f>
        <v>0.91</v>
      </c>
      <c r="P142" s="167"/>
      <c r="R142" s="383" t="s">
        <v>31</v>
      </c>
      <c r="S142" s="174"/>
      <c r="V142" s="288">
        <v>15.45627975463867</v>
      </c>
      <c r="W142" s="288">
        <f t="shared" si="13"/>
        <v>14.065214576721191</v>
      </c>
      <c r="X142" s="167">
        <f t="shared" si="14"/>
        <v>14.065214576721191</v>
      </c>
    </row>
    <row r="143" spans="1:24" s="173" customFormat="1" ht="17" customHeight="1" thickBot="1" x14ac:dyDescent="0.25">
      <c r="A143" s="35"/>
      <c r="B143" s="207"/>
      <c r="C143" s="89"/>
      <c r="D143" s="69"/>
      <c r="E143" s="37"/>
      <c r="F143" s="90"/>
      <c r="G143" s="37"/>
      <c r="H143" s="37"/>
      <c r="I143" s="37"/>
      <c r="J143" s="49"/>
      <c r="K143" s="74"/>
      <c r="L143" s="49"/>
      <c r="M143" s="49"/>
      <c r="N143" s="10"/>
      <c r="O143" s="290">
        <f>'Additional information'!$D$18</f>
        <v>0.91</v>
      </c>
      <c r="P143" s="167"/>
      <c r="R143" s="175"/>
      <c r="S143" s="174"/>
      <c r="V143" s="289"/>
      <c r="W143" s="289" t="str">
        <f t="shared" si="13"/>
        <v/>
      </c>
      <c r="X143" s="167" t="str">
        <f t="shared" si="14"/>
        <v/>
      </c>
    </row>
    <row r="144" spans="1:24" s="382" customFormat="1" ht="17" customHeight="1" thickBot="1" x14ac:dyDescent="0.25">
      <c r="A144" s="588" t="s">
        <v>417</v>
      </c>
      <c r="B144" s="589"/>
      <c r="C144" s="589"/>
      <c r="D144" s="589"/>
      <c r="E144" s="589"/>
      <c r="F144" s="589"/>
      <c r="G144" s="589"/>
      <c r="H144" s="589"/>
      <c r="I144" s="589"/>
      <c r="J144" s="589"/>
      <c r="K144" s="589"/>
      <c r="L144" s="589"/>
      <c r="M144" s="589"/>
      <c r="N144" s="590"/>
      <c r="O144" s="285"/>
      <c r="P144" s="384"/>
      <c r="R144" s="383"/>
      <c r="S144" s="385"/>
      <c r="V144" s="288"/>
      <c r="W144" s="288" t="str">
        <f t="shared" si="13"/>
        <v/>
      </c>
      <c r="X144" s="384" t="str">
        <f t="shared" si="14"/>
        <v/>
      </c>
    </row>
    <row r="145" spans="1:24" s="173" customFormat="1" ht="120" customHeight="1" x14ac:dyDescent="0.2">
      <c r="A145" s="88">
        <f>A142+1</f>
        <v>52</v>
      </c>
      <c r="B145" s="254" t="s">
        <v>418</v>
      </c>
      <c r="C145" s="172" t="s">
        <v>418</v>
      </c>
      <c r="D145" s="370" t="s">
        <v>419</v>
      </c>
      <c r="E145" s="170">
        <f>LEN(D145)</f>
        <v>206</v>
      </c>
      <c r="F145" s="170" t="s">
        <v>34</v>
      </c>
      <c r="G145" s="170" t="s">
        <v>23</v>
      </c>
      <c r="H145" s="170" t="s">
        <v>420</v>
      </c>
      <c r="I145" s="178" t="s">
        <v>35</v>
      </c>
      <c r="J145" s="169" t="s">
        <v>421</v>
      </c>
      <c r="K145" s="239" t="s">
        <v>23</v>
      </c>
      <c r="L145" s="176" t="s">
        <v>422</v>
      </c>
      <c r="M145" s="198"/>
      <c r="N145" s="9"/>
      <c r="O145" s="285">
        <f>'Additional information'!$D$19</f>
        <v>0.05</v>
      </c>
      <c r="P145" s="167"/>
      <c r="R145" s="383" t="s">
        <v>31</v>
      </c>
      <c r="S145" s="174"/>
      <c r="V145" s="288">
        <v>2.4801323413848881</v>
      </c>
      <c r="W145" s="288">
        <f t="shared" si="13"/>
        <v>0.12400661706924442</v>
      </c>
      <c r="X145" s="167">
        <f t="shared" si="14"/>
        <v>0.12400661706924442</v>
      </c>
    </row>
    <row r="146" spans="1:24" s="173" customFormat="1" x14ac:dyDescent="0.2">
      <c r="A146" s="35"/>
      <c r="B146" s="207"/>
      <c r="C146" s="89"/>
      <c r="D146" s="69"/>
      <c r="E146" s="37"/>
      <c r="F146" s="90"/>
      <c r="G146" s="37"/>
      <c r="H146" s="37"/>
      <c r="I146" s="37"/>
      <c r="J146" s="49"/>
      <c r="K146" s="81"/>
      <c r="L146" s="49"/>
      <c r="M146" s="49"/>
      <c r="N146" s="10"/>
      <c r="O146" s="290">
        <f>'Additional information'!$D$19</f>
        <v>0.05</v>
      </c>
      <c r="P146" s="167"/>
      <c r="R146" s="175"/>
      <c r="S146" s="174"/>
      <c r="V146" s="289"/>
      <c r="W146" s="289" t="str">
        <f t="shared" si="13"/>
        <v/>
      </c>
      <c r="X146" s="167" t="str">
        <f t="shared" si="14"/>
        <v/>
      </c>
    </row>
    <row r="147" spans="1:24" s="173" customFormat="1" ht="170" customHeight="1" x14ac:dyDescent="0.2">
      <c r="A147" s="88">
        <f>A145+1</f>
        <v>53</v>
      </c>
      <c r="B147" s="254" t="s">
        <v>423</v>
      </c>
      <c r="C147" s="371" t="s">
        <v>424</v>
      </c>
      <c r="D147" s="366" t="s">
        <v>425</v>
      </c>
      <c r="E147" s="170">
        <f>LEN(D147)</f>
        <v>282</v>
      </c>
      <c r="F147" s="172" t="s">
        <v>248</v>
      </c>
      <c r="G147" s="170" t="s">
        <v>23</v>
      </c>
      <c r="H147" s="170" t="s">
        <v>23</v>
      </c>
      <c r="I147" s="170" t="s">
        <v>426</v>
      </c>
      <c r="J147" s="169" t="s">
        <v>427</v>
      </c>
      <c r="K147" s="239" t="s">
        <v>428</v>
      </c>
      <c r="L147" s="169" t="s">
        <v>429</v>
      </c>
      <c r="M147" s="76"/>
      <c r="N147" s="41"/>
      <c r="O147" s="285">
        <f>'Additional information'!$D$19</f>
        <v>0.05</v>
      </c>
      <c r="P147" s="167"/>
      <c r="R147" s="383" t="s">
        <v>31</v>
      </c>
      <c r="S147" s="174"/>
      <c r="V147" s="288">
        <v>12.71689510345459</v>
      </c>
      <c r="W147" s="288">
        <f t="shared" si="13"/>
        <v>0.63584475517272954</v>
      </c>
      <c r="X147" s="167">
        <f t="shared" si="14"/>
        <v>0.63584475517272954</v>
      </c>
    </row>
    <row r="148" spans="1:24" s="173" customFormat="1" x14ac:dyDescent="0.2">
      <c r="A148" s="88"/>
      <c r="B148" s="280"/>
      <c r="C148" s="89"/>
      <c r="D148" s="474"/>
      <c r="E148" s="93"/>
      <c r="F148" s="89"/>
      <c r="G148" s="93"/>
      <c r="H148" s="93"/>
      <c r="I148" s="93"/>
      <c r="J148" s="76"/>
      <c r="K148" s="81"/>
      <c r="L148" s="76"/>
      <c r="M148" s="76"/>
      <c r="N148" s="41"/>
      <c r="O148" s="290">
        <f>'Additional information'!$D$19</f>
        <v>0.05</v>
      </c>
      <c r="P148" s="167"/>
      <c r="R148" s="175"/>
      <c r="S148" s="174"/>
      <c r="V148" s="289"/>
      <c r="W148" s="289" t="str">
        <f t="shared" si="13"/>
        <v/>
      </c>
      <c r="X148" s="167" t="str">
        <f t="shared" si="14"/>
        <v/>
      </c>
    </row>
    <row r="149" spans="1:24" ht="204" customHeight="1" x14ac:dyDescent="0.2">
      <c r="A149" s="88">
        <f>A147+1</f>
        <v>54</v>
      </c>
      <c r="B149" s="372" t="s">
        <v>430</v>
      </c>
      <c r="C149" s="373" t="s">
        <v>430</v>
      </c>
      <c r="D149" s="366" t="s">
        <v>431</v>
      </c>
      <c r="E149" s="170">
        <f>LEN(D149)</f>
        <v>302</v>
      </c>
      <c r="F149" s="373" t="s">
        <v>34</v>
      </c>
      <c r="G149" s="373" t="s">
        <v>23</v>
      </c>
      <c r="H149" s="373" t="s">
        <v>23</v>
      </c>
      <c r="I149" s="373" t="s">
        <v>35</v>
      </c>
      <c r="J149" s="374" t="s">
        <v>432</v>
      </c>
      <c r="K149" s="239" t="s">
        <v>23</v>
      </c>
      <c r="L149" s="374" t="s">
        <v>433</v>
      </c>
      <c r="M149" s="81"/>
      <c r="N149" s="10"/>
      <c r="O149" s="285">
        <f>'Additional information'!$D$19</f>
        <v>0.05</v>
      </c>
      <c r="P149" s="167"/>
      <c r="R149" s="383" t="s">
        <v>31</v>
      </c>
      <c r="V149" s="288">
        <v>10.51750373840332</v>
      </c>
      <c r="W149" s="288">
        <f t="shared" si="13"/>
        <v>0.52587518692016599</v>
      </c>
      <c r="X149" s="167">
        <f t="shared" si="14"/>
        <v>0.52587518692016599</v>
      </c>
    </row>
    <row r="150" spans="1:24" x14ac:dyDescent="0.2">
      <c r="A150" s="88"/>
      <c r="B150" s="197"/>
      <c r="C150" s="195"/>
      <c r="D150" s="196"/>
      <c r="E150" s="93"/>
      <c r="F150" s="195"/>
      <c r="G150" s="195"/>
      <c r="H150" s="195"/>
      <c r="I150" s="195"/>
      <c r="J150" s="81"/>
      <c r="K150" s="81"/>
      <c r="L150" s="194"/>
      <c r="M150" s="81"/>
      <c r="N150" s="10"/>
      <c r="O150" s="290">
        <f>'Additional information'!$D$19</f>
        <v>0.05</v>
      </c>
      <c r="P150" s="167"/>
      <c r="R150" s="175"/>
      <c r="V150" s="289"/>
      <c r="W150" s="289" t="str">
        <f t="shared" si="13"/>
        <v/>
      </c>
      <c r="X150" s="167" t="str">
        <f t="shared" si="14"/>
        <v/>
      </c>
    </row>
    <row r="151" spans="1:24" s="173" customFormat="1" ht="153" customHeight="1" x14ac:dyDescent="0.2">
      <c r="A151" s="88">
        <f>A149+1</f>
        <v>55</v>
      </c>
      <c r="B151" s="254" t="s">
        <v>434</v>
      </c>
      <c r="C151" s="172" t="s">
        <v>434</v>
      </c>
      <c r="D151" s="366" t="s">
        <v>435</v>
      </c>
      <c r="E151" s="170">
        <f>LEN(D151)</f>
        <v>169</v>
      </c>
      <c r="F151" s="180" t="s">
        <v>34</v>
      </c>
      <c r="G151" s="170" t="s">
        <v>23</v>
      </c>
      <c r="H151" s="170" t="s">
        <v>23</v>
      </c>
      <c r="I151" s="170" t="s">
        <v>35</v>
      </c>
      <c r="J151" s="169" t="s">
        <v>436</v>
      </c>
      <c r="K151" s="239" t="s">
        <v>23</v>
      </c>
      <c r="L151" s="177" t="s">
        <v>437</v>
      </c>
      <c r="M151" s="34"/>
      <c r="N151" s="10"/>
      <c r="O151" s="285">
        <f>'Additional information'!$D$19</f>
        <v>0.05</v>
      </c>
      <c r="P151" s="167"/>
      <c r="R151" s="383" t="s">
        <v>31</v>
      </c>
      <c r="S151" s="174"/>
      <c r="V151" s="288">
        <v>6.4824962615966797</v>
      </c>
      <c r="W151" s="288">
        <f t="shared" si="13"/>
        <v>0.32412481307983398</v>
      </c>
      <c r="X151" s="167">
        <f t="shared" si="14"/>
        <v>0.32412481307983398</v>
      </c>
    </row>
    <row r="152" spans="1:24" s="173" customFormat="1" ht="289" customHeight="1" x14ac:dyDescent="0.2">
      <c r="A152" s="35">
        <f>A151+1</f>
        <v>56</v>
      </c>
      <c r="B152" s="254" t="s">
        <v>438</v>
      </c>
      <c r="C152" s="172" t="s">
        <v>439</v>
      </c>
      <c r="D152" s="366" t="s">
        <v>440</v>
      </c>
      <c r="E152" s="178">
        <f>LEN(D152)</f>
        <v>762</v>
      </c>
      <c r="F152" s="172" t="s">
        <v>321</v>
      </c>
      <c r="G152" s="178" t="s">
        <v>23</v>
      </c>
      <c r="H152" s="178" t="s">
        <v>23</v>
      </c>
      <c r="I152" s="178" t="s">
        <v>409</v>
      </c>
      <c r="J152" s="375" t="s">
        <v>441</v>
      </c>
      <c r="K152" s="239" t="s">
        <v>442</v>
      </c>
      <c r="L152" s="177" t="s">
        <v>443</v>
      </c>
      <c r="M152" s="50"/>
      <c r="N152" s="10"/>
      <c r="O152" s="285">
        <f>'Additional information'!$D$19</f>
        <v>0.05</v>
      </c>
      <c r="P152" s="167"/>
      <c r="R152" s="383" t="s">
        <v>31</v>
      </c>
      <c r="S152" s="174"/>
      <c r="V152" s="288">
        <v>23.642156600952148</v>
      </c>
      <c r="W152" s="288">
        <f t="shared" si="13"/>
        <v>1.1821078300476076</v>
      </c>
      <c r="X152" s="167">
        <f t="shared" si="14"/>
        <v>1.1821078300476076</v>
      </c>
    </row>
    <row r="153" spans="1:24" s="173" customFormat="1" ht="255" customHeight="1" x14ac:dyDescent="0.2">
      <c r="A153" s="14">
        <f>A152+1</f>
        <v>57</v>
      </c>
      <c r="B153" s="255" t="s">
        <v>444</v>
      </c>
      <c r="C153" s="20" t="s">
        <v>445</v>
      </c>
      <c r="D153" s="353" t="s">
        <v>446</v>
      </c>
      <c r="E153" s="19">
        <f>LEN(D153)</f>
        <v>327</v>
      </c>
      <c r="F153" s="20" t="s">
        <v>447</v>
      </c>
      <c r="G153" s="19" t="s">
        <v>23</v>
      </c>
      <c r="H153" s="19" t="s">
        <v>448</v>
      </c>
      <c r="I153" s="19" t="s">
        <v>449</v>
      </c>
      <c r="J153" s="28" t="s">
        <v>450</v>
      </c>
      <c r="K153" s="70" t="s">
        <v>451</v>
      </c>
      <c r="L153" s="28" t="s">
        <v>452</v>
      </c>
      <c r="M153" s="28"/>
      <c r="N153" s="358"/>
      <c r="O153" s="290">
        <f>'Additional information'!$D$19</f>
        <v>0.05</v>
      </c>
      <c r="P153" s="167"/>
      <c r="R153" s="175" t="s">
        <v>22</v>
      </c>
      <c r="S153" s="174"/>
      <c r="V153" s="289">
        <v>19.20000076293945</v>
      </c>
      <c r="W153" s="289">
        <f t="shared" si="13"/>
        <v>0.96000003814697255</v>
      </c>
      <c r="X153" s="167" t="str">
        <f t="shared" si="14"/>
        <v/>
      </c>
    </row>
    <row r="154" spans="1:24" s="173" customFormat="1" ht="17" customHeight="1" thickBot="1" x14ac:dyDescent="0.25">
      <c r="A154" s="88"/>
      <c r="B154" s="280"/>
      <c r="C154" s="89"/>
      <c r="D154" s="196"/>
      <c r="E154" s="93"/>
      <c r="F154" s="96"/>
      <c r="G154" s="93"/>
      <c r="H154" s="93"/>
      <c r="I154" s="93"/>
      <c r="J154" s="76"/>
      <c r="K154" s="81"/>
      <c r="L154" s="76"/>
      <c r="M154" s="76"/>
      <c r="N154" s="41"/>
      <c r="O154" s="290">
        <f>'Additional information'!$D$19</f>
        <v>0.05</v>
      </c>
      <c r="P154" s="167"/>
      <c r="R154" s="175"/>
      <c r="S154" s="174"/>
      <c r="V154" s="289"/>
      <c r="W154" s="289" t="str">
        <f t="shared" si="13"/>
        <v/>
      </c>
      <c r="X154" s="167" t="str">
        <f t="shared" si="14"/>
        <v/>
      </c>
    </row>
    <row r="155" spans="1:24" s="382" customFormat="1" ht="17" customHeight="1" thickBot="1" x14ac:dyDescent="0.25">
      <c r="A155" s="588" t="s">
        <v>453</v>
      </c>
      <c r="B155" s="589"/>
      <c r="C155" s="589"/>
      <c r="D155" s="589"/>
      <c r="E155" s="589"/>
      <c r="F155" s="589"/>
      <c r="G155" s="589"/>
      <c r="H155" s="589"/>
      <c r="I155" s="589"/>
      <c r="J155" s="589"/>
      <c r="K155" s="589"/>
      <c r="L155" s="589"/>
      <c r="M155" s="589"/>
      <c r="N155" s="590"/>
      <c r="O155" s="285"/>
      <c r="P155" s="384"/>
      <c r="R155" s="383"/>
      <c r="S155" s="385"/>
      <c r="V155" s="288"/>
      <c r="W155" s="288" t="str">
        <f t="shared" si="13"/>
        <v/>
      </c>
      <c r="X155" s="384" t="str">
        <f t="shared" si="14"/>
        <v/>
      </c>
    </row>
    <row r="156" spans="1:24" s="173" customFormat="1" ht="187" customHeight="1" x14ac:dyDescent="0.2">
      <c r="A156" s="88">
        <f>A153+1</f>
        <v>58</v>
      </c>
      <c r="B156" s="254" t="s">
        <v>454</v>
      </c>
      <c r="C156" s="172" t="s">
        <v>454</v>
      </c>
      <c r="D156" s="376" t="s">
        <v>455</v>
      </c>
      <c r="E156" s="170">
        <f>LEN(D156)</f>
        <v>302</v>
      </c>
      <c r="F156" s="180" t="s">
        <v>71</v>
      </c>
      <c r="G156" s="170" t="s">
        <v>23</v>
      </c>
      <c r="H156" s="170" t="s">
        <v>23</v>
      </c>
      <c r="I156" s="170" t="s">
        <v>303</v>
      </c>
      <c r="J156" s="192" t="s">
        <v>456</v>
      </c>
      <c r="K156" s="239" t="s">
        <v>23</v>
      </c>
      <c r="L156" s="377" t="s">
        <v>457</v>
      </c>
      <c r="M156" s="82"/>
      <c r="N156" s="9"/>
      <c r="O156" s="285">
        <f>'Additional information'!$D$19</f>
        <v>0.05</v>
      </c>
      <c r="P156" s="167"/>
      <c r="R156" s="383" t="s">
        <v>31</v>
      </c>
      <c r="S156" s="174"/>
      <c r="V156" s="288">
        <v>9.2754945755004883</v>
      </c>
      <c r="W156" s="288">
        <f t="shared" si="13"/>
        <v>0.46377472877502446</v>
      </c>
      <c r="X156" s="167">
        <f t="shared" si="14"/>
        <v>0.46377472877502446</v>
      </c>
    </row>
    <row r="157" spans="1:24" s="173" customFormat="1" x14ac:dyDescent="0.2">
      <c r="A157" s="88"/>
      <c r="B157" s="280"/>
      <c r="C157" s="89"/>
      <c r="D157" s="95"/>
      <c r="E157" s="93"/>
      <c r="F157" s="96"/>
      <c r="G157" s="93"/>
      <c r="H157" s="93"/>
      <c r="I157" s="93"/>
      <c r="J157" s="80"/>
      <c r="K157" s="69"/>
      <c r="L157" s="77"/>
      <c r="M157" s="77"/>
      <c r="N157" s="41"/>
      <c r="O157" s="290">
        <f>'Additional information'!$D$19</f>
        <v>0.05</v>
      </c>
      <c r="P157" s="167"/>
      <c r="R157" s="175"/>
      <c r="S157" s="174"/>
      <c r="V157" s="289"/>
      <c r="W157" s="289" t="str">
        <f t="shared" si="13"/>
        <v/>
      </c>
      <c r="X157" s="167" t="str">
        <f t="shared" si="14"/>
        <v/>
      </c>
    </row>
    <row r="158" spans="1:24" s="173" customFormat="1" ht="153" customHeight="1" x14ac:dyDescent="0.2">
      <c r="A158" s="35">
        <f>A156+1</f>
        <v>59</v>
      </c>
      <c r="B158" s="191" t="s">
        <v>458</v>
      </c>
      <c r="C158" s="178" t="s">
        <v>458</v>
      </c>
      <c r="D158" s="366" t="s">
        <v>459</v>
      </c>
      <c r="E158" s="178">
        <f>LEN(D158)</f>
        <v>179</v>
      </c>
      <c r="F158" s="184" t="s">
        <v>34</v>
      </c>
      <c r="G158" s="178" t="s">
        <v>23</v>
      </c>
      <c r="H158" s="178" t="s">
        <v>23</v>
      </c>
      <c r="I158" s="178" t="s">
        <v>35</v>
      </c>
      <c r="J158" s="177" t="s">
        <v>460</v>
      </c>
      <c r="K158" s="239" t="s">
        <v>23</v>
      </c>
      <c r="L158" s="378" t="s">
        <v>461</v>
      </c>
      <c r="M158" s="83"/>
      <c r="N158" s="10"/>
      <c r="O158" s="285">
        <f>'Additional information'!$D$19</f>
        <v>0.05</v>
      </c>
      <c r="P158" s="167"/>
      <c r="R158" s="383" t="s">
        <v>31</v>
      </c>
      <c r="S158" s="174"/>
      <c r="V158" s="288">
        <v>6.4158415794372559</v>
      </c>
      <c r="W158" s="288">
        <f t="shared" si="13"/>
        <v>0.32079207897186279</v>
      </c>
      <c r="X158" s="167">
        <f t="shared" si="14"/>
        <v>0.32079207897186279</v>
      </c>
    </row>
    <row r="159" spans="1:24" s="173" customFormat="1" ht="306" customHeight="1" x14ac:dyDescent="0.2">
      <c r="A159" s="35">
        <f>A158+1</f>
        <v>60</v>
      </c>
      <c r="B159" s="209" t="s">
        <v>462</v>
      </c>
      <c r="C159" s="172" t="s">
        <v>463</v>
      </c>
      <c r="D159" s="366" t="s">
        <v>464</v>
      </c>
      <c r="E159" s="178">
        <f>LEN(D159)</f>
        <v>666</v>
      </c>
      <c r="F159" s="172" t="s">
        <v>321</v>
      </c>
      <c r="G159" s="178" t="s">
        <v>23</v>
      </c>
      <c r="H159" s="178" t="s">
        <v>23</v>
      </c>
      <c r="I159" s="178" t="s">
        <v>340</v>
      </c>
      <c r="J159" s="177" t="s">
        <v>465</v>
      </c>
      <c r="K159" s="239" t="s">
        <v>466</v>
      </c>
      <c r="L159" s="365" t="s">
        <v>467</v>
      </c>
      <c r="M159" s="84"/>
      <c r="N159" s="10"/>
      <c r="O159" s="285">
        <f>'Additional information'!$D$19</f>
        <v>0.05</v>
      </c>
      <c r="P159" s="167"/>
      <c r="R159" s="383" t="s">
        <v>31</v>
      </c>
      <c r="S159" s="174"/>
      <c r="V159" s="288">
        <v>20.53435134887695</v>
      </c>
      <c r="W159" s="288">
        <f t="shared" si="13"/>
        <v>1.0267175674438476</v>
      </c>
      <c r="X159" s="167">
        <f t="shared" si="14"/>
        <v>1.0267175674438476</v>
      </c>
    </row>
    <row r="160" spans="1:24" s="173" customFormat="1" x14ac:dyDescent="0.2">
      <c r="A160" s="99"/>
      <c r="B160" s="281"/>
      <c r="C160" s="38"/>
      <c r="D160" s="475"/>
      <c r="E160" s="92"/>
      <c r="F160" s="100"/>
      <c r="G160" s="92"/>
      <c r="H160" s="92"/>
      <c r="I160" s="92"/>
      <c r="J160" s="84"/>
      <c r="K160" s="69"/>
      <c r="L160" s="84"/>
      <c r="M160" s="84"/>
      <c r="N160" s="24"/>
      <c r="O160" s="290">
        <f>'Additional information'!$D$19</f>
        <v>0.05</v>
      </c>
      <c r="P160" s="167"/>
      <c r="R160" s="175"/>
      <c r="S160" s="174"/>
      <c r="V160" s="289"/>
      <c r="W160" s="289" t="str">
        <f t="shared" si="13"/>
        <v/>
      </c>
      <c r="X160" s="167" t="str">
        <f t="shared" si="14"/>
        <v/>
      </c>
    </row>
    <row r="161" spans="1:24" s="173" customFormat="1" ht="204" customHeight="1" x14ac:dyDescent="0.2">
      <c r="A161" s="99">
        <f>A159+1</f>
        <v>61</v>
      </c>
      <c r="B161" s="256" t="s">
        <v>468</v>
      </c>
      <c r="C161" s="179" t="s">
        <v>468</v>
      </c>
      <c r="D161" s="379" t="s">
        <v>469</v>
      </c>
      <c r="E161" s="161">
        <f>LEN(D161)</f>
        <v>354</v>
      </c>
      <c r="F161" s="364" t="s">
        <v>34</v>
      </c>
      <c r="G161" s="161" t="s">
        <v>23</v>
      </c>
      <c r="H161" s="161" t="s">
        <v>23</v>
      </c>
      <c r="I161" s="161" t="s">
        <v>35</v>
      </c>
      <c r="J161" s="365" t="s">
        <v>470</v>
      </c>
      <c r="K161" s="239" t="s">
        <v>23</v>
      </c>
      <c r="L161" s="365" t="s">
        <v>471</v>
      </c>
      <c r="M161" s="84"/>
      <c r="N161" s="10"/>
      <c r="O161" s="285">
        <f>'Additional information'!$D$19</f>
        <v>0.05</v>
      </c>
      <c r="P161" s="167"/>
      <c r="R161" s="383" t="s">
        <v>31</v>
      </c>
      <c r="S161" s="174"/>
      <c r="V161" s="288">
        <v>8.3069305419921875</v>
      </c>
      <c r="W161" s="288">
        <f t="shared" si="13"/>
        <v>0.4153465270996094</v>
      </c>
      <c r="X161" s="167">
        <f t="shared" si="14"/>
        <v>0.4153465270996094</v>
      </c>
    </row>
    <row r="162" spans="1:24" s="173" customFormat="1" ht="17" customHeight="1" thickBot="1" x14ac:dyDescent="0.25">
      <c r="A162" s="99"/>
      <c r="B162" s="281"/>
      <c r="C162" s="101"/>
      <c r="D162" s="475"/>
      <c r="E162" s="92"/>
      <c r="F162" s="100"/>
      <c r="G162" s="92"/>
      <c r="H162" s="92"/>
      <c r="I162" s="92"/>
      <c r="J162" s="84"/>
      <c r="K162" s="84"/>
      <c r="L162" s="84"/>
      <c r="M162" s="84"/>
      <c r="N162" s="61"/>
      <c r="O162" s="290">
        <f>'Additional information'!$D$19</f>
        <v>0.05</v>
      </c>
      <c r="P162" s="167"/>
      <c r="R162" s="175"/>
      <c r="S162" s="174"/>
      <c r="V162" s="289"/>
      <c r="W162" s="289" t="str">
        <f t="shared" si="13"/>
        <v/>
      </c>
      <c r="X162" s="167" t="str">
        <f t="shared" si="14"/>
        <v/>
      </c>
    </row>
    <row r="163" spans="1:24" s="382" customFormat="1" ht="17" customHeight="1" thickBot="1" x14ac:dyDescent="0.25">
      <c r="A163" s="588" t="s">
        <v>472</v>
      </c>
      <c r="B163" s="589"/>
      <c r="C163" s="589"/>
      <c r="D163" s="589"/>
      <c r="E163" s="589"/>
      <c r="F163" s="589"/>
      <c r="G163" s="589"/>
      <c r="H163" s="589"/>
      <c r="I163" s="589"/>
      <c r="J163" s="589"/>
      <c r="K163" s="589"/>
      <c r="L163" s="589"/>
      <c r="M163" s="589"/>
      <c r="N163" s="590"/>
      <c r="O163" s="285"/>
      <c r="P163" s="384"/>
      <c r="R163" s="383"/>
      <c r="S163" s="385"/>
      <c r="V163" s="288"/>
      <c r="W163" s="288" t="str">
        <f t="shared" si="13"/>
        <v/>
      </c>
      <c r="X163" s="384" t="str">
        <f t="shared" si="14"/>
        <v/>
      </c>
    </row>
    <row r="164" spans="1:24" s="173" customFormat="1" ht="136" customHeight="1" x14ac:dyDescent="0.2">
      <c r="A164" s="88">
        <f>A161+1</f>
        <v>62</v>
      </c>
      <c r="B164" s="254" t="s">
        <v>473</v>
      </c>
      <c r="C164" s="263" t="s">
        <v>473</v>
      </c>
      <c r="D164" s="171" t="s">
        <v>474</v>
      </c>
      <c r="E164" s="170">
        <f t="shared" ref="E164:E188" si="15">LEN(D164)</f>
        <v>335</v>
      </c>
      <c r="F164" s="180" t="s">
        <v>34</v>
      </c>
      <c r="G164" s="170" t="s">
        <v>23</v>
      </c>
      <c r="H164" s="170" t="s">
        <v>23</v>
      </c>
      <c r="I164" s="170" t="s">
        <v>35</v>
      </c>
      <c r="J164" s="169" t="s">
        <v>475</v>
      </c>
      <c r="K164" s="239" t="s">
        <v>23</v>
      </c>
      <c r="L164" s="169" t="s">
        <v>476</v>
      </c>
      <c r="M164" s="76"/>
      <c r="N164" s="354" t="s">
        <v>477</v>
      </c>
      <c r="O164" s="285">
        <v>1</v>
      </c>
      <c r="P164" s="167"/>
      <c r="R164" s="383" t="s">
        <v>31</v>
      </c>
      <c r="S164" s="174"/>
      <c r="V164" s="288">
        <v>8.0881662368774414</v>
      </c>
      <c r="W164" s="288">
        <f t="shared" si="13"/>
        <v>8.0881662368774414</v>
      </c>
      <c r="X164" s="167">
        <f t="shared" si="14"/>
        <v>8.0881662368774414</v>
      </c>
    </row>
    <row r="165" spans="1:24" s="173" customFormat="1" ht="170" customHeight="1" x14ac:dyDescent="0.2">
      <c r="A165" s="35">
        <f t="shared" ref="A165:A178" si="16">A164+1</f>
        <v>63</v>
      </c>
      <c r="B165" s="209" t="s">
        <v>478</v>
      </c>
      <c r="C165" s="172" t="s">
        <v>478</v>
      </c>
      <c r="D165" s="189" t="s">
        <v>479</v>
      </c>
      <c r="E165" s="178">
        <f t="shared" si="15"/>
        <v>236</v>
      </c>
      <c r="F165" s="184" t="s">
        <v>34</v>
      </c>
      <c r="G165" s="178" t="s">
        <v>23</v>
      </c>
      <c r="H165" s="178" t="s">
        <v>23</v>
      </c>
      <c r="I165" s="178" t="s">
        <v>35</v>
      </c>
      <c r="J165" s="177" t="s">
        <v>480</v>
      </c>
      <c r="K165" s="239" t="s">
        <v>23</v>
      </c>
      <c r="L165" s="186" t="s">
        <v>481</v>
      </c>
      <c r="M165" s="85"/>
      <c r="N165" s="10"/>
      <c r="O165" s="285">
        <v>1</v>
      </c>
      <c r="P165" s="167"/>
      <c r="R165" s="383" t="s">
        <v>31</v>
      </c>
      <c r="S165" s="174"/>
      <c r="V165" s="288">
        <v>20.224567413330082</v>
      </c>
      <c r="W165" s="288">
        <f t="shared" ref="W165:W188" si="17">IF(V165="","",V165*O165)</f>
        <v>20.224567413330082</v>
      </c>
      <c r="X165" s="167">
        <f t="shared" ref="X165:X188" si="18">IF(R165="yes",W165,"")</f>
        <v>20.224567413330082</v>
      </c>
    </row>
    <row r="166" spans="1:24" s="173" customFormat="1" ht="170" customHeight="1" x14ac:dyDescent="0.2">
      <c r="A166" s="35">
        <f t="shared" si="16"/>
        <v>64</v>
      </c>
      <c r="B166" s="209" t="s">
        <v>482</v>
      </c>
      <c r="C166" s="172" t="s">
        <v>482</v>
      </c>
      <c r="D166" s="189" t="s">
        <v>483</v>
      </c>
      <c r="E166" s="178">
        <f t="shared" si="15"/>
        <v>234</v>
      </c>
      <c r="F166" s="184" t="s">
        <v>34</v>
      </c>
      <c r="G166" s="178" t="s">
        <v>23</v>
      </c>
      <c r="H166" s="178" t="s">
        <v>23</v>
      </c>
      <c r="I166" s="178" t="s">
        <v>35</v>
      </c>
      <c r="J166" s="177" t="s">
        <v>484</v>
      </c>
      <c r="K166" s="239" t="s">
        <v>23</v>
      </c>
      <c r="L166" s="186" t="s">
        <v>485</v>
      </c>
      <c r="M166" s="85"/>
      <c r="N166" s="10"/>
      <c r="O166" s="285">
        <v>1</v>
      </c>
      <c r="P166" s="167"/>
      <c r="R166" s="383" t="s">
        <v>31</v>
      </c>
      <c r="S166" s="174"/>
      <c r="V166" s="288">
        <v>14.02606105804443</v>
      </c>
      <c r="W166" s="288">
        <f t="shared" si="17"/>
        <v>14.02606105804443</v>
      </c>
      <c r="X166" s="167">
        <f t="shared" si="18"/>
        <v>14.02606105804443</v>
      </c>
    </row>
    <row r="167" spans="1:24" s="173" customFormat="1" ht="153" customHeight="1" x14ac:dyDescent="0.2">
      <c r="A167" s="35">
        <f t="shared" si="16"/>
        <v>65</v>
      </c>
      <c r="B167" s="209" t="s">
        <v>486</v>
      </c>
      <c r="C167" s="172" t="s">
        <v>486</v>
      </c>
      <c r="D167" s="189" t="s">
        <v>487</v>
      </c>
      <c r="E167" s="178">
        <f t="shared" si="15"/>
        <v>217</v>
      </c>
      <c r="F167" s="184" t="s">
        <v>34</v>
      </c>
      <c r="G167" s="178" t="s">
        <v>23</v>
      </c>
      <c r="H167" s="178" t="s">
        <v>23</v>
      </c>
      <c r="I167" s="178" t="s">
        <v>35</v>
      </c>
      <c r="J167" s="177" t="s">
        <v>488</v>
      </c>
      <c r="K167" s="239" t="s">
        <v>23</v>
      </c>
      <c r="L167" s="186" t="s">
        <v>489</v>
      </c>
      <c r="M167" s="85"/>
      <c r="N167" s="10"/>
      <c r="O167" s="285">
        <v>1</v>
      </c>
      <c r="P167" s="167"/>
      <c r="R167" s="383" t="s">
        <v>31</v>
      </c>
      <c r="S167" s="174"/>
      <c r="V167" s="288">
        <v>11.558505058288571</v>
      </c>
      <c r="W167" s="288">
        <f t="shared" si="17"/>
        <v>11.558505058288571</v>
      </c>
      <c r="X167" s="167">
        <f t="shared" si="18"/>
        <v>11.558505058288571</v>
      </c>
    </row>
    <row r="168" spans="1:24" s="173" customFormat="1" ht="153" customHeight="1" x14ac:dyDescent="0.2">
      <c r="A168" s="35">
        <f t="shared" si="16"/>
        <v>66</v>
      </c>
      <c r="B168" s="209" t="s">
        <v>490</v>
      </c>
      <c r="C168" s="172" t="s">
        <v>490</v>
      </c>
      <c r="D168" s="189" t="s">
        <v>491</v>
      </c>
      <c r="E168" s="178">
        <f t="shared" si="15"/>
        <v>218</v>
      </c>
      <c r="F168" s="184" t="s">
        <v>34</v>
      </c>
      <c r="G168" s="178" t="s">
        <v>23</v>
      </c>
      <c r="H168" s="178" t="s">
        <v>23</v>
      </c>
      <c r="I168" s="178" t="s">
        <v>35</v>
      </c>
      <c r="J168" s="177" t="s">
        <v>492</v>
      </c>
      <c r="K168" s="239" t="s">
        <v>23</v>
      </c>
      <c r="L168" s="177" t="s">
        <v>493</v>
      </c>
      <c r="M168" s="74"/>
      <c r="N168" s="10"/>
      <c r="O168" s="285">
        <v>1</v>
      </c>
      <c r="P168" s="167"/>
      <c r="R168" s="383" t="s">
        <v>31</v>
      </c>
      <c r="S168" s="174"/>
      <c r="V168" s="288">
        <v>11.379257202148439</v>
      </c>
      <c r="W168" s="288">
        <f t="shared" si="17"/>
        <v>11.379257202148439</v>
      </c>
      <c r="X168" s="167">
        <f t="shared" si="18"/>
        <v>11.379257202148439</v>
      </c>
    </row>
    <row r="169" spans="1:24" s="173" customFormat="1" ht="153" customHeight="1" x14ac:dyDescent="0.2">
      <c r="A169" s="35">
        <f t="shared" si="16"/>
        <v>67</v>
      </c>
      <c r="B169" s="209" t="s">
        <v>494</v>
      </c>
      <c r="C169" s="172" t="s">
        <v>494</v>
      </c>
      <c r="D169" s="189" t="s">
        <v>495</v>
      </c>
      <c r="E169" s="178">
        <f t="shared" si="15"/>
        <v>224</v>
      </c>
      <c r="F169" s="184" t="s">
        <v>34</v>
      </c>
      <c r="G169" s="178" t="s">
        <v>23</v>
      </c>
      <c r="H169" s="178" t="s">
        <v>23</v>
      </c>
      <c r="I169" s="178" t="s">
        <v>35</v>
      </c>
      <c r="J169" s="177" t="s">
        <v>496</v>
      </c>
      <c r="K169" s="239" t="s">
        <v>23</v>
      </c>
      <c r="L169" s="177" t="s">
        <v>497</v>
      </c>
      <c r="M169" s="74"/>
      <c r="N169" s="10"/>
      <c r="O169" s="285">
        <v>1</v>
      </c>
      <c r="P169" s="167"/>
      <c r="R169" s="383" t="s">
        <v>31</v>
      </c>
      <c r="S169" s="174"/>
      <c r="V169" s="288">
        <v>10.443217277526861</v>
      </c>
      <c r="W169" s="288">
        <f t="shared" si="17"/>
        <v>10.443217277526861</v>
      </c>
      <c r="X169" s="167">
        <f t="shared" si="18"/>
        <v>10.443217277526861</v>
      </c>
    </row>
    <row r="170" spans="1:24" s="173" customFormat="1" ht="146" customHeight="1" x14ac:dyDescent="0.2">
      <c r="A170" s="35">
        <f t="shared" si="16"/>
        <v>68</v>
      </c>
      <c r="B170" s="209" t="s">
        <v>498</v>
      </c>
      <c r="C170" s="208" t="s">
        <v>498</v>
      </c>
      <c r="D170" s="188" t="s">
        <v>499</v>
      </c>
      <c r="E170" s="178">
        <f t="shared" si="15"/>
        <v>182</v>
      </c>
      <c r="F170" s="184" t="s">
        <v>34</v>
      </c>
      <c r="G170" s="178" t="s">
        <v>23</v>
      </c>
      <c r="H170" s="178" t="s">
        <v>23</v>
      </c>
      <c r="I170" s="178" t="s">
        <v>35</v>
      </c>
      <c r="J170" s="177" t="s">
        <v>500</v>
      </c>
      <c r="K170" s="239" t="s">
        <v>23</v>
      </c>
      <c r="L170" s="186" t="s">
        <v>501</v>
      </c>
      <c r="M170" s="85"/>
      <c r="N170" s="10"/>
      <c r="O170" s="285">
        <v>1</v>
      </c>
      <c r="P170" s="167"/>
      <c r="R170" s="383" t="s">
        <v>31</v>
      </c>
      <c r="S170" s="174"/>
      <c r="V170" s="288">
        <v>10.732010841369631</v>
      </c>
      <c r="W170" s="288">
        <f t="shared" si="17"/>
        <v>10.732010841369631</v>
      </c>
      <c r="X170" s="167">
        <f t="shared" si="18"/>
        <v>10.732010841369631</v>
      </c>
    </row>
    <row r="171" spans="1:24" s="331" customFormat="1" ht="147" customHeight="1" x14ac:dyDescent="0.2">
      <c r="A171" s="35">
        <f t="shared" si="16"/>
        <v>69</v>
      </c>
      <c r="B171" s="209" t="s">
        <v>502</v>
      </c>
      <c r="C171" s="208" t="s">
        <v>502</v>
      </c>
      <c r="D171" s="187" t="s">
        <v>503</v>
      </c>
      <c r="E171" s="178">
        <f t="shared" si="15"/>
        <v>214</v>
      </c>
      <c r="F171" s="184" t="s">
        <v>34</v>
      </c>
      <c r="G171" s="178" t="s">
        <v>23</v>
      </c>
      <c r="H171" s="178" t="s">
        <v>23</v>
      </c>
      <c r="I171" s="178" t="s">
        <v>35</v>
      </c>
      <c r="J171" s="177" t="s">
        <v>504</v>
      </c>
      <c r="K171" s="239" t="s">
        <v>23</v>
      </c>
      <c r="L171" s="177" t="s">
        <v>505</v>
      </c>
      <c r="M171" s="74"/>
      <c r="N171" s="10"/>
      <c r="O171" s="285">
        <v>1</v>
      </c>
      <c r="P171" s="167"/>
      <c r="R171" s="383" t="s">
        <v>31</v>
      </c>
      <c r="S171" s="174"/>
      <c r="V171" s="288">
        <v>11.58613967895508</v>
      </c>
      <c r="W171" s="288">
        <f t="shared" si="17"/>
        <v>11.58613967895508</v>
      </c>
      <c r="X171" s="167">
        <f t="shared" si="18"/>
        <v>11.58613967895508</v>
      </c>
    </row>
    <row r="172" spans="1:24" s="173" customFormat="1" ht="146" customHeight="1" x14ac:dyDescent="0.2">
      <c r="A172" s="35">
        <f t="shared" si="16"/>
        <v>70</v>
      </c>
      <c r="B172" s="209" t="s">
        <v>506</v>
      </c>
      <c r="C172" s="172" t="s">
        <v>506</v>
      </c>
      <c r="D172" s="188" t="s">
        <v>507</v>
      </c>
      <c r="E172" s="178">
        <f t="shared" si="15"/>
        <v>184</v>
      </c>
      <c r="F172" s="184" t="s">
        <v>34</v>
      </c>
      <c r="G172" s="178" t="s">
        <v>23</v>
      </c>
      <c r="H172" s="178" t="s">
        <v>23</v>
      </c>
      <c r="I172" s="178" t="s">
        <v>35</v>
      </c>
      <c r="J172" s="177" t="s">
        <v>508</v>
      </c>
      <c r="K172" s="239" t="s">
        <v>23</v>
      </c>
      <c r="L172" s="186" t="s">
        <v>509</v>
      </c>
      <c r="M172" s="85"/>
      <c r="N172" s="10"/>
      <c r="O172" s="285">
        <v>1</v>
      </c>
      <c r="P172" s="167"/>
      <c r="R172" s="383" t="s">
        <v>31</v>
      </c>
      <c r="S172" s="174"/>
      <c r="V172" s="288">
        <v>9.7552013397216797</v>
      </c>
      <c r="W172" s="288">
        <f t="shared" si="17"/>
        <v>9.7552013397216797</v>
      </c>
      <c r="X172" s="167">
        <f t="shared" si="18"/>
        <v>9.7552013397216797</v>
      </c>
    </row>
    <row r="173" spans="1:24" s="173" customFormat="1" ht="147" customHeight="1" x14ac:dyDescent="0.2">
      <c r="A173" s="35">
        <f t="shared" si="16"/>
        <v>71</v>
      </c>
      <c r="B173" s="209" t="s">
        <v>510</v>
      </c>
      <c r="C173" s="208" t="s">
        <v>510</v>
      </c>
      <c r="D173" s="187" t="s">
        <v>503</v>
      </c>
      <c r="E173" s="178">
        <f t="shared" si="15"/>
        <v>214</v>
      </c>
      <c r="F173" s="184" t="s">
        <v>34</v>
      </c>
      <c r="G173" s="178" t="s">
        <v>23</v>
      </c>
      <c r="H173" s="178" t="s">
        <v>23</v>
      </c>
      <c r="I173" s="178" t="s">
        <v>35</v>
      </c>
      <c r="J173" s="177" t="s">
        <v>511</v>
      </c>
      <c r="K173" s="239" t="s">
        <v>23</v>
      </c>
      <c r="L173" s="177" t="s">
        <v>512</v>
      </c>
      <c r="M173" s="74"/>
      <c r="N173" s="10"/>
      <c r="O173" s="285">
        <v>1</v>
      </c>
      <c r="P173" s="167"/>
      <c r="R173" s="383" t="s">
        <v>31</v>
      </c>
      <c r="S173" s="174"/>
      <c r="V173" s="288">
        <v>7.9447951316833496</v>
      </c>
      <c r="W173" s="288">
        <f t="shared" si="17"/>
        <v>7.9447951316833496</v>
      </c>
      <c r="X173" s="167">
        <f t="shared" si="18"/>
        <v>7.9447951316833496</v>
      </c>
    </row>
    <row r="174" spans="1:24" s="173" customFormat="1" ht="146" customHeight="1" x14ac:dyDescent="0.2">
      <c r="A174" s="35">
        <f t="shared" si="16"/>
        <v>72</v>
      </c>
      <c r="B174" s="209" t="s">
        <v>513</v>
      </c>
      <c r="C174" s="172" t="s">
        <v>513</v>
      </c>
      <c r="D174" s="188" t="s">
        <v>514</v>
      </c>
      <c r="E174" s="178">
        <f t="shared" si="15"/>
        <v>212</v>
      </c>
      <c r="F174" s="184" t="s">
        <v>34</v>
      </c>
      <c r="G174" s="178" t="s">
        <v>23</v>
      </c>
      <c r="H174" s="178" t="s">
        <v>23</v>
      </c>
      <c r="I174" s="178" t="s">
        <v>35</v>
      </c>
      <c r="J174" s="177" t="s">
        <v>515</v>
      </c>
      <c r="K174" s="239" t="s">
        <v>23</v>
      </c>
      <c r="L174" s="186" t="s">
        <v>516</v>
      </c>
      <c r="M174" s="33"/>
      <c r="N174" s="10"/>
      <c r="O174" s="285">
        <v>1</v>
      </c>
      <c r="P174" s="167"/>
      <c r="R174" s="383" t="s">
        <v>31</v>
      </c>
      <c r="S174" s="174"/>
      <c r="V174" s="288">
        <v>7.9312248229980469</v>
      </c>
      <c r="W174" s="288">
        <f t="shared" si="17"/>
        <v>7.9312248229980469</v>
      </c>
      <c r="X174" s="167">
        <f t="shared" si="18"/>
        <v>7.9312248229980469</v>
      </c>
    </row>
    <row r="175" spans="1:24" s="173" customFormat="1" ht="147" customHeight="1" x14ac:dyDescent="0.2">
      <c r="A175" s="35">
        <f t="shared" si="16"/>
        <v>73</v>
      </c>
      <c r="B175" s="209" t="s">
        <v>517</v>
      </c>
      <c r="C175" s="208" t="s">
        <v>517</v>
      </c>
      <c r="D175" s="187" t="s">
        <v>503</v>
      </c>
      <c r="E175" s="178">
        <f t="shared" si="15"/>
        <v>214</v>
      </c>
      <c r="F175" s="184" t="s">
        <v>34</v>
      </c>
      <c r="G175" s="178" t="s">
        <v>23</v>
      </c>
      <c r="H175" s="178" t="s">
        <v>23</v>
      </c>
      <c r="I175" s="178" t="s">
        <v>35</v>
      </c>
      <c r="J175" s="177" t="s">
        <v>518</v>
      </c>
      <c r="K175" s="239" t="s">
        <v>23</v>
      </c>
      <c r="L175" s="186" t="s">
        <v>519</v>
      </c>
      <c r="M175" s="33"/>
      <c r="N175" s="10"/>
      <c r="O175" s="285">
        <v>1</v>
      </c>
      <c r="P175" s="167"/>
      <c r="R175" s="383" t="s">
        <v>31</v>
      </c>
      <c r="S175" s="174"/>
      <c r="V175" s="288">
        <v>5.3390059471130371</v>
      </c>
      <c r="W175" s="288">
        <f t="shared" si="17"/>
        <v>5.3390059471130371</v>
      </c>
      <c r="X175" s="167">
        <f t="shared" si="18"/>
        <v>5.3390059471130371</v>
      </c>
    </row>
    <row r="176" spans="1:24" s="173" customFormat="1" ht="153" customHeight="1" x14ac:dyDescent="0.2">
      <c r="A176" s="14">
        <f t="shared" si="16"/>
        <v>74</v>
      </c>
      <c r="B176" s="525" t="s">
        <v>520</v>
      </c>
      <c r="C176" s="16" t="s">
        <v>521</v>
      </c>
      <c r="D176" s="30" t="s">
        <v>522</v>
      </c>
      <c r="E176" s="19">
        <f t="shared" si="15"/>
        <v>142</v>
      </c>
      <c r="F176" s="29" t="s">
        <v>34</v>
      </c>
      <c r="G176" s="19" t="s">
        <v>23</v>
      </c>
      <c r="H176" s="19" t="s">
        <v>23</v>
      </c>
      <c r="I176" s="19" t="s">
        <v>35</v>
      </c>
      <c r="J176" s="28" t="s">
        <v>523</v>
      </c>
      <c r="K176" s="70" t="s">
        <v>23</v>
      </c>
      <c r="L176" s="335"/>
      <c r="M176" s="336"/>
      <c r="N176" s="150" t="s">
        <v>524</v>
      </c>
      <c r="O176" s="290">
        <v>1</v>
      </c>
      <c r="P176" s="167"/>
      <c r="R176" s="175" t="s">
        <v>22</v>
      </c>
      <c r="S176" s="174"/>
      <c r="V176" s="289">
        <v>3.816555500030518</v>
      </c>
      <c r="W176" s="289">
        <f t="shared" si="17"/>
        <v>3.816555500030518</v>
      </c>
      <c r="X176" s="167" t="str">
        <f t="shared" si="18"/>
        <v/>
      </c>
    </row>
    <row r="177" spans="1:24" s="173" customFormat="1" ht="220" customHeight="1" x14ac:dyDescent="0.2">
      <c r="A177" s="14">
        <f t="shared" si="16"/>
        <v>75</v>
      </c>
      <c r="B177" s="525" t="s">
        <v>525</v>
      </c>
      <c r="C177" s="16" t="s">
        <v>526</v>
      </c>
      <c r="D177" s="527" t="s">
        <v>527</v>
      </c>
      <c r="E177" s="435">
        <f t="shared" si="15"/>
        <v>424</v>
      </c>
      <c r="F177" s="434" t="s">
        <v>34</v>
      </c>
      <c r="G177" s="19" t="s">
        <v>23</v>
      </c>
      <c r="H177" s="19" t="s">
        <v>23</v>
      </c>
      <c r="I177" s="19" t="s">
        <v>35</v>
      </c>
      <c r="J177" s="28" t="s">
        <v>528</v>
      </c>
      <c r="K177" s="70" t="s">
        <v>23</v>
      </c>
      <c r="L177" s="32"/>
      <c r="M177" s="32"/>
      <c r="N177" s="10"/>
      <c r="O177" s="290">
        <v>1</v>
      </c>
      <c r="P177" s="167"/>
      <c r="R177" s="175" t="s">
        <v>22</v>
      </c>
      <c r="S177" s="174"/>
      <c r="V177" s="289">
        <v>16.827030181884769</v>
      </c>
      <c r="W177" s="289">
        <f t="shared" si="17"/>
        <v>16.827030181884769</v>
      </c>
      <c r="X177" s="167" t="str">
        <f t="shared" si="18"/>
        <v/>
      </c>
    </row>
    <row r="178" spans="1:24" s="173" customFormat="1" ht="200" customHeight="1" x14ac:dyDescent="0.2">
      <c r="A178" s="14">
        <f t="shared" si="16"/>
        <v>76</v>
      </c>
      <c r="B178" s="526" t="s">
        <v>529</v>
      </c>
      <c r="C178" s="16" t="s">
        <v>530</v>
      </c>
      <c r="D178" s="527" t="s">
        <v>531</v>
      </c>
      <c r="E178" s="435">
        <f t="shared" si="15"/>
        <v>362</v>
      </c>
      <c r="F178" s="434" t="s">
        <v>34</v>
      </c>
      <c r="G178" s="19" t="s">
        <v>23</v>
      </c>
      <c r="H178" s="19" t="s">
        <v>23</v>
      </c>
      <c r="I178" s="19" t="s">
        <v>35</v>
      </c>
      <c r="J178" s="28" t="s">
        <v>528</v>
      </c>
      <c r="K178" s="70" t="s">
        <v>23</v>
      </c>
      <c r="L178" s="32"/>
      <c r="M178" s="32"/>
      <c r="N178" s="10"/>
      <c r="O178" s="290">
        <v>1</v>
      </c>
      <c r="P178" s="167"/>
      <c r="R178" s="175" t="s">
        <v>22</v>
      </c>
      <c r="S178" s="174"/>
      <c r="V178" s="289">
        <v>12.211404800415041</v>
      </c>
      <c r="W178" s="289">
        <f t="shared" si="17"/>
        <v>12.211404800415041</v>
      </c>
      <c r="X178" s="167" t="str">
        <f t="shared" si="18"/>
        <v/>
      </c>
    </row>
    <row r="179" spans="1:24" s="173" customFormat="1" ht="220" customHeight="1" x14ac:dyDescent="0.2">
      <c r="A179" s="14" t="e">
        <f>#REF!+1</f>
        <v>#REF!</v>
      </c>
      <c r="B179" s="526" t="s">
        <v>532</v>
      </c>
      <c r="C179" s="16" t="s">
        <v>533</v>
      </c>
      <c r="D179" s="527" t="s">
        <v>534</v>
      </c>
      <c r="E179" s="435">
        <f t="shared" si="15"/>
        <v>389</v>
      </c>
      <c r="F179" s="434" t="s">
        <v>34</v>
      </c>
      <c r="G179" s="19" t="s">
        <v>23</v>
      </c>
      <c r="H179" s="19" t="s">
        <v>23</v>
      </c>
      <c r="I179" s="19" t="s">
        <v>35</v>
      </c>
      <c r="J179" s="28" t="s">
        <v>528</v>
      </c>
      <c r="K179" s="70" t="s">
        <v>23</v>
      </c>
      <c r="L179" s="32"/>
      <c r="M179" s="32"/>
      <c r="N179" s="10"/>
      <c r="O179" s="290">
        <v>1</v>
      </c>
      <c r="P179" s="167"/>
      <c r="R179" s="175" t="s">
        <v>22</v>
      </c>
      <c r="S179" s="174"/>
      <c r="V179" s="289">
        <v>10.84387874603271</v>
      </c>
      <c r="W179" s="289">
        <f t="shared" si="17"/>
        <v>10.84387874603271</v>
      </c>
      <c r="X179" s="167" t="str">
        <f t="shared" si="18"/>
        <v/>
      </c>
    </row>
    <row r="180" spans="1:24" s="173" customFormat="1" ht="200" customHeight="1" x14ac:dyDescent="0.2">
      <c r="A180" s="14" t="e">
        <f>A179+1</f>
        <v>#REF!</v>
      </c>
      <c r="B180" s="526" t="s">
        <v>535</v>
      </c>
      <c r="C180" s="16" t="s">
        <v>536</v>
      </c>
      <c r="D180" s="528" t="s">
        <v>537</v>
      </c>
      <c r="E180" s="435">
        <f t="shared" si="15"/>
        <v>361</v>
      </c>
      <c r="F180" s="434" t="s">
        <v>34</v>
      </c>
      <c r="G180" s="19" t="s">
        <v>23</v>
      </c>
      <c r="H180" s="19" t="s">
        <v>23</v>
      </c>
      <c r="I180" s="19" t="s">
        <v>35</v>
      </c>
      <c r="J180" s="28" t="s">
        <v>528</v>
      </c>
      <c r="K180" s="70" t="s">
        <v>23</v>
      </c>
      <c r="L180" s="32"/>
      <c r="M180" s="32"/>
      <c r="N180" s="10"/>
      <c r="O180" s="290">
        <v>1</v>
      </c>
      <c r="P180" s="167"/>
      <c r="R180" s="175" t="s">
        <v>22</v>
      </c>
      <c r="S180" s="174"/>
      <c r="V180" s="289">
        <v>8.2318143844604492</v>
      </c>
      <c r="W180" s="289">
        <f t="shared" si="17"/>
        <v>8.2318143844604492</v>
      </c>
      <c r="X180" s="167" t="str">
        <f t="shared" si="18"/>
        <v/>
      </c>
    </row>
    <row r="181" spans="1:24" s="173" customFormat="1" ht="220" customHeight="1" x14ac:dyDescent="0.2">
      <c r="A181" s="14" t="e">
        <f>#REF!+1</f>
        <v>#REF!</v>
      </c>
      <c r="B181" s="526" t="s">
        <v>538</v>
      </c>
      <c r="C181" s="16" t="s">
        <v>539</v>
      </c>
      <c r="D181" s="527" t="s">
        <v>540</v>
      </c>
      <c r="E181" s="435">
        <f t="shared" si="15"/>
        <v>443</v>
      </c>
      <c r="F181" s="434" t="s">
        <v>34</v>
      </c>
      <c r="G181" s="19" t="s">
        <v>23</v>
      </c>
      <c r="H181" s="19" t="s">
        <v>23</v>
      </c>
      <c r="I181" s="19" t="s">
        <v>35</v>
      </c>
      <c r="J181" s="28" t="s">
        <v>528</v>
      </c>
      <c r="K181" s="70" t="s">
        <v>23</v>
      </c>
      <c r="L181" s="32"/>
      <c r="M181" s="32"/>
      <c r="N181" s="10"/>
      <c r="O181" s="290">
        <v>1</v>
      </c>
      <c r="P181" s="167"/>
      <c r="R181" s="175" t="s">
        <v>22</v>
      </c>
      <c r="S181" s="174"/>
      <c r="V181" s="289">
        <v>11.934056282043461</v>
      </c>
      <c r="W181" s="289">
        <f t="shared" si="17"/>
        <v>11.934056282043461</v>
      </c>
      <c r="X181" s="167" t="str">
        <f t="shared" si="18"/>
        <v/>
      </c>
    </row>
    <row r="182" spans="1:24" s="173" customFormat="1" ht="220" customHeight="1" x14ac:dyDescent="0.2">
      <c r="A182" s="14" t="e">
        <f>A181+1</f>
        <v>#REF!</v>
      </c>
      <c r="B182" s="526" t="s">
        <v>541</v>
      </c>
      <c r="C182" s="16" t="s">
        <v>542</v>
      </c>
      <c r="D182" s="527" t="s">
        <v>543</v>
      </c>
      <c r="E182" s="435">
        <f t="shared" si="15"/>
        <v>392</v>
      </c>
      <c r="F182" s="434" t="s">
        <v>34</v>
      </c>
      <c r="G182" s="19" t="s">
        <v>23</v>
      </c>
      <c r="H182" s="19" t="s">
        <v>23</v>
      </c>
      <c r="I182" s="19" t="s">
        <v>35</v>
      </c>
      <c r="J182" s="28" t="s">
        <v>528</v>
      </c>
      <c r="K182" s="70" t="s">
        <v>23</v>
      </c>
      <c r="L182" s="21"/>
      <c r="M182" s="28"/>
      <c r="N182" s="10"/>
      <c r="O182" s="290">
        <v>1</v>
      </c>
      <c r="P182" s="167"/>
      <c r="R182" s="175" t="s">
        <v>22</v>
      </c>
      <c r="S182" s="174"/>
      <c r="V182" s="289">
        <v>11.36098480224609</v>
      </c>
      <c r="W182" s="289">
        <f t="shared" si="17"/>
        <v>11.36098480224609</v>
      </c>
      <c r="X182" s="167" t="str">
        <f t="shared" si="18"/>
        <v/>
      </c>
    </row>
    <row r="183" spans="1:24" s="173" customFormat="1" ht="220" customHeight="1" x14ac:dyDescent="0.2">
      <c r="A183" s="14" t="e">
        <f>A182+1</f>
        <v>#REF!</v>
      </c>
      <c r="B183" s="526" t="s">
        <v>544</v>
      </c>
      <c r="C183" s="16" t="s">
        <v>545</v>
      </c>
      <c r="D183" s="528" t="s">
        <v>546</v>
      </c>
      <c r="E183" s="435">
        <f t="shared" si="15"/>
        <v>417</v>
      </c>
      <c r="F183" s="434" t="s">
        <v>34</v>
      </c>
      <c r="G183" s="19" t="s">
        <v>23</v>
      </c>
      <c r="H183" s="19" t="s">
        <v>23</v>
      </c>
      <c r="I183" s="19" t="s">
        <v>35</v>
      </c>
      <c r="J183" s="28" t="s">
        <v>528</v>
      </c>
      <c r="K183" s="70" t="s">
        <v>23</v>
      </c>
      <c r="L183" s="337"/>
      <c r="M183" s="338"/>
      <c r="N183" s="10"/>
      <c r="O183" s="290">
        <v>1</v>
      </c>
      <c r="P183" s="167"/>
      <c r="R183" s="175" t="s">
        <v>22</v>
      </c>
      <c r="S183" s="174"/>
      <c r="V183" s="289">
        <v>12.7567195892334</v>
      </c>
      <c r="W183" s="289">
        <f t="shared" si="17"/>
        <v>12.7567195892334</v>
      </c>
      <c r="X183" s="167" t="str">
        <f t="shared" si="18"/>
        <v/>
      </c>
    </row>
    <row r="184" spans="1:24" s="173" customFormat="1" ht="220" customHeight="1" x14ac:dyDescent="0.2">
      <c r="A184" s="14" t="e">
        <f>#REF!+1</f>
        <v>#REF!</v>
      </c>
      <c r="B184" s="526" t="s">
        <v>547</v>
      </c>
      <c r="C184" s="16" t="s">
        <v>548</v>
      </c>
      <c r="D184" s="528" t="s">
        <v>549</v>
      </c>
      <c r="E184" s="435">
        <f t="shared" si="15"/>
        <v>416</v>
      </c>
      <c r="F184" s="434" t="s">
        <v>34</v>
      </c>
      <c r="G184" s="19" t="s">
        <v>23</v>
      </c>
      <c r="H184" s="19" t="s">
        <v>23</v>
      </c>
      <c r="I184" s="19" t="s">
        <v>35</v>
      </c>
      <c r="J184" s="28" t="s">
        <v>528</v>
      </c>
      <c r="K184" s="70" t="s">
        <v>23</v>
      </c>
      <c r="L184" s="339"/>
      <c r="M184" s="340"/>
      <c r="N184" s="10"/>
      <c r="O184" s="290">
        <v>1</v>
      </c>
      <c r="P184" s="167"/>
      <c r="R184" s="175" t="s">
        <v>22</v>
      </c>
      <c r="S184" s="174"/>
      <c r="V184" s="289">
        <v>9.5187292098999023</v>
      </c>
      <c r="W184" s="289">
        <f t="shared" si="17"/>
        <v>9.5187292098999023</v>
      </c>
      <c r="X184" s="167" t="str">
        <f t="shared" si="18"/>
        <v/>
      </c>
    </row>
    <row r="185" spans="1:24" s="173" customFormat="1" ht="200" customHeight="1" x14ac:dyDescent="0.2">
      <c r="A185" s="14" t="e">
        <f>#REF!+1</f>
        <v>#REF!</v>
      </c>
      <c r="B185" s="513" t="s">
        <v>550</v>
      </c>
      <c r="C185" s="16" t="s">
        <v>551</v>
      </c>
      <c r="D185" s="529" t="s">
        <v>552</v>
      </c>
      <c r="E185" s="435">
        <f t="shared" si="15"/>
        <v>367</v>
      </c>
      <c r="F185" s="434" t="s">
        <v>34</v>
      </c>
      <c r="G185" s="19" t="s">
        <v>23</v>
      </c>
      <c r="H185" s="19" t="s">
        <v>23</v>
      </c>
      <c r="I185" s="19" t="s">
        <v>35</v>
      </c>
      <c r="J185" s="28" t="s">
        <v>528</v>
      </c>
      <c r="K185" s="70" t="s">
        <v>23</v>
      </c>
      <c r="L185" s="339"/>
      <c r="M185" s="340"/>
      <c r="N185" s="10"/>
      <c r="O185" s="290">
        <v>1</v>
      </c>
      <c r="P185" s="167"/>
      <c r="R185" s="175" t="s">
        <v>22</v>
      </c>
      <c r="S185" s="174"/>
      <c r="V185" s="289">
        <v>9.0632390975952148</v>
      </c>
      <c r="W185" s="289">
        <f t="shared" si="17"/>
        <v>9.0632390975952148</v>
      </c>
      <c r="X185" s="167" t="str">
        <f t="shared" si="18"/>
        <v/>
      </c>
    </row>
    <row r="186" spans="1:24" s="173" customFormat="1" ht="200" customHeight="1" x14ac:dyDescent="0.2">
      <c r="A186" s="14" t="e">
        <f>#REF!+1</f>
        <v>#REF!</v>
      </c>
      <c r="B186" s="526" t="s">
        <v>553</v>
      </c>
      <c r="C186" s="16" t="s">
        <v>554</v>
      </c>
      <c r="D186" s="527" t="s">
        <v>555</v>
      </c>
      <c r="E186" s="435">
        <f t="shared" si="15"/>
        <v>362</v>
      </c>
      <c r="F186" s="434" t="s">
        <v>34</v>
      </c>
      <c r="G186" s="19" t="s">
        <v>23</v>
      </c>
      <c r="H186" s="19" t="s">
        <v>23</v>
      </c>
      <c r="I186" s="19" t="s">
        <v>35</v>
      </c>
      <c r="J186" s="28" t="s">
        <v>528</v>
      </c>
      <c r="K186" s="70" t="s">
        <v>23</v>
      </c>
      <c r="L186" s="339"/>
      <c r="M186" s="340"/>
      <c r="N186" s="10"/>
      <c r="O186" s="290">
        <v>1</v>
      </c>
      <c r="P186" s="167"/>
      <c r="R186" s="175" t="s">
        <v>22</v>
      </c>
      <c r="S186" s="174"/>
      <c r="V186" s="289">
        <v>11.21794319152832</v>
      </c>
      <c r="W186" s="289">
        <f t="shared" si="17"/>
        <v>11.21794319152832</v>
      </c>
      <c r="X186" s="167" t="str">
        <f t="shared" si="18"/>
        <v/>
      </c>
    </row>
    <row r="187" spans="1:24" s="173" customFormat="1" ht="220" customHeight="1" x14ac:dyDescent="0.2">
      <c r="A187" s="14" t="e">
        <f>A186+1</f>
        <v>#REF!</v>
      </c>
      <c r="B187" s="526" t="s">
        <v>556</v>
      </c>
      <c r="C187" s="16" t="s">
        <v>557</v>
      </c>
      <c r="D187" s="528" t="s">
        <v>558</v>
      </c>
      <c r="E187" s="435">
        <f t="shared" si="15"/>
        <v>393</v>
      </c>
      <c r="F187" s="434" t="s">
        <v>34</v>
      </c>
      <c r="G187" s="19" t="s">
        <v>23</v>
      </c>
      <c r="H187" s="19" t="s">
        <v>23</v>
      </c>
      <c r="I187" s="19" t="s">
        <v>35</v>
      </c>
      <c r="J187" s="28" t="s">
        <v>528</v>
      </c>
      <c r="K187" s="70" t="s">
        <v>23</v>
      </c>
      <c r="L187" s="339"/>
      <c r="M187" s="340"/>
      <c r="N187" s="10"/>
      <c r="O187" s="290">
        <v>1</v>
      </c>
      <c r="P187" s="167"/>
      <c r="R187" s="175" t="s">
        <v>22</v>
      </c>
      <c r="S187" s="174"/>
      <c r="U187" s="185"/>
      <c r="V187" s="289">
        <v>6.2936897277832031</v>
      </c>
      <c r="W187" s="289">
        <f t="shared" si="17"/>
        <v>6.2936897277832031</v>
      </c>
      <c r="X187" s="167" t="str">
        <f t="shared" si="18"/>
        <v/>
      </c>
    </row>
    <row r="188" spans="1:24" s="173" customFormat="1" ht="200" customHeight="1" x14ac:dyDescent="0.2">
      <c r="A188" s="14" t="e">
        <f>A187+1</f>
        <v>#REF!</v>
      </c>
      <c r="B188" s="526" t="s">
        <v>559</v>
      </c>
      <c r="C188" s="16" t="s">
        <v>560</v>
      </c>
      <c r="D188" s="527" t="s">
        <v>561</v>
      </c>
      <c r="E188" s="435">
        <f t="shared" si="15"/>
        <v>353</v>
      </c>
      <c r="F188" s="434" t="s">
        <v>34</v>
      </c>
      <c r="G188" s="19" t="s">
        <v>23</v>
      </c>
      <c r="H188" s="19" t="s">
        <v>23</v>
      </c>
      <c r="I188" s="19" t="s">
        <v>35</v>
      </c>
      <c r="J188" s="28" t="s">
        <v>528</v>
      </c>
      <c r="K188" s="70" t="s">
        <v>23</v>
      </c>
      <c r="L188" s="339"/>
      <c r="M188" s="340"/>
      <c r="N188" s="10"/>
      <c r="O188" s="290">
        <v>1</v>
      </c>
      <c r="P188" s="167"/>
      <c r="R188" s="175" t="s">
        <v>22</v>
      </c>
      <c r="S188" s="174"/>
      <c r="V188" s="289">
        <v>9.0649547576904297</v>
      </c>
      <c r="W188" s="289">
        <f t="shared" si="17"/>
        <v>9.0649547576904297</v>
      </c>
      <c r="X188" s="167" t="str">
        <f t="shared" si="18"/>
        <v/>
      </c>
    </row>
    <row r="189" spans="1:24" s="173" customFormat="1" ht="280" customHeight="1" x14ac:dyDescent="0.2">
      <c r="A189" s="14"/>
      <c r="B189" s="581" t="s">
        <v>562</v>
      </c>
      <c r="C189" s="563"/>
      <c r="D189" s="582" t="s">
        <v>563</v>
      </c>
      <c r="E189" s="565"/>
      <c r="F189" s="566"/>
      <c r="G189" s="565"/>
      <c r="H189" s="565"/>
      <c r="I189" s="565"/>
      <c r="J189" s="572"/>
      <c r="K189" s="583"/>
      <c r="L189" s="584"/>
      <c r="M189" s="585"/>
      <c r="N189" s="571" t="s">
        <v>279</v>
      </c>
      <c r="O189" s="290"/>
      <c r="P189" s="167"/>
      <c r="R189" s="175"/>
      <c r="S189" s="174"/>
      <c r="V189" s="289"/>
      <c r="W189" s="289"/>
      <c r="X189" s="167"/>
    </row>
    <row r="190" spans="1:24" s="173" customFormat="1" ht="409.5" customHeight="1" x14ac:dyDescent="0.2">
      <c r="A190" s="14" t="e">
        <f>#REF!+1</f>
        <v>#REF!</v>
      </c>
      <c r="B190" s="255" t="s">
        <v>564</v>
      </c>
      <c r="C190" s="16" t="s">
        <v>564</v>
      </c>
      <c r="D190" s="436" t="s">
        <v>565</v>
      </c>
      <c r="E190" s="437">
        <f t="shared" ref="E190:E208" si="19">LEN(D190)</f>
        <v>1333</v>
      </c>
      <c r="F190" s="438" t="s">
        <v>34</v>
      </c>
      <c r="G190" s="15" t="s">
        <v>23</v>
      </c>
      <c r="H190" s="15" t="s">
        <v>23</v>
      </c>
      <c r="I190" s="15" t="s">
        <v>35</v>
      </c>
      <c r="J190" s="17" t="s">
        <v>566</v>
      </c>
      <c r="K190" s="70" t="s">
        <v>23</v>
      </c>
      <c r="L190" s="30" t="s">
        <v>130</v>
      </c>
      <c r="M190" s="51"/>
      <c r="N190" s="41"/>
      <c r="O190" s="290">
        <f>1</f>
        <v>1</v>
      </c>
      <c r="P190" s="167"/>
      <c r="R190" s="175" t="s">
        <v>22</v>
      </c>
      <c r="S190" s="174"/>
      <c r="V190" s="289">
        <v>13.22066497802734</v>
      </c>
      <c r="W190" s="289">
        <f t="shared" ref="W190:W199" si="20">IF(V190="","",V190*O190)</f>
        <v>13.22066497802734</v>
      </c>
      <c r="X190" s="167" t="str">
        <f t="shared" ref="X190:X199" si="21">IF(R190="yes",W190,"")</f>
        <v/>
      </c>
    </row>
    <row r="191" spans="1:24" s="173" customFormat="1" ht="85" customHeight="1" x14ac:dyDescent="0.2">
      <c r="A191" s="14" t="e">
        <f>#REF!+1</f>
        <v>#REF!</v>
      </c>
      <c r="B191" s="255" t="s">
        <v>567</v>
      </c>
      <c r="C191" s="262" t="s">
        <v>567</v>
      </c>
      <c r="D191" s="476" t="s">
        <v>568</v>
      </c>
      <c r="E191" s="19">
        <f t="shared" si="19"/>
        <v>179</v>
      </c>
      <c r="F191" s="29" t="s">
        <v>34</v>
      </c>
      <c r="G191" s="19" t="s">
        <v>23</v>
      </c>
      <c r="H191" s="19" t="s">
        <v>23</v>
      </c>
      <c r="I191" s="19" t="s">
        <v>35</v>
      </c>
      <c r="J191" s="28" t="s">
        <v>569</v>
      </c>
      <c r="K191" s="70" t="s">
        <v>23</v>
      </c>
      <c r="L191" s="28" t="s">
        <v>570</v>
      </c>
      <c r="M191" s="28"/>
      <c r="N191" s="154"/>
      <c r="O191" s="290">
        <v>1</v>
      </c>
      <c r="P191" s="167"/>
      <c r="R191" s="175" t="s">
        <v>22</v>
      </c>
      <c r="S191" s="174"/>
      <c r="V191" s="289">
        <v>5.6449732780456543</v>
      </c>
      <c r="W191" s="289">
        <f t="shared" si="20"/>
        <v>5.6449732780456543</v>
      </c>
      <c r="X191" s="167" t="str">
        <f t="shared" si="21"/>
        <v/>
      </c>
    </row>
    <row r="192" spans="1:24" s="173" customFormat="1" ht="103" customHeight="1" thickBot="1" x14ac:dyDescent="0.25">
      <c r="A192" s="14" t="e">
        <f t="shared" ref="A192:A199" si="22">A191+1</f>
        <v>#REF!</v>
      </c>
      <c r="B192" s="530" t="s">
        <v>571</v>
      </c>
      <c r="C192" s="262" t="s">
        <v>572</v>
      </c>
      <c r="D192" s="476" t="s">
        <v>573</v>
      </c>
      <c r="E192" s="19">
        <f t="shared" si="19"/>
        <v>292</v>
      </c>
      <c r="F192" s="29" t="s">
        <v>95</v>
      </c>
      <c r="G192" s="19" t="s">
        <v>23</v>
      </c>
      <c r="H192" s="19" t="s">
        <v>23</v>
      </c>
      <c r="I192" s="19" t="s">
        <v>26</v>
      </c>
      <c r="J192" s="28" t="s">
        <v>574</v>
      </c>
      <c r="K192" s="70" t="s">
        <v>23</v>
      </c>
      <c r="L192" s="28" t="s">
        <v>575</v>
      </c>
      <c r="M192" s="28"/>
      <c r="N192" s="153"/>
      <c r="O192" s="290">
        <v>1</v>
      </c>
      <c r="P192" s="167"/>
      <c r="R192" s="175" t="s">
        <v>22</v>
      </c>
      <c r="S192" s="174"/>
      <c r="V192" s="289">
        <v>26.998960494995121</v>
      </c>
      <c r="W192" s="289">
        <f t="shared" si="20"/>
        <v>26.998960494995121</v>
      </c>
      <c r="X192" s="167" t="str">
        <f t="shared" si="21"/>
        <v/>
      </c>
    </row>
    <row r="193" spans="1:24" s="173" customFormat="1" ht="103" customHeight="1" thickBot="1" x14ac:dyDescent="0.25">
      <c r="A193" s="14" t="e">
        <f t="shared" si="22"/>
        <v>#REF!</v>
      </c>
      <c r="B193" s="530" t="s">
        <v>576</v>
      </c>
      <c r="C193" s="262" t="s">
        <v>577</v>
      </c>
      <c r="D193" s="476" t="s">
        <v>578</v>
      </c>
      <c r="E193" s="19">
        <f t="shared" si="19"/>
        <v>267</v>
      </c>
      <c r="F193" s="29" t="s">
        <v>95</v>
      </c>
      <c r="G193" s="19" t="s">
        <v>23</v>
      </c>
      <c r="H193" s="19" t="s">
        <v>23</v>
      </c>
      <c r="I193" s="19" t="s">
        <v>26</v>
      </c>
      <c r="J193" s="28" t="s">
        <v>579</v>
      </c>
      <c r="K193" s="70" t="s">
        <v>23</v>
      </c>
      <c r="L193" s="28" t="s">
        <v>580</v>
      </c>
      <c r="M193" s="28"/>
      <c r="N193" s="153"/>
      <c r="O193" s="290">
        <v>1</v>
      </c>
      <c r="P193" s="167"/>
      <c r="R193" s="175" t="s">
        <v>22</v>
      </c>
      <c r="S193" s="174"/>
      <c r="V193" s="289">
        <v>18.273832321166989</v>
      </c>
      <c r="W193" s="289">
        <f t="shared" si="20"/>
        <v>18.273832321166989</v>
      </c>
      <c r="X193" s="167" t="str">
        <f t="shared" si="21"/>
        <v/>
      </c>
    </row>
    <row r="194" spans="1:24" s="173" customFormat="1" ht="86" customHeight="1" thickBot="1" x14ac:dyDescent="0.25">
      <c r="A194" s="14" t="e">
        <f t="shared" si="22"/>
        <v>#REF!</v>
      </c>
      <c r="B194" s="530" t="s">
        <v>581</v>
      </c>
      <c r="C194" s="262" t="s">
        <v>582</v>
      </c>
      <c r="D194" s="476" t="s">
        <v>583</v>
      </c>
      <c r="E194" s="19">
        <f t="shared" si="19"/>
        <v>292</v>
      </c>
      <c r="F194" s="29" t="s">
        <v>95</v>
      </c>
      <c r="G194" s="19" t="s">
        <v>23</v>
      </c>
      <c r="H194" s="19" t="s">
        <v>23</v>
      </c>
      <c r="I194" s="19" t="s">
        <v>26</v>
      </c>
      <c r="J194" s="28" t="s">
        <v>584</v>
      </c>
      <c r="K194" s="70" t="s">
        <v>23</v>
      </c>
      <c r="L194" s="28" t="s">
        <v>585</v>
      </c>
      <c r="M194" s="28"/>
      <c r="N194" s="153"/>
      <c r="O194" s="290">
        <v>1</v>
      </c>
      <c r="P194" s="167"/>
      <c r="R194" s="175" t="s">
        <v>22</v>
      </c>
      <c r="S194" s="174"/>
      <c r="V194" s="289">
        <v>16.352115631103519</v>
      </c>
      <c r="W194" s="289">
        <f t="shared" si="20"/>
        <v>16.352115631103519</v>
      </c>
      <c r="X194" s="167" t="str">
        <f t="shared" si="21"/>
        <v/>
      </c>
    </row>
    <row r="195" spans="1:24" s="173" customFormat="1" ht="86" customHeight="1" thickBot="1" x14ac:dyDescent="0.25">
      <c r="A195" s="14" t="e">
        <f t="shared" si="22"/>
        <v>#REF!</v>
      </c>
      <c r="B195" s="530" t="s">
        <v>586</v>
      </c>
      <c r="C195" s="262" t="s">
        <v>587</v>
      </c>
      <c r="D195" s="476" t="s">
        <v>588</v>
      </c>
      <c r="E195" s="19">
        <f t="shared" si="19"/>
        <v>234</v>
      </c>
      <c r="F195" s="29" t="s">
        <v>95</v>
      </c>
      <c r="G195" s="19" t="s">
        <v>23</v>
      </c>
      <c r="H195" s="19" t="s">
        <v>23</v>
      </c>
      <c r="I195" s="19" t="s">
        <v>26</v>
      </c>
      <c r="J195" s="28" t="s">
        <v>589</v>
      </c>
      <c r="K195" s="70" t="s">
        <v>23</v>
      </c>
      <c r="L195" s="28" t="s">
        <v>590</v>
      </c>
      <c r="M195" s="28"/>
      <c r="N195" s="153"/>
      <c r="O195" s="290">
        <v>1</v>
      </c>
      <c r="P195" s="167"/>
      <c r="R195" s="175" t="s">
        <v>22</v>
      </c>
      <c r="S195" s="174"/>
      <c r="V195" s="289">
        <v>14.01507568359375</v>
      </c>
      <c r="W195" s="289">
        <f t="shared" si="20"/>
        <v>14.01507568359375</v>
      </c>
      <c r="X195" s="167" t="str">
        <f t="shared" si="21"/>
        <v/>
      </c>
    </row>
    <row r="196" spans="1:24" s="173" customFormat="1" ht="103" customHeight="1" thickBot="1" x14ac:dyDescent="0.25">
      <c r="A196" s="14" t="e">
        <f t="shared" si="22"/>
        <v>#REF!</v>
      </c>
      <c r="B196" s="530" t="s">
        <v>591</v>
      </c>
      <c r="C196" s="262" t="s">
        <v>592</v>
      </c>
      <c r="D196" s="476" t="s">
        <v>593</v>
      </c>
      <c r="E196" s="19">
        <f t="shared" si="19"/>
        <v>273</v>
      </c>
      <c r="F196" s="29" t="s">
        <v>95</v>
      </c>
      <c r="G196" s="19" t="s">
        <v>23</v>
      </c>
      <c r="H196" s="19" t="s">
        <v>23</v>
      </c>
      <c r="I196" s="19" t="s">
        <v>26</v>
      </c>
      <c r="J196" s="28" t="s">
        <v>594</v>
      </c>
      <c r="K196" s="70" t="s">
        <v>23</v>
      </c>
      <c r="L196" s="28" t="s">
        <v>595</v>
      </c>
      <c r="M196" s="28"/>
      <c r="N196" s="153"/>
      <c r="O196" s="290">
        <v>1</v>
      </c>
      <c r="P196" s="167"/>
      <c r="R196" s="175" t="s">
        <v>22</v>
      </c>
      <c r="S196" s="174"/>
      <c r="V196" s="289">
        <v>17.22746658325195</v>
      </c>
      <c r="W196" s="289">
        <f t="shared" si="20"/>
        <v>17.22746658325195</v>
      </c>
      <c r="X196" s="167" t="str">
        <f t="shared" si="21"/>
        <v/>
      </c>
    </row>
    <row r="197" spans="1:24" s="173" customFormat="1" ht="103" customHeight="1" thickBot="1" x14ac:dyDescent="0.25">
      <c r="A197" s="14" t="e">
        <f t="shared" si="22"/>
        <v>#REF!</v>
      </c>
      <c r="B197" s="530" t="s">
        <v>596</v>
      </c>
      <c r="C197" s="262" t="s">
        <v>597</v>
      </c>
      <c r="D197" s="476" t="s">
        <v>598</v>
      </c>
      <c r="E197" s="19">
        <f t="shared" si="19"/>
        <v>307</v>
      </c>
      <c r="F197" s="29" t="s">
        <v>95</v>
      </c>
      <c r="G197" s="19" t="s">
        <v>23</v>
      </c>
      <c r="H197" s="19" t="s">
        <v>23</v>
      </c>
      <c r="I197" s="19" t="s">
        <v>26</v>
      </c>
      <c r="J197" s="28" t="s">
        <v>599</v>
      </c>
      <c r="K197" s="70" t="s">
        <v>23</v>
      </c>
      <c r="L197" s="28" t="s">
        <v>600</v>
      </c>
      <c r="M197" s="28"/>
      <c r="N197" s="153"/>
      <c r="O197" s="290">
        <v>1</v>
      </c>
      <c r="P197" s="167"/>
      <c r="R197" s="175" t="s">
        <v>22</v>
      </c>
      <c r="S197" s="174"/>
      <c r="V197" s="289">
        <v>19.492774716706521</v>
      </c>
      <c r="W197" s="289">
        <f t="shared" si="20"/>
        <v>19.492774716706521</v>
      </c>
      <c r="X197" s="167" t="str">
        <f t="shared" si="21"/>
        <v/>
      </c>
    </row>
    <row r="198" spans="1:24" s="173" customFormat="1" ht="103" customHeight="1" thickBot="1" x14ac:dyDescent="0.25">
      <c r="A198" s="14" t="e">
        <f t="shared" si="22"/>
        <v>#REF!</v>
      </c>
      <c r="B198" s="530" t="s">
        <v>601</v>
      </c>
      <c r="C198" s="262" t="s">
        <v>602</v>
      </c>
      <c r="D198" s="476" t="s">
        <v>603</v>
      </c>
      <c r="E198" s="19">
        <f t="shared" si="19"/>
        <v>292</v>
      </c>
      <c r="F198" s="29" t="s">
        <v>95</v>
      </c>
      <c r="G198" s="19" t="s">
        <v>23</v>
      </c>
      <c r="H198" s="19" t="s">
        <v>23</v>
      </c>
      <c r="I198" s="19" t="s">
        <v>26</v>
      </c>
      <c r="J198" s="28" t="s">
        <v>604</v>
      </c>
      <c r="K198" s="70" t="s">
        <v>23</v>
      </c>
      <c r="L198" s="28" t="s">
        <v>605</v>
      </c>
      <c r="M198" s="28"/>
      <c r="N198" s="153"/>
      <c r="O198" s="290">
        <v>1</v>
      </c>
      <c r="P198" s="167"/>
      <c r="R198" s="175" t="s">
        <v>22</v>
      </c>
      <c r="S198" s="174"/>
      <c r="V198" s="289">
        <v>14.17413425445557</v>
      </c>
      <c r="W198" s="289">
        <f t="shared" si="20"/>
        <v>14.17413425445557</v>
      </c>
      <c r="X198" s="167" t="str">
        <f t="shared" si="21"/>
        <v/>
      </c>
    </row>
    <row r="199" spans="1:24" s="173" customFormat="1" ht="103" customHeight="1" thickBot="1" x14ac:dyDescent="0.25">
      <c r="A199" s="14" t="e">
        <f t="shared" si="22"/>
        <v>#REF!</v>
      </c>
      <c r="B199" s="530" t="s">
        <v>606</v>
      </c>
      <c r="C199" s="262" t="s">
        <v>607</v>
      </c>
      <c r="D199" s="476" t="s">
        <v>608</v>
      </c>
      <c r="E199" s="19">
        <f t="shared" si="19"/>
        <v>262</v>
      </c>
      <c r="F199" s="29" t="s">
        <v>95</v>
      </c>
      <c r="G199" s="19" t="s">
        <v>23</v>
      </c>
      <c r="H199" s="19" t="s">
        <v>23</v>
      </c>
      <c r="I199" s="19" t="s">
        <v>26</v>
      </c>
      <c r="J199" s="28" t="s">
        <v>609</v>
      </c>
      <c r="K199" s="70" t="s">
        <v>23</v>
      </c>
      <c r="L199" s="28" t="s">
        <v>610</v>
      </c>
      <c r="M199" s="28"/>
      <c r="N199" s="153"/>
      <c r="O199" s="290">
        <v>1</v>
      </c>
      <c r="P199" s="167"/>
      <c r="R199" s="175" t="s">
        <v>22</v>
      </c>
      <c r="S199" s="174"/>
      <c r="V199" s="289">
        <v>13.37862586975098</v>
      </c>
      <c r="W199" s="289">
        <f t="shared" si="20"/>
        <v>13.37862586975098</v>
      </c>
      <c r="X199" s="167" t="str">
        <f t="shared" si="21"/>
        <v/>
      </c>
    </row>
    <row r="200" spans="1:24" s="173" customFormat="1" ht="137" customHeight="1" thickBot="1" x14ac:dyDescent="0.25">
      <c r="A200" s="14"/>
      <c r="B200" s="531" t="s">
        <v>611</v>
      </c>
      <c r="C200" s="462"/>
      <c r="D200" s="500" t="s">
        <v>612</v>
      </c>
      <c r="E200" s="463">
        <f t="shared" si="19"/>
        <v>154</v>
      </c>
      <c r="F200" s="502" t="s">
        <v>34</v>
      </c>
      <c r="G200" s="463"/>
      <c r="H200" s="463"/>
      <c r="I200" s="463"/>
      <c r="J200" s="464"/>
      <c r="K200" s="465"/>
      <c r="L200" s="464"/>
      <c r="M200" s="28"/>
      <c r="N200" s="153"/>
      <c r="O200" s="290"/>
      <c r="P200" s="167"/>
      <c r="R200" s="175"/>
      <c r="S200" s="174"/>
      <c r="V200" s="289"/>
      <c r="W200" s="289"/>
      <c r="X200" s="167"/>
    </row>
    <row r="201" spans="1:24" s="173" customFormat="1" ht="86" customHeight="1" thickBot="1" x14ac:dyDescent="0.25">
      <c r="A201" s="14" t="e">
        <f>A199+1</f>
        <v>#REF!</v>
      </c>
      <c r="B201" s="498" t="s">
        <v>613</v>
      </c>
      <c r="C201" s="499" t="s">
        <v>614</v>
      </c>
      <c r="D201" s="500" t="s">
        <v>615</v>
      </c>
      <c r="E201" s="501">
        <f t="shared" si="19"/>
        <v>204</v>
      </c>
      <c r="F201" s="502" t="s">
        <v>34</v>
      </c>
      <c r="G201" s="501" t="s">
        <v>23</v>
      </c>
      <c r="H201" s="501" t="s">
        <v>23</v>
      </c>
      <c r="I201" s="501" t="s">
        <v>35</v>
      </c>
      <c r="J201" s="503" t="s">
        <v>616</v>
      </c>
      <c r="K201" s="504" t="s">
        <v>23</v>
      </c>
      <c r="L201" s="503" t="s">
        <v>617</v>
      </c>
      <c r="M201" s="28"/>
      <c r="N201" s="153"/>
      <c r="O201" s="290">
        <v>1</v>
      </c>
      <c r="P201" s="167"/>
      <c r="R201" s="175" t="s">
        <v>22</v>
      </c>
      <c r="S201" s="174"/>
      <c r="V201" s="289">
        <v>5.8349170684814453</v>
      </c>
      <c r="W201" s="289">
        <f t="shared" ref="W201:W206" si="23">IF(V201="","",V201*O201)</f>
        <v>5.8349170684814453</v>
      </c>
      <c r="X201" s="167" t="str">
        <f t="shared" ref="X201:X206" si="24">IF(R201="yes",W201,"")</f>
        <v/>
      </c>
    </row>
    <row r="202" spans="1:24" s="173" customFormat="1" ht="69" customHeight="1" thickBot="1" x14ac:dyDescent="0.25">
      <c r="A202" s="14" t="e">
        <f>A201+1</f>
        <v>#REF!</v>
      </c>
      <c r="B202" s="532" t="s">
        <v>618</v>
      </c>
      <c r="C202" s="262" t="s">
        <v>619</v>
      </c>
      <c r="D202" s="476" t="s">
        <v>620</v>
      </c>
      <c r="E202" s="19">
        <f t="shared" si="19"/>
        <v>169</v>
      </c>
      <c r="F202" s="102" t="s">
        <v>95</v>
      </c>
      <c r="G202" s="19" t="s">
        <v>23</v>
      </c>
      <c r="H202" s="19" t="s">
        <v>23</v>
      </c>
      <c r="I202" s="19" t="s">
        <v>26</v>
      </c>
      <c r="J202" s="28" t="s">
        <v>621</v>
      </c>
      <c r="K202" s="70" t="s">
        <v>23</v>
      </c>
      <c r="L202" s="28" t="s">
        <v>622</v>
      </c>
      <c r="M202" s="28"/>
      <c r="N202" s="153"/>
      <c r="O202" s="290">
        <v>1</v>
      </c>
      <c r="P202" s="167"/>
      <c r="R202" s="175" t="s">
        <v>22</v>
      </c>
      <c r="S202" s="174"/>
      <c r="V202" s="289">
        <v>28.608445494708722</v>
      </c>
      <c r="W202" s="289">
        <f t="shared" si="23"/>
        <v>28.608445494708722</v>
      </c>
      <c r="X202" s="167" t="str">
        <f t="shared" si="24"/>
        <v/>
      </c>
    </row>
    <row r="203" spans="1:24" s="173" customFormat="1" ht="69" customHeight="1" thickBot="1" x14ac:dyDescent="0.25">
      <c r="A203" s="14" t="e">
        <f>A202+1</f>
        <v>#REF!</v>
      </c>
      <c r="B203" s="532" t="s">
        <v>623</v>
      </c>
      <c r="C203" s="262" t="s">
        <v>624</v>
      </c>
      <c r="D203" s="476" t="s">
        <v>625</v>
      </c>
      <c r="E203" s="19">
        <f t="shared" si="19"/>
        <v>192</v>
      </c>
      <c r="F203" s="102" t="s">
        <v>95</v>
      </c>
      <c r="G203" s="19" t="s">
        <v>23</v>
      </c>
      <c r="H203" s="19" t="s">
        <v>23</v>
      </c>
      <c r="I203" s="19" t="s">
        <v>26</v>
      </c>
      <c r="J203" s="28" t="s">
        <v>626</v>
      </c>
      <c r="K203" s="70" t="s">
        <v>23</v>
      </c>
      <c r="L203" s="28" t="s">
        <v>627</v>
      </c>
      <c r="M203" s="28"/>
      <c r="N203" s="153"/>
      <c r="O203" s="290">
        <v>1</v>
      </c>
      <c r="P203" s="167"/>
      <c r="R203" s="175" t="s">
        <v>22</v>
      </c>
      <c r="S203" s="174"/>
      <c r="V203" s="289">
        <v>14.61820602416992</v>
      </c>
      <c r="W203" s="289">
        <f t="shared" si="23"/>
        <v>14.61820602416992</v>
      </c>
      <c r="X203" s="167" t="str">
        <f t="shared" si="24"/>
        <v/>
      </c>
    </row>
    <row r="204" spans="1:24" s="173" customFormat="1" ht="69" customHeight="1" thickBot="1" x14ac:dyDescent="0.25">
      <c r="A204" s="14" t="e">
        <f>A203+1</f>
        <v>#REF!</v>
      </c>
      <c r="B204" s="533" t="s">
        <v>628</v>
      </c>
      <c r="C204" s="258" t="s">
        <v>629</v>
      </c>
      <c r="D204" s="476" t="s">
        <v>630</v>
      </c>
      <c r="E204" s="19">
        <f t="shared" si="19"/>
        <v>178</v>
      </c>
      <c r="F204" s="102" t="s">
        <v>95</v>
      </c>
      <c r="G204" s="19" t="s">
        <v>23</v>
      </c>
      <c r="H204" s="19" t="s">
        <v>23</v>
      </c>
      <c r="I204" s="19" t="s">
        <v>26</v>
      </c>
      <c r="J204" s="28" t="s">
        <v>631</v>
      </c>
      <c r="K204" s="70" t="s">
        <v>23</v>
      </c>
      <c r="L204" s="28" t="s">
        <v>632</v>
      </c>
      <c r="M204" s="28"/>
      <c r="N204" s="153"/>
      <c r="O204" s="290">
        <v>1</v>
      </c>
      <c r="P204" s="167"/>
      <c r="R204" s="175" t="s">
        <v>22</v>
      </c>
      <c r="S204" s="174"/>
      <c r="V204" s="289">
        <v>13.777663230896</v>
      </c>
      <c r="W204" s="289">
        <f t="shared" si="23"/>
        <v>13.777663230896</v>
      </c>
      <c r="X204" s="167" t="str">
        <f t="shared" si="24"/>
        <v/>
      </c>
    </row>
    <row r="205" spans="1:24" s="173" customFormat="1" ht="69" customHeight="1" thickBot="1" x14ac:dyDescent="0.25">
      <c r="A205" s="14" t="e">
        <f>A204+1</f>
        <v>#REF!</v>
      </c>
      <c r="B205" s="534" t="s">
        <v>633</v>
      </c>
      <c r="C205" s="262" t="s">
        <v>634</v>
      </c>
      <c r="D205" s="476" t="s">
        <v>635</v>
      </c>
      <c r="E205" s="19">
        <f t="shared" si="19"/>
        <v>169</v>
      </c>
      <c r="F205" s="102" t="s">
        <v>95</v>
      </c>
      <c r="G205" s="19" t="s">
        <v>23</v>
      </c>
      <c r="H205" s="19" t="s">
        <v>23</v>
      </c>
      <c r="I205" s="19" t="s">
        <v>26</v>
      </c>
      <c r="J205" s="28" t="s">
        <v>636</v>
      </c>
      <c r="K205" s="70" t="s">
        <v>23</v>
      </c>
      <c r="L205" s="28" t="s">
        <v>637</v>
      </c>
      <c r="M205" s="28"/>
      <c r="N205" s="154"/>
      <c r="O205" s="290">
        <v>1</v>
      </c>
      <c r="P205" s="167"/>
      <c r="R205" s="175" t="s">
        <v>22</v>
      </c>
      <c r="S205" s="174"/>
      <c r="V205" s="289">
        <v>12.39977359771729</v>
      </c>
      <c r="W205" s="289">
        <f t="shared" si="23"/>
        <v>12.39977359771729</v>
      </c>
      <c r="X205" s="167" t="str">
        <f t="shared" si="24"/>
        <v/>
      </c>
    </row>
    <row r="206" spans="1:24" s="173" customFormat="1" ht="69" customHeight="1" thickBot="1" x14ac:dyDescent="0.25">
      <c r="A206" s="14" t="e">
        <f>A205+1</f>
        <v>#REF!</v>
      </c>
      <c r="B206" s="535" t="s">
        <v>638</v>
      </c>
      <c r="C206" s="262" t="s">
        <v>639</v>
      </c>
      <c r="D206" s="31" t="s">
        <v>640</v>
      </c>
      <c r="E206" s="19">
        <f t="shared" si="19"/>
        <v>190</v>
      </c>
      <c r="F206" s="102" t="s">
        <v>95</v>
      </c>
      <c r="G206" s="23" t="s">
        <v>23</v>
      </c>
      <c r="H206" s="23" t="s">
        <v>23</v>
      </c>
      <c r="I206" s="19" t="s">
        <v>26</v>
      </c>
      <c r="J206" s="26" t="s">
        <v>641</v>
      </c>
      <c r="K206" s="70" t="s">
        <v>23</v>
      </c>
      <c r="L206" s="26" t="s">
        <v>642</v>
      </c>
      <c r="M206" s="26"/>
      <c r="N206" s="154"/>
      <c r="O206" s="290">
        <v>1</v>
      </c>
      <c r="P206" s="167"/>
      <c r="R206" s="175" t="s">
        <v>22</v>
      </c>
      <c r="S206" s="174"/>
      <c r="V206" s="289">
        <v>13.343881607055661</v>
      </c>
      <c r="W206" s="289">
        <f t="shared" si="23"/>
        <v>13.343881607055661</v>
      </c>
      <c r="X206" s="167" t="str">
        <f t="shared" si="24"/>
        <v/>
      </c>
    </row>
    <row r="207" spans="1:24" s="173" customFormat="1" ht="136" customHeight="1" x14ac:dyDescent="0.2">
      <c r="A207" s="439"/>
      <c r="B207" s="444" t="s">
        <v>643</v>
      </c>
      <c r="C207" s="445"/>
      <c r="D207" s="446" t="s">
        <v>644</v>
      </c>
      <c r="E207" s="441">
        <f t="shared" si="19"/>
        <v>158</v>
      </c>
      <c r="F207" s="456" t="s">
        <v>34</v>
      </c>
      <c r="G207" s="441"/>
      <c r="H207" s="441"/>
      <c r="I207" s="441"/>
      <c r="J207" s="440"/>
      <c r="K207" s="442"/>
      <c r="L207" s="440"/>
      <c r="M207" s="440"/>
      <c r="N207" s="443"/>
      <c r="O207" s="290"/>
      <c r="P207" s="167"/>
      <c r="R207" s="175"/>
      <c r="S207" s="174"/>
      <c r="V207" s="289"/>
      <c r="W207" s="289"/>
      <c r="X207" s="167"/>
    </row>
    <row r="208" spans="1:24" s="173" customFormat="1" ht="188" customHeight="1" thickBot="1" x14ac:dyDescent="0.25">
      <c r="A208" s="439"/>
      <c r="B208" s="447" t="s">
        <v>645</v>
      </c>
      <c r="C208" s="445"/>
      <c r="D208" s="446" t="s">
        <v>646</v>
      </c>
      <c r="E208" s="441">
        <f t="shared" si="19"/>
        <v>256</v>
      </c>
      <c r="F208" s="457" t="s">
        <v>34</v>
      </c>
      <c r="G208" s="441"/>
      <c r="H208" s="441"/>
      <c r="I208" s="441"/>
      <c r="J208" s="440"/>
      <c r="K208" s="442"/>
      <c r="L208" s="440"/>
      <c r="M208" s="440"/>
      <c r="N208" s="443"/>
      <c r="O208" s="290"/>
      <c r="P208" s="167"/>
      <c r="R208" s="175"/>
      <c r="S208" s="174"/>
      <c r="V208" s="289"/>
      <c r="W208" s="289"/>
      <c r="X208" s="167"/>
    </row>
    <row r="209" spans="1:24" s="382" customFormat="1" ht="17" customHeight="1" thickBot="1" x14ac:dyDescent="0.25">
      <c r="A209" s="588" t="s">
        <v>647</v>
      </c>
      <c r="B209" s="589"/>
      <c r="C209" s="589"/>
      <c r="D209" s="589"/>
      <c r="E209" s="589"/>
      <c r="F209" s="589"/>
      <c r="G209" s="589"/>
      <c r="H209" s="589"/>
      <c r="I209" s="589"/>
      <c r="J209" s="589"/>
      <c r="K209" s="589"/>
      <c r="L209" s="589"/>
      <c r="M209" s="589"/>
      <c r="N209" s="590"/>
      <c r="O209" s="285"/>
      <c r="P209" s="384"/>
      <c r="R209" s="383"/>
      <c r="S209" s="385"/>
      <c r="V209" s="288"/>
      <c r="W209" s="288" t="str">
        <f t="shared" ref="W209:W219" si="25">IF(V209="","",V209*O209)</f>
        <v/>
      </c>
      <c r="X209" s="384" t="str">
        <f t="shared" ref="X209:X219" si="26">IF(R209="yes",W209,"")</f>
        <v/>
      </c>
    </row>
    <row r="210" spans="1:24" s="252" customFormat="1" ht="238" customHeight="1" x14ac:dyDescent="0.2">
      <c r="A210" s="330" t="e">
        <f>A206+1</f>
        <v>#REF!</v>
      </c>
      <c r="B210" s="254" t="s">
        <v>648</v>
      </c>
      <c r="C210" s="172" t="s">
        <v>648</v>
      </c>
      <c r="D210" s="171" t="s">
        <v>2172</v>
      </c>
      <c r="E210" s="170">
        <f>LEN(D210)</f>
        <v>129</v>
      </c>
      <c r="F210" s="180" t="s">
        <v>34</v>
      </c>
      <c r="G210" s="170" t="s">
        <v>23</v>
      </c>
      <c r="H210" s="178" t="s">
        <v>649</v>
      </c>
      <c r="I210" s="178" t="s">
        <v>35</v>
      </c>
      <c r="J210" s="169" t="s">
        <v>650</v>
      </c>
      <c r="K210" s="239" t="s">
        <v>23</v>
      </c>
      <c r="L210" s="169" t="s">
        <v>651</v>
      </c>
      <c r="M210" s="76"/>
      <c r="N210" s="9"/>
      <c r="O210" s="285">
        <v>1</v>
      </c>
      <c r="P210" s="168"/>
      <c r="R210" s="386" t="s">
        <v>31</v>
      </c>
      <c r="S210" s="246"/>
      <c r="V210" s="292">
        <v>14.47277355194092</v>
      </c>
      <c r="W210" s="288">
        <f t="shared" si="25"/>
        <v>14.47277355194092</v>
      </c>
      <c r="X210" s="167">
        <f t="shared" si="26"/>
        <v>14.47277355194092</v>
      </c>
    </row>
    <row r="211" spans="1:24" s="173" customFormat="1" ht="409.5" customHeight="1" x14ac:dyDescent="0.2">
      <c r="A211" s="35" t="e">
        <f>A210+1</f>
        <v>#REF!</v>
      </c>
      <c r="B211" s="254" t="s">
        <v>652</v>
      </c>
      <c r="C211" s="380" t="s">
        <v>653</v>
      </c>
      <c r="D211" s="366" t="s">
        <v>2173</v>
      </c>
      <c r="E211" s="178">
        <f>LEN(D211)</f>
        <v>1120</v>
      </c>
      <c r="F211" s="179" t="s">
        <v>447</v>
      </c>
      <c r="G211" s="178" t="s">
        <v>23</v>
      </c>
      <c r="H211" s="178" t="s">
        <v>23</v>
      </c>
      <c r="I211" s="178" t="s">
        <v>654</v>
      </c>
      <c r="J211" s="177" t="s">
        <v>655</v>
      </c>
      <c r="K211" s="239" t="s">
        <v>656</v>
      </c>
      <c r="L211" s="176" t="s">
        <v>657</v>
      </c>
      <c r="M211" s="198"/>
      <c r="N211" s="10"/>
      <c r="O211" s="285">
        <v>1</v>
      </c>
      <c r="P211" s="167"/>
      <c r="R211" s="383" t="s">
        <v>31</v>
      </c>
      <c r="S211" s="174"/>
      <c r="V211" s="288">
        <v>33.740764617919922</v>
      </c>
      <c r="W211" s="288">
        <f t="shared" si="25"/>
        <v>33.740764617919922</v>
      </c>
      <c r="X211" s="167">
        <f t="shared" si="26"/>
        <v>33.740764617919922</v>
      </c>
    </row>
    <row r="212" spans="1:24" s="173" customFormat="1" x14ac:dyDescent="0.2">
      <c r="A212" s="99"/>
      <c r="B212" s="280"/>
      <c r="C212" s="89"/>
      <c r="D212" s="148"/>
      <c r="E212" s="92"/>
      <c r="F212" s="100"/>
      <c r="G212" s="92"/>
      <c r="H212" s="92"/>
      <c r="I212" s="92"/>
      <c r="J212" s="84"/>
      <c r="K212" s="69"/>
      <c r="L212" s="279"/>
      <c r="M212" s="279"/>
      <c r="N212" s="10"/>
      <c r="O212" s="290">
        <v>1</v>
      </c>
      <c r="P212" s="167"/>
      <c r="R212" s="175"/>
      <c r="S212" s="174"/>
      <c r="V212" s="289"/>
      <c r="W212" s="289" t="str">
        <f t="shared" si="25"/>
        <v/>
      </c>
      <c r="X212" s="167" t="str">
        <f t="shared" si="26"/>
        <v/>
      </c>
    </row>
    <row r="213" spans="1:24" s="173" customFormat="1" ht="289" customHeight="1" x14ac:dyDescent="0.2">
      <c r="A213" s="345" t="e">
        <f>A211+1</f>
        <v>#REF!</v>
      </c>
      <c r="B213" s="209" t="s">
        <v>658</v>
      </c>
      <c r="C213" s="179" t="s">
        <v>659</v>
      </c>
      <c r="D213" s="366" t="s">
        <v>660</v>
      </c>
      <c r="E213" s="161">
        <f>LEN(D213)</f>
        <v>497</v>
      </c>
      <c r="F213" s="381" t="s">
        <v>447</v>
      </c>
      <c r="G213" s="161" t="s">
        <v>23</v>
      </c>
      <c r="H213" s="161" t="s">
        <v>23</v>
      </c>
      <c r="I213" s="161" t="s">
        <v>661</v>
      </c>
      <c r="J213" s="365" t="s">
        <v>662</v>
      </c>
      <c r="K213" s="239" t="s">
        <v>663</v>
      </c>
      <c r="L213" s="365" t="s">
        <v>664</v>
      </c>
      <c r="M213" s="84"/>
      <c r="N213" s="10"/>
      <c r="O213" s="290">
        <v>1</v>
      </c>
      <c r="P213" s="167"/>
      <c r="R213" s="383" t="s">
        <v>31</v>
      </c>
      <c r="S213" s="174"/>
      <c r="V213" s="288">
        <v>14.55059909820557</v>
      </c>
      <c r="W213" s="288">
        <f t="shared" si="25"/>
        <v>14.55059909820557</v>
      </c>
      <c r="X213" s="167">
        <f t="shared" si="26"/>
        <v>14.55059909820557</v>
      </c>
    </row>
    <row r="214" spans="1:24" s="173" customFormat="1" x14ac:dyDescent="0.2">
      <c r="A214" s="99"/>
      <c r="B214" s="448"/>
      <c r="C214" s="449"/>
      <c r="D214" s="450"/>
      <c r="E214" s="451"/>
      <c r="F214" s="452"/>
      <c r="G214" s="451"/>
      <c r="H214" s="451"/>
      <c r="I214" s="451"/>
      <c r="J214" s="453"/>
      <c r="K214" s="454"/>
      <c r="L214" s="455"/>
      <c r="M214" s="347"/>
      <c r="N214" s="41"/>
      <c r="O214" s="290">
        <v>1</v>
      </c>
      <c r="P214" s="167"/>
      <c r="R214" s="175"/>
      <c r="S214" s="174"/>
      <c r="V214" s="289"/>
      <c r="W214" s="289" t="str">
        <f t="shared" si="25"/>
        <v/>
      </c>
      <c r="X214" s="167" t="str">
        <f t="shared" si="26"/>
        <v/>
      </c>
    </row>
    <row r="215" spans="1:24" s="173" customFormat="1" ht="17" customHeight="1" thickBot="1" x14ac:dyDescent="0.25">
      <c r="A215" s="99"/>
      <c r="B215" s="280"/>
      <c r="C215" s="89"/>
      <c r="D215" s="148"/>
      <c r="E215" s="92"/>
      <c r="F215" s="100"/>
      <c r="G215" s="92"/>
      <c r="H215" s="92"/>
      <c r="I215" s="92"/>
      <c r="J215" s="84"/>
      <c r="K215" s="69"/>
      <c r="L215" s="279"/>
      <c r="M215" s="279"/>
      <c r="N215" s="10"/>
      <c r="O215" s="290">
        <v>1</v>
      </c>
      <c r="P215" s="167"/>
      <c r="R215" s="175"/>
      <c r="S215" s="174"/>
      <c r="V215" s="289"/>
      <c r="W215" s="289" t="str">
        <f t="shared" si="25"/>
        <v/>
      </c>
      <c r="X215" s="167" t="str">
        <f t="shared" si="26"/>
        <v/>
      </c>
    </row>
    <row r="216" spans="1:24" s="382" customFormat="1" ht="17" customHeight="1" thickBot="1" x14ac:dyDescent="0.25">
      <c r="A216" s="588" t="s">
        <v>665</v>
      </c>
      <c r="B216" s="589"/>
      <c r="C216" s="589"/>
      <c r="D216" s="589"/>
      <c r="E216" s="589"/>
      <c r="F216" s="589"/>
      <c r="G216" s="589"/>
      <c r="H216" s="589"/>
      <c r="I216" s="589"/>
      <c r="J216" s="589"/>
      <c r="K216" s="589"/>
      <c r="L216" s="589"/>
      <c r="M216" s="589"/>
      <c r="N216" s="590"/>
      <c r="O216" s="285"/>
      <c r="P216" s="384"/>
      <c r="R216" s="383"/>
      <c r="S216" s="385"/>
      <c r="V216" s="288"/>
      <c r="W216" s="288" t="str">
        <f t="shared" si="25"/>
        <v/>
      </c>
      <c r="X216" s="384" t="str">
        <f t="shared" si="26"/>
        <v/>
      </c>
    </row>
    <row r="217" spans="1:24" s="173" customFormat="1" ht="119" customHeight="1" x14ac:dyDescent="0.2">
      <c r="A217" s="88" t="s">
        <v>23</v>
      </c>
      <c r="B217" s="505" t="s">
        <v>666</v>
      </c>
      <c r="C217" s="487" t="s">
        <v>666</v>
      </c>
      <c r="D217" s="506" t="s">
        <v>667</v>
      </c>
      <c r="E217" s="507">
        <f>LEN(D217)</f>
        <v>162</v>
      </c>
      <c r="F217" s="507" t="s">
        <v>34</v>
      </c>
      <c r="G217" s="507" t="s">
        <v>23</v>
      </c>
      <c r="H217" s="507" t="s">
        <v>23</v>
      </c>
      <c r="I217" s="507" t="s">
        <v>35</v>
      </c>
      <c r="J217" s="508" t="s">
        <v>668</v>
      </c>
      <c r="K217" s="488" t="s">
        <v>23</v>
      </c>
      <c r="L217" s="508" t="s">
        <v>669</v>
      </c>
      <c r="M217" s="76"/>
      <c r="N217" s="9"/>
      <c r="O217" s="285">
        <v>1</v>
      </c>
      <c r="P217" s="167"/>
      <c r="R217" s="383" t="s">
        <v>31</v>
      </c>
      <c r="S217" s="174"/>
      <c r="V217" s="288">
        <v>14.946464538574221</v>
      </c>
      <c r="W217" s="288">
        <f t="shared" si="25"/>
        <v>14.946464538574221</v>
      </c>
      <c r="X217" s="167">
        <f t="shared" si="26"/>
        <v>14.946464538574221</v>
      </c>
    </row>
    <row r="218" spans="1:24" s="300" customFormat="1" ht="170" customHeight="1" x14ac:dyDescent="0.2">
      <c r="A218" s="298"/>
      <c r="B218" s="537" t="s">
        <v>670</v>
      </c>
      <c r="C218" s="538" t="s">
        <v>670</v>
      </c>
      <c r="D218" s="539" t="s">
        <v>671</v>
      </c>
      <c r="E218" s="540">
        <f>LEN(D218)</f>
        <v>211</v>
      </c>
      <c r="F218" s="541" t="s">
        <v>34</v>
      </c>
      <c r="G218" s="540" t="s">
        <v>23</v>
      </c>
      <c r="H218" s="540" t="s">
        <v>23</v>
      </c>
      <c r="I218" s="540" t="s">
        <v>35</v>
      </c>
      <c r="J218" s="542" t="s">
        <v>672</v>
      </c>
      <c r="K218" s="70" t="s">
        <v>23</v>
      </c>
      <c r="L218" s="543" t="s">
        <v>673</v>
      </c>
      <c r="M218" s="303"/>
      <c r="N218" s="302"/>
      <c r="O218" s="329">
        <f>1</f>
        <v>1</v>
      </c>
      <c r="P218" s="299"/>
      <c r="R218" s="297" t="s">
        <v>674</v>
      </c>
      <c r="S218" s="301"/>
      <c r="V218" s="536">
        <v>10.14181709289551</v>
      </c>
      <c r="W218" s="289">
        <f t="shared" si="25"/>
        <v>10.14181709289551</v>
      </c>
      <c r="X218" s="167" t="str">
        <f t="shared" si="26"/>
        <v/>
      </c>
    </row>
    <row r="219" spans="1:24" s="300" customFormat="1" ht="51" customHeight="1" x14ac:dyDescent="0.2">
      <c r="A219" s="298"/>
      <c r="B219" s="537" t="s">
        <v>675</v>
      </c>
      <c r="C219" s="538" t="s">
        <v>675</v>
      </c>
      <c r="D219" s="544" t="s">
        <v>676</v>
      </c>
      <c r="E219" s="540">
        <f>LEN(D219)</f>
        <v>73</v>
      </c>
      <c r="F219" s="541" t="s">
        <v>25</v>
      </c>
      <c r="G219" s="540" t="s">
        <v>23</v>
      </c>
      <c r="H219" s="540" t="s">
        <v>23</v>
      </c>
      <c r="I219" s="540" t="s">
        <v>26</v>
      </c>
      <c r="J219" s="542" t="s">
        <v>677</v>
      </c>
      <c r="K219" s="70" t="s">
        <v>23</v>
      </c>
      <c r="L219" s="545" t="s">
        <v>678</v>
      </c>
      <c r="M219" s="304"/>
      <c r="N219" s="302"/>
      <c r="O219" s="329">
        <f>1</f>
        <v>1</v>
      </c>
      <c r="P219" s="299"/>
      <c r="R219" s="297" t="s">
        <v>674</v>
      </c>
      <c r="S219" s="301"/>
      <c r="V219" s="536">
        <v>21.659982681274411</v>
      </c>
      <c r="W219" s="289">
        <f t="shared" si="25"/>
        <v>21.659982681274411</v>
      </c>
      <c r="X219" s="167" t="str">
        <f t="shared" si="26"/>
        <v/>
      </c>
    </row>
    <row r="220" spans="1:24" s="300" customFormat="1" ht="409.5" customHeight="1" x14ac:dyDescent="0.2">
      <c r="A220" s="298"/>
      <c r="B220" s="537" t="s">
        <v>679</v>
      </c>
      <c r="C220" s="538"/>
      <c r="D220" s="548" t="s">
        <v>680</v>
      </c>
      <c r="E220" s="546"/>
      <c r="F220" s="547" t="s">
        <v>34</v>
      </c>
      <c r="G220" s="546"/>
      <c r="H220" s="546"/>
      <c r="I220" s="546"/>
      <c r="J220" s="542"/>
      <c r="K220" s="70"/>
      <c r="L220" s="542"/>
      <c r="M220" s="296"/>
      <c r="N220" s="302"/>
      <c r="O220" s="329"/>
      <c r="P220" s="299"/>
      <c r="R220" s="297"/>
      <c r="S220" s="301"/>
      <c r="V220" s="536"/>
      <c r="W220" s="289"/>
      <c r="X220" s="167"/>
    </row>
    <row r="221" spans="1:24" s="300" customFormat="1" ht="200" customHeight="1" x14ac:dyDescent="0.2">
      <c r="A221" s="298"/>
      <c r="B221" s="549" t="s">
        <v>681</v>
      </c>
      <c r="C221" s="538"/>
      <c r="D221" s="548" t="s">
        <v>682</v>
      </c>
      <c r="E221" s="546"/>
      <c r="F221" s="547"/>
      <c r="G221" s="546"/>
      <c r="H221" s="546"/>
      <c r="I221" s="546"/>
      <c r="J221" s="542"/>
      <c r="K221" s="70"/>
      <c r="L221" s="542"/>
      <c r="M221" s="296"/>
      <c r="N221" s="302"/>
      <c r="O221" s="329"/>
      <c r="P221" s="299"/>
      <c r="R221" s="297"/>
      <c r="S221" s="301"/>
      <c r="V221" s="536"/>
      <c r="W221" s="289"/>
      <c r="X221" s="167"/>
    </row>
    <row r="222" spans="1:24" s="300" customFormat="1" ht="60" customHeight="1" x14ac:dyDescent="0.2">
      <c r="A222" s="298"/>
      <c r="B222" s="549" t="s">
        <v>683</v>
      </c>
      <c r="C222" s="538"/>
      <c r="D222" s="548" t="s">
        <v>684</v>
      </c>
      <c r="E222" s="546"/>
      <c r="F222" s="547"/>
      <c r="G222" s="546"/>
      <c r="H222" s="546"/>
      <c r="I222" s="546"/>
      <c r="J222" s="542"/>
      <c r="K222" s="70"/>
      <c r="L222" s="542"/>
      <c r="M222" s="296"/>
      <c r="N222" s="302"/>
      <c r="O222" s="329"/>
      <c r="P222" s="299"/>
      <c r="R222" s="297"/>
      <c r="S222" s="301"/>
      <c r="V222" s="536"/>
      <c r="W222" s="289"/>
      <c r="X222" s="167"/>
    </row>
    <row r="223" spans="1:24" s="300" customFormat="1" ht="409.5" customHeight="1" x14ac:dyDescent="0.2">
      <c r="A223" s="298"/>
      <c r="B223" s="550" t="s">
        <v>685</v>
      </c>
      <c r="C223" s="538"/>
      <c r="D223" s="548" t="s">
        <v>680</v>
      </c>
      <c r="E223" s="546"/>
      <c r="F223" s="547"/>
      <c r="G223" s="546"/>
      <c r="H223" s="546"/>
      <c r="I223" s="546"/>
      <c r="J223" s="542"/>
      <c r="K223" s="70"/>
      <c r="L223" s="542"/>
      <c r="M223" s="296"/>
      <c r="N223" s="302"/>
      <c r="O223" s="329"/>
      <c r="P223" s="299"/>
      <c r="R223" s="297"/>
      <c r="S223" s="301"/>
      <c r="V223" s="536"/>
      <c r="W223" s="289"/>
      <c r="X223" s="167"/>
    </row>
    <row r="224" spans="1:24" s="165" customFormat="1" x14ac:dyDescent="0.2">
      <c r="A224" s="278"/>
      <c r="B224" s="277"/>
      <c r="C224" s="276"/>
      <c r="D224" s="275"/>
      <c r="E224" s="274"/>
      <c r="F224" s="274"/>
      <c r="G224" s="273"/>
      <c r="H224" s="273"/>
      <c r="I224" s="273"/>
      <c r="J224" s="272"/>
      <c r="K224" s="74"/>
      <c r="L224" s="272"/>
      <c r="M224" s="271"/>
      <c r="N224" s="270"/>
      <c r="O224" s="290">
        <v>1</v>
      </c>
      <c r="P224" s="167"/>
      <c r="R224" s="166"/>
      <c r="V224" s="293"/>
      <c r="W224" s="289" t="str">
        <f>IF(V224="","",V224*O224)</f>
        <v/>
      </c>
      <c r="X224" s="167" t="str">
        <f>IF(R224="yes",W224,"")</f>
        <v/>
      </c>
    </row>
    <row r="225" spans="1:24" s="252" customFormat="1" ht="103" customHeight="1" thickBot="1" x14ac:dyDescent="0.25">
      <c r="A225" s="328" t="s">
        <v>23</v>
      </c>
      <c r="B225" s="253" t="s">
        <v>686</v>
      </c>
      <c r="C225" s="163" t="s">
        <v>686</v>
      </c>
      <c r="D225" s="477" t="s">
        <v>687</v>
      </c>
      <c r="E225" s="162">
        <f>LEN(D225)</f>
        <v>158</v>
      </c>
      <c r="F225" s="162" t="s">
        <v>34</v>
      </c>
      <c r="G225" s="162" t="s">
        <v>23</v>
      </c>
      <c r="H225" s="162" t="s">
        <v>23</v>
      </c>
      <c r="I225" s="162" t="s">
        <v>35</v>
      </c>
      <c r="J225" s="182" t="s">
        <v>688</v>
      </c>
      <c r="K225" s="239" t="s">
        <v>23</v>
      </c>
      <c r="L225" s="269" t="s">
        <v>23</v>
      </c>
      <c r="M225" s="149"/>
      <c r="N225" s="268"/>
      <c r="O225" s="285">
        <v>1</v>
      </c>
      <c r="P225" s="167"/>
      <c r="R225" s="383" t="s">
        <v>31</v>
      </c>
      <c r="S225" s="174"/>
      <c r="V225" s="288">
        <v>17.309154088391789</v>
      </c>
      <c r="W225" s="288">
        <f>IF(V225="","",V225*O225)</f>
        <v>17.309154088391789</v>
      </c>
      <c r="X225" s="167">
        <f>IF(R225="yes",W225,"")</f>
        <v>17.309154088391789</v>
      </c>
    </row>
    <row r="226" spans="1:24" s="173" customFormat="1" ht="35" customHeight="1" thickBot="1" x14ac:dyDescent="0.25">
      <c r="A226" s="327" t="s">
        <v>23</v>
      </c>
      <c r="B226" s="251" t="s">
        <v>689</v>
      </c>
      <c r="C226" s="160" t="s">
        <v>689</v>
      </c>
      <c r="D226" s="159" t="s">
        <v>690</v>
      </c>
      <c r="E226" s="158">
        <f>LEN(D226)</f>
        <v>141</v>
      </c>
      <c r="F226" s="158" t="s">
        <v>23</v>
      </c>
      <c r="G226" s="158" t="s">
        <v>23</v>
      </c>
      <c r="H226" s="158" t="s">
        <v>23</v>
      </c>
      <c r="I226" s="158" t="s">
        <v>23</v>
      </c>
      <c r="J226" s="157" t="s">
        <v>23</v>
      </c>
      <c r="K226" s="157"/>
      <c r="L226" s="156" t="s">
        <v>23</v>
      </c>
      <c r="M226" s="86"/>
      <c r="N226" s="87"/>
      <c r="O226" s="285">
        <v>1</v>
      </c>
      <c r="P226" s="174"/>
      <c r="R226" s="175" t="s">
        <v>22</v>
      </c>
      <c r="S226" s="174"/>
      <c r="V226" s="294"/>
      <c r="W226" s="288" t="str">
        <f>IF(V226="","",V226*O226)</f>
        <v/>
      </c>
      <c r="X226" s="167" t="str">
        <f>IF(R226="yes",W226,"")</f>
        <v/>
      </c>
    </row>
    <row r="227" spans="1:24" x14ac:dyDescent="0.2">
      <c r="V227" s="326"/>
    </row>
    <row r="228" spans="1:24" ht="17" customHeight="1" thickBot="1" x14ac:dyDescent="0.25"/>
    <row r="229" spans="1:24" ht="18" customHeight="1" thickBot="1" x14ac:dyDescent="0.25">
      <c r="D229" s="250" t="s">
        <v>691</v>
      </c>
      <c r="E229" s="249"/>
      <c r="F229" s="249"/>
      <c r="G229" s="249"/>
      <c r="H229" s="249"/>
      <c r="I229" s="249"/>
      <c r="J229" s="249"/>
      <c r="K229" s="249"/>
      <c r="L229" s="249"/>
      <c r="M229" s="249"/>
      <c r="N229" s="249"/>
      <c r="O229" s="320"/>
      <c r="V229" s="321"/>
      <c r="W229" s="389">
        <f>(SUM(W5:W227))/60</f>
        <v>23.507747999630908</v>
      </c>
      <c r="X229" s="388">
        <f>SUM(X2:X226)/60</f>
        <v>14.971104607792757</v>
      </c>
    </row>
    <row r="230" spans="1:24" ht="18" hidden="1" customHeight="1" thickBot="1" x14ac:dyDescent="0.25">
      <c r="D230" s="325" t="s">
        <v>692</v>
      </c>
      <c r="E230" s="324"/>
      <c r="F230" s="324"/>
      <c r="G230" s="324"/>
      <c r="H230" s="324"/>
      <c r="I230" s="324"/>
      <c r="J230" s="324"/>
      <c r="K230" s="324"/>
      <c r="L230" s="324"/>
      <c r="M230" s="324"/>
      <c r="N230" s="324"/>
      <c r="O230" s="322"/>
      <c r="V230" s="323"/>
      <c r="W230" s="390">
        <f>(SUM(W6:W143)+SUM(W164:W227))/60</f>
        <v>23.408104830585465</v>
      </c>
    </row>
    <row r="231" spans="1:24" ht="18" customHeight="1" thickBot="1" x14ac:dyDescent="0.25">
      <c r="D231" s="250" t="s">
        <v>693</v>
      </c>
      <c r="E231" s="249"/>
      <c r="F231" s="249"/>
      <c r="G231" s="249"/>
      <c r="H231" s="249"/>
      <c r="I231" s="249"/>
      <c r="J231" s="249"/>
      <c r="K231" s="249"/>
      <c r="L231" s="249"/>
      <c r="M231" s="249"/>
      <c r="N231" s="249"/>
      <c r="O231" s="320"/>
      <c r="V231" s="321"/>
      <c r="W231" s="391">
        <f>(SUM(W6:W23)+SUM(W24:W143)+SUM(W163:W217)+SUM(W224:W227))/60</f>
        <v>22.878074834349299</v>
      </c>
    </row>
  </sheetData>
  <sheetProtection algorithmName="SHA-512" hashValue="Nj9gn5vPEUfTEOrVYSlHvITwZu/CdMFLwtUKT71jm2xT0lAYgpdpifhSK1tHxZNqgn3L6Hronwxz2PwLugP2DQ==" saltValue="I8s1HGcdkpnR3IozNP3vBg==" spinCount="100000" sheet="1" formatCells="0" formatRows="0" insertRows="0" deleteRows="0"/>
  <autoFilter ref="A3:XEN3" xr:uid="{00000000-0009-0000-0000-000000000000}"/>
  <mergeCells count="20">
    <mergeCell ref="A1:N1"/>
    <mergeCell ref="A2:M2"/>
    <mergeCell ref="N2:N3"/>
    <mergeCell ref="A4:N4"/>
    <mergeCell ref="A20:N20"/>
    <mergeCell ref="A47:N47"/>
    <mergeCell ref="A155:N155"/>
    <mergeCell ref="L25:L26"/>
    <mergeCell ref="A31:N31"/>
    <mergeCell ref="N44:N45"/>
    <mergeCell ref="N36:N39"/>
    <mergeCell ref="A209:N209"/>
    <mergeCell ref="A216:N216"/>
    <mergeCell ref="A90:N90"/>
    <mergeCell ref="A116:N116"/>
    <mergeCell ref="A124:N124"/>
    <mergeCell ref="A137:N137"/>
    <mergeCell ref="A144:N144"/>
    <mergeCell ref="A163:N163"/>
    <mergeCell ref="N107:N110"/>
  </mergeCells>
  <conditionalFormatting sqref="B14:B18">
    <cfRule type="duplicateValues" dxfId="135" priority="507"/>
  </conditionalFormatting>
  <conditionalFormatting sqref="B19">
    <cfRule type="duplicateValues" dxfId="134" priority="506"/>
  </conditionalFormatting>
  <conditionalFormatting sqref="B24">
    <cfRule type="duplicateValues" dxfId="133" priority="871"/>
  </conditionalFormatting>
  <conditionalFormatting sqref="B25:B26">
    <cfRule type="duplicateValues" dxfId="132" priority="127"/>
  </conditionalFormatting>
  <conditionalFormatting sqref="B27">
    <cfRule type="duplicateValues" dxfId="131" priority="116"/>
  </conditionalFormatting>
  <conditionalFormatting sqref="B34">
    <cfRule type="duplicateValues" dxfId="130" priority="111"/>
    <cfRule type="duplicateValues" dxfId="129" priority="110"/>
  </conditionalFormatting>
  <conditionalFormatting sqref="B36:B40">
    <cfRule type="duplicateValues" dxfId="128" priority="105"/>
    <cfRule type="duplicateValues" dxfId="127" priority="109"/>
  </conditionalFormatting>
  <conditionalFormatting sqref="B44">
    <cfRule type="duplicateValues" dxfId="126" priority="518"/>
  </conditionalFormatting>
  <conditionalFormatting sqref="B45">
    <cfRule type="duplicateValues" dxfId="125" priority="104"/>
  </conditionalFormatting>
  <conditionalFormatting sqref="B46">
    <cfRule type="duplicateValues" dxfId="124" priority="520"/>
  </conditionalFormatting>
  <conditionalFormatting sqref="B50:B51">
    <cfRule type="duplicateValues" dxfId="123" priority="103"/>
  </conditionalFormatting>
  <conditionalFormatting sqref="B53:B56">
    <cfRule type="duplicateValues" dxfId="122" priority="126"/>
  </conditionalFormatting>
  <conditionalFormatting sqref="B57:B58">
    <cfRule type="duplicateValues" dxfId="121" priority="102"/>
  </conditionalFormatting>
  <conditionalFormatting sqref="B59">
    <cfRule type="duplicateValues" dxfId="120" priority="504"/>
  </conditionalFormatting>
  <conditionalFormatting sqref="B61">
    <cfRule type="duplicateValues" dxfId="119" priority="101"/>
  </conditionalFormatting>
  <conditionalFormatting sqref="B63:B65">
    <cfRule type="duplicateValues" dxfId="118" priority="122"/>
  </conditionalFormatting>
  <conditionalFormatting sqref="B66">
    <cfRule type="duplicateValues" dxfId="117" priority="100"/>
  </conditionalFormatting>
  <conditionalFormatting sqref="B67">
    <cfRule type="duplicateValues" dxfId="116" priority="95"/>
    <cfRule type="duplicateValues" dxfId="115" priority="93"/>
  </conditionalFormatting>
  <conditionalFormatting sqref="B68">
    <cfRule type="duplicateValues" dxfId="114" priority="471"/>
  </conditionalFormatting>
  <conditionalFormatting sqref="B72:B74">
    <cfRule type="duplicateValues" dxfId="113" priority="118"/>
  </conditionalFormatting>
  <conditionalFormatting sqref="B75">
    <cfRule type="duplicateValues" dxfId="112" priority="99"/>
  </conditionalFormatting>
  <conditionalFormatting sqref="B76">
    <cfRule type="duplicateValues" dxfId="111" priority="92"/>
    <cfRule type="duplicateValues" dxfId="110" priority="91"/>
  </conditionalFormatting>
  <conditionalFormatting sqref="B77">
    <cfRule type="duplicateValues" dxfId="109" priority="131"/>
  </conditionalFormatting>
  <conditionalFormatting sqref="B78:B79">
    <cfRule type="duplicateValues" dxfId="108" priority="132"/>
  </conditionalFormatting>
  <conditionalFormatting sqref="B80">
    <cfRule type="duplicateValues" dxfId="107" priority="98"/>
  </conditionalFormatting>
  <conditionalFormatting sqref="B83:B84">
    <cfRule type="duplicateValues" dxfId="106" priority="97"/>
  </conditionalFormatting>
  <conditionalFormatting sqref="B85:B86">
    <cfRule type="duplicateValues" dxfId="105" priority="96"/>
  </conditionalFormatting>
  <conditionalFormatting sqref="B89">
    <cfRule type="duplicateValues" dxfId="104" priority="464"/>
  </conditionalFormatting>
  <conditionalFormatting sqref="B102">
    <cfRule type="duplicateValues" dxfId="103" priority="128"/>
  </conditionalFormatting>
  <conditionalFormatting sqref="B103">
    <cfRule type="duplicateValues" dxfId="102" priority="317"/>
  </conditionalFormatting>
  <conditionalFormatting sqref="B104:B106">
    <cfRule type="duplicateValues" dxfId="101" priority="497"/>
  </conditionalFormatting>
  <conditionalFormatting sqref="B111">
    <cfRule type="duplicateValues" dxfId="100" priority="323"/>
  </conditionalFormatting>
  <conditionalFormatting sqref="B113">
    <cfRule type="duplicateValues" dxfId="99" priority="510"/>
  </conditionalFormatting>
  <conditionalFormatting sqref="B114">
    <cfRule type="duplicateValues" dxfId="98" priority="313"/>
  </conditionalFormatting>
  <conditionalFormatting sqref="B115">
    <cfRule type="duplicateValues" dxfId="97" priority="322"/>
  </conditionalFormatting>
  <conditionalFormatting sqref="B117:B118">
    <cfRule type="duplicateValues" dxfId="96" priority="557"/>
  </conditionalFormatting>
  <conditionalFormatting sqref="B121">
    <cfRule type="duplicateValues" dxfId="95" priority="361"/>
  </conditionalFormatting>
  <conditionalFormatting sqref="B123">
    <cfRule type="duplicateValues" dxfId="94" priority="115"/>
  </conditionalFormatting>
  <conditionalFormatting sqref="B126">
    <cfRule type="duplicateValues" dxfId="93" priority="360"/>
  </conditionalFormatting>
  <conditionalFormatting sqref="B132">
    <cfRule type="duplicateValues" dxfId="92" priority="511"/>
  </conditionalFormatting>
  <conditionalFormatting sqref="B133">
    <cfRule type="duplicateValues" dxfId="91" priority="321"/>
  </conditionalFormatting>
  <conditionalFormatting sqref="B135">
    <cfRule type="duplicateValues" dxfId="90" priority="509"/>
    <cfRule type="duplicateValues" dxfId="89" priority="508"/>
  </conditionalFormatting>
  <conditionalFormatting sqref="B136">
    <cfRule type="duplicateValues" dxfId="88" priority="320"/>
  </conditionalFormatting>
  <conditionalFormatting sqref="B140:B141">
    <cfRule type="duplicateValues" dxfId="87" priority="495"/>
  </conditionalFormatting>
  <conditionalFormatting sqref="B143">
    <cfRule type="duplicateValues" dxfId="86" priority="465"/>
  </conditionalFormatting>
  <conditionalFormatting sqref="B145">
    <cfRule type="duplicateValues" dxfId="85" priority="466"/>
  </conditionalFormatting>
  <conditionalFormatting sqref="B146">
    <cfRule type="duplicateValues" dxfId="84" priority="359"/>
  </conditionalFormatting>
  <conditionalFormatting sqref="B147:B148">
    <cfRule type="duplicateValues" dxfId="83" priority="494"/>
  </conditionalFormatting>
  <conditionalFormatting sqref="B154">
    <cfRule type="duplicateValues" dxfId="82" priority="319"/>
  </conditionalFormatting>
  <conditionalFormatting sqref="B158:B161">
    <cfRule type="duplicateValues" dxfId="81" priority="493"/>
  </conditionalFormatting>
  <conditionalFormatting sqref="B162">
    <cfRule type="duplicateValues" dxfId="80" priority="358"/>
  </conditionalFormatting>
  <conditionalFormatting sqref="B164">
    <cfRule type="duplicateValues" dxfId="79" priority="114"/>
  </conditionalFormatting>
  <conditionalFormatting sqref="B170">
    <cfRule type="duplicateValues" dxfId="78" priority="491"/>
  </conditionalFormatting>
  <conditionalFormatting sqref="B171">
    <cfRule type="duplicateValues" dxfId="77" priority="489"/>
  </conditionalFormatting>
  <conditionalFormatting sqref="B173">
    <cfRule type="duplicateValues" dxfId="76" priority="487"/>
  </conditionalFormatting>
  <conditionalFormatting sqref="B175">
    <cfRule type="duplicateValues" dxfId="75" priority="485"/>
  </conditionalFormatting>
  <conditionalFormatting sqref="B191">
    <cfRule type="duplicateValues" dxfId="74" priority="516"/>
  </conditionalFormatting>
  <conditionalFormatting sqref="B214">
    <cfRule type="duplicateValues" dxfId="73" priority="280"/>
  </conditionalFormatting>
  <conditionalFormatting sqref="B215">
    <cfRule type="duplicateValues" dxfId="72" priority="318"/>
  </conditionalFormatting>
  <conditionalFormatting sqref="B218:B220">
    <cfRule type="duplicateValues" dxfId="71" priority="89"/>
  </conditionalFormatting>
  <conditionalFormatting sqref="B221:B223">
    <cfRule type="duplicateValues" dxfId="70" priority="30"/>
  </conditionalFormatting>
  <conditionalFormatting sqref="B225:B230 B217 B210:B213 B190 B119:B120 B112 B96:B100 B88 B69:B71 B60 B52 B2:B3 B5 B7:B19 B21:B23 B28:B30 B33 B35 B41:B43 B62 B122 B127:B131 B134:B135 B138:B139 B142 B149:B153 B156:B157 B165:B169 B172 B174 B232:B1048576">
    <cfRule type="duplicateValues" dxfId="69" priority="513"/>
  </conditionalFormatting>
  <conditionalFormatting sqref="B231">
    <cfRule type="duplicateValues" dxfId="68" priority="281"/>
  </conditionalFormatting>
  <conditionalFormatting sqref="C24">
    <cfRule type="duplicateValues" dxfId="67" priority="811"/>
  </conditionalFormatting>
  <conditionalFormatting sqref="C28:C30">
    <cfRule type="duplicateValues" dxfId="66" priority="783"/>
  </conditionalFormatting>
  <conditionalFormatting sqref="C36:C40">
    <cfRule type="duplicateValues" dxfId="65" priority="108"/>
  </conditionalFormatting>
  <conditionalFormatting sqref="C41">
    <cfRule type="duplicateValues" dxfId="64" priority="798"/>
  </conditionalFormatting>
  <conditionalFormatting sqref="C44:C45">
    <cfRule type="duplicateValues" dxfId="63" priority="815"/>
  </conditionalFormatting>
  <conditionalFormatting sqref="C46">
    <cfRule type="duplicateValues" dxfId="62" priority="816"/>
  </conditionalFormatting>
  <conditionalFormatting sqref="C53">
    <cfRule type="duplicateValues" dxfId="61" priority="124"/>
  </conditionalFormatting>
  <conditionalFormatting sqref="C54">
    <cfRule type="duplicateValues" dxfId="60" priority="123"/>
  </conditionalFormatting>
  <conditionalFormatting sqref="C55:C56">
    <cfRule type="duplicateValues" dxfId="59" priority="125"/>
  </conditionalFormatting>
  <conditionalFormatting sqref="C57:C58">
    <cfRule type="duplicateValues" dxfId="58" priority="823"/>
  </conditionalFormatting>
  <conditionalFormatting sqref="C59">
    <cfRule type="duplicateValues" dxfId="57" priority="784"/>
  </conditionalFormatting>
  <conditionalFormatting sqref="C63">
    <cfRule type="duplicateValues" dxfId="56" priority="120"/>
  </conditionalFormatting>
  <conditionalFormatting sqref="C64">
    <cfRule type="duplicateValues" dxfId="55" priority="119"/>
  </conditionalFormatting>
  <conditionalFormatting sqref="C65">
    <cfRule type="duplicateValues" dxfId="54" priority="121"/>
  </conditionalFormatting>
  <conditionalFormatting sqref="C66">
    <cfRule type="duplicateValues" dxfId="53" priority="825"/>
  </conditionalFormatting>
  <conditionalFormatting sqref="C67">
    <cfRule type="duplicateValues" dxfId="52" priority="94"/>
  </conditionalFormatting>
  <conditionalFormatting sqref="C68">
    <cfRule type="duplicateValues" dxfId="51" priority="870"/>
  </conditionalFormatting>
  <conditionalFormatting sqref="C72:C74">
    <cfRule type="duplicateValues" dxfId="50" priority="117"/>
  </conditionalFormatting>
  <conditionalFormatting sqref="C75:C76">
    <cfRule type="duplicateValues" dxfId="49" priority="827"/>
  </conditionalFormatting>
  <conditionalFormatting sqref="C77">
    <cfRule type="duplicateValues" dxfId="48" priority="834"/>
  </conditionalFormatting>
  <conditionalFormatting sqref="C102">
    <cfRule type="duplicateValues" dxfId="47" priority="820"/>
  </conditionalFormatting>
  <conditionalFormatting sqref="C103">
    <cfRule type="duplicateValues" dxfId="46" priority="819"/>
  </conditionalFormatting>
  <conditionalFormatting sqref="C104:C106">
    <cfRule type="duplicateValues" dxfId="45" priority="790"/>
  </conditionalFormatting>
  <conditionalFormatting sqref="C117">
    <cfRule type="duplicateValues" dxfId="44" priority="821"/>
  </conditionalFormatting>
  <conditionalFormatting sqref="C158">
    <cfRule type="duplicateValues" dxfId="43" priority="791"/>
  </conditionalFormatting>
  <conditionalFormatting sqref="C164">
    <cfRule type="duplicateValues" dxfId="42" priority="113"/>
  </conditionalFormatting>
  <conditionalFormatting sqref="C170">
    <cfRule type="duplicateValues" dxfId="41" priority="792"/>
  </conditionalFormatting>
  <conditionalFormatting sqref="C171">
    <cfRule type="duplicateValues" dxfId="40" priority="793"/>
  </conditionalFormatting>
  <conditionalFormatting sqref="C173">
    <cfRule type="duplicateValues" dxfId="39" priority="794"/>
  </conditionalFormatting>
  <conditionalFormatting sqref="C175">
    <cfRule type="duplicateValues" dxfId="38" priority="795"/>
  </conditionalFormatting>
  <conditionalFormatting sqref="C200">
    <cfRule type="duplicateValues" dxfId="37" priority="903"/>
  </conditionalFormatting>
  <conditionalFormatting sqref="C201:C203 C191:C199">
    <cfRule type="duplicateValues" dxfId="36" priority="802"/>
  </conditionalFormatting>
  <conditionalFormatting sqref="C204">
    <cfRule type="duplicateValues" dxfId="35" priority="810"/>
  </conditionalFormatting>
  <conditionalFormatting sqref="C205">
    <cfRule type="duplicateValues" dxfId="34" priority="808"/>
  </conditionalFormatting>
  <conditionalFormatting sqref="C206:C208">
    <cfRule type="duplicateValues" dxfId="33" priority="809"/>
  </conditionalFormatting>
  <conditionalFormatting sqref="C218:C223">
    <cfRule type="duplicateValues" dxfId="32" priority="90"/>
  </conditionalFormatting>
  <conditionalFormatting sqref="D24 D218:D224">
    <cfRule type="expression" dxfId="31" priority="351" stopIfTrue="1">
      <formula>$A24="end repeat"</formula>
    </cfRule>
    <cfRule type="expression" dxfId="30" priority="350" stopIfTrue="1">
      <formula>$A24="text"</formula>
    </cfRule>
    <cfRule type="expression" dxfId="29" priority="349" stopIfTrue="1">
      <formula>$A24="text"</formula>
    </cfRule>
    <cfRule type="expression" dxfId="28" priority="348" stopIfTrue="1">
      <formula>$A24="integer"</formula>
    </cfRule>
    <cfRule type="expression" dxfId="27" priority="347" stopIfTrue="1">
      <formula>$A24="integer"</formula>
    </cfRule>
    <cfRule type="expression" dxfId="26" priority="346" stopIfTrue="1">
      <formula>$A24="decimal"</formula>
    </cfRule>
    <cfRule type="expression" dxfId="25" priority="345" stopIfTrue="1">
      <formula>$A24="decimal"</formula>
    </cfRule>
    <cfRule type="expression" dxfId="24" priority="344" stopIfTrue="1">
      <formula>OR(AND(LEFT($A24, 16)="select_multiple ", LEN($A24)&gt;16, NOT(ISNUMBER(SEARCH(" ", $A24, 17)))), AND(LEFT($A24, 11)="select_one ", LEN($A24)&gt;11, NOT(ISNUMBER(SEARCH(" ", $A24, 12)))))</formula>
    </cfRule>
    <cfRule type="expression" dxfId="23" priority="343" stopIfTrue="1">
      <formula>OR(AND(LEFT($A24, 16)="select_multiple ", LEN($A24)&gt;16, NOT(ISNUMBER(SEARCH(" ", $A24, 17)))), AND(LEFT($A24, 11)="select_one ", LEN($A24)&gt;11, NOT(ISNUMBER(SEARCH(" ", $A24, 12)))))</formula>
    </cfRule>
    <cfRule type="expression" dxfId="22" priority="342" stopIfTrue="1">
      <formula>OR($A24="username", $A24="phonenumber", $A24="start", $A24="end", $A24="deviceid", $A24="subscriberid", $A24="simserial")</formula>
    </cfRule>
    <cfRule type="expression" dxfId="21" priority="341" stopIfTrue="1">
      <formula>OR($A24="audio audit", $A24="text audit")</formula>
    </cfRule>
    <cfRule type="expression" dxfId="20" priority="340" stopIfTrue="1">
      <formula>$A24="geopoint"</formula>
    </cfRule>
    <cfRule type="expression" dxfId="19" priority="339" stopIfTrue="1">
      <formula>$A24="geopoint"</formula>
    </cfRule>
    <cfRule type="expression" dxfId="18" priority="352" stopIfTrue="1">
      <formula>$A24="begin repeat"</formula>
    </cfRule>
    <cfRule type="expression" dxfId="17" priority="353" stopIfTrue="1">
      <formula>$A24="begin repeat"</formula>
    </cfRule>
    <cfRule type="expression" dxfId="16" priority="354" stopIfTrue="1">
      <formula>$A24="end group"</formula>
    </cfRule>
    <cfRule type="expression" dxfId="15" priority="355" stopIfTrue="1">
      <formula>$A24="begin group"</formula>
    </cfRule>
    <cfRule type="expression" dxfId="14" priority="338" stopIfTrue="1">
      <formula>$A24="barcode"</formula>
    </cfRule>
    <cfRule type="expression" dxfId="13" priority="337" stopIfTrue="1">
      <formula>$A24="barcode"</formula>
    </cfRule>
    <cfRule type="expression" dxfId="12" priority="336" stopIfTrue="1">
      <formula>$A24="note"</formula>
    </cfRule>
    <cfRule type="expression" dxfId="11" priority="335" stopIfTrue="1">
      <formula>$A24="note"</formula>
    </cfRule>
    <cfRule type="expression" dxfId="10" priority="334" stopIfTrue="1">
      <formula>OR($A24="calculate", $A24="calculate_here")</formula>
    </cfRule>
    <cfRule type="expression" dxfId="9" priority="333" stopIfTrue="1">
      <formula>OR($A24="date", $A24="datetime")</formula>
    </cfRule>
    <cfRule type="expression" dxfId="8" priority="332" stopIfTrue="1">
      <formula>OR($A24="date", $A24="datetime")</formula>
    </cfRule>
    <cfRule type="expression" dxfId="7" priority="331" stopIfTrue="1">
      <formula>$A24="image"</formula>
    </cfRule>
    <cfRule type="expression" dxfId="6" priority="330" stopIfTrue="1">
      <formula>$A24="image"</formula>
    </cfRule>
    <cfRule type="expression" dxfId="5" priority="329" stopIfTrue="1">
      <formula>OR($A24="audio", $A24="video")</formula>
    </cfRule>
    <cfRule type="expression" dxfId="4" priority="328" stopIfTrue="1">
      <formula>OR($A24="audio", $A24="video")</formula>
    </cfRule>
    <cfRule type="expression" dxfId="3" priority="356" stopIfTrue="1">
      <formula>$A24="begin group"</formula>
    </cfRule>
  </conditionalFormatting>
  <conditionalFormatting sqref="D33">
    <cfRule type="cellIs" dxfId="2" priority="477" operator="notEqual">
      <formula>$D$33</formula>
    </cfRule>
  </conditionalFormatting>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93"/>
  <sheetViews>
    <sheetView topLeftCell="A113" workbookViewId="0">
      <selection activeCell="A124" sqref="A124"/>
    </sheetView>
  </sheetViews>
  <sheetFormatPr baseColWidth="10" defaultColWidth="11.5" defaultRowHeight="15" x14ac:dyDescent="0.2"/>
  <sheetData>
    <row r="1" spans="1:4" x14ac:dyDescent="0.2">
      <c r="A1" t="s">
        <v>694</v>
      </c>
      <c r="B1" t="s">
        <v>695</v>
      </c>
      <c r="C1" t="s">
        <v>696</v>
      </c>
      <c r="D1" t="s">
        <v>697</v>
      </c>
    </row>
    <row r="2" spans="1:4" x14ac:dyDescent="0.2">
      <c r="A2" t="s">
        <v>58</v>
      </c>
      <c r="B2" s="53">
        <v>50.822540283203118</v>
      </c>
      <c r="C2" s="54">
        <v>1</v>
      </c>
      <c r="D2" s="53">
        <v>50.822540283203118</v>
      </c>
    </row>
    <row r="3" spans="1:4" x14ac:dyDescent="0.2">
      <c r="A3" t="s">
        <v>698</v>
      </c>
      <c r="B3" s="53">
        <v>3.4964737892150879</v>
      </c>
      <c r="C3" s="54">
        <v>0.7969874100719424</v>
      </c>
      <c r="D3" s="53">
        <v>2.7866455896509641</v>
      </c>
    </row>
    <row r="4" spans="1:4" x14ac:dyDescent="0.2">
      <c r="A4" t="s">
        <v>93</v>
      </c>
      <c r="B4" s="53">
        <v>13.753072738647459</v>
      </c>
      <c r="C4" s="54">
        <v>1</v>
      </c>
      <c r="D4" s="53">
        <v>13.753072738647459</v>
      </c>
    </row>
    <row r="5" spans="1:4" x14ac:dyDescent="0.2">
      <c r="A5" t="s">
        <v>98</v>
      </c>
      <c r="B5" s="53">
        <v>2.1173560619354248</v>
      </c>
      <c r="C5" s="54">
        <v>1</v>
      </c>
      <c r="D5" s="53">
        <v>2.1173560619354248</v>
      </c>
    </row>
    <row r="6" spans="1:4" x14ac:dyDescent="0.2">
      <c r="A6" t="s">
        <v>111</v>
      </c>
      <c r="B6" s="53">
        <v>2.284250020980835</v>
      </c>
      <c r="C6" s="54">
        <v>0.7969874100719424</v>
      </c>
      <c r="D6" s="53">
        <v>1.820518508178296</v>
      </c>
    </row>
    <row r="7" spans="1:4" x14ac:dyDescent="0.2">
      <c r="A7" t="s">
        <v>114</v>
      </c>
      <c r="B7" s="53">
        <v>31.372377395629879</v>
      </c>
      <c r="C7" s="54">
        <v>1</v>
      </c>
      <c r="D7" s="53">
        <v>31.372377395629879</v>
      </c>
    </row>
    <row r="8" spans="1:4" x14ac:dyDescent="0.2">
      <c r="A8" t="s">
        <v>699</v>
      </c>
      <c r="B8" s="53">
        <v>7.9225454330444336</v>
      </c>
      <c r="C8" s="54">
        <v>0.15190347721822539</v>
      </c>
      <c r="D8" s="53">
        <v>1.2034621996988211</v>
      </c>
    </row>
    <row r="9" spans="1:4" x14ac:dyDescent="0.2">
      <c r="A9" t="s">
        <v>121</v>
      </c>
      <c r="B9" s="53">
        <v>10.08573150634766</v>
      </c>
      <c r="C9" s="54">
        <v>1</v>
      </c>
      <c r="D9" s="53">
        <v>10.08573150634766</v>
      </c>
    </row>
    <row r="10" spans="1:4" x14ac:dyDescent="0.2">
      <c r="A10" t="s">
        <v>146</v>
      </c>
      <c r="B10" s="53">
        <v>12.894034385681151</v>
      </c>
      <c r="C10" s="54">
        <v>1</v>
      </c>
      <c r="D10" s="53">
        <v>12.894034385681151</v>
      </c>
    </row>
    <row r="11" spans="1:4" x14ac:dyDescent="0.2">
      <c r="A11" t="s">
        <v>150</v>
      </c>
      <c r="B11" s="53">
        <v>15.265829086303709</v>
      </c>
      <c r="C11" s="54">
        <v>0.63796462829736211</v>
      </c>
      <c r="D11" s="53">
        <v>9.7390589786948052</v>
      </c>
    </row>
    <row r="12" spans="1:4" x14ac:dyDescent="0.2">
      <c r="A12" t="s">
        <v>700</v>
      </c>
      <c r="B12" s="53">
        <v>15.12371826171875</v>
      </c>
      <c r="C12" s="54">
        <v>0.59180155875299756</v>
      </c>
      <c r="D12" s="53">
        <v>8.9502400414263317</v>
      </c>
    </row>
    <row r="13" spans="1:4" x14ac:dyDescent="0.2">
      <c r="A13" t="s">
        <v>701</v>
      </c>
      <c r="B13" s="53">
        <v>12.8214111328125</v>
      </c>
      <c r="C13" s="54">
        <v>0.15190347721822539</v>
      </c>
      <c r="D13" s="53">
        <v>1.9476169339186851</v>
      </c>
    </row>
    <row r="14" spans="1:4" x14ac:dyDescent="0.2">
      <c r="A14" t="s">
        <v>127</v>
      </c>
      <c r="B14" s="53">
        <v>15.21184825897217</v>
      </c>
      <c r="C14" s="54">
        <v>0.51611211031175064</v>
      </c>
      <c r="D14" s="53">
        <v>7.8510191066802557</v>
      </c>
    </row>
    <row r="15" spans="1:4" x14ac:dyDescent="0.2">
      <c r="A15" t="s">
        <v>702</v>
      </c>
      <c r="B15" s="53">
        <v>19.310310363769531</v>
      </c>
      <c r="C15" s="54">
        <v>0.15190347721822539</v>
      </c>
      <c r="D15" s="53">
        <v>2.9333032904197269</v>
      </c>
    </row>
    <row r="16" spans="1:4" x14ac:dyDescent="0.2">
      <c r="A16" t="s">
        <v>162</v>
      </c>
      <c r="B16" s="53">
        <v>36.928733825683587</v>
      </c>
      <c r="C16" s="54">
        <v>1</v>
      </c>
      <c r="D16" s="53">
        <v>36.928733825683587</v>
      </c>
    </row>
    <row r="17" spans="1:4" x14ac:dyDescent="0.2">
      <c r="A17" t="s">
        <v>703</v>
      </c>
      <c r="B17" s="53">
        <v>40.047317504882812</v>
      </c>
      <c r="C17" s="54">
        <v>0.75547062350119909</v>
      </c>
      <c r="D17" s="53">
        <v>30.254571924964299</v>
      </c>
    </row>
    <row r="18" spans="1:4" x14ac:dyDescent="0.2">
      <c r="A18" t="s">
        <v>704</v>
      </c>
      <c r="B18" s="53">
        <v>3.6870110034942631</v>
      </c>
      <c r="C18" s="54">
        <v>4.7886690647482022E-2</v>
      </c>
      <c r="D18" s="53">
        <v>0.17655875533819201</v>
      </c>
    </row>
    <row r="19" spans="1:4" x14ac:dyDescent="0.2">
      <c r="A19" t="s">
        <v>181</v>
      </c>
      <c r="B19" s="53">
        <v>27.242166519165039</v>
      </c>
      <c r="C19" s="54">
        <v>0.94476918465227822</v>
      </c>
      <c r="D19" s="53">
        <v>25.73755945047315</v>
      </c>
    </row>
    <row r="20" spans="1:4" x14ac:dyDescent="0.2">
      <c r="A20" t="s">
        <v>187</v>
      </c>
      <c r="B20" s="53">
        <v>25.308004379272461</v>
      </c>
      <c r="C20" s="54">
        <v>0.94476918465227822</v>
      </c>
      <c r="D20" s="53">
        <v>23.910222662581528</v>
      </c>
    </row>
    <row r="21" spans="1:4" x14ac:dyDescent="0.2">
      <c r="A21" t="s">
        <v>705</v>
      </c>
      <c r="B21" s="53">
        <v>30.828470230102539</v>
      </c>
      <c r="C21" s="54">
        <v>0.33902877697841732</v>
      </c>
      <c r="D21" s="53">
        <v>10.451738558227211</v>
      </c>
    </row>
    <row r="22" spans="1:4" x14ac:dyDescent="0.2">
      <c r="A22" t="s">
        <v>706</v>
      </c>
      <c r="B22" s="53">
        <v>2.29411768913269</v>
      </c>
      <c r="C22" s="54">
        <v>1.14658273381295E-2</v>
      </c>
      <c r="D22" s="53">
        <v>2.6303957316944071E-2</v>
      </c>
    </row>
    <row r="23" spans="1:4" x14ac:dyDescent="0.2">
      <c r="A23" t="s">
        <v>205</v>
      </c>
      <c r="B23" s="53">
        <v>21.193256378173832</v>
      </c>
      <c r="C23" s="54">
        <v>0.43120503597122301</v>
      </c>
      <c r="D23" s="53">
        <v>9.1386388788977975</v>
      </c>
    </row>
    <row r="24" spans="1:4" x14ac:dyDescent="0.2">
      <c r="A24" t="s">
        <v>209</v>
      </c>
      <c r="B24" s="53">
        <v>20.229927062988281</v>
      </c>
      <c r="C24" s="54">
        <v>0.43120503597122301</v>
      </c>
      <c r="D24" s="53">
        <v>8.7232464268910803</v>
      </c>
    </row>
    <row r="25" spans="1:4" x14ac:dyDescent="0.2">
      <c r="A25" t="s">
        <v>707</v>
      </c>
      <c r="B25" s="53">
        <v>29.42983245849609</v>
      </c>
      <c r="C25" s="54">
        <v>7.6363908872901676E-2</v>
      </c>
      <c r="D25" s="53">
        <v>2.24737704400536</v>
      </c>
    </row>
    <row r="26" spans="1:4" x14ac:dyDescent="0.2">
      <c r="A26" t="s">
        <v>708</v>
      </c>
      <c r="B26" s="53">
        <v>1.555555582046509</v>
      </c>
      <c r="C26" s="54">
        <v>2.0233812949640292E-3</v>
      </c>
      <c r="D26" s="53">
        <v>3.1474820679897879E-3</v>
      </c>
    </row>
    <row r="27" spans="1:4" x14ac:dyDescent="0.2">
      <c r="A27" t="s">
        <v>225</v>
      </c>
      <c r="B27" s="53">
        <v>16.348396301269531</v>
      </c>
      <c r="C27" s="54">
        <v>0.1144334532374101</v>
      </c>
      <c r="D27" s="53">
        <v>1.870803443647975</v>
      </c>
    </row>
    <row r="28" spans="1:4" x14ac:dyDescent="0.2">
      <c r="A28" t="s">
        <v>709</v>
      </c>
      <c r="B28" s="53">
        <v>39.025390625</v>
      </c>
      <c r="C28" s="54">
        <v>0.7969124700239808</v>
      </c>
      <c r="D28" s="53">
        <v>31.099820436619449</v>
      </c>
    </row>
    <row r="29" spans="1:4" x14ac:dyDescent="0.2">
      <c r="A29" t="s">
        <v>710</v>
      </c>
      <c r="B29" s="53">
        <v>10.040084838867189</v>
      </c>
      <c r="C29" s="54">
        <v>3.5521582733812951E-2</v>
      </c>
      <c r="D29" s="53">
        <v>0.35663970425832192</v>
      </c>
    </row>
    <row r="30" spans="1:4" x14ac:dyDescent="0.2">
      <c r="A30" t="s">
        <v>711</v>
      </c>
      <c r="B30" s="53">
        <v>26.118782043457031</v>
      </c>
      <c r="C30" s="54">
        <v>0.35708932853717018</v>
      </c>
      <c r="D30" s="53">
        <v>9.3267383421067702</v>
      </c>
    </row>
    <row r="31" spans="1:4" x14ac:dyDescent="0.2">
      <c r="A31" t="s">
        <v>267</v>
      </c>
      <c r="B31" s="53">
        <v>27.057552337646481</v>
      </c>
      <c r="C31" s="54">
        <v>0.50651978417266186</v>
      </c>
      <c r="D31" s="53">
        <v>13.705185570305201</v>
      </c>
    </row>
    <row r="32" spans="1:4" x14ac:dyDescent="0.2">
      <c r="A32" t="s">
        <v>712</v>
      </c>
      <c r="B32" s="53">
        <v>15.983505249023439</v>
      </c>
      <c r="C32" s="54">
        <v>0.37709832134292559</v>
      </c>
      <c r="D32" s="53">
        <v>6.0273529985825789</v>
      </c>
    </row>
    <row r="33" spans="1:4" x14ac:dyDescent="0.2">
      <c r="A33" t="s">
        <v>713</v>
      </c>
      <c r="B33" s="53">
        <v>3.4111571311950679</v>
      </c>
      <c r="C33" s="54">
        <v>3.6270983213429253E-2</v>
      </c>
      <c r="D33" s="53">
        <v>0.1237260230439458</v>
      </c>
    </row>
    <row r="34" spans="1:4" x14ac:dyDescent="0.2">
      <c r="A34" t="s">
        <v>714</v>
      </c>
      <c r="B34" s="53">
        <v>5.6326532363891602</v>
      </c>
      <c r="C34" s="54">
        <v>3.6720623501199038E-3</v>
      </c>
      <c r="D34" s="53">
        <v>2.068345388062566E-2</v>
      </c>
    </row>
    <row r="35" spans="1:4" x14ac:dyDescent="0.2">
      <c r="A35" t="s">
        <v>715</v>
      </c>
      <c r="B35" s="53">
        <v>15.95429515838623</v>
      </c>
      <c r="C35" s="54">
        <v>0.25906774580335729</v>
      </c>
      <c r="D35" s="53">
        <v>4.1332432825645391</v>
      </c>
    </row>
    <row r="36" spans="1:4" x14ac:dyDescent="0.2">
      <c r="A36" t="s">
        <v>716</v>
      </c>
      <c r="B36" s="53">
        <v>17.928909301757809</v>
      </c>
      <c r="C36" s="54">
        <v>0.14231115107913669</v>
      </c>
      <c r="D36" s="53">
        <v>2.551483720326595</v>
      </c>
    </row>
    <row r="37" spans="1:4" x14ac:dyDescent="0.2">
      <c r="A37" t="s">
        <v>288</v>
      </c>
      <c r="B37" s="53">
        <v>25.436874389648441</v>
      </c>
      <c r="C37" s="54">
        <v>0.49385491606714632</v>
      </c>
      <c r="D37" s="53">
        <v>12.56212546671037</v>
      </c>
    </row>
    <row r="38" spans="1:4" x14ac:dyDescent="0.2">
      <c r="A38" t="s">
        <v>292</v>
      </c>
      <c r="B38" s="53">
        <v>19.364946365356449</v>
      </c>
      <c r="C38" s="54">
        <v>0.49385491606714632</v>
      </c>
      <c r="D38" s="53">
        <v>9.5634739619078957</v>
      </c>
    </row>
    <row r="39" spans="1:4" x14ac:dyDescent="0.2">
      <c r="A39" t="s">
        <v>717</v>
      </c>
      <c r="B39" s="53">
        <v>13.458864212036129</v>
      </c>
      <c r="C39" s="54">
        <v>0.38803956834532372</v>
      </c>
      <c r="D39" s="53">
        <v>5.222571859256826</v>
      </c>
    </row>
    <row r="40" spans="1:4" x14ac:dyDescent="0.2">
      <c r="A40" t="s">
        <v>318</v>
      </c>
      <c r="B40" s="53">
        <v>37.523288726806641</v>
      </c>
      <c r="C40" s="54">
        <v>0.30732913669064749</v>
      </c>
      <c r="D40" s="53">
        <v>11.531999930203391</v>
      </c>
    </row>
    <row r="41" spans="1:4" x14ac:dyDescent="0.2">
      <c r="A41" t="s">
        <v>718</v>
      </c>
      <c r="B41" s="53">
        <v>12.68148708343506</v>
      </c>
      <c r="C41" s="54">
        <v>0.2983363309352518</v>
      </c>
      <c r="D41" s="53">
        <v>3.783348327274803</v>
      </c>
    </row>
    <row r="42" spans="1:4" x14ac:dyDescent="0.2">
      <c r="A42" t="s">
        <v>337</v>
      </c>
      <c r="B42" s="53">
        <v>22.61360931396484</v>
      </c>
      <c r="C42" s="54">
        <v>0.12335131894484409</v>
      </c>
      <c r="D42" s="53">
        <v>2.789418534980975</v>
      </c>
    </row>
    <row r="43" spans="1:4" x14ac:dyDescent="0.2">
      <c r="A43" t="s">
        <v>344</v>
      </c>
      <c r="B43" s="53">
        <v>21.701908111572269</v>
      </c>
      <c r="C43" s="54">
        <v>0.38489208633093519</v>
      </c>
      <c r="D43" s="53">
        <v>8.3528926904252963</v>
      </c>
    </row>
    <row r="44" spans="1:4" x14ac:dyDescent="0.2">
      <c r="A44" t="s">
        <v>719</v>
      </c>
      <c r="B44" s="53">
        <v>12.12575531005859</v>
      </c>
      <c r="C44" s="54">
        <v>6.1975419664268588E-2</v>
      </c>
      <c r="D44" s="53">
        <v>0.75149877408711463</v>
      </c>
    </row>
    <row r="45" spans="1:4" x14ac:dyDescent="0.2">
      <c r="A45" t="s">
        <v>720</v>
      </c>
      <c r="B45" s="53">
        <v>13.560262680053709</v>
      </c>
      <c r="C45" s="54">
        <v>0.14860611510791369</v>
      </c>
      <c r="D45" s="53">
        <v>2.0151379567256069</v>
      </c>
    </row>
    <row r="46" spans="1:4" x14ac:dyDescent="0.2">
      <c r="A46" t="s">
        <v>721</v>
      </c>
      <c r="B46" s="53">
        <v>14.065656661987299</v>
      </c>
      <c r="C46" s="54">
        <v>1.4838129496402881E-2</v>
      </c>
      <c r="D46" s="53">
        <v>0.20870803500250951</v>
      </c>
    </row>
    <row r="47" spans="1:4" x14ac:dyDescent="0.2">
      <c r="A47" t="s">
        <v>722</v>
      </c>
      <c r="B47" s="53">
        <v>11.010929107666019</v>
      </c>
      <c r="C47" s="54">
        <v>1.371402877697842E-2</v>
      </c>
      <c r="D47" s="53">
        <v>0.15100419864380099</v>
      </c>
    </row>
    <row r="48" spans="1:4" x14ac:dyDescent="0.2">
      <c r="A48" t="s">
        <v>723</v>
      </c>
      <c r="B48" s="53">
        <v>4.8961749076843262</v>
      </c>
      <c r="C48" s="54">
        <v>1.371402877697842E-2</v>
      </c>
      <c r="D48" s="53">
        <v>6.7146283581102487E-2</v>
      </c>
    </row>
    <row r="49" spans="1:4" x14ac:dyDescent="0.2">
      <c r="A49" t="s">
        <v>354</v>
      </c>
      <c r="B49" s="53">
        <v>20.2944221496582</v>
      </c>
      <c r="C49" s="54">
        <v>0.40572541966426862</v>
      </c>
      <c r="D49" s="53">
        <v>8.2339629435139017</v>
      </c>
    </row>
    <row r="50" spans="1:4" x14ac:dyDescent="0.2">
      <c r="A50" t="s">
        <v>359</v>
      </c>
      <c r="B50" s="53">
        <v>18.539077758789059</v>
      </c>
      <c r="C50" s="54">
        <v>0.40272781774580341</v>
      </c>
      <c r="D50" s="53">
        <v>7.4662023288168777</v>
      </c>
    </row>
    <row r="51" spans="1:4" x14ac:dyDescent="0.2">
      <c r="A51" t="s">
        <v>364</v>
      </c>
      <c r="B51" s="53">
        <v>8.9158916473388672</v>
      </c>
      <c r="C51" s="54">
        <v>0.40272781774580341</v>
      </c>
      <c r="D51" s="53">
        <v>3.590677586390818</v>
      </c>
    </row>
    <row r="52" spans="1:4" x14ac:dyDescent="0.2">
      <c r="A52" t="s">
        <v>368</v>
      </c>
      <c r="B52" s="53">
        <v>25.81001091003418</v>
      </c>
      <c r="C52" s="54">
        <v>0.40272781774580341</v>
      </c>
      <c r="D52" s="53">
        <v>10.39440936979344</v>
      </c>
    </row>
    <row r="53" spans="1:4" x14ac:dyDescent="0.2">
      <c r="A53" t="s">
        <v>724</v>
      </c>
      <c r="B53" s="53">
        <v>19.55319786071777</v>
      </c>
      <c r="C53" s="54">
        <v>0.29301558752997597</v>
      </c>
      <c r="D53" s="53">
        <v>5.729391759248089</v>
      </c>
    </row>
    <row r="54" spans="1:4" x14ac:dyDescent="0.2">
      <c r="A54" t="s">
        <v>725</v>
      </c>
      <c r="B54" s="53">
        <v>13.613316535949711</v>
      </c>
      <c r="C54" s="54">
        <v>0.3038818944844125</v>
      </c>
      <c r="D54" s="53">
        <v>4.1368404191603769</v>
      </c>
    </row>
    <row r="55" spans="1:4" x14ac:dyDescent="0.2">
      <c r="A55" t="s">
        <v>388</v>
      </c>
      <c r="B55" s="53">
        <v>27.754648208618161</v>
      </c>
      <c r="C55" s="54">
        <v>0.205560551558753</v>
      </c>
      <c r="D55" s="53">
        <v>5.7052607940827054</v>
      </c>
    </row>
    <row r="56" spans="1:4" x14ac:dyDescent="0.2">
      <c r="A56" t="s">
        <v>396</v>
      </c>
      <c r="B56" s="53">
        <v>13.99939060211182</v>
      </c>
      <c r="C56" s="54">
        <v>0.2460281774580336</v>
      </c>
      <c r="D56" s="53">
        <v>3.4442445553606928</v>
      </c>
    </row>
    <row r="57" spans="1:4" x14ac:dyDescent="0.2">
      <c r="A57" t="s">
        <v>726</v>
      </c>
      <c r="B57" s="53">
        <v>10.25279426574707</v>
      </c>
      <c r="C57" s="54">
        <v>0.174310551558753</v>
      </c>
      <c r="D57" s="53">
        <v>1.787170223480792</v>
      </c>
    </row>
    <row r="58" spans="1:4" x14ac:dyDescent="0.2">
      <c r="A58" t="s">
        <v>406</v>
      </c>
      <c r="B58" s="53">
        <v>24.194343566894531</v>
      </c>
      <c r="C58" s="54">
        <v>0.1033423261390887</v>
      </c>
      <c r="D58" s="53">
        <v>2.500299743611178</v>
      </c>
    </row>
    <row r="59" spans="1:4" x14ac:dyDescent="0.2">
      <c r="A59" t="s">
        <v>413</v>
      </c>
      <c r="B59" s="53">
        <v>19.321737289428711</v>
      </c>
      <c r="C59" s="54">
        <v>0.23478717026378901</v>
      </c>
      <c r="D59" s="53">
        <v>4.5364960227653004</v>
      </c>
    </row>
    <row r="60" spans="1:4" x14ac:dyDescent="0.2">
      <c r="A60" t="s">
        <v>727</v>
      </c>
      <c r="B60" s="53">
        <v>6.0948905944824219</v>
      </c>
      <c r="C60" s="54">
        <v>1.0266786570743411E-2</v>
      </c>
      <c r="D60" s="53">
        <v>6.2574940905582424E-2</v>
      </c>
    </row>
    <row r="61" spans="1:4" x14ac:dyDescent="0.2">
      <c r="A61" t="s">
        <v>728</v>
      </c>
      <c r="B61" s="53">
        <v>17.534246444702148</v>
      </c>
      <c r="C61" s="54">
        <v>1.6411870503597121E-2</v>
      </c>
      <c r="D61" s="53">
        <v>0.28776978202860992</v>
      </c>
    </row>
    <row r="62" spans="1:4" x14ac:dyDescent="0.2">
      <c r="A62" t="s">
        <v>729</v>
      </c>
      <c r="B62" s="53">
        <v>31.458333969116211</v>
      </c>
      <c r="C62" s="54">
        <v>1.798561151079137E-3</v>
      </c>
      <c r="D62" s="53">
        <v>5.657973735452556E-2</v>
      </c>
    </row>
    <row r="63" spans="1:4" x14ac:dyDescent="0.2">
      <c r="A63" t="s">
        <v>730</v>
      </c>
      <c r="B63" s="53">
        <v>2.5</v>
      </c>
      <c r="C63" s="54">
        <v>1.4988009592326141E-4</v>
      </c>
      <c r="D63" s="53">
        <v>3.7470023980815342E-4</v>
      </c>
    </row>
    <row r="64" spans="1:4" x14ac:dyDescent="0.2">
      <c r="A64" t="s">
        <v>731</v>
      </c>
      <c r="B64" s="53">
        <v>5.75</v>
      </c>
      <c r="C64" s="54">
        <v>2.9976019184652282E-4</v>
      </c>
      <c r="D64" s="53">
        <v>1.7236211031175059E-3</v>
      </c>
    </row>
    <row r="65" spans="1:4" x14ac:dyDescent="0.2">
      <c r="A65" t="s">
        <v>732</v>
      </c>
      <c r="B65" s="53">
        <v>4.5</v>
      </c>
      <c r="C65" s="54">
        <v>1.4988009592326141E-4</v>
      </c>
      <c r="D65" s="53">
        <v>6.7446043165467619E-4</v>
      </c>
    </row>
    <row r="66" spans="1:4" x14ac:dyDescent="0.2">
      <c r="A66" t="s">
        <v>733</v>
      </c>
      <c r="B66" s="53">
        <v>3</v>
      </c>
      <c r="C66" s="54">
        <v>7.494004796163069E-5</v>
      </c>
      <c r="D66" s="53">
        <v>2.248201438848921E-4</v>
      </c>
    </row>
    <row r="67" spans="1:4" x14ac:dyDescent="0.2">
      <c r="A67" t="s">
        <v>734</v>
      </c>
      <c r="B67" s="53">
        <v>2</v>
      </c>
      <c r="C67" s="54">
        <v>7.494004796163069E-5</v>
      </c>
      <c r="D67" s="53">
        <v>1.4988009592326141E-4</v>
      </c>
    </row>
    <row r="68" spans="1:4" x14ac:dyDescent="0.2">
      <c r="A68" t="s">
        <v>423</v>
      </c>
      <c r="B68" s="53">
        <v>19.090116500854489</v>
      </c>
      <c r="C68" s="54">
        <v>2.5779376498800959E-2</v>
      </c>
      <c r="D68" s="53">
        <v>0.49213130068150068</v>
      </c>
    </row>
    <row r="69" spans="1:4" x14ac:dyDescent="0.2">
      <c r="A69" t="s">
        <v>430</v>
      </c>
      <c r="B69" s="53">
        <v>17.656976699829102</v>
      </c>
      <c r="C69" s="54">
        <v>2.5779376498800959E-2</v>
      </c>
      <c r="D69" s="53">
        <v>0.45518585017545038</v>
      </c>
    </row>
    <row r="70" spans="1:4" x14ac:dyDescent="0.2">
      <c r="A70" t="s">
        <v>735</v>
      </c>
      <c r="B70" s="53">
        <v>8.7647056579589844</v>
      </c>
      <c r="C70" s="54">
        <v>2.420563549160671E-2</v>
      </c>
      <c r="D70" s="53">
        <v>0.2121552703477782</v>
      </c>
    </row>
    <row r="71" spans="1:4" x14ac:dyDescent="0.2">
      <c r="A71" t="s">
        <v>438</v>
      </c>
      <c r="B71" s="53">
        <v>27.9538459777832</v>
      </c>
      <c r="C71" s="54">
        <v>9.7422062350119906E-3</v>
      </c>
      <c r="D71" s="53">
        <v>0.27233213257732442</v>
      </c>
    </row>
    <row r="72" spans="1:4" x14ac:dyDescent="0.2">
      <c r="A72" t="s">
        <v>444</v>
      </c>
      <c r="B72" s="53">
        <v>21.25</v>
      </c>
      <c r="C72" s="54">
        <v>1.798561151079137E-3</v>
      </c>
      <c r="D72" s="53">
        <v>3.821942446043166E-2</v>
      </c>
    </row>
    <row r="73" spans="1:4" x14ac:dyDescent="0.2">
      <c r="A73" t="s">
        <v>454</v>
      </c>
      <c r="B73" s="53">
        <v>14.38495540618896</v>
      </c>
      <c r="C73" s="54">
        <v>3.3872901678657072E-2</v>
      </c>
      <c r="D73" s="53">
        <v>0.48726018012570532</v>
      </c>
    </row>
    <row r="74" spans="1:4" x14ac:dyDescent="0.2">
      <c r="A74" t="s">
        <v>736</v>
      </c>
      <c r="B74" s="53">
        <v>9.4380531311035156</v>
      </c>
      <c r="C74" s="54">
        <v>3.3872901678657072E-2</v>
      </c>
      <c r="D74" s="53">
        <v>0.31969424574781091</v>
      </c>
    </row>
    <row r="75" spans="1:4" x14ac:dyDescent="0.2">
      <c r="A75" t="s">
        <v>458</v>
      </c>
      <c r="B75" s="53">
        <v>27.76699066162109</v>
      </c>
      <c r="C75" s="54">
        <v>7.7188249400479613E-3</v>
      </c>
      <c r="D75" s="53">
        <v>0.2143285400289997</v>
      </c>
    </row>
    <row r="76" spans="1:4" x14ac:dyDescent="0.2">
      <c r="A76" t="s">
        <v>468</v>
      </c>
      <c r="B76" s="53">
        <v>13.705752372741699</v>
      </c>
      <c r="C76" s="54">
        <v>3.3872901678657072E-2</v>
      </c>
      <c r="D76" s="53">
        <v>0.46425360255390052</v>
      </c>
    </row>
    <row r="77" spans="1:4" x14ac:dyDescent="0.2">
      <c r="A77" t="s">
        <v>737</v>
      </c>
      <c r="B77" s="53">
        <v>12.77690315246582</v>
      </c>
      <c r="C77" s="54">
        <v>1</v>
      </c>
      <c r="D77" s="53">
        <v>12.77690315246582</v>
      </c>
    </row>
    <row r="78" spans="1:4" x14ac:dyDescent="0.2">
      <c r="A78" t="s">
        <v>478</v>
      </c>
      <c r="B78" s="53">
        <v>21.398605346679691</v>
      </c>
      <c r="C78" s="54">
        <v>1</v>
      </c>
      <c r="D78" s="53">
        <v>21.398605346679691</v>
      </c>
    </row>
    <row r="79" spans="1:4" x14ac:dyDescent="0.2">
      <c r="A79" t="s">
        <v>482</v>
      </c>
      <c r="B79" s="53">
        <v>14.980740547180179</v>
      </c>
      <c r="C79" s="54">
        <v>1</v>
      </c>
      <c r="D79" s="53">
        <v>14.980740547180179</v>
      </c>
    </row>
    <row r="80" spans="1:4" x14ac:dyDescent="0.2">
      <c r="A80" t="s">
        <v>486</v>
      </c>
      <c r="B80" s="53">
        <v>13.72302150726318</v>
      </c>
      <c r="C80" s="54">
        <v>1</v>
      </c>
      <c r="D80" s="53">
        <v>13.72302150726318</v>
      </c>
    </row>
    <row r="81" spans="1:4" x14ac:dyDescent="0.2">
      <c r="A81" t="s">
        <v>490</v>
      </c>
      <c r="B81" s="53">
        <v>13.06220054626465</v>
      </c>
      <c r="C81" s="54">
        <v>1</v>
      </c>
      <c r="D81" s="53">
        <v>13.06220054626465</v>
      </c>
    </row>
    <row r="82" spans="1:4" x14ac:dyDescent="0.2">
      <c r="A82" t="s">
        <v>494</v>
      </c>
      <c r="B82" s="53">
        <v>13.09532356262207</v>
      </c>
      <c r="C82" s="54">
        <v>1</v>
      </c>
      <c r="D82" s="53">
        <v>13.09532356262207</v>
      </c>
    </row>
    <row r="83" spans="1:4" x14ac:dyDescent="0.2">
      <c r="A83" t="s">
        <v>498</v>
      </c>
      <c r="B83" s="53">
        <v>16.10101918465228</v>
      </c>
      <c r="C83" s="54">
        <v>1</v>
      </c>
      <c r="D83" s="53">
        <v>16.10101918465228</v>
      </c>
    </row>
    <row r="84" spans="1:4" x14ac:dyDescent="0.2">
      <c r="A84" t="s">
        <v>502</v>
      </c>
      <c r="B84" s="53">
        <v>11.76504325866699</v>
      </c>
      <c r="C84" s="54">
        <v>0.32628896882494007</v>
      </c>
      <c r="D84" s="53">
        <v>3.8388038330512662</v>
      </c>
    </row>
    <row r="85" spans="1:4" x14ac:dyDescent="0.2">
      <c r="A85" t="s">
        <v>506</v>
      </c>
      <c r="B85" s="53">
        <v>12.432478904724119</v>
      </c>
      <c r="C85" s="54">
        <v>1</v>
      </c>
      <c r="D85" s="53">
        <v>12.432478904724119</v>
      </c>
    </row>
    <row r="86" spans="1:4" x14ac:dyDescent="0.2">
      <c r="A86" t="s">
        <v>510</v>
      </c>
      <c r="B86" s="53">
        <v>8.9801836013793945</v>
      </c>
      <c r="C86" s="54">
        <v>0.25337230215827339</v>
      </c>
      <c r="D86" s="53">
        <v>2.2753297928854721</v>
      </c>
    </row>
    <row r="87" spans="1:4" x14ac:dyDescent="0.2">
      <c r="A87" t="s">
        <v>513</v>
      </c>
      <c r="B87" s="53">
        <v>11.089328765869141</v>
      </c>
      <c r="C87" s="54">
        <v>1</v>
      </c>
      <c r="D87" s="53">
        <v>11.089328765869141</v>
      </c>
    </row>
    <row r="88" spans="1:4" x14ac:dyDescent="0.2">
      <c r="A88" t="s">
        <v>517</v>
      </c>
      <c r="B88" s="53">
        <v>8.0683355331420898</v>
      </c>
      <c r="C88" s="54">
        <v>0.14366007194244601</v>
      </c>
      <c r="D88" s="53">
        <v>1.159097663146986</v>
      </c>
    </row>
    <row r="89" spans="1:4" x14ac:dyDescent="0.2">
      <c r="A89" t="s">
        <v>520</v>
      </c>
      <c r="B89" s="53">
        <v>5.7112536430358887</v>
      </c>
      <c r="C89" s="54">
        <v>0.80508093525179858</v>
      </c>
      <c r="D89" s="53">
        <v>4.5980214243955748</v>
      </c>
    </row>
    <row r="90" spans="1:4" x14ac:dyDescent="0.2">
      <c r="A90" t="s">
        <v>738</v>
      </c>
      <c r="B90" s="53">
        <v>19.851530075073239</v>
      </c>
      <c r="C90" s="54">
        <v>0.31092625899280568</v>
      </c>
      <c r="D90" s="53">
        <v>6.1723619815256949</v>
      </c>
    </row>
    <row r="91" spans="1:4" x14ac:dyDescent="0.2">
      <c r="A91" t="s">
        <v>739</v>
      </c>
      <c r="B91" s="53">
        <v>15.436671257019039</v>
      </c>
      <c r="C91" s="54">
        <v>0.7969874100719424</v>
      </c>
      <c r="D91" s="53">
        <v>12.302832645263599</v>
      </c>
    </row>
    <row r="92" spans="1:4" x14ac:dyDescent="0.2">
      <c r="A92" t="s">
        <v>533</v>
      </c>
      <c r="B92" s="53">
        <v>12.4080867767334</v>
      </c>
      <c r="C92" s="54">
        <v>0.7969874100719424</v>
      </c>
      <c r="D92" s="53">
        <v>9.8890889441366667</v>
      </c>
    </row>
    <row r="93" spans="1:4" x14ac:dyDescent="0.2">
      <c r="A93" t="s">
        <v>536</v>
      </c>
      <c r="B93" s="53">
        <v>9.2894678115844727</v>
      </c>
      <c r="C93" s="54">
        <v>0.31092625899280568</v>
      </c>
      <c r="D93" s="53">
        <v>2.8883394746900461</v>
      </c>
    </row>
    <row r="94" spans="1:4" x14ac:dyDescent="0.2">
      <c r="A94" t="s">
        <v>740</v>
      </c>
      <c r="B94" s="53">
        <v>15.05952072143555</v>
      </c>
      <c r="C94" s="54">
        <v>0.7969874100719424</v>
      </c>
      <c r="D94" s="53">
        <v>12.00224841670167</v>
      </c>
    </row>
    <row r="95" spans="1:4" x14ac:dyDescent="0.2">
      <c r="A95" t="s">
        <v>545</v>
      </c>
      <c r="B95" s="53">
        <v>15.543986320495611</v>
      </c>
      <c r="C95" s="54">
        <v>0.31092625899280568</v>
      </c>
      <c r="D95" s="53">
        <v>4.8330335164670464</v>
      </c>
    </row>
    <row r="96" spans="1:4" x14ac:dyDescent="0.2">
      <c r="A96" t="s">
        <v>741</v>
      </c>
      <c r="B96" s="53">
        <v>12.996181488037109</v>
      </c>
      <c r="C96" s="54">
        <v>0.78507194244604317</v>
      </c>
      <c r="D96" s="53">
        <v>10.2029374451946</v>
      </c>
    </row>
    <row r="97" spans="1:4" x14ac:dyDescent="0.2">
      <c r="A97" t="s">
        <v>551</v>
      </c>
      <c r="B97" s="53">
        <v>10.668112754821779</v>
      </c>
      <c r="C97" s="54">
        <v>0.31092625899280568</v>
      </c>
      <c r="D97" s="53">
        <v>3.3169963893701699</v>
      </c>
    </row>
    <row r="98" spans="1:4" x14ac:dyDescent="0.2">
      <c r="A98" t="s">
        <v>742</v>
      </c>
      <c r="B98" s="53">
        <v>9.716710090637207</v>
      </c>
      <c r="C98" s="54">
        <v>0.43277877697841732</v>
      </c>
      <c r="D98" s="53">
        <v>4.2051859092798161</v>
      </c>
    </row>
    <row r="99" spans="1:4" x14ac:dyDescent="0.2">
      <c r="A99" t="s">
        <v>554</v>
      </c>
      <c r="B99" s="53">
        <v>10.953365325927731</v>
      </c>
      <c r="C99" s="54">
        <v>0.63796462829736211</v>
      </c>
      <c r="D99" s="53">
        <v>6.9878596387607006</v>
      </c>
    </row>
    <row r="100" spans="1:4" x14ac:dyDescent="0.2">
      <c r="A100" t="s">
        <v>557</v>
      </c>
      <c r="B100" s="53">
        <v>10.114131927490231</v>
      </c>
      <c r="C100" s="54">
        <v>0.23703537170263789</v>
      </c>
      <c r="D100" s="53">
        <v>2.3974070208821652</v>
      </c>
    </row>
    <row r="101" spans="1:4" x14ac:dyDescent="0.2">
      <c r="A101" t="s">
        <v>743</v>
      </c>
      <c r="B101" s="53">
        <v>3.6575121879577641</v>
      </c>
      <c r="C101" s="54">
        <v>4.6387889688249397E-2</v>
      </c>
      <c r="D101" s="53">
        <v>0.16966427190841249</v>
      </c>
    </row>
    <row r="102" spans="1:4" x14ac:dyDescent="0.2">
      <c r="A102" t="s">
        <v>560</v>
      </c>
      <c r="B102" s="53">
        <v>10.86770534515381</v>
      </c>
      <c r="C102" s="54">
        <v>0.79361510791366907</v>
      </c>
      <c r="D102" s="53">
        <v>8.6247751502681975</v>
      </c>
    </row>
    <row r="103" spans="1:4" x14ac:dyDescent="0.2">
      <c r="A103" t="s">
        <v>744</v>
      </c>
      <c r="B103" s="53">
        <v>21.53330039978027</v>
      </c>
      <c r="C103" s="54">
        <v>0.15190347721822539</v>
      </c>
      <c r="D103" s="53">
        <v>3.270983206711227</v>
      </c>
    </row>
    <row r="104" spans="1:4" x14ac:dyDescent="0.2">
      <c r="A104" t="s">
        <v>745</v>
      </c>
      <c r="B104" s="53">
        <v>72.295135498046875</v>
      </c>
      <c r="C104" s="54">
        <v>0.84097721822541971</v>
      </c>
      <c r="D104" s="53">
        <v>60.798561942377248</v>
      </c>
    </row>
    <row r="105" spans="1:4" x14ac:dyDescent="0.2">
      <c r="A105" t="s">
        <v>746</v>
      </c>
      <c r="B105" s="53">
        <v>3.7052218914031978</v>
      </c>
      <c r="C105" s="54">
        <v>0.84097721822541971</v>
      </c>
      <c r="D105" s="53">
        <v>3.1160071991401899</v>
      </c>
    </row>
    <row r="106" spans="1:4" x14ac:dyDescent="0.2">
      <c r="A106" t="s">
        <v>747</v>
      </c>
      <c r="B106" s="53">
        <v>2.7029058933258061</v>
      </c>
      <c r="C106" s="54">
        <v>0.14958033573141491</v>
      </c>
      <c r="D106" s="53">
        <v>0.40430157097409392</v>
      </c>
    </row>
    <row r="107" spans="1:4" x14ac:dyDescent="0.2">
      <c r="A107" t="s">
        <v>748</v>
      </c>
      <c r="B107" s="53">
        <v>18.146602630615231</v>
      </c>
      <c r="C107" s="54">
        <v>6.2874700239808151E-2</v>
      </c>
      <c r="D107" s="53">
        <v>1.1409622007708471</v>
      </c>
    </row>
    <row r="108" spans="1:4" x14ac:dyDescent="0.2">
      <c r="A108" t="s">
        <v>749</v>
      </c>
      <c r="B108" s="53">
        <v>14.324113845825201</v>
      </c>
      <c r="C108" s="54">
        <v>8.6705635491606717E-2</v>
      </c>
      <c r="D108" s="53">
        <v>1.2419813938563959</v>
      </c>
    </row>
    <row r="109" spans="1:4" x14ac:dyDescent="0.2">
      <c r="A109" t="s">
        <v>750</v>
      </c>
      <c r="B109" s="53">
        <v>7.9697494506835938</v>
      </c>
      <c r="C109" s="54">
        <v>8.6705635491606717E-2</v>
      </c>
      <c r="D109" s="53">
        <v>0.6910221908304045</v>
      </c>
    </row>
    <row r="110" spans="1:4" x14ac:dyDescent="0.2">
      <c r="A110" t="s">
        <v>751</v>
      </c>
      <c r="B110" s="53">
        <v>7.6092715263366699</v>
      </c>
      <c r="C110" s="54">
        <v>3.3947841726618702E-2</v>
      </c>
      <c r="D110" s="53">
        <v>0.25831834543094362</v>
      </c>
    </row>
    <row r="111" spans="1:4" x14ac:dyDescent="0.2">
      <c r="A111" t="s">
        <v>752</v>
      </c>
      <c r="B111" s="53">
        <v>7.3416147232055664</v>
      </c>
      <c r="C111" s="54">
        <v>1.206534772182254E-2</v>
      </c>
      <c r="D111" s="53">
        <v>8.8579134475127108E-2</v>
      </c>
    </row>
    <row r="112" spans="1:4" x14ac:dyDescent="0.2">
      <c r="A112" t="s">
        <v>753</v>
      </c>
      <c r="B112" s="53">
        <v>7.5166668891906738</v>
      </c>
      <c r="C112" s="54">
        <v>4.4964028776978424E-3</v>
      </c>
      <c r="D112" s="53">
        <v>3.379796263125303E-2</v>
      </c>
    </row>
    <row r="113" spans="1:4" x14ac:dyDescent="0.2">
      <c r="A113" t="s">
        <v>754</v>
      </c>
      <c r="B113" s="53">
        <v>8.3076925277709961</v>
      </c>
      <c r="C113" s="54">
        <v>1.9484412470023979E-3</v>
      </c>
      <c r="D113" s="53">
        <v>1.618705078852262E-2</v>
      </c>
    </row>
    <row r="114" spans="1:4" x14ac:dyDescent="0.2">
      <c r="A114" t="s">
        <v>755</v>
      </c>
      <c r="B114" s="53">
        <v>7.769230842590332</v>
      </c>
      <c r="C114" s="54">
        <v>9.7422062350119906E-4</v>
      </c>
      <c r="D114" s="53">
        <v>7.5689449155930998E-3</v>
      </c>
    </row>
    <row r="115" spans="1:4" x14ac:dyDescent="0.2">
      <c r="A115" t="s">
        <v>756</v>
      </c>
      <c r="B115" s="53">
        <v>9.3333330154418945</v>
      </c>
      <c r="C115" s="54">
        <v>4.496402877697842E-4</v>
      </c>
      <c r="D115" s="53">
        <v>4.1966425429145211E-3</v>
      </c>
    </row>
    <row r="116" spans="1:4" x14ac:dyDescent="0.2">
      <c r="A116" t="s">
        <v>757</v>
      </c>
      <c r="B116" s="53">
        <v>6.1999998092651367</v>
      </c>
      <c r="C116" s="54">
        <v>3.7470023980815348E-4</v>
      </c>
      <c r="D116" s="53">
        <v>2.323141415342153E-3</v>
      </c>
    </row>
    <row r="117" spans="1:4" x14ac:dyDescent="0.2">
      <c r="A117" t="s">
        <v>758</v>
      </c>
      <c r="B117" s="53">
        <v>15.666666984558111</v>
      </c>
      <c r="C117" s="54">
        <v>2.248201438848921E-4</v>
      </c>
      <c r="D117" s="53">
        <v>3.5221823256650418E-3</v>
      </c>
    </row>
    <row r="118" spans="1:4" x14ac:dyDescent="0.2">
      <c r="A118" t="s">
        <v>759</v>
      </c>
      <c r="B118" s="53">
        <v>19.828245162963871</v>
      </c>
      <c r="C118" s="54">
        <v>0.63092026378896882</v>
      </c>
      <c r="D118" s="53">
        <v>12.51004166868951</v>
      </c>
    </row>
    <row r="119" spans="1:4" x14ac:dyDescent="0.2">
      <c r="A119" t="s">
        <v>652</v>
      </c>
      <c r="B119" s="53">
        <v>49.529693603515618</v>
      </c>
      <c r="C119" s="54">
        <v>0.67386091127098324</v>
      </c>
      <c r="D119" s="53">
        <v>33.376124466637627</v>
      </c>
    </row>
    <row r="120" spans="1:4" x14ac:dyDescent="0.2">
      <c r="A120" t="s">
        <v>760</v>
      </c>
      <c r="B120" s="53">
        <v>10.34935474395752</v>
      </c>
      <c r="C120" s="54">
        <v>6.3923860911270988E-2</v>
      </c>
      <c r="D120" s="53">
        <v>0.66157071317414307</v>
      </c>
    </row>
    <row r="121" spans="1:4" x14ac:dyDescent="0.2">
      <c r="A121" t="s">
        <v>761</v>
      </c>
      <c r="B121" s="53">
        <v>9.9121618270874023</v>
      </c>
      <c r="C121" s="54">
        <v>2.218225419664269E-2</v>
      </c>
      <c r="D121" s="53">
        <v>0.21987409328671101</v>
      </c>
    </row>
    <row r="122" spans="1:4" x14ac:dyDescent="0.2">
      <c r="A122" t="s">
        <v>762</v>
      </c>
      <c r="B122" s="53">
        <v>12.817567825317379</v>
      </c>
      <c r="C122" s="54">
        <v>2.218225419664269E-2</v>
      </c>
      <c r="D122" s="53">
        <v>0.28432254768389881</v>
      </c>
    </row>
    <row r="123" spans="1:4" x14ac:dyDescent="0.2">
      <c r="A123" t="s">
        <v>658</v>
      </c>
      <c r="B123" s="53">
        <v>22.029750823974609</v>
      </c>
      <c r="C123" s="54">
        <v>1</v>
      </c>
      <c r="D123" s="53">
        <v>22.029750823974609</v>
      </c>
    </row>
    <row r="124" spans="1:4" x14ac:dyDescent="0.2">
      <c r="A124" t="s">
        <v>666</v>
      </c>
      <c r="B124" s="53">
        <v>36.783046722412109</v>
      </c>
      <c r="C124" s="54">
        <v>1</v>
      </c>
      <c r="D124" s="53">
        <v>36.783046722412109</v>
      </c>
    </row>
    <row r="125" spans="1:4" x14ac:dyDescent="0.2">
      <c r="A125" t="s">
        <v>763</v>
      </c>
      <c r="B125" s="53">
        <v>13.76013851165771</v>
      </c>
      <c r="C125" s="54">
        <v>0.28087529976019182</v>
      </c>
      <c r="D125" s="53">
        <v>3.8648830292036198</v>
      </c>
    </row>
    <row r="126" spans="1:4" x14ac:dyDescent="0.2">
      <c r="A126" t="s">
        <v>764</v>
      </c>
      <c r="B126" s="53">
        <v>13.39993858337402</v>
      </c>
      <c r="C126" s="54">
        <v>0.48606115107913672</v>
      </c>
      <c r="D126" s="53">
        <v>6.5131895722245137</v>
      </c>
    </row>
    <row r="127" spans="1:4" x14ac:dyDescent="0.2">
      <c r="A127" t="s">
        <v>765</v>
      </c>
      <c r="B127" s="53">
        <v>14.62593364715576</v>
      </c>
      <c r="C127" s="54">
        <v>0.28087529976019182</v>
      </c>
      <c r="D127" s="53">
        <v>4.1080634974175503</v>
      </c>
    </row>
    <row r="128" spans="1:4" x14ac:dyDescent="0.2">
      <c r="A128" t="s">
        <v>766</v>
      </c>
      <c r="B128" s="53">
        <v>14.752389907836911</v>
      </c>
      <c r="C128" s="54">
        <v>0.48606115107913672</v>
      </c>
      <c r="D128" s="53">
        <v>7.1705636197714497</v>
      </c>
    </row>
    <row r="129" spans="1:4" x14ac:dyDescent="0.2">
      <c r="A129" t="s">
        <v>767</v>
      </c>
      <c r="B129" s="53">
        <v>14.082502365112299</v>
      </c>
      <c r="C129" s="54">
        <v>0.16531774580335731</v>
      </c>
      <c r="D129" s="53">
        <v>2.3280875462708139</v>
      </c>
    </row>
    <row r="130" spans="1:4" x14ac:dyDescent="0.2">
      <c r="A130" t="s">
        <v>768</v>
      </c>
      <c r="B130" s="53">
        <v>15.481228828430179</v>
      </c>
      <c r="C130" s="54">
        <v>2.1957434052757789E-2</v>
      </c>
      <c r="D130" s="53">
        <v>0.33992806105590839</v>
      </c>
    </row>
    <row r="131" spans="1:4" x14ac:dyDescent="0.2">
      <c r="A131" t="s">
        <v>53</v>
      </c>
      <c r="B131" s="53">
        <v>3.062232494354248</v>
      </c>
      <c r="C131" s="54">
        <v>0.68277877697841727</v>
      </c>
      <c r="D131" s="53">
        <v>2.0908273573187621</v>
      </c>
    </row>
    <row r="132" spans="1:4" x14ac:dyDescent="0.2">
      <c r="A132" t="s">
        <v>769</v>
      </c>
      <c r="B132" s="53">
        <v>10.030631065368651</v>
      </c>
      <c r="C132" s="54">
        <v>0.15902278177458029</v>
      </c>
      <c r="D132" s="53">
        <v>1.595098854969446</v>
      </c>
    </row>
    <row r="133" spans="1:4" x14ac:dyDescent="0.2">
      <c r="A133" t="s">
        <v>770</v>
      </c>
      <c r="B133" s="53">
        <v>11.38066482543945</v>
      </c>
      <c r="C133" s="54">
        <v>2.4805155875299759E-2</v>
      </c>
      <c r="D133" s="53">
        <v>0.28229916495956681</v>
      </c>
    </row>
    <row r="134" spans="1:4" x14ac:dyDescent="0.2">
      <c r="A134" t="s">
        <v>564</v>
      </c>
      <c r="B134" s="53">
        <v>30.646188735961911</v>
      </c>
      <c r="C134" s="54">
        <v>0.56722122302158273</v>
      </c>
      <c r="D134" s="53">
        <v>17.383168655762571</v>
      </c>
    </row>
    <row r="135" spans="1:4" x14ac:dyDescent="0.2">
      <c r="A135" t="s">
        <v>771</v>
      </c>
      <c r="B135" s="53">
        <v>10.112629890441889</v>
      </c>
      <c r="C135" s="54">
        <v>0.15902278177458029</v>
      </c>
      <c r="D135" s="53">
        <v>1.6081385362348399</v>
      </c>
    </row>
    <row r="136" spans="1:4" x14ac:dyDescent="0.2">
      <c r="A136" t="s">
        <v>772</v>
      </c>
      <c r="B136" s="53">
        <v>13.900094032287599</v>
      </c>
      <c r="C136" s="54">
        <v>0.15902278177458029</v>
      </c>
      <c r="D136" s="53">
        <v>2.2104316199426171</v>
      </c>
    </row>
    <row r="137" spans="1:4" x14ac:dyDescent="0.2">
      <c r="A137" t="s">
        <v>143</v>
      </c>
      <c r="B137" s="53">
        <v>8.2288064956665039</v>
      </c>
      <c r="C137" s="54">
        <v>0.36420863309352519</v>
      </c>
      <c r="D137" s="53">
        <v>2.997002365777818</v>
      </c>
    </row>
    <row r="138" spans="1:4" x14ac:dyDescent="0.2">
      <c r="A138" t="s">
        <v>773</v>
      </c>
      <c r="B138" s="53">
        <v>32.266731262207031</v>
      </c>
      <c r="C138" s="54">
        <v>0.15902278177458029</v>
      </c>
      <c r="D138" s="53">
        <v>5.1311453640889786</v>
      </c>
    </row>
    <row r="139" spans="1:4" x14ac:dyDescent="0.2">
      <c r="A139" t="s">
        <v>774</v>
      </c>
      <c r="B139" s="53">
        <v>11.01242256164551</v>
      </c>
      <c r="C139" s="54">
        <v>8.4457434052757796E-2</v>
      </c>
      <c r="D139" s="53">
        <v>0.93008095226127752</v>
      </c>
    </row>
    <row r="140" spans="1:4" x14ac:dyDescent="0.2">
      <c r="A140" t="s">
        <v>775</v>
      </c>
      <c r="B140" s="53">
        <v>59.445335388183587</v>
      </c>
      <c r="C140" s="54">
        <v>0.15902278177458029</v>
      </c>
      <c r="D140" s="53">
        <v>9.4531625969518576</v>
      </c>
    </row>
    <row r="141" spans="1:4" x14ac:dyDescent="0.2">
      <c r="A141" t="s">
        <v>776</v>
      </c>
      <c r="B141" s="53">
        <v>31.696512222290039</v>
      </c>
      <c r="C141" s="54">
        <v>0.15902278177458029</v>
      </c>
      <c r="D141" s="53">
        <v>5.0404675461405466</v>
      </c>
    </row>
    <row r="142" spans="1:4" x14ac:dyDescent="0.2">
      <c r="A142" t="s">
        <v>777</v>
      </c>
      <c r="B142" s="53">
        <v>18.788320541381839</v>
      </c>
      <c r="C142" s="54">
        <v>3.0800359712230219E-2</v>
      </c>
      <c r="D142" s="53">
        <v>0.57868703106324448</v>
      </c>
    </row>
    <row r="143" spans="1:4" x14ac:dyDescent="0.2">
      <c r="A143" t="s">
        <v>778</v>
      </c>
      <c r="B143" s="53">
        <v>14.180000305175779</v>
      </c>
      <c r="C143" s="54">
        <v>1.12410071942446E-2</v>
      </c>
      <c r="D143" s="53">
        <v>0.15939748544487159</v>
      </c>
    </row>
    <row r="144" spans="1:4" x14ac:dyDescent="0.2">
      <c r="A144" t="s">
        <v>779</v>
      </c>
      <c r="B144" s="53">
        <v>14.373562812805179</v>
      </c>
      <c r="C144" s="54">
        <v>1.303956834532374E-2</v>
      </c>
      <c r="D144" s="53">
        <v>0.18742505466337689</v>
      </c>
    </row>
    <row r="145" spans="1:4" x14ac:dyDescent="0.2">
      <c r="A145" t="s">
        <v>780</v>
      </c>
      <c r="B145" s="53">
        <v>13.638889312744141</v>
      </c>
      <c r="C145" s="54">
        <v>2.6978417266187052E-3</v>
      </c>
      <c r="D145" s="53">
        <v>3.6795564692655047E-2</v>
      </c>
    </row>
    <row r="146" spans="1:4" x14ac:dyDescent="0.2">
      <c r="A146" t="s">
        <v>542</v>
      </c>
      <c r="B146" s="53">
        <v>15.40838527679443</v>
      </c>
      <c r="C146" s="54">
        <v>0.14478417266187049</v>
      </c>
      <c r="D146" s="53">
        <v>2.2308903143560279</v>
      </c>
    </row>
    <row r="147" spans="1:4" x14ac:dyDescent="0.2">
      <c r="A147" t="s">
        <v>781</v>
      </c>
      <c r="B147" s="53">
        <v>13.428935050964361</v>
      </c>
      <c r="C147" s="54">
        <v>0.14710731414868111</v>
      </c>
      <c r="D147" s="53">
        <v>1.9754945672244479</v>
      </c>
    </row>
    <row r="148" spans="1:4" x14ac:dyDescent="0.2">
      <c r="A148" t="s">
        <v>782</v>
      </c>
      <c r="B148" s="53">
        <v>16.118755340576168</v>
      </c>
      <c r="C148" s="54">
        <v>0.15902278177458029</v>
      </c>
      <c r="D148" s="53">
        <v>2.563249313002296</v>
      </c>
    </row>
    <row r="149" spans="1:4" x14ac:dyDescent="0.2">
      <c r="A149" t="s">
        <v>783</v>
      </c>
      <c r="B149" s="53">
        <v>24.20000076293945</v>
      </c>
      <c r="C149" s="54">
        <v>3.3723021582733811E-3</v>
      </c>
      <c r="D149" s="53">
        <v>8.1609714803078187E-2</v>
      </c>
    </row>
    <row r="150" spans="1:4" x14ac:dyDescent="0.2">
      <c r="A150" t="s">
        <v>784</v>
      </c>
      <c r="B150" s="53">
        <v>15.139491081237789</v>
      </c>
      <c r="C150" s="54">
        <v>0.15902278177458029</v>
      </c>
      <c r="D150" s="53">
        <v>2.407523986389883</v>
      </c>
    </row>
    <row r="151" spans="1:4" x14ac:dyDescent="0.2">
      <c r="A151" t="s">
        <v>785</v>
      </c>
      <c r="B151" s="53">
        <v>17.901508331298832</v>
      </c>
      <c r="C151" s="54">
        <v>0.15902278177458029</v>
      </c>
      <c r="D151" s="53">
        <v>2.8467476528039661</v>
      </c>
    </row>
    <row r="152" spans="1:4" x14ac:dyDescent="0.2">
      <c r="A152" t="s">
        <v>786</v>
      </c>
      <c r="B152" s="53">
        <v>27.199811935424801</v>
      </c>
      <c r="C152" s="54">
        <v>0.15902278177458029</v>
      </c>
      <c r="D152" s="53">
        <v>4.3253897577166844</v>
      </c>
    </row>
    <row r="153" spans="1:4" x14ac:dyDescent="0.2">
      <c r="A153" t="s">
        <v>787</v>
      </c>
      <c r="B153" s="53">
        <v>20.648445129394531</v>
      </c>
      <c r="C153" s="54">
        <v>0.15902278177458029</v>
      </c>
      <c r="D153" s="53">
        <v>3.2835731837961029</v>
      </c>
    </row>
    <row r="154" spans="1:4" x14ac:dyDescent="0.2">
      <c r="A154" t="s">
        <v>788</v>
      </c>
      <c r="B154" s="53">
        <v>55.302074432373047</v>
      </c>
      <c r="C154" s="54">
        <v>0.15902278177458029</v>
      </c>
      <c r="D154" s="53">
        <v>8.7942897141408576</v>
      </c>
    </row>
    <row r="155" spans="1:4" x14ac:dyDescent="0.2">
      <c r="A155" t="s">
        <v>789</v>
      </c>
      <c r="B155" s="53">
        <v>24.500471115112301</v>
      </c>
      <c r="C155" s="54">
        <v>0.15902278177458029</v>
      </c>
      <c r="D155" s="53">
        <v>3.8961330715129132</v>
      </c>
    </row>
    <row r="156" spans="1:4" x14ac:dyDescent="0.2">
      <c r="A156" t="s">
        <v>790</v>
      </c>
      <c r="B156" s="53">
        <v>24.92459869384766</v>
      </c>
      <c r="C156" s="54">
        <v>0.15902278177458029</v>
      </c>
      <c r="D156" s="53">
        <v>3.9635790189107261</v>
      </c>
    </row>
    <row r="157" spans="1:4" x14ac:dyDescent="0.2">
      <c r="A157" t="s">
        <v>791</v>
      </c>
      <c r="B157" s="53">
        <v>17.525918960571289</v>
      </c>
      <c r="C157" s="54">
        <v>0.15902278177458029</v>
      </c>
      <c r="D157" s="53">
        <v>2.7870203862659082</v>
      </c>
    </row>
    <row r="158" spans="1:4" x14ac:dyDescent="0.2">
      <c r="A158" t="s">
        <v>792</v>
      </c>
      <c r="B158" s="53">
        <v>28.03440093994141</v>
      </c>
      <c r="C158" s="54">
        <v>0.15902278177458029</v>
      </c>
      <c r="D158" s="53">
        <v>4.4581084228533916</v>
      </c>
    </row>
    <row r="159" spans="1:4" x14ac:dyDescent="0.2">
      <c r="A159" t="s">
        <v>793</v>
      </c>
      <c r="B159" s="53">
        <v>15.688972473144529</v>
      </c>
      <c r="C159" s="54">
        <v>0.15902278177458029</v>
      </c>
      <c r="D159" s="53">
        <v>2.4949040458642608</v>
      </c>
    </row>
    <row r="160" spans="1:4" x14ac:dyDescent="0.2">
      <c r="A160" t="s">
        <v>794</v>
      </c>
      <c r="B160" s="53">
        <v>21.188030242919918</v>
      </c>
      <c r="C160" s="54">
        <v>0.15902278177458029</v>
      </c>
      <c r="D160" s="53">
        <v>3.3693795095530632</v>
      </c>
    </row>
    <row r="161" spans="1:4" x14ac:dyDescent="0.2">
      <c r="A161" t="s">
        <v>795</v>
      </c>
      <c r="B161" s="53">
        <v>10.56944465637207</v>
      </c>
      <c r="C161" s="54">
        <v>5.3956834532374104E-3</v>
      </c>
      <c r="D161" s="53">
        <v>5.7029377642295348E-2</v>
      </c>
    </row>
    <row r="162" spans="1:4" x14ac:dyDescent="0.2">
      <c r="A162" t="s">
        <v>686</v>
      </c>
      <c r="B162" s="53">
        <v>17.507846832275391</v>
      </c>
      <c r="C162" s="54">
        <v>0.68277877697841727</v>
      </c>
      <c r="D162" s="53">
        <v>11.95398624766645</v>
      </c>
    </row>
    <row r="163" spans="1:4" x14ac:dyDescent="0.2">
      <c r="A163" t="s">
        <v>64</v>
      </c>
      <c r="B163" s="53">
        <v>4.6240768432617188</v>
      </c>
      <c r="C163" s="54">
        <v>0.20293764988009591</v>
      </c>
      <c r="D163" s="53">
        <v>0.9383992874365058</v>
      </c>
    </row>
    <row r="164" spans="1:4" x14ac:dyDescent="0.2">
      <c r="A164" t="s">
        <v>796</v>
      </c>
      <c r="B164" s="53">
        <v>10.74381732940674</v>
      </c>
      <c r="C164" s="54">
        <v>0.20301258992805751</v>
      </c>
      <c r="D164" s="53">
        <v>2.1811301817568078</v>
      </c>
    </row>
    <row r="165" spans="1:4" x14ac:dyDescent="0.2">
      <c r="A165" t="s">
        <v>797</v>
      </c>
      <c r="B165" s="53"/>
      <c r="C165" s="54">
        <v>0</v>
      </c>
      <c r="D165" s="53">
        <v>0</v>
      </c>
    </row>
    <row r="166" spans="1:4" x14ac:dyDescent="0.2">
      <c r="A166" t="s">
        <v>798</v>
      </c>
      <c r="B166" s="53">
        <v>56.471023559570312</v>
      </c>
      <c r="C166" s="54">
        <v>0.20301258992805751</v>
      </c>
      <c r="D166" s="53">
        <v>11.464328748716721</v>
      </c>
    </row>
    <row r="167" spans="1:4" x14ac:dyDescent="0.2">
      <c r="A167" t="s">
        <v>799</v>
      </c>
      <c r="B167" s="53">
        <v>31</v>
      </c>
      <c r="C167" s="54">
        <v>4.0467625899280584E-3</v>
      </c>
      <c r="D167" s="53">
        <v>0.12544964028776981</v>
      </c>
    </row>
    <row r="168" spans="1:4" x14ac:dyDescent="0.2">
      <c r="A168" t="s">
        <v>800</v>
      </c>
      <c r="B168" s="53">
        <v>30.833333969116211</v>
      </c>
      <c r="C168" s="54">
        <v>4.0467625899280584E-3</v>
      </c>
      <c r="D168" s="53">
        <v>0.1247751824289775</v>
      </c>
    </row>
    <row r="169" spans="1:4" x14ac:dyDescent="0.2">
      <c r="A169" t="s">
        <v>314</v>
      </c>
      <c r="B169" s="53">
        <v>16.882986068725589</v>
      </c>
      <c r="C169" s="54">
        <v>0.1184802158273381</v>
      </c>
      <c r="D169" s="53">
        <v>2.0002998332325501</v>
      </c>
    </row>
    <row r="170" spans="1:4" x14ac:dyDescent="0.2">
      <c r="A170" t="s">
        <v>333</v>
      </c>
      <c r="B170" s="53">
        <v>16.82699012756348</v>
      </c>
      <c r="C170" s="54">
        <v>8.6630695443645087E-2</v>
      </c>
      <c r="D170" s="53">
        <v>1.457733856974174</v>
      </c>
    </row>
    <row r="171" spans="1:4" x14ac:dyDescent="0.2">
      <c r="A171" t="s">
        <v>801</v>
      </c>
      <c r="B171" s="53">
        <v>39.486873626708977</v>
      </c>
      <c r="C171" s="54">
        <v>3.139988009592326E-2</v>
      </c>
      <c r="D171" s="53">
        <v>1.2398830972415369</v>
      </c>
    </row>
    <row r="172" spans="1:4" x14ac:dyDescent="0.2">
      <c r="A172" t="s">
        <v>384</v>
      </c>
      <c r="B172" s="53">
        <v>15.9380989074707</v>
      </c>
      <c r="C172" s="54">
        <v>0.1016936450839329</v>
      </c>
      <c r="D172" s="53">
        <v>1.620803373608944</v>
      </c>
    </row>
    <row r="173" spans="1:4" x14ac:dyDescent="0.2">
      <c r="A173" t="s">
        <v>402</v>
      </c>
      <c r="B173" s="53">
        <v>13.330855369567869</v>
      </c>
      <c r="C173" s="54">
        <v>6.047661870503597E-2</v>
      </c>
      <c r="D173" s="53">
        <v>0.80620505719733748</v>
      </c>
    </row>
    <row r="174" spans="1:4" x14ac:dyDescent="0.2">
      <c r="A174" t="s">
        <v>802</v>
      </c>
      <c r="B174" s="53">
        <v>16.437650680541989</v>
      </c>
      <c r="C174" s="54">
        <v>6.25E-2</v>
      </c>
      <c r="D174" s="53">
        <v>1.027353167533875</v>
      </c>
    </row>
    <row r="175" spans="1:4" x14ac:dyDescent="0.2">
      <c r="A175" t="s">
        <v>803</v>
      </c>
      <c r="B175" s="53">
        <v>8.6666669845581055</v>
      </c>
      <c r="C175" s="54">
        <v>6.7446043165467629E-4</v>
      </c>
      <c r="D175" s="53">
        <v>5.8453239554123919E-3</v>
      </c>
    </row>
    <row r="176" spans="1:4" x14ac:dyDescent="0.2">
      <c r="A176" t="s">
        <v>434</v>
      </c>
      <c r="B176" s="53">
        <v>12.5238094329834</v>
      </c>
      <c r="C176" s="54">
        <v>1.573741007194245E-3</v>
      </c>
      <c r="D176" s="53">
        <v>1.9709232470972071E-2</v>
      </c>
    </row>
    <row r="177" spans="1:4" x14ac:dyDescent="0.2">
      <c r="A177" t="s">
        <v>804</v>
      </c>
      <c r="B177" s="53">
        <v>22.220184326171879</v>
      </c>
      <c r="C177" s="54">
        <v>8.1684652278177453E-3</v>
      </c>
      <c r="D177" s="53">
        <v>0.18150480302403579</v>
      </c>
    </row>
    <row r="178" spans="1:4" x14ac:dyDescent="0.2">
      <c r="A178" t="s">
        <v>805</v>
      </c>
      <c r="B178" s="53">
        <v>12.889907836914061</v>
      </c>
      <c r="C178" s="54">
        <v>8.1684652278177453E-3</v>
      </c>
      <c r="D178" s="53">
        <v>0.105290763955608</v>
      </c>
    </row>
    <row r="179" spans="1:4" x14ac:dyDescent="0.2">
      <c r="A179" t="s">
        <v>806</v>
      </c>
      <c r="B179" s="53">
        <v>14.84403705596924</v>
      </c>
      <c r="C179" s="54">
        <v>8.1684652278177453E-3</v>
      </c>
      <c r="D179" s="53">
        <v>0.1212530005321228</v>
      </c>
    </row>
    <row r="180" spans="1:4" x14ac:dyDescent="0.2">
      <c r="A180" t="s">
        <v>807</v>
      </c>
      <c r="B180" s="53">
        <v>18.513761520385739</v>
      </c>
      <c r="C180" s="54">
        <v>8.1684652278177453E-3</v>
      </c>
      <c r="D180" s="53">
        <v>0.1512290172153811</v>
      </c>
    </row>
    <row r="181" spans="1:4" x14ac:dyDescent="0.2">
      <c r="A181" t="s">
        <v>808</v>
      </c>
      <c r="B181" s="53">
        <v>16.880733489990231</v>
      </c>
      <c r="C181" s="54">
        <v>8.1684652278177453E-3</v>
      </c>
      <c r="D181" s="53">
        <v>0.1378896845330437</v>
      </c>
    </row>
    <row r="182" spans="1:4" x14ac:dyDescent="0.2">
      <c r="A182" t="s">
        <v>809</v>
      </c>
      <c r="B182" s="53">
        <v>17.431192398071289</v>
      </c>
      <c r="C182" s="54">
        <v>8.1684652278177453E-3</v>
      </c>
      <c r="D182" s="53">
        <v>0.14238608898304631</v>
      </c>
    </row>
    <row r="183" spans="1:4" x14ac:dyDescent="0.2">
      <c r="A183" t="s">
        <v>810</v>
      </c>
      <c r="B183" s="53">
        <v>14.110092163085939</v>
      </c>
      <c r="C183" s="54">
        <v>8.1684652278177453E-3</v>
      </c>
      <c r="D183" s="53">
        <v>0.1152577971954712</v>
      </c>
    </row>
    <row r="184" spans="1:4" x14ac:dyDescent="0.2">
      <c r="A184" t="s">
        <v>811</v>
      </c>
      <c r="B184" s="53">
        <v>15.256880760192869</v>
      </c>
      <c r="C184" s="54">
        <v>8.1684652278177453E-3</v>
      </c>
      <c r="D184" s="53">
        <v>0.124625299974597</v>
      </c>
    </row>
    <row r="185" spans="1:4" x14ac:dyDescent="0.2">
      <c r="A185" t="s">
        <v>812</v>
      </c>
      <c r="B185" s="53">
        <v>12.284403800964361</v>
      </c>
      <c r="C185" s="54">
        <v>8.1684652278177453E-3</v>
      </c>
      <c r="D185" s="53">
        <v>0.1003447252926495</v>
      </c>
    </row>
    <row r="186" spans="1:4" x14ac:dyDescent="0.2">
      <c r="A186" t="s">
        <v>813</v>
      </c>
      <c r="B186" s="53">
        <v>12.577981948852541</v>
      </c>
      <c r="C186" s="54">
        <v>8.1684652278177453E-3</v>
      </c>
      <c r="D186" s="53">
        <v>0.10274280818532119</v>
      </c>
    </row>
    <row r="187" spans="1:4" x14ac:dyDescent="0.2">
      <c r="A187" t="s">
        <v>648</v>
      </c>
      <c r="B187" s="53">
        <v>16.78225135803223</v>
      </c>
      <c r="C187" s="54">
        <v>0.16381894484412471</v>
      </c>
      <c r="D187" s="53">
        <v>2.7492507095817178</v>
      </c>
    </row>
    <row r="188" spans="1:4" x14ac:dyDescent="0.2">
      <c r="A188" t="s">
        <v>814</v>
      </c>
      <c r="B188" s="53">
        <v>11.787801742553709</v>
      </c>
      <c r="C188" s="54">
        <v>0.20518585131894479</v>
      </c>
      <c r="D188" s="53">
        <v>2.4186901357248241</v>
      </c>
    </row>
    <row r="189" spans="1:4" x14ac:dyDescent="0.2">
      <c r="A189" t="s">
        <v>245</v>
      </c>
      <c r="B189" s="53">
        <v>46.247528076171882</v>
      </c>
      <c r="C189" s="54">
        <v>1</v>
      </c>
      <c r="D189" s="53">
        <v>46.247528076171882</v>
      </c>
    </row>
    <row r="190" spans="1:4" x14ac:dyDescent="0.2">
      <c r="A190" t="s">
        <v>815</v>
      </c>
      <c r="B190" s="53">
        <v>0.1537020355463028</v>
      </c>
      <c r="C190" s="54">
        <v>1</v>
      </c>
      <c r="D190" s="53">
        <v>0.1537020355463028</v>
      </c>
    </row>
    <row r="191" spans="1:4" x14ac:dyDescent="0.2">
      <c r="A191" t="s">
        <v>816</v>
      </c>
      <c r="B191" s="53">
        <v>0.67963129281997681</v>
      </c>
      <c r="C191" s="54">
        <v>1</v>
      </c>
      <c r="D191" s="53">
        <v>0.67963129281997681</v>
      </c>
    </row>
    <row r="192" spans="1:4" x14ac:dyDescent="0.2">
      <c r="A192" t="s">
        <v>817</v>
      </c>
      <c r="B192" s="53">
        <v>2.892535924911499</v>
      </c>
      <c r="C192" s="54">
        <v>1</v>
      </c>
      <c r="D192" s="53">
        <v>2.892535924911499</v>
      </c>
    </row>
    <row r="193" spans="1:4" x14ac:dyDescent="0.2">
      <c r="A193" t="s">
        <v>818</v>
      </c>
      <c r="B193" s="53">
        <v>3.3438248634338379</v>
      </c>
      <c r="C193" s="54">
        <v>1</v>
      </c>
      <c r="D193" s="53">
        <v>3.3438248634338379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94"/>
  <sheetViews>
    <sheetView workbookViewId="0">
      <pane ySplit="3" topLeftCell="A22" activePane="bottomLeft" state="frozen"/>
      <selection activeCell="D69" sqref="D69"/>
      <selection pane="bottomLeft" activeCell="C76" sqref="C76"/>
    </sheetView>
  </sheetViews>
  <sheetFormatPr baseColWidth="10" defaultColWidth="10.83203125" defaultRowHeight="15" x14ac:dyDescent="0.2"/>
  <cols>
    <col min="1" max="2" width="10.83203125" style="1" customWidth="1"/>
    <col min="3" max="3" width="15.1640625" style="2" customWidth="1"/>
    <col min="4" max="4" width="10.83203125" style="311" hidden="1" customWidth="1"/>
    <col min="5" max="5" width="10.83203125" style="311" customWidth="1"/>
    <col min="6" max="6" width="41.5" style="1" customWidth="1"/>
    <col min="7" max="7" width="10.83203125" style="1" customWidth="1"/>
    <col min="8" max="16384" width="10.83203125" style="1"/>
  </cols>
  <sheetData>
    <row r="2" spans="2:6" x14ac:dyDescent="0.2">
      <c r="C2" s="4"/>
      <c r="D2" s="308"/>
      <c r="E2" s="308"/>
      <c r="F2" s="5"/>
    </row>
    <row r="3" spans="2:6" ht="32" customHeight="1" x14ac:dyDescent="0.2">
      <c r="B3" s="3"/>
      <c r="C3" s="309" t="s">
        <v>819</v>
      </c>
      <c r="D3" s="306" t="s">
        <v>820</v>
      </c>
      <c r="E3" s="306" t="s">
        <v>821</v>
      </c>
      <c r="F3" s="306" t="s">
        <v>822</v>
      </c>
    </row>
    <row r="4" spans="2:6" ht="16" customHeight="1" x14ac:dyDescent="0.2">
      <c r="B4" s="3"/>
      <c r="C4" s="40" t="s">
        <v>823</v>
      </c>
      <c r="D4" s="8">
        <f t="array" ref="D4:D93">_xlfn.SEQUENCE(90,1,1,1)</f>
        <v>1</v>
      </c>
      <c r="E4" s="307" t="s">
        <v>824</v>
      </c>
      <c r="F4" s="8" t="s">
        <v>825</v>
      </c>
    </row>
    <row r="5" spans="2:6" ht="16" customHeight="1" x14ac:dyDescent="0.2">
      <c r="B5" s="3"/>
      <c r="C5" s="40" t="s">
        <v>823</v>
      </c>
      <c r="D5" s="8">
        <v>2</v>
      </c>
      <c r="E5" s="307" t="s">
        <v>826</v>
      </c>
      <c r="F5" s="8" t="s">
        <v>827</v>
      </c>
    </row>
    <row r="6" spans="2:6" ht="16" customHeight="1" x14ac:dyDescent="0.2">
      <c r="B6" s="3"/>
      <c r="C6" s="40"/>
      <c r="D6" s="8">
        <v>3</v>
      </c>
      <c r="E6" s="307" t="s">
        <v>828</v>
      </c>
      <c r="F6" s="8" t="s">
        <v>829</v>
      </c>
    </row>
    <row r="7" spans="2:6" ht="16" customHeight="1" x14ac:dyDescent="0.2">
      <c r="B7" s="3"/>
      <c r="C7" s="40"/>
      <c r="D7" s="8">
        <v>4</v>
      </c>
      <c r="E7" s="307" t="s">
        <v>830</v>
      </c>
      <c r="F7" s="8" t="s">
        <v>831</v>
      </c>
    </row>
    <row r="8" spans="2:6" ht="16" customHeight="1" x14ac:dyDescent="0.2">
      <c r="B8" s="3"/>
      <c r="C8" s="40" t="s">
        <v>823</v>
      </c>
      <c r="D8" s="8">
        <v>5</v>
      </c>
      <c r="E8" s="307" t="s">
        <v>832</v>
      </c>
      <c r="F8" s="8" t="s">
        <v>833</v>
      </c>
    </row>
    <row r="9" spans="2:6" ht="16" customHeight="1" x14ac:dyDescent="0.2">
      <c r="B9" s="3"/>
      <c r="C9" s="40"/>
      <c r="D9" s="8">
        <v>6</v>
      </c>
      <c r="E9" s="307" t="s">
        <v>834</v>
      </c>
      <c r="F9" s="8" t="s">
        <v>835</v>
      </c>
    </row>
    <row r="10" spans="2:6" ht="16" customHeight="1" x14ac:dyDescent="0.2">
      <c r="B10" s="3"/>
      <c r="C10" s="342"/>
      <c r="D10" s="8">
        <v>7</v>
      </c>
      <c r="E10" s="307" t="s">
        <v>836</v>
      </c>
      <c r="F10" s="39" t="s">
        <v>837</v>
      </c>
    </row>
    <row r="11" spans="2:6" ht="16" customHeight="1" x14ac:dyDescent="0.2">
      <c r="B11" s="3"/>
      <c r="C11" s="40"/>
      <c r="D11" s="8">
        <v>8</v>
      </c>
      <c r="E11" s="307" t="s">
        <v>838</v>
      </c>
      <c r="F11" s="8" t="s">
        <v>839</v>
      </c>
    </row>
    <row r="12" spans="2:6" ht="16" customHeight="1" x14ac:dyDescent="0.2">
      <c r="B12" s="3"/>
      <c r="C12" s="40" t="s">
        <v>823</v>
      </c>
      <c r="D12" s="8">
        <v>9</v>
      </c>
      <c r="E12" s="307" t="s">
        <v>840</v>
      </c>
      <c r="F12" s="8" t="s">
        <v>841</v>
      </c>
    </row>
    <row r="13" spans="2:6" ht="16" customHeight="1" x14ac:dyDescent="0.2">
      <c r="B13" s="3"/>
      <c r="C13" s="40"/>
      <c r="D13" s="8">
        <v>10</v>
      </c>
      <c r="E13" s="307" t="s">
        <v>842</v>
      </c>
      <c r="F13" s="8" t="s">
        <v>843</v>
      </c>
    </row>
    <row r="14" spans="2:6" ht="16" customHeight="1" x14ac:dyDescent="0.2">
      <c r="B14" s="3"/>
      <c r="C14" s="40"/>
      <c r="D14" s="8">
        <v>11</v>
      </c>
      <c r="E14" s="307" t="s">
        <v>844</v>
      </c>
      <c r="F14" s="8" t="s">
        <v>845</v>
      </c>
    </row>
    <row r="15" spans="2:6" ht="16" customHeight="1" x14ac:dyDescent="0.2">
      <c r="B15" s="3"/>
      <c r="C15" s="40"/>
      <c r="D15" s="8">
        <v>12</v>
      </c>
      <c r="E15" s="307" t="s">
        <v>846</v>
      </c>
      <c r="F15" s="8" t="s">
        <v>847</v>
      </c>
    </row>
    <row r="16" spans="2:6" ht="16" customHeight="1" x14ac:dyDescent="0.2">
      <c r="B16" s="3"/>
      <c r="C16" s="40"/>
      <c r="D16" s="8">
        <v>13</v>
      </c>
      <c r="E16" s="307" t="s">
        <v>848</v>
      </c>
      <c r="F16" s="8" t="s">
        <v>849</v>
      </c>
    </row>
    <row r="17" spans="2:6" ht="16" customHeight="1" x14ac:dyDescent="0.2">
      <c r="B17" s="3"/>
      <c r="C17" s="342"/>
      <c r="D17" s="8">
        <v>14</v>
      </c>
      <c r="E17" s="307" t="s">
        <v>850</v>
      </c>
      <c r="F17" s="39" t="s">
        <v>851</v>
      </c>
    </row>
    <row r="18" spans="2:6" ht="16" customHeight="1" x14ac:dyDescent="0.2">
      <c r="B18" s="3"/>
      <c r="C18" s="40" t="s">
        <v>823</v>
      </c>
      <c r="D18" s="8">
        <v>15</v>
      </c>
      <c r="E18" s="307" t="s">
        <v>852</v>
      </c>
      <c r="F18" s="8" t="s">
        <v>853</v>
      </c>
    </row>
    <row r="19" spans="2:6" ht="16" customHeight="1" x14ac:dyDescent="0.2">
      <c r="B19" s="3"/>
      <c r="C19" s="40"/>
      <c r="D19" s="8">
        <v>16</v>
      </c>
      <c r="E19" s="307" t="s">
        <v>854</v>
      </c>
      <c r="F19" s="8" t="s">
        <v>855</v>
      </c>
    </row>
    <row r="20" spans="2:6" ht="16" customHeight="1" x14ac:dyDescent="0.2">
      <c r="B20" s="3"/>
      <c r="C20" s="40"/>
      <c r="D20" s="8">
        <v>17</v>
      </c>
      <c r="E20" s="307" t="s">
        <v>856</v>
      </c>
      <c r="F20" s="8" t="s">
        <v>857</v>
      </c>
    </row>
    <row r="21" spans="2:6" ht="16" customHeight="1" x14ac:dyDescent="0.2">
      <c r="B21" s="3"/>
      <c r="C21" s="40"/>
      <c r="D21" s="8">
        <v>18</v>
      </c>
      <c r="E21" s="307" t="s">
        <v>858</v>
      </c>
      <c r="F21" s="8" t="s">
        <v>859</v>
      </c>
    </row>
    <row r="22" spans="2:6" ht="16" customHeight="1" x14ac:dyDescent="0.2">
      <c r="B22" s="3"/>
      <c r="C22" s="40"/>
      <c r="D22" s="8">
        <v>19</v>
      </c>
      <c r="E22" s="307" t="s">
        <v>860</v>
      </c>
      <c r="F22" s="8" t="s">
        <v>861</v>
      </c>
    </row>
    <row r="23" spans="2:6" ht="16" customHeight="1" x14ac:dyDescent="0.2">
      <c r="B23" s="3"/>
      <c r="C23" s="40"/>
      <c r="D23" s="8">
        <v>20</v>
      </c>
      <c r="E23" s="307" t="s">
        <v>862</v>
      </c>
      <c r="F23" s="8" t="s">
        <v>863</v>
      </c>
    </row>
    <row r="24" spans="2:6" ht="16" customHeight="1" x14ac:dyDescent="0.2">
      <c r="B24" s="3"/>
      <c r="C24" s="40"/>
      <c r="D24" s="8">
        <v>21</v>
      </c>
      <c r="E24" s="307" t="s">
        <v>864</v>
      </c>
      <c r="F24" s="8" t="s">
        <v>865</v>
      </c>
    </row>
    <row r="25" spans="2:6" ht="16" customHeight="1" x14ac:dyDescent="0.2">
      <c r="B25" s="3"/>
      <c r="C25" s="342"/>
      <c r="D25" s="8">
        <v>22</v>
      </c>
      <c r="E25" s="307" t="s">
        <v>866</v>
      </c>
      <c r="F25" s="39" t="s">
        <v>867</v>
      </c>
    </row>
    <row r="26" spans="2:6" ht="16" customHeight="1" x14ac:dyDescent="0.2">
      <c r="B26" s="3"/>
      <c r="C26" s="40"/>
      <c r="D26" s="8">
        <v>23</v>
      </c>
      <c r="E26" s="307" t="s">
        <v>868</v>
      </c>
      <c r="F26" s="8" t="s">
        <v>869</v>
      </c>
    </row>
    <row r="27" spans="2:6" ht="16" customHeight="1" x14ac:dyDescent="0.2">
      <c r="B27" s="3"/>
      <c r="C27" s="40"/>
      <c r="D27" s="8">
        <v>24</v>
      </c>
      <c r="E27" s="307" t="s">
        <v>870</v>
      </c>
      <c r="F27" s="8" t="s">
        <v>871</v>
      </c>
    </row>
    <row r="28" spans="2:6" ht="16" customHeight="1" x14ac:dyDescent="0.2">
      <c r="B28" s="3"/>
      <c r="C28" s="40"/>
      <c r="D28" s="8">
        <v>25</v>
      </c>
      <c r="E28" s="307" t="s">
        <v>872</v>
      </c>
      <c r="F28" s="8" t="s">
        <v>873</v>
      </c>
    </row>
    <row r="29" spans="2:6" ht="16" customHeight="1" x14ac:dyDescent="0.2">
      <c r="B29" s="3"/>
      <c r="C29" s="40"/>
      <c r="D29" s="8">
        <v>26</v>
      </c>
      <c r="E29" s="307" t="s">
        <v>874</v>
      </c>
      <c r="F29" s="8" t="s">
        <v>875</v>
      </c>
    </row>
    <row r="30" spans="2:6" ht="16" customHeight="1" x14ac:dyDescent="0.2">
      <c r="B30" s="3"/>
      <c r="C30" s="40"/>
      <c r="D30" s="8">
        <v>27</v>
      </c>
      <c r="E30" s="307" t="s">
        <v>876</v>
      </c>
      <c r="F30" s="8" t="s">
        <v>877</v>
      </c>
    </row>
    <row r="31" spans="2:6" ht="16" customHeight="1" x14ac:dyDescent="0.2">
      <c r="B31" s="3"/>
      <c r="C31" s="40"/>
      <c r="D31" s="8">
        <v>28</v>
      </c>
      <c r="E31" s="307" t="s">
        <v>878</v>
      </c>
      <c r="F31" s="8" t="s">
        <v>879</v>
      </c>
    </row>
    <row r="32" spans="2:6" ht="16" customHeight="1" x14ac:dyDescent="0.2">
      <c r="B32" s="3"/>
      <c r="C32" s="40"/>
      <c r="D32" s="8">
        <v>29</v>
      </c>
      <c r="E32" s="307" t="s">
        <v>880</v>
      </c>
      <c r="F32" s="8" t="s">
        <v>881</v>
      </c>
    </row>
    <row r="33" spans="2:6" ht="16" customHeight="1" x14ac:dyDescent="0.2">
      <c r="B33" s="3"/>
      <c r="C33" s="40"/>
      <c r="D33" s="8">
        <v>30</v>
      </c>
      <c r="E33" s="307" t="s">
        <v>882</v>
      </c>
      <c r="F33" s="8" t="s">
        <v>883</v>
      </c>
    </row>
    <row r="34" spans="2:6" ht="16" customHeight="1" x14ac:dyDescent="0.2">
      <c r="B34" s="3"/>
      <c r="C34" s="40"/>
      <c r="D34" s="8">
        <v>31</v>
      </c>
      <c r="E34" s="307" t="s">
        <v>884</v>
      </c>
      <c r="F34" s="8" t="s">
        <v>885</v>
      </c>
    </row>
    <row r="35" spans="2:6" ht="16" customHeight="1" x14ac:dyDescent="0.2">
      <c r="B35" s="3"/>
      <c r="C35" s="342"/>
      <c r="D35" s="8">
        <v>32</v>
      </c>
      <c r="E35" s="307" t="s">
        <v>886</v>
      </c>
      <c r="F35" s="39" t="s">
        <v>887</v>
      </c>
    </row>
    <row r="36" spans="2:6" ht="16" customHeight="1" x14ac:dyDescent="0.2">
      <c r="B36" s="3"/>
      <c r="C36" s="40"/>
      <c r="D36" s="8">
        <v>33</v>
      </c>
      <c r="E36" s="307" t="s">
        <v>888</v>
      </c>
      <c r="F36" s="8" t="s">
        <v>889</v>
      </c>
    </row>
    <row r="37" spans="2:6" ht="16" customHeight="1" x14ac:dyDescent="0.2">
      <c r="B37" s="3"/>
      <c r="C37" s="40"/>
      <c r="D37" s="8">
        <v>34</v>
      </c>
      <c r="E37" s="307" t="s">
        <v>890</v>
      </c>
      <c r="F37" s="8" t="s">
        <v>891</v>
      </c>
    </row>
    <row r="38" spans="2:6" ht="16" customHeight="1" x14ac:dyDescent="0.2">
      <c r="B38" s="3"/>
      <c r="C38" s="40"/>
      <c r="D38" s="8">
        <v>35</v>
      </c>
      <c r="E38" s="307" t="s">
        <v>892</v>
      </c>
      <c r="F38" s="8" t="s">
        <v>893</v>
      </c>
    </row>
    <row r="39" spans="2:6" ht="16" customHeight="1" x14ac:dyDescent="0.2">
      <c r="B39" s="3"/>
      <c r="C39" s="40"/>
      <c r="D39" s="8">
        <v>36</v>
      </c>
      <c r="E39" s="307" t="s">
        <v>894</v>
      </c>
      <c r="F39" s="8" t="s">
        <v>895</v>
      </c>
    </row>
    <row r="40" spans="2:6" ht="16" customHeight="1" x14ac:dyDescent="0.2">
      <c r="B40" s="3"/>
      <c r="C40" s="40"/>
      <c r="D40" s="8">
        <v>37</v>
      </c>
      <c r="E40" s="307" t="s">
        <v>896</v>
      </c>
      <c r="F40" s="8" t="s">
        <v>897</v>
      </c>
    </row>
    <row r="41" spans="2:6" ht="16" customHeight="1" x14ac:dyDescent="0.2">
      <c r="B41" s="3"/>
      <c r="C41" s="40"/>
      <c r="D41" s="8">
        <v>38</v>
      </c>
      <c r="E41" s="307" t="s">
        <v>898</v>
      </c>
      <c r="F41" s="8" t="s">
        <v>899</v>
      </c>
    </row>
    <row r="42" spans="2:6" ht="16" customHeight="1" x14ac:dyDescent="0.2">
      <c r="B42" s="3"/>
      <c r="C42" s="40"/>
      <c r="D42" s="8">
        <v>39</v>
      </c>
      <c r="E42" s="307" t="s">
        <v>900</v>
      </c>
      <c r="F42" s="8" t="s">
        <v>901</v>
      </c>
    </row>
    <row r="43" spans="2:6" ht="16" customHeight="1" x14ac:dyDescent="0.2">
      <c r="B43" s="3"/>
      <c r="C43" s="40" t="s">
        <v>823</v>
      </c>
      <c r="D43" s="8">
        <v>40</v>
      </c>
      <c r="E43" s="307" t="s">
        <v>902</v>
      </c>
      <c r="F43" s="8" t="s">
        <v>903</v>
      </c>
    </row>
    <row r="44" spans="2:6" ht="16" customHeight="1" x14ac:dyDescent="0.2">
      <c r="B44" s="3"/>
      <c r="C44" s="40"/>
      <c r="D44" s="8">
        <v>41</v>
      </c>
      <c r="E44" s="307" t="s">
        <v>904</v>
      </c>
      <c r="F44" s="8" t="s">
        <v>905</v>
      </c>
    </row>
    <row r="45" spans="2:6" ht="16" customHeight="1" x14ac:dyDescent="0.2">
      <c r="B45" s="3"/>
      <c r="C45" s="40"/>
      <c r="D45" s="8">
        <v>42</v>
      </c>
      <c r="E45" s="307" t="s">
        <v>906</v>
      </c>
      <c r="F45" s="8" t="s">
        <v>907</v>
      </c>
    </row>
    <row r="46" spans="2:6" ht="16" customHeight="1" x14ac:dyDescent="0.2">
      <c r="B46" s="3"/>
      <c r="C46" s="40"/>
      <c r="D46" s="8">
        <v>43</v>
      </c>
      <c r="E46" s="307" t="s">
        <v>908</v>
      </c>
      <c r="F46" s="8" t="s">
        <v>909</v>
      </c>
    </row>
    <row r="47" spans="2:6" ht="16" customHeight="1" x14ac:dyDescent="0.2">
      <c r="B47" s="3"/>
      <c r="C47" s="342"/>
      <c r="D47" s="8">
        <v>44</v>
      </c>
      <c r="E47" s="307" t="s">
        <v>910</v>
      </c>
      <c r="F47" s="39" t="s">
        <v>911</v>
      </c>
    </row>
    <row r="48" spans="2:6" ht="16" customHeight="1" x14ac:dyDescent="0.2">
      <c r="B48" s="3"/>
      <c r="C48" s="40"/>
      <c r="D48" s="8">
        <v>45</v>
      </c>
      <c r="E48" s="307" t="s">
        <v>912</v>
      </c>
      <c r="F48" s="8" t="s">
        <v>913</v>
      </c>
    </row>
    <row r="49" spans="2:6" ht="16" customHeight="1" x14ac:dyDescent="0.2">
      <c r="B49" s="3"/>
      <c r="C49" s="40"/>
      <c r="D49" s="8">
        <v>46</v>
      </c>
      <c r="E49" s="307" t="s">
        <v>914</v>
      </c>
      <c r="F49" s="8" t="s">
        <v>915</v>
      </c>
    </row>
    <row r="50" spans="2:6" ht="16" customHeight="1" x14ac:dyDescent="0.2">
      <c r="B50" s="3"/>
      <c r="C50" s="40"/>
      <c r="D50" s="8">
        <v>47</v>
      </c>
      <c r="E50" s="307" t="s">
        <v>916</v>
      </c>
      <c r="F50" s="8" t="s">
        <v>917</v>
      </c>
    </row>
    <row r="51" spans="2:6" ht="16" customHeight="1" x14ac:dyDescent="0.2">
      <c r="B51" s="3"/>
      <c r="C51" s="40"/>
      <c r="D51" s="8">
        <v>48</v>
      </c>
      <c r="E51" s="307" t="s">
        <v>918</v>
      </c>
      <c r="F51" s="8" t="s">
        <v>919</v>
      </c>
    </row>
    <row r="52" spans="2:6" ht="16" customHeight="1" x14ac:dyDescent="0.2">
      <c r="B52" s="3"/>
      <c r="C52" s="342"/>
      <c r="D52" s="8">
        <v>49</v>
      </c>
      <c r="E52" s="307" t="s">
        <v>920</v>
      </c>
      <c r="F52" s="39" t="s">
        <v>921</v>
      </c>
    </row>
    <row r="53" spans="2:6" ht="16" customHeight="1" x14ac:dyDescent="0.2">
      <c r="B53" s="3"/>
      <c r="C53" s="40"/>
      <c r="D53" s="8">
        <v>50</v>
      </c>
      <c r="E53" s="307" t="s">
        <v>922</v>
      </c>
      <c r="F53" s="8" t="s">
        <v>923</v>
      </c>
    </row>
    <row r="54" spans="2:6" ht="16" customHeight="1" x14ac:dyDescent="0.2">
      <c r="B54" s="3"/>
      <c r="C54" s="40"/>
      <c r="D54" s="8">
        <v>51</v>
      </c>
      <c r="E54" s="307" t="s">
        <v>924</v>
      </c>
      <c r="F54" s="8" t="s">
        <v>925</v>
      </c>
    </row>
    <row r="55" spans="2:6" ht="16" customHeight="1" x14ac:dyDescent="0.2">
      <c r="B55" s="3"/>
      <c r="C55" s="40"/>
      <c r="D55" s="8">
        <v>52</v>
      </c>
      <c r="E55" s="307" t="s">
        <v>926</v>
      </c>
      <c r="F55" s="8" t="s">
        <v>927</v>
      </c>
    </row>
    <row r="56" spans="2:6" ht="16" customHeight="1" x14ac:dyDescent="0.2">
      <c r="B56" s="3"/>
      <c r="C56" s="40"/>
      <c r="D56" s="8">
        <v>53</v>
      </c>
      <c r="E56" s="307" t="s">
        <v>928</v>
      </c>
      <c r="F56" s="8" t="s">
        <v>929</v>
      </c>
    </row>
    <row r="57" spans="2:6" ht="16" customHeight="1" x14ac:dyDescent="0.2">
      <c r="B57" s="3"/>
      <c r="C57" s="40"/>
      <c r="D57" s="8">
        <v>54</v>
      </c>
      <c r="E57" s="307" t="s">
        <v>930</v>
      </c>
      <c r="F57" s="8" t="s">
        <v>931</v>
      </c>
    </row>
    <row r="58" spans="2:6" ht="16" customHeight="1" x14ac:dyDescent="0.2">
      <c r="B58" s="3"/>
      <c r="C58" s="40"/>
      <c r="D58" s="8">
        <v>55</v>
      </c>
      <c r="E58" s="307" t="s">
        <v>932</v>
      </c>
      <c r="F58" s="8" t="s">
        <v>933</v>
      </c>
    </row>
    <row r="59" spans="2:6" ht="16" customHeight="1" x14ac:dyDescent="0.2">
      <c r="B59" s="3"/>
      <c r="C59" s="40"/>
      <c r="D59" s="8">
        <v>56</v>
      </c>
      <c r="E59" s="307" t="s">
        <v>934</v>
      </c>
      <c r="F59" s="8" t="s">
        <v>935</v>
      </c>
    </row>
    <row r="60" spans="2:6" ht="16" customHeight="1" x14ac:dyDescent="0.2">
      <c r="B60" s="3"/>
      <c r="C60" s="40"/>
      <c r="D60" s="8">
        <v>57</v>
      </c>
      <c r="E60" s="307" t="s">
        <v>936</v>
      </c>
      <c r="F60" s="8" t="s">
        <v>937</v>
      </c>
    </row>
    <row r="61" spans="2:6" ht="16" customHeight="1" x14ac:dyDescent="0.2">
      <c r="B61" s="3"/>
      <c r="C61" s="40"/>
      <c r="D61" s="8">
        <v>58</v>
      </c>
      <c r="E61" s="307" t="s">
        <v>938</v>
      </c>
      <c r="F61" s="8" t="s">
        <v>939</v>
      </c>
    </row>
    <row r="62" spans="2:6" ht="16" customHeight="1" x14ac:dyDescent="0.2">
      <c r="B62" s="3"/>
      <c r="C62" s="40"/>
      <c r="D62" s="8">
        <v>59</v>
      </c>
      <c r="E62" s="307" t="s">
        <v>940</v>
      </c>
      <c r="F62" s="8" t="s">
        <v>941</v>
      </c>
    </row>
    <row r="63" spans="2:6" ht="16" customHeight="1" x14ac:dyDescent="0.2">
      <c r="B63" s="3"/>
      <c r="C63" s="40"/>
      <c r="D63" s="8">
        <v>60</v>
      </c>
      <c r="E63" s="307" t="s">
        <v>942</v>
      </c>
      <c r="F63" s="8" t="s">
        <v>943</v>
      </c>
    </row>
    <row r="64" spans="2:6" ht="16" customHeight="1" x14ac:dyDescent="0.2">
      <c r="B64" s="3"/>
      <c r="C64" s="40"/>
      <c r="D64" s="8">
        <v>61</v>
      </c>
      <c r="E64" s="307" t="s">
        <v>944</v>
      </c>
      <c r="F64" s="8" t="s">
        <v>945</v>
      </c>
    </row>
    <row r="65" spans="2:6" ht="16" customHeight="1" x14ac:dyDescent="0.2">
      <c r="B65" s="3"/>
      <c r="C65" s="40"/>
      <c r="D65" s="8">
        <v>62</v>
      </c>
      <c r="E65" s="307" t="s">
        <v>946</v>
      </c>
      <c r="F65" s="8" t="s">
        <v>947</v>
      </c>
    </row>
    <row r="66" spans="2:6" ht="16" customHeight="1" x14ac:dyDescent="0.2">
      <c r="B66" s="3"/>
      <c r="C66" s="40"/>
      <c r="D66" s="8">
        <v>63</v>
      </c>
      <c r="E66" s="307" t="s">
        <v>948</v>
      </c>
      <c r="F66" s="8" t="s">
        <v>949</v>
      </c>
    </row>
    <row r="67" spans="2:6" ht="16" customHeight="1" x14ac:dyDescent="0.2">
      <c r="B67" s="3"/>
      <c r="C67" s="40"/>
      <c r="D67" s="8">
        <v>64</v>
      </c>
      <c r="E67" s="307" t="s">
        <v>950</v>
      </c>
      <c r="F67" s="8" t="s">
        <v>951</v>
      </c>
    </row>
    <row r="68" spans="2:6" ht="16" customHeight="1" x14ac:dyDescent="0.2">
      <c r="B68" s="3"/>
      <c r="C68" s="40"/>
      <c r="D68" s="8">
        <v>65</v>
      </c>
      <c r="E68" s="307" t="s">
        <v>952</v>
      </c>
      <c r="F68" s="8" t="s">
        <v>953</v>
      </c>
    </row>
    <row r="69" spans="2:6" ht="16" customHeight="1" x14ac:dyDescent="0.2">
      <c r="B69" s="3"/>
      <c r="C69" s="40"/>
      <c r="D69" s="8">
        <v>66</v>
      </c>
      <c r="E69" s="307" t="s">
        <v>954</v>
      </c>
      <c r="F69" s="8" t="s">
        <v>955</v>
      </c>
    </row>
    <row r="70" spans="2:6" ht="16" customHeight="1" x14ac:dyDescent="0.2">
      <c r="B70" s="3"/>
      <c r="C70" s="40"/>
      <c r="D70" s="8">
        <v>67</v>
      </c>
      <c r="E70" s="307" t="s">
        <v>956</v>
      </c>
      <c r="F70" s="8" t="s">
        <v>957</v>
      </c>
    </row>
    <row r="71" spans="2:6" ht="16" customHeight="1" x14ac:dyDescent="0.2">
      <c r="B71" s="3"/>
      <c r="C71" s="342"/>
      <c r="D71" s="8">
        <v>68</v>
      </c>
      <c r="E71" s="307" t="s">
        <v>958</v>
      </c>
      <c r="F71" s="39" t="s">
        <v>959</v>
      </c>
    </row>
    <row r="72" spans="2:6" ht="16" customHeight="1" x14ac:dyDescent="0.2">
      <c r="B72" s="3"/>
      <c r="C72" s="40"/>
      <c r="D72" s="8">
        <v>69</v>
      </c>
      <c r="E72" s="307" t="s">
        <v>960</v>
      </c>
      <c r="F72" s="8" t="s">
        <v>961</v>
      </c>
    </row>
    <row r="73" spans="2:6" ht="16" customHeight="1" x14ac:dyDescent="0.2">
      <c r="B73" s="3"/>
      <c r="C73" s="40" t="s">
        <v>823</v>
      </c>
      <c r="D73" s="8">
        <v>70</v>
      </c>
      <c r="E73" s="307" t="s">
        <v>962</v>
      </c>
      <c r="F73" s="8" t="s">
        <v>963</v>
      </c>
    </row>
    <row r="74" spans="2:6" ht="16" customHeight="1" x14ac:dyDescent="0.2">
      <c r="B74" s="3"/>
      <c r="C74" s="40"/>
      <c r="D74" s="8">
        <v>71</v>
      </c>
      <c r="E74" s="307" t="s">
        <v>964</v>
      </c>
      <c r="F74" s="8" t="s">
        <v>965</v>
      </c>
    </row>
    <row r="75" spans="2:6" ht="16" customHeight="1" x14ac:dyDescent="0.2">
      <c r="B75" s="3"/>
      <c r="C75" s="40"/>
      <c r="D75" s="8">
        <v>72</v>
      </c>
      <c r="E75" s="307" t="s">
        <v>966</v>
      </c>
      <c r="F75" s="8" t="s">
        <v>967</v>
      </c>
    </row>
    <row r="76" spans="2:6" ht="16" customHeight="1" x14ac:dyDescent="0.2">
      <c r="B76" s="3"/>
      <c r="C76" s="40" t="s">
        <v>823</v>
      </c>
      <c r="D76" s="8">
        <v>73</v>
      </c>
      <c r="E76" s="307" t="s">
        <v>968</v>
      </c>
      <c r="F76" s="8" t="s">
        <v>969</v>
      </c>
    </row>
    <row r="77" spans="2:6" ht="16" customHeight="1" x14ac:dyDescent="0.2">
      <c r="B77" s="3"/>
      <c r="C77" s="40"/>
      <c r="D77" s="8">
        <v>74</v>
      </c>
      <c r="E77" s="307" t="s">
        <v>970</v>
      </c>
      <c r="F77" s="8" t="s">
        <v>971</v>
      </c>
    </row>
    <row r="78" spans="2:6" ht="16" customHeight="1" x14ac:dyDescent="0.2">
      <c r="B78" s="3"/>
      <c r="C78" s="40"/>
      <c r="D78" s="8">
        <v>75</v>
      </c>
      <c r="E78" s="307" t="s">
        <v>972</v>
      </c>
      <c r="F78" s="8" t="s">
        <v>973</v>
      </c>
    </row>
    <row r="79" spans="2:6" ht="16" customHeight="1" x14ac:dyDescent="0.2">
      <c r="B79" s="3"/>
      <c r="C79" s="40"/>
      <c r="D79" s="8">
        <v>76</v>
      </c>
      <c r="E79" s="307" t="s">
        <v>974</v>
      </c>
      <c r="F79" s="8" t="s">
        <v>975</v>
      </c>
    </row>
    <row r="80" spans="2:6" ht="16" customHeight="1" x14ac:dyDescent="0.2">
      <c r="B80" s="3"/>
      <c r="C80" s="342"/>
      <c r="D80" s="8">
        <v>77</v>
      </c>
      <c r="E80" s="307" t="s">
        <v>976</v>
      </c>
      <c r="F80" s="39" t="s">
        <v>977</v>
      </c>
    </row>
    <row r="81" spans="2:6" ht="16" customHeight="1" x14ac:dyDescent="0.2">
      <c r="B81" s="3"/>
      <c r="C81" s="40"/>
      <c r="D81" s="8">
        <v>78</v>
      </c>
      <c r="E81" s="307" t="s">
        <v>978</v>
      </c>
      <c r="F81" s="8" t="s">
        <v>979</v>
      </c>
    </row>
    <row r="82" spans="2:6" ht="16" customHeight="1" x14ac:dyDescent="0.2">
      <c r="B82" s="3"/>
      <c r="C82" s="40"/>
      <c r="D82" s="8">
        <v>79</v>
      </c>
      <c r="E82" s="307" t="s">
        <v>980</v>
      </c>
      <c r="F82" s="8" t="s">
        <v>981</v>
      </c>
    </row>
    <row r="83" spans="2:6" ht="16" customHeight="1" x14ac:dyDescent="0.2">
      <c r="B83" s="3"/>
      <c r="C83" s="40"/>
      <c r="D83" s="8">
        <v>80</v>
      </c>
      <c r="E83" s="307" t="s">
        <v>982</v>
      </c>
      <c r="F83" s="8" t="s">
        <v>983</v>
      </c>
    </row>
    <row r="84" spans="2:6" ht="16" customHeight="1" x14ac:dyDescent="0.2">
      <c r="B84" s="3"/>
      <c r="C84" s="40" t="s">
        <v>823</v>
      </c>
      <c r="D84" s="8">
        <v>81</v>
      </c>
      <c r="E84" s="307" t="s">
        <v>984</v>
      </c>
      <c r="F84" s="8" t="s">
        <v>985</v>
      </c>
    </row>
    <row r="85" spans="2:6" ht="16" customHeight="1" x14ac:dyDescent="0.2">
      <c r="B85" s="3"/>
      <c r="C85" s="40"/>
      <c r="D85" s="8">
        <v>82</v>
      </c>
      <c r="E85" s="307" t="s">
        <v>986</v>
      </c>
      <c r="F85" s="8" t="s">
        <v>987</v>
      </c>
    </row>
    <row r="86" spans="2:6" ht="16" customHeight="1" x14ac:dyDescent="0.2">
      <c r="B86" s="3"/>
      <c r="C86" s="342"/>
      <c r="D86" s="8">
        <v>83</v>
      </c>
      <c r="E86" s="307" t="s">
        <v>988</v>
      </c>
      <c r="F86" s="39" t="s">
        <v>989</v>
      </c>
    </row>
    <row r="87" spans="2:6" ht="16" customHeight="1" x14ac:dyDescent="0.2">
      <c r="B87" s="3"/>
      <c r="C87" s="40"/>
      <c r="D87" s="8">
        <v>84</v>
      </c>
      <c r="E87" s="307" t="s">
        <v>990</v>
      </c>
      <c r="F87" s="8" t="s">
        <v>991</v>
      </c>
    </row>
    <row r="88" spans="2:6" ht="16" customHeight="1" x14ac:dyDescent="0.2">
      <c r="B88" s="3"/>
      <c r="C88" s="40"/>
      <c r="D88" s="8">
        <v>85</v>
      </c>
      <c r="E88" s="307" t="s">
        <v>992</v>
      </c>
      <c r="F88" s="8" t="s">
        <v>993</v>
      </c>
    </row>
    <row r="89" spans="2:6" ht="16" customHeight="1" x14ac:dyDescent="0.2">
      <c r="B89" s="3"/>
      <c r="C89" s="40"/>
      <c r="D89" s="8">
        <v>86</v>
      </c>
      <c r="E89" s="307" t="s">
        <v>994</v>
      </c>
      <c r="F89" s="8" t="s">
        <v>995</v>
      </c>
    </row>
    <row r="90" spans="2:6" ht="16" customHeight="1" x14ac:dyDescent="0.2">
      <c r="B90" s="3"/>
      <c r="C90" s="40"/>
      <c r="D90" s="8">
        <v>87</v>
      </c>
      <c r="E90" s="307" t="s">
        <v>996</v>
      </c>
      <c r="F90" s="8" t="s">
        <v>997</v>
      </c>
    </row>
    <row r="91" spans="2:6" ht="16" customHeight="1" x14ac:dyDescent="0.2">
      <c r="B91" s="3"/>
      <c r="C91" s="40" t="s">
        <v>823</v>
      </c>
      <c r="D91" s="8">
        <v>88</v>
      </c>
      <c r="E91" s="307" t="s">
        <v>998</v>
      </c>
      <c r="F91" s="8" t="s">
        <v>999</v>
      </c>
    </row>
    <row r="92" spans="2:6" ht="16" customHeight="1" x14ac:dyDescent="0.2">
      <c r="B92" s="3"/>
      <c r="C92" s="40"/>
      <c r="D92" s="8">
        <v>89</v>
      </c>
      <c r="E92" s="307" t="s">
        <v>1000</v>
      </c>
      <c r="F92" s="8" t="s">
        <v>1001</v>
      </c>
    </row>
    <row r="93" spans="2:6" ht="16" customHeight="1" x14ac:dyDescent="0.2">
      <c r="B93" s="3"/>
      <c r="C93" s="342"/>
      <c r="D93" s="8">
        <v>90</v>
      </c>
      <c r="E93" s="307" t="s">
        <v>1002</v>
      </c>
      <c r="F93" s="39" t="s">
        <v>1003</v>
      </c>
    </row>
    <row r="94" spans="2:6" x14ac:dyDescent="0.2">
      <c r="C94" s="6"/>
      <c r="D94" s="310"/>
      <c r="E94" s="310"/>
      <c r="F94" s="7"/>
    </row>
  </sheetData>
  <sheetProtection algorithmName="SHA-512" hashValue="8W6xvTwwwCeUOLf1n5pI0ajNkuWE8Dd5ozY0kcc6X3x4W6f8yZ2fkjcIaB7SB2maxNjLqvcLYRUhK6dxTUH8uw==" saltValue="3rytHyRKSHNjHTY05+X/Ug==" spinCount="100000" sheet="1" selectLockedCells="1"/>
  <autoFilter ref="C3:F93" xr:uid="{00000000-0009-0000-0000-000002000000}"/>
  <conditionalFormatting sqref="D1:D84 D86:D1048576">
    <cfRule type="duplicateValues" dxfId="1" priority="2"/>
  </conditionalFormatting>
  <conditionalFormatting sqref="D85">
    <cfRule type="duplicateValues" dxfId="0" priority="1"/>
  </conditionalFormatting>
  <dataValidations count="1">
    <dataValidation type="list"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0"/>
  <sheetViews>
    <sheetView topLeftCell="A5" zoomScale="72" zoomScaleNormal="90" workbookViewId="0">
      <selection activeCell="D13" sqref="D13"/>
    </sheetView>
  </sheetViews>
  <sheetFormatPr baseColWidth="10" defaultColWidth="10.83203125" defaultRowHeight="16" x14ac:dyDescent="0.2"/>
  <cols>
    <col min="1" max="1" width="10.83203125" style="103" customWidth="1"/>
    <col min="2" max="2" width="8.83203125" style="103" customWidth="1"/>
    <col min="3" max="3" width="27.5" style="103" customWidth="1"/>
    <col min="4" max="4" width="28" style="103" customWidth="1"/>
    <col min="5" max="5" width="51.1640625" style="143" customWidth="1"/>
    <col min="6" max="6" width="22.83203125" style="103" customWidth="1"/>
    <col min="7" max="8" width="10.83203125" style="103" customWidth="1"/>
    <col min="9" max="9" width="44" style="103" customWidth="1"/>
    <col min="10" max="10" width="10.83203125" style="103" customWidth="1"/>
    <col min="11" max="16384" width="10.83203125" style="103"/>
  </cols>
  <sheetData>
    <row r="1" spans="1:10" ht="40" customHeight="1" thickBot="1" x14ac:dyDescent="0.25">
      <c r="C1" s="104"/>
      <c r="D1" s="104"/>
      <c r="E1" s="131"/>
      <c r="F1" s="104"/>
    </row>
    <row r="2" spans="1:10" ht="17" customHeight="1" thickBot="1" x14ac:dyDescent="0.25">
      <c r="A2" s="105"/>
      <c r="B2" s="106"/>
      <c r="C2" s="107" t="s">
        <v>1004</v>
      </c>
      <c r="D2" s="108" t="s">
        <v>1005</v>
      </c>
      <c r="E2" s="132" t="s">
        <v>1006</v>
      </c>
      <c r="F2" s="109" t="s">
        <v>1007</v>
      </c>
      <c r="G2" s="110"/>
    </row>
    <row r="3" spans="1:10" ht="32" customHeight="1" x14ac:dyDescent="0.2">
      <c r="A3" s="105"/>
      <c r="B3" s="609" t="s">
        <v>1008</v>
      </c>
      <c r="C3" s="111" t="s">
        <v>1009</v>
      </c>
      <c r="D3" s="466" t="s">
        <v>1010</v>
      </c>
      <c r="E3" s="133" t="s">
        <v>1011</v>
      </c>
      <c r="F3" s="112" t="s">
        <v>1012</v>
      </c>
      <c r="G3" s="110"/>
    </row>
    <row r="4" spans="1:10" ht="32" customHeight="1" x14ac:dyDescent="0.2">
      <c r="A4" s="105"/>
      <c r="B4" s="592"/>
      <c r="C4" s="113" t="s">
        <v>1013</v>
      </c>
      <c r="D4" s="394" t="s">
        <v>1014</v>
      </c>
      <c r="E4" s="134" t="s">
        <v>1015</v>
      </c>
      <c r="F4" s="114" t="s">
        <v>1016</v>
      </c>
      <c r="G4" s="110"/>
    </row>
    <row r="5" spans="1:10" ht="80" customHeight="1" x14ac:dyDescent="0.2">
      <c r="A5" s="105"/>
      <c r="B5" s="592"/>
      <c r="C5" s="113" t="s">
        <v>1017</v>
      </c>
      <c r="D5" s="394" t="s">
        <v>1018</v>
      </c>
      <c r="E5" s="134" t="s">
        <v>1019</v>
      </c>
      <c r="F5" s="114" t="s">
        <v>1018</v>
      </c>
      <c r="G5" s="110"/>
    </row>
    <row r="6" spans="1:10" ht="76" customHeight="1" x14ac:dyDescent="0.2">
      <c r="A6" s="105"/>
      <c r="B6" s="592"/>
      <c r="C6" s="113" t="s">
        <v>1020</v>
      </c>
      <c r="D6" s="394" t="s">
        <v>1021</v>
      </c>
      <c r="E6" s="135" t="s">
        <v>1022</v>
      </c>
      <c r="F6" s="115" t="s">
        <v>1023</v>
      </c>
      <c r="G6" s="110"/>
      <c r="H6" s="478"/>
    </row>
    <row r="7" spans="1:10" ht="76" customHeight="1" x14ac:dyDescent="0.2">
      <c r="A7" s="105"/>
      <c r="B7" s="592"/>
      <c r="C7" s="113" t="s">
        <v>1024</v>
      </c>
      <c r="D7" s="394" t="s">
        <v>1025</v>
      </c>
      <c r="E7" s="135" t="s">
        <v>1026</v>
      </c>
      <c r="F7" s="115" t="s">
        <v>1027</v>
      </c>
      <c r="G7" s="110"/>
    </row>
    <row r="8" spans="1:10" ht="76" customHeight="1" x14ac:dyDescent="0.2">
      <c r="A8" s="105"/>
      <c r="B8" s="592"/>
      <c r="C8" s="119" t="s">
        <v>1028</v>
      </c>
      <c r="D8" s="394" t="s">
        <v>1029</v>
      </c>
      <c r="E8" s="316" t="s">
        <v>1030</v>
      </c>
      <c r="F8" s="115" t="s">
        <v>1031</v>
      </c>
      <c r="G8" s="110"/>
    </row>
    <row r="9" spans="1:10" ht="50.25" customHeight="1" thickBot="1" x14ac:dyDescent="0.25">
      <c r="A9" s="105"/>
      <c r="B9" s="607"/>
      <c r="C9" s="344" t="s">
        <v>1032</v>
      </c>
      <c r="D9" s="479"/>
      <c r="E9" s="312" t="s">
        <v>1033</v>
      </c>
      <c r="F9" s="343">
        <v>0.2</v>
      </c>
      <c r="G9" s="110"/>
    </row>
    <row r="10" spans="1:10" ht="32" customHeight="1" x14ac:dyDescent="0.2">
      <c r="A10" s="105"/>
      <c r="B10" s="609" t="s">
        <v>1034</v>
      </c>
      <c r="C10" s="117" t="s">
        <v>1035</v>
      </c>
      <c r="D10" s="467" t="s">
        <v>1036</v>
      </c>
      <c r="E10" s="137" t="s">
        <v>1037</v>
      </c>
      <c r="F10" s="118" t="s">
        <v>1038</v>
      </c>
      <c r="G10" s="110"/>
    </row>
    <row r="11" spans="1:10" ht="94" customHeight="1" x14ac:dyDescent="0.2">
      <c r="A11" s="105"/>
      <c r="B11" s="592"/>
      <c r="C11" s="313" t="s">
        <v>1039</v>
      </c>
      <c r="D11" s="144">
        <v>100</v>
      </c>
      <c r="E11" s="314" t="s">
        <v>1040</v>
      </c>
      <c r="F11" s="315">
        <v>5</v>
      </c>
      <c r="G11" s="110"/>
      <c r="I11" s="104"/>
    </row>
    <row r="12" spans="1:10" ht="158" customHeight="1" x14ac:dyDescent="0.2">
      <c r="A12" s="105"/>
      <c r="B12" s="592"/>
      <c r="C12" s="113" t="s">
        <v>1041</v>
      </c>
      <c r="D12" s="480">
        <v>5000000</v>
      </c>
      <c r="E12" s="135" t="s">
        <v>1042</v>
      </c>
      <c r="F12" s="145">
        <v>5000000</v>
      </c>
      <c r="G12" s="110"/>
      <c r="H12" s="105"/>
      <c r="I12" s="146"/>
      <c r="J12" s="110"/>
    </row>
    <row r="13" spans="1:10" ht="116.25" customHeight="1" x14ac:dyDescent="0.2">
      <c r="A13" s="105"/>
      <c r="B13" s="592"/>
      <c r="C13" s="313" t="s">
        <v>1043</v>
      </c>
      <c r="D13" s="144"/>
      <c r="E13" s="316" t="s">
        <v>1044</v>
      </c>
      <c r="F13" s="145">
        <v>1200000</v>
      </c>
      <c r="G13" s="110"/>
      <c r="I13" s="130"/>
    </row>
    <row r="14" spans="1:10" ht="50.25" customHeight="1" x14ac:dyDescent="0.2">
      <c r="A14" s="105"/>
      <c r="B14" s="592"/>
      <c r="C14" s="119" t="s">
        <v>1045</v>
      </c>
      <c r="D14" s="586" t="s">
        <v>1046</v>
      </c>
      <c r="E14" s="135" t="s">
        <v>1047</v>
      </c>
      <c r="F14" s="115" t="s">
        <v>1048</v>
      </c>
      <c r="G14" s="110"/>
    </row>
    <row r="15" spans="1:10" ht="50.25" customHeight="1" thickBot="1" x14ac:dyDescent="0.25">
      <c r="A15" s="105"/>
      <c r="B15" s="607"/>
      <c r="C15" s="120" t="s">
        <v>1049</v>
      </c>
      <c r="D15" s="586" t="s">
        <v>1050</v>
      </c>
      <c r="E15" s="138" t="s">
        <v>1051</v>
      </c>
      <c r="F15" s="116" t="s">
        <v>1052</v>
      </c>
      <c r="G15" s="110"/>
    </row>
    <row r="16" spans="1:10" ht="5.5" customHeight="1" thickBot="1" x14ac:dyDescent="0.25">
      <c r="A16" s="105"/>
      <c r="B16" s="121"/>
      <c r="C16" s="122"/>
      <c r="D16" s="481"/>
      <c r="E16" s="136"/>
      <c r="F16" s="123"/>
      <c r="G16" s="110"/>
    </row>
    <row r="17" spans="1:7" ht="144" customHeight="1" x14ac:dyDescent="0.2">
      <c r="A17" s="105"/>
      <c r="B17" s="608" t="s">
        <v>1053</v>
      </c>
      <c r="C17" s="124" t="s">
        <v>1054</v>
      </c>
      <c r="D17" s="482">
        <v>0.91</v>
      </c>
      <c r="E17" s="139" t="s">
        <v>1055</v>
      </c>
      <c r="F17" s="125">
        <v>0.91</v>
      </c>
      <c r="G17" s="110"/>
    </row>
    <row r="18" spans="1:7" ht="144" customHeight="1" x14ac:dyDescent="0.2">
      <c r="A18" s="105"/>
      <c r="B18" s="592"/>
      <c r="C18" s="126" t="s">
        <v>1056</v>
      </c>
      <c r="D18" s="483">
        <v>0.91</v>
      </c>
      <c r="E18" s="140" t="s">
        <v>1057</v>
      </c>
      <c r="F18" s="127">
        <v>0.91</v>
      </c>
      <c r="G18" s="110"/>
    </row>
    <row r="19" spans="1:7" ht="129" customHeight="1" thickBot="1" x14ac:dyDescent="0.25">
      <c r="A19" s="105"/>
      <c r="B19" s="607"/>
      <c r="C19" s="128" t="s">
        <v>1058</v>
      </c>
      <c r="D19" s="484">
        <v>0.05</v>
      </c>
      <c r="E19" s="141" t="s">
        <v>1059</v>
      </c>
      <c r="F19" s="129">
        <v>0.05</v>
      </c>
      <c r="G19" s="110"/>
    </row>
    <row r="20" spans="1:7" x14ac:dyDescent="0.2">
      <c r="B20" s="130"/>
      <c r="C20" s="130"/>
      <c r="D20" s="130"/>
      <c r="E20" s="142"/>
      <c r="F20" s="130"/>
    </row>
  </sheetData>
  <sheetProtection algorithmName="SHA-512" hashValue="CdvLnQOY8o+ziHme3dCGOtXl8lyYebn9y2nk/IKyWBrW8M2xeNl2S7BOCnPwqWaAMLyC3CB458Y4riYteIKNBw==" saltValue="ZItfXca2FqD9bLvgyCCOAg==" spinCount="100000" sheet="1" formatCells="0"/>
  <mergeCells count="3">
    <mergeCell ref="B17:B19"/>
    <mergeCell ref="B3:B9"/>
    <mergeCell ref="B10:B15"/>
  </mergeCells>
  <dataValidations count="2">
    <dataValidation type="list" showInputMessage="1" showErrorMessage="1" sqref="D7" xr:uid="{00000000-0002-0000-0300-000000000000}">
      <formula1>"Not yet in season,Land preparation,Planting,Early growing,Growing,Maturing,Harvesting,Recently finished "</formula1>
    </dataValidation>
    <dataValidation type="list" showInputMessage="1" showErrorMessage="1" sqref="D5" xr:uid="{00000000-0002-0000-0300-000001000000}">
      <formula1>"last year, a normal year"</formula1>
    </dataValidation>
  </dataValidation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31"/>
  <sheetViews>
    <sheetView workbookViewId="0">
      <selection activeCell="B2" sqref="B2"/>
    </sheetView>
  </sheetViews>
  <sheetFormatPr baseColWidth="10" defaultColWidth="8.83203125" defaultRowHeight="15" x14ac:dyDescent="0.2"/>
  <cols>
    <col min="1" max="1" width="19.6640625" bestFit="1" customWidth="1"/>
    <col min="2" max="2" width="21.6640625" bestFit="1" customWidth="1"/>
    <col min="3" max="3" width="11.1640625" bestFit="1" customWidth="1"/>
    <col min="4" max="4" width="25.83203125" bestFit="1" customWidth="1"/>
    <col min="5" max="5" width="12.33203125" bestFit="1" customWidth="1"/>
    <col min="6" max="6" width="10.6640625" bestFit="1" customWidth="1"/>
    <col min="7" max="7" width="11.1640625" bestFit="1" customWidth="1"/>
    <col min="8" max="8" width="10.6640625" bestFit="1" customWidth="1"/>
    <col min="9" max="9" width="9.83203125" bestFit="1" customWidth="1"/>
  </cols>
  <sheetData>
    <row r="1" spans="1:9" x14ac:dyDescent="0.2">
      <c r="A1" s="587" t="s">
        <v>1060</v>
      </c>
      <c r="B1" s="587" t="s">
        <v>1061</v>
      </c>
      <c r="C1" s="587" t="s">
        <v>1062</v>
      </c>
      <c r="D1" s="587" t="s">
        <v>797</v>
      </c>
      <c r="E1" s="587" t="s">
        <v>1063</v>
      </c>
      <c r="F1" s="587" t="s">
        <v>796</v>
      </c>
      <c r="G1" s="587" t="s">
        <v>1064</v>
      </c>
      <c r="H1" s="587" t="s">
        <v>1065</v>
      </c>
      <c r="I1" s="587" t="s">
        <v>1066</v>
      </c>
    </row>
    <row r="2" spans="1:9" x14ac:dyDescent="0.2">
      <c r="A2" t="s">
        <v>1067</v>
      </c>
      <c r="B2" t="s">
        <v>1068</v>
      </c>
      <c r="C2" t="s">
        <v>1069</v>
      </c>
      <c r="D2" t="s">
        <v>1067</v>
      </c>
      <c r="E2" t="s">
        <v>1070</v>
      </c>
      <c r="F2" t="s">
        <v>1071</v>
      </c>
      <c r="G2" t="s">
        <v>1072</v>
      </c>
      <c r="H2" t="s">
        <v>1073</v>
      </c>
      <c r="I2" t="s">
        <v>1074</v>
      </c>
    </row>
    <row r="3" spans="1:9" x14ac:dyDescent="0.2">
      <c r="A3" t="s">
        <v>1075</v>
      </c>
      <c r="B3" t="s">
        <v>1076</v>
      </c>
      <c r="C3" t="s">
        <v>1077</v>
      </c>
      <c r="D3" t="s">
        <v>1078</v>
      </c>
      <c r="E3" t="s">
        <v>1079</v>
      </c>
      <c r="F3" t="s">
        <v>1071</v>
      </c>
      <c r="G3" t="s">
        <v>1072</v>
      </c>
      <c r="H3" t="s">
        <v>1073</v>
      </c>
      <c r="I3" t="s">
        <v>1074</v>
      </c>
    </row>
    <row r="4" spans="1:9" x14ac:dyDescent="0.2">
      <c r="A4" t="s">
        <v>1080</v>
      </c>
      <c r="B4" t="s">
        <v>1081</v>
      </c>
      <c r="C4" t="s">
        <v>1082</v>
      </c>
      <c r="D4" t="s">
        <v>1078</v>
      </c>
      <c r="E4" t="s">
        <v>1079</v>
      </c>
      <c r="F4" t="s">
        <v>1071</v>
      </c>
      <c r="G4" t="s">
        <v>1072</v>
      </c>
      <c r="H4" t="s">
        <v>1073</v>
      </c>
      <c r="I4" t="s">
        <v>1074</v>
      </c>
    </row>
    <row r="5" spans="1:9" x14ac:dyDescent="0.2">
      <c r="A5" t="s">
        <v>1083</v>
      </c>
      <c r="B5" t="s">
        <v>1084</v>
      </c>
      <c r="C5" t="s">
        <v>1085</v>
      </c>
      <c r="D5" t="s">
        <v>1086</v>
      </c>
      <c r="E5" t="s">
        <v>1087</v>
      </c>
      <c r="F5" t="s">
        <v>1071</v>
      </c>
      <c r="G5" t="s">
        <v>1072</v>
      </c>
      <c r="H5" t="s">
        <v>1073</v>
      </c>
      <c r="I5" t="s">
        <v>1074</v>
      </c>
    </row>
    <row r="6" spans="1:9" x14ac:dyDescent="0.2">
      <c r="A6" t="s">
        <v>1088</v>
      </c>
      <c r="B6" t="s">
        <v>1089</v>
      </c>
      <c r="C6" t="s">
        <v>1090</v>
      </c>
      <c r="D6" t="s">
        <v>1086</v>
      </c>
      <c r="E6" t="s">
        <v>1087</v>
      </c>
      <c r="F6" t="s">
        <v>1071</v>
      </c>
      <c r="G6" t="s">
        <v>1072</v>
      </c>
      <c r="H6" t="s">
        <v>1073</v>
      </c>
      <c r="I6" t="s">
        <v>1074</v>
      </c>
    </row>
    <row r="7" spans="1:9" x14ac:dyDescent="0.2">
      <c r="A7" t="s">
        <v>1091</v>
      </c>
      <c r="B7" t="s">
        <v>1092</v>
      </c>
      <c r="C7" t="s">
        <v>1093</v>
      </c>
      <c r="D7" t="s">
        <v>1094</v>
      </c>
      <c r="E7" t="s">
        <v>1095</v>
      </c>
      <c r="F7" t="s">
        <v>1096</v>
      </c>
      <c r="G7" t="s">
        <v>1097</v>
      </c>
      <c r="H7" t="s">
        <v>1073</v>
      </c>
      <c r="I7" t="s">
        <v>1074</v>
      </c>
    </row>
    <row r="8" spans="1:9" x14ac:dyDescent="0.2">
      <c r="A8" t="s">
        <v>1098</v>
      </c>
      <c r="B8" t="s">
        <v>1099</v>
      </c>
      <c r="C8" t="s">
        <v>1100</v>
      </c>
      <c r="D8" t="s">
        <v>1098</v>
      </c>
      <c r="E8" t="s">
        <v>1101</v>
      </c>
      <c r="F8" t="s">
        <v>1102</v>
      </c>
      <c r="G8" t="s">
        <v>1103</v>
      </c>
      <c r="H8" t="s">
        <v>1073</v>
      </c>
      <c r="I8" t="s">
        <v>1074</v>
      </c>
    </row>
    <row r="9" spans="1:9" x14ac:dyDescent="0.2">
      <c r="A9" t="s">
        <v>1104</v>
      </c>
      <c r="B9" t="s">
        <v>1105</v>
      </c>
      <c r="C9" t="s">
        <v>1106</v>
      </c>
      <c r="D9" t="s">
        <v>1104</v>
      </c>
      <c r="E9" t="s">
        <v>1107</v>
      </c>
      <c r="F9" t="s">
        <v>1096</v>
      </c>
      <c r="G9" t="s">
        <v>1097</v>
      </c>
      <c r="H9" t="s">
        <v>1073</v>
      </c>
      <c r="I9" t="s">
        <v>1074</v>
      </c>
    </row>
    <row r="10" spans="1:9" x14ac:dyDescent="0.2">
      <c r="A10" t="s">
        <v>1108</v>
      </c>
      <c r="B10" t="s">
        <v>1109</v>
      </c>
      <c r="C10" t="s">
        <v>1110</v>
      </c>
      <c r="D10" t="s">
        <v>1111</v>
      </c>
      <c r="E10" t="s">
        <v>1112</v>
      </c>
      <c r="F10" t="s">
        <v>1113</v>
      </c>
      <c r="G10" t="s">
        <v>1114</v>
      </c>
      <c r="H10" t="s">
        <v>1073</v>
      </c>
      <c r="I10" t="s">
        <v>1074</v>
      </c>
    </row>
    <row r="11" spans="1:9" x14ac:dyDescent="0.2">
      <c r="A11" t="s">
        <v>1115</v>
      </c>
      <c r="B11" t="s">
        <v>1116</v>
      </c>
      <c r="C11" t="s">
        <v>1117</v>
      </c>
      <c r="D11" t="s">
        <v>1118</v>
      </c>
      <c r="E11" t="s">
        <v>1119</v>
      </c>
      <c r="F11" t="s">
        <v>1113</v>
      </c>
      <c r="G11" t="s">
        <v>1114</v>
      </c>
      <c r="H11" t="s">
        <v>1073</v>
      </c>
      <c r="I11" t="s">
        <v>1074</v>
      </c>
    </row>
    <row r="12" spans="1:9" x14ac:dyDescent="0.2">
      <c r="A12" t="s">
        <v>1120</v>
      </c>
      <c r="B12" t="s">
        <v>1121</v>
      </c>
      <c r="C12" t="s">
        <v>1122</v>
      </c>
      <c r="D12" t="s">
        <v>1123</v>
      </c>
      <c r="E12" t="s">
        <v>1124</v>
      </c>
      <c r="F12" t="s">
        <v>1102</v>
      </c>
      <c r="G12" t="s">
        <v>1103</v>
      </c>
      <c r="H12" t="s">
        <v>1073</v>
      </c>
      <c r="I12" t="s">
        <v>1074</v>
      </c>
    </row>
    <row r="13" spans="1:9" x14ac:dyDescent="0.2">
      <c r="A13" t="s">
        <v>1125</v>
      </c>
      <c r="B13" t="s">
        <v>1126</v>
      </c>
      <c r="C13" t="s">
        <v>1127</v>
      </c>
      <c r="D13" t="s">
        <v>1096</v>
      </c>
      <c r="E13" t="s">
        <v>1128</v>
      </c>
      <c r="F13" t="s">
        <v>1096</v>
      </c>
      <c r="G13" t="s">
        <v>1097</v>
      </c>
      <c r="H13" t="s">
        <v>1073</v>
      </c>
      <c r="I13" t="s">
        <v>1074</v>
      </c>
    </row>
    <row r="14" spans="1:9" x14ac:dyDescent="0.2">
      <c r="A14" t="s">
        <v>1096</v>
      </c>
      <c r="B14" t="s">
        <v>1129</v>
      </c>
      <c r="C14" t="s">
        <v>1130</v>
      </c>
      <c r="D14" t="s">
        <v>1096</v>
      </c>
      <c r="E14" t="s">
        <v>1128</v>
      </c>
      <c r="F14" t="s">
        <v>1096</v>
      </c>
      <c r="G14" t="s">
        <v>1097</v>
      </c>
      <c r="H14" t="s">
        <v>1073</v>
      </c>
      <c r="I14" t="s">
        <v>1074</v>
      </c>
    </row>
    <row r="15" spans="1:9" x14ac:dyDescent="0.2">
      <c r="A15" t="s">
        <v>1131</v>
      </c>
      <c r="B15" t="s">
        <v>1132</v>
      </c>
      <c r="C15" t="s">
        <v>1133</v>
      </c>
      <c r="D15" t="s">
        <v>1134</v>
      </c>
      <c r="E15" t="s">
        <v>1135</v>
      </c>
      <c r="F15" t="s">
        <v>1102</v>
      </c>
      <c r="G15" t="s">
        <v>1103</v>
      </c>
      <c r="H15" t="s">
        <v>1073</v>
      </c>
      <c r="I15" t="s">
        <v>1074</v>
      </c>
    </row>
    <row r="16" spans="1:9" x14ac:dyDescent="0.2">
      <c r="A16" t="s">
        <v>1136</v>
      </c>
      <c r="B16" t="s">
        <v>1137</v>
      </c>
      <c r="C16" t="s">
        <v>1138</v>
      </c>
      <c r="D16" t="s">
        <v>1139</v>
      </c>
      <c r="E16" t="s">
        <v>1140</v>
      </c>
      <c r="F16" t="s">
        <v>1102</v>
      </c>
      <c r="G16" t="s">
        <v>1103</v>
      </c>
      <c r="H16" t="s">
        <v>1073</v>
      </c>
      <c r="I16" t="s">
        <v>1074</v>
      </c>
    </row>
    <row r="17" spans="1:9" x14ac:dyDescent="0.2">
      <c r="A17" t="s">
        <v>1141</v>
      </c>
      <c r="B17" t="s">
        <v>1142</v>
      </c>
      <c r="C17" t="s">
        <v>1143</v>
      </c>
      <c r="D17" t="s">
        <v>1144</v>
      </c>
      <c r="E17" t="s">
        <v>1145</v>
      </c>
      <c r="F17" t="s">
        <v>1113</v>
      </c>
      <c r="G17" t="s">
        <v>1114</v>
      </c>
      <c r="H17" t="s">
        <v>1073</v>
      </c>
      <c r="I17" t="s">
        <v>1074</v>
      </c>
    </row>
    <row r="18" spans="1:9" x14ac:dyDescent="0.2">
      <c r="A18" t="s">
        <v>1146</v>
      </c>
      <c r="B18" t="s">
        <v>1147</v>
      </c>
      <c r="C18" t="s">
        <v>1148</v>
      </c>
      <c r="D18" t="s">
        <v>1146</v>
      </c>
      <c r="E18" t="s">
        <v>1149</v>
      </c>
      <c r="F18" t="s">
        <v>1150</v>
      </c>
      <c r="G18" t="s">
        <v>1151</v>
      </c>
      <c r="H18" t="s">
        <v>1073</v>
      </c>
      <c r="I18" t="s">
        <v>1074</v>
      </c>
    </row>
    <row r="19" spans="1:9" x14ac:dyDescent="0.2">
      <c r="A19" t="s">
        <v>1152</v>
      </c>
      <c r="B19" t="s">
        <v>1153</v>
      </c>
      <c r="C19" t="s">
        <v>1154</v>
      </c>
      <c r="D19" t="s">
        <v>1155</v>
      </c>
      <c r="E19" t="s">
        <v>1156</v>
      </c>
      <c r="F19" t="s">
        <v>1096</v>
      </c>
      <c r="G19" t="s">
        <v>1097</v>
      </c>
      <c r="H19" t="s">
        <v>1073</v>
      </c>
      <c r="I19" t="s">
        <v>1074</v>
      </c>
    </row>
    <row r="20" spans="1:9" x14ac:dyDescent="0.2">
      <c r="A20" t="s">
        <v>1157</v>
      </c>
      <c r="B20" t="s">
        <v>1158</v>
      </c>
      <c r="C20" t="s">
        <v>1159</v>
      </c>
      <c r="D20" t="s">
        <v>1098</v>
      </c>
      <c r="E20" t="s">
        <v>1101</v>
      </c>
      <c r="F20" t="s">
        <v>1102</v>
      </c>
      <c r="G20" t="s">
        <v>1103</v>
      </c>
      <c r="H20" t="s">
        <v>1073</v>
      </c>
      <c r="I20" t="s">
        <v>1074</v>
      </c>
    </row>
    <row r="21" spans="1:9" x14ac:dyDescent="0.2">
      <c r="A21" t="s">
        <v>1160</v>
      </c>
      <c r="B21" t="s">
        <v>1161</v>
      </c>
      <c r="C21" t="s">
        <v>1162</v>
      </c>
      <c r="D21" t="s">
        <v>1163</v>
      </c>
      <c r="E21" t="s">
        <v>1164</v>
      </c>
      <c r="F21" t="s">
        <v>1102</v>
      </c>
      <c r="G21" t="s">
        <v>1103</v>
      </c>
      <c r="H21" t="s">
        <v>1073</v>
      </c>
      <c r="I21" t="s">
        <v>1074</v>
      </c>
    </row>
    <row r="22" spans="1:9" x14ac:dyDescent="0.2">
      <c r="A22" t="s">
        <v>1165</v>
      </c>
      <c r="B22" t="s">
        <v>1166</v>
      </c>
      <c r="C22" t="s">
        <v>1167</v>
      </c>
      <c r="D22" t="s">
        <v>1168</v>
      </c>
      <c r="E22" t="s">
        <v>1169</v>
      </c>
      <c r="F22" t="s">
        <v>1102</v>
      </c>
      <c r="G22" t="s">
        <v>1103</v>
      </c>
      <c r="H22" t="s">
        <v>1073</v>
      </c>
      <c r="I22" t="s">
        <v>1074</v>
      </c>
    </row>
    <row r="23" spans="1:9" x14ac:dyDescent="0.2">
      <c r="A23" t="s">
        <v>1170</v>
      </c>
      <c r="B23" t="s">
        <v>1171</v>
      </c>
      <c r="C23" t="s">
        <v>1172</v>
      </c>
      <c r="D23" t="s">
        <v>1155</v>
      </c>
      <c r="E23" t="s">
        <v>1156</v>
      </c>
      <c r="F23" t="s">
        <v>1096</v>
      </c>
      <c r="G23" t="s">
        <v>1097</v>
      </c>
      <c r="H23" t="s">
        <v>1073</v>
      </c>
      <c r="I23" t="s">
        <v>1074</v>
      </c>
    </row>
    <row r="24" spans="1:9" x14ac:dyDescent="0.2">
      <c r="A24" t="s">
        <v>1173</v>
      </c>
      <c r="B24" t="s">
        <v>1174</v>
      </c>
      <c r="C24" t="s">
        <v>1175</v>
      </c>
      <c r="D24" t="s">
        <v>1134</v>
      </c>
      <c r="E24" t="s">
        <v>1135</v>
      </c>
      <c r="F24" t="s">
        <v>1102</v>
      </c>
      <c r="G24" t="s">
        <v>1103</v>
      </c>
      <c r="H24" t="s">
        <v>1073</v>
      </c>
      <c r="I24" t="s">
        <v>1074</v>
      </c>
    </row>
    <row r="25" spans="1:9" x14ac:dyDescent="0.2">
      <c r="A25" t="s">
        <v>1176</v>
      </c>
      <c r="B25" t="s">
        <v>1177</v>
      </c>
      <c r="C25" t="s">
        <v>1178</v>
      </c>
      <c r="D25" t="s">
        <v>1098</v>
      </c>
      <c r="E25" t="s">
        <v>1101</v>
      </c>
      <c r="F25" t="s">
        <v>1102</v>
      </c>
      <c r="G25" t="s">
        <v>1103</v>
      </c>
      <c r="H25" t="s">
        <v>1073</v>
      </c>
      <c r="I25" t="s">
        <v>1074</v>
      </c>
    </row>
    <row r="26" spans="1:9" x14ac:dyDescent="0.2">
      <c r="A26" t="s">
        <v>1163</v>
      </c>
      <c r="B26" t="s">
        <v>1179</v>
      </c>
      <c r="C26" t="s">
        <v>1180</v>
      </c>
      <c r="D26" t="s">
        <v>1163</v>
      </c>
      <c r="E26" t="s">
        <v>1164</v>
      </c>
      <c r="F26" t="s">
        <v>1102</v>
      </c>
      <c r="G26" t="s">
        <v>1103</v>
      </c>
      <c r="H26" t="s">
        <v>1073</v>
      </c>
      <c r="I26" t="s">
        <v>1074</v>
      </c>
    </row>
    <row r="27" spans="1:9" x14ac:dyDescent="0.2">
      <c r="A27" t="s">
        <v>1181</v>
      </c>
      <c r="B27" t="s">
        <v>1182</v>
      </c>
      <c r="C27" t="s">
        <v>1183</v>
      </c>
      <c r="D27" t="s">
        <v>1184</v>
      </c>
      <c r="E27" t="s">
        <v>1185</v>
      </c>
      <c r="F27" t="s">
        <v>1113</v>
      </c>
      <c r="G27" t="s">
        <v>1114</v>
      </c>
      <c r="H27" t="s">
        <v>1073</v>
      </c>
      <c r="I27" t="s">
        <v>1074</v>
      </c>
    </row>
    <row r="28" spans="1:9" x14ac:dyDescent="0.2">
      <c r="A28" t="s">
        <v>1186</v>
      </c>
      <c r="B28" t="s">
        <v>1187</v>
      </c>
      <c r="C28" t="s">
        <v>1188</v>
      </c>
      <c r="D28" t="s">
        <v>1144</v>
      </c>
      <c r="E28" t="s">
        <v>1145</v>
      </c>
      <c r="F28" t="s">
        <v>1113</v>
      </c>
      <c r="G28" t="s">
        <v>1114</v>
      </c>
      <c r="H28" t="s">
        <v>1073</v>
      </c>
      <c r="I28" t="s">
        <v>1074</v>
      </c>
    </row>
    <row r="29" spans="1:9" x14ac:dyDescent="0.2">
      <c r="A29" t="s">
        <v>1144</v>
      </c>
      <c r="B29" t="s">
        <v>1189</v>
      </c>
      <c r="C29" t="s">
        <v>1190</v>
      </c>
      <c r="D29" t="s">
        <v>1144</v>
      </c>
      <c r="E29" t="s">
        <v>1145</v>
      </c>
      <c r="F29" t="s">
        <v>1113</v>
      </c>
      <c r="G29" t="s">
        <v>1114</v>
      </c>
      <c r="H29" t="s">
        <v>1073</v>
      </c>
      <c r="I29" t="s">
        <v>1074</v>
      </c>
    </row>
    <row r="30" spans="1:9" x14ac:dyDescent="0.2">
      <c r="A30" t="s">
        <v>1191</v>
      </c>
      <c r="B30" t="s">
        <v>1192</v>
      </c>
      <c r="C30" t="s">
        <v>1193</v>
      </c>
      <c r="D30" t="s">
        <v>1194</v>
      </c>
      <c r="E30" t="s">
        <v>1195</v>
      </c>
      <c r="F30" t="s">
        <v>1102</v>
      </c>
      <c r="G30" t="s">
        <v>1103</v>
      </c>
      <c r="H30" t="s">
        <v>1073</v>
      </c>
      <c r="I30" t="s">
        <v>1074</v>
      </c>
    </row>
    <row r="31" spans="1:9" x14ac:dyDescent="0.2">
      <c r="A31" t="s">
        <v>1196</v>
      </c>
      <c r="B31" t="s">
        <v>1197</v>
      </c>
      <c r="C31" t="s">
        <v>1198</v>
      </c>
      <c r="D31" t="s">
        <v>1096</v>
      </c>
      <c r="E31" t="s">
        <v>1128</v>
      </c>
      <c r="F31" t="s">
        <v>1096</v>
      </c>
      <c r="G31" t="s">
        <v>1097</v>
      </c>
      <c r="H31" t="s">
        <v>1073</v>
      </c>
      <c r="I31" t="s">
        <v>1074</v>
      </c>
    </row>
    <row r="32" spans="1:9" x14ac:dyDescent="0.2">
      <c r="A32" t="s">
        <v>1199</v>
      </c>
      <c r="B32" t="s">
        <v>1200</v>
      </c>
      <c r="C32" t="s">
        <v>1201</v>
      </c>
      <c r="D32" t="s">
        <v>1202</v>
      </c>
      <c r="E32" t="s">
        <v>1203</v>
      </c>
      <c r="F32" t="s">
        <v>1204</v>
      </c>
      <c r="G32" t="s">
        <v>1205</v>
      </c>
      <c r="H32" t="s">
        <v>1073</v>
      </c>
      <c r="I32" t="s">
        <v>1074</v>
      </c>
    </row>
    <row r="33" spans="1:9" x14ac:dyDescent="0.2">
      <c r="A33" t="s">
        <v>1202</v>
      </c>
      <c r="B33" t="s">
        <v>1206</v>
      </c>
      <c r="C33" t="s">
        <v>1207</v>
      </c>
      <c r="D33" t="s">
        <v>1202</v>
      </c>
      <c r="E33" t="s">
        <v>1203</v>
      </c>
      <c r="F33" t="s">
        <v>1204</v>
      </c>
      <c r="G33" t="s">
        <v>1205</v>
      </c>
      <c r="H33" t="s">
        <v>1073</v>
      </c>
      <c r="I33" t="s">
        <v>1074</v>
      </c>
    </row>
    <row r="34" spans="1:9" x14ac:dyDescent="0.2">
      <c r="A34" t="s">
        <v>1208</v>
      </c>
      <c r="B34" t="s">
        <v>1209</v>
      </c>
      <c r="C34" t="s">
        <v>1210</v>
      </c>
      <c r="D34" t="s">
        <v>1202</v>
      </c>
      <c r="E34" t="s">
        <v>1203</v>
      </c>
      <c r="F34" t="s">
        <v>1204</v>
      </c>
      <c r="G34" t="s">
        <v>1205</v>
      </c>
      <c r="H34" t="s">
        <v>1073</v>
      </c>
      <c r="I34" t="s">
        <v>1074</v>
      </c>
    </row>
    <row r="35" spans="1:9" x14ac:dyDescent="0.2">
      <c r="A35" t="s">
        <v>1211</v>
      </c>
      <c r="B35" t="s">
        <v>1212</v>
      </c>
      <c r="C35" t="s">
        <v>1213</v>
      </c>
      <c r="D35" t="s">
        <v>1202</v>
      </c>
      <c r="E35" t="s">
        <v>1203</v>
      </c>
      <c r="F35" t="s">
        <v>1204</v>
      </c>
      <c r="G35" t="s">
        <v>1205</v>
      </c>
      <c r="H35" t="s">
        <v>1073</v>
      </c>
      <c r="I35" t="s">
        <v>1074</v>
      </c>
    </row>
    <row r="36" spans="1:9" x14ac:dyDescent="0.2">
      <c r="A36" t="s">
        <v>1214</v>
      </c>
      <c r="B36" t="s">
        <v>1215</v>
      </c>
      <c r="C36" t="s">
        <v>1216</v>
      </c>
      <c r="D36" t="s">
        <v>1217</v>
      </c>
      <c r="E36" t="s">
        <v>1218</v>
      </c>
      <c r="F36" t="s">
        <v>1113</v>
      </c>
      <c r="G36" t="s">
        <v>1114</v>
      </c>
      <c r="H36" t="s">
        <v>1073</v>
      </c>
      <c r="I36" t="s">
        <v>1074</v>
      </c>
    </row>
    <row r="37" spans="1:9" x14ac:dyDescent="0.2">
      <c r="A37" t="s">
        <v>1219</v>
      </c>
      <c r="B37" t="s">
        <v>1220</v>
      </c>
      <c r="C37" t="s">
        <v>1221</v>
      </c>
      <c r="D37" t="s">
        <v>1222</v>
      </c>
      <c r="E37" t="s">
        <v>1223</v>
      </c>
      <c r="F37" t="s">
        <v>1224</v>
      </c>
      <c r="G37" t="s">
        <v>1225</v>
      </c>
      <c r="H37" t="s">
        <v>1073</v>
      </c>
      <c r="I37" t="s">
        <v>1074</v>
      </c>
    </row>
    <row r="38" spans="1:9" x14ac:dyDescent="0.2">
      <c r="A38" t="s">
        <v>1226</v>
      </c>
      <c r="B38" t="s">
        <v>1227</v>
      </c>
      <c r="C38" t="s">
        <v>1228</v>
      </c>
      <c r="D38" t="s">
        <v>1229</v>
      </c>
      <c r="E38" t="s">
        <v>1230</v>
      </c>
      <c r="F38" t="s">
        <v>1224</v>
      </c>
      <c r="G38" t="s">
        <v>1225</v>
      </c>
      <c r="H38" t="s">
        <v>1073</v>
      </c>
      <c r="I38" t="s">
        <v>1074</v>
      </c>
    </row>
    <row r="39" spans="1:9" x14ac:dyDescent="0.2">
      <c r="A39" t="s">
        <v>1231</v>
      </c>
      <c r="B39" t="s">
        <v>1232</v>
      </c>
      <c r="C39" t="s">
        <v>1233</v>
      </c>
      <c r="D39" t="s">
        <v>1234</v>
      </c>
      <c r="E39" t="s">
        <v>1235</v>
      </c>
      <c r="F39" t="s">
        <v>1204</v>
      </c>
      <c r="G39" t="s">
        <v>1205</v>
      </c>
      <c r="H39" t="s">
        <v>1073</v>
      </c>
      <c r="I39" t="s">
        <v>1074</v>
      </c>
    </row>
    <row r="40" spans="1:9" x14ac:dyDescent="0.2">
      <c r="A40" t="s">
        <v>1236</v>
      </c>
      <c r="B40" t="s">
        <v>1237</v>
      </c>
      <c r="C40" t="s">
        <v>1238</v>
      </c>
      <c r="D40" t="s">
        <v>1234</v>
      </c>
      <c r="E40" t="s">
        <v>1235</v>
      </c>
      <c r="F40" t="s">
        <v>1204</v>
      </c>
      <c r="G40" t="s">
        <v>1205</v>
      </c>
      <c r="H40" t="s">
        <v>1073</v>
      </c>
      <c r="I40" t="s">
        <v>1074</v>
      </c>
    </row>
    <row r="41" spans="1:9" x14ac:dyDescent="0.2">
      <c r="A41" t="s">
        <v>1239</v>
      </c>
      <c r="B41" t="s">
        <v>1240</v>
      </c>
      <c r="C41" t="s">
        <v>1241</v>
      </c>
      <c r="D41" t="s">
        <v>1234</v>
      </c>
      <c r="E41" t="s">
        <v>1235</v>
      </c>
      <c r="F41" t="s">
        <v>1204</v>
      </c>
      <c r="G41" t="s">
        <v>1205</v>
      </c>
      <c r="H41" t="s">
        <v>1073</v>
      </c>
      <c r="I41" t="s">
        <v>1074</v>
      </c>
    </row>
    <row r="42" spans="1:9" x14ac:dyDescent="0.2">
      <c r="A42" t="s">
        <v>1242</v>
      </c>
      <c r="B42" t="s">
        <v>1243</v>
      </c>
      <c r="C42" t="s">
        <v>1244</v>
      </c>
      <c r="D42" t="s">
        <v>1245</v>
      </c>
      <c r="E42" t="s">
        <v>1246</v>
      </c>
      <c r="F42" t="s">
        <v>1071</v>
      </c>
      <c r="G42" t="s">
        <v>1072</v>
      </c>
      <c r="H42" t="s">
        <v>1073</v>
      </c>
      <c r="I42" t="s">
        <v>1074</v>
      </c>
    </row>
    <row r="43" spans="1:9" x14ac:dyDescent="0.2">
      <c r="A43" t="s">
        <v>1247</v>
      </c>
      <c r="B43" t="s">
        <v>1248</v>
      </c>
      <c r="C43" t="s">
        <v>1249</v>
      </c>
      <c r="D43" t="s">
        <v>1250</v>
      </c>
      <c r="E43" t="s">
        <v>1251</v>
      </c>
      <c r="F43" t="s">
        <v>1252</v>
      </c>
      <c r="G43" t="s">
        <v>1253</v>
      </c>
      <c r="H43" t="s">
        <v>1073</v>
      </c>
      <c r="I43" t="s">
        <v>1074</v>
      </c>
    </row>
    <row r="44" spans="1:9" x14ac:dyDescent="0.2">
      <c r="A44" t="s">
        <v>1254</v>
      </c>
      <c r="B44" t="s">
        <v>1255</v>
      </c>
      <c r="C44" t="s">
        <v>1256</v>
      </c>
      <c r="D44" t="s">
        <v>1234</v>
      </c>
      <c r="E44" t="s">
        <v>1235</v>
      </c>
      <c r="F44" t="s">
        <v>1204</v>
      </c>
      <c r="G44" t="s">
        <v>1205</v>
      </c>
      <c r="H44" t="s">
        <v>1073</v>
      </c>
      <c r="I44" t="s">
        <v>1074</v>
      </c>
    </row>
    <row r="45" spans="1:9" x14ac:dyDescent="0.2">
      <c r="A45" t="s">
        <v>1257</v>
      </c>
      <c r="B45" t="s">
        <v>1258</v>
      </c>
      <c r="C45" t="s">
        <v>1259</v>
      </c>
      <c r="D45" t="s">
        <v>1260</v>
      </c>
      <c r="E45" t="s">
        <v>1261</v>
      </c>
      <c r="F45" t="s">
        <v>1252</v>
      </c>
      <c r="G45" t="s">
        <v>1253</v>
      </c>
      <c r="H45" t="s">
        <v>1073</v>
      </c>
      <c r="I45" t="s">
        <v>1074</v>
      </c>
    </row>
    <row r="46" spans="1:9" x14ac:dyDescent="0.2">
      <c r="A46" t="s">
        <v>1262</v>
      </c>
      <c r="B46" t="s">
        <v>1263</v>
      </c>
      <c r="C46" t="s">
        <v>1264</v>
      </c>
      <c r="D46" t="s">
        <v>1265</v>
      </c>
      <c r="E46" t="s">
        <v>1266</v>
      </c>
      <c r="F46" t="s">
        <v>1071</v>
      </c>
      <c r="G46" t="s">
        <v>1072</v>
      </c>
      <c r="H46" t="s">
        <v>1073</v>
      </c>
      <c r="I46" t="s">
        <v>1074</v>
      </c>
    </row>
    <row r="47" spans="1:9" x14ac:dyDescent="0.2">
      <c r="A47" t="s">
        <v>1267</v>
      </c>
      <c r="B47" t="s">
        <v>1268</v>
      </c>
      <c r="C47" t="s">
        <v>1269</v>
      </c>
      <c r="D47" t="s">
        <v>1067</v>
      </c>
      <c r="E47" t="s">
        <v>1070</v>
      </c>
      <c r="F47" t="s">
        <v>1071</v>
      </c>
      <c r="G47" t="s">
        <v>1072</v>
      </c>
      <c r="H47" t="s">
        <v>1073</v>
      </c>
      <c r="I47" t="s">
        <v>1074</v>
      </c>
    </row>
    <row r="48" spans="1:9" x14ac:dyDescent="0.2">
      <c r="A48" t="s">
        <v>1270</v>
      </c>
      <c r="B48" t="s">
        <v>1271</v>
      </c>
      <c r="C48" t="s">
        <v>1272</v>
      </c>
      <c r="D48" t="s">
        <v>1067</v>
      </c>
      <c r="E48" t="s">
        <v>1070</v>
      </c>
      <c r="F48" t="s">
        <v>1071</v>
      </c>
      <c r="G48" t="s">
        <v>1072</v>
      </c>
      <c r="H48" t="s">
        <v>1073</v>
      </c>
      <c r="I48" t="s">
        <v>1074</v>
      </c>
    </row>
    <row r="49" spans="1:9" x14ac:dyDescent="0.2">
      <c r="A49" t="s">
        <v>1250</v>
      </c>
      <c r="B49" t="s">
        <v>1273</v>
      </c>
      <c r="C49" t="s">
        <v>1274</v>
      </c>
      <c r="D49" t="s">
        <v>1250</v>
      </c>
      <c r="E49" t="s">
        <v>1251</v>
      </c>
      <c r="F49" t="s">
        <v>1252</v>
      </c>
      <c r="G49" t="s">
        <v>1253</v>
      </c>
      <c r="H49" t="s">
        <v>1073</v>
      </c>
      <c r="I49" t="s">
        <v>1074</v>
      </c>
    </row>
    <row r="50" spans="1:9" x14ac:dyDescent="0.2">
      <c r="A50" t="s">
        <v>1275</v>
      </c>
      <c r="B50" t="s">
        <v>1276</v>
      </c>
      <c r="C50" t="s">
        <v>1277</v>
      </c>
      <c r="D50" t="s">
        <v>1278</v>
      </c>
      <c r="E50" t="s">
        <v>1279</v>
      </c>
      <c r="F50" t="s">
        <v>1252</v>
      </c>
      <c r="G50" t="s">
        <v>1253</v>
      </c>
      <c r="H50" t="s">
        <v>1073</v>
      </c>
      <c r="I50" t="s">
        <v>1074</v>
      </c>
    </row>
    <row r="51" spans="1:9" x14ac:dyDescent="0.2">
      <c r="A51" t="s">
        <v>1280</v>
      </c>
      <c r="B51" t="s">
        <v>1281</v>
      </c>
      <c r="C51" t="s">
        <v>1282</v>
      </c>
      <c r="D51" t="s">
        <v>1278</v>
      </c>
      <c r="E51" t="s">
        <v>1279</v>
      </c>
      <c r="F51" t="s">
        <v>1252</v>
      </c>
      <c r="G51" t="s">
        <v>1253</v>
      </c>
      <c r="H51" t="s">
        <v>1073</v>
      </c>
      <c r="I51" t="s">
        <v>1074</v>
      </c>
    </row>
    <row r="52" spans="1:9" x14ac:dyDescent="0.2">
      <c r="A52" t="s">
        <v>1283</v>
      </c>
      <c r="B52" t="s">
        <v>1284</v>
      </c>
      <c r="C52" t="s">
        <v>1285</v>
      </c>
      <c r="D52" t="s">
        <v>1286</v>
      </c>
      <c r="E52" t="s">
        <v>1287</v>
      </c>
      <c r="F52" t="s">
        <v>1071</v>
      </c>
      <c r="G52" t="s">
        <v>1072</v>
      </c>
      <c r="H52" t="s">
        <v>1073</v>
      </c>
      <c r="I52" t="s">
        <v>1074</v>
      </c>
    </row>
    <row r="53" spans="1:9" x14ac:dyDescent="0.2">
      <c r="A53" t="s">
        <v>1288</v>
      </c>
      <c r="B53" t="s">
        <v>1289</v>
      </c>
      <c r="C53" t="s">
        <v>1290</v>
      </c>
      <c r="D53" t="s">
        <v>1278</v>
      </c>
      <c r="E53" t="s">
        <v>1279</v>
      </c>
      <c r="F53" t="s">
        <v>1252</v>
      </c>
      <c r="G53" t="s">
        <v>1253</v>
      </c>
      <c r="H53" t="s">
        <v>1073</v>
      </c>
      <c r="I53" t="s">
        <v>1074</v>
      </c>
    </row>
    <row r="54" spans="1:9" x14ac:dyDescent="0.2">
      <c r="A54" t="s">
        <v>1291</v>
      </c>
      <c r="B54" t="s">
        <v>1292</v>
      </c>
      <c r="C54" t="s">
        <v>1293</v>
      </c>
      <c r="D54" t="s">
        <v>1250</v>
      </c>
      <c r="E54" t="s">
        <v>1251</v>
      </c>
      <c r="F54" t="s">
        <v>1252</v>
      </c>
      <c r="G54" t="s">
        <v>1253</v>
      </c>
      <c r="H54" t="s">
        <v>1073</v>
      </c>
      <c r="I54" t="s">
        <v>1074</v>
      </c>
    </row>
    <row r="55" spans="1:9" x14ac:dyDescent="0.2">
      <c r="A55" t="s">
        <v>1294</v>
      </c>
      <c r="B55" t="s">
        <v>1295</v>
      </c>
      <c r="C55" t="s">
        <v>1296</v>
      </c>
      <c r="D55" t="s">
        <v>1144</v>
      </c>
      <c r="E55" t="s">
        <v>1145</v>
      </c>
      <c r="F55" t="s">
        <v>1113</v>
      </c>
      <c r="G55" t="s">
        <v>1114</v>
      </c>
      <c r="H55" t="s">
        <v>1073</v>
      </c>
      <c r="I55" t="s">
        <v>1074</v>
      </c>
    </row>
    <row r="56" spans="1:9" x14ac:dyDescent="0.2">
      <c r="A56" t="s">
        <v>1297</v>
      </c>
      <c r="B56" t="s">
        <v>1298</v>
      </c>
      <c r="C56" t="s">
        <v>1299</v>
      </c>
      <c r="D56" t="s">
        <v>1111</v>
      </c>
      <c r="E56" t="s">
        <v>1112</v>
      </c>
      <c r="F56" t="s">
        <v>1113</v>
      </c>
      <c r="G56" t="s">
        <v>1114</v>
      </c>
      <c r="H56" t="s">
        <v>1073</v>
      </c>
      <c r="I56" t="s">
        <v>1074</v>
      </c>
    </row>
    <row r="57" spans="1:9" x14ac:dyDescent="0.2">
      <c r="A57" t="s">
        <v>1300</v>
      </c>
      <c r="B57" t="s">
        <v>1301</v>
      </c>
      <c r="C57" t="s">
        <v>1302</v>
      </c>
      <c r="D57" t="s">
        <v>1300</v>
      </c>
      <c r="E57" t="s">
        <v>1303</v>
      </c>
      <c r="F57" t="s">
        <v>1102</v>
      </c>
      <c r="G57" t="s">
        <v>1103</v>
      </c>
      <c r="H57" t="s">
        <v>1073</v>
      </c>
      <c r="I57" t="s">
        <v>1074</v>
      </c>
    </row>
    <row r="58" spans="1:9" x14ac:dyDescent="0.2">
      <c r="A58" t="s">
        <v>1111</v>
      </c>
      <c r="B58" t="s">
        <v>1304</v>
      </c>
      <c r="C58" t="s">
        <v>1305</v>
      </c>
      <c r="D58" t="s">
        <v>1111</v>
      </c>
      <c r="E58" t="s">
        <v>1112</v>
      </c>
      <c r="F58" t="s">
        <v>1113</v>
      </c>
      <c r="G58" t="s">
        <v>1114</v>
      </c>
      <c r="H58" t="s">
        <v>1073</v>
      </c>
      <c r="I58" t="s">
        <v>1074</v>
      </c>
    </row>
    <row r="59" spans="1:9" x14ac:dyDescent="0.2">
      <c r="A59" t="s">
        <v>1306</v>
      </c>
      <c r="B59" t="s">
        <v>1307</v>
      </c>
      <c r="C59" t="s">
        <v>1308</v>
      </c>
      <c r="D59" t="s">
        <v>1104</v>
      </c>
      <c r="E59" t="s">
        <v>1107</v>
      </c>
      <c r="F59" t="s">
        <v>1096</v>
      </c>
      <c r="G59" t="s">
        <v>1097</v>
      </c>
      <c r="H59" t="s">
        <v>1073</v>
      </c>
      <c r="I59" t="s">
        <v>1074</v>
      </c>
    </row>
    <row r="60" spans="1:9" x14ac:dyDescent="0.2">
      <c r="A60" t="s">
        <v>1118</v>
      </c>
      <c r="B60" t="s">
        <v>1309</v>
      </c>
      <c r="C60" t="s">
        <v>1310</v>
      </c>
      <c r="D60" t="s">
        <v>1118</v>
      </c>
      <c r="E60" t="s">
        <v>1119</v>
      </c>
      <c r="F60" t="s">
        <v>1113</v>
      </c>
      <c r="G60" t="s">
        <v>1114</v>
      </c>
      <c r="H60" t="s">
        <v>1073</v>
      </c>
      <c r="I60" t="s">
        <v>1074</v>
      </c>
    </row>
    <row r="61" spans="1:9" x14ac:dyDescent="0.2">
      <c r="A61" t="s">
        <v>1311</v>
      </c>
      <c r="B61" t="s">
        <v>1312</v>
      </c>
      <c r="C61" t="s">
        <v>1313</v>
      </c>
      <c r="D61" t="s">
        <v>1314</v>
      </c>
      <c r="E61" t="s">
        <v>1315</v>
      </c>
      <c r="F61" t="s">
        <v>1150</v>
      </c>
      <c r="G61" t="s">
        <v>1151</v>
      </c>
      <c r="H61" t="s">
        <v>1073</v>
      </c>
      <c r="I61" t="s">
        <v>1074</v>
      </c>
    </row>
    <row r="62" spans="1:9" x14ac:dyDescent="0.2">
      <c r="A62" t="s">
        <v>1316</v>
      </c>
      <c r="B62" t="s">
        <v>1317</v>
      </c>
      <c r="C62" t="s">
        <v>1318</v>
      </c>
      <c r="D62" t="s">
        <v>1319</v>
      </c>
      <c r="E62" t="s">
        <v>1320</v>
      </c>
      <c r="F62" t="s">
        <v>1113</v>
      </c>
      <c r="G62" t="s">
        <v>1114</v>
      </c>
      <c r="H62" t="s">
        <v>1073</v>
      </c>
      <c r="I62" t="s">
        <v>1074</v>
      </c>
    </row>
    <row r="63" spans="1:9" x14ac:dyDescent="0.2">
      <c r="A63" t="s">
        <v>1155</v>
      </c>
      <c r="B63" t="s">
        <v>1321</v>
      </c>
      <c r="C63" t="s">
        <v>1322</v>
      </c>
      <c r="D63" t="s">
        <v>1155</v>
      </c>
      <c r="E63" t="s">
        <v>1156</v>
      </c>
      <c r="F63" t="s">
        <v>1096</v>
      </c>
      <c r="G63" t="s">
        <v>1097</v>
      </c>
      <c r="H63" t="s">
        <v>1073</v>
      </c>
      <c r="I63" t="s">
        <v>1074</v>
      </c>
    </row>
    <row r="64" spans="1:9" x14ac:dyDescent="0.2">
      <c r="A64" t="s">
        <v>1323</v>
      </c>
      <c r="B64" t="s">
        <v>1324</v>
      </c>
      <c r="C64" t="s">
        <v>1325</v>
      </c>
      <c r="D64" t="s">
        <v>1323</v>
      </c>
      <c r="E64" t="s">
        <v>1326</v>
      </c>
      <c r="F64" t="s">
        <v>1150</v>
      </c>
      <c r="G64" t="s">
        <v>1151</v>
      </c>
      <c r="H64" t="s">
        <v>1073</v>
      </c>
      <c r="I64" t="s">
        <v>1074</v>
      </c>
    </row>
    <row r="65" spans="1:9" x14ac:dyDescent="0.2">
      <c r="A65" t="s">
        <v>1327</v>
      </c>
      <c r="B65" t="s">
        <v>1328</v>
      </c>
      <c r="C65" t="s">
        <v>1329</v>
      </c>
      <c r="D65" t="s">
        <v>1123</v>
      </c>
      <c r="E65" t="s">
        <v>1124</v>
      </c>
      <c r="F65" t="s">
        <v>1102</v>
      </c>
      <c r="G65" t="s">
        <v>1103</v>
      </c>
      <c r="H65" t="s">
        <v>1073</v>
      </c>
      <c r="I65" t="s">
        <v>1074</v>
      </c>
    </row>
    <row r="66" spans="1:9" x14ac:dyDescent="0.2">
      <c r="A66" t="s">
        <v>1330</v>
      </c>
      <c r="B66" t="s">
        <v>1331</v>
      </c>
      <c r="C66" t="s">
        <v>1332</v>
      </c>
      <c r="D66" t="s">
        <v>1333</v>
      </c>
      <c r="E66" t="s">
        <v>1334</v>
      </c>
      <c r="F66" t="s">
        <v>1102</v>
      </c>
      <c r="G66" t="s">
        <v>1103</v>
      </c>
      <c r="H66" t="s">
        <v>1073</v>
      </c>
      <c r="I66" t="s">
        <v>1074</v>
      </c>
    </row>
    <row r="67" spans="1:9" x14ac:dyDescent="0.2">
      <c r="A67" t="s">
        <v>1335</v>
      </c>
      <c r="B67" t="s">
        <v>1336</v>
      </c>
      <c r="C67" t="s">
        <v>1337</v>
      </c>
      <c r="D67" t="s">
        <v>1333</v>
      </c>
      <c r="E67" t="s">
        <v>1334</v>
      </c>
      <c r="F67" t="s">
        <v>1102</v>
      </c>
      <c r="G67" t="s">
        <v>1103</v>
      </c>
      <c r="H67" t="s">
        <v>1073</v>
      </c>
      <c r="I67" t="s">
        <v>1074</v>
      </c>
    </row>
    <row r="68" spans="1:9" x14ac:dyDescent="0.2">
      <c r="A68" t="s">
        <v>1338</v>
      </c>
      <c r="B68" t="s">
        <v>1339</v>
      </c>
      <c r="C68" t="s">
        <v>1340</v>
      </c>
      <c r="D68" t="s">
        <v>1094</v>
      </c>
      <c r="E68" t="s">
        <v>1095</v>
      </c>
      <c r="F68" t="s">
        <v>1096</v>
      </c>
      <c r="G68" t="s">
        <v>1097</v>
      </c>
      <c r="H68" t="s">
        <v>1073</v>
      </c>
      <c r="I68" t="s">
        <v>1074</v>
      </c>
    </row>
    <row r="69" spans="1:9" x14ac:dyDescent="0.2">
      <c r="A69" t="s">
        <v>1341</v>
      </c>
      <c r="B69" t="s">
        <v>1342</v>
      </c>
      <c r="C69" t="s">
        <v>1343</v>
      </c>
      <c r="D69" t="s">
        <v>1094</v>
      </c>
      <c r="E69" t="s">
        <v>1095</v>
      </c>
      <c r="F69" t="s">
        <v>1096</v>
      </c>
      <c r="G69" t="s">
        <v>1097</v>
      </c>
      <c r="H69" t="s">
        <v>1073</v>
      </c>
      <c r="I69" t="s">
        <v>1074</v>
      </c>
    </row>
    <row r="70" spans="1:9" x14ac:dyDescent="0.2">
      <c r="A70" t="s">
        <v>1344</v>
      </c>
      <c r="B70" t="s">
        <v>1345</v>
      </c>
      <c r="C70" t="s">
        <v>1346</v>
      </c>
      <c r="D70" t="s">
        <v>1102</v>
      </c>
      <c r="E70" t="s">
        <v>1347</v>
      </c>
      <c r="F70" t="s">
        <v>1102</v>
      </c>
      <c r="G70" t="s">
        <v>1103</v>
      </c>
      <c r="H70" t="s">
        <v>1073</v>
      </c>
      <c r="I70" t="s">
        <v>1074</v>
      </c>
    </row>
    <row r="71" spans="1:9" x14ac:dyDescent="0.2">
      <c r="A71" t="s">
        <v>1348</v>
      </c>
      <c r="B71" t="s">
        <v>1349</v>
      </c>
      <c r="C71" t="s">
        <v>1350</v>
      </c>
      <c r="D71" t="s">
        <v>1348</v>
      </c>
      <c r="E71" t="s">
        <v>1351</v>
      </c>
      <c r="F71" t="s">
        <v>1096</v>
      </c>
      <c r="G71" t="s">
        <v>1097</v>
      </c>
      <c r="H71" t="s">
        <v>1073</v>
      </c>
      <c r="I71" t="s">
        <v>1074</v>
      </c>
    </row>
    <row r="72" spans="1:9" x14ac:dyDescent="0.2">
      <c r="A72" t="s">
        <v>1352</v>
      </c>
      <c r="B72" t="s">
        <v>1353</v>
      </c>
      <c r="C72" t="s">
        <v>1354</v>
      </c>
      <c r="D72" t="s">
        <v>1352</v>
      </c>
      <c r="E72" t="s">
        <v>1355</v>
      </c>
      <c r="F72" t="s">
        <v>1150</v>
      </c>
      <c r="G72" t="s">
        <v>1151</v>
      </c>
      <c r="H72" t="s">
        <v>1073</v>
      </c>
      <c r="I72" t="s">
        <v>1074</v>
      </c>
    </row>
    <row r="73" spans="1:9" x14ac:dyDescent="0.2">
      <c r="A73" t="s">
        <v>1356</v>
      </c>
      <c r="B73" t="s">
        <v>1357</v>
      </c>
      <c r="C73" t="s">
        <v>1358</v>
      </c>
      <c r="D73" t="s">
        <v>1194</v>
      </c>
      <c r="E73" t="s">
        <v>1195</v>
      </c>
      <c r="F73" t="s">
        <v>1102</v>
      </c>
      <c r="G73" t="s">
        <v>1103</v>
      </c>
      <c r="H73" t="s">
        <v>1073</v>
      </c>
      <c r="I73" t="s">
        <v>1074</v>
      </c>
    </row>
    <row r="74" spans="1:9" x14ac:dyDescent="0.2">
      <c r="A74" t="s">
        <v>1359</v>
      </c>
      <c r="B74" t="s">
        <v>1360</v>
      </c>
      <c r="C74" t="s">
        <v>1361</v>
      </c>
      <c r="D74" t="s">
        <v>1323</v>
      </c>
      <c r="E74" t="s">
        <v>1326</v>
      </c>
      <c r="F74" t="s">
        <v>1150</v>
      </c>
      <c r="G74" t="s">
        <v>1151</v>
      </c>
      <c r="H74" t="s">
        <v>1073</v>
      </c>
      <c r="I74" t="s">
        <v>1074</v>
      </c>
    </row>
    <row r="75" spans="1:9" x14ac:dyDescent="0.2">
      <c r="A75" t="s">
        <v>1314</v>
      </c>
      <c r="B75" t="s">
        <v>1362</v>
      </c>
      <c r="C75" t="s">
        <v>1363</v>
      </c>
      <c r="D75" t="s">
        <v>1314</v>
      </c>
      <c r="E75" t="s">
        <v>1315</v>
      </c>
      <c r="F75" t="s">
        <v>1150</v>
      </c>
      <c r="G75" t="s">
        <v>1151</v>
      </c>
      <c r="H75" t="s">
        <v>1073</v>
      </c>
      <c r="I75" t="s">
        <v>1074</v>
      </c>
    </row>
    <row r="76" spans="1:9" x14ac:dyDescent="0.2">
      <c r="A76" t="s">
        <v>1364</v>
      </c>
      <c r="B76" t="s">
        <v>1365</v>
      </c>
      <c r="C76" t="s">
        <v>1366</v>
      </c>
      <c r="D76" t="s">
        <v>1364</v>
      </c>
      <c r="E76" t="s">
        <v>1367</v>
      </c>
      <c r="F76" t="s">
        <v>1102</v>
      </c>
      <c r="G76" t="s">
        <v>1103</v>
      </c>
      <c r="H76" t="s">
        <v>1073</v>
      </c>
      <c r="I76" t="s">
        <v>1074</v>
      </c>
    </row>
    <row r="77" spans="1:9" x14ac:dyDescent="0.2">
      <c r="A77" t="s">
        <v>1134</v>
      </c>
      <c r="B77" t="s">
        <v>1368</v>
      </c>
      <c r="C77" t="s">
        <v>1369</v>
      </c>
      <c r="D77" t="s">
        <v>1134</v>
      </c>
      <c r="E77" t="s">
        <v>1135</v>
      </c>
      <c r="F77" t="s">
        <v>1102</v>
      </c>
      <c r="G77" t="s">
        <v>1103</v>
      </c>
      <c r="H77" t="s">
        <v>1073</v>
      </c>
      <c r="I77" t="s">
        <v>1074</v>
      </c>
    </row>
    <row r="78" spans="1:9" x14ac:dyDescent="0.2">
      <c r="A78" t="s">
        <v>1370</v>
      </c>
      <c r="B78" t="s">
        <v>1371</v>
      </c>
      <c r="C78" t="s">
        <v>1372</v>
      </c>
      <c r="D78" t="s">
        <v>1300</v>
      </c>
      <c r="E78" t="s">
        <v>1303</v>
      </c>
      <c r="F78" t="s">
        <v>1102</v>
      </c>
      <c r="G78" t="s">
        <v>1103</v>
      </c>
      <c r="H78" t="s">
        <v>1073</v>
      </c>
      <c r="I78" t="s">
        <v>1074</v>
      </c>
    </row>
    <row r="79" spans="1:9" x14ac:dyDescent="0.2">
      <c r="A79" t="s">
        <v>1373</v>
      </c>
      <c r="B79" t="s">
        <v>1374</v>
      </c>
      <c r="C79" t="s">
        <v>1375</v>
      </c>
      <c r="D79" t="s">
        <v>1314</v>
      </c>
      <c r="E79" t="s">
        <v>1315</v>
      </c>
      <c r="F79" t="s">
        <v>1150</v>
      </c>
      <c r="G79" t="s">
        <v>1151</v>
      </c>
      <c r="H79" t="s">
        <v>1073</v>
      </c>
      <c r="I79" t="s">
        <v>1074</v>
      </c>
    </row>
    <row r="80" spans="1:9" x14ac:dyDescent="0.2">
      <c r="A80" t="s">
        <v>1376</v>
      </c>
      <c r="B80" t="s">
        <v>1377</v>
      </c>
      <c r="C80" t="s">
        <v>1378</v>
      </c>
      <c r="D80" t="s">
        <v>1376</v>
      </c>
      <c r="E80" t="s">
        <v>1379</v>
      </c>
      <c r="F80" t="s">
        <v>1380</v>
      </c>
      <c r="G80" t="s">
        <v>1381</v>
      </c>
      <c r="H80" t="s">
        <v>1073</v>
      </c>
      <c r="I80" t="s">
        <v>1074</v>
      </c>
    </row>
    <row r="81" spans="1:9" x14ac:dyDescent="0.2">
      <c r="A81" t="s">
        <v>1382</v>
      </c>
      <c r="B81" t="s">
        <v>1383</v>
      </c>
      <c r="C81" t="s">
        <v>1384</v>
      </c>
      <c r="D81" t="s">
        <v>1385</v>
      </c>
      <c r="E81" t="s">
        <v>1386</v>
      </c>
      <c r="F81" t="s">
        <v>1387</v>
      </c>
      <c r="G81" t="s">
        <v>1388</v>
      </c>
      <c r="H81" t="s">
        <v>1073</v>
      </c>
      <c r="I81" t="s">
        <v>1074</v>
      </c>
    </row>
    <row r="82" spans="1:9" x14ac:dyDescent="0.2">
      <c r="A82" t="s">
        <v>1389</v>
      </c>
      <c r="B82" t="s">
        <v>1390</v>
      </c>
      <c r="C82" t="s">
        <v>1391</v>
      </c>
      <c r="D82" t="s">
        <v>1392</v>
      </c>
      <c r="E82" t="s">
        <v>1393</v>
      </c>
      <c r="F82" t="s">
        <v>1204</v>
      </c>
      <c r="G82" t="s">
        <v>1205</v>
      </c>
      <c r="H82" t="s">
        <v>1073</v>
      </c>
      <c r="I82" t="s">
        <v>1074</v>
      </c>
    </row>
    <row r="83" spans="1:9" x14ac:dyDescent="0.2">
      <c r="A83" t="s">
        <v>1394</v>
      </c>
      <c r="B83" t="s">
        <v>1395</v>
      </c>
      <c r="C83" t="s">
        <v>1396</v>
      </c>
      <c r="D83" t="s">
        <v>1397</v>
      </c>
      <c r="E83" t="s">
        <v>1398</v>
      </c>
      <c r="F83" t="s">
        <v>1399</v>
      </c>
      <c r="G83" t="s">
        <v>1400</v>
      </c>
      <c r="H83" t="s">
        <v>1073</v>
      </c>
      <c r="I83" t="s">
        <v>1074</v>
      </c>
    </row>
    <row r="84" spans="1:9" x14ac:dyDescent="0.2">
      <c r="A84" t="s">
        <v>1401</v>
      </c>
      <c r="B84" t="s">
        <v>1402</v>
      </c>
      <c r="C84" t="s">
        <v>1403</v>
      </c>
      <c r="D84" t="s">
        <v>1202</v>
      </c>
      <c r="E84" t="s">
        <v>1203</v>
      </c>
      <c r="F84" t="s">
        <v>1204</v>
      </c>
      <c r="G84" t="s">
        <v>1205</v>
      </c>
      <c r="H84" t="s">
        <v>1073</v>
      </c>
      <c r="I84" t="s">
        <v>1074</v>
      </c>
    </row>
    <row r="85" spans="1:9" x14ac:dyDescent="0.2">
      <c r="A85" t="s">
        <v>1404</v>
      </c>
      <c r="B85" t="s">
        <v>1405</v>
      </c>
      <c r="C85" t="s">
        <v>1406</v>
      </c>
      <c r="D85" t="s">
        <v>1392</v>
      </c>
      <c r="E85" t="s">
        <v>1393</v>
      </c>
      <c r="F85" t="s">
        <v>1204</v>
      </c>
      <c r="G85" t="s">
        <v>1205</v>
      </c>
      <c r="H85" t="s">
        <v>1073</v>
      </c>
      <c r="I85" t="s">
        <v>1074</v>
      </c>
    </row>
    <row r="86" spans="1:9" x14ac:dyDescent="0.2">
      <c r="A86" t="s">
        <v>1392</v>
      </c>
      <c r="B86" t="s">
        <v>1407</v>
      </c>
      <c r="C86" t="s">
        <v>1408</v>
      </c>
      <c r="D86" t="s">
        <v>1392</v>
      </c>
      <c r="E86" t="s">
        <v>1393</v>
      </c>
      <c r="F86" t="s">
        <v>1204</v>
      </c>
      <c r="G86" t="s">
        <v>1205</v>
      </c>
      <c r="H86" t="s">
        <v>1073</v>
      </c>
      <c r="I86" t="s">
        <v>1074</v>
      </c>
    </row>
    <row r="87" spans="1:9" x14ac:dyDescent="0.2">
      <c r="A87" t="s">
        <v>1409</v>
      </c>
      <c r="B87" t="s">
        <v>1410</v>
      </c>
      <c r="C87" t="s">
        <v>1411</v>
      </c>
      <c r="D87" t="s">
        <v>1333</v>
      </c>
      <c r="E87" t="s">
        <v>1334</v>
      </c>
      <c r="F87" t="s">
        <v>1102</v>
      </c>
      <c r="G87" t="s">
        <v>1103</v>
      </c>
      <c r="H87" t="s">
        <v>1073</v>
      </c>
      <c r="I87" t="s">
        <v>1074</v>
      </c>
    </row>
    <row r="88" spans="1:9" x14ac:dyDescent="0.2">
      <c r="A88" t="s">
        <v>1260</v>
      </c>
      <c r="B88" t="s">
        <v>1412</v>
      </c>
      <c r="C88" t="s">
        <v>1413</v>
      </c>
      <c r="D88" t="s">
        <v>1260</v>
      </c>
      <c r="E88" t="s">
        <v>1261</v>
      </c>
      <c r="F88" t="s">
        <v>1252</v>
      </c>
      <c r="G88" t="s">
        <v>1253</v>
      </c>
      <c r="H88" t="s">
        <v>1073</v>
      </c>
      <c r="I88" t="s">
        <v>1074</v>
      </c>
    </row>
    <row r="89" spans="1:9" x14ac:dyDescent="0.2">
      <c r="A89" t="s">
        <v>1414</v>
      </c>
      <c r="B89" t="s">
        <v>1415</v>
      </c>
      <c r="C89" t="s">
        <v>1416</v>
      </c>
      <c r="D89" t="s">
        <v>1260</v>
      </c>
      <c r="E89" t="s">
        <v>1261</v>
      </c>
      <c r="F89" t="s">
        <v>1252</v>
      </c>
      <c r="G89" t="s">
        <v>1253</v>
      </c>
      <c r="H89" t="s">
        <v>1073</v>
      </c>
      <c r="I89" t="s">
        <v>1074</v>
      </c>
    </row>
    <row r="90" spans="1:9" x14ac:dyDescent="0.2">
      <c r="A90" t="s">
        <v>1234</v>
      </c>
      <c r="B90" t="s">
        <v>1417</v>
      </c>
      <c r="C90" t="s">
        <v>1418</v>
      </c>
      <c r="D90" t="s">
        <v>1234</v>
      </c>
      <c r="E90" t="s">
        <v>1235</v>
      </c>
      <c r="F90" t="s">
        <v>1204</v>
      </c>
      <c r="G90" t="s">
        <v>1205</v>
      </c>
      <c r="H90" t="s">
        <v>1073</v>
      </c>
      <c r="I90" t="s">
        <v>1074</v>
      </c>
    </row>
    <row r="91" spans="1:9" x14ac:dyDescent="0.2">
      <c r="A91" t="s">
        <v>1419</v>
      </c>
      <c r="B91" t="s">
        <v>1420</v>
      </c>
      <c r="C91" t="s">
        <v>1421</v>
      </c>
      <c r="D91" t="s">
        <v>1422</v>
      </c>
      <c r="E91" t="s">
        <v>1423</v>
      </c>
      <c r="F91" t="s">
        <v>1252</v>
      </c>
      <c r="G91" t="s">
        <v>1253</v>
      </c>
      <c r="H91" t="s">
        <v>1073</v>
      </c>
      <c r="I91" t="s">
        <v>1074</v>
      </c>
    </row>
    <row r="92" spans="1:9" x14ac:dyDescent="0.2">
      <c r="A92" t="s">
        <v>1211</v>
      </c>
      <c r="B92" t="s">
        <v>1212</v>
      </c>
      <c r="C92" t="s">
        <v>1424</v>
      </c>
      <c r="D92" t="s">
        <v>1348</v>
      </c>
      <c r="E92" t="s">
        <v>1351</v>
      </c>
      <c r="F92" t="s">
        <v>1096</v>
      </c>
      <c r="G92" t="s">
        <v>1097</v>
      </c>
      <c r="H92" t="s">
        <v>1073</v>
      </c>
      <c r="I92" t="s">
        <v>1074</v>
      </c>
    </row>
    <row r="93" spans="1:9" x14ac:dyDescent="0.2">
      <c r="A93" t="s">
        <v>1425</v>
      </c>
      <c r="B93" t="s">
        <v>1426</v>
      </c>
      <c r="C93" t="s">
        <v>1427</v>
      </c>
      <c r="D93" t="s">
        <v>1222</v>
      </c>
      <c r="E93" t="s">
        <v>1223</v>
      </c>
      <c r="F93" t="s">
        <v>1224</v>
      </c>
      <c r="G93" t="s">
        <v>1225</v>
      </c>
      <c r="H93" t="s">
        <v>1073</v>
      </c>
      <c r="I93" t="s">
        <v>1074</v>
      </c>
    </row>
    <row r="94" spans="1:9" x14ac:dyDescent="0.2">
      <c r="A94" t="s">
        <v>1428</v>
      </c>
      <c r="B94" t="s">
        <v>1429</v>
      </c>
      <c r="C94" t="s">
        <v>1430</v>
      </c>
      <c r="D94" t="s">
        <v>1431</v>
      </c>
      <c r="E94" t="s">
        <v>1432</v>
      </c>
      <c r="F94" t="s">
        <v>1071</v>
      </c>
      <c r="G94" t="s">
        <v>1072</v>
      </c>
      <c r="H94" t="s">
        <v>1073</v>
      </c>
      <c r="I94" t="s">
        <v>1074</v>
      </c>
    </row>
    <row r="95" spans="1:9" x14ac:dyDescent="0.2">
      <c r="A95" t="s">
        <v>1433</v>
      </c>
      <c r="B95" t="s">
        <v>1434</v>
      </c>
      <c r="C95" t="s">
        <v>1435</v>
      </c>
      <c r="D95" t="s">
        <v>1113</v>
      </c>
      <c r="E95" t="s">
        <v>1436</v>
      </c>
      <c r="F95" t="s">
        <v>1113</v>
      </c>
      <c r="G95" t="s">
        <v>1114</v>
      </c>
      <c r="H95" t="s">
        <v>1073</v>
      </c>
      <c r="I95" t="s">
        <v>1074</v>
      </c>
    </row>
    <row r="96" spans="1:9" x14ac:dyDescent="0.2">
      <c r="A96" t="s">
        <v>1102</v>
      </c>
      <c r="B96" t="s">
        <v>1437</v>
      </c>
      <c r="C96" t="s">
        <v>1438</v>
      </c>
      <c r="D96" t="s">
        <v>1102</v>
      </c>
      <c r="E96" t="s">
        <v>1347</v>
      </c>
      <c r="F96" t="s">
        <v>1102</v>
      </c>
      <c r="G96" t="s">
        <v>1103</v>
      </c>
      <c r="H96" t="s">
        <v>1073</v>
      </c>
      <c r="I96" t="s">
        <v>1074</v>
      </c>
    </row>
    <row r="97" spans="1:9" x14ac:dyDescent="0.2">
      <c r="A97" t="s">
        <v>1439</v>
      </c>
      <c r="B97" t="s">
        <v>1440</v>
      </c>
      <c r="C97" t="s">
        <v>1441</v>
      </c>
      <c r="D97" t="s">
        <v>1442</v>
      </c>
      <c r="E97" t="s">
        <v>1443</v>
      </c>
      <c r="F97" t="s">
        <v>1387</v>
      </c>
      <c r="G97" t="s">
        <v>1388</v>
      </c>
      <c r="H97" t="s">
        <v>1073</v>
      </c>
      <c r="I97" t="s">
        <v>1074</v>
      </c>
    </row>
    <row r="98" spans="1:9" x14ac:dyDescent="0.2">
      <c r="A98" t="s">
        <v>1444</v>
      </c>
      <c r="B98" t="s">
        <v>1445</v>
      </c>
      <c r="C98" t="s">
        <v>1446</v>
      </c>
      <c r="D98" t="s">
        <v>1447</v>
      </c>
      <c r="E98" t="s">
        <v>1448</v>
      </c>
      <c r="F98" t="s">
        <v>1399</v>
      </c>
      <c r="G98" t="s">
        <v>1400</v>
      </c>
      <c r="H98" t="s">
        <v>1073</v>
      </c>
      <c r="I98" t="s">
        <v>1074</v>
      </c>
    </row>
    <row r="99" spans="1:9" x14ac:dyDescent="0.2">
      <c r="A99" t="s">
        <v>1449</v>
      </c>
      <c r="B99" t="s">
        <v>1450</v>
      </c>
      <c r="C99" t="s">
        <v>1451</v>
      </c>
      <c r="D99" t="s">
        <v>1452</v>
      </c>
      <c r="E99" t="s">
        <v>1453</v>
      </c>
      <c r="F99" t="s">
        <v>1399</v>
      </c>
      <c r="G99" t="s">
        <v>1400</v>
      </c>
      <c r="H99" t="s">
        <v>1073</v>
      </c>
      <c r="I99" t="s">
        <v>1074</v>
      </c>
    </row>
    <row r="100" spans="1:9" x14ac:dyDescent="0.2">
      <c r="A100" t="s">
        <v>1454</v>
      </c>
      <c r="B100" t="s">
        <v>1455</v>
      </c>
      <c r="C100" t="s">
        <v>1456</v>
      </c>
      <c r="D100" t="s">
        <v>1447</v>
      </c>
      <c r="E100" t="s">
        <v>1448</v>
      </c>
      <c r="F100" t="s">
        <v>1399</v>
      </c>
      <c r="G100" t="s">
        <v>1400</v>
      </c>
      <c r="H100" t="s">
        <v>1073</v>
      </c>
      <c r="I100" t="s">
        <v>1074</v>
      </c>
    </row>
    <row r="101" spans="1:9" x14ac:dyDescent="0.2">
      <c r="A101" t="s">
        <v>1457</v>
      </c>
      <c r="B101" t="s">
        <v>1458</v>
      </c>
      <c r="C101" t="s">
        <v>1459</v>
      </c>
      <c r="D101" t="s">
        <v>1447</v>
      </c>
      <c r="E101" t="s">
        <v>1448</v>
      </c>
      <c r="F101" t="s">
        <v>1399</v>
      </c>
      <c r="G101" t="s">
        <v>1400</v>
      </c>
      <c r="H101" t="s">
        <v>1073</v>
      </c>
      <c r="I101" t="s">
        <v>1074</v>
      </c>
    </row>
    <row r="102" spans="1:9" x14ac:dyDescent="0.2">
      <c r="A102" t="s">
        <v>1460</v>
      </c>
      <c r="B102" t="s">
        <v>1461</v>
      </c>
      <c r="C102" t="s">
        <v>1462</v>
      </c>
      <c r="D102" t="s">
        <v>1463</v>
      </c>
      <c r="E102" t="s">
        <v>1464</v>
      </c>
      <c r="F102" t="s">
        <v>1071</v>
      </c>
      <c r="G102" t="s">
        <v>1072</v>
      </c>
      <c r="H102" t="s">
        <v>1073</v>
      </c>
      <c r="I102" t="s">
        <v>1074</v>
      </c>
    </row>
    <row r="103" spans="1:9" x14ac:dyDescent="0.2">
      <c r="A103" t="s">
        <v>1086</v>
      </c>
      <c r="B103" t="s">
        <v>1465</v>
      </c>
      <c r="C103" t="s">
        <v>1466</v>
      </c>
      <c r="D103" t="s">
        <v>1086</v>
      </c>
      <c r="E103" t="s">
        <v>1087</v>
      </c>
      <c r="F103" t="s">
        <v>1071</v>
      </c>
      <c r="G103" t="s">
        <v>1072</v>
      </c>
      <c r="H103" t="s">
        <v>1073</v>
      </c>
      <c r="I103" t="s">
        <v>1074</v>
      </c>
    </row>
    <row r="104" spans="1:9" x14ac:dyDescent="0.2">
      <c r="A104" t="s">
        <v>1467</v>
      </c>
      <c r="B104" t="s">
        <v>1468</v>
      </c>
      <c r="C104" t="s">
        <v>1469</v>
      </c>
      <c r="D104" t="s">
        <v>1086</v>
      </c>
      <c r="E104" t="s">
        <v>1087</v>
      </c>
      <c r="F104" t="s">
        <v>1071</v>
      </c>
      <c r="G104" t="s">
        <v>1072</v>
      </c>
      <c r="H104" t="s">
        <v>1073</v>
      </c>
      <c r="I104" t="s">
        <v>1074</v>
      </c>
    </row>
    <row r="105" spans="1:9" x14ac:dyDescent="0.2">
      <c r="A105" t="s">
        <v>1470</v>
      </c>
      <c r="B105" t="s">
        <v>1471</v>
      </c>
      <c r="C105" t="s">
        <v>1472</v>
      </c>
      <c r="D105" t="s">
        <v>1086</v>
      </c>
      <c r="E105" t="s">
        <v>1087</v>
      </c>
      <c r="F105" t="s">
        <v>1071</v>
      </c>
      <c r="G105" t="s">
        <v>1072</v>
      </c>
      <c r="H105" t="s">
        <v>1073</v>
      </c>
      <c r="I105" t="s">
        <v>1074</v>
      </c>
    </row>
    <row r="106" spans="1:9" x14ac:dyDescent="0.2">
      <c r="A106" t="s">
        <v>1473</v>
      </c>
      <c r="B106" t="s">
        <v>1474</v>
      </c>
      <c r="C106" t="s">
        <v>1475</v>
      </c>
      <c r="D106" t="s">
        <v>1476</v>
      </c>
      <c r="E106" t="s">
        <v>1477</v>
      </c>
      <c r="F106" t="s">
        <v>1071</v>
      </c>
      <c r="G106" t="s">
        <v>1072</v>
      </c>
      <c r="H106" t="s">
        <v>1073</v>
      </c>
      <c r="I106" t="s">
        <v>1074</v>
      </c>
    </row>
    <row r="107" spans="1:9" x14ac:dyDescent="0.2">
      <c r="A107" t="s">
        <v>1431</v>
      </c>
      <c r="B107" t="s">
        <v>1478</v>
      </c>
      <c r="C107" t="s">
        <v>1479</v>
      </c>
      <c r="D107" t="s">
        <v>1431</v>
      </c>
      <c r="E107" t="s">
        <v>1432</v>
      </c>
      <c r="F107" t="s">
        <v>1071</v>
      </c>
      <c r="G107" t="s">
        <v>1072</v>
      </c>
      <c r="H107" t="s">
        <v>1073</v>
      </c>
      <c r="I107" t="s">
        <v>1074</v>
      </c>
    </row>
    <row r="108" spans="1:9" x14ac:dyDescent="0.2">
      <c r="A108" t="s">
        <v>1480</v>
      </c>
      <c r="B108" t="s">
        <v>1481</v>
      </c>
      <c r="C108" t="s">
        <v>1482</v>
      </c>
      <c r="D108" t="s">
        <v>1483</v>
      </c>
      <c r="E108" t="s">
        <v>1484</v>
      </c>
      <c r="F108" t="s">
        <v>1071</v>
      </c>
      <c r="G108" t="s">
        <v>1072</v>
      </c>
      <c r="H108" t="s">
        <v>1073</v>
      </c>
      <c r="I108" t="s">
        <v>1074</v>
      </c>
    </row>
    <row r="109" spans="1:9" x14ac:dyDescent="0.2">
      <c r="A109" t="s">
        <v>1078</v>
      </c>
      <c r="B109" t="s">
        <v>1485</v>
      </c>
      <c r="C109" t="s">
        <v>1486</v>
      </c>
      <c r="D109" t="s">
        <v>1078</v>
      </c>
      <c r="E109" t="s">
        <v>1079</v>
      </c>
      <c r="F109" t="s">
        <v>1071</v>
      </c>
      <c r="G109" t="s">
        <v>1072</v>
      </c>
      <c r="H109" t="s">
        <v>1073</v>
      </c>
      <c r="I109" t="s">
        <v>1074</v>
      </c>
    </row>
    <row r="110" spans="1:9" x14ac:dyDescent="0.2">
      <c r="A110" t="s">
        <v>1487</v>
      </c>
      <c r="B110" t="s">
        <v>1488</v>
      </c>
      <c r="C110" t="s">
        <v>1489</v>
      </c>
      <c r="D110" t="s">
        <v>1078</v>
      </c>
      <c r="E110" t="s">
        <v>1079</v>
      </c>
      <c r="F110" t="s">
        <v>1071</v>
      </c>
      <c r="G110" t="s">
        <v>1072</v>
      </c>
      <c r="H110" t="s">
        <v>1073</v>
      </c>
      <c r="I110" t="s">
        <v>1074</v>
      </c>
    </row>
    <row r="111" spans="1:9" x14ac:dyDescent="0.2">
      <c r="A111" t="s">
        <v>1490</v>
      </c>
      <c r="B111" t="s">
        <v>1491</v>
      </c>
      <c r="C111" t="s">
        <v>1492</v>
      </c>
      <c r="D111" t="s">
        <v>1078</v>
      </c>
      <c r="E111" t="s">
        <v>1079</v>
      </c>
      <c r="F111" t="s">
        <v>1071</v>
      </c>
      <c r="G111" t="s">
        <v>1072</v>
      </c>
      <c r="H111" t="s">
        <v>1073</v>
      </c>
      <c r="I111" t="s">
        <v>1074</v>
      </c>
    </row>
    <row r="112" spans="1:9" x14ac:dyDescent="0.2">
      <c r="A112" t="s">
        <v>1493</v>
      </c>
      <c r="B112" t="s">
        <v>1494</v>
      </c>
      <c r="C112" t="s">
        <v>1495</v>
      </c>
      <c r="D112" t="s">
        <v>1496</v>
      </c>
      <c r="E112" t="s">
        <v>1497</v>
      </c>
      <c r="F112" t="s">
        <v>1071</v>
      </c>
      <c r="G112" t="s">
        <v>1072</v>
      </c>
      <c r="H112" t="s">
        <v>1073</v>
      </c>
      <c r="I112" t="s">
        <v>1074</v>
      </c>
    </row>
    <row r="113" spans="1:9" x14ac:dyDescent="0.2">
      <c r="A113" t="s">
        <v>1498</v>
      </c>
      <c r="B113" t="s">
        <v>1499</v>
      </c>
      <c r="C113" t="s">
        <v>1500</v>
      </c>
      <c r="D113" t="s">
        <v>1501</v>
      </c>
      <c r="E113" t="s">
        <v>1502</v>
      </c>
      <c r="F113" t="s">
        <v>1071</v>
      </c>
      <c r="G113" t="s">
        <v>1072</v>
      </c>
      <c r="H113" t="s">
        <v>1073</v>
      </c>
      <c r="I113" t="s">
        <v>1074</v>
      </c>
    </row>
    <row r="114" spans="1:9" x14ac:dyDescent="0.2">
      <c r="A114" t="s">
        <v>1503</v>
      </c>
      <c r="B114" t="s">
        <v>1504</v>
      </c>
      <c r="C114" t="s">
        <v>1505</v>
      </c>
      <c r="D114" t="s">
        <v>1501</v>
      </c>
      <c r="E114" t="s">
        <v>1502</v>
      </c>
      <c r="F114" t="s">
        <v>1071</v>
      </c>
      <c r="G114" t="s">
        <v>1072</v>
      </c>
      <c r="H114" t="s">
        <v>1073</v>
      </c>
      <c r="I114" t="s">
        <v>1074</v>
      </c>
    </row>
    <row r="115" spans="1:9" x14ac:dyDescent="0.2">
      <c r="A115" t="s">
        <v>1506</v>
      </c>
      <c r="B115" t="s">
        <v>1507</v>
      </c>
      <c r="C115" t="s">
        <v>1508</v>
      </c>
      <c r="D115" t="s">
        <v>1496</v>
      </c>
      <c r="E115" t="s">
        <v>1497</v>
      </c>
      <c r="F115" t="s">
        <v>1071</v>
      </c>
      <c r="G115" t="s">
        <v>1072</v>
      </c>
      <c r="H115" t="s">
        <v>1073</v>
      </c>
      <c r="I115" t="s">
        <v>1074</v>
      </c>
    </row>
    <row r="116" spans="1:9" x14ac:dyDescent="0.2">
      <c r="A116" t="s">
        <v>1496</v>
      </c>
      <c r="B116" t="s">
        <v>1509</v>
      </c>
      <c r="C116" t="s">
        <v>1510</v>
      </c>
      <c r="D116" t="s">
        <v>1496</v>
      </c>
      <c r="E116" t="s">
        <v>1497</v>
      </c>
      <c r="F116" t="s">
        <v>1071</v>
      </c>
      <c r="G116" t="s">
        <v>1072</v>
      </c>
      <c r="H116" t="s">
        <v>1073</v>
      </c>
      <c r="I116" t="s">
        <v>1074</v>
      </c>
    </row>
    <row r="117" spans="1:9" x14ac:dyDescent="0.2">
      <c r="A117" t="s">
        <v>1511</v>
      </c>
      <c r="B117" t="s">
        <v>1512</v>
      </c>
      <c r="C117" t="s">
        <v>1513</v>
      </c>
      <c r="D117" t="s">
        <v>1514</v>
      </c>
      <c r="E117" t="s">
        <v>1515</v>
      </c>
      <c r="F117" t="s">
        <v>1071</v>
      </c>
      <c r="G117" t="s">
        <v>1072</v>
      </c>
      <c r="H117" t="s">
        <v>1073</v>
      </c>
      <c r="I117" t="s">
        <v>1074</v>
      </c>
    </row>
    <row r="118" spans="1:9" x14ac:dyDescent="0.2">
      <c r="A118" t="s">
        <v>1516</v>
      </c>
      <c r="B118" t="s">
        <v>1517</v>
      </c>
      <c r="C118" t="s">
        <v>1518</v>
      </c>
      <c r="D118" t="s">
        <v>1496</v>
      </c>
      <c r="E118" t="s">
        <v>1497</v>
      </c>
      <c r="F118" t="s">
        <v>1071</v>
      </c>
      <c r="G118" t="s">
        <v>1072</v>
      </c>
      <c r="H118" t="s">
        <v>1073</v>
      </c>
      <c r="I118" t="s">
        <v>1074</v>
      </c>
    </row>
    <row r="119" spans="1:9" x14ac:dyDescent="0.2">
      <c r="A119" t="s">
        <v>1519</v>
      </c>
      <c r="B119" t="s">
        <v>1520</v>
      </c>
      <c r="C119" t="s">
        <v>1521</v>
      </c>
      <c r="D119" t="s">
        <v>1222</v>
      </c>
      <c r="E119" t="s">
        <v>1223</v>
      </c>
      <c r="F119" t="s">
        <v>1224</v>
      </c>
      <c r="G119" t="s">
        <v>1225</v>
      </c>
      <c r="H119" t="s">
        <v>1073</v>
      </c>
      <c r="I119" t="s">
        <v>1074</v>
      </c>
    </row>
    <row r="120" spans="1:9" x14ac:dyDescent="0.2">
      <c r="A120" t="s">
        <v>1522</v>
      </c>
      <c r="B120" t="s">
        <v>1523</v>
      </c>
      <c r="C120" t="s">
        <v>1524</v>
      </c>
      <c r="D120" t="s">
        <v>1086</v>
      </c>
      <c r="E120" t="s">
        <v>1087</v>
      </c>
      <c r="F120" t="s">
        <v>1071</v>
      </c>
      <c r="G120" t="s">
        <v>1072</v>
      </c>
      <c r="H120" t="s">
        <v>1073</v>
      </c>
      <c r="I120" t="s">
        <v>1074</v>
      </c>
    </row>
    <row r="121" spans="1:9" x14ac:dyDescent="0.2">
      <c r="A121" t="s">
        <v>1525</v>
      </c>
      <c r="B121" t="s">
        <v>1526</v>
      </c>
      <c r="C121" t="s">
        <v>1527</v>
      </c>
      <c r="D121" t="s">
        <v>1086</v>
      </c>
      <c r="E121" t="s">
        <v>1087</v>
      </c>
      <c r="F121" t="s">
        <v>1071</v>
      </c>
      <c r="G121" t="s">
        <v>1072</v>
      </c>
      <c r="H121" t="s">
        <v>1073</v>
      </c>
      <c r="I121" t="s">
        <v>1074</v>
      </c>
    </row>
    <row r="122" spans="1:9" x14ac:dyDescent="0.2">
      <c r="A122" t="s">
        <v>1528</v>
      </c>
      <c r="B122" t="s">
        <v>1529</v>
      </c>
      <c r="C122" t="s">
        <v>1530</v>
      </c>
      <c r="D122" t="s">
        <v>1531</v>
      </c>
      <c r="E122" t="s">
        <v>1532</v>
      </c>
      <c r="F122" t="s">
        <v>1071</v>
      </c>
      <c r="G122" t="s">
        <v>1072</v>
      </c>
      <c r="H122" t="s">
        <v>1073</v>
      </c>
      <c r="I122" t="s">
        <v>1074</v>
      </c>
    </row>
    <row r="123" spans="1:9" x14ac:dyDescent="0.2">
      <c r="A123" t="s">
        <v>1533</v>
      </c>
      <c r="B123" t="s">
        <v>1534</v>
      </c>
      <c r="C123" t="s">
        <v>1535</v>
      </c>
      <c r="D123" t="s">
        <v>1531</v>
      </c>
      <c r="E123" t="s">
        <v>1532</v>
      </c>
      <c r="F123" t="s">
        <v>1071</v>
      </c>
      <c r="G123" t="s">
        <v>1072</v>
      </c>
      <c r="H123" t="s">
        <v>1073</v>
      </c>
      <c r="I123" t="s">
        <v>1074</v>
      </c>
    </row>
    <row r="124" spans="1:9" x14ac:dyDescent="0.2">
      <c r="A124" t="s">
        <v>1536</v>
      </c>
      <c r="B124" t="s">
        <v>1537</v>
      </c>
      <c r="C124" t="s">
        <v>1538</v>
      </c>
      <c r="D124" t="s">
        <v>1539</v>
      </c>
      <c r="E124" t="s">
        <v>1540</v>
      </c>
      <c r="F124" t="s">
        <v>1071</v>
      </c>
      <c r="G124" t="s">
        <v>1072</v>
      </c>
      <c r="H124" t="s">
        <v>1073</v>
      </c>
      <c r="I124" t="s">
        <v>1074</v>
      </c>
    </row>
    <row r="125" spans="1:9" x14ac:dyDescent="0.2">
      <c r="A125" t="s">
        <v>1278</v>
      </c>
      <c r="B125" t="s">
        <v>1541</v>
      </c>
      <c r="C125" t="s">
        <v>1542</v>
      </c>
      <c r="D125" t="s">
        <v>1278</v>
      </c>
      <c r="E125" t="s">
        <v>1279</v>
      </c>
      <c r="F125" t="s">
        <v>1252</v>
      </c>
      <c r="G125" t="s">
        <v>1253</v>
      </c>
      <c r="H125" t="s">
        <v>1073</v>
      </c>
      <c r="I125" t="s">
        <v>1074</v>
      </c>
    </row>
    <row r="126" spans="1:9" x14ac:dyDescent="0.2">
      <c r="A126" t="s">
        <v>1543</v>
      </c>
      <c r="B126" t="s">
        <v>1544</v>
      </c>
      <c r="C126" t="s">
        <v>1545</v>
      </c>
      <c r="D126" t="s">
        <v>1278</v>
      </c>
      <c r="E126" t="s">
        <v>1279</v>
      </c>
      <c r="F126" t="s">
        <v>1252</v>
      </c>
      <c r="G126" t="s">
        <v>1253</v>
      </c>
      <c r="H126" t="s">
        <v>1073</v>
      </c>
      <c r="I126" t="s">
        <v>1074</v>
      </c>
    </row>
    <row r="127" spans="1:9" x14ac:dyDescent="0.2">
      <c r="A127" t="s">
        <v>1546</v>
      </c>
      <c r="B127" t="s">
        <v>1547</v>
      </c>
      <c r="C127" t="s">
        <v>1548</v>
      </c>
      <c r="D127" t="s">
        <v>1422</v>
      </c>
      <c r="E127" t="s">
        <v>1423</v>
      </c>
      <c r="F127" t="s">
        <v>1252</v>
      </c>
      <c r="G127" t="s">
        <v>1253</v>
      </c>
      <c r="H127" t="s">
        <v>1073</v>
      </c>
      <c r="I127" t="s">
        <v>1074</v>
      </c>
    </row>
    <row r="128" spans="1:9" x14ac:dyDescent="0.2">
      <c r="A128" t="s">
        <v>1549</v>
      </c>
      <c r="B128" t="s">
        <v>1550</v>
      </c>
      <c r="C128" t="s">
        <v>1551</v>
      </c>
      <c r="D128" t="s">
        <v>1422</v>
      </c>
      <c r="E128" t="s">
        <v>1423</v>
      </c>
      <c r="F128" t="s">
        <v>1252</v>
      </c>
      <c r="G128" t="s">
        <v>1253</v>
      </c>
      <c r="H128" t="s">
        <v>1073</v>
      </c>
      <c r="I128" t="s">
        <v>1074</v>
      </c>
    </row>
    <row r="129" spans="1:9" x14ac:dyDescent="0.2">
      <c r="A129" t="s">
        <v>1552</v>
      </c>
      <c r="B129" t="s">
        <v>1553</v>
      </c>
      <c r="C129" t="s">
        <v>1554</v>
      </c>
      <c r="D129" t="s">
        <v>1476</v>
      </c>
      <c r="E129" t="s">
        <v>1477</v>
      </c>
      <c r="F129" t="s">
        <v>1071</v>
      </c>
      <c r="G129" t="s">
        <v>1072</v>
      </c>
      <c r="H129" t="s">
        <v>1073</v>
      </c>
      <c r="I129" t="s">
        <v>1074</v>
      </c>
    </row>
    <row r="130" spans="1:9" x14ac:dyDescent="0.2">
      <c r="A130" t="s">
        <v>1501</v>
      </c>
      <c r="B130" t="s">
        <v>1555</v>
      </c>
      <c r="C130" t="s">
        <v>1556</v>
      </c>
      <c r="D130" t="s">
        <v>1501</v>
      </c>
      <c r="E130" t="s">
        <v>1502</v>
      </c>
      <c r="F130" t="s">
        <v>1071</v>
      </c>
      <c r="G130" t="s">
        <v>1072</v>
      </c>
      <c r="H130" t="s">
        <v>1073</v>
      </c>
      <c r="I130" t="s">
        <v>1074</v>
      </c>
    </row>
    <row r="131" spans="1:9" x14ac:dyDescent="0.2">
      <c r="A131" t="s">
        <v>1557</v>
      </c>
      <c r="B131" t="s">
        <v>1558</v>
      </c>
      <c r="C131" t="s">
        <v>1559</v>
      </c>
      <c r="D131" t="s">
        <v>1476</v>
      </c>
      <c r="E131" t="s">
        <v>1477</v>
      </c>
      <c r="F131" t="s">
        <v>1071</v>
      </c>
      <c r="G131" t="s">
        <v>1072</v>
      </c>
      <c r="H131" t="s">
        <v>1073</v>
      </c>
      <c r="I131" t="s">
        <v>1074</v>
      </c>
    </row>
    <row r="132" spans="1:9" x14ac:dyDescent="0.2">
      <c r="A132" t="s">
        <v>1560</v>
      </c>
      <c r="B132" t="s">
        <v>1561</v>
      </c>
      <c r="C132" t="s">
        <v>1562</v>
      </c>
      <c r="D132" t="s">
        <v>1476</v>
      </c>
      <c r="E132" t="s">
        <v>1477</v>
      </c>
      <c r="F132" t="s">
        <v>1071</v>
      </c>
      <c r="G132" t="s">
        <v>1072</v>
      </c>
      <c r="H132" t="s">
        <v>1073</v>
      </c>
      <c r="I132" t="s">
        <v>1074</v>
      </c>
    </row>
    <row r="133" spans="1:9" x14ac:dyDescent="0.2">
      <c r="A133" t="s">
        <v>1563</v>
      </c>
      <c r="B133" t="s">
        <v>1564</v>
      </c>
      <c r="C133" t="s">
        <v>1565</v>
      </c>
      <c r="D133" t="s">
        <v>1348</v>
      </c>
      <c r="E133" t="s">
        <v>1351</v>
      </c>
      <c r="F133" t="s">
        <v>1096</v>
      </c>
      <c r="G133" t="s">
        <v>1097</v>
      </c>
      <c r="H133" t="s">
        <v>1073</v>
      </c>
      <c r="I133" t="s">
        <v>1074</v>
      </c>
    </row>
    <row r="134" spans="1:9" x14ac:dyDescent="0.2">
      <c r="A134" t="s">
        <v>1566</v>
      </c>
      <c r="B134" t="s">
        <v>1567</v>
      </c>
      <c r="C134" t="s">
        <v>1568</v>
      </c>
      <c r="D134" t="s">
        <v>1569</v>
      </c>
      <c r="E134" t="s">
        <v>1570</v>
      </c>
      <c r="F134" t="s">
        <v>1399</v>
      </c>
      <c r="G134" t="s">
        <v>1400</v>
      </c>
      <c r="H134" t="s">
        <v>1073</v>
      </c>
      <c r="I134" t="s">
        <v>1074</v>
      </c>
    </row>
    <row r="135" spans="1:9" x14ac:dyDescent="0.2">
      <c r="A135" t="s">
        <v>1571</v>
      </c>
      <c r="B135" t="s">
        <v>1572</v>
      </c>
      <c r="C135" t="s">
        <v>1573</v>
      </c>
      <c r="D135" t="s">
        <v>1571</v>
      </c>
      <c r="E135" t="s">
        <v>1574</v>
      </c>
      <c r="F135" t="s">
        <v>1102</v>
      </c>
      <c r="G135" t="s">
        <v>1103</v>
      </c>
      <c r="H135" t="s">
        <v>1073</v>
      </c>
      <c r="I135" t="s">
        <v>1074</v>
      </c>
    </row>
    <row r="136" spans="1:9" x14ac:dyDescent="0.2">
      <c r="A136" t="s">
        <v>1575</v>
      </c>
      <c r="B136" t="s">
        <v>1576</v>
      </c>
      <c r="C136" t="s">
        <v>1577</v>
      </c>
      <c r="D136" t="s">
        <v>1102</v>
      </c>
      <c r="E136" t="s">
        <v>1347</v>
      </c>
      <c r="F136" t="s">
        <v>1102</v>
      </c>
      <c r="G136" t="s">
        <v>1103</v>
      </c>
      <c r="H136" t="s">
        <v>1073</v>
      </c>
      <c r="I136" t="s">
        <v>1074</v>
      </c>
    </row>
    <row r="137" spans="1:9" x14ac:dyDescent="0.2">
      <c r="A137" t="s">
        <v>1578</v>
      </c>
      <c r="B137" t="s">
        <v>1579</v>
      </c>
      <c r="C137" t="s">
        <v>1580</v>
      </c>
      <c r="D137" t="s">
        <v>1123</v>
      </c>
      <c r="E137" t="s">
        <v>1124</v>
      </c>
      <c r="F137" t="s">
        <v>1102</v>
      </c>
      <c r="G137" t="s">
        <v>1103</v>
      </c>
      <c r="H137" t="s">
        <v>1073</v>
      </c>
      <c r="I137" t="s">
        <v>1074</v>
      </c>
    </row>
    <row r="138" spans="1:9" x14ac:dyDescent="0.2">
      <c r="A138" t="s">
        <v>1581</v>
      </c>
      <c r="B138" t="s">
        <v>1582</v>
      </c>
      <c r="C138" t="s">
        <v>1583</v>
      </c>
      <c r="D138" t="s">
        <v>1123</v>
      </c>
      <c r="E138" t="s">
        <v>1124</v>
      </c>
      <c r="F138" t="s">
        <v>1102</v>
      </c>
      <c r="G138" t="s">
        <v>1103</v>
      </c>
      <c r="H138" t="s">
        <v>1073</v>
      </c>
      <c r="I138" t="s">
        <v>1074</v>
      </c>
    </row>
    <row r="139" spans="1:9" x14ac:dyDescent="0.2">
      <c r="A139" t="s">
        <v>1584</v>
      </c>
      <c r="B139" t="s">
        <v>1585</v>
      </c>
      <c r="C139" t="s">
        <v>1586</v>
      </c>
      <c r="D139" t="s">
        <v>1571</v>
      </c>
      <c r="E139" t="s">
        <v>1574</v>
      </c>
      <c r="F139" t="s">
        <v>1102</v>
      </c>
      <c r="G139" t="s">
        <v>1103</v>
      </c>
      <c r="H139" t="s">
        <v>1073</v>
      </c>
      <c r="I139" t="s">
        <v>1074</v>
      </c>
    </row>
    <row r="140" spans="1:9" x14ac:dyDescent="0.2">
      <c r="A140" t="s">
        <v>1587</v>
      </c>
      <c r="B140" t="s">
        <v>1588</v>
      </c>
      <c r="C140" t="s">
        <v>1589</v>
      </c>
      <c r="D140" t="s">
        <v>1590</v>
      </c>
      <c r="E140" t="s">
        <v>1591</v>
      </c>
      <c r="F140" t="s">
        <v>1592</v>
      </c>
      <c r="G140" t="s">
        <v>1593</v>
      </c>
      <c r="H140" t="s">
        <v>1073</v>
      </c>
      <c r="I140" t="s">
        <v>1074</v>
      </c>
    </row>
    <row r="141" spans="1:9" x14ac:dyDescent="0.2">
      <c r="A141" t="s">
        <v>1594</v>
      </c>
      <c r="B141" t="s">
        <v>1595</v>
      </c>
      <c r="C141" t="s">
        <v>1596</v>
      </c>
      <c r="D141" t="s">
        <v>1594</v>
      </c>
      <c r="E141" t="s">
        <v>1597</v>
      </c>
      <c r="F141" t="s">
        <v>1598</v>
      </c>
      <c r="G141" t="s">
        <v>1599</v>
      </c>
      <c r="H141" t="s">
        <v>1073</v>
      </c>
      <c r="I141" t="s">
        <v>1074</v>
      </c>
    </row>
    <row r="142" spans="1:9" x14ac:dyDescent="0.2">
      <c r="A142" t="s">
        <v>1600</v>
      </c>
      <c r="B142" t="s">
        <v>1601</v>
      </c>
      <c r="C142" t="s">
        <v>1602</v>
      </c>
      <c r="D142" t="s">
        <v>1594</v>
      </c>
      <c r="E142" t="s">
        <v>1597</v>
      </c>
      <c r="F142" t="s">
        <v>1598</v>
      </c>
      <c r="G142" t="s">
        <v>1599</v>
      </c>
      <c r="H142" t="s">
        <v>1073</v>
      </c>
      <c r="I142" t="s">
        <v>1074</v>
      </c>
    </row>
    <row r="143" spans="1:9" x14ac:dyDescent="0.2">
      <c r="A143" t="s">
        <v>1603</v>
      </c>
      <c r="B143" t="s">
        <v>1604</v>
      </c>
      <c r="C143" t="s">
        <v>1605</v>
      </c>
      <c r="D143" t="s">
        <v>1104</v>
      </c>
      <c r="E143" t="s">
        <v>1107</v>
      </c>
      <c r="F143" t="s">
        <v>1096</v>
      </c>
      <c r="G143" t="s">
        <v>1097</v>
      </c>
      <c r="H143" t="s">
        <v>1073</v>
      </c>
      <c r="I143" t="s">
        <v>1074</v>
      </c>
    </row>
    <row r="144" spans="1:9" x14ac:dyDescent="0.2">
      <c r="A144" t="s">
        <v>1606</v>
      </c>
      <c r="B144" t="s">
        <v>1607</v>
      </c>
      <c r="C144" t="s">
        <v>1608</v>
      </c>
      <c r="D144" t="s">
        <v>1104</v>
      </c>
      <c r="E144" t="s">
        <v>1107</v>
      </c>
      <c r="F144" t="s">
        <v>1096</v>
      </c>
      <c r="G144" t="s">
        <v>1097</v>
      </c>
      <c r="H144" t="s">
        <v>1073</v>
      </c>
      <c r="I144" t="s">
        <v>1074</v>
      </c>
    </row>
    <row r="145" spans="1:9" x14ac:dyDescent="0.2">
      <c r="A145" t="s">
        <v>1609</v>
      </c>
      <c r="B145" t="s">
        <v>1610</v>
      </c>
      <c r="C145" t="s">
        <v>1611</v>
      </c>
      <c r="D145" t="s">
        <v>1612</v>
      </c>
      <c r="E145" t="s">
        <v>1613</v>
      </c>
      <c r="F145" t="s">
        <v>1614</v>
      </c>
      <c r="G145" t="s">
        <v>1615</v>
      </c>
      <c r="H145" t="s">
        <v>1073</v>
      </c>
      <c r="I145" t="s">
        <v>1074</v>
      </c>
    </row>
    <row r="146" spans="1:9" x14ac:dyDescent="0.2">
      <c r="A146" t="s">
        <v>1616</v>
      </c>
      <c r="B146" t="s">
        <v>1617</v>
      </c>
      <c r="C146" t="s">
        <v>1618</v>
      </c>
      <c r="D146" t="s">
        <v>1612</v>
      </c>
      <c r="E146" t="s">
        <v>1613</v>
      </c>
      <c r="F146" t="s">
        <v>1614</v>
      </c>
      <c r="G146" t="s">
        <v>1615</v>
      </c>
      <c r="H146" t="s">
        <v>1073</v>
      </c>
      <c r="I146" t="s">
        <v>1074</v>
      </c>
    </row>
    <row r="147" spans="1:9" x14ac:dyDescent="0.2">
      <c r="A147" t="s">
        <v>1619</v>
      </c>
      <c r="B147" t="s">
        <v>1620</v>
      </c>
      <c r="C147" t="s">
        <v>1621</v>
      </c>
      <c r="D147" t="s">
        <v>1619</v>
      </c>
      <c r="E147" t="s">
        <v>1622</v>
      </c>
      <c r="F147" t="s">
        <v>1623</v>
      </c>
      <c r="G147" t="s">
        <v>1624</v>
      </c>
      <c r="H147" t="s">
        <v>1073</v>
      </c>
      <c r="I147" t="s">
        <v>1074</v>
      </c>
    </row>
    <row r="148" spans="1:9" x14ac:dyDescent="0.2">
      <c r="A148" t="s">
        <v>1625</v>
      </c>
      <c r="B148" t="s">
        <v>1626</v>
      </c>
      <c r="C148" t="s">
        <v>1627</v>
      </c>
      <c r="D148" t="s">
        <v>1625</v>
      </c>
      <c r="E148" t="s">
        <v>1628</v>
      </c>
      <c r="F148" t="s">
        <v>1598</v>
      </c>
      <c r="G148" t="s">
        <v>1599</v>
      </c>
      <c r="H148" t="s">
        <v>1073</v>
      </c>
      <c r="I148" t="s">
        <v>1074</v>
      </c>
    </row>
    <row r="149" spans="1:9" x14ac:dyDescent="0.2">
      <c r="A149" t="s">
        <v>1629</v>
      </c>
      <c r="B149" t="s">
        <v>1630</v>
      </c>
      <c r="C149" t="s">
        <v>1631</v>
      </c>
      <c r="D149" t="s">
        <v>1612</v>
      </c>
      <c r="E149" t="s">
        <v>1613</v>
      </c>
      <c r="F149" t="s">
        <v>1614</v>
      </c>
      <c r="G149" t="s">
        <v>1615</v>
      </c>
      <c r="H149" t="s">
        <v>1073</v>
      </c>
      <c r="I149" t="s">
        <v>1074</v>
      </c>
    </row>
    <row r="150" spans="1:9" x14ac:dyDescent="0.2">
      <c r="A150" t="s">
        <v>1632</v>
      </c>
      <c r="B150" t="s">
        <v>1633</v>
      </c>
      <c r="C150" t="s">
        <v>1634</v>
      </c>
      <c r="D150" t="s">
        <v>1632</v>
      </c>
      <c r="E150" t="s">
        <v>1635</v>
      </c>
      <c r="F150" t="s">
        <v>1380</v>
      </c>
      <c r="G150" t="s">
        <v>1381</v>
      </c>
      <c r="H150" t="s">
        <v>1073</v>
      </c>
      <c r="I150" t="s">
        <v>1074</v>
      </c>
    </row>
    <row r="151" spans="1:9" x14ac:dyDescent="0.2">
      <c r="A151" t="s">
        <v>1636</v>
      </c>
      <c r="B151" t="s">
        <v>1637</v>
      </c>
      <c r="C151" t="s">
        <v>1638</v>
      </c>
      <c r="D151" t="s">
        <v>1625</v>
      </c>
      <c r="E151" t="s">
        <v>1628</v>
      </c>
      <c r="F151" t="s">
        <v>1598</v>
      </c>
      <c r="G151" t="s">
        <v>1599</v>
      </c>
      <c r="H151" t="s">
        <v>1073</v>
      </c>
      <c r="I151" t="s">
        <v>1074</v>
      </c>
    </row>
    <row r="152" spans="1:9" x14ac:dyDescent="0.2">
      <c r="A152" t="s">
        <v>1639</v>
      </c>
      <c r="B152" t="s">
        <v>1640</v>
      </c>
      <c r="C152" t="s">
        <v>1641</v>
      </c>
      <c r="D152" t="s">
        <v>1639</v>
      </c>
      <c r="E152" t="s">
        <v>1642</v>
      </c>
      <c r="F152" t="s">
        <v>1598</v>
      </c>
      <c r="G152" t="s">
        <v>1599</v>
      </c>
      <c r="H152" t="s">
        <v>1073</v>
      </c>
      <c r="I152" t="s">
        <v>1074</v>
      </c>
    </row>
    <row r="153" spans="1:9" x14ac:dyDescent="0.2">
      <c r="A153" t="s">
        <v>1643</v>
      </c>
      <c r="B153" t="s">
        <v>1644</v>
      </c>
      <c r="C153" t="s">
        <v>1645</v>
      </c>
      <c r="D153" t="s">
        <v>1639</v>
      </c>
      <c r="E153" t="s">
        <v>1642</v>
      </c>
      <c r="F153" t="s">
        <v>1598</v>
      </c>
      <c r="G153" t="s">
        <v>1599</v>
      </c>
      <c r="H153" t="s">
        <v>1073</v>
      </c>
      <c r="I153" t="s">
        <v>1074</v>
      </c>
    </row>
    <row r="154" spans="1:9" x14ac:dyDescent="0.2">
      <c r="A154" t="s">
        <v>1646</v>
      </c>
      <c r="B154" t="s">
        <v>1647</v>
      </c>
      <c r="C154" t="s">
        <v>1648</v>
      </c>
      <c r="D154" t="s">
        <v>1146</v>
      </c>
      <c r="E154" t="s">
        <v>1149</v>
      </c>
      <c r="F154" t="s">
        <v>1150</v>
      </c>
      <c r="G154" t="s">
        <v>1151</v>
      </c>
      <c r="H154" t="s">
        <v>1073</v>
      </c>
      <c r="I154" t="s">
        <v>1074</v>
      </c>
    </row>
    <row r="155" spans="1:9" x14ac:dyDescent="0.2">
      <c r="A155" t="s">
        <v>1649</v>
      </c>
      <c r="B155" t="s">
        <v>1650</v>
      </c>
      <c r="C155" t="s">
        <v>1651</v>
      </c>
      <c r="D155" t="s">
        <v>1352</v>
      </c>
      <c r="E155" t="s">
        <v>1355</v>
      </c>
      <c r="F155" t="s">
        <v>1150</v>
      </c>
      <c r="G155" t="s">
        <v>1151</v>
      </c>
      <c r="H155" t="s">
        <v>1073</v>
      </c>
      <c r="I155" t="s">
        <v>1074</v>
      </c>
    </row>
    <row r="156" spans="1:9" x14ac:dyDescent="0.2">
      <c r="A156" t="s">
        <v>1652</v>
      </c>
      <c r="B156" t="s">
        <v>1653</v>
      </c>
      <c r="C156" t="s">
        <v>1654</v>
      </c>
      <c r="D156" t="s">
        <v>1655</v>
      </c>
      <c r="E156" t="s">
        <v>1656</v>
      </c>
      <c r="F156" t="s">
        <v>1592</v>
      </c>
      <c r="G156" t="s">
        <v>1593</v>
      </c>
      <c r="H156" t="s">
        <v>1073</v>
      </c>
      <c r="I156" t="s">
        <v>1074</v>
      </c>
    </row>
    <row r="157" spans="1:9" x14ac:dyDescent="0.2">
      <c r="A157" t="s">
        <v>1657</v>
      </c>
      <c r="B157" t="s">
        <v>1658</v>
      </c>
      <c r="C157" t="s">
        <v>1659</v>
      </c>
      <c r="D157" t="s">
        <v>1632</v>
      </c>
      <c r="E157" t="s">
        <v>1635</v>
      </c>
      <c r="F157" t="s">
        <v>1380</v>
      </c>
      <c r="G157" t="s">
        <v>1381</v>
      </c>
      <c r="H157" t="s">
        <v>1073</v>
      </c>
      <c r="I157" t="s">
        <v>1074</v>
      </c>
    </row>
    <row r="158" spans="1:9" x14ac:dyDescent="0.2">
      <c r="A158" t="s">
        <v>1660</v>
      </c>
      <c r="B158" t="s">
        <v>1661</v>
      </c>
      <c r="C158" t="s">
        <v>1662</v>
      </c>
      <c r="D158" t="s">
        <v>1660</v>
      </c>
      <c r="E158" t="s">
        <v>1663</v>
      </c>
      <c r="F158" t="s">
        <v>1614</v>
      </c>
      <c r="G158" t="s">
        <v>1615</v>
      </c>
      <c r="H158" t="s">
        <v>1073</v>
      </c>
      <c r="I158" t="s">
        <v>1074</v>
      </c>
    </row>
    <row r="159" spans="1:9" x14ac:dyDescent="0.2">
      <c r="A159" t="s">
        <v>1623</v>
      </c>
      <c r="B159" t="s">
        <v>1664</v>
      </c>
      <c r="C159" t="s">
        <v>1665</v>
      </c>
      <c r="D159" t="s">
        <v>1619</v>
      </c>
      <c r="E159" t="s">
        <v>1622</v>
      </c>
      <c r="F159" t="s">
        <v>1623</v>
      </c>
      <c r="G159" t="s">
        <v>1624</v>
      </c>
      <c r="H159" t="s">
        <v>1073</v>
      </c>
      <c r="I159" t="s">
        <v>1074</v>
      </c>
    </row>
    <row r="160" spans="1:9" x14ac:dyDescent="0.2">
      <c r="A160" t="s">
        <v>1666</v>
      </c>
      <c r="B160" t="s">
        <v>1667</v>
      </c>
      <c r="C160" t="s">
        <v>1668</v>
      </c>
      <c r="D160" t="s">
        <v>1397</v>
      </c>
      <c r="E160" t="s">
        <v>1398</v>
      </c>
      <c r="F160" t="s">
        <v>1399</v>
      </c>
      <c r="G160" t="s">
        <v>1400</v>
      </c>
      <c r="H160" t="s">
        <v>1073</v>
      </c>
      <c r="I160" t="s">
        <v>1074</v>
      </c>
    </row>
    <row r="161" spans="1:9" x14ac:dyDescent="0.2">
      <c r="A161" t="s">
        <v>1669</v>
      </c>
      <c r="B161" t="s">
        <v>1670</v>
      </c>
      <c r="C161" t="s">
        <v>1671</v>
      </c>
      <c r="D161" t="s">
        <v>1669</v>
      </c>
      <c r="E161" t="s">
        <v>1672</v>
      </c>
      <c r="F161" t="s">
        <v>1387</v>
      </c>
      <c r="G161" t="s">
        <v>1388</v>
      </c>
      <c r="H161" t="s">
        <v>1073</v>
      </c>
      <c r="I161" t="s">
        <v>1074</v>
      </c>
    </row>
    <row r="162" spans="1:9" x14ac:dyDescent="0.2">
      <c r="A162" t="s">
        <v>1442</v>
      </c>
      <c r="B162" t="s">
        <v>1673</v>
      </c>
      <c r="C162" t="s">
        <v>1674</v>
      </c>
      <c r="D162" t="s">
        <v>1442</v>
      </c>
      <c r="E162" t="s">
        <v>1443</v>
      </c>
      <c r="F162" t="s">
        <v>1387</v>
      </c>
      <c r="G162" t="s">
        <v>1388</v>
      </c>
      <c r="H162" t="s">
        <v>1073</v>
      </c>
      <c r="I162" t="s">
        <v>1074</v>
      </c>
    </row>
    <row r="163" spans="1:9" x14ac:dyDescent="0.2">
      <c r="A163" t="s">
        <v>1675</v>
      </c>
      <c r="B163" t="s">
        <v>1676</v>
      </c>
      <c r="C163" t="s">
        <v>1677</v>
      </c>
      <c r="D163" t="s">
        <v>1678</v>
      </c>
      <c r="E163" t="s">
        <v>1679</v>
      </c>
      <c r="F163" t="s">
        <v>1387</v>
      </c>
      <c r="G163" t="s">
        <v>1388</v>
      </c>
      <c r="H163" t="s">
        <v>1073</v>
      </c>
      <c r="I163" t="s">
        <v>1074</v>
      </c>
    </row>
    <row r="164" spans="1:9" x14ac:dyDescent="0.2">
      <c r="A164" t="s">
        <v>1680</v>
      </c>
      <c r="B164" t="s">
        <v>1681</v>
      </c>
      <c r="C164" t="s">
        <v>1682</v>
      </c>
      <c r="D164" t="s">
        <v>1683</v>
      </c>
      <c r="E164" t="s">
        <v>1684</v>
      </c>
      <c r="F164" t="s">
        <v>1387</v>
      </c>
      <c r="G164" t="s">
        <v>1388</v>
      </c>
      <c r="H164" t="s">
        <v>1073</v>
      </c>
      <c r="I164" t="s">
        <v>1074</v>
      </c>
    </row>
    <row r="165" spans="1:9" x14ac:dyDescent="0.2">
      <c r="A165" t="s">
        <v>1685</v>
      </c>
      <c r="B165" t="s">
        <v>1686</v>
      </c>
      <c r="C165" t="s">
        <v>1687</v>
      </c>
      <c r="D165" t="s">
        <v>1385</v>
      </c>
      <c r="E165" t="s">
        <v>1386</v>
      </c>
      <c r="F165" t="s">
        <v>1387</v>
      </c>
      <c r="G165" t="s">
        <v>1388</v>
      </c>
      <c r="H165" t="s">
        <v>1073</v>
      </c>
      <c r="I165" t="s">
        <v>1074</v>
      </c>
    </row>
    <row r="166" spans="1:9" x14ac:dyDescent="0.2">
      <c r="A166" t="s">
        <v>1688</v>
      </c>
      <c r="B166" t="s">
        <v>1689</v>
      </c>
      <c r="C166" t="s">
        <v>1690</v>
      </c>
      <c r="D166" t="s">
        <v>1452</v>
      </c>
      <c r="E166" t="s">
        <v>1453</v>
      </c>
      <c r="F166" t="s">
        <v>1399</v>
      </c>
      <c r="G166" t="s">
        <v>1400</v>
      </c>
      <c r="H166" t="s">
        <v>1073</v>
      </c>
      <c r="I166" t="s">
        <v>1074</v>
      </c>
    </row>
    <row r="167" spans="1:9" x14ac:dyDescent="0.2">
      <c r="A167" t="s">
        <v>1691</v>
      </c>
      <c r="B167" t="s">
        <v>1692</v>
      </c>
      <c r="C167" t="s">
        <v>1693</v>
      </c>
      <c r="D167" t="s">
        <v>1669</v>
      </c>
      <c r="E167" t="s">
        <v>1672</v>
      </c>
      <c r="F167" t="s">
        <v>1387</v>
      </c>
      <c r="G167" t="s">
        <v>1388</v>
      </c>
      <c r="H167" t="s">
        <v>1073</v>
      </c>
      <c r="I167" t="s">
        <v>1074</v>
      </c>
    </row>
    <row r="168" spans="1:9" x14ac:dyDescent="0.2">
      <c r="A168" t="s">
        <v>1231</v>
      </c>
      <c r="B168" t="s">
        <v>1232</v>
      </c>
      <c r="C168" t="s">
        <v>1694</v>
      </c>
      <c r="D168" t="s">
        <v>1452</v>
      </c>
      <c r="E168" t="s">
        <v>1453</v>
      </c>
      <c r="F168" t="s">
        <v>1399</v>
      </c>
      <c r="G168" t="s">
        <v>1400</v>
      </c>
      <c r="H168" t="s">
        <v>1073</v>
      </c>
      <c r="I168" t="s">
        <v>1074</v>
      </c>
    </row>
    <row r="169" spans="1:9" x14ac:dyDescent="0.2">
      <c r="A169" t="s">
        <v>1695</v>
      </c>
      <c r="B169" t="s">
        <v>1696</v>
      </c>
      <c r="C169" t="s">
        <v>1697</v>
      </c>
      <c r="D169" t="s">
        <v>1431</v>
      </c>
      <c r="E169" t="s">
        <v>1432</v>
      </c>
      <c r="F169" t="s">
        <v>1071</v>
      </c>
      <c r="G169" t="s">
        <v>1072</v>
      </c>
      <c r="H169" t="s">
        <v>1073</v>
      </c>
      <c r="I169" t="s">
        <v>1074</v>
      </c>
    </row>
    <row r="170" spans="1:9" x14ac:dyDescent="0.2">
      <c r="A170" t="s">
        <v>1698</v>
      </c>
      <c r="B170" t="s">
        <v>1699</v>
      </c>
      <c r="C170" t="s">
        <v>1700</v>
      </c>
      <c r="D170" t="s">
        <v>1463</v>
      </c>
      <c r="E170" t="s">
        <v>1464</v>
      </c>
      <c r="F170" t="s">
        <v>1071</v>
      </c>
      <c r="G170" t="s">
        <v>1072</v>
      </c>
      <c r="H170" t="s">
        <v>1073</v>
      </c>
      <c r="I170" t="s">
        <v>1074</v>
      </c>
    </row>
    <row r="171" spans="1:9" x14ac:dyDescent="0.2">
      <c r="A171" t="s">
        <v>1229</v>
      </c>
      <c r="B171" t="s">
        <v>1701</v>
      </c>
      <c r="C171" t="s">
        <v>1702</v>
      </c>
      <c r="D171" t="s">
        <v>1229</v>
      </c>
      <c r="E171" t="s">
        <v>1230</v>
      </c>
      <c r="F171" t="s">
        <v>1224</v>
      </c>
      <c r="G171" t="s">
        <v>1225</v>
      </c>
      <c r="H171" t="s">
        <v>1073</v>
      </c>
      <c r="I171" t="s">
        <v>1074</v>
      </c>
    </row>
    <row r="172" spans="1:9" x14ac:dyDescent="0.2">
      <c r="A172" t="s">
        <v>1204</v>
      </c>
      <c r="B172" t="s">
        <v>1703</v>
      </c>
      <c r="C172" t="s">
        <v>1704</v>
      </c>
      <c r="D172" t="s">
        <v>1204</v>
      </c>
      <c r="E172" t="s">
        <v>1705</v>
      </c>
      <c r="F172" t="s">
        <v>1204</v>
      </c>
      <c r="G172" t="s">
        <v>1205</v>
      </c>
      <c r="H172" t="s">
        <v>1073</v>
      </c>
      <c r="I172" t="s">
        <v>1074</v>
      </c>
    </row>
    <row r="173" spans="1:9" x14ac:dyDescent="0.2">
      <c r="A173" t="s">
        <v>1706</v>
      </c>
      <c r="B173" t="s">
        <v>1707</v>
      </c>
      <c r="C173" t="s">
        <v>1708</v>
      </c>
      <c r="D173" t="s">
        <v>1397</v>
      </c>
      <c r="E173" t="s">
        <v>1398</v>
      </c>
      <c r="F173" t="s">
        <v>1399</v>
      </c>
      <c r="G173" t="s">
        <v>1400</v>
      </c>
      <c r="H173" t="s">
        <v>1073</v>
      </c>
      <c r="I173" t="s">
        <v>1074</v>
      </c>
    </row>
    <row r="174" spans="1:9" x14ac:dyDescent="0.2">
      <c r="A174" t="s">
        <v>1709</v>
      </c>
      <c r="B174" t="s">
        <v>1710</v>
      </c>
      <c r="C174" t="s">
        <v>1711</v>
      </c>
      <c r="D174" t="s">
        <v>1712</v>
      </c>
      <c r="E174" t="s">
        <v>1713</v>
      </c>
      <c r="F174" t="s">
        <v>1380</v>
      </c>
      <c r="G174" t="s">
        <v>1381</v>
      </c>
      <c r="H174" t="s">
        <v>1073</v>
      </c>
      <c r="I174" t="s">
        <v>1074</v>
      </c>
    </row>
    <row r="175" spans="1:9" x14ac:dyDescent="0.2">
      <c r="A175" t="s">
        <v>1714</v>
      </c>
      <c r="B175" t="s">
        <v>1715</v>
      </c>
      <c r="C175" t="s">
        <v>1716</v>
      </c>
      <c r="D175" t="s">
        <v>1431</v>
      </c>
      <c r="E175" t="s">
        <v>1432</v>
      </c>
      <c r="F175" t="s">
        <v>1071</v>
      </c>
      <c r="G175" t="s">
        <v>1072</v>
      </c>
      <c r="H175" t="s">
        <v>1073</v>
      </c>
      <c r="I175" t="s">
        <v>1074</v>
      </c>
    </row>
    <row r="176" spans="1:9" x14ac:dyDescent="0.2">
      <c r="A176" t="s">
        <v>1717</v>
      </c>
      <c r="B176" t="s">
        <v>1718</v>
      </c>
      <c r="C176" t="s">
        <v>1719</v>
      </c>
      <c r="D176" t="s">
        <v>1655</v>
      </c>
      <c r="E176" t="s">
        <v>1656</v>
      </c>
      <c r="F176" t="s">
        <v>1592</v>
      </c>
      <c r="G176" t="s">
        <v>1593</v>
      </c>
      <c r="H176" t="s">
        <v>1073</v>
      </c>
      <c r="I176" t="s">
        <v>1074</v>
      </c>
    </row>
    <row r="177" spans="1:9" x14ac:dyDescent="0.2">
      <c r="A177" t="s">
        <v>1720</v>
      </c>
      <c r="B177" t="s">
        <v>1721</v>
      </c>
      <c r="C177" t="s">
        <v>1722</v>
      </c>
      <c r="D177" t="s">
        <v>1590</v>
      </c>
      <c r="E177" t="s">
        <v>1591</v>
      </c>
      <c r="F177" t="s">
        <v>1592</v>
      </c>
      <c r="G177" t="s">
        <v>1593</v>
      </c>
      <c r="H177" t="s">
        <v>1073</v>
      </c>
      <c r="I177" t="s">
        <v>1074</v>
      </c>
    </row>
    <row r="178" spans="1:9" x14ac:dyDescent="0.2">
      <c r="A178" t="s">
        <v>1723</v>
      </c>
      <c r="B178" t="s">
        <v>1724</v>
      </c>
      <c r="C178" t="s">
        <v>1725</v>
      </c>
      <c r="D178" t="s">
        <v>1483</v>
      </c>
      <c r="E178" t="s">
        <v>1484</v>
      </c>
      <c r="F178" t="s">
        <v>1071</v>
      </c>
      <c r="G178" t="s">
        <v>1072</v>
      </c>
      <c r="H178" t="s">
        <v>1073</v>
      </c>
      <c r="I178" t="s">
        <v>1074</v>
      </c>
    </row>
    <row r="179" spans="1:9" x14ac:dyDescent="0.2">
      <c r="A179" t="s">
        <v>1726</v>
      </c>
      <c r="B179" t="s">
        <v>1727</v>
      </c>
      <c r="C179" t="s">
        <v>1728</v>
      </c>
      <c r="D179" t="s">
        <v>1590</v>
      </c>
      <c r="E179" t="s">
        <v>1591</v>
      </c>
      <c r="F179" t="s">
        <v>1592</v>
      </c>
      <c r="G179" t="s">
        <v>1593</v>
      </c>
      <c r="H179" t="s">
        <v>1073</v>
      </c>
      <c r="I179" t="s">
        <v>1074</v>
      </c>
    </row>
    <row r="180" spans="1:9" x14ac:dyDescent="0.2">
      <c r="A180" t="s">
        <v>1729</v>
      </c>
      <c r="B180" t="s">
        <v>1730</v>
      </c>
      <c r="C180" t="s">
        <v>1731</v>
      </c>
      <c r="D180" t="s">
        <v>1348</v>
      </c>
      <c r="E180" t="s">
        <v>1351</v>
      </c>
      <c r="F180" t="s">
        <v>1096</v>
      </c>
      <c r="G180" t="s">
        <v>1097</v>
      </c>
      <c r="H180" t="s">
        <v>1073</v>
      </c>
      <c r="I180" t="s">
        <v>1074</v>
      </c>
    </row>
    <row r="181" spans="1:9" x14ac:dyDescent="0.2">
      <c r="A181" t="s">
        <v>1732</v>
      </c>
      <c r="B181" t="s">
        <v>1733</v>
      </c>
      <c r="C181" t="s">
        <v>1734</v>
      </c>
      <c r="D181" t="s">
        <v>1204</v>
      </c>
      <c r="E181" t="s">
        <v>1705</v>
      </c>
      <c r="F181" t="s">
        <v>1204</v>
      </c>
      <c r="G181" t="s">
        <v>1205</v>
      </c>
      <c r="H181" t="s">
        <v>1073</v>
      </c>
      <c r="I181" t="s">
        <v>1074</v>
      </c>
    </row>
    <row r="182" spans="1:9" x14ac:dyDescent="0.2">
      <c r="A182" t="s">
        <v>1735</v>
      </c>
      <c r="B182" t="s">
        <v>1736</v>
      </c>
      <c r="C182" t="s">
        <v>1737</v>
      </c>
      <c r="D182" t="s">
        <v>1204</v>
      </c>
      <c r="E182" t="s">
        <v>1705</v>
      </c>
      <c r="F182" t="s">
        <v>1204</v>
      </c>
      <c r="G182" t="s">
        <v>1205</v>
      </c>
      <c r="H182" t="s">
        <v>1073</v>
      </c>
      <c r="I182" t="s">
        <v>1074</v>
      </c>
    </row>
    <row r="183" spans="1:9" x14ac:dyDescent="0.2">
      <c r="A183" t="s">
        <v>1738</v>
      </c>
      <c r="B183" t="s">
        <v>1739</v>
      </c>
      <c r="C183" t="s">
        <v>1740</v>
      </c>
      <c r="D183" t="s">
        <v>1204</v>
      </c>
      <c r="E183" t="s">
        <v>1705</v>
      </c>
      <c r="F183" t="s">
        <v>1204</v>
      </c>
      <c r="G183" t="s">
        <v>1205</v>
      </c>
      <c r="H183" t="s">
        <v>1073</v>
      </c>
      <c r="I183" t="s">
        <v>1074</v>
      </c>
    </row>
    <row r="184" spans="1:9" x14ac:dyDescent="0.2">
      <c r="A184" t="s">
        <v>1741</v>
      </c>
      <c r="B184" t="s">
        <v>1742</v>
      </c>
      <c r="C184" t="s">
        <v>1743</v>
      </c>
      <c r="D184" t="s">
        <v>1204</v>
      </c>
      <c r="E184" t="s">
        <v>1705</v>
      </c>
      <c r="F184" t="s">
        <v>1204</v>
      </c>
      <c r="G184" t="s">
        <v>1205</v>
      </c>
      <c r="H184" t="s">
        <v>1073</v>
      </c>
      <c r="I184" t="s">
        <v>1074</v>
      </c>
    </row>
    <row r="185" spans="1:9" x14ac:dyDescent="0.2">
      <c r="A185" t="s">
        <v>1744</v>
      </c>
      <c r="B185" t="s">
        <v>1745</v>
      </c>
      <c r="C185" t="s">
        <v>1746</v>
      </c>
      <c r="D185" t="s">
        <v>1204</v>
      </c>
      <c r="E185" t="s">
        <v>1705</v>
      </c>
      <c r="F185" t="s">
        <v>1204</v>
      </c>
      <c r="G185" t="s">
        <v>1205</v>
      </c>
      <c r="H185" t="s">
        <v>1073</v>
      </c>
      <c r="I185" t="s">
        <v>1074</v>
      </c>
    </row>
    <row r="186" spans="1:9" x14ac:dyDescent="0.2">
      <c r="A186" t="s">
        <v>1747</v>
      </c>
      <c r="B186" t="s">
        <v>1748</v>
      </c>
      <c r="C186" t="s">
        <v>1749</v>
      </c>
      <c r="D186" t="s">
        <v>1422</v>
      </c>
      <c r="E186" t="s">
        <v>1423</v>
      </c>
      <c r="F186" t="s">
        <v>1252</v>
      </c>
      <c r="G186" t="s">
        <v>1253</v>
      </c>
      <c r="H186" t="s">
        <v>1073</v>
      </c>
      <c r="I186" t="s">
        <v>1074</v>
      </c>
    </row>
    <row r="187" spans="1:9" x14ac:dyDescent="0.2">
      <c r="A187" t="s">
        <v>1422</v>
      </c>
      <c r="B187" t="s">
        <v>1750</v>
      </c>
      <c r="C187" t="s">
        <v>1751</v>
      </c>
      <c r="D187" t="s">
        <v>1422</v>
      </c>
      <c r="E187" t="s">
        <v>1423</v>
      </c>
      <c r="F187" t="s">
        <v>1252</v>
      </c>
      <c r="G187" t="s">
        <v>1253</v>
      </c>
      <c r="H187" t="s">
        <v>1073</v>
      </c>
      <c r="I187" t="s">
        <v>1074</v>
      </c>
    </row>
    <row r="188" spans="1:9" x14ac:dyDescent="0.2">
      <c r="A188" t="s">
        <v>1752</v>
      </c>
      <c r="B188" t="s">
        <v>1753</v>
      </c>
      <c r="C188" t="s">
        <v>1754</v>
      </c>
      <c r="D188" t="s">
        <v>1278</v>
      </c>
      <c r="E188" t="s">
        <v>1279</v>
      </c>
      <c r="F188" t="s">
        <v>1252</v>
      </c>
      <c r="G188" t="s">
        <v>1253</v>
      </c>
      <c r="H188" t="s">
        <v>1073</v>
      </c>
      <c r="I188" t="s">
        <v>1074</v>
      </c>
    </row>
    <row r="189" spans="1:9" x14ac:dyDescent="0.2">
      <c r="A189" t="s">
        <v>1755</v>
      </c>
      <c r="B189" t="s">
        <v>1756</v>
      </c>
      <c r="C189" t="s">
        <v>1757</v>
      </c>
      <c r="D189" t="s">
        <v>1397</v>
      </c>
      <c r="E189" t="s">
        <v>1398</v>
      </c>
      <c r="F189" t="s">
        <v>1399</v>
      </c>
      <c r="G189" t="s">
        <v>1400</v>
      </c>
      <c r="H189" t="s">
        <v>1073</v>
      </c>
      <c r="I189" t="s">
        <v>1074</v>
      </c>
    </row>
    <row r="190" spans="1:9" x14ac:dyDescent="0.2">
      <c r="A190" t="s">
        <v>1758</v>
      </c>
      <c r="B190" t="s">
        <v>1759</v>
      </c>
      <c r="C190" t="s">
        <v>1760</v>
      </c>
      <c r="D190" t="s">
        <v>1204</v>
      </c>
      <c r="E190" t="s">
        <v>1705</v>
      </c>
      <c r="F190" t="s">
        <v>1204</v>
      </c>
      <c r="G190" t="s">
        <v>1205</v>
      </c>
      <c r="H190" t="s">
        <v>1073</v>
      </c>
      <c r="I190" t="s">
        <v>1074</v>
      </c>
    </row>
    <row r="191" spans="1:9" x14ac:dyDescent="0.2">
      <c r="A191" t="s">
        <v>1761</v>
      </c>
      <c r="B191" t="s">
        <v>1762</v>
      </c>
      <c r="C191" t="s">
        <v>1763</v>
      </c>
      <c r="D191" t="s">
        <v>1397</v>
      </c>
      <c r="E191" t="s">
        <v>1398</v>
      </c>
      <c r="F191" t="s">
        <v>1399</v>
      </c>
      <c r="G191" t="s">
        <v>1400</v>
      </c>
      <c r="H191" t="s">
        <v>1073</v>
      </c>
      <c r="I191" t="s">
        <v>1074</v>
      </c>
    </row>
    <row r="192" spans="1:9" x14ac:dyDescent="0.2">
      <c r="A192" t="s">
        <v>1764</v>
      </c>
      <c r="B192" t="s">
        <v>1765</v>
      </c>
      <c r="C192" t="s">
        <v>1766</v>
      </c>
      <c r="D192" t="s">
        <v>1348</v>
      </c>
      <c r="E192" t="s">
        <v>1351</v>
      </c>
      <c r="F192" t="s">
        <v>1096</v>
      </c>
      <c r="G192" t="s">
        <v>1097</v>
      </c>
      <c r="H192" t="s">
        <v>1073</v>
      </c>
      <c r="I192" t="s">
        <v>1074</v>
      </c>
    </row>
    <row r="193" spans="1:9" x14ac:dyDescent="0.2">
      <c r="A193" t="s">
        <v>1767</v>
      </c>
      <c r="B193" t="s">
        <v>1768</v>
      </c>
      <c r="C193" t="s">
        <v>1769</v>
      </c>
      <c r="D193" t="s">
        <v>1767</v>
      </c>
      <c r="E193" t="s">
        <v>1770</v>
      </c>
      <c r="F193" t="s">
        <v>1623</v>
      </c>
      <c r="G193" t="s">
        <v>1624</v>
      </c>
      <c r="H193" t="s">
        <v>1073</v>
      </c>
      <c r="I193" t="s">
        <v>1074</v>
      </c>
    </row>
    <row r="194" spans="1:9" x14ac:dyDescent="0.2">
      <c r="A194" t="s">
        <v>1771</v>
      </c>
      <c r="B194" t="s">
        <v>1772</v>
      </c>
      <c r="C194" t="s">
        <v>1773</v>
      </c>
      <c r="D194" t="s">
        <v>1660</v>
      </c>
      <c r="E194" t="s">
        <v>1663</v>
      </c>
      <c r="F194" t="s">
        <v>1614</v>
      </c>
      <c r="G194" t="s">
        <v>1615</v>
      </c>
      <c r="H194" t="s">
        <v>1073</v>
      </c>
      <c r="I194" t="s">
        <v>1074</v>
      </c>
    </row>
    <row r="195" spans="1:9" x14ac:dyDescent="0.2">
      <c r="A195" t="s">
        <v>1774</v>
      </c>
      <c r="B195" t="s">
        <v>1775</v>
      </c>
      <c r="C195" t="s">
        <v>1776</v>
      </c>
      <c r="D195" t="s">
        <v>1712</v>
      </c>
      <c r="E195" t="s">
        <v>1713</v>
      </c>
      <c r="F195" t="s">
        <v>1380</v>
      </c>
      <c r="G195" t="s">
        <v>1381</v>
      </c>
      <c r="H195" t="s">
        <v>1073</v>
      </c>
      <c r="I195" t="s">
        <v>1074</v>
      </c>
    </row>
    <row r="196" spans="1:9" x14ac:dyDescent="0.2">
      <c r="A196" t="s">
        <v>1777</v>
      </c>
      <c r="B196" t="s">
        <v>1778</v>
      </c>
      <c r="C196" t="s">
        <v>1779</v>
      </c>
      <c r="D196" t="s">
        <v>1184</v>
      </c>
      <c r="E196" t="s">
        <v>1185</v>
      </c>
      <c r="F196" t="s">
        <v>1113</v>
      </c>
      <c r="G196" t="s">
        <v>1114</v>
      </c>
      <c r="H196" t="s">
        <v>1073</v>
      </c>
      <c r="I196" t="s">
        <v>1074</v>
      </c>
    </row>
    <row r="197" spans="1:9" x14ac:dyDescent="0.2">
      <c r="A197" t="s">
        <v>1265</v>
      </c>
      <c r="B197" t="s">
        <v>1780</v>
      </c>
      <c r="C197" t="s">
        <v>1781</v>
      </c>
      <c r="D197" t="s">
        <v>1265</v>
      </c>
      <c r="E197" t="s">
        <v>1266</v>
      </c>
      <c r="F197" t="s">
        <v>1071</v>
      </c>
      <c r="G197" t="s">
        <v>1072</v>
      </c>
      <c r="H197" t="s">
        <v>1073</v>
      </c>
      <c r="I197" t="s">
        <v>1074</v>
      </c>
    </row>
    <row r="198" spans="1:9" x14ac:dyDescent="0.2">
      <c r="A198" t="s">
        <v>1782</v>
      </c>
      <c r="B198" t="s">
        <v>1783</v>
      </c>
      <c r="C198" t="s">
        <v>1784</v>
      </c>
      <c r="D198" t="s">
        <v>1452</v>
      </c>
      <c r="E198" t="s">
        <v>1453</v>
      </c>
      <c r="F198" t="s">
        <v>1399</v>
      </c>
      <c r="G198" t="s">
        <v>1400</v>
      </c>
      <c r="H198" t="s">
        <v>1073</v>
      </c>
      <c r="I198" t="s">
        <v>1074</v>
      </c>
    </row>
    <row r="199" spans="1:9" x14ac:dyDescent="0.2">
      <c r="A199" t="s">
        <v>1785</v>
      </c>
      <c r="B199" t="s">
        <v>1786</v>
      </c>
      <c r="C199" t="s">
        <v>1787</v>
      </c>
      <c r="D199" t="s">
        <v>1539</v>
      </c>
      <c r="E199" t="s">
        <v>1540</v>
      </c>
      <c r="F199" t="s">
        <v>1071</v>
      </c>
      <c r="G199" t="s">
        <v>1072</v>
      </c>
      <c r="H199" t="s">
        <v>1073</v>
      </c>
      <c r="I199" t="s">
        <v>1074</v>
      </c>
    </row>
    <row r="200" spans="1:9" x14ac:dyDescent="0.2">
      <c r="A200" t="s">
        <v>1788</v>
      </c>
      <c r="B200" t="s">
        <v>1789</v>
      </c>
      <c r="C200" t="s">
        <v>1790</v>
      </c>
      <c r="D200" t="s">
        <v>1791</v>
      </c>
      <c r="E200" t="s">
        <v>1792</v>
      </c>
      <c r="F200" t="s">
        <v>1071</v>
      </c>
      <c r="G200" t="s">
        <v>1072</v>
      </c>
      <c r="H200" t="s">
        <v>1073</v>
      </c>
      <c r="I200" t="s">
        <v>1074</v>
      </c>
    </row>
    <row r="201" spans="1:9" x14ac:dyDescent="0.2">
      <c r="A201" t="s">
        <v>1793</v>
      </c>
      <c r="B201" t="s">
        <v>1794</v>
      </c>
      <c r="C201" t="s">
        <v>1795</v>
      </c>
      <c r="D201" t="s">
        <v>1250</v>
      </c>
      <c r="E201" t="s">
        <v>1251</v>
      </c>
      <c r="F201" t="s">
        <v>1252</v>
      </c>
      <c r="G201" t="s">
        <v>1253</v>
      </c>
      <c r="H201" t="s">
        <v>1073</v>
      </c>
      <c r="I201" t="s">
        <v>1074</v>
      </c>
    </row>
    <row r="202" spans="1:9" x14ac:dyDescent="0.2">
      <c r="A202" t="s">
        <v>1531</v>
      </c>
      <c r="B202" t="s">
        <v>1796</v>
      </c>
      <c r="C202" t="s">
        <v>1797</v>
      </c>
      <c r="D202" t="s">
        <v>1531</v>
      </c>
      <c r="E202" t="s">
        <v>1532</v>
      </c>
      <c r="F202" t="s">
        <v>1071</v>
      </c>
      <c r="G202" t="s">
        <v>1072</v>
      </c>
      <c r="H202" t="s">
        <v>1073</v>
      </c>
      <c r="I202" t="s">
        <v>1074</v>
      </c>
    </row>
    <row r="203" spans="1:9" x14ac:dyDescent="0.2">
      <c r="A203" t="s">
        <v>1798</v>
      </c>
      <c r="B203" t="s">
        <v>1799</v>
      </c>
      <c r="C203" t="s">
        <v>1800</v>
      </c>
      <c r="D203" t="s">
        <v>1452</v>
      </c>
      <c r="E203" t="s">
        <v>1453</v>
      </c>
      <c r="F203" t="s">
        <v>1399</v>
      </c>
      <c r="G203" t="s">
        <v>1400</v>
      </c>
      <c r="H203" t="s">
        <v>1073</v>
      </c>
      <c r="I203" t="s">
        <v>1074</v>
      </c>
    </row>
    <row r="204" spans="1:9" x14ac:dyDescent="0.2">
      <c r="A204" t="s">
        <v>1801</v>
      </c>
      <c r="B204" t="s">
        <v>1802</v>
      </c>
      <c r="C204" t="s">
        <v>1803</v>
      </c>
      <c r="D204" t="s">
        <v>1447</v>
      </c>
      <c r="E204" t="s">
        <v>1448</v>
      </c>
      <c r="F204" t="s">
        <v>1399</v>
      </c>
      <c r="G204" t="s">
        <v>1400</v>
      </c>
      <c r="H204" t="s">
        <v>1073</v>
      </c>
      <c r="I204" t="s">
        <v>1074</v>
      </c>
    </row>
    <row r="205" spans="1:9" x14ac:dyDescent="0.2">
      <c r="A205" t="s">
        <v>1804</v>
      </c>
      <c r="B205" t="s">
        <v>1805</v>
      </c>
      <c r="C205" t="s">
        <v>1806</v>
      </c>
      <c r="D205" t="s">
        <v>1397</v>
      </c>
      <c r="E205" t="s">
        <v>1398</v>
      </c>
      <c r="F205" t="s">
        <v>1399</v>
      </c>
      <c r="G205" t="s">
        <v>1400</v>
      </c>
      <c r="H205" t="s">
        <v>1073</v>
      </c>
      <c r="I205" t="s">
        <v>1074</v>
      </c>
    </row>
    <row r="206" spans="1:9" x14ac:dyDescent="0.2">
      <c r="A206" t="s">
        <v>1807</v>
      </c>
      <c r="B206" t="s">
        <v>1808</v>
      </c>
      <c r="C206" t="s">
        <v>1809</v>
      </c>
      <c r="D206" t="s">
        <v>1385</v>
      </c>
      <c r="E206" t="s">
        <v>1386</v>
      </c>
      <c r="F206" t="s">
        <v>1387</v>
      </c>
      <c r="G206" t="s">
        <v>1388</v>
      </c>
      <c r="H206" t="s">
        <v>1073</v>
      </c>
      <c r="I206" t="s">
        <v>1074</v>
      </c>
    </row>
    <row r="207" spans="1:9" x14ac:dyDescent="0.2">
      <c r="A207" t="s">
        <v>1810</v>
      </c>
      <c r="B207" t="s">
        <v>1811</v>
      </c>
      <c r="C207" t="s">
        <v>1812</v>
      </c>
      <c r="D207" t="s">
        <v>1813</v>
      </c>
      <c r="E207" t="s">
        <v>1814</v>
      </c>
      <c r="F207" t="s">
        <v>1387</v>
      </c>
      <c r="G207" t="s">
        <v>1388</v>
      </c>
      <c r="H207" t="s">
        <v>1073</v>
      </c>
      <c r="I207" t="s">
        <v>1074</v>
      </c>
    </row>
    <row r="208" spans="1:9" x14ac:dyDescent="0.2">
      <c r="A208" t="s">
        <v>1815</v>
      </c>
      <c r="B208" t="s">
        <v>1816</v>
      </c>
      <c r="C208" t="s">
        <v>1817</v>
      </c>
      <c r="D208" t="s">
        <v>1442</v>
      </c>
      <c r="E208" t="s">
        <v>1443</v>
      </c>
      <c r="F208" t="s">
        <v>1387</v>
      </c>
      <c r="G208" t="s">
        <v>1388</v>
      </c>
      <c r="H208" t="s">
        <v>1073</v>
      </c>
      <c r="I208" t="s">
        <v>1074</v>
      </c>
    </row>
    <row r="209" spans="1:9" x14ac:dyDescent="0.2">
      <c r="A209" t="s">
        <v>1818</v>
      </c>
      <c r="B209" t="s">
        <v>1819</v>
      </c>
      <c r="C209" t="s">
        <v>1820</v>
      </c>
      <c r="D209" t="s">
        <v>1442</v>
      </c>
      <c r="E209" t="s">
        <v>1443</v>
      </c>
      <c r="F209" t="s">
        <v>1387</v>
      </c>
      <c r="G209" t="s">
        <v>1388</v>
      </c>
      <c r="H209" t="s">
        <v>1073</v>
      </c>
      <c r="I209" t="s">
        <v>1074</v>
      </c>
    </row>
    <row r="210" spans="1:9" x14ac:dyDescent="0.2">
      <c r="A210" t="s">
        <v>1821</v>
      </c>
      <c r="B210" t="s">
        <v>1822</v>
      </c>
      <c r="C210" t="s">
        <v>1823</v>
      </c>
      <c r="D210" t="s">
        <v>1442</v>
      </c>
      <c r="E210" t="s">
        <v>1443</v>
      </c>
      <c r="F210" t="s">
        <v>1387</v>
      </c>
      <c r="G210" t="s">
        <v>1388</v>
      </c>
      <c r="H210" t="s">
        <v>1073</v>
      </c>
      <c r="I210" t="s">
        <v>1074</v>
      </c>
    </row>
    <row r="211" spans="1:9" x14ac:dyDescent="0.2">
      <c r="A211" t="s">
        <v>1678</v>
      </c>
      <c r="B211" t="s">
        <v>1824</v>
      </c>
      <c r="C211" t="s">
        <v>1825</v>
      </c>
      <c r="D211" t="s">
        <v>1678</v>
      </c>
      <c r="E211" t="s">
        <v>1679</v>
      </c>
      <c r="F211" t="s">
        <v>1387</v>
      </c>
      <c r="G211" t="s">
        <v>1388</v>
      </c>
      <c r="H211" t="s">
        <v>1073</v>
      </c>
      <c r="I211" t="s">
        <v>1074</v>
      </c>
    </row>
    <row r="212" spans="1:9" x14ac:dyDescent="0.2">
      <c r="A212" t="s">
        <v>1826</v>
      </c>
      <c r="B212" t="s">
        <v>1827</v>
      </c>
      <c r="C212" t="s">
        <v>1828</v>
      </c>
      <c r="D212" t="s">
        <v>1678</v>
      </c>
      <c r="E212" t="s">
        <v>1679</v>
      </c>
      <c r="F212" t="s">
        <v>1387</v>
      </c>
      <c r="G212" t="s">
        <v>1388</v>
      </c>
      <c r="H212" t="s">
        <v>1073</v>
      </c>
      <c r="I212" t="s">
        <v>1074</v>
      </c>
    </row>
    <row r="213" spans="1:9" x14ac:dyDescent="0.2">
      <c r="A213" t="s">
        <v>1829</v>
      </c>
      <c r="B213" t="s">
        <v>1830</v>
      </c>
      <c r="C213" t="s">
        <v>1831</v>
      </c>
      <c r="D213" t="s">
        <v>1286</v>
      </c>
      <c r="E213" t="s">
        <v>1287</v>
      </c>
      <c r="F213" t="s">
        <v>1071</v>
      </c>
      <c r="G213" t="s">
        <v>1072</v>
      </c>
      <c r="H213" t="s">
        <v>1073</v>
      </c>
      <c r="I213" t="s">
        <v>1074</v>
      </c>
    </row>
    <row r="214" spans="1:9" x14ac:dyDescent="0.2">
      <c r="A214" t="s">
        <v>1539</v>
      </c>
      <c r="B214" t="s">
        <v>1832</v>
      </c>
      <c r="C214" t="s">
        <v>1833</v>
      </c>
      <c r="D214" t="s">
        <v>1539</v>
      </c>
      <c r="E214" t="s">
        <v>1540</v>
      </c>
      <c r="F214" t="s">
        <v>1071</v>
      </c>
      <c r="G214" t="s">
        <v>1072</v>
      </c>
      <c r="H214" t="s">
        <v>1073</v>
      </c>
      <c r="I214" t="s">
        <v>1074</v>
      </c>
    </row>
    <row r="215" spans="1:9" x14ac:dyDescent="0.2">
      <c r="A215" t="s">
        <v>1834</v>
      </c>
      <c r="B215" t="s">
        <v>1835</v>
      </c>
      <c r="C215" t="s">
        <v>1836</v>
      </c>
      <c r="D215" t="s">
        <v>1655</v>
      </c>
      <c r="E215" t="s">
        <v>1656</v>
      </c>
      <c r="F215" t="s">
        <v>1592</v>
      </c>
      <c r="G215" t="s">
        <v>1593</v>
      </c>
      <c r="H215" t="s">
        <v>1073</v>
      </c>
      <c r="I215" t="s">
        <v>1074</v>
      </c>
    </row>
    <row r="216" spans="1:9" x14ac:dyDescent="0.2">
      <c r="A216" t="s">
        <v>1837</v>
      </c>
      <c r="B216" t="s">
        <v>1838</v>
      </c>
      <c r="C216" t="s">
        <v>1839</v>
      </c>
      <c r="D216" t="s">
        <v>1096</v>
      </c>
      <c r="E216" t="s">
        <v>1128</v>
      </c>
      <c r="F216" t="s">
        <v>1096</v>
      </c>
      <c r="G216" t="s">
        <v>1097</v>
      </c>
      <c r="H216" t="s">
        <v>1073</v>
      </c>
      <c r="I216" t="s">
        <v>1074</v>
      </c>
    </row>
    <row r="217" spans="1:9" x14ac:dyDescent="0.2">
      <c r="A217" t="s">
        <v>1840</v>
      </c>
      <c r="B217" t="s">
        <v>1841</v>
      </c>
      <c r="C217" t="s">
        <v>1842</v>
      </c>
      <c r="D217" t="s">
        <v>1447</v>
      </c>
      <c r="E217" t="s">
        <v>1448</v>
      </c>
      <c r="F217" t="s">
        <v>1399</v>
      </c>
      <c r="G217" t="s">
        <v>1400</v>
      </c>
      <c r="H217" t="s">
        <v>1073</v>
      </c>
      <c r="I217" t="s">
        <v>1074</v>
      </c>
    </row>
    <row r="218" spans="1:9" x14ac:dyDescent="0.2">
      <c r="A218" t="s">
        <v>1094</v>
      </c>
      <c r="B218" t="s">
        <v>1843</v>
      </c>
      <c r="C218" t="s">
        <v>1844</v>
      </c>
      <c r="D218" t="s">
        <v>1094</v>
      </c>
      <c r="E218" t="s">
        <v>1095</v>
      </c>
      <c r="F218" t="s">
        <v>1096</v>
      </c>
      <c r="G218" t="s">
        <v>1097</v>
      </c>
      <c r="H218" t="s">
        <v>1073</v>
      </c>
      <c r="I218" t="s">
        <v>1074</v>
      </c>
    </row>
    <row r="219" spans="1:9" x14ac:dyDescent="0.2">
      <c r="A219" t="s">
        <v>1845</v>
      </c>
      <c r="B219" t="s">
        <v>1846</v>
      </c>
      <c r="C219" t="s">
        <v>1847</v>
      </c>
      <c r="D219" t="s">
        <v>1217</v>
      </c>
      <c r="E219" t="s">
        <v>1218</v>
      </c>
      <c r="F219" t="s">
        <v>1113</v>
      </c>
      <c r="G219" t="s">
        <v>1114</v>
      </c>
      <c r="H219" t="s">
        <v>1073</v>
      </c>
      <c r="I219" t="s">
        <v>1074</v>
      </c>
    </row>
    <row r="220" spans="1:9" x14ac:dyDescent="0.2">
      <c r="A220" t="s">
        <v>1848</v>
      </c>
      <c r="B220" t="s">
        <v>1849</v>
      </c>
      <c r="C220" t="s">
        <v>1850</v>
      </c>
      <c r="D220" t="s">
        <v>1447</v>
      </c>
      <c r="E220" t="s">
        <v>1448</v>
      </c>
      <c r="F220" t="s">
        <v>1399</v>
      </c>
      <c r="G220" t="s">
        <v>1400</v>
      </c>
      <c r="H220" t="s">
        <v>1073</v>
      </c>
      <c r="I220" t="s">
        <v>1074</v>
      </c>
    </row>
    <row r="221" spans="1:9" x14ac:dyDescent="0.2">
      <c r="A221" t="s">
        <v>1851</v>
      </c>
      <c r="B221" t="s">
        <v>1852</v>
      </c>
      <c r="C221" t="s">
        <v>1853</v>
      </c>
      <c r="D221" t="s">
        <v>1111</v>
      </c>
      <c r="E221" t="s">
        <v>1112</v>
      </c>
      <c r="F221" t="s">
        <v>1113</v>
      </c>
      <c r="G221" t="s">
        <v>1114</v>
      </c>
      <c r="H221" t="s">
        <v>1073</v>
      </c>
      <c r="I221" t="s">
        <v>1074</v>
      </c>
    </row>
    <row r="222" spans="1:9" x14ac:dyDescent="0.2">
      <c r="A222" t="s">
        <v>1854</v>
      </c>
      <c r="B222" t="s">
        <v>1855</v>
      </c>
      <c r="C222" t="s">
        <v>1856</v>
      </c>
      <c r="D222" t="s">
        <v>1245</v>
      </c>
      <c r="E222" t="s">
        <v>1246</v>
      </c>
      <c r="F222" t="s">
        <v>1071</v>
      </c>
      <c r="G222" t="s">
        <v>1072</v>
      </c>
      <c r="H222" t="s">
        <v>1073</v>
      </c>
      <c r="I222" t="s">
        <v>1074</v>
      </c>
    </row>
    <row r="223" spans="1:9" x14ac:dyDescent="0.2">
      <c r="A223" t="s">
        <v>1857</v>
      </c>
      <c r="B223" t="s">
        <v>1858</v>
      </c>
      <c r="C223" t="s">
        <v>1859</v>
      </c>
      <c r="D223" t="s">
        <v>1791</v>
      </c>
      <c r="E223" t="s">
        <v>1792</v>
      </c>
      <c r="F223" t="s">
        <v>1071</v>
      </c>
      <c r="G223" t="s">
        <v>1072</v>
      </c>
      <c r="H223" t="s">
        <v>1073</v>
      </c>
      <c r="I223" t="s">
        <v>1074</v>
      </c>
    </row>
    <row r="224" spans="1:9" x14ac:dyDescent="0.2">
      <c r="A224" t="s">
        <v>1860</v>
      </c>
      <c r="B224" t="s">
        <v>1861</v>
      </c>
      <c r="C224" t="s">
        <v>1862</v>
      </c>
      <c r="D224" t="s">
        <v>1104</v>
      </c>
      <c r="E224" t="s">
        <v>1107</v>
      </c>
      <c r="F224" t="s">
        <v>1096</v>
      </c>
      <c r="G224" t="s">
        <v>1097</v>
      </c>
      <c r="H224" t="s">
        <v>1073</v>
      </c>
      <c r="I224" t="s">
        <v>1074</v>
      </c>
    </row>
    <row r="225" spans="1:9" x14ac:dyDescent="0.2">
      <c r="A225" t="s">
        <v>1222</v>
      </c>
      <c r="B225" t="s">
        <v>1863</v>
      </c>
      <c r="C225" t="s">
        <v>1864</v>
      </c>
      <c r="D225" t="s">
        <v>1222</v>
      </c>
      <c r="E225" t="s">
        <v>1223</v>
      </c>
      <c r="F225" t="s">
        <v>1224</v>
      </c>
      <c r="G225" t="s">
        <v>1225</v>
      </c>
      <c r="H225" t="s">
        <v>1073</v>
      </c>
      <c r="I225" t="s">
        <v>1074</v>
      </c>
    </row>
    <row r="226" spans="1:9" x14ac:dyDescent="0.2">
      <c r="A226" t="s">
        <v>1514</v>
      </c>
      <c r="B226" t="s">
        <v>1865</v>
      </c>
      <c r="C226" t="s">
        <v>1866</v>
      </c>
      <c r="D226" t="s">
        <v>1514</v>
      </c>
      <c r="E226" t="s">
        <v>1515</v>
      </c>
      <c r="F226" t="s">
        <v>1071</v>
      </c>
      <c r="G226" t="s">
        <v>1072</v>
      </c>
      <c r="H226" t="s">
        <v>1073</v>
      </c>
      <c r="I226" t="s">
        <v>1074</v>
      </c>
    </row>
    <row r="227" spans="1:9" x14ac:dyDescent="0.2">
      <c r="A227" t="s">
        <v>1476</v>
      </c>
      <c r="B227" t="s">
        <v>1867</v>
      </c>
      <c r="C227" t="s">
        <v>1868</v>
      </c>
      <c r="D227" t="s">
        <v>1476</v>
      </c>
      <c r="E227" t="s">
        <v>1477</v>
      </c>
      <c r="F227" t="s">
        <v>1071</v>
      </c>
      <c r="G227" t="s">
        <v>1072</v>
      </c>
      <c r="H227" t="s">
        <v>1073</v>
      </c>
      <c r="I227" t="s">
        <v>1074</v>
      </c>
    </row>
    <row r="228" spans="1:9" x14ac:dyDescent="0.2">
      <c r="A228" t="s">
        <v>1869</v>
      </c>
      <c r="B228" t="s">
        <v>1870</v>
      </c>
      <c r="C228" t="s">
        <v>1871</v>
      </c>
      <c r="D228" t="s">
        <v>1483</v>
      </c>
      <c r="E228" t="s">
        <v>1484</v>
      </c>
      <c r="F228" t="s">
        <v>1071</v>
      </c>
      <c r="G228" t="s">
        <v>1072</v>
      </c>
      <c r="H228" t="s">
        <v>1073</v>
      </c>
      <c r="I228" t="s">
        <v>1074</v>
      </c>
    </row>
    <row r="229" spans="1:9" x14ac:dyDescent="0.2">
      <c r="A229" t="s">
        <v>1872</v>
      </c>
      <c r="B229" t="s">
        <v>1873</v>
      </c>
      <c r="C229" t="s">
        <v>1874</v>
      </c>
      <c r="D229" t="s">
        <v>1096</v>
      </c>
      <c r="E229" t="s">
        <v>1128</v>
      </c>
      <c r="F229" t="s">
        <v>1096</v>
      </c>
      <c r="G229" t="s">
        <v>1097</v>
      </c>
      <c r="H229" t="s">
        <v>1073</v>
      </c>
      <c r="I229" t="s">
        <v>1074</v>
      </c>
    </row>
    <row r="230" spans="1:9" x14ac:dyDescent="0.2">
      <c r="A230" t="s">
        <v>1875</v>
      </c>
      <c r="B230" t="s">
        <v>1876</v>
      </c>
      <c r="C230" t="s">
        <v>1877</v>
      </c>
      <c r="D230" t="s">
        <v>1096</v>
      </c>
      <c r="E230" t="s">
        <v>1128</v>
      </c>
      <c r="F230" t="s">
        <v>1096</v>
      </c>
      <c r="G230" t="s">
        <v>1097</v>
      </c>
      <c r="H230" t="s">
        <v>1073</v>
      </c>
      <c r="I230" t="s">
        <v>1074</v>
      </c>
    </row>
    <row r="231" spans="1:9" x14ac:dyDescent="0.2">
      <c r="A231" t="s">
        <v>1878</v>
      </c>
      <c r="B231" t="s">
        <v>1879</v>
      </c>
      <c r="C231" t="s">
        <v>1880</v>
      </c>
      <c r="D231" t="s">
        <v>1590</v>
      </c>
      <c r="E231" t="s">
        <v>1591</v>
      </c>
      <c r="F231" t="s">
        <v>1592</v>
      </c>
      <c r="G231" t="s">
        <v>1593</v>
      </c>
      <c r="H231" t="s">
        <v>1073</v>
      </c>
      <c r="I231" t="s">
        <v>1074</v>
      </c>
    </row>
    <row r="232" spans="1:9" x14ac:dyDescent="0.2">
      <c r="A232" t="s">
        <v>1881</v>
      </c>
      <c r="B232" t="s">
        <v>1882</v>
      </c>
      <c r="C232" t="s">
        <v>1883</v>
      </c>
      <c r="D232" t="s">
        <v>1113</v>
      </c>
      <c r="E232" t="s">
        <v>1436</v>
      </c>
      <c r="F232" t="s">
        <v>1113</v>
      </c>
      <c r="G232" t="s">
        <v>1114</v>
      </c>
      <c r="H232" t="s">
        <v>1073</v>
      </c>
      <c r="I232" t="s">
        <v>1074</v>
      </c>
    </row>
    <row r="233" spans="1:9" x14ac:dyDescent="0.2">
      <c r="A233" t="s">
        <v>1168</v>
      </c>
      <c r="B233" t="s">
        <v>1884</v>
      </c>
      <c r="C233" t="s">
        <v>1885</v>
      </c>
      <c r="D233" t="s">
        <v>1168</v>
      </c>
      <c r="E233" t="s">
        <v>1169</v>
      </c>
      <c r="F233" t="s">
        <v>1102</v>
      </c>
      <c r="G233" t="s">
        <v>1103</v>
      </c>
      <c r="H233" t="s">
        <v>1073</v>
      </c>
      <c r="I233" t="s">
        <v>1074</v>
      </c>
    </row>
    <row r="234" spans="1:9" x14ac:dyDescent="0.2">
      <c r="A234" t="s">
        <v>1886</v>
      </c>
      <c r="B234" t="s">
        <v>1887</v>
      </c>
      <c r="C234" t="s">
        <v>1888</v>
      </c>
      <c r="D234" t="s">
        <v>1217</v>
      </c>
      <c r="E234" t="s">
        <v>1218</v>
      </c>
      <c r="F234" t="s">
        <v>1113</v>
      </c>
      <c r="G234" t="s">
        <v>1114</v>
      </c>
      <c r="H234" t="s">
        <v>1073</v>
      </c>
      <c r="I234" t="s">
        <v>1074</v>
      </c>
    </row>
    <row r="235" spans="1:9" x14ac:dyDescent="0.2">
      <c r="A235" t="s">
        <v>1184</v>
      </c>
      <c r="B235" t="s">
        <v>1889</v>
      </c>
      <c r="C235" t="s">
        <v>1890</v>
      </c>
      <c r="D235" t="s">
        <v>1184</v>
      </c>
      <c r="E235" t="s">
        <v>1185</v>
      </c>
      <c r="F235" t="s">
        <v>1113</v>
      </c>
      <c r="G235" t="s">
        <v>1114</v>
      </c>
      <c r="H235" t="s">
        <v>1073</v>
      </c>
      <c r="I235" t="s">
        <v>1074</v>
      </c>
    </row>
    <row r="236" spans="1:9" x14ac:dyDescent="0.2">
      <c r="A236" t="s">
        <v>1891</v>
      </c>
      <c r="B236" t="s">
        <v>1892</v>
      </c>
      <c r="C236" t="s">
        <v>1893</v>
      </c>
      <c r="D236" t="s">
        <v>1113</v>
      </c>
      <c r="E236" t="s">
        <v>1436</v>
      </c>
      <c r="F236" t="s">
        <v>1113</v>
      </c>
      <c r="G236" t="s">
        <v>1114</v>
      </c>
      <c r="H236" t="s">
        <v>1073</v>
      </c>
      <c r="I236" t="s">
        <v>1074</v>
      </c>
    </row>
    <row r="237" spans="1:9" x14ac:dyDescent="0.2">
      <c r="A237" t="s">
        <v>1894</v>
      </c>
      <c r="B237" t="s">
        <v>1895</v>
      </c>
      <c r="C237" t="s">
        <v>1896</v>
      </c>
      <c r="D237" t="s">
        <v>1094</v>
      </c>
      <c r="E237" t="s">
        <v>1095</v>
      </c>
      <c r="F237" t="s">
        <v>1096</v>
      </c>
      <c r="G237" t="s">
        <v>1097</v>
      </c>
      <c r="H237" t="s">
        <v>1073</v>
      </c>
      <c r="I237" t="s">
        <v>1074</v>
      </c>
    </row>
    <row r="238" spans="1:9" x14ac:dyDescent="0.2">
      <c r="A238" t="s">
        <v>1897</v>
      </c>
      <c r="B238" t="s">
        <v>1898</v>
      </c>
      <c r="C238" t="s">
        <v>1899</v>
      </c>
      <c r="D238" t="s">
        <v>1571</v>
      </c>
      <c r="E238" t="s">
        <v>1574</v>
      </c>
      <c r="F238" t="s">
        <v>1102</v>
      </c>
      <c r="G238" t="s">
        <v>1103</v>
      </c>
      <c r="H238" t="s">
        <v>1073</v>
      </c>
      <c r="I238" t="s">
        <v>1074</v>
      </c>
    </row>
    <row r="239" spans="1:9" x14ac:dyDescent="0.2">
      <c r="A239" t="s">
        <v>1900</v>
      </c>
      <c r="B239" t="s">
        <v>1901</v>
      </c>
      <c r="C239" t="s">
        <v>1902</v>
      </c>
      <c r="D239" t="s">
        <v>1194</v>
      </c>
      <c r="E239" t="s">
        <v>1195</v>
      </c>
      <c r="F239" t="s">
        <v>1102</v>
      </c>
      <c r="G239" t="s">
        <v>1103</v>
      </c>
      <c r="H239" t="s">
        <v>1073</v>
      </c>
      <c r="I239" t="s">
        <v>1074</v>
      </c>
    </row>
    <row r="240" spans="1:9" x14ac:dyDescent="0.2">
      <c r="A240" t="s">
        <v>1903</v>
      </c>
      <c r="B240" t="s">
        <v>1904</v>
      </c>
      <c r="C240" t="s">
        <v>1905</v>
      </c>
      <c r="D240" t="s">
        <v>1655</v>
      </c>
      <c r="E240" t="s">
        <v>1656</v>
      </c>
      <c r="F240" t="s">
        <v>1592</v>
      </c>
      <c r="G240" t="s">
        <v>1593</v>
      </c>
      <c r="H240" t="s">
        <v>1073</v>
      </c>
      <c r="I240" t="s">
        <v>1074</v>
      </c>
    </row>
    <row r="241" spans="1:9" x14ac:dyDescent="0.2">
      <c r="A241" t="s">
        <v>1906</v>
      </c>
      <c r="B241" t="s">
        <v>1907</v>
      </c>
      <c r="C241" t="s">
        <v>1908</v>
      </c>
      <c r="D241" t="s">
        <v>1123</v>
      </c>
      <c r="E241" t="s">
        <v>1124</v>
      </c>
      <c r="F241" t="s">
        <v>1102</v>
      </c>
      <c r="G241" t="s">
        <v>1103</v>
      </c>
      <c r="H241" t="s">
        <v>1073</v>
      </c>
      <c r="I241" t="s">
        <v>1074</v>
      </c>
    </row>
    <row r="242" spans="1:9" x14ac:dyDescent="0.2">
      <c r="A242" t="s">
        <v>1123</v>
      </c>
      <c r="B242" t="s">
        <v>1909</v>
      </c>
      <c r="C242" t="s">
        <v>1910</v>
      </c>
      <c r="D242" t="s">
        <v>1123</v>
      </c>
      <c r="E242" t="s">
        <v>1124</v>
      </c>
      <c r="F242" t="s">
        <v>1102</v>
      </c>
      <c r="G242" t="s">
        <v>1103</v>
      </c>
      <c r="H242" t="s">
        <v>1073</v>
      </c>
      <c r="I242" t="s">
        <v>1074</v>
      </c>
    </row>
    <row r="243" spans="1:9" x14ac:dyDescent="0.2">
      <c r="A243" t="s">
        <v>1194</v>
      </c>
      <c r="B243" t="s">
        <v>1911</v>
      </c>
      <c r="C243" t="s">
        <v>1912</v>
      </c>
      <c r="D243" t="s">
        <v>1194</v>
      </c>
      <c r="E243" t="s">
        <v>1195</v>
      </c>
      <c r="F243" t="s">
        <v>1102</v>
      </c>
      <c r="G243" t="s">
        <v>1103</v>
      </c>
      <c r="H243" t="s">
        <v>1073</v>
      </c>
      <c r="I243" t="s">
        <v>1074</v>
      </c>
    </row>
    <row r="244" spans="1:9" x14ac:dyDescent="0.2">
      <c r="A244" t="s">
        <v>1139</v>
      </c>
      <c r="B244" t="s">
        <v>1913</v>
      </c>
      <c r="C244" t="s">
        <v>1914</v>
      </c>
      <c r="D244" t="s">
        <v>1139</v>
      </c>
      <c r="E244" t="s">
        <v>1140</v>
      </c>
      <c r="F244" t="s">
        <v>1102</v>
      </c>
      <c r="G244" t="s">
        <v>1103</v>
      </c>
      <c r="H244" t="s">
        <v>1073</v>
      </c>
      <c r="I244" t="s">
        <v>1074</v>
      </c>
    </row>
    <row r="245" spans="1:9" x14ac:dyDescent="0.2">
      <c r="A245" t="s">
        <v>1915</v>
      </c>
      <c r="B245" t="s">
        <v>1916</v>
      </c>
      <c r="C245" t="s">
        <v>1917</v>
      </c>
      <c r="D245" t="s">
        <v>1113</v>
      </c>
      <c r="E245" t="s">
        <v>1436</v>
      </c>
      <c r="F245" t="s">
        <v>1113</v>
      </c>
      <c r="G245" t="s">
        <v>1114</v>
      </c>
      <c r="H245" t="s">
        <v>1073</v>
      </c>
      <c r="I245" t="s">
        <v>1074</v>
      </c>
    </row>
    <row r="246" spans="1:9" x14ac:dyDescent="0.2">
      <c r="A246" t="s">
        <v>1918</v>
      </c>
      <c r="B246" t="s">
        <v>1919</v>
      </c>
      <c r="C246" t="s">
        <v>1920</v>
      </c>
      <c r="D246" t="s">
        <v>1184</v>
      </c>
      <c r="E246" t="s">
        <v>1185</v>
      </c>
      <c r="F246" t="s">
        <v>1113</v>
      </c>
      <c r="G246" t="s">
        <v>1114</v>
      </c>
      <c r="H246" t="s">
        <v>1073</v>
      </c>
      <c r="I246" t="s">
        <v>1074</v>
      </c>
    </row>
    <row r="247" spans="1:9" x14ac:dyDescent="0.2">
      <c r="A247" t="s">
        <v>1921</v>
      </c>
      <c r="B247" t="s">
        <v>1922</v>
      </c>
      <c r="C247" t="s">
        <v>1923</v>
      </c>
      <c r="D247" t="s">
        <v>1300</v>
      </c>
      <c r="E247" t="s">
        <v>1303</v>
      </c>
      <c r="F247" t="s">
        <v>1102</v>
      </c>
      <c r="G247" t="s">
        <v>1103</v>
      </c>
      <c r="H247" t="s">
        <v>1073</v>
      </c>
      <c r="I247" t="s">
        <v>1074</v>
      </c>
    </row>
    <row r="248" spans="1:9" x14ac:dyDescent="0.2">
      <c r="A248" t="s">
        <v>1924</v>
      </c>
      <c r="B248" t="s">
        <v>1925</v>
      </c>
      <c r="C248" t="s">
        <v>1926</v>
      </c>
      <c r="D248" t="s">
        <v>1571</v>
      </c>
      <c r="E248" t="s">
        <v>1574</v>
      </c>
      <c r="F248" t="s">
        <v>1102</v>
      </c>
      <c r="G248" t="s">
        <v>1103</v>
      </c>
      <c r="H248" t="s">
        <v>1073</v>
      </c>
      <c r="I248" t="s">
        <v>1074</v>
      </c>
    </row>
    <row r="249" spans="1:9" x14ac:dyDescent="0.2">
      <c r="A249" t="s">
        <v>1927</v>
      </c>
      <c r="B249" t="s">
        <v>1928</v>
      </c>
      <c r="C249" t="s">
        <v>1929</v>
      </c>
      <c r="D249" t="s">
        <v>1134</v>
      </c>
      <c r="E249" t="s">
        <v>1135</v>
      </c>
      <c r="F249" t="s">
        <v>1102</v>
      </c>
      <c r="G249" t="s">
        <v>1103</v>
      </c>
      <c r="H249" t="s">
        <v>1073</v>
      </c>
      <c r="I249" t="s">
        <v>1074</v>
      </c>
    </row>
    <row r="250" spans="1:9" x14ac:dyDescent="0.2">
      <c r="A250" t="s">
        <v>1930</v>
      </c>
      <c r="B250" t="s">
        <v>1931</v>
      </c>
      <c r="C250" t="s">
        <v>1932</v>
      </c>
      <c r="D250" t="s">
        <v>1184</v>
      </c>
      <c r="E250" t="s">
        <v>1185</v>
      </c>
      <c r="F250" t="s">
        <v>1113</v>
      </c>
      <c r="G250" t="s">
        <v>1114</v>
      </c>
      <c r="H250" t="s">
        <v>1073</v>
      </c>
      <c r="I250" t="s">
        <v>1074</v>
      </c>
    </row>
    <row r="251" spans="1:9" x14ac:dyDescent="0.2">
      <c r="A251" t="s">
        <v>1319</v>
      </c>
      <c r="B251" t="s">
        <v>1933</v>
      </c>
      <c r="C251" t="s">
        <v>1934</v>
      </c>
      <c r="D251" t="s">
        <v>1319</v>
      </c>
      <c r="E251" t="s">
        <v>1320</v>
      </c>
      <c r="F251" t="s">
        <v>1113</v>
      </c>
      <c r="G251" t="s">
        <v>1114</v>
      </c>
      <c r="H251" t="s">
        <v>1073</v>
      </c>
      <c r="I251" t="s">
        <v>1074</v>
      </c>
    </row>
    <row r="252" spans="1:9" x14ac:dyDescent="0.2">
      <c r="A252" t="s">
        <v>1935</v>
      </c>
      <c r="B252" t="s">
        <v>1936</v>
      </c>
      <c r="C252" t="s">
        <v>1937</v>
      </c>
      <c r="D252" t="s">
        <v>1431</v>
      </c>
      <c r="E252" t="s">
        <v>1432</v>
      </c>
      <c r="F252" t="s">
        <v>1071</v>
      </c>
      <c r="G252" t="s">
        <v>1072</v>
      </c>
      <c r="H252" t="s">
        <v>1073</v>
      </c>
      <c r="I252" t="s">
        <v>1074</v>
      </c>
    </row>
    <row r="253" spans="1:9" x14ac:dyDescent="0.2">
      <c r="A253" t="s">
        <v>1938</v>
      </c>
      <c r="B253" t="s">
        <v>1939</v>
      </c>
      <c r="C253" t="s">
        <v>1940</v>
      </c>
      <c r="D253" t="s">
        <v>1113</v>
      </c>
      <c r="E253" t="s">
        <v>1436</v>
      </c>
      <c r="F253" t="s">
        <v>1113</v>
      </c>
      <c r="G253" t="s">
        <v>1114</v>
      </c>
      <c r="H253" t="s">
        <v>1073</v>
      </c>
      <c r="I253" t="s">
        <v>1074</v>
      </c>
    </row>
    <row r="254" spans="1:9" x14ac:dyDescent="0.2">
      <c r="A254" t="s">
        <v>1941</v>
      </c>
      <c r="B254" t="s">
        <v>1942</v>
      </c>
      <c r="C254" t="s">
        <v>1943</v>
      </c>
      <c r="D254" t="s">
        <v>1113</v>
      </c>
      <c r="E254" t="s">
        <v>1436</v>
      </c>
      <c r="F254" t="s">
        <v>1113</v>
      </c>
      <c r="G254" t="s">
        <v>1114</v>
      </c>
      <c r="H254" t="s">
        <v>1073</v>
      </c>
      <c r="I254" t="s">
        <v>1074</v>
      </c>
    </row>
    <row r="255" spans="1:9" x14ac:dyDescent="0.2">
      <c r="A255" t="s">
        <v>1944</v>
      </c>
      <c r="B255" t="s">
        <v>1945</v>
      </c>
      <c r="C255" t="s">
        <v>1946</v>
      </c>
      <c r="D255" t="s">
        <v>1639</v>
      </c>
      <c r="E255" t="s">
        <v>1642</v>
      </c>
      <c r="F255" t="s">
        <v>1598</v>
      </c>
      <c r="G255" t="s">
        <v>1599</v>
      </c>
      <c r="H255" t="s">
        <v>1073</v>
      </c>
      <c r="I255" t="s">
        <v>1074</v>
      </c>
    </row>
    <row r="256" spans="1:9" x14ac:dyDescent="0.2">
      <c r="A256" t="s">
        <v>1947</v>
      </c>
      <c r="B256" t="s">
        <v>1948</v>
      </c>
      <c r="C256" t="s">
        <v>1949</v>
      </c>
      <c r="D256" t="s">
        <v>1113</v>
      </c>
      <c r="E256" t="s">
        <v>1436</v>
      </c>
      <c r="F256" t="s">
        <v>1113</v>
      </c>
      <c r="G256" t="s">
        <v>1114</v>
      </c>
      <c r="H256" t="s">
        <v>1073</v>
      </c>
      <c r="I256" t="s">
        <v>1074</v>
      </c>
    </row>
    <row r="257" spans="1:9" x14ac:dyDescent="0.2">
      <c r="A257" t="s">
        <v>1950</v>
      </c>
      <c r="B257" t="s">
        <v>1951</v>
      </c>
      <c r="C257" t="s">
        <v>1952</v>
      </c>
      <c r="D257" t="s">
        <v>1229</v>
      </c>
      <c r="E257" t="s">
        <v>1230</v>
      </c>
      <c r="F257" t="s">
        <v>1224</v>
      </c>
      <c r="G257" t="s">
        <v>1225</v>
      </c>
      <c r="H257" t="s">
        <v>1073</v>
      </c>
      <c r="I257" t="s">
        <v>1074</v>
      </c>
    </row>
    <row r="258" spans="1:9" x14ac:dyDescent="0.2">
      <c r="A258" t="s">
        <v>1953</v>
      </c>
      <c r="B258" t="s">
        <v>1954</v>
      </c>
      <c r="C258" t="s">
        <v>1955</v>
      </c>
      <c r="D258" t="s">
        <v>1953</v>
      </c>
      <c r="E258" t="s">
        <v>1956</v>
      </c>
      <c r="F258" t="s">
        <v>1380</v>
      </c>
      <c r="G258" t="s">
        <v>1381</v>
      </c>
      <c r="H258" t="s">
        <v>1073</v>
      </c>
      <c r="I258" t="s">
        <v>1074</v>
      </c>
    </row>
    <row r="259" spans="1:9" x14ac:dyDescent="0.2">
      <c r="A259" t="s">
        <v>1957</v>
      </c>
      <c r="B259" t="s">
        <v>1958</v>
      </c>
      <c r="C259" t="s">
        <v>1959</v>
      </c>
      <c r="D259" t="s">
        <v>1767</v>
      </c>
      <c r="E259" t="s">
        <v>1770</v>
      </c>
      <c r="F259" t="s">
        <v>1623</v>
      </c>
      <c r="G259" t="s">
        <v>1624</v>
      </c>
      <c r="H259" t="s">
        <v>1073</v>
      </c>
      <c r="I259" t="s">
        <v>1074</v>
      </c>
    </row>
    <row r="260" spans="1:9" x14ac:dyDescent="0.2">
      <c r="A260" t="s">
        <v>1960</v>
      </c>
      <c r="B260" t="s">
        <v>1961</v>
      </c>
      <c r="C260" t="s">
        <v>1962</v>
      </c>
      <c r="D260" t="s">
        <v>1660</v>
      </c>
      <c r="E260" t="s">
        <v>1663</v>
      </c>
      <c r="F260" t="s">
        <v>1614</v>
      </c>
      <c r="G260" t="s">
        <v>1615</v>
      </c>
      <c r="H260" t="s">
        <v>1073</v>
      </c>
      <c r="I260" t="s">
        <v>1074</v>
      </c>
    </row>
    <row r="261" spans="1:9" x14ac:dyDescent="0.2">
      <c r="A261" t="s">
        <v>1963</v>
      </c>
      <c r="B261" t="s">
        <v>1964</v>
      </c>
      <c r="C261" t="s">
        <v>1965</v>
      </c>
      <c r="D261" t="s">
        <v>1204</v>
      </c>
      <c r="E261" t="s">
        <v>1705</v>
      </c>
      <c r="F261" t="s">
        <v>1204</v>
      </c>
      <c r="G261" t="s">
        <v>1205</v>
      </c>
      <c r="H261" t="s">
        <v>1073</v>
      </c>
      <c r="I261" t="s">
        <v>1074</v>
      </c>
    </row>
    <row r="262" spans="1:9" x14ac:dyDescent="0.2">
      <c r="A262" t="s">
        <v>1966</v>
      </c>
      <c r="B262" t="s">
        <v>1967</v>
      </c>
      <c r="C262" t="s">
        <v>1968</v>
      </c>
      <c r="D262" t="s">
        <v>1392</v>
      </c>
      <c r="E262" t="s">
        <v>1393</v>
      </c>
      <c r="F262" t="s">
        <v>1204</v>
      </c>
      <c r="G262" t="s">
        <v>1205</v>
      </c>
      <c r="H262" t="s">
        <v>1073</v>
      </c>
      <c r="I262" t="s">
        <v>1074</v>
      </c>
    </row>
    <row r="263" spans="1:9" x14ac:dyDescent="0.2">
      <c r="A263" t="s">
        <v>1969</v>
      </c>
      <c r="B263" t="s">
        <v>1970</v>
      </c>
      <c r="C263" t="s">
        <v>1971</v>
      </c>
      <c r="D263" t="s">
        <v>1202</v>
      </c>
      <c r="E263" t="s">
        <v>1203</v>
      </c>
      <c r="F263" t="s">
        <v>1204</v>
      </c>
      <c r="G263" t="s">
        <v>1205</v>
      </c>
      <c r="H263" t="s">
        <v>1073</v>
      </c>
      <c r="I263" t="s">
        <v>1074</v>
      </c>
    </row>
    <row r="264" spans="1:9" x14ac:dyDescent="0.2">
      <c r="A264" t="s">
        <v>1972</v>
      </c>
      <c r="B264" t="s">
        <v>1973</v>
      </c>
      <c r="C264" t="s">
        <v>1974</v>
      </c>
      <c r="D264" t="s">
        <v>1397</v>
      </c>
      <c r="E264" t="s">
        <v>1398</v>
      </c>
      <c r="F264" t="s">
        <v>1399</v>
      </c>
      <c r="G264" t="s">
        <v>1400</v>
      </c>
      <c r="H264" t="s">
        <v>1073</v>
      </c>
      <c r="I264" t="s">
        <v>1074</v>
      </c>
    </row>
    <row r="265" spans="1:9" x14ac:dyDescent="0.2">
      <c r="A265" t="s">
        <v>1975</v>
      </c>
      <c r="B265" t="s">
        <v>1976</v>
      </c>
      <c r="C265" t="s">
        <v>1977</v>
      </c>
      <c r="D265" t="s">
        <v>1569</v>
      </c>
      <c r="E265" t="s">
        <v>1570</v>
      </c>
      <c r="F265" t="s">
        <v>1399</v>
      </c>
      <c r="G265" t="s">
        <v>1400</v>
      </c>
      <c r="H265" t="s">
        <v>1073</v>
      </c>
      <c r="I265" t="s">
        <v>1074</v>
      </c>
    </row>
    <row r="266" spans="1:9" x14ac:dyDescent="0.2">
      <c r="A266" t="s">
        <v>1978</v>
      </c>
      <c r="B266" t="s">
        <v>1979</v>
      </c>
      <c r="C266" t="s">
        <v>1980</v>
      </c>
      <c r="D266" t="s">
        <v>1669</v>
      </c>
      <c r="E266" t="s">
        <v>1672</v>
      </c>
      <c r="F266" t="s">
        <v>1387</v>
      </c>
      <c r="G266" t="s">
        <v>1388</v>
      </c>
      <c r="H266" t="s">
        <v>1073</v>
      </c>
      <c r="I266" t="s">
        <v>1074</v>
      </c>
    </row>
    <row r="267" spans="1:9" x14ac:dyDescent="0.2">
      <c r="A267" t="s">
        <v>1385</v>
      </c>
      <c r="B267" t="s">
        <v>1981</v>
      </c>
      <c r="C267" t="s">
        <v>1982</v>
      </c>
      <c r="D267" t="s">
        <v>1385</v>
      </c>
      <c r="E267" t="s">
        <v>1386</v>
      </c>
      <c r="F267" t="s">
        <v>1387</v>
      </c>
      <c r="G267" t="s">
        <v>1388</v>
      </c>
      <c r="H267" t="s">
        <v>1073</v>
      </c>
      <c r="I267" t="s">
        <v>1074</v>
      </c>
    </row>
    <row r="268" spans="1:9" x14ac:dyDescent="0.2">
      <c r="A268" t="s">
        <v>1983</v>
      </c>
      <c r="B268" t="s">
        <v>1984</v>
      </c>
      <c r="C268" t="s">
        <v>1985</v>
      </c>
      <c r="D268" t="s">
        <v>1569</v>
      </c>
      <c r="E268" t="s">
        <v>1570</v>
      </c>
      <c r="F268" t="s">
        <v>1399</v>
      </c>
      <c r="G268" t="s">
        <v>1400</v>
      </c>
      <c r="H268" t="s">
        <v>1073</v>
      </c>
      <c r="I268" t="s">
        <v>1074</v>
      </c>
    </row>
    <row r="269" spans="1:9" x14ac:dyDescent="0.2">
      <c r="A269" t="s">
        <v>1986</v>
      </c>
      <c r="B269" t="s">
        <v>1987</v>
      </c>
      <c r="C269" t="s">
        <v>1988</v>
      </c>
      <c r="D269" t="s">
        <v>1569</v>
      </c>
      <c r="E269" t="s">
        <v>1570</v>
      </c>
      <c r="F269" t="s">
        <v>1399</v>
      </c>
      <c r="G269" t="s">
        <v>1400</v>
      </c>
      <c r="H269" t="s">
        <v>1073</v>
      </c>
      <c r="I269" t="s">
        <v>1074</v>
      </c>
    </row>
    <row r="270" spans="1:9" x14ac:dyDescent="0.2">
      <c r="A270" t="s">
        <v>1989</v>
      </c>
      <c r="B270" t="s">
        <v>1990</v>
      </c>
      <c r="C270" t="s">
        <v>1991</v>
      </c>
      <c r="D270" t="s">
        <v>1202</v>
      </c>
      <c r="E270" t="s">
        <v>1203</v>
      </c>
      <c r="F270" t="s">
        <v>1204</v>
      </c>
      <c r="G270" t="s">
        <v>1205</v>
      </c>
      <c r="H270" t="s">
        <v>1073</v>
      </c>
      <c r="I270" t="s">
        <v>1074</v>
      </c>
    </row>
    <row r="271" spans="1:9" x14ac:dyDescent="0.2">
      <c r="A271" t="s">
        <v>1992</v>
      </c>
      <c r="B271" t="s">
        <v>1993</v>
      </c>
      <c r="C271" t="s">
        <v>1994</v>
      </c>
      <c r="D271" t="s">
        <v>1385</v>
      </c>
      <c r="E271" t="s">
        <v>1386</v>
      </c>
      <c r="F271" t="s">
        <v>1387</v>
      </c>
      <c r="G271" t="s">
        <v>1388</v>
      </c>
      <c r="H271" t="s">
        <v>1073</v>
      </c>
      <c r="I271" t="s">
        <v>1074</v>
      </c>
    </row>
    <row r="272" spans="1:9" x14ac:dyDescent="0.2">
      <c r="A272" t="s">
        <v>1995</v>
      </c>
      <c r="B272" t="s">
        <v>1996</v>
      </c>
      <c r="C272" t="s">
        <v>1997</v>
      </c>
      <c r="D272" t="s">
        <v>1569</v>
      </c>
      <c r="E272" t="s">
        <v>1570</v>
      </c>
      <c r="F272" t="s">
        <v>1399</v>
      </c>
      <c r="G272" t="s">
        <v>1400</v>
      </c>
      <c r="H272" t="s">
        <v>1073</v>
      </c>
      <c r="I272" t="s">
        <v>1074</v>
      </c>
    </row>
    <row r="273" spans="1:9" x14ac:dyDescent="0.2">
      <c r="A273" t="s">
        <v>1998</v>
      </c>
      <c r="B273" t="s">
        <v>1999</v>
      </c>
      <c r="C273" t="s">
        <v>2000</v>
      </c>
      <c r="D273" t="s">
        <v>1569</v>
      </c>
      <c r="E273" t="s">
        <v>1570</v>
      </c>
      <c r="F273" t="s">
        <v>1399</v>
      </c>
      <c r="G273" t="s">
        <v>1400</v>
      </c>
      <c r="H273" t="s">
        <v>1073</v>
      </c>
      <c r="I273" t="s">
        <v>1074</v>
      </c>
    </row>
    <row r="274" spans="1:9" x14ac:dyDescent="0.2">
      <c r="A274" t="s">
        <v>2001</v>
      </c>
      <c r="B274" t="s">
        <v>2002</v>
      </c>
      <c r="C274" t="s">
        <v>2003</v>
      </c>
      <c r="D274" t="s">
        <v>1447</v>
      </c>
      <c r="E274" t="s">
        <v>1448</v>
      </c>
      <c r="F274" t="s">
        <v>1399</v>
      </c>
      <c r="G274" t="s">
        <v>1400</v>
      </c>
      <c r="H274" t="s">
        <v>1073</v>
      </c>
      <c r="I274" t="s">
        <v>1074</v>
      </c>
    </row>
    <row r="275" spans="1:9" x14ac:dyDescent="0.2">
      <c r="A275" t="s">
        <v>2004</v>
      </c>
      <c r="B275" t="s">
        <v>2005</v>
      </c>
      <c r="C275" t="s">
        <v>2006</v>
      </c>
      <c r="D275" t="s">
        <v>1669</v>
      </c>
      <c r="E275" t="s">
        <v>1672</v>
      </c>
      <c r="F275" t="s">
        <v>1387</v>
      </c>
      <c r="G275" t="s">
        <v>1388</v>
      </c>
      <c r="H275" t="s">
        <v>1073</v>
      </c>
      <c r="I275" t="s">
        <v>1074</v>
      </c>
    </row>
    <row r="276" spans="1:9" x14ac:dyDescent="0.2">
      <c r="A276" t="s">
        <v>2007</v>
      </c>
      <c r="B276" t="s">
        <v>2008</v>
      </c>
      <c r="C276" t="s">
        <v>2009</v>
      </c>
      <c r="D276" t="s">
        <v>1569</v>
      </c>
      <c r="E276" t="s">
        <v>1570</v>
      </c>
      <c r="F276" t="s">
        <v>1399</v>
      </c>
      <c r="G276" t="s">
        <v>1400</v>
      </c>
      <c r="H276" t="s">
        <v>1073</v>
      </c>
      <c r="I276" t="s">
        <v>1074</v>
      </c>
    </row>
    <row r="277" spans="1:9" x14ac:dyDescent="0.2">
      <c r="A277" t="s">
        <v>2010</v>
      </c>
      <c r="B277" t="s">
        <v>2011</v>
      </c>
      <c r="C277" t="s">
        <v>2012</v>
      </c>
      <c r="D277" t="s">
        <v>1569</v>
      </c>
      <c r="E277" t="s">
        <v>1570</v>
      </c>
      <c r="F277" t="s">
        <v>1399</v>
      </c>
      <c r="G277" t="s">
        <v>1400</v>
      </c>
      <c r="H277" t="s">
        <v>1073</v>
      </c>
      <c r="I277" t="s">
        <v>1074</v>
      </c>
    </row>
    <row r="278" spans="1:9" x14ac:dyDescent="0.2">
      <c r="A278" t="s">
        <v>2013</v>
      </c>
      <c r="B278" t="s">
        <v>2014</v>
      </c>
      <c r="C278" t="s">
        <v>2015</v>
      </c>
      <c r="D278" t="s">
        <v>1447</v>
      </c>
      <c r="E278" t="s">
        <v>1448</v>
      </c>
      <c r="F278" t="s">
        <v>1399</v>
      </c>
      <c r="G278" t="s">
        <v>1400</v>
      </c>
      <c r="H278" t="s">
        <v>1073</v>
      </c>
      <c r="I278" t="s">
        <v>1074</v>
      </c>
    </row>
    <row r="279" spans="1:9" x14ac:dyDescent="0.2">
      <c r="A279" t="s">
        <v>2016</v>
      </c>
      <c r="B279" t="s">
        <v>2017</v>
      </c>
      <c r="C279" t="s">
        <v>2018</v>
      </c>
      <c r="D279" t="s">
        <v>1385</v>
      </c>
      <c r="E279" t="s">
        <v>1386</v>
      </c>
      <c r="F279" t="s">
        <v>1387</v>
      </c>
      <c r="G279" t="s">
        <v>1388</v>
      </c>
      <c r="H279" t="s">
        <v>1073</v>
      </c>
      <c r="I279" t="s">
        <v>1074</v>
      </c>
    </row>
    <row r="280" spans="1:9" x14ac:dyDescent="0.2">
      <c r="A280" t="s">
        <v>2019</v>
      </c>
      <c r="B280" t="s">
        <v>2020</v>
      </c>
      <c r="C280" t="s">
        <v>2021</v>
      </c>
      <c r="D280" t="s">
        <v>1202</v>
      </c>
      <c r="E280" t="s">
        <v>1203</v>
      </c>
      <c r="F280" t="s">
        <v>1204</v>
      </c>
      <c r="G280" t="s">
        <v>1205</v>
      </c>
      <c r="H280" t="s">
        <v>1073</v>
      </c>
      <c r="I280" t="s">
        <v>1074</v>
      </c>
    </row>
    <row r="281" spans="1:9" x14ac:dyDescent="0.2">
      <c r="A281" t="s">
        <v>2022</v>
      </c>
      <c r="B281" t="s">
        <v>2023</v>
      </c>
      <c r="C281" t="s">
        <v>2024</v>
      </c>
      <c r="D281" t="s">
        <v>1569</v>
      </c>
      <c r="E281" t="s">
        <v>1570</v>
      </c>
      <c r="F281" t="s">
        <v>1399</v>
      </c>
      <c r="G281" t="s">
        <v>1400</v>
      </c>
      <c r="H281" t="s">
        <v>1073</v>
      </c>
      <c r="I281" t="s">
        <v>1074</v>
      </c>
    </row>
    <row r="282" spans="1:9" x14ac:dyDescent="0.2">
      <c r="A282" t="s">
        <v>2025</v>
      </c>
      <c r="B282" t="s">
        <v>2026</v>
      </c>
      <c r="C282" t="s">
        <v>2027</v>
      </c>
      <c r="D282" t="s">
        <v>1442</v>
      </c>
      <c r="E282" t="s">
        <v>1443</v>
      </c>
      <c r="F282" t="s">
        <v>1387</v>
      </c>
      <c r="G282" t="s">
        <v>1388</v>
      </c>
      <c r="H282" t="s">
        <v>1073</v>
      </c>
      <c r="I282" t="s">
        <v>1074</v>
      </c>
    </row>
    <row r="283" spans="1:9" x14ac:dyDescent="0.2">
      <c r="A283" t="s">
        <v>2028</v>
      </c>
      <c r="B283" t="s">
        <v>2029</v>
      </c>
      <c r="C283" t="s">
        <v>2030</v>
      </c>
      <c r="D283" t="s">
        <v>1447</v>
      </c>
      <c r="E283" t="s">
        <v>1448</v>
      </c>
      <c r="F283" t="s">
        <v>1399</v>
      </c>
      <c r="G283" t="s">
        <v>1400</v>
      </c>
      <c r="H283" t="s">
        <v>1073</v>
      </c>
      <c r="I283" t="s">
        <v>1074</v>
      </c>
    </row>
    <row r="284" spans="1:9" x14ac:dyDescent="0.2">
      <c r="A284" t="s">
        <v>2031</v>
      </c>
      <c r="B284" t="s">
        <v>2032</v>
      </c>
      <c r="C284" t="s">
        <v>2033</v>
      </c>
      <c r="D284" t="s">
        <v>1452</v>
      </c>
      <c r="E284" t="s">
        <v>1453</v>
      </c>
      <c r="F284" t="s">
        <v>1399</v>
      </c>
      <c r="G284" t="s">
        <v>1400</v>
      </c>
      <c r="H284" t="s">
        <v>1073</v>
      </c>
      <c r="I284" t="s">
        <v>1074</v>
      </c>
    </row>
    <row r="285" spans="1:9" x14ac:dyDescent="0.2">
      <c r="A285" t="s">
        <v>2034</v>
      </c>
      <c r="B285" t="s">
        <v>2035</v>
      </c>
      <c r="C285" t="s">
        <v>2036</v>
      </c>
      <c r="D285" t="s">
        <v>1452</v>
      </c>
      <c r="E285" t="s">
        <v>1453</v>
      </c>
      <c r="F285" t="s">
        <v>1399</v>
      </c>
      <c r="G285" t="s">
        <v>1400</v>
      </c>
      <c r="H285" t="s">
        <v>1073</v>
      </c>
      <c r="I285" t="s">
        <v>1074</v>
      </c>
    </row>
    <row r="286" spans="1:9" x14ac:dyDescent="0.2">
      <c r="A286" t="s">
        <v>2037</v>
      </c>
      <c r="B286" t="s">
        <v>2038</v>
      </c>
      <c r="C286" t="s">
        <v>2039</v>
      </c>
      <c r="D286" t="s">
        <v>1569</v>
      </c>
      <c r="E286" t="s">
        <v>1570</v>
      </c>
      <c r="F286" t="s">
        <v>1399</v>
      </c>
      <c r="G286" t="s">
        <v>1400</v>
      </c>
      <c r="H286" t="s">
        <v>1073</v>
      </c>
      <c r="I286" t="s">
        <v>1074</v>
      </c>
    </row>
    <row r="287" spans="1:9" x14ac:dyDescent="0.2">
      <c r="A287" t="s">
        <v>2040</v>
      </c>
      <c r="B287" t="s">
        <v>2041</v>
      </c>
      <c r="C287" t="s">
        <v>2042</v>
      </c>
      <c r="D287" t="s">
        <v>1447</v>
      </c>
      <c r="E287" t="s">
        <v>1448</v>
      </c>
      <c r="F287" t="s">
        <v>1399</v>
      </c>
      <c r="G287" t="s">
        <v>1400</v>
      </c>
      <c r="H287" t="s">
        <v>1073</v>
      </c>
      <c r="I287" t="s">
        <v>1074</v>
      </c>
    </row>
    <row r="288" spans="1:9" x14ac:dyDescent="0.2">
      <c r="A288" t="s">
        <v>2043</v>
      </c>
      <c r="B288" t="s">
        <v>2044</v>
      </c>
      <c r="C288" t="s">
        <v>2045</v>
      </c>
      <c r="D288" t="s">
        <v>1569</v>
      </c>
      <c r="E288" t="s">
        <v>1570</v>
      </c>
      <c r="F288" t="s">
        <v>1399</v>
      </c>
      <c r="G288" t="s">
        <v>1400</v>
      </c>
      <c r="H288" t="s">
        <v>1073</v>
      </c>
      <c r="I288" t="s">
        <v>1074</v>
      </c>
    </row>
    <row r="289" spans="1:9" x14ac:dyDescent="0.2">
      <c r="A289" t="s">
        <v>2046</v>
      </c>
      <c r="B289" t="s">
        <v>2047</v>
      </c>
      <c r="C289" t="s">
        <v>2048</v>
      </c>
      <c r="D289" t="s">
        <v>1447</v>
      </c>
      <c r="E289" t="s">
        <v>1448</v>
      </c>
      <c r="F289" t="s">
        <v>1399</v>
      </c>
      <c r="G289" t="s">
        <v>1400</v>
      </c>
      <c r="H289" t="s">
        <v>1073</v>
      </c>
      <c r="I289" t="s">
        <v>1074</v>
      </c>
    </row>
    <row r="290" spans="1:9" x14ac:dyDescent="0.2">
      <c r="A290" t="s">
        <v>2049</v>
      </c>
      <c r="B290" t="s">
        <v>2050</v>
      </c>
      <c r="C290" t="s">
        <v>2051</v>
      </c>
      <c r="D290" t="s">
        <v>1569</v>
      </c>
      <c r="E290" t="s">
        <v>1570</v>
      </c>
      <c r="F290" t="s">
        <v>1399</v>
      </c>
      <c r="G290" t="s">
        <v>1400</v>
      </c>
      <c r="H290" t="s">
        <v>1073</v>
      </c>
      <c r="I290" t="s">
        <v>1074</v>
      </c>
    </row>
    <row r="291" spans="1:9" x14ac:dyDescent="0.2">
      <c r="A291" t="s">
        <v>2052</v>
      </c>
      <c r="B291" t="s">
        <v>2053</v>
      </c>
      <c r="C291" t="s">
        <v>2054</v>
      </c>
      <c r="D291" t="s">
        <v>1397</v>
      </c>
      <c r="E291" t="s">
        <v>1398</v>
      </c>
      <c r="F291" t="s">
        <v>1399</v>
      </c>
      <c r="G291" t="s">
        <v>1400</v>
      </c>
      <c r="H291" t="s">
        <v>1073</v>
      </c>
      <c r="I291" t="s">
        <v>1074</v>
      </c>
    </row>
    <row r="292" spans="1:9" x14ac:dyDescent="0.2">
      <c r="A292" t="s">
        <v>2055</v>
      </c>
      <c r="B292" t="s">
        <v>2056</v>
      </c>
      <c r="C292" t="s">
        <v>2057</v>
      </c>
      <c r="D292" t="s">
        <v>1447</v>
      </c>
      <c r="E292" t="s">
        <v>1448</v>
      </c>
      <c r="F292" t="s">
        <v>1399</v>
      </c>
      <c r="G292" t="s">
        <v>1400</v>
      </c>
      <c r="H292" t="s">
        <v>1073</v>
      </c>
      <c r="I292" t="s">
        <v>1074</v>
      </c>
    </row>
    <row r="293" spans="1:9" x14ac:dyDescent="0.2">
      <c r="A293" t="s">
        <v>2058</v>
      </c>
      <c r="B293" t="s">
        <v>2059</v>
      </c>
      <c r="C293" t="s">
        <v>2060</v>
      </c>
      <c r="D293" t="s">
        <v>1392</v>
      </c>
      <c r="E293" t="s">
        <v>1393</v>
      </c>
      <c r="F293" t="s">
        <v>1204</v>
      </c>
      <c r="G293" t="s">
        <v>1205</v>
      </c>
      <c r="H293" t="s">
        <v>1073</v>
      </c>
      <c r="I293" t="s">
        <v>1074</v>
      </c>
    </row>
    <row r="294" spans="1:9" x14ac:dyDescent="0.2">
      <c r="A294" t="s">
        <v>2061</v>
      </c>
      <c r="B294" t="s">
        <v>2062</v>
      </c>
      <c r="C294" t="s">
        <v>2063</v>
      </c>
      <c r="D294" t="s">
        <v>1452</v>
      </c>
      <c r="E294" t="s">
        <v>1453</v>
      </c>
      <c r="F294" t="s">
        <v>1399</v>
      </c>
      <c r="G294" t="s">
        <v>1400</v>
      </c>
      <c r="H294" t="s">
        <v>1073</v>
      </c>
      <c r="I294" t="s">
        <v>1074</v>
      </c>
    </row>
    <row r="295" spans="1:9" x14ac:dyDescent="0.2">
      <c r="A295" t="s">
        <v>1463</v>
      </c>
      <c r="B295" t="s">
        <v>2064</v>
      </c>
      <c r="C295" t="s">
        <v>2065</v>
      </c>
      <c r="D295" t="s">
        <v>1463</v>
      </c>
      <c r="E295" t="s">
        <v>1464</v>
      </c>
      <c r="F295" t="s">
        <v>1071</v>
      </c>
      <c r="G295" t="s">
        <v>1072</v>
      </c>
      <c r="H295" t="s">
        <v>1073</v>
      </c>
      <c r="I295" t="s">
        <v>1074</v>
      </c>
    </row>
    <row r="296" spans="1:9" x14ac:dyDescent="0.2">
      <c r="A296" t="s">
        <v>2066</v>
      </c>
      <c r="B296" t="s">
        <v>2067</v>
      </c>
      <c r="C296" t="s">
        <v>2068</v>
      </c>
      <c r="D296" t="s">
        <v>1463</v>
      </c>
      <c r="E296" t="s">
        <v>1464</v>
      </c>
      <c r="F296" t="s">
        <v>1071</v>
      </c>
      <c r="G296" t="s">
        <v>1072</v>
      </c>
      <c r="H296" t="s">
        <v>1073</v>
      </c>
      <c r="I296" t="s">
        <v>1074</v>
      </c>
    </row>
    <row r="297" spans="1:9" x14ac:dyDescent="0.2">
      <c r="A297" t="s">
        <v>1217</v>
      </c>
      <c r="B297" t="s">
        <v>2069</v>
      </c>
      <c r="C297" t="s">
        <v>2070</v>
      </c>
      <c r="D297" t="s">
        <v>1217</v>
      </c>
      <c r="E297" t="s">
        <v>1218</v>
      </c>
      <c r="F297" t="s">
        <v>1113</v>
      </c>
      <c r="G297" t="s">
        <v>1114</v>
      </c>
      <c r="H297" t="s">
        <v>1073</v>
      </c>
      <c r="I297" t="s">
        <v>1074</v>
      </c>
    </row>
    <row r="298" spans="1:9" x14ac:dyDescent="0.2">
      <c r="A298" t="s">
        <v>2071</v>
      </c>
      <c r="B298" t="s">
        <v>2072</v>
      </c>
      <c r="C298" t="s">
        <v>2073</v>
      </c>
      <c r="D298" t="s">
        <v>1348</v>
      </c>
      <c r="E298" t="s">
        <v>1351</v>
      </c>
      <c r="F298" t="s">
        <v>1096</v>
      </c>
      <c r="G298" t="s">
        <v>1097</v>
      </c>
      <c r="H298" t="s">
        <v>1073</v>
      </c>
      <c r="I298" t="s">
        <v>1074</v>
      </c>
    </row>
    <row r="299" spans="1:9" x14ac:dyDescent="0.2">
      <c r="A299" t="s">
        <v>2074</v>
      </c>
      <c r="B299" t="s">
        <v>2075</v>
      </c>
      <c r="C299" t="s">
        <v>2076</v>
      </c>
      <c r="D299" t="s">
        <v>1452</v>
      </c>
      <c r="E299" t="s">
        <v>1453</v>
      </c>
      <c r="F299" t="s">
        <v>1399</v>
      </c>
      <c r="G299" t="s">
        <v>1400</v>
      </c>
      <c r="H299" t="s">
        <v>1073</v>
      </c>
      <c r="I299" t="s">
        <v>1074</v>
      </c>
    </row>
    <row r="300" spans="1:9" x14ac:dyDescent="0.2">
      <c r="A300" t="s">
        <v>2077</v>
      </c>
      <c r="B300" t="s">
        <v>2078</v>
      </c>
      <c r="C300" t="s">
        <v>2079</v>
      </c>
      <c r="D300" t="s">
        <v>1447</v>
      </c>
      <c r="E300" t="s">
        <v>1448</v>
      </c>
      <c r="F300" t="s">
        <v>1399</v>
      </c>
      <c r="G300" t="s">
        <v>1400</v>
      </c>
      <c r="H300" t="s">
        <v>1073</v>
      </c>
      <c r="I300" t="s">
        <v>1074</v>
      </c>
    </row>
    <row r="301" spans="1:9" x14ac:dyDescent="0.2">
      <c r="A301" t="s">
        <v>2080</v>
      </c>
      <c r="B301" t="s">
        <v>2081</v>
      </c>
      <c r="C301" t="s">
        <v>2082</v>
      </c>
      <c r="D301" t="s">
        <v>1447</v>
      </c>
      <c r="E301" t="s">
        <v>1448</v>
      </c>
      <c r="F301" t="s">
        <v>1399</v>
      </c>
      <c r="G301" t="s">
        <v>1400</v>
      </c>
      <c r="H301" t="s">
        <v>1073</v>
      </c>
      <c r="I301" t="s">
        <v>1074</v>
      </c>
    </row>
    <row r="302" spans="1:9" x14ac:dyDescent="0.2">
      <c r="A302" t="s">
        <v>2083</v>
      </c>
      <c r="B302" t="s">
        <v>2084</v>
      </c>
      <c r="C302" t="s">
        <v>2085</v>
      </c>
      <c r="D302" t="s">
        <v>1660</v>
      </c>
      <c r="E302" t="s">
        <v>1663</v>
      </c>
      <c r="F302" t="s">
        <v>1614</v>
      </c>
      <c r="G302" t="s">
        <v>1615</v>
      </c>
      <c r="H302" t="s">
        <v>1073</v>
      </c>
      <c r="I302" t="s">
        <v>1074</v>
      </c>
    </row>
    <row r="303" spans="1:9" x14ac:dyDescent="0.2">
      <c r="A303" t="s">
        <v>2086</v>
      </c>
      <c r="B303" t="s">
        <v>2087</v>
      </c>
      <c r="C303" t="s">
        <v>2088</v>
      </c>
      <c r="D303" t="s">
        <v>1767</v>
      </c>
      <c r="E303" t="s">
        <v>1770</v>
      </c>
      <c r="F303" t="s">
        <v>1623</v>
      </c>
      <c r="G303" t="s">
        <v>1624</v>
      </c>
      <c r="H303" t="s">
        <v>1073</v>
      </c>
      <c r="I303" t="s">
        <v>1074</v>
      </c>
    </row>
    <row r="304" spans="1:9" x14ac:dyDescent="0.2">
      <c r="A304" t="s">
        <v>2089</v>
      </c>
      <c r="B304" t="s">
        <v>2090</v>
      </c>
      <c r="C304" t="s">
        <v>2091</v>
      </c>
      <c r="D304" t="s">
        <v>1397</v>
      </c>
      <c r="E304" t="s">
        <v>1398</v>
      </c>
      <c r="F304" t="s">
        <v>1399</v>
      </c>
      <c r="G304" t="s">
        <v>1400</v>
      </c>
      <c r="H304" t="s">
        <v>1073</v>
      </c>
      <c r="I304" t="s">
        <v>1074</v>
      </c>
    </row>
    <row r="305" spans="1:9" x14ac:dyDescent="0.2">
      <c r="A305" t="s">
        <v>2092</v>
      </c>
      <c r="B305" t="s">
        <v>2093</v>
      </c>
      <c r="C305" t="s">
        <v>2094</v>
      </c>
      <c r="D305" t="s">
        <v>1234</v>
      </c>
      <c r="E305" t="s">
        <v>1235</v>
      </c>
      <c r="F305" t="s">
        <v>1204</v>
      </c>
      <c r="G305" t="s">
        <v>1205</v>
      </c>
      <c r="H305" t="s">
        <v>1073</v>
      </c>
      <c r="I305" t="s">
        <v>1074</v>
      </c>
    </row>
    <row r="306" spans="1:9" x14ac:dyDescent="0.2">
      <c r="A306" t="s">
        <v>2095</v>
      </c>
      <c r="B306" t="s">
        <v>2096</v>
      </c>
      <c r="C306" t="s">
        <v>2097</v>
      </c>
      <c r="D306" t="s">
        <v>1392</v>
      </c>
      <c r="E306" t="s">
        <v>1393</v>
      </c>
      <c r="F306" t="s">
        <v>1204</v>
      </c>
      <c r="G306" t="s">
        <v>1205</v>
      </c>
      <c r="H306" t="s">
        <v>1073</v>
      </c>
      <c r="I306" t="s">
        <v>1074</v>
      </c>
    </row>
    <row r="307" spans="1:9" x14ac:dyDescent="0.2">
      <c r="A307" t="s">
        <v>2098</v>
      </c>
      <c r="B307" t="s">
        <v>2099</v>
      </c>
      <c r="C307" t="s">
        <v>2100</v>
      </c>
      <c r="D307" t="s">
        <v>1594</v>
      </c>
      <c r="E307" t="s">
        <v>1597</v>
      </c>
      <c r="F307" t="s">
        <v>1598</v>
      </c>
      <c r="G307" t="s">
        <v>1599</v>
      </c>
      <c r="H307" t="s">
        <v>1073</v>
      </c>
      <c r="I307" t="s">
        <v>1074</v>
      </c>
    </row>
    <row r="308" spans="1:9" x14ac:dyDescent="0.2">
      <c r="A308" t="s">
        <v>2101</v>
      </c>
      <c r="B308" t="s">
        <v>2102</v>
      </c>
      <c r="C308" t="s">
        <v>2103</v>
      </c>
      <c r="D308" t="s">
        <v>1594</v>
      </c>
      <c r="E308" t="s">
        <v>1597</v>
      </c>
      <c r="F308" t="s">
        <v>1598</v>
      </c>
      <c r="G308" t="s">
        <v>1599</v>
      </c>
      <c r="H308" t="s">
        <v>1073</v>
      </c>
      <c r="I308" t="s">
        <v>1074</v>
      </c>
    </row>
    <row r="309" spans="1:9" x14ac:dyDescent="0.2">
      <c r="A309" t="s">
        <v>2104</v>
      </c>
      <c r="B309" t="s">
        <v>2105</v>
      </c>
      <c r="C309" t="s">
        <v>2106</v>
      </c>
      <c r="D309" t="s">
        <v>2107</v>
      </c>
      <c r="E309" t="s">
        <v>2108</v>
      </c>
      <c r="F309" t="s">
        <v>1598</v>
      </c>
      <c r="G309" t="s">
        <v>1599</v>
      </c>
      <c r="H309" t="s">
        <v>1073</v>
      </c>
      <c r="I309" t="s">
        <v>1074</v>
      </c>
    </row>
    <row r="310" spans="1:9" x14ac:dyDescent="0.2">
      <c r="A310" t="s">
        <v>2109</v>
      </c>
      <c r="B310" t="s">
        <v>2110</v>
      </c>
      <c r="C310" t="s">
        <v>2111</v>
      </c>
      <c r="D310" t="s">
        <v>1639</v>
      </c>
      <c r="E310" t="s">
        <v>1642</v>
      </c>
      <c r="F310" t="s">
        <v>1598</v>
      </c>
      <c r="G310" t="s">
        <v>1599</v>
      </c>
      <c r="H310" t="s">
        <v>1073</v>
      </c>
      <c r="I310" t="s">
        <v>1074</v>
      </c>
    </row>
    <row r="311" spans="1:9" x14ac:dyDescent="0.2">
      <c r="A311" t="s">
        <v>1712</v>
      </c>
      <c r="B311" t="s">
        <v>2112</v>
      </c>
      <c r="C311" t="s">
        <v>2113</v>
      </c>
      <c r="D311" t="s">
        <v>1712</v>
      </c>
      <c r="E311" t="s">
        <v>1713</v>
      </c>
      <c r="F311" t="s">
        <v>1380</v>
      </c>
      <c r="G311" t="s">
        <v>1381</v>
      </c>
      <c r="H311" t="s">
        <v>1073</v>
      </c>
      <c r="I311" t="s">
        <v>1074</v>
      </c>
    </row>
    <row r="312" spans="1:9" x14ac:dyDescent="0.2">
      <c r="A312" t="s">
        <v>1612</v>
      </c>
      <c r="B312" t="s">
        <v>2114</v>
      </c>
      <c r="C312" t="s">
        <v>2115</v>
      </c>
      <c r="D312" t="s">
        <v>1612</v>
      </c>
      <c r="E312" t="s">
        <v>1613</v>
      </c>
      <c r="F312" t="s">
        <v>1614</v>
      </c>
      <c r="G312" t="s">
        <v>1615</v>
      </c>
      <c r="H312" t="s">
        <v>1073</v>
      </c>
      <c r="I312" t="s">
        <v>1074</v>
      </c>
    </row>
    <row r="313" spans="1:9" x14ac:dyDescent="0.2">
      <c r="A313" t="s">
        <v>2116</v>
      </c>
      <c r="B313" t="s">
        <v>2117</v>
      </c>
      <c r="C313" t="s">
        <v>2118</v>
      </c>
      <c r="D313" t="s">
        <v>1767</v>
      </c>
      <c r="E313" t="s">
        <v>1770</v>
      </c>
      <c r="F313" t="s">
        <v>1623</v>
      </c>
      <c r="G313" t="s">
        <v>1624</v>
      </c>
      <c r="H313" t="s">
        <v>1073</v>
      </c>
      <c r="I313" t="s">
        <v>1074</v>
      </c>
    </row>
    <row r="314" spans="1:9" x14ac:dyDescent="0.2">
      <c r="A314" t="s">
        <v>2119</v>
      </c>
      <c r="B314" t="s">
        <v>2120</v>
      </c>
      <c r="C314" t="s">
        <v>2121</v>
      </c>
      <c r="D314" t="s">
        <v>1619</v>
      </c>
      <c r="E314" t="s">
        <v>1622</v>
      </c>
      <c r="F314" t="s">
        <v>1623</v>
      </c>
      <c r="G314" t="s">
        <v>1624</v>
      </c>
      <c r="H314" t="s">
        <v>1073</v>
      </c>
      <c r="I314" t="s">
        <v>1074</v>
      </c>
    </row>
    <row r="315" spans="1:9" x14ac:dyDescent="0.2">
      <c r="A315" t="s">
        <v>2122</v>
      </c>
      <c r="B315" t="s">
        <v>2123</v>
      </c>
      <c r="C315" t="s">
        <v>2124</v>
      </c>
      <c r="D315" t="s">
        <v>1612</v>
      </c>
      <c r="E315" t="s">
        <v>1613</v>
      </c>
      <c r="F315" t="s">
        <v>1614</v>
      </c>
      <c r="G315" t="s">
        <v>1615</v>
      </c>
      <c r="H315" t="s">
        <v>1073</v>
      </c>
      <c r="I315" t="s">
        <v>1074</v>
      </c>
    </row>
    <row r="316" spans="1:9" x14ac:dyDescent="0.2">
      <c r="A316" t="s">
        <v>2125</v>
      </c>
      <c r="B316" t="s">
        <v>2126</v>
      </c>
      <c r="C316" t="s">
        <v>2127</v>
      </c>
      <c r="D316" t="s">
        <v>1619</v>
      </c>
      <c r="E316" t="s">
        <v>1622</v>
      </c>
      <c r="F316" t="s">
        <v>1623</v>
      </c>
      <c r="G316" t="s">
        <v>1624</v>
      </c>
      <c r="H316" t="s">
        <v>1073</v>
      </c>
      <c r="I316" t="s">
        <v>1074</v>
      </c>
    </row>
    <row r="317" spans="1:9" x14ac:dyDescent="0.2">
      <c r="A317" t="s">
        <v>2128</v>
      </c>
      <c r="B317" t="s">
        <v>2129</v>
      </c>
      <c r="C317" t="s">
        <v>2130</v>
      </c>
      <c r="D317" t="s">
        <v>2128</v>
      </c>
      <c r="E317" t="s">
        <v>2131</v>
      </c>
      <c r="F317" t="s">
        <v>1623</v>
      </c>
      <c r="G317" t="s">
        <v>1624</v>
      </c>
      <c r="H317" t="s">
        <v>1073</v>
      </c>
      <c r="I317" t="s">
        <v>1074</v>
      </c>
    </row>
    <row r="318" spans="1:9" x14ac:dyDescent="0.2">
      <c r="A318" t="s">
        <v>2132</v>
      </c>
      <c r="B318" t="s">
        <v>2133</v>
      </c>
      <c r="C318" t="s">
        <v>2134</v>
      </c>
      <c r="D318" t="s">
        <v>2135</v>
      </c>
      <c r="E318" t="s">
        <v>2136</v>
      </c>
      <c r="F318" t="s">
        <v>1598</v>
      </c>
      <c r="G318" t="s">
        <v>1599</v>
      </c>
      <c r="H318" t="s">
        <v>1073</v>
      </c>
      <c r="I318" t="s">
        <v>1074</v>
      </c>
    </row>
    <row r="319" spans="1:9" x14ac:dyDescent="0.2">
      <c r="A319" t="s">
        <v>2137</v>
      </c>
      <c r="B319" t="s">
        <v>2138</v>
      </c>
      <c r="C319" t="s">
        <v>2139</v>
      </c>
      <c r="D319" t="s">
        <v>2107</v>
      </c>
      <c r="E319" t="s">
        <v>2108</v>
      </c>
      <c r="F319" t="s">
        <v>1598</v>
      </c>
      <c r="G319" t="s">
        <v>1599</v>
      </c>
      <c r="H319" t="s">
        <v>1073</v>
      </c>
      <c r="I319" t="s">
        <v>1074</v>
      </c>
    </row>
    <row r="320" spans="1:9" x14ac:dyDescent="0.2">
      <c r="A320" t="s">
        <v>1813</v>
      </c>
      <c r="B320" t="s">
        <v>2140</v>
      </c>
      <c r="C320" t="s">
        <v>2141</v>
      </c>
      <c r="D320" t="s">
        <v>1813</v>
      </c>
      <c r="E320" t="s">
        <v>1814</v>
      </c>
      <c r="F320" t="s">
        <v>1387</v>
      </c>
      <c r="G320" t="s">
        <v>1388</v>
      </c>
      <c r="H320" t="s">
        <v>1073</v>
      </c>
      <c r="I320" t="s">
        <v>1074</v>
      </c>
    </row>
    <row r="321" spans="1:9" x14ac:dyDescent="0.2">
      <c r="A321" t="s">
        <v>2142</v>
      </c>
      <c r="B321" t="s">
        <v>2143</v>
      </c>
      <c r="C321" t="s">
        <v>2144</v>
      </c>
      <c r="D321" t="s">
        <v>1813</v>
      </c>
      <c r="E321" t="s">
        <v>1814</v>
      </c>
      <c r="F321" t="s">
        <v>1387</v>
      </c>
      <c r="G321" t="s">
        <v>1388</v>
      </c>
      <c r="H321" t="s">
        <v>1073</v>
      </c>
      <c r="I321" t="s">
        <v>1074</v>
      </c>
    </row>
    <row r="322" spans="1:9" x14ac:dyDescent="0.2">
      <c r="A322" t="s">
        <v>2145</v>
      </c>
      <c r="B322" t="s">
        <v>2146</v>
      </c>
      <c r="C322" t="s">
        <v>2147</v>
      </c>
      <c r="D322" t="s">
        <v>1397</v>
      </c>
      <c r="E322" t="s">
        <v>1398</v>
      </c>
      <c r="F322" t="s">
        <v>1399</v>
      </c>
      <c r="G322" t="s">
        <v>1400</v>
      </c>
      <c r="H322" t="s">
        <v>1073</v>
      </c>
      <c r="I322" t="s">
        <v>1074</v>
      </c>
    </row>
    <row r="323" spans="1:9" x14ac:dyDescent="0.2">
      <c r="A323" t="s">
        <v>2148</v>
      </c>
      <c r="B323" t="s">
        <v>2149</v>
      </c>
      <c r="C323" t="s">
        <v>2150</v>
      </c>
      <c r="D323" t="s">
        <v>1612</v>
      </c>
      <c r="E323" t="s">
        <v>1613</v>
      </c>
      <c r="F323" t="s">
        <v>1614</v>
      </c>
      <c r="G323" t="s">
        <v>1615</v>
      </c>
      <c r="H323" t="s">
        <v>1073</v>
      </c>
      <c r="I323" t="s">
        <v>1074</v>
      </c>
    </row>
    <row r="324" spans="1:9" x14ac:dyDescent="0.2">
      <c r="A324" t="s">
        <v>2151</v>
      </c>
      <c r="B324" t="s">
        <v>2152</v>
      </c>
      <c r="C324" t="s">
        <v>2153</v>
      </c>
      <c r="D324" t="s">
        <v>2128</v>
      </c>
      <c r="E324" t="s">
        <v>2131</v>
      </c>
      <c r="F324" t="s">
        <v>1623</v>
      </c>
      <c r="G324" t="s">
        <v>1624</v>
      </c>
      <c r="H324" t="s">
        <v>1073</v>
      </c>
      <c r="I324" t="s">
        <v>1074</v>
      </c>
    </row>
    <row r="325" spans="1:9" x14ac:dyDescent="0.2">
      <c r="A325" t="s">
        <v>2135</v>
      </c>
      <c r="B325" t="s">
        <v>2154</v>
      </c>
      <c r="C325" t="s">
        <v>2155</v>
      </c>
      <c r="D325" t="s">
        <v>2135</v>
      </c>
      <c r="E325" t="s">
        <v>2136</v>
      </c>
      <c r="F325" t="s">
        <v>1598</v>
      </c>
      <c r="G325" t="s">
        <v>1599</v>
      </c>
      <c r="H325" t="s">
        <v>1073</v>
      </c>
      <c r="I325" t="s">
        <v>1074</v>
      </c>
    </row>
    <row r="326" spans="1:9" x14ac:dyDescent="0.2">
      <c r="A326" t="s">
        <v>2156</v>
      </c>
      <c r="B326" t="s">
        <v>2157</v>
      </c>
      <c r="C326" t="s">
        <v>2158</v>
      </c>
      <c r="D326" t="s">
        <v>1813</v>
      </c>
      <c r="E326" t="s">
        <v>1814</v>
      </c>
      <c r="F326" t="s">
        <v>1387</v>
      </c>
      <c r="G326" t="s">
        <v>1388</v>
      </c>
      <c r="H326" t="s">
        <v>1073</v>
      </c>
      <c r="I326" t="s">
        <v>1074</v>
      </c>
    </row>
    <row r="327" spans="1:9" x14ac:dyDescent="0.2">
      <c r="A327" t="s">
        <v>2159</v>
      </c>
      <c r="B327" t="s">
        <v>2160</v>
      </c>
      <c r="C327" t="s">
        <v>2161</v>
      </c>
      <c r="D327" t="s">
        <v>1442</v>
      </c>
      <c r="E327" t="s">
        <v>1443</v>
      </c>
      <c r="F327" t="s">
        <v>1387</v>
      </c>
      <c r="G327" t="s">
        <v>1388</v>
      </c>
      <c r="H327" t="s">
        <v>1073</v>
      </c>
      <c r="I327" t="s">
        <v>1074</v>
      </c>
    </row>
    <row r="328" spans="1:9" x14ac:dyDescent="0.2">
      <c r="A328" t="s">
        <v>1683</v>
      </c>
      <c r="B328" t="s">
        <v>2162</v>
      </c>
      <c r="C328" t="s">
        <v>2163</v>
      </c>
      <c r="D328" t="s">
        <v>1683</v>
      </c>
      <c r="E328" t="s">
        <v>1684</v>
      </c>
      <c r="F328" t="s">
        <v>1387</v>
      </c>
      <c r="G328" t="s">
        <v>1388</v>
      </c>
      <c r="H328" t="s">
        <v>1073</v>
      </c>
      <c r="I328" t="s">
        <v>1074</v>
      </c>
    </row>
    <row r="329" spans="1:9" x14ac:dyDescent="0.2">
      <c r="A329" t="s">
        <v>2107</v>
      </c>
      <c r="B329" t="s">
        <v>2164</v>
      </c>
      <c r="C329" t="s">
        <v>2165</v>
      </c>
      <c r="D329" t="s">
        <v>2107</v>
      </c>
      <c r="E329" t="s">
        <v>2108</v>
      </c>
      <c r="F329" t="s">
        <v>1598</v>
      </c>
      <c r="G329" t="s">
        <v>1599</v>
      </c>
      <c r="H329" t="s">
        <v>1073</v>
      </c>
      <c r="I329" t="s">
        <v>1074</v>
      </c>
    </row>
    <row r="330" spans="1:9" x14ac:dyDescent="0.2">
      <c r="A330" t="s">
        <v>2166</v>
      </c>
      <c r="B330" t="s">
        <v>2167</v>
      </c>
      <c r="C330" t="s">
        <v>2168</v>
      </c>
      <c r="D330" t="s">
        <v>2135</v>
      </c>
      <c r="E330" t="s">
        <v>2136</v>
      </c>
      <c r="F330" t="s">
        <v>1598</v>
      </c>
      <c r="G330" t="s">
        <v>1599</v>
      </c>
      <c r="H330" t="s">
        <v>1073</v>
      </c>
      <c r="I330" t="s">
        <v>1074</v>
      </c>
    </row>
    <row r="331" spans="1:9" x14ac:dyDescent="0.2">
      <c r="A331" t="s">
        <v>2169</v>
      </c>
      <c r="B331" t="s">
        <v>2170</v>
      </c>
      <c r="C331" t="s">
        <v>2171</v>
      </c>
      <c r="D331" t="s">
        <v>2107</v>
      </c>
      <c r="E331" t="s">
        <v>2108</v>
      </c>
      <c r="F331" t="s">
        <v>1598</v>
      </c>
      <c r="G331" t="s">
        <v>1599</v>
      </c>
      <c r="H331" t="s">
        <v>1073</v>
      </c>
      <c r="I331" t="s">
        <v>1074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New Durations</vt:lpstr>
      <vt:lpstr>Crop list</vt:lpstr>
      <vt:lpstr>Additional information</vt:lpstr>
      <vt:lpstr>Admin 3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Lawi Analo</dc:creator>
  <cp:lastModifiedBy>Microsoft Office User</cp:lastModifiedBy>
  <dcterms:created xsi:type="dcterms:W3CDTF">2020-12-10T15:46:11Z</dcterms:created>
  <dcterms:modified xsi:type="dcterms:W3CDTF">2023-06-27T15:44:15Z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2023-06-27T13:03:31Z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6c5b6639-c727-4285-8977-f9d99f7e873d</vt:lpwstr>
  </property>
  <property fmtid="{D5CDD505-2E9C-101B-9397-08002B2CF9AE}" pid="8" name="MSIP_Label_46ec50b2-b191-4ad7-ba82-7deb0436e358_ContentBits">
    <vt:lpwstr>0</vt:lpwstr>
  </property>
</Properties>
</file>