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Crop list" sheetId="3" state="hidden" r:id="rId3"/>
    <sheet xmlns:r="http://schemas.openxmlformats.org/officeDocument/2006/relationships" name="Additional information" sheetId="4" state="hidden" r:id="rId4"/>
    <sheet xmlns:r="http://schemas.openxmlformats.org/officeDocument/2006/relationships" name="Admin 3 info" sheetId="5" state="visible" r:id="rId5"/>
    <sheet xmlns:r="http://schemas.openxmlformats.org/officeDocument/2006/relationships" name="Admin 2 info1" sheetId="6" state="visible" r:id="rId6"/>
    <sheet xmlns:r="http://schemas.openxmlformats.org/officeDocument/2006/relationships" name="Admin 2 info" sheetId="7" state="visible" r:id="rId7"/>
  </sheets>
  <definedNames>
    <definedName name="_xlnm._FilterDatabase" localSheetId="0" hidden="1">'survey'!$A$3:$XEZ$209</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6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70C0"/>
      <sz val="12"/>
      <scheme val="minor"/>
    </font>
    <font>
      <name val="Calibri"/>
      <family val="2"/>
      <b val="1"/>
      <color rgb="FF000000"/>
      <sz val="11"/>
    </font>
    <font>
      <name val="Calibri"/>
      <family val="2"/>
      <color rgb="FF000000"/>
      <sz val="11"/>
    </font>
    <font>
      <name val="Calibri"/>
      <family val="2"/>
      <sz val="11"/>
    </font>
    <font>
      <name val="Calibri"/>
      <family val="2"/>
      <i val="1"/>
      <color theme="0" tint="-0.499984740745262"/>
      <sz val="11"/>
      <scheme val="minor"/>
    </font>
    <font>
      <name val="Calibri"/>
      <family val="2"/>
      <color theme="0" tint="-0.499984740745262"/>
      <sz val="11"/>
      <scheme val="minor"/>
    </font>
    <font>
      <name val="Calibri"/>
      <family val="2"/>
      <i val="1"/>
      <color rgb="FF000000"/>
      <sz val="11"/>
    </font>
    <font>
      <name val="Calibri"/>
      <family val="2"/>
      <i val="1"/>
      <sz val="11"/>
    </font>
    <font>
      <name val="Calibri"/>
      <family val="2"/>
      <b val="1"/>
      <sz val="11"/>
    </font>
    <font>
      <name val="Calibri"/>
      <family val="2"/>
      <b val="1"/>
      <sz val="11"/>
      <scheme val="minor"/>
    </font>
    <font>
      <name val="Calibri (Body)"/>
      <color theme="9" tint="-0.499984740745262"/>
      <sz val="12"/>
    </font>
    <font>
      <name val="Calibri (Body)"/>
      <b val="1"/>
      <color theme="9" tint="-0.499984740745262"/>
      <sz val="12"/>
    </font>
    <font>
      <name val="Calibri"/>
      <family val="2"/>
      <b val="1"/>
      <color theme="1"/>
      <sz val="14"/>
      <scheme val="minor"/>
    </font>
    <font>
      <name val="Calibri"/>
      <family val="2"/>
      <color theme="1"/>
      <sz val="14"/>
      <scheme val="minor"/>
    </font>
    <font>
      <name val="Calibri"/>
      <family val="2"/>
      <b val="1"/>
      <sz val="14"/>
      <scheme val="minor"/>
    </font>
    <font>
      <name val="Calibri (Body)"/>
      <color theme="1"/>
      <sz val="14"/>
    </font>
    <font>
      <name val="Calibri"/>
      <family val="2"/>
      <b val="1"/>
      <sz val="11"/>
    </font>
    <font>
      <name val="Calibri"/>
      <family val="2"/>
      <color rgb="FF000000"/>
      <sz val="11"/>
      <scheme val="minor"/>
    </font>
    <font>
      <name val="Calibri"/>
      <family val="2"/>
      <sz val="14"/>
      <scheme val="minor"/>
    </font>
    <font>
      <name val="Calibri"/>
      <family val="2"/>
      <sz val="14"/>
    </font>
    <font>
      <name val="Calibri"/>
      <family val="2"/>
      <b val="1"/>
      <sz val="14"/>
    </font>
    <font>
      <name val="Calibri"/>
      <family val="2"/>
      <i val="1"/>
      <sz val="14"/>
      <scheme val="minor"/>
    </font>
    <font>
      <name val="Calibri (Body)"/>
      <color theme="9" tint="-0.499984740745262"/>
      <sz val="14"/>
    </font>
    <font>
      <name val="Calibri"/>
      <family val="2"/>
      <b val="1"/>
      <color rgb="FF0070C0"/>
      <sz val="14"/>
      <scheme val="minor"/>
    </font>
    <font>
      <name val="Calibri"/>
      <family val="2"/>
      <b val="1"/>
      <i val="1"/>
      <sz val="14"/>
      <scheme val="minor"/>
    </font>
    <font>
      <name val="Calibri"/>
      <family val="2"/>
      <color rgb="FF000000"/>
      <sz val="14"/>
      <scheme val="minor"/>
    </font>
    <font>
      <name val="Calibri"/>
      <family val="2"/>
      <b val="1"/>
      <i val="1"/>
      <color theme="1"/>
      <sz val="14"/>
      <scheme val="minor"/>
    </font>
    <font>
      <name val="Calibri"/>
      <family val="2"/>
      <b val="1"/>
      <color rgb="FFFF0000"/>
      <sz val="14"/>
      <scheme val="minor"/>
    </font>
    <font>
      <name val="Calibri (Body)"/>
      <b val="1"/>
      <color rgb="FF0070C0"/>
      <sz val="14"/>
    </font>
    <font>
      <name val="Myanmar Text"/>
      <family val="2"/>
      <color theme="1"/>
      <sz val="14"/>
    </font>
    <font>
      <name val="Calibri"/>
      <family val="2"/>
      <color theme="1"/>
      <sz val="14"/>
    </font>
    <font>
      <name val="Calibri"/>
      <family val="2"/>
      <b val="1"/>
      <color theme="1"/>
      <sz val="12"/>
      <scheme val="minor"/>
    </font>
    <font>
      <name val="Calibri"/>
      <family val="2"/>
      <b val="1"/>
      <sz val="11"/>
    </font>
    <font>
      <name val="Calibri"/>
      <family val="2"/>
      <color rgb="FFFF0000"/>
      <sz val="14"/>
      <scheme val="minor"/>
    </font>
    <font>
      <name val="Calibri"/>
      <family val="2"/>
      <b val="1"/>
      <color theme="1"/>
      <sz val="11"/>
      <scheme val="minor"/>
    </font>
    <font>
      <name val="Calibri"/>
      <family val="2"/>
      <sz val="8"/>
      <scheme val="minor"/>
    </font>
    <font>
      <name val="Calibri (Body)"/>
      <b val="1"/>
      <color rgb="FF7030A0"/>
      <sz val="14"/>
    </font>
    <font>
      <name val="Calibri"/>
      <family val="2"/>
      <color rgb="FFFF0000"/>
      <sz val="11"/>
      <scheme val="minor"/>
    </font>
    <font>
      <name val="Calibri"/>
      <family val="2"/>
      <b val="1"/>
      <color rgb="FF0099CC"/>
      <sz val="14"/>
      <scheme val="minor"/>
    </font>
    <font>
      <name val="Calibri (Body)"/>
      <sz val="14"/>
    </font>
    <font>
      <name val="Calibri (Body)"/>
      <sz val="12"/>
    </font>
    <font>
      <name val="Calibri"/>
      <family val="2"/>
      <strike val="1"/>
      <sz val="14"/>
      <scheme val="minor"/>
    </font>
    <font>
      <name val="Calibri"/>
      <family val="2"/>
      <color rgb="FFFF0000"/>
      <sz val="14"/>
    </font>
    <font>
      <name val="Calibri"/>
      <family val="2"/>
      <b val="1"/>
      <color rgb="FFFF0000"/>
      <sz val="14"/>
    </font>
    <font>
      <name val="Calibri"/>
      <family val="2"/>
      <color rgb="FFFF0000"/>
      <sz val="12"/>
    </font>
    <font>
      <name val="Calibri"/>
      <family val="2"/>
      <b val="1"/>
      <color rgb="FFFF0000"/>
      <sz val="12"/>
    </font>
    <font>
      <b val="1"/>
    </font>
  </fonts>
  <fills count="12">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A5A5A5"/>
      </patternFill>
    </fill>
    <fill>
      <patternFill patternType="solid">
        <fgColor rgb="FFF6DFDC"/>
        <bgColor indexed="64"/>
      </patternFill>
    </fill>
    <fill>
      <patternFill patternType="solid">
        <fgColor theme="5" tint="0.7999816888943144"/>
        <bgColor indexed="64"/>
      </patternFill>
    </fill>
    <fill>
      <patternFill patternType="solid">
        <fgColor rgb="FFFFFF00"/>
        <bgColor indexed="64"/>
      </patternFill>
    </fill>
    <fill>
      <patternFill patternType="solid">
        <fgColor rgb="FF0099CC"/>
        <bgColor indexed="64"/>
      </patternFill>
    </fill>
    <fill>
      <patternFill patternType="solid">
        <fgColor theme="7" tint="0.3999755851924192"/>
        <bgColor indexed="64"/>
      </patternFill>
    </fill>
    <fill>
      <patternFill patternType="solid">
        <fgColor rgb="FFFFFF00"/>
        <bgColor rgb="FFFFFF00"/>
      </patternFill>
    </fill>
  </fills>
  <borders count="9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auto="1"/>
      </left>
      <right style="medium">
        <color indexed="64"/>
      </right>
      <top/>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indexed="64"/>
      </bottom>
      <diagonal/>
    </border>
    <border>
      <left/>
      <right style="thin">
        <color rgb="FF000000"/>
      </right>
      <top style="thin">
        <color rgb="FF000000"/>
      </top>
      <bottom/>
      <diagonal/>
    </border>
    <border>
      <left style="thin">
        <color auto="1"/>
      </left>
      <right/>
      <top/>
      <bottom style="medium">
        <color indexed="64"/>
      </bottom>
      <diagonal/>
    </border>
    <border>
      <left style="thin">
        <color auto="1"/>
      </left>
      <right style="medium">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theme="1"/>
      </left>
      <right/>
      <top/>
      <bottom style="medium">
        <color indexed="64"/>
      </bottom>
      <diagonal/>
    </border>
    <border>
      <left/>
      <right style="thin">
        <color theme="1"/>
      </right>
      <top/>
      <bottom style="medium">
        <color indexed="64"/>
      </bottom>
      <diagonal/>
    </border>
    <border>
      <left style="medium">
        <color indexed="64"/>
      </left>
      <right style="thin">
        <color auto="1"/>
      </right>
      <top/>
      <bottom/>
      <diagonal/>
    </border>
    <border>
      <left/>
      <right style="thin">
        <color theme="1"/>
      </right>
      <top style="thin">
        <color theme="1"/>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style="thin"/>
      <right style="thin"/>
      <top style="thin"/>
      <bottom style="thin"/>
    </border>
  </borders>
  <cellStyleXfs count="22">
    <xf numFmtId="0" fontId="5"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5" borderId="24"/>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5" fillId="0" borderId="0"/>
    <xf numFmtId="0" fontId="5" fillId="0" borderId="0"/>
    <xf numFmtId="9" fontId="5" fillId="0" borderId="0"/>
    <xf numFmtId="9" fontId="5" fillId="0" borderId="0"/>
    <xf numFmtId="0" fontId="6" fillId="0" borderId="0"/>
    <xf numFmtId="0" fontId="5" fillId="0" borderId="0"/>
  </cellStyleXfs>
  <cellXfs count="728">
    <xf numFmtId="0" fontId="0" fillId="0" borderId="0" pivotButton="0" quotePrefix="0" xfId="0"/>
    <xf numFmtId="0" fontId="0" fillId="0" borderId="25" pivotButton="0" quotePrefix="0" xfId="0"/>
    <xf numFmtId="0" fontId="8" fillId="0" borderId="25" applyAlignment="1" pivotButton="0" quotePrefix="0" xfId="0">
      <alignment horizontal="center" vertical="center"/>
    </xf>
    <xf numFmtId="0" fontId="0" fillId="0" borderId="26" pivotButton="0" quotePrefix="0" xfId="0"/>
    <xf numFmtId="0" fontId="8" fillId="0" borderId="28" applyAlignment="1" pivotButton="0" quotePrefix="0" xfId="0">
      <alignment horizontal="center" vertical="center"/>
    </xf>
    <xf numFmtId="0" fontId="0" fillId="0" borderId="28" pivotButton="0" quotePrefix="0" xfId="0"/>
    <xf numFmtId="0" fontId="8" fillId="0" borderId="29" applyAlignment="1" pivotButton="0" quotePrefix="0" xfId="0">
      <alignment horizontal="center" vertical="center"/>
    </xf>
    <xf numFmtId="0" fontId="0" fillId="0" borderId="29" pivotButton="0" quotePrefix="0" xfId="0"/>
    <xf numFmtId="0" fontId="8" fillId="0" borderId="1" pivotButton="0" quotePrefix="0" xfId="0"/>
    <xf numFmtId="0" fontId="18" fillId="0" borderId="41" applyAlignment="1" pivotButton="0" quotePrefix="0" xfId="0">
      <alignment horizontal="center"/>
    </xf>
    <xf numFmtId="0" fontId="22" fillId="0" borderId="1" pivotButton="0" quotePrefix="0" xfId="0"/>
    <xf numFmtId="0" fontId="11" fillId="7" borderId="1" applyAlignment="1" applyProtection="1" pivotButton="0" quotePrefix="0" xfId="7">
      <alignment horizontal="center" vertical="center"/>
      <protection locked="0" hidden="0"/>
    </xf>
    <xf numFmtId="0" fontId="17" fillId="0" borderId="41" applyAlignment="1" pivotButton="0" quotePrefix="0" xfId="0">
      <alignment horizontal="center" wrapText="1"/>
    </xf>
    <xf numFmtId="1" fontId="0" fillId="0" borderId="0" pivotButton="0" quotePrefix="0" xfId="0"/>
    <xf numFmtId="9" fontId="0" fillId="0" borderId="0" pivotButton="0" quotePrefix="0" xfId="11"/>
    <xf numFmtId="0" fontId="4" fillId="0" borderId="25" pivotButton="0" quotePrefix="0" xfId="10"/>
    <xf numFmtId="0" fontId="4" fillId="0" borderId="28" pivotButton="0" quotePrefix="0" xfId="10"/>
    <xf numFmtId="0" fontId="4" fillId="0" borderId="26" pivotButton="0" quotePrefix="0" xfId="10"/>
    <xf numFmtId="0" fontId="4" fillId="0" borderId="57" pivotButton="0" quotePrefix="0" xfId="10"/>
    <xf numFmtId="0" fontId="14" fillId="0" borderId="5" applyAlignment="1" pivotButton="0" quotePrefix="0" xfId="10">
      <alignment horizontal="center"/>
    </xf>
    <xf numFmtId="0" fontId="14" fillId="0" borderId="4" applyAlignment="1" pivotButton="0" quotePrefix="0" xfId="10">
      <alignment horizontal="center"/>
    </xf>
    <xf numFmtId="0" fontId="14" fillId="0" borderId="36" applyAlignment="1" pivotButton="0" quotePrefix="0" xfId="10">
      <alignment horizontal="center"/>
    </xf>
    <xf numFmtId="0" fontId="4" fillId="0" borderId="27" pivotButton="0" quotePrefix="0" xfId="10"/>
    <xf numFmtId="0" fontId="15" fillId="0" borderId="46" applyAlignment="1" pivotButton="0" quotePrefix="0" xfId="10">
      <alignment vertical="center"/>
    </xf>
    <xf numFmtId="0" fontId="15" fillId="0" borderId="49" applyAlignment="1" pivotButton="0" quotePrefix="0" xfId="10">
      <alignment horizontal="center" vertical="center" wrapText="1"/>
    </xf>
    <xf numFmtId="0" fontId="15" fillId="0" borderId="8" applyAlignment="1" pivotButton="0" quotePrefix="0" xfId="10">
      <alignment vertical="center"/>
    </xf>
    <xf numFmtId="0" fontId="15" fillId="0" borderId="43" applyAlignment="1" pivotButton="0" quotePrefix="0" xfId="10">
      <alignment horizontal="center" vertical="center" wrapText="1"/>
    </xf>
    <xf numFmtId="0" fontId="16" fillId="0" borderId="43" applyAlignment="1" pivotButton="0" quotePrefix="0" xfId="10">
      <alignment horizontal="center" vertical="center" wrapText="1"/>
    </xf>
    <xf numFmtId="0" fontId="16" fillId="0" borderId="50" applyAlignment="1" pivotButton="0" quotePrefix="0" xfId="10">
      <alignment horizontal="center" vertical="center" wrapText="1"/>
    </xf>
    <xf numFmtId="0" fontId="15" fillId="0" borderId="7" applyAlignment="1" pivotButton="0" quotePrefix="0" xfId="10">
      <alignment vertical="center"/>
    </xf>
    <xf numFmtId="0" fontId="15" fillId="0" borderId="61" applyAlignment="1" pivotButton="0" quotePrefix="0" xfId="10">
      <alignment horizontal="center" vertical="center" wrapText="1"/>
    </xf>
    <xf numFmtId="0" fontId="19" fillId="0" borderId="8" applyAlignment="1" pivotButton="0" quotePrefix="0" xfId="10">
      <alignment vertical="center"/>
    </xf>
    <xf numFmtId="0" fontId="19" fillId="0" borderId="9" applyAlignment="1" pivotButton="0" quotePrefix="0" xfId="10">
      <alignment vertical="center"/>
    </xf>
    <xf numFmtId="0" fontId="4" fillId="0" borderId="31" applyAlignment="1" pivotButton="0" quotePrefix="0" xfId="10">
      <alignment wrapText="1"/>
    </xf>
    <xf numFmtId="0" fontId="15" fillId="0" borderId="58" applyAlignment="1" pivotButton="0" quotePrefix="0" xfId="10">
      <alignment vertical="center"/>
    </xf>
    <xf numFmtId="0" fontId="16" fillId="0" borderId="54" applyAlignment="1" pivotButton="0" quotePrefix="0" xfId="10">
      <alignment horizontal="center" vertical="center" wrapText="1"/>
    </xf>
    <xf numFmtId="0" fontId="19" fillId="0" borderId="7" applyAlignment="1" pivotButton="0" quotePrefix="0" xfId="10">
      <alignment horizontal="left" vertical="center" wrapText="1"/>
    </xf>
    <xf numFmtId="9" fontId="16" fillId="0" borderId="51" applyAlignment="1" pivotButton="0" quotePrefix="0" xfId="11">
      <alignment horizontal="center" vertical="center" wrapText="1"/>
    </xf>
    <xf numFmtId="0" fontId="19" fillId="0" borderId="8" applyAlignment="1" pivotButton="0" quotePrefix="0" xfId="10">
      <alignment horizontal="left" vertical="center" wrapText="1"/>
    </xf>
    <xf numFmtId="9" fontId="16" fillId="0" borderId="45" applyAlignment="1" pivotButton="0" quotePrefix="0" xfId="11">
      <alignment horizontal="center" vertical="center" wrapText="1"/>
    </xf>
    <xf numFmtId="0" fontId="19" fillId="0" borderId="9" applyAlignment="1" pivotButton="0" quotePrefix="0" xfId="10">
      <alignment horizontal="left" vertical="center" wrapText="1"/>
    </xf>
    <xf numFmtId="9" fontId="16" fillId="0" borderId="50" applyAlignment="1" pivotButton="0" quotePrefix="0" xfId="11">
      <alignment horizontal="center" vertical="center" wrapText="1"/>
    </xf>
    <xf numFmtId="0" fontId="4" fillId="0" borderId="29" pivotButton="0" quotePrefix="0" xfId="10"/>
    <xf numFmtId="0" fontId="4" fillId="0" borderId="28" applyAlignment="1" pivotButton="0" quotePrefix="0" xfId="10">
      <alignment horizontal="left" vertical="center"/>
    </xf>
    <xf numFmtId="0" fontId="14" fillId="0" borderId="42" applyAlignment="1" pivotButton="0" quotePrefix="0" xfId="10">
      <alignment horizontal="left" vertical="center"/>
    </xf>
    <xf numFmtId="0" fontId="15" fillId="0" borderId="48" applyAlignment="1" pivotButton="0" quotePrefix="0" xfId="10">
      <alignment horizontal="left" vertical="center" wrapText="1"/>
    </xf>
    <xf numFmtId="0" fontId="15" fillId="0" borderId="44" applyAlignment="1" pivotButton="0" quotePrefix="0" xfId="10">
      <alignment horizontal="left" vertical="center" wrapText="1"/>
    </xf>
    <xf numFmtId="0" fontId="16" fillId="0" borderId="44" applyAlignment="1" pivotButton="0" quotePrefix="0" xfId="10">
      <alignment horizontal="left" vertical="center" wrapText="1"/>
    </xf>
    <xf numFmtId="0" fontId="16" fillId="0" borderId="59" applyAlignment="1" pivotButton="0" quotePrefix="0" xfId="10">
      <alignment horizontal="left" vertical="center" wrapText="1"/>
    </xf>
    <xf numFmtId="0" fontId="15" fillId="0" borderId="60" applyAlignment="1" pivotButton="0" quotePrefix="0" xfId="10">
      <alignment horizontal="left" vertical="center" wrapText="1"/>
    </xf>
    <xf numFmtId="0" fontId="16" fillId="0" borderId="56" applyAlignment="1" pivotButton="0" quotePrefix="0" xfId="10">
      <alignment horizontal="left" vertical="center" wrapText="1"/>
    </xf>
    <xf numFmtId="0" fontId="20" fillId="0" borderId="3" applyAlignment="1" pivotButton="0" quotePrefix="0" xfId="10">
      <alignment horizontal="left" vertical="center" wrapText="1"/>
    </xf>
    <xf numFmtId="0" fontId="20" fillId="0" borderId="1" applyAlignment="1" pivotButton="0" quotePrefix="0" xfId="10">
      <alignment horizontal="left" vertical="center" wrapText="1"/>
    </xf>
    <xf numFmtId="0" fontId="20" fillId="0" borderId="11" applyAlignment="1" pivotButton="0" quotePrefix="0" xfId="10">
      <alignment horizontal="left" vertical="center" wrapText="1"/>
    </xf>
    <xf numFmtId="0" fontId="4" fillId="0" borderId="29" applyAlignment="1" pivotButton="0" quotePrefix="0" xfId="10">
      <alignment horizontal="left" vertical="center"/>
    </xf>
    <xf numFmtId="0" fontId="4" fillId="0" borderId="25" applyAlignment="1" pivotButton="0" quotePrefix="0" xfId="10">
      <alignment horizontal="left" vertical="center"/>
    </xf>
    <xf numFmtId="2" fontId="3" fillId="6" borderId="1" applyAlignment="1" applyProtection="1" pivotButton="0" quotePrefix="0" xfId="12">
      <alignment horizontal="center" vertical="center"/>
      <protection locked="0" hidden="0"/>
    </xf>
    <xf numFmtId="4" fontId="16" fillId="0" borderId="43" applyAlignment="1" pivotButton="0" quotePrefix="0" xfId="10">
      <alignment horizontal="center" vertical="center" wrapText="1"/>
    </xf>
    <xf numFmtId="0" fontId="16" fillId="4" borderId="0" applyAlignment="1" pivotButton="0" quotePrefix="0" xfId="10">
      <alignment wrapText="1"/>
    </xf>
    <xf numFmtId="0" fontId="9" fillId="0" borderId="0" applyAlignment="1" applyProtection="1" pivotButton="0" quotePrefix="0" xfId="0">
      <alignment horizontal="center" vertical="center"/>
      <protection locked="0" hidden="0"/>
    </xf>
    <xf numFmtId="0" fontId="9" fillId="0" borderId="0" applyProtection="1" pivotButton="0" quotePrefix="0" xfId="3">
      <protection locked="0" hidden="0"/>
    </xf>
    <xf numFmtId="0" fontId="9" fillId="0" borderId="0" applyAlignment="1" applyProtection="1" pivotButton="0" quotePrefix="0" xfId="3">
      <alignment vertical="center"/>
      <protection locked="0" hidden="0"/>
    </xf>
    <xf numFmtId="0" fontId="9" fillId="0" borderId="0" applyProtection="1" pivotButton="0" quotePrefix="0" xfId="0">
      <protection locked="0" hidden="0"/>
    </xf>
    <xf numFmtId="0" fontId="11" fillId="0" borderId="0" applyAlignment="1" applyProtection="1" pivotButton="0" quotePrefix="0" xfId="3">
      <alignment horizontal="center" vertical="center"/>
      <protection locked="0" hidden="0"/>
    </xf>
    <xf numFmtId="0" fontId="9" fillId="0" borderId="0" applyAlignment="1" applyProtection="1" pivotButton="0" quotePrefix="0" xfId="3">
      <alignment vertical="center" wrapText="1"/>
      <protection locked="0" hidden="0"/>
    </xf>
    <xf numFmtId="0" fontId="5" fillId="0" borderId="0" applyProtection="1" pivotButton="0" quotePrefix="0" xfId="0">
      <protection locked="0" hidden="0"/>
    </xf>
    <xf numFmtId="0" fontId="9" fillId="0" borderId="0" applyAlignment="1" applyProtection="1" pivotButton="0" quotePrefix="0" xfId="0">
      <alignment vertical="center" wrapText="1"/>
      <protection locked="0" hidden="0"/>
    </xf>
    <xf numFmtId="0" fontId="11" fillId="0" borderId="0" applyAlignment="1" applyProtection="1" pivotButton="0" quotePrefix="0" xfId="0">
      <alignment horizontal="center"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wrapText="1"/>
      <protection locked="0" hidden="0"/>
    </xf>
    <xf numFmtId="0" fontId="9" fillId="0" borderId="0" applyAlignment="1" applyProtection="1" pivotButton="0" quotePrefix="0" xfId="0">
      <alignment horizontal="center"/>
      <protection locked="0" hidden="0"/>
    </xf>
    <xf numFmtId="0" fontId="11" fillId="0" borderId="0" applyProtection="1" pivotButton="0" quotePrefix="0" xfId="0">
      <protection locked="0" hidden="0"/>
    </xf>
    <xf numFmtId="0" fontId="11" fillId="0" borderId="35" applyProtection="1" pivotButton="0" quotePrefix="0" xfId="0">
      <protection locked="0" hidden="0"/>
    </xf>
    <xf numFmtId="0" fontId="11" fillId="0" borderId="34" applyAlignment="1" applyProtection="1" pivotButton="0" quotePrefix="0" xfId="0">
      <alignment wrapText="1"/>
      <protection locked="0" hidden="0"/>
    </xf>
    <xf numFmtId="0" fontId="9" fillId="0" borderId="0" applyAlignment="1" applyProtection="1" pivotButton="0" quotePrefix="0" xfId="3">
      <alignment wrapText="1"/>
      <protection locked="0" hidden="0"/>
    </xf>
    <xf numFmtId="0" fontId="12" fillId="0" borderId="0" applyProtection="1" pivotButton="0" quotePrefix="0" xfId="3">
      <protection locked="0" hidden="0"/>
    </xf>
    <xf numFmtId="0" fontId="11"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wrapText="1"/>
      <protection locked="0" hidden="0"/>
    </xf>
    <xf numFmtId="0" fontId="24" fillId="0" borderId="0" applyAlignment="1" applyProtection="1" pivotButton="0" quotePrefix="0" xfId="3">
      <alignment horizontal="center" vertical="center" wrapText="1"/>
      <protection locked="0" hidden="0"/>
    </xf>
    <xf numFmtId="0" fontId="23" fillId="0" borderId="0" applyAlignment="1" applyProtection="1" pivotButton="0" quotePrefix="0" xfId="0">
      <alignment horizontal="center" vertical="center"/>
      <protection locked="0" hidden="0"/>
    </xf>
    <xf numFmtId="0" fontId="23" fillId="0" borderId="0" applyProtection="1" pivotButton="0" quotePrefix="0" xfId="0">
      <protection locked="0" hidden="0"/>
    </xf>
    <xf numFmtId="0" fontId="22" fillId="0" borderId="1" applyAlignment="1" pivotButton="0" quotePrefix="0" xfId="0">
      <alignment horizontal="center" vertical="center"/>
    </xf>
    <xf numFmtId="0" fontId="8" fillId="0" borderId="1" applyAlignment="1" pivotButton="0" quotePrefix="0" xfId="0">
      <alignment horizontal="center"/>
    </xf>
    <xf numFmtId="0" fontId="8" fillId="0" borderId="28" pivotButton="0" quotePrefix="0" xfId="0"/>
    <xf numFmtId="0" fontId="22" fillId="0" borderId="1" applyAlignment="1" pivotButton="0" quotePrefix="0" xfId="0">
      <alignment horizontal="center" vertical="center" wrapText="1"/>
    </xf>
    <xf numFmtId="0" fontId="8" fillId="0" borderId="29" pivotButton="0" quotePrefix="0" xfId="0"/>
    <xf numFmtId="0" fontId="8" fillId="0" borderId="25" pivotButton="0" quotePrefix="0" xfId="0"/>
    <xf numFmtId="0" fontId="16" fillId="0" borderId="59" applyAlignment="1" pivotButton="0" quotePrefix="0" xfId="12">
      <alignment vertical="center" wrapText="1"/>
    </xf>
    <xf numFmtId="0" fontId="15" fillId="0" borderId="8" applyAlignment="1" pivotButton="0" quotePrefix="0" xfId="12">
      <alignment horizontal="left" vertical="center"/>
    </xf>
    <xf numFmtId="0" fontId="16" fillId="0" borderId="44" applyAlignment="1" pivotButton="0" quotePrefix="0" xfId="10">
      <alignment vertical="center" wrapText="1"/>
    </xf>
    <xf numFmtId="4" fontId="16" fillId="0" borderId="43" applyAlignment="1" pivotButton="0" quotePrefix="0" xfId="12">
      <alignment horizontal="center" vertical="center" wrapText="1"/>
    </xf>
    <xf numFmtId="0" fontId="16" fillId="0" borderId="44" applyAlignment="1" pivotButton="0" quotePrefix="0" xfId="12">
      <alignment vertical="center" wrapText="1"/>
    </xf>
    <xf numFmtId="0" fontId="16" fillId="0" borderId="0" applyAlignment="1" applyProtection="1" pivotButton="0" quotePrefix="0" xfId="0">
      <alignment horizontal="right" vertical="center"/>
      <protection locked="0" hidden="0"/>
    </xf>
    <xf numFmtId="9" fontId="16" fillId="0" borderId="0" applyAlignment="1" applyProtection="1" pivotButton="0" quotePrefix="0" xfId="11">
      <alignment horizontal="right" vertical="center"/>
      <protection locked="0" hidden="0"/>
    </xf>
    <xf numFmtId="2" fontId="21" fillId="0" borderId="13" applyAlignment="1" applyProtection="1" pivotButton="0" quotePrefix="0" xfId="0">
      <alignment horizontal="right" vertical="center"/>
      <protection locked="0" hidden="0"/>
    </xf>
    <xf numFmtId="9" fontId="21" fillId="0" borderId="35" applyAlignment="1" applyProtection="1" pivotButton="0" quotePrefix="0" xfId="11">
      <alignment horizontal="right" vertical="center"/>
      <protection locked="0" hidden="0"/>
    </xf>
    <xf numFmtId="0" fontId="21" fillId="0" borderId="35" applyAlignment="1" applyProtection="1" pivotButton="0" quotePrefix="0" xfId="0">
      <alignment horizontal="right" vertical="center"/>
      <protection locked="0" hidden="0"/>
    </xf>
    <xf numFmtId="2" fontId="21" fillId="0" borderId="67" applyAlignment="1" applyProtection="1" pivotButton="0" quotePrefix="0" xfId="0">
      <alignment horizontal="right" vertical="center"/>
      <protection locked="0" hidden="0"/>
    </xf>
    <xf numFmtId="9" fontId="21" fillId="0" borderId="68" applyAlignment="1" applyProtection="1" pivotButton="0" quotePrefix="0" xfId="11">
      <alignment horizontal="right" vertical="center"/>
      <protection locked="0" hidden="0"/>
    </xf>
    <xf numFmtId="0" fontId="21" fillId="0" borderId="68" applyAlignment="1" applyProtection="1" pivotButton="0" quotePrefix="0" xfId="0">
      <alignment horizontal="right" vertical="center"/>
      <protection locked="0" hidden="0"/>
    </xf>
    <xf numFmtId="0" fontId="11" fillId="0" borderId="68" applyProtection="1" pivotButton="0" quotePrefix="0" xfId="0">
      <protection locked="0" hidden="0"/>
    </xf>
    <xf numFmtId="0" fontId="11" fillId="0" borderId="69" applyAlignment="1" applyProtection="1" pivotButton="0" quotePrefix="0" xfId="0">
      <alignment wrapText="1"/>
      <protection locked="0" hidden="0"/>
    </xf>
    <xf numFmtId="2" fontId="21" fillId="0" borderId="36" applyAlignment="1" applyProtection="1" pivotButton="0" quotePrefix="0" xfId="0">
      <alignment horizontal="right" vertical="center"/>
      <protection locked="0" hidden="0"/>
    </xf>
    <xf numFmtId="0" fontId="23" fillId="0" borderId="0" applyAlignment="1" applyProtection="1" pivotButton="0" quotePrefix="0" xfId="0">
      <alignment vertical="center"/>
      <protection locked="0" hidden="0"/>
    </xf>
    <xf numFmtId="0" fontId="11" fillId="3" borderId="31" applyAlignment="1" applyProtection="1" pivotButton="0" quotePrefix="0" xfId="0">
      <alignment horizontal="center" vertical="center" wrapText="1"/>
      <protection locked="0" hidden="0"/>
    </xf>
    <xf numFmtId="0" fontId="11" fillId="0" borderId="1" applyAlignment="1" pivotButton="0" quotePrefix="0" xfId="7">
      <alignment horizontal="center" vertical="center"/>
    </xf>
    <xf numFmtId="2" fontId="16" fillId="0" borderId="54" applyAlignment="1" pivotButton="0" quotePrefix="0" xfId="10">
      <alignment horizontal="center" vertical="center" wrapText="1"/>
    </xf>
    <xf numFmtId="0" fontId="19" fillId="0" borderId="58" applyAlignment="1" pivotButton="0" quotePrefix="0" xfId="10">
      <alignment vertical="center"/>
    </xf>
    <xf numFmtId="0" fontId="2" fillId="6" borderId="47" applyAlignment="1" applyProtection="1" pivotButton="0" quotePrefix="0" xfId="10">
      <alignment horizontal="center" vertical="center"/>
      <protection locked="0" hidden="0"/>
    </xf>
    <xf numFmtId="0" fontId="2" fillId="6" borderId="1" applyAlignment="1" applyProtection="1" pivotButton="0" quotePrefix="0" xfId="10">
      <alignment horizontal="center" vertical="center"/>
      <protection locked="0" hidden="0"/>
    </xf>
    <xf numFmtId="0" fontId="2" fillId="0" borderId="25" pivotButton="0" quotePrefix="0" xfId="10"/>
    <xf numFmtId="2" fontId="2" fillId="6" borderId="14" applyAlignment="1" applyProtection="1" pivotButton="0" quotePrefix="0" xfId="10">
      <alignment horizontal="center" vertical="center"/>
      <protection locked="0" hidden="0"/>
    </xf>
    <xf numFmtId="0" fontId="2" fillId="6" borderId="3" applyAlignment="1" applyProtection="1" pivotButton="0" quotePrefix="0" xfId="10">
      <alignment horizontal="center" vertical="center"/>
      <protection locked="0" hidden="0"/>
    </xf>
    <xf numFmtId="4" fontId="2" fillId="6" borderId="1" applyAlignment="1" applyProtection="1" pivotButton="0" quotePrefix="0" xfId="10">
      <alignment horizontal="center" vertical="center"/>
      <protection locked="0" hidden="0"/>
    </xf>
    <xf numFmtId="0" fontId="2" fillId="6" borderId="11" applyAlignment="1" applyProtection="1" pivotButton="0" quotePrefix="0" xfId="10">
      <alignment horizontal="center" vertical="center"/>
      <protection locked="0" hidden="0"/>
    </xf>
    <xf numFmtId="0" fontId="2" fillId="0" borderId="14" applyAlignment="1" pivotButton="0" quotePrefix="0" xfId="10">
      <alignment horizontal="center" vertical="center"/>
    </xf>
    <xf numFmtId="164" fontId="16" fillId="0" borderId="0" applyAlignment="1" applyProtection="1" pivotButton="0" quotePrefix="0" xfId="0">
      <alignment horizontal="right" vertical="center"/>
      <protection locked="0" hidden="0"/>
    </xf>
    <xf numFmtId="165" fontId="2" fillId="6" borderId="3" applyAlignment="1" applyProtection="1" pivotButton="0" quotePrefix="0" xfId="10">
      <alignment horizontal="center" vertical="center"/>
      <protection locked="0" hidden="0"/>
    </xf>
    <xf numFmtId="165" fontId="2" fillId="6" borderId="1" applyAlignment="1" applyProtection="1" pivotButton="0" quotePrefix="0" xfId="10">
      <alignment horizontal="center" vertical="center"/>
      <protection locked="0" hidden="0"/>
    </xf>
    <xf numFmtId="165" fontId="2" fillId="6" borderId="11" applyAlignment="1" applyProtection="1" pivotButton="0" quotePrefix="0" xfId="10">
      <alignment horizontal="center" vertical="center"/>
      <protection locked="0" hidden="0"/>
    </xf>
    <xf numFmtId="0" fontId="29" fillId="0" borderId="73" applyAlignment="1" pivotButton="0" quotePrefix="0" xfId="0">
      <alignment horizontal="center" vertical="top"/>
    </xf>
    <xf numFmtId="0" fontId="30" fillId="0" borderId="0" pivotButton="0" quotePrefix="0" xfId="0"/>
    <xf numFmtId="0" fontId="32" fillId="0" borderId="0" applyAlignment="1" applyProtection="1" pivotButton="0" quotePrefix="0" xfId="0">
      <alignment horizontal="center" vertical="center"/>
      <protection locked="0" hidden="0"/>
    </xf>
    <xf numFmtId="9" fontId="32" fillId="0" borderId="0" applyAlignment="1" applyProtection="1" pivotButton="0" quotePrefix="0" xfId="11">
      <alignment horizontal="center" vertical="center"/>
      <protection locked="0" hidden="0"/>
    </xf>
    <xf numFmtId="0" fontId="27" fillId="0" borderId="10" applyAlignment="1" pivotButton="0" quotePrefix="0" xfId="2">
      <alignment horizontal="center" vertical="center" wrapText="1"/>
    </xf>
    <xf numFmtId="0" fontId="33" fillId="3" borderId="4" applyAlignment="1" pivotButton="0" quotePrefix="0" xfId="2">
      <alignment horizontal="center" vertical="center" wrapText="1"/>
    </xf>
    <xf numFmtId="0" fontId="33" fillId="3" borderId="36" applyAlignment="1" pivotButton="0" quotePrefix="0" xfId="2">
      <alignment horizontal="center" vertical="center" wrapText="1"/>
    </xf>
    <xf numFmtId="164" fontId="32" fillId="0" borderId="0" applyAlignment="1" applyProtection="1" pivotButton="0" quotePrefix="0" xfId="0">
      <alignment horizontal="center" vertical="center"/>
      <protection locked="0" hidden="0"/>
    </xf>
    <xf numFmtId="0" fontId="31" fillId="0" borderId="3" applyAlignment="1" pivotButton="0" quotePrefix="0" xfId="14">
      <alignment horizontal="center" vertical="center" wrapText="1"/>
    </xf>
    <xf numFmtId="0" fontId="31" fillId="0" borderId="3" applyAlignment="1" pivotButton="0" quotePrefix="0" xfId="3">
      <alignment horizontal="left" vertical="center" wrapText="1"/>
    </xf>
    <xf numFmtId="0" fontId="31" fillId="0" borderId="3" applyAlignment="1" pivotButton="0" quotePrefix="0" xfId="2">
      <alignment horizontal="center" vertical="center" wrapText="1"/>
    </xf>
    <xf numFmtId="0" fontId="31" fillId="0" borderId="19" applyAlignment="1" pivotButton="0" quotePrefix="0" xfId="3">
      <alignment horizontal="left" vertical="center" wrapText="1"/>
    </xf>
    <xf numFmtId="0" fontId="31" fillId="0" borderId="19" applyAlignment="1" pivotButton="0" quotePrefix="0" xfId="3">
      <alignment horizontal="center" vertical="center" wrapText="1"/>
    </xf>
    <xf numFmtId="0" fontId="31" fillId="0" borderId="19" applyAlignment="1" applyProtection="1" pivotButton="0" quotePrefix="0" xfId="3">
      <alignment horizontal="center" vertical="center" wrapText="1"/>
      <protection locked="0" hidden="0"/>
    </xf>
    <xf numFmtId="0" fontId="31" fillId="0" borderId="12" applyAlignment="1" applyProtection="1" pivotButton="0" quotePrefix="0" xfId="3">
      <alignment horizontal="left" vertical="center" wrapText="1"/>
      <protection locked="0" hidden="0"/>
    </xf>
    <xf numFmtId="0" fontId="31" fillId="0" borderId="38" applyAlignment="1" applyProtection="1" pivotButton="0" quotePrefix="0" xfId="3">
      <alignment horizontal="left" vertical="center" wrapText="1"/>
      <protection locked="0" hidden="0"/>
    </xf>
    <xf numFmtId="0" fontId="31" fillId="0" borderId="3" applyAlignment="1" pivotButton="0" quotePrefix="0" xfId="0">
      <alignment horizontal="center" vertical="center" wrapText="1"/>
    </xf>
    <xf numFmtId="0" fontId="31" fillId="0" borderId="1" applyAlignment="1" pivotButton="0" quotePrefix="0" xfId="3">
      <alignment horizontal="left" vertical="center" wrapText="1"/>
    </xf>
    <xf numFmtId="0" fontId="31" fillId="0" borderId="53" applyAlignment="1" applyProtection="1" pivotButton="0" quotePrefix="0" xfId="3">
      <alignment horizontal="left" vertical="center" wrapText="1"/>
      <protection locked="0" hidden="0"/>
    </xf>
    <xf numFmtId="0" fontId="31" fillId="0" borderId="3" applyAlignment="1" applyProtection="1" pivotButton="0" quotePrefix="0" xfId="0">
      <alignment horizontal="center" vertical="center" wrapText="1"/>
      <protection locked="0" hidden="0"/>
    </xf>
    <xf numFmtId="0" fontId="31" fillId="0" borderId="1" applyAlignment="1" applyProtection="1" pivotButton="0" quotePrefix="0" xfId="3">
      <alignment horizontal="left" vertical="center" wrapText="1"/>
      <protection locked="0" hidden="0"/>
    </xf>
    <xf numFmtId="0" fontId="31" fillId="0" borderId="3" applyAlignment="1" applyProtection="1" pivotButton="0" quotePrefix="0" xfId="2">
      <alignment horizontal="center" vertical="center" wrapText="1"/>
      <protection locked="0" hidden="0"/>
    </xf>
    <xf numFmtId="0" fontId="31" fillId="0" borderId="19" applyAlignment="1" applyProtection="1" pivotButton="0" quotePrefix="0" xfId="3">
      <alignment horizontal="left" vertical="center" wrapText="1"/>
      <protection locked="0" hidden="0"/>
    </xf>
    <xf numFmtId="0" fontId="31" fillId="0" borderId="1" applyAlignment="1" pivotButton="0" quotePrefix="0" xfId="2">
      <alignment horizontal="center" vertical="center" wrapText="1"/>
    </xf>
    <xf numFmtId="0" fontId="31" fillId="0" borderId="1" applyAlignment="1" pivotButton="0" quotePrefix="0" xfId="3">
      <alignment horizontal="center" vertical="center" wrapText="1"/>
    </xf>
    <xf numFmtId="0" fontId="31" fillId="0" borderId="16" applyAlignment="1" pivotButton="0" quotePrefix="0" xfId="3">
      <alignment horizontal="left" vertical="center" wrapText="1"/>
    </xf>
    <xf numFmtId="0" fontId="31" fillId="0" borderId="16" applyAlignment="1" pivotButton="0" quotePrefix="0" xfId="3">
      <alignment horizontal="center" vertical="center" wrapText="1"/>
    </xf>
    <xf numFmtId="0" fontId="31" fillId="0" borderId="16" applyAlignment="1" applyProtection="1" pivotButton="0" quotePrefix="0" xfId="3">
      <alignment horizontal="center" vertical="center" wrapText="1"/>
      <protection locked="0" hidden="0"/>
    </xf>
    <xf numFmtId="0" fontId="31" fillId="0" borderId="10" applyAlignment="1" applyProtection="1" pivotButton="0" quotePrefix="0" xfId="3">
      <alignment horizontal="left" vertical="center" wrapText="1"/>
      <protection locked="0" hidden="0"/>
    </xf>
    <xf numFmtId="0" fontId="31" fillId="0" borderId="39" applyAlignment="1" applyProtection="1" pivotButton="0" quotePrefix="0" xfId="3">
      <alignment horizontal="left" vertical="center" wrapText="1"/>
      <protection locked="0" hidden="0"/>
    </xf>
    <xf numFmtId="0" fontId="31" fillId="0" borderId="1" applyAlignment="1" pivotButton="0" quotePrefix="0" xfId="5">
      <alignment horizontal="left" vertical="center" wrapText="1"/>
    </xf>
    <xf numFmtId="0" fontId="31" fillId="0" borderId="16" applyAlignment="1" pivotButton="0" quotePrefix="0" xfId="5">
      <alignment horizontal="left" vertical="center" wrapText="1"/>
    </xf>
    <xf numFmtId="0" fontId="31" fillId="0" borderId="16" applyAlignment="1" pivotButton="0" quotePrefix="0" xfId="5">
      <alignment horizontal="center" vertical="center" wrapText="1"/>
    </xf>
    <xf numFmtId="0" fontId="31" fillId="0" borderId="16" applyAlignment="1" applyProtection="1" pivotButton="0" quotePrefix="0" xfId="5">
      <alignment horizontal="center" vertical="center" wrapText="1"/>
      <protection locked="0" hidden="0"/>
    </xf>
    <xf numFmtId="0" fontId="31" fillId="0" borderId="10" applyAlignment="1" applyProtection="1" pivotButton="0" quotePrefix="0" xfId="5">
      <alignment horizontal="left" vertical="center" wrapText="1"/>
      <protection locked="0" hidden="0"/>
    </xf>
    <xf numFmtId="0" fontId="31" fillId="0" borderId="39" applyAlignment="1" applyProtection="1" pivotButton="0" quotePrefix="0" xfId="5">
      <alignment horizontal="left" vertical="center" wrapText="1"/>
      <protection locked="0" hidden="0"/>
    </xf>
    <xf numFmtId="0" fontId="26" fillId="0" borderId="52" applyAlignment="1" pivotButton="0" quotePrefix="0" xfId="3">
      <alignment horizontal="left" vertical="center" wrapText="1"/>
    </xf>
    <xf numFmtId="0" fontId="34" fillId="0" borderId="16" applyAlignment="1" pivotButton="0" quotePrefix="0" xfId="3">
      <alignment horizontal="left" vertical="center" wrapText="1"/>
    </xf>
    <xf numFmtId="0" fontId="34" fillId="0" borderId="16" applyAlignment="1" applyProtection="1" pivotButton="0" quotePrefix="0" xfId="3">
      <alignment horizontal="left" vertical="center" wrapText="1"/>
      <protection locked="0" hidden="0"/>
    </xf>
    <xf numFmtId="0" fontId="34" fillId="8" borderId="39" applyAlignment="1" applyProtection="1" pivotButton="0" quotePrefix="0" xfId="3">
      <alignment horizontal="left" vertical="center" wrapText="1"/>
      <protection locked="0" hidden="0"/>
    </xf>
    <xf numFmtId="0" fontId="31" fillId="0" borderId="1" applyAlignment="1" applyProtection="1" pivotButton="0" quotePrefix="0" xfId="0">
      <alignment horizontal="left" vertical="center" wrapText="1"/>
      <protection locked="0" hidden="0"/>
    </xf>
    <xf numFmtId="0" fontId="31" fillId="0" borderId="16" applyAlignment="1" applyProtection="1" pivotButton="0" quotePrefix="0" xfId="3">
      <alignment horizontal="left" vertical="center" wrapText="1"/>
      <protection locked="0" hidden="0"/>
    </xf>
    <xf numFmtId="0" fontId="31" fillId="0" borderId="14" applyAlignment="1" pivotButton="0" quotePrefix="0" xfId="0">
      <alignment horizontal="center" vertical="center" wrapText="1"/>
    </xf>
    <xf numFmtId="0" fontId="31" fillId="0" borderId="11" applyAlignment="1" pivotButton="0" quotePrefix="0" xfId="3">
      <alignment horizontal="left" vertical="center" wrapText="1"/>
    </xf>
    <xf numFmtId="0" fontId="31" fillId="0" borderId="11" applyAlignment="1" pivotButton="0" quotePrefix="0" xfId="2">
      <alignment horizontal="center" vertical="center" wrapText="1"/>
    </xf>
    <xf numFmtId="0" fontId="31" fillId="0" borderId="11" applyAlignment="1" pivotButton="0" quotePrefix="0" xfId="3">
      <alignment horizontal="center" vertical="center" wrapText="1"/>
    </xf>
    <xf numFmtId="0" fontId="31" fillId="0" borderId="20" applyAlignment="1" pivotButton="0" quotePrefix="0" xfId="3">
      <alignment horizontal="left" vertical="center" wrapText="1"/>
    </xf>
    <xf numFmtId="0" fontId="31" fillId="0" borderId="17" applyAlignment="1" applyProtection="1" pivotButton="0" quotePrefix="0" xfId="3">
      <alignment horizontal="center" vertical="center" wrapText="1"/>
      <protection locked="0" hidden="0"/>
    </xf>
    <xf numFmtId="0" fontId="31" fillId="0" borderId="22" applyAlignment="1" applyProtection="1" pivotButton="0" quotePrefix="0" xfId="3">
      <alignment horizontal="left" vertical="center" wrapText="1"/>
      <protection locked="0" hidden="0"/>
    </xf>
    <xf numFmtId="0" fontId="31" fillId="0" borderId="40" applyAlignment="1" applyProtection="1" pivotButton="0" quotePrefix="0" xfId="3">
      <alignment horizontal="left" vertical="center" wrapText="1"/>
      <protection locked="0" hidden="0"/>
    </xf>
    <xf numFmtId="0" fontId="31" fillId="0" borderId="3" applyAlignment="1" pivotButton="0" quotePrefix="0" xfId="2">
      <alignment horizontal="center" vertical="center"/>
    </xf>
    <xf numFmtId="0" fontId="31" fillId="0" borderId="3" applyAlignment="1" pivotButton="0" quotePrefix="0" xfId="2">
      <alignment horizontal="left" vertical="center" wrapText="1"/>
    </xf>
    <xf numFmtId="164" fontId="32" fillId="0" borderId="0" applyAlignment="1" pivotButton="0" quotePrefix="0" xfId="0">
      <alignment horizontal="center" vertical="center"/>
    </xf>
    <xf numFmtId="9" fontId="32" fillId="0" borderId="0" applyAlignment="1" pivotButton="0" quotePrefix="0" xfId="11">
      <alignment horizontal="center" vertical="center"/>
    </xf>
    <xf numFmtId="0" fontId="31" fillId="0" borderId="1" applyAlignment="1" applyProtection="1" pivotButton="0" quotePrefix="0" xfId="2">
      <alignment horizontal="center" vertical="center" wrapText="1"/>
      <protection locked="0" hidden="0"/>
    </xf>
    <xf numFmtId="164" fontId="35" fillId="0" borderId="0" applyAlignment="1" pivotButton="0" quotePrefix="0" xfId="0">
      <alignment horizontal="center" vertical="center"/>
    </xf>
    <xf numFmtId="9" fontId="35" fillId="0" borderId="0" applyAlignment="1" pivotButton="0" quotePrefix="0" xfId="11">
      <alignment horizontal="center" vertical="center"/>
    </xf>
    <xf numFmtId="0" fontId="31" fillId="0" borderId="3" applyAlignment="1" pivotButton="0" quotePrefix="0" xfId="3">
      <alignment horizontal="center" vertical="center" wrapText="1"/>
    </xf>
    <xf numFmtId="0" fontId="36" fillId="0" borderId="19" applyAlignment="1" pivotButton="0" quotePrefix="0" xfId="3">
      <alignment horizontal="left" vertical="center" wrapText="1"/>
    </xf>
    <xf numFmtId="0" fontId="31" fillId="0" borderId="39" applyAlignment="1" applyProtection="1" pivotButton="0" quotePrefix="0" xfId="3">
      <alignment horizontal="center" vertical="center" wrapText="1"/>
      <protection locked="0" hidden="0"/>
    </xf>
    <xf numFmtId="0" fontId="31" fillId="0" borderId="2" applyAlignment="1" pivotButton="0" quotePrefix="0" xfId="14">
      <alignment horizontal="center" vertical="center" wrapText="1"/>
    </xf>
    <xf numFmtId="0" fontId="31" fillId="0" borderId="2" applyAlignment="1" pivotButton="0" quotePrefix="0" xfId="2">
      <alignment horizontal="center" vertical="center" wrapText="1"/>
    </xf>
    <xf numFmtId="0" fontId="31" fillId="0" borderId="2" applyAlignment="1" pivotButton="0" quotePrefix="0" xfId="3">
      <alignment horizontal="center" vertical="center" wrapText="1"/>
    </xf>
    <xf numFmtId="0" fontId="31" fillId="0" borderId="17" applyAlignment="1" pivotButton="0" quotePrefix="0" xfId="3">
      <alignment horizontal="left" vertical="center" wrapText="1"/>
    </xf>
    <xf numFmtId="0" fontId="31" fillId="0" borderId="21" applyAlignment="1" pivotButton="0" quotePrefix="0" xfId="3">
      <alignment horizontal="left" vertical="center" wrapText="1"/>
    </xf>
    <xf numFmtId="0" fontId="31" fillId="0" borderId="37" applyAlignment="1" applyProtection="1" pivotButton="0" quotePrefix="0" xfId="3">
      <alignment horizontal="left" vertical="center" wrapText="1"/>
      <protection locked="0" hidden="0"/>
    </xf>
    <xf numFmtId="0" fontId="31" fillId="0" borderId="3" applyAlignment="1" pivotButton="0" quotePrefix="0" xfId="0">
      <alignment horizontal="left" vertical="center" wrapText="1"/>
    </xf>
    <xf numFmtId="0" fontId="31" fillId="0" borderId="32" applyAlignment="1" applyProtection="1" pivotButton="0" quotePrefix="0" xfId="3">
      <alignment horizontal="left" vertical="center" wrapText="1"/>
      <protection locked="0" hidden="0"/>
    </xf>
    <xf numFmtId="0" fontId="26" fillId="4" borderId="1" applyAlignment="1" applyProtection="1" pivotButton="0" quotePrefix="0" xfId="0">
      <alignment horizontal="left" vertical="center" wrapText="1"/>
      <protection locked="0" hidden="0"/>
    </xf>
    <xf numFmtId="0" fontId="31" fillId="0" borderId="1" applyAlignment="1" pivotButton="0" quotePrefix="0" xfId="0">
      <alignment horizontal="center" vertical="center" wrapText="1"/>
    </xf>
    <xf numFmtId="0" fontId="26" fillId="4" borderId="1" applyAlignment="1" pivotButton="0" quotePrefix="0" xfId="0">
      <alignment horizontal="left" vertical="center" wrapText="1"/>
    </xf>
    <xf numFmtId="0" fontId="31" fillId="0" borderId="1" applyAlignment="1" applyProtection="1" pivotButton="0" quotePrefix="0" xfId="0">
      <alignment horizontal="center" vertical="center" wrapText="1"/>
      <protection locked="0" hidden="0"/>
    </xf>
    <xf numFmtId="0" fontId="31" fillId="0" borderId="1" applyAlignment="1" applyProtection="1" pivotButton="0" quotePrefix="0" xfId="14">
      <alignment horizontal="center" vertical="center" wrapText="1"/>
      <protection locked="0" hidden="0"/>
    </xf>
    <xf numFmtId="0" fontId="31" fillId="0" borderId="1" applyAlignment="1" applyProtection="1" pivotButton="0" quotePrefix="0" xfId="3">
      <alignment vertical="center" wrapText="1"/>
      <protection locked="0" hidden="0"/>
    </xf>
    <xf numFmtId="0" fontId="31" fillId="0" borderId="16" applyAlignment="1" applyProtection="1" pivotButton="0" quotePrefix="0" xfId="3">
      <alignment vertical="center" wrapText="1"/>
      <protection locked="0" hidden="0"/>
    </xf>
    <xf numFmtId="0" fontId="31" fillId="0" borderId="19" applyAlignment="1" applyProtection="1" pivotButton="0" quotePrefix="0" xfId="0">
      <alignment horizontal="left" vertical="center" wrapText="1"/>
      <protection locked="0" hidden="0"/>
    </xf>
    <xf numFmtId="0" fontId="31" fillId="0" borderId="19" applyAlignment="1" pivotButton="0" quotePrefix="0" xfId="0">
      <alignment horizontal="left" vertical="center" wrapText="1"/>
    </xf>
    <xf numFmtId="0" fontId="31" fillId="0" borderId="1" applyAlignment="1" pivotButton="0" quotePrefix="0" xfId="3">
      <alignment vertical="center" wrapText="1"/>
    </xf>
    <xf numFmtId="0" fontId="31" fillId="0" borderId="16" applyAlignment="1" pivotButton="0" quotePrefix="0" xfId="2">
      <alignment horizontal="left" vertical="center" wrapText="1"/>
    </xf>
    <xf numFmtId="0" fontId="31" fillId="0" borderId="16" applyAlignment="1" applyProtection="1" pivotButton="0" quotePrefix="0" xfId="2">
      <alignment horizontal="left" vertical="center" wrapText="1"/>
      <protection locked="0" hidden="0"/>
    </xf>
    <xf numFmtId="0" fontId="31" fillId="0" borderId="3" applyAlignment="1" pivotButton="0" quotePrefix="0" xfId="3">
      <alignment vertical="center" wrapText="1"/>
    </xf>
    <xf numFmtId="0" fontId="37" fillId="0" borderId="19" applyAlignment="1" applyProtection="1" pivotButton="0" quotePrefix="0" xfId="0">
      <alignment horizontal="center" vertical="center" wrapText="1"/>
      <protection locked="0" hidden="0"/>
    </xf>
    <xf numFmtId="0" fontId="34" fillId="0" borderId="39" applyAlignment="1" applyProtection="1" pivotButton="0" quotePrefix="0" xfId="3">
      <alignment vertical="center" wrapText="1"/>
      <protection locked="0" hidden="0"/>
    </xf>
    <xf numFmtId="0" fontId="31" fillId="0" borderId="1" applyAlignment="1" pivotButton="0" quotePrefix="0" xfId="14">
      <alignment horizontal="center" vertical="center" wrapText="1"/>
    </xf>
    <xf numFmtId="0" fontId="31" fillId="0" borderId="12" applyAlignment="1" applyProtection="1" pivotButton="0" quotePrefix="0" xfId="0">
      <alignment horizontal="left" vertical="center" wrapText="1"/>
      <protection locked="0" hidden="0"/>
    </xf>
    <xf numFmtId="0" fontId="26" fillId="0" borderId="52" applyAlignment="1" pivotButton="0" quotePrefix="0" xfId="0">
      <alignment horizontal="center" vertical="center"/>
    </xf>
    <xf numFmtId="0" fontId="26" fillId="0" borderId="52" applyAlignment="1" pivotButton="0" quotePrefix="0" xfId="0">
      <alignment vertical="center" wrapText="1"/>
    </xf>
    <xf numFmtId="0" fontId="36" fillId="0" borderId="21" applyAlignment="1" pivotButton="0" quotePrefix="0" xfId="3">
      <alignment horizontal="left" vertical="center" wrapText="1"/>
    </xf>
    <xf numFmtId="0" fontId="36" fillId="0" borderId="19" applyAlignment="1" applyProtection="1" pivotButton="0" quotePrefix="0" xfId="3">
      <alignment horizontal="left" vertical="center" wrapText="1"/>
      <protection locked="0" hidden="0"/>
    </xf>
    <xf numFmtId="0" fontId="13" fillId="0" borderId="35" applyAlignment="1" applyProtection="1" pivotButton="0" quotePrefix="0" xfId="0">
      <alignment horizontal="left"/>
      <protection locked="0" hidden="0"/>
    </xf>
    <xf numFmtId="0" fontId="13" fillId="0" borderId="68" applyAlignment="1" applyProtection="1" pivotButton="0" quotePrefix="0" xfId="0">
      <alignment horizontal="left"/>
      <protection locked="0" hidden="0"/>
    </xf>
    <xf numFmtId="0" fontId="36" fillId="0" borderId="16" applyAlignment="1" pivotButton="0" quotePrefix="0" xfId="3">
      <alignment horizontal="left" vertical="center" wrapText="1"/>
    </xf>
    <xf numFmtId="0" fontId="36" fillId="0" borderId="16" applyAlignment="1" pivotButton="0" quotePrefix="0" xfId="5">
      <alignment horizontal="left" vertical="center" wrapText="1"/>
    </xf>
    <xf numFmtId="0" fontId="36" fillId="0" borderId="17" applyAlignment="1" pivotButton="0" quotePrefix="0" xfId="3">
      <alignment horizontal="left" vertical="center" wrapText="1"/>
    </xf>
    <xf numFmtId="0" fontId="36" fillId="0" borderId="16" applyAlignment="1" pivotButton="0" quotePrefix="0" xfId="2">
      <alignment horizontal="left" vertical="center" wrapText="1"/>
    </xf>
    <xf numFmtId="0" fontId="36" fillId="0" borderId="19" applyAlignment="1" pivotButton="0" quotePrefix="0" xfId="2">
      <alignment horizontal="left" vertical="center" wrapText="1"/>
    </xf>
    <xf numFmtId="0" fontId="13" fillId="0" borderId="0" applyAlignment="1" applyProtection="1" pivotButton="0" quotePrefix="0" xfId="0">
      <alignment horizontal="left"/>
      <protection locked="0" hidden="0"/>
    </xf>
    <xf numFmtId="0" fontId="31" fillId="0" borderId="3" applyAlignment="1" applyProtection="1" pivotButton="0" quotePrefix="0" xfId="0">
      <alignment horizontal="left" vertical="center" wrapText="1"/>
      <protection locked="0" hidden="0"/>
    </xf>
    <xf numFmtId="0" fontId="36" fillId="0" borderId="73" applyAlignment="1" applyProtection="1" pivotButton="0" quotePrefix="0" xfId="3">
      <alignment horizontal="left" vertical="center" wrapText="1"/>
      <protection locked="0" hidden="0"/>
    </xf>
    <xf numFmtId="0" fontId="31" fillId="0" borderId="19" applyAlignment="1" applyProtection="1" pivotButton="0" quotePrefix="0" xfId="2">
      <alignment horizontal="center" vertical="center"/>
      <protection locked="0" hidden="0"/>
    </xf>
    <xf numFmtId="0" fontId="31" fillId="0" borderId="52" applyAlignment="1" applyProtection="1" pivotButton="0" quotePrefix="0" xfId="3">
      <alignment vertical="center" wrapText="1"/>
      <protection locked="0" hidden="0"/>
    </xf>
    <xf numFmtId="0" fontId="36" fillId="0" borderId="16" applyAlignment="1" applyProtection="1" pivotButton="0" quotePrefix="0" xfId="3">
      <alignment horizontal="left" vertical="center" wrapText="1"/>
      <protection locked="0" hidden="0"/>
    </xf>
    <xf numFmtId="0" fontId="31" fillId="0" borderId="73" applyAlignment="1" applyProtection="1" pivotButton="0" quotePrefix="0" xfId="2">
      <alignment horizontal="center" vertical="center" wrapText="1"/>
      <protection locked="0" hidden="0"/>
    </xf>
    <xf numFmtId="0" fontId="36" fillId="0" borderId="16" applyAlignment="1" applyProtection="1" pivotButton="0" quotePrefix="0" xfId="2">
      <alignment horizontal="left" vertical="center" wrapText="1"/>
      <protection locked="0" hidden="0"/>
    </xf>
    <xf numFmtId="0" fontId="31" fillId="0" borderId="19" applyAlignment="1" pivotButton="0" quotePrefix="0" xfId="2">
      <alignment horizontal="center" vertical="center" wrapText="1"/>
    </xf>
    <xf numFmtId="0" fontId="31" fillId="0" borderId="16" applyAlignment="1" pivotButton="0" quotePrefix="0" xfId="2">
      <alignment horizontal="center" vertical="center" wrapText="1"/>
    </xf>
    <xf numFmtId="0" fontId="31" fillId="0" borderId="17" applyAlignment="1" pivotButton="0" quotePrefix="0" xfId="2">
      <alignment horizontal="center" vertical="center" wrapText="1"/>
    </xf>
    <xf numFmtId="0" fontId="31" fillId="0" borderId="16" applyAlignment="1" applyProtection="1" pivotButton="0" quotePrefix="0" xfId="2">
      <alignment horizontal="center" vertical="center" wrapText="1"/>
      <protection locked="0" hidden="0"/>
    </xf>
    <xf numFmtId="0" fontId="31" fillId="0" borderId="19" applyAlignment="1" pivotButton="0" quotePrefix="0" xfId="0">
      <alignment horizontal="center" vertical="center" wrapText="1"/>
    </xf>
    <xf numFmtId="0" fontId="31" fillId="0" borderId="73" applyAlignment="1" pivotButton="0" quotePrefix="0" xfId="2">
      <alignment horizontal="center" vertical="center" wrapText="1"/>
    </xf>
    <xf numFmtId="0" fontId="31" fillId="0" borderId="73" applyAlignment="1" pivotButton="0" quotePrefix="0" xfId="2">
      <alignment horizontal="left" vertical="center" wrapText="1"/>
    </xf>
    <xf numFmtId="0" fontId="26" fillId="0" borderId="1" applyAlignment="1" applyProtection="1" pivotButton="0" quotePrefix="0" xfId="3">
      <alignment vertical="center" wrapText="1"/>
      <protection locked="0" hidden="0"/>
    </xf>
    <xf numFmtId="0" fontId="31" fillId="0" borderId="16" applyAlignment="1" pivotButton="0" quotePrefix="0" xfId="0">
      <alignment horizontal="left" vertical="center" wrapText="1"/>
    </xf>
    <xf numFmtId="0" fontId="31" fillId="0" borderId="52" applyAlignment="1" applyProtection="1" pivotButton="0" quotePrefix="0" xfId="0">
      <alignment horizontal="center" vertical="center"/>
      <protection locked="0" hidden="0"/>
    </xf>
    <xf numFmtId="0" fontId="31" fillId="0" borderId="52" applyAlignment="1" applyProtection="1" pivotButton="0" quotePrefix="0" xfId="3">
      <alignment horizontal="center" vertical="center" wrapText="1"/>
      <protection locked="0" hidden="0"/>
    </xf>
    <xf numFmtId="0" fontId="38" fillId="0" borderId="1" applyAlignment="1" applyProtection="1" pivotButton="0" quotePrefix="0" xfId="0">
      <alignment horizontal="left" vertical="center" wrapText="1"/>
      <protection locked="0" hidden="0"/>
    </xf>
    <xf numFmtId="0" fontId="38" fillId="0" borderId="16" applyAlignment="1" applyProtection="1" pivotButton="0" quotePrefix="0" xfId="0">
      <alignment horizontal="left" vertical="center" wrapText="1"/>
      <protection locked="0" hidden="0"/>
    </xf>
    <xf numFmtId="0" fontId="31" fillId="0" borderId="73" applyAlignment="1" pivotButton="0" quotePrefix="0" xfId="3">
      <alignment horizontal="left" vertical="center" wrapText="1"/>
    </xf>
    <xf numFmtId="0" fontId="39" fillId="0" borderId="53" applyAlignment="1" applyProtection="1" pivotButton="0" quotePrefix="0" xfId="3">
      <alignment vertical="center" wrapText="1"/>
      <protection locked="0" hidden="0"/>
    </xf>
    <xf numFmtId="0" fontId="31" fillId="0" borderId="17" applyAlignment="1" pivotButton="0" quotePrefix="0" xfId="0">
      <alignment horizontal="left" vertical="center" wrapText="1"/>
    </xf>
    <xf numFmtId="0" fontId="31" fillId="0" borderId="16" applyAlignment="1" applyProtection="1" pivotButton="0" quotePrefix="0" xfId="0">
      <alignment horizontal="left" vertical="center" wrapText="1"/>
      <protection locked="0" hidden="0"/>
    </xf>
    <xf numFmtId="0" fontId="31" fillId="0" borderId="65" applyAlignment="1" applyProtection="1" pivotButton="0" quotePrefix="0" xfId="3">
      <alignment horizontal="left" vertical="center" wrapText="1"/>
      <protection locked="0" hidden="0"/>
    </xf>
    <xf numFmtId="0" fontId="31" fillId="0" borderId="33" applyAlignment="1" applyProtection="1" pivotButton="0" quotePrefix="0" xfId="3">
      <alignment horizontal="left" vertical="center" wrapText="1"/>
      <protection locked="0" hidden="0"/>
    </xf>
    <xf numFmtId="164" fontId="35" fillId="0" borderId="0" applyAlignment="1" pivotButton="0" quotePrefix="0" xfId="0">
      <alignment horizontal="center" vertical="center" wrapText="1"/>
    </xf>
    <xf numFmtId="0" fontId="31" fillId="0" borderId="21" applyAlignment="1" pivotButton="0" quotePrefix="0" xfId="3">
      <alignment horizontal="center" vertical="center" wrapText="1"/>
    </xf>
    <xf numFmtId="0" fontId="31" fillId="0" borderId="21" applyAlignment="1" applyProtection="1" pivotButton="0" quotePrefix="0" xfId="3">
      <alignment horizontal="center" vertical="center" wrapText="1"/>
      <protection locked="0" hidden="0"/>
    </xf>
    <xf numFmtId="0" fontId="31" fillId="0" borderId="32" applyAlignment="1" applyProtection="1" pivotButton="0" quotePrefix="0" xfId="3">
      <alignment horizontal="center" vertical="center" wrapText="1"/>
      <protection locked="0" hidden="0"/>
    </xf>
    <xf numFmtId="0" fontId="31" fillId="0" borderId="4" applyAlignment="1" pivotButton="0" quotePrefix="0" xfId="0">
      <alignment horizontal="center" vertical="center" wrapText="1"/>
    </xf>
    <xf numFmtId="0" fontId="31" fillId="0" borderId="4" applyAlignment="1" pivotButton="0" quotePrefix="0" xfId="3">
      <alignment horizontal="left" vertical="center" wrapText="1"/>
    </xf>
    <xf numFmtId="0" fontId="31" fillId="0" borderId="4" applyAlignment="1" pivotButton="0" quotePrefix="0" xfId="2">
      <alignment horizontal="center" vertical="center" wrapText="1"/>
    </xf>
    <xf numFmtId="0" fontId="31" fillId="0" borderId="18" applyAlignment="1" pivotButton="0" quotePrefix="0" xfId="2">
      <alignment horizontal="center" vertical="center" wrapText="1"/>
    </xf>
    <xf numFmtId="0" fontId="31" fillId="0" borderId="18" applyAlignment="1" pivotButton="0" quotePrefix="0" xfId="2">
      <alignment horizontal="left" vertical="center" wrapText="1"/>
    </xf>
    <xf numFmtId="0" fontId="36" fillId="0" borderId="18" applyAlignment="1" pivotButton="0" quotePrefix="0" xfId="2">
      <alignment horizontal="left" vertical="center" wrapText="1"/>
    </xf>
    <xf numFmtId="0" fontId="31" fillId="0" borderId="18" applyAlignment="1" applyProtection="1" pivotButton="0" quotePrefix="0" xfId="2">
      <alignment horizontal="center" vertical="center" wrapText="1"/>
      <protection locked="0" hidden="0"/>
    </xf>
    <xf numFmtId="0" fontId="31" fillId="0" borderId="13" applyAlignment="1" applyProtection="1" pivotButton="0" quotePrefix="0" xfId="3">
      <alignment horizontal="left" vertical="center" wrapText="1"/>
      <protection locked="0" hidden="0"/>
    </xf>
    <xf numFmtId="0" fontId="31" fillId="0" borderId="31" applyAlignment="1" applyProtection="1" pivotButton="0" quotePrefix="0" xfId="3">
      <alignment horizontal="left" vertical="center" wrapText="1"/>
      <protection locked="0" hidden="0"/>
    </xf>
    <xf numFmtId="164" fontId="32" fillId="0" borderId="0" applyAlignment="1" pivotButton="0" quotePrefix="0" xfId="0">
      <alignment horizontal="right" vertical="center"/>
    </xf>
    <xf numFmtId="0" fontId="30" fillId="0" borderId="0" applyAlignment="1" pivotButton="0" quotePrefix="0" xfId="0">
      <alignment wrapText="1"/>
    </xf>
    <xf numFmtId="0" fontId="0" fillId="0" borderId="0" applyAlignment="1" pivotButton="0" quotePrefix="0" xfId="0">
      <alignment wrapText="1"/>
    </xf>
    <xf numFmtId="0" fontId="31" fillId="0" borderId="3" applyAlignment="1" applyProtection="1" pivotButton="0" quotePrefix="0" xfId="3">
      <alignment horizontal="left" vertical="center" wrapText="1"/>
      <protection locked="0" hidden="0"/>
    </xf>
    <xf numFmtId="0" fontId="31" fillId="0" borderId="53" applyAlignment="1" applyProtection="1" pivotButton="0" quotePrefix="0" xfId="3">
      <alignment horizontal="center" vertical="center" wrapText="1"/>
      <protection locked="0" hidden="0"/>
    </xf>
    <xf numFmtId="0" fontId="31" fillId="0" borderId="73" applyAlignment="1" applyProtection="1" pivotButton="0" quotePrefix="0" xfId="14">
      <alignment horizontal="center" vertical="center" wrapText="1"/>
      <protection locked="0" hidden="0"/>
    </xf>
    <xf numFmtId="0" fontId="31" fillId="0" borderId="2" applyAlignment="1" applyProtection="1" pivotButton="0" quotePrefix="0" xfId="14">
      <alignment horizontal="center" vertical="center" wrapText="1"/>
      <protection locked="0" hidden="0"/>
    </xf>
    <xf numFmtId="0" fontId="31" fillId="0" borderId="0" applyAlignment="1" applyProtection="1" pivotButton="0" quotePrefix="0" xfId="3">
      <alignment horizontal="left" vertical="center" wrapText="1"/>
      <protection locked="0" hidden="0"/>
    </xf>
    <xf numFmtId="0" fontId="31" fillId="0" borderId="51" applyAlignment="1" applyProtection="1" pivotButton="0" quotePrefix="0" xfId="3">
      <alignment horizontal="center" vertical="center" wrapText="1"/>
      <protection locked="0" hidden="0"/>
    </xf>
    <xf numFmtId="0" fontId="26" fillId="0" borderId="73" applyAlignment="1" applyProtection="1" pivotButton="0" quotePrefix="0" xfId="17">
      <alignment horizontal="left" vertical="center" wrapText="1"/>
      <protection locked="0" hidden="0"/>
    </xf>
    <xf numFmtId="0" fontId="31" fillId="0" borderId="14" applyAlignment="1" pivotButton="0" quotePrefix="0" xfId="2">
      <alignment horizontal="center" vertical="center" wrapText="1"/>
    </xf>
    <xf numFmtId="0" fontId="31" fillId="0" borderId="76" applyAlignment="1" pivotButton="0" quotePrefix="0" xfId="2">
      <alignment horizontal="center" vertical="center" wrapText="1"/>
    </xf>
    <xf numFmtId="0" fontId="31" fillId="0" borderId="76" applyAlignment="1" pivotButton="0" quotePrefix="0" xfId="2">
      <alignment horizontal="left" vertical="center" wrapText="1"/>
    </xf>
    <xf numFmtId="0" fontId="36" fillId="0" borderId="76" applyAlignment="1" pivotButton="0" quotePrefix="0" xfId="2">
      <alignment horizontal="left" vertical="center" wrapText="1"/>
    </xf>
    <xf numFmtId="0" fontId="31" fillId="0" borderId="76" applyAlignment="1" applyProtection="1" pivotButton="0" quotePrefix="0" xfId="2">
      <alignment horizontal="center" vertical="center" wrapText="1"/>
      <protection locked="0" hidden="0"/>
    </xf>
    <xf numFmtId="0" fontId="31" fillId="0" borderId="67" applyAlignment="1" applyProtection="1" pivotButton="0" quotePrefix="0" xfId="3">
      <alignment horizontal="left" vertical="center" wrapText="1"/>
      <protection locked="0" hidden="0"/>
    </xf>
    <xf numFmtId="0" fontId="31" fillId="0" borderId="47" applyAlignment="1" pivotButton="0" quotePrefix="0" xfId="2">
      <alignment horizontal="center" vertical="center" wrapText="1"/>
    </xf>
    <xf numFmtId="0" fontId="31" fillId="0" borderId="62" applyAlignment="1" pivotButton="0" quotePrefix="0" xfId="2">
      <alignment horizontal="center" vertical="center" wrapText="1"/>
    </xf>
    <xf numFmtId="0" fontId="31" fillId="0" borderId="62" applyAlignment="1" pivotButton="0" quotePrefix="0" xfId="2">
      <alignment horizontal="left" vertical="center" wrapText="1"/>
    </xf>
    <xf numFmtId="0" fontId="36" fillId="0" borderId="62" applyAlignment="1" pivotButton="0" quotePrefix="0" xfId="2">
      <alignment horizontal="left" vertical="center" wrapText="1"/>
    </xf>
    <xf numFmtId="0" fontId="31" fillId="0" borderId="62" applyAlignment="1" applyProtection="1" pivotButton="0" quotePrefix="0" xfId="2">
      <alignment horizontal="center" vertical="center" wrapText="1"/>
      <protection locked="0" hidden="0"/>
    </xf>
    <xf numFmtId="0" fontId="31" fillId="0" borderId="77" applyAlignment="1" applyProtection="1" pivotButton="0" quotePrefix="0" xfId="3">
      <alignment horizontal="left" vertical="center" wrapText="1"/>
      <protection locked="0" hidden="0"/>
    </xf>
    <xf numFmtId="0" fontId="26" fillId="0" borderId="47" applyAlignment="1" pivotButton="0" quotePrefix="0" xfId="20">
      <alignment horizontal="center" vertical="center" wrapText="1"/>
    </xf>
    <xf numFmtId="0" fontId="26" fillId="0" borderId="47" applyAlignment="1" pivotButton="0" quotePrefix="0" xfId="21">
      <alignment horizontal="left" vertical="center" wrapText="1"/>
    </xf>
    <xf numFmtId="0" fontId="26" fillId="0" borderId="47" applyAlignment="1" pivotButton="0" quotePrefix="0" xfId="2">
      <alignment horizontal="center" vertical="center" wrapText="1"/>
    </xf>
    <xf numFmtId="0" fontId="26" fillId="0" borderId="73" applyAlignment="1" pivotButton="0" quotePrefix="0" xfId="0">
      <alignment horizontal="center" vertical="center" wrapText="1"/>
    </xf>
    <xf numFmtId="0" fontId="26" fillId="0" borderId="73" applyAlignment="1" pivotButton="0" quotePrefix="0" xfId="21">
      <alignment horizontal="left" vertical="center" wrapText="1"/>
    </xf>
    <xf numFmtId="0" fontId="26" fillId="0" borderId="73" applyAlignment="1" pivotButton="0" quotePrefix="0" xfId="20">
      <alignment horizontal="center" vertical="center" wrapText="1"/>
    </xf>
    <xf numFmtId="0" fontId="26" fillId="0" borderId="11" applyAlignment="1" pivotButton="0" quotePrefix="0" xfId="0">
      <alignment horizontal="center" vertical="center" wrapText="1"/>
    </xf>
    <xf numFmtId="0" fontId="26" fillId="0" borderId="11" applyAlignment="1" pivotButton="0" quotePrefix="0" xfId="21">
      <alignment horizontal="left" vertical="center" wrapText="1"/>
    </xf>
    <xf numFmtId="0" fontId="26" fillId="0" borderId="11" applyAlignment="1" pivotButton="0" quotePrefix="0" xfId="20">
      <alignment horizontal="center" vertical="center" wrapText="1"/>
    </xf>
    <xf numFmtId="0" fontId="41" fillId="4" borderId="21" applyAlignment="1" pivotButton="0" quotePrefix="0" xfId="3">
      <alignment horizontal="left" vertical="center" wrapText="1"/>
    </xf>
    <xf numFmtId="0" fontId="35" fillId="4" borderId="21" applyAlignment="1" pivotButton="0" quotePrefix="0" xfId="3">
      <alignment horizontal="left" vertical="center" wrapText="1"/>
    </xf>
    <xf numFmtId="0" fontId="35" fillId="4" borderId="21" applyAlignment="1" applyProtection="1" pivotButton="0" quotePrefix="0" xfId="3">
      <alignment horizontal="left" vertical="center" wrapText="1"/>
      <protection locked="0" hidden="0"/>
    </xf>
    <xf numFmtId="0" fontId="35" fillId="4" borderId="65" applyAlignment="1" applyProtection="1" pivotButton="0" quotePrefix="0" xfId="0">
      <alignment horizontal="left" vertical="center" wrapText="1"/>
      <protection locked="0" hidden="0"/>
    </xf>
    <xf numFmtId="0" fontId="35" fillId="4" borderId="32" applyAlignment="1" applyProtection="1" pivotButton="0" quotePrefix="0" xfId="3">
      <alignment horizontal="left" vertical="center" wrapText="1"/>
      <protection locked="0" hidden="0"/>
    </xf>
    <xf numFmtId="49" fontId="31" fillId="0" borderId="73" applyAlignment="1" pivotButton="0" quotePrefix="0" xfId="0">
      <alignment vertical="center" wrapText="1"/>
    </xf>
    <xf numFmtId="0" fontId="31" fillId="0" borderId="3" applyAlignment="1" applyProtection="1" pivotButton="0" quotePrefix="0" xfId="2">
      <alignment horizontal="left" vertical="center" wrapText="1"/>
      <protection locked="0" hidden="0"/>
    </xf>
    <xf numFmtId="0" fontId="26" fillId="0" borderId="3" applyAlignment="1" applyProtection="1" pivotButton="0" quotePrefix="0" xfId="2">
      <alignment horizontal="left" vertical="center" wrapText="1"/>
      <protection locked="0" hidden="0"/>
    </xf>
    <xf numFmtId="0" fontId="26" fillId="0" borderId="73" applyAlignment="1" applyProtection="1" pivotButton="0" quotePrefix="0" xfId="16">
      <alignment horizontal="left" vertical="center" wrapText="1"/>
      <protection locked="0" hidden="0"/>
    </xf>
    <xf numFmtId="0" fontId="31" fillId="0" borderId="3" applyAlignment="1" applyProtection="1" pivotButton="0" quotePrefix="0" xfId="17">
      <alignment horizontal="left" vertical="center" wrapText="1"/>
      <protection locked="0" hidden="0"/>
    </xf>
    <xf numFmtId="0" fontId="31" fillId="0" borderId="73" applyAlignment="1" applyProtection="1" pivotButton="0" quotePrefix="0" xfId="17">
      <alignment horizontal="left" vertical="center" wrapText="1"/>
      <protection locked="0" hidden="0"/>
    </xf>
    <xf numFmtId="0" fontId="26" fillId="0" borderId="3" applyAlignment="1" applyProtection="1" pivotButton="0" quotePrefix="0" xfId="2">
      <alignment vertical="center" wrapText="1"/>
      <protection locked="0" hidden="0"/>
    </xf>
    <xf numFmtId="0" fontId="26" fillId="0" borderId="73" applyAlignment="1" applyProtection="1" pivotButton="0" quotePrefix="0" xfId="3">
      <alignment vertical="center" wrapText="1"/>
      <protection locked="0" hidden="0"/>
    </xf>
    <xf numFmtId="0" fontId="31" fillId="0" borderId="4" applyAlignment="1" applyProtection="1" pivotButton="0" quotePrefix="0" xfId="2">
      <alignment vertical="center" wrapText="1"/>
      <protection locked="0" hidden="0"/>
    </xf>
    <xf numFmtId="0" fontId="31" fillId="0" borderId="47" applyAlignment="1" pivotButton="0" quotePrefix="0" xfId="21">
      <alignment horizontal="left" vertical="center" wrapText="1"/>
    </xf>
    <xf numFmtId="0" fontId="31" fillId="0" borderId="73" applyAlignment="1" pivotButton="0" quotePrefix="0" xfId="21">
      <alignment horizontal="left" vertical="center" wrapText="1"/>
    </xf>
    <xf numFmtId="0" fontId="31" fillId="0" borderId="11" applyAlignment="1" pivotButton="0" quotePrefix="0" xfId="21">
      <alignment horizontal="left" vertical="center" wrapText="1"/>
    </xf>
    <xf numFmtId="0" fontId="31" fillId="0" borderId="15" applyAlignment="1" pivotButton="0" quotePrefix="0" xfId="14">
      <alignment horizontal="center" vertical="center" wrapText="1"/>
    </xf>
    <xf numFmtId="0" fontId="31" fillId="0" borderId="15" applyAlignment="1" pivotButton="0" quotePrefix="0" xfId="0">
      <alignment horizontal="center" vertical="center" wrapText="1"/>
    </xf>
    <xf numFmtId="0" fontId="31" fillId="0" borderId="15" applyAlignment="1" pivotButton="0" quotePrefix="0" xfId="2">
      <alignment horizontal="center" vertical="center" wrapText="1"/>
    </xf>
    <xf numFmtId="0" fontId="31" fillId="0" borderId="3" applyAlignment="1" applyProtection="1" pivotButton="0" quotePrefix="0" xfId="2">
      <alignment vertical="center" wrapText="1"/>
      <protection locked="0" hidden="0"/>
    </xf>
    <xf numFmtId="0" fontId="31" fillId="0" borderId="21" applyAlignment="1" pivotButton="0" quotePrefix="0" xfId="2">
      <alignment horizontal="center" vertical="center" wrapText="1"/>
    </xf>
    <xf numFmtId="0" fontId="31" fillId="0" borderId="73" applyAlignment="1" pivotButton="0" quotePrefix="0" xfId="20">
      <alignment horizontal="center" vertical="center" wrapText="1"/>
    </xf>
    <xf numFmtId="0" fontId="31" fillId="0" borderId="66" applyAlignment="1" pivotButton="0" quotePrefix="0" xfId="3">
      <alignment horizontal="left" vertical="center" wrapText="1"/>
    </xf>
    <xf numFmtId="0" fontId="11" fillId="0" borderId="0" applyProtection="1" pivotButton="0" quotePrefix="0" xfId="3">
      <protection locked="0" hidden="0"/>
    </xf>
    <xf numFmtId="0" fontId="27" fillId="0" borderId="16" applyAlignment="1" pivotButton="0" quotePrefix="0" xfId="3">
      <alignment horizontal="left" vertical="center" wrapText="1"/>
    </xf>
    <xf numFmtId="0" fontId="26" fillId="0" borderId="16" applyAlignment="1" pivotButton="0" quotePrefix="0" xfId="3">
      <alignment horizontal="left" vertical="center" wrapText="1"/>
    </xf>
    <xf numFmtId="0" fontId="26" fillId="0" borderId="10" applyAlignment="1" applyProtection="1" pivotButton="0" quotePrefix="0" xfId="3">
      <alignment horizontal="left" vertical="center" wrapText="1"/>
      <protection locked="0" hidden="0"/>
    </xf>
    <xf numFmtId="0" fontId="26" fillId="0" borderId="39" applyAlignment="1" applyProtection="1" pivotButton="0" quotePrefix="0" xfId="3">
      <alignment horizontal="left" vertical="center" wrapText="1"/>
      <protection locked="0" hidden="0"/>
    </xf>
    <xf numFmtId="164" fontId="43" fillId="0" borderId="0" applyAlignment="1" pivotButton="0" quotePrefix="0" xfId="0">
      <alignment horizontal="center" vertical="center"/>
    </xf>
    <xf numFmtId="9" fontId="43" fillId="0" borderId="0" applyAlignment="1" pivotButton="0" quotePrefix="0" xfId="11">
      <alignment horizontal="center" vertical="center"/>
    </xf>
    <xf numFmtId="0" fontId="1" fillId="0" borderId="0" applyAlignment="1" applyProtection="1" pivotButton="0" quotePrefix="0" xfId="0">
      <alignment horizontal="center" vertical="center"/>
      <protection locked="0" hidden="0"/>
    </xf>
    <xf numFmtId="0" fontId="1" fillId="0" borderId="0" applyProtection="1" pivotButton="0" quotePrefix="0" xfId="3">
      <protection locked="0" hidden="0"/>
    </xf>
    <xf numFmtId="0" fontId="44" fillId="0" borderId="0" applyAlignment="1" applyProtection="1" pivotButton="0" quotePrefix="0" xfId="3">
      <alignment horizontal="center" vertical="center"/>
      <protection locked="0" hidden="0"/>
    </xf>
    <xf numFmtId="0" fontId="1" fillId="0" borderId="0" applyProtection="1" pivotButton="0" quotePrefix="0" xfId="0">
      <protection locked="0" hidden="0"/>
    </xf>
    <xf numFmtId="0" fontId="1" fillId="0" borderId="0" applyAlignment="1" applyProtection="1" pivotButton="0" quotePrefix="0" xfId="3">
      <alignment vertical="center"/>
      <protection locked="0" hidden="0"/>
    </xf>
    <xf numFmtId="0" fontId="26" fillId="0" borderId="16" applyAlignment="1" applyProtection="1" pivotButton="0" quotePrefix="0" xfId="3">
      <alignment horizontal="left" vertical="center" wrapText="1"/>
      <protection locked="0" hidden="0"/>
    </xf>
    <xf numFmtId="0" fontId="1" fillId="0" borderId="0" applyAlignment="1" applyProtection="1" pivotButton="0" quotePrefix="0" xfId="3">
      <alignment horizontal="center" vertical="center"/>
      <protection locked="0" hidden="0"/>
    </xf>
    <xf numFmtId="0" fontId="45" fillId="0" borderId="78" applyAlignment="1" pivotButton="0" quotePrefix="0" xfId="0">
      <alignment horizontal="center" vertical="top"/>
    </xf>
    <xf numFmtId="0" fontId="31" fillId="0" borderId="7" applyAlignment="1" applyProtection="1" pivotButton="0" quotePrefix="0" xfId="2">
      <alignment horizontal="center" vertical="center"/>
      <protection locked="0" hidden="0"/>
    </xf>
    <xf numFmtId="0" fontId="31" fillId="0" borderId="8" applyAlignment="1" applyProtection="1" pivotButton="0" quotePrefix="0" xfId="2">
      <alignment horizontal="center" vertical="center"/>
      <protection locked="0" hidden="0"/>
    </xf>
    <xf numFmtId="0" fontId="31" fillId="0" borderId="9" applyAlignment="1" applyProtection="1" pivotButton="0" quotePrefix="0" xfId="2">
      <alignment horizontal="center" vertical="center"/>
      <protection locked="0" hidden="0"/>
    </xf>
    <xf numFmtId="0" fontId="31" fillId="0" borderId="70" applyAlignment="1" applyProtection="1" pivotButton="0" quotePrefix="0" xfId="2">
      <alignment horizontal="center" vertical="center"/>
      <protection locked="0" hidden="0"/>
    </xf>
    <xf numFmtId="0" fontId="31" fillId="0" borderId="73" applyAlignment="1" applyProtection="1" pivotButton="0" quotePrefix="0" xfId="2">
      <alignment horizontal="center" vertical="center"/>
      <protection locked="0" hidden="0"/>
    </xf>
    <xf numFmtId="0" fontId="31" fillId="0" borderId="5" applyAlignment="1" applyProtection="1" pivotButton="0" quotePrefix="0" xfId="2">
      <alignment horizontal="center" vertical="center"/>
      <protection locked="0" hidden="0"/>
    </xf>
    <xf numFmtId="0" fontId="31" fillId="0" borderId="46" applyAlignment="1" applyProtection="1" pivotButton="0" quotePrefix="0" xfId="2">
      <alignment horizontal="center" vertical="center"/>
      <protection locked="0" hidden="0"/>
    </xf>
    <xf numFmtId="0" fontId="31" fillId="0" borderId="58" applyAlignment="1" applyProtection="1" pivotButton="0" quotePrefix="0" xfId="2">
      <alignment horizontal="center" vertical="center"/>
      <protection locked="0" hidden="0"/>
    </xf>
    <xf numFmtId="0" fontId="26" fillId="0" borderId="3" applyAlignment="1" applyProtection="1" pivotButton="0" quotePrefix="0" xfId="17">
      <alignment horizontal="left" vertical="center" wrapText="1"/>
      <protection locked="0" hidden="0"/>
    </xf>
    <xf numFmtId="0" fontId="31" fillId="0" borderId="73" applyAlignment="1" applyProtection="1" pivotButton="0" quotePrefix="0" xfId="16">
      <alignment horizontal="left" vertical="center" wrapText="1"/>
      <protection locked="0" hidden="0"/>
    </xf>
    <xf numFmtId="0" fontId="31" fillId="0" borderId="3" applyAlignment="1" applyProtection="1" pivotButton="0" quotePrefix="0" xfId="14">
      <alignment horizontal="center" vertical="center" wrapText="1"/>
      <protection locked="0" hidden="0"/>
    </xf>
    <xf numFmtId="0" fontId="31" fillId="0" borderId="73" applyAlignment="1" applyProtection="1" pivotButton="0" quotePrefix="0" xfId="3">
      <alignment vertical="center" wrapText="1"/>
      <protection locked="0" hidden="0"/>
    </xf>
    <xf numFmtId="0" fontId="31" fillId="0" borderId="3" applyAlignment="1" applyProtection="1" pivotButton="0" quotePrefix="0" xfId="2">
      <alignment horizontal="center" vertical="center"/>
      <protection locked="0" hidden="0"/>
    </xf>
    <xf numFmtId="0" fontId="31" fillId="0" borderId="19" applyAlignment="1" applyProtection="1" pivotButton="0" quotePrefix="0" xfId="2">
      <alignment horizontal="center" vertical="center" wrapText="1"/>
      <protection locked="0" hidden="0"/>
    </xf>
    <xf numFmtId="0" fontId="31" fillId="0" borderId="19" applyAlignment="1" applyProtection="1" pivotButton="0" quotePrefix="0" xfId="2">
      <alignment horizontal="left" vertical="center"/>
      <protection locked="0" hidden="0"/>
    </xf>
    <xf numFmtId="0" fontId="31" fillId="0" borderId="52" applyAlignment="1" pivotButton="0" quotePrefix="0" xfId="3">
      <alignment vertical="center" wrapText="1"/>
    </xf>
    <xf numFmtId="0" fontId="31" fillId="0" borderId="78" applyAlignment="1" applyProtection="1" pivotButton="0" quotePrefix="0" xfId="17">
      <alignment horizontal="left" vertical="center" wrapText="1"/>
      <protection locked="0" hidden="0"/>
    </xf>
    <xf numFmtId="0" fontId="31" fillId="0" borderId="52" applyAlignment="1" pivotButton="0" quotePrefix="0" xfId="6">
      <alignment vertical="center" wrapText="1"/>
    </xf>
    <xf numFmtId="0" fontId="31" fillId="0" borderId="71" applyAlignment="1" applyProtection="1" pivotButton="0" quotePrefix="0" xfId="2">
      <alignment horizontal="center" vertical="center" wrapText="1"/>
      <protection locked="0" hidden="0"/>
    </xf>
    <xf numFmtId="0" fontId="31" fillId="0" borderId="4" applyAlignment="1" pivotButton="0" quotePrefix="0" xfId="14">
      <alignment horizontal="center" vertical="center" wrapText="1"/>
    </xf>
    <xf numFmtId="0" fontId="27" fillId="9" borderId="6" applyAlignment="1" pivotButton="0" quotePrefix="0" xfId="2">
      <alignment horizontal="center" vertical="center"/>
    </xf>
    <xf numFmtId="0" fontId="27" fillId="9" borderId="2" applyAlignment="1" pivotButton="0" quotePrefix="0" xfId="2">
      <alignment horizontal="center" vertical="center" wrapText="1"/>
    </xf>
    <xf numFmtId="0" fontId="27" fillId="9" borderId="17" applyAlignment="1" pivotButton="0" quotePrefix="0" xfId="2">
      <alignment horizontal="center" vertical="center" wrapText="1"/>
    </xf>
    <xf numFmtId="0" fontId="25" fillId="9" borderId="17" applyAlignment="1" pivotButton="0" quotePrefix="0" xfId="2">
      <alignment horizontal="center" vertical="center" wrapText="1"/>
    </xf>
    <xf numFmtId="0" fontId="31" fillId="0" borderId="78" applyAlignment="1" applyProtection="1" pivotButton="0" quotePrefix="0" xfId="2">
      <alignment horizontal="center" vertical="center"/>
      <protection locked="0" hidden="0"/>
    </xf>
    <xf numFmtId="0" fontId="31" fillId="0" borderId="78" applyAlignment="1" pivotButton="0" quotePrefix="0" xfId="14">
      <alignment horizontal="center" vertical="center" wrapText="1"/>
    </xf>
    <xf numFmtId="0" fontId="31" fillId="0" borderId="78" applyAlignment="1" pivotButton="0" quotePrefix="0" xfId="0">
      <alignment horizontal="center" vertical="center" wrapText="1"/>
    </xf>
    <xf numFmtId="0" fontId="31" fillId="0" borderId="78" applyAlignment="1" pivotButton="0" quotePrefix="0" xfId="3">
      <alignment horizontal="left" vertical="center" wrapText="1"/>
    </xf>
    <xf numFmtId="0" fontId="31" fillId="0" borderId="78" applyAlignment="1" pivotButton="0" quotePrefix="0" xfId="2">
      <alignment horizontal="center" vertical="center" wrapText="1"/>
    </xf>
    <xf numFmtId="0" fontId="31" fillId="0" borderId="78" applyAlignment="1" applyProtection="1" pivotButton="0" quotePrefix="0" xfId="2">
      <alignment horizontal="center" vertical="center" wrapText="1"/>
      <protection locked="0" hidden="0"/>
    </xf>
    <xf numFmtId="0" fontId="31" fillId="0" borderId="78" applyAlignment="1" pivotButton="0" quotePrefix="0" xfId="3">
      <alignment vertical="center" wrapText="1"/>
    </xf>
    <xf numFmtId="0" fontId="31" fillId="0" borderId="78" applyAlignment="1" applyProtection="1" pivotButton="0" quotePrefix="0" xfId="14">
      <alignment horizontal="center" vertical="center" wrapText="1"/>
      <protection locked="0" hidden="0"/>
    </xf>
    <xf numFmtId="0" fontId="31" fillId="0" borderId="78" applyAlignment="1" applyProtection="1" pivotButton="0" quotePrefix="0" xfId="3">
      <alignment vertical="center" wrapText="1"/>
      <protection locked="0" hidden="0"/>
    </xf>
    <xf numFmtId="0" fontId="31" fillId="0" borderId="78" applyAlignment="1" applyProtection="1" pivotButton="0" quotePrefix="0" xfId="0">
      <alignment horizontal="center" vertical="center" wrapText="1"/>
      <protection locked="0" hidden="0"/>
    </xf>
    <xf numFmtId="0" fontId="31" fillId="0" borderId="78" applyAlignment="1" applyProtection="1" pivotButton="0" quotePrefix="0" xfId="2">
      <alignment horizontal="left" vertical="center" wrapText="1"/>
      <protection locked="0" hidden="0"/>
    </xf>
    <xf numFmtId="0" fontId="31" fillId="0" borderId="78" applyAlignment="1" applyProtection="1" pivotButton="0" quotePrefix="0" xfId="3">
      <alignment horizontal="center" vertical="center" wrapText="1"/>
      <protection locked="0" hidden="0"/>
    </xf>
    <xf numFmtId="0" fontId="31" fillId="0" borderId="78" applyAlignment="1" pivotButton="0" quotePrefix="0" xfId="2">
      <alignment horizontal="left" vertical="center" wrapText="1"/>
    </xf>
    <xf numFmtId="0" fontId="31" fillId="0" borderId="78" applyAlignment="1" pivotButton="0" quotePrefix="0" xfId="3">
      <alignment horizontal="center" vertical="center" wrapText="1"/>
    </xf>
    <xf numFmtId="0" fontId="31" fillId="0" borderId="78" applyAlignment="1" applyProtection="1" pivotButton="0" quotePrefix="0" xfId="17">
      <alignment vertical="center" wrapText="1"/>
      <protection locked="0" hidden="0"/>
    </xf>
    <xf numFmtId="0" fontId="31" fillId="0" borderId="78" applyAlignment="1" applyProtection="1" pivotButton="0" quotePrefix="0" xfId="16">
      <alignment horizontal="center" vertical="center" wrapText="1"/>
      <protection locked="0" hidden="0"/>
    </xf>
    <xf numFmtId="0" fontId="31" fillId="0" borderId="78" applyAlignment="1" pivotButton="0" quotePrefix="0" xfId="2">
      <alignment horizontal="center" vertical="center"/>
    </xf>
    <xf numFmtId="0" fontId="31" fillId="0" borderId="11" applyAlignment="1" pivotButton="0" quotePrefix="0" xfId="2">
      <alignment horizontal="center" vertical="center"/>
    </xf>
    <xf numFmtId="0" fontId="31" fillId="0" borderId="11" applyAlignment="1" applyProtection="1" pivotButton="0" quotePrefix="0" xfId="14">
      <alignment horizontal="center" vertical="center" wrapText="1"/>
      <protection locked="0" hidden="0"/>
    </xf>
    <xf numFmtId="0" fontId="31" fillId="0" borderId="11" applyAlignment="1" applyProtection="1" pivotButton="0" quotePrefix="0" xfId="3">
      <alignment vertical="center" wrapText="1"/>
      <protection locked="0" hidden="0"/>
    </xf>
    <xf numFmtId="0" fontId="31" fillId="0" borderId="11" applyAlignment="1" pivotButton="0" quotePrefix="0" xfId="2">
      <alignment horizontal="left" vertical="center" wrapText="1"/>
    </xf>
    <xf numFmtId="0" fontId="31" fillId="0" borderId="11" applyAlignment="1" applyProtection="1" pivotButton="0" quotePrefix="0" xfId="3">
      <alignment horizontal="center" vertical="center" wrapText="1"/>
      <protection locked="0" hidden="0"/>
    </xf>
    <xf numFmtId="0" fontId="31" fillId="0" borderId="11" applyAlignment="1" applyProtection="1" pivotButton="0" quotePrefix="0" xfId="2">
      <alignment horizontal="center" vertical="center" wrapText="1"/>
      <protection locked="0" hidden="0"/>
    </xf>
    <xf numFmtId="0" fontId="36" fillId="0" borderId="20" applyAlignment="1" pivotButton="0" quotePrefix="0" xfId="2">
      <alignment horizontal="left" vertical="center" wrapText="1"/>
    </xf>
    <xf numFmtId="0" fontId="31" fillId="0" borderId="20" applyAlignment="1" applyProtection="1" pivotButton="0" quotePrefix="0" xfId="2">
      <alignment horizontal="left" vertical="center" wrapText="1"/>
      <protection locked="0" hidden="0"/>
    </xf>
    <xf numFmtId="0" fontId="31" fillId="0" borderId="11" applyAlignment="1" pivotButton="0" quotePrefix="0" xfId="14">
      <alignment horizontal="center" vertical="center" wrapText="1"/>
    </xf>
    <xf numFmtId="0" fontId="31" fillId="0" borderId="11" applyAlignment="1" pivotButton="0" quotePrefix="0" xfId="0">
      <alignment horizontal="center" vertical="center" wrapText="1"/>
    </xf>
    <xf numFmtId="0" fontId="31" fillId="0" borderId="11" applyAlignment="1" pivotButton="0" quotePrefix="0" xfId="3">
      <alignment vertical="center" wrapText="1"/>
    </xf>
    <xf numFmtId="0" fontId="31" fillId="0" borderId="11" applyAlignment="1" applyProtection="1" pivotButton="0" quotePrefix="0" xfId="17">
      <alignment horizontal="left" vertical="center" wrapText="1"/>
      <protection locked="0" hidden="0"/>
    </xf>
    <xf numFmtId="0" fontId="31" fillId="0" borderId="20" applyAlignment="1" pivotButton="0" quotePrefix="0" xfId="2">
      <alignment horizontal="left" vertical="center" wrapText="1"/>
    </xf>
    <xf numFmtId="0" fontId="31" fillId="0" borderId="71" applyAlignment="1" pivotButton="0" quotePrefix="0" xfId="0">
      <alignment horizontal="center" vertical="center" wrapText="1"/>
    </xf>
    <xf numFmtId="0" fontId="31" fillId="0" borderId="3" applyAlignment="1" applyProtection="1" pivotButton="0" quotePrefix="0" xfId="3">
      <alignment horizontal="center" vertical="center" wrapText="1"/>
      <protection locked="0" hidden="0"/>
    </xf>
    <xf numFmtId="0" fontId="26" fillId="0" borderId="22" applyAlignment="1" applyProtection="1" pivotButton="0" quotePrefix="0" xfId="3">
      <alignment horizontal="left" vertical="center" wrapText="1"/>
      <protection locked="0" hidden="0"/>
    </xf>
    <xf numFmtId="0" fontId="26" fillId="0" borderId="40" applyAlignment="1" applyProtection="1" pivotButton="0" quotePrefix="0" xfId="3">
      <alignment horizontal="left" vertical="center" wrapText="1"/>
      <protection locked="0" hidden="0"/>
    </xf>
    <xf numFmtId="0" fontId="31" fillId="0" borderId="79" applyAlignment="1" pivotButton="0" quotePrefix="0" xfId="3">
      <alignment vertical="center" wrapText="1"/>
    </xf>
    <xf numFmtId="0" fontId="31" fillId="0" borderId="71" applyAlignment="1" applyProtection="1" pivotButton="0" quotePrefix="0" xfId="2">
      <alignment horizontal="left" vertical="center" wrapText="1"/>
      <protection locked="0" hidden="0"/>
    </xf>
    <xf numFmtId="0" fontId="31" fillId="0" borderId="14" applyAlignment="1" applyProtection="1" pivotButton="0" quotePrefix="0" xfId="0">
      <alignment horizontal="center" vertical="center" wrapText="1"/>
      <protection locked="0" hidden="0"/>
    </xf>
    <xf numFmtId="0" fontId="31" fillId="0" borderId="14" applyAlignment="1" applyProtection="1" pivotButton="0" quotePrefix="0" xfId="2">
      <alignment horizontal="center" vertical="center" wrapText="1"/>
      <protection locked="0" hidden="0"/>
    </xf>
    <xf numFmtId="0" fontId="31" fillId="0" borderId="76" applyAlignment="1" applyProtection="1" pivotButton="0" quotePrefix="0" xfId="3">
      <alignment horizontal="left" vertical="center" wrapText="1"/>
      <protection locked="0" hidden="0"/>
    </xf>
    <xf numFmtId="0" fontId="31" fillId="0" borderId="11" applyAlignment="1" pivotButton="0" quotePrefix="0" xfId="6">
      <alignment vertical="center" wrapText="1"/>
    </xf>
    <xf numFmtId="0" fontId="31" fillId="0" borderId="11" applyAlignment="1" applyProtection="1" pivotButton="0" quotePrefix="0" xfId="2">
      <alignment horizontal="left" vertical="center" wrapText="1"/>
      <protection locked="0" hidden="0"/>
    </xf>
    <xf numFmtId="0" fontId="25" fillId="0" borderId="11" applyAlignment="1" pivotButton="0" quotePrefix="0" xfId="3">
      <alignment horizontal="left" vertical="center" wrapText="1"/>
    </xf>
    <xf numFmtId="0" fontId="26" fillId="0" borderId="11" applyAlignment="1" pivotButton="0" quotePrefix="0" xfId="0">
      <alignment horizontal="left" vertical="center" wrapText="1"/>
    </xf>
    <xf numFmtId="0" fontId="26" fillId="0" borderId="11" applyAlignment="1" applyProtection="1" pivotButton="0" quotePrefix="0" xfId="0">
      <alignment horizontal="left" vertical="center" wrapText="1"/>
      <protection locked="0" hidden="0"/>
    </xf>
    <xf numFmtId="0" fontId="31" fillId="0" borderId="11" applyAlignment="1" applyProtection="1" pivotButton="0" quotePrefix="0" xfId="0">
      <alignment horizontal="center" vertical="center" wrapText="1"/>
      <protection locked="0" hidden="0"/>
    </xf>
    <xf numFmtId="0" fontId="31" fillId="0" borderId="20" applyAlignment="1" applyProtection="1" pivotButton="0" quotePrefix="0" xfId="2">
      <alignment horizontal="center" vertical="center" wrapText="1"/>
      <protection locked="0" hidden="0"/>
    </xf>
    <xf numFmtId="0" fontId="31" fillId="0" borderId="20" applyAlignment="1" applyProtection="1" pivotButton="0" quotePrefix="0" xfId="3">
      <alignment horizontal="left" vertical="center" wrapText="1"/>
      <protection locked="0" hidden="0"/>
    </xf>
    <xf numFmtId="0" fontId="36" fillId="0" borderId="20" applyAlignment="1" applyProtection="1" pivotButton="0" quotePrefix="0" xfId="3">
      <alignment horizontal="left" vertical="center" wrapText="1"/>
      <protection locked="0" hidden="0"/>
    </xf>
    <xf numFmtId="0" fontId="26" fillId="0" borderId="3" applyAlignment="1" applyProtection="1" pivotButton="0" quotePrefix="0" xfId="3">
      <alignment vertical="center" wrapText="1"/>
      <protection locked="0" hidden="0"/>
    </xf>
    <xf numFmtId="0" fontId="36" fillId="0" borderId="3" applyAlignment="1" applyProtection="1" pivotButton="0" quotePrefix="0" xfId="3">
      <alignment horizontal="left" vertical="center" wrapText="1"/>
      <protection locked="0" hidden="0"/>
    </xf>
    <xf numFmtId="0" fontId="26" fillId="0" borderId="80" applyAlignment="1" applyProtection="1" pivotButton="0" quotePrefix="0" xfId="1">
      <alignment horizontal="center" vertical="center" wrapText="1"/>
      <protection locked="0" hidden="0"/>
    </xf>
    <xf numFmtId="0" fontId="26" fillId="0" borderId="14" applyAlignment="1" applyProtection="1" pivotButton="0" quotePrefix="0" xfId="17">
      <alignment horizontal="left" vertical="center" wrapText="1"/>
      <protection locked="0" hidden="0"/>
    </xf>
    <xf numFmtId="0" fontId="26" fillId="0" borderId="14" applyAlignment="1" applyProtection="1" pivotButton="0" quotePrefix="0" xfId="2">
      <alignment vertical="center" wrapText="1"/>
      <protection locked="0" hidden="0"/>
    </xf>
    <xf numFmtId="0" fontId="31" fillId="0" borderId="14" applyAlignment="1" applyProtection="1" pivotButton="0" quotePrefix="0" xfId="3">
      <alignment horizontal="left" vertical="center" wrapText="1"/>
      <protection locked="0" hidden="0"/>
    </xf>
    <xf numFmtId="0" fontId="36" fillId="0" borderId="14" applyAlignment="1" applyProtection="1" pivotButton="0" quotePrefix="0" xfId="3">
      <alignment horizontal="left" vertical="center" wrapText="1"/>
      <protection locked="0" hidden="0"/>
    </xf>
    <xf numFmtId="0" fontId="26" fillId="0" borderId="81" applyAlignment="1" applyProtection="1" pivotButton="0" quotePrefix="0" xfId="17">
      <alignment horizontal="left" vertical="center" wrapText="1"/>
      <protection locked="0" hidden="0"/>
    </xf>
    <xf numFmtId="0" fontId="31" fillId="0" borderId="33" applyAlignment="1" applyProtection="1" pivotButton="0" quotePrefix="0" xfId="3">
      <alignment horizontal="center" vertical="center" wrapText="1"/>
      <protection locked="0" hidden="0"/>
    </xf>
    <xf numFmtId="0" fontId="26" fillId="0" borderId="3" applyAlignment="1" applyProtection="1" pivotButton="0" quotePrefix="0" xfId="1">
      <alignment horizontal="center" vertical="center" wrapText="1"/>
      <protection locked="0" hidden="0"/>
    </xf>
    <xf numFmtId="0" fontId="28" fillId="0" borderId="3" applyAlignment="1" applyProtection="1" pivotButton="0" quotePrefix="0" xfId="17">
      <alignment horizontal="left" vertical="center" wrapText="1"/>
      <protection locked="0" hidden="0"/>
    </xf>
    <xf numFmtId="0" fontId="31" fillId="0" borderId="11" applyAlignment="1" applyProtection="1" pivotButton="0" quotePrefix="0" xfId="3">
      <alignment horizontal="left" vertical="center" wrapText="1"/>
      <protection locked="0" hidden="0"/>
    </xf>
    <xf numFmtId="0" fontId="26" fillId="0" borderId="11" applyAlignment="1" applyProtection="1" pivotButton="0" quotePrefix="0" xfId="3">
      <alignment vertical="center" wrapText="1"/>
      <protection locked="0" hidden="0"/>
    </xf>
    <xf numFmtId="0" fontId="31" fillId="0" borderId="40" applyAlignment="1" applyProtection="1" pivotButton="0" quotePrefix="0" xfId="3">
      <alignment horizontal="center" vertical="center" wrapText="1"/>
      <protection locked="0" hidden="0"/>
    </xf>
    <xf numFmtId="0" fontId="49" fillId="4" borderId="21" applyAlignment="1" pivotButton="0" quotePrefix="0" xfId="3">
      <alignment horizontal="left" vertical="center" wrapText="1"/>
    </xf>
    <xf numFmtId="0" fontId="31" fillId="0" borderId="0" applyAlignment="1" applyProtection="1" pivotButton="0" quotePrefix="0" xfId="0">
      <alignment horizontal="left"/>
      <protection locked="0" hidden="0"/>
    </xf>
    <xf numFmtId="0" fontId="27" fillId="0" borderId="35" applyAlignment="1" applyProtection="1" pivotButton="0" quotePrefix="0" xfId="0">
      <alignment horizontal="left"/>
      <protection locked="0" hidden="0"/>
    </xf>
    <xf numFmtId="0" fontId="27" fillId="0" borderId="68" applyAlignment="1" applyProtection="1" pivotButton="0" quotePrefix="0" xfId="0">
      <alignment horizontal="left"/>
      <protection locked="0" hidden="0"/>
    </xf>
    <xf numFmtId="0" fontId="34" fillId="0" borderId="39" applyAlignment="1" applyProtection="1" pivotButton="0" quotePrefix="0" xfId="3">
      <alignment horizontal="left" vertical="center" wrapText="1"/>
      <protection locked="0" hidden="0"/>
    </xf>
    <xf numFmtId="0" fontId="31" fillId="0" borderId="1" applyAlignment="1" pivotButton="0" quotePrefix="0" xfId="0">
      <alignment horizontal="left" vertical="center" wrapText="1"/>
    </xf>
    <xf numFmtId="0" fontId="31" fillId="0" borderId="73" applyAlignment="1" applyProtection="1" pivotButton="0" quotePrefix="0" xfId="16">
      <alignment horizontal="left" vertical="top" wrapText="1"/>
      <protection locked="0" hidden="0"/>
    </xf>
    <xf numFmtId="0" fontId="9" fillId="0" borderId="0" applyAlignment="1" applyProtection="1" pivotButton="0" quotePrefix="0" xfId="3">
      <alignment horizontal="center" vertical="center"/>
      <protection locked="0" hidden="0"/>
    </xf>
    <xf numFmtId="0" fontId="31" fillId="0" borderId="2" applyAlignment="1" pivotButton="0" quotePrefix="0" xfId="3">
      <alignment horizontal="left" vertical="center" wrapText="1"/>
    </xf>
    <xf numFmtId="0" fontId="26" fillId="0" borderId="2" applyAlignment="1" applyProtection="1" pivotButton="0" quotePrefix="0" xfId="17">
      <alignment horizontal="left" vertical="center" wrapText="1"/>
      <protection locked="0" hidden="0"/>
    </xf>
    <xf numFmtId="0" fontId="31" fillId="0" borderId="21" applyAlignment="1" applyProtection="1" pivotButton="0" quotePrefix="0" xfId="3">
      <alignment horizontal="left" vertical="center" wrapText="1"/>
      <protection locked="0" hidden="0"/>
    </xf>
    <xf numFmtId="0" fontId="31" fillId="0" borderId="2" applyAlignment="1" applyProtection="1" pivotButton="0" quotePrefix="0" xfId="17">
      <alignment horizontal="left" vertical="center" wrapText="1"/>
      <protection locked="0" hidden="0"/>
    </xf>
    <xf numFmtId="164" fontId="43" fillId="0" borderId="0" applyAlignment="1" applyProtection="1" pivotButton="0" quotePrefix="0" xfId="0">
      <alignment horizontal="center" vertical="center"/>
      <protection locked="0" hidden="0"/>
    </xf>
    <xf numFmtId="9" fontId="43" fillId="0" borderId="0" applyAlignment="1" applyProtection="1" pivotButton="0" quotePrefix="0" xfId="11">
      <alignment horizontal="center" vertical="center"/>
      <protection locked="0" hidden="0"/>
    </xf>
    <xf numFmtId="0" fontId="26" fillId="0" borderId="3" applyAlignment="1" pivotButton="0" quotePrefix="0" xfId="2">
      <alignment horizontal="center" vertical="center" wrapText="1"/>
    </xf>
    <xf numFmtId="0" fontId="26" fillId="0" borderId="3" applyAlignment="1" pivotButton="0" quotePrefix="0" xfId="0">
      <alignment horizontal="center" vertical="center" wrapText="1"/>
    </xf>
    <xf numFmtId="0" fontId="26" fillId="0" borderId="19" applyAlignment="1" pivotButton="0" quotePrefix="0" xfId="2">
      <alignment horizontal="center" vertical="center" wrapText="1"/>
    </xf>
    <xf numFmtId="0" fontId="26" fillId="0" borderId="7" applyAlignment="1" applyProtection="1" pivotButton="0" quotePrefix="0" xfId="2">
      <alignment horizontal="center" vertical="center"/>
      <protection locked="0" hidden="0"/>
    </xf>
    <xf numFmtId="0" fontId="26" fillId="0" borderId="1" applyAlignment="1" applyProtection="1" pivotButton="0" quotePrefix="0" xfId="14">
      <alignment horizontal="center" vertical="center" wrapText="1"/>
      <protection locked="0" hidden="0"/>
    </xf>
    <xf numFmtId="0" fontId="26" fillId="0" borderId="1" applyAlignment="1" applyProtection="1" pivotButton="0" quotePrefix="0" xfId="0">
      <alignment horizontal="left" vertical="center" wrapText="1"/>
      <protection locked="0" hidden="0"/>
    </xf>
    <xf numFmtId="0" fontId="26" fillId="0" borderId="1" applyAlignment="1" applyProtection="1" pivotButton="0" quotePrefix="0" xfId="2">
      <alignment horizontal="center" vertical="center" wrapText="1"/>
      <protection locked="0" hidden="0"/>
    </xf>
    <xf numFmtId="0" fontId="26" fillId="0" borderId="1" applyAlignment="1" applyProtection="1" pivotButton="0" quotePrefix="0" xfId="0">
      <alignment horizontal="center" vertical="center" wrapText="1"/>
      <protection locked="0" hidden="0"/>
    </xf>
    <xf numFmtId="0" fontId="26" fillId="0" borderId="2" applyAlignment="1" applyProtection="1" pivotButton="0" quotePrefix="0" xfId="3">
      <alignment vertical="center" wrapText="1"/>
      <protection locked="0" hidden="0"/>
    </xf>
    <xf numFmtId="0" fontId="26" fillId="0" borderId="16" applyAlignment="1" applyProtection="1" pivotButton="0" quotePrefix="0" xfId="3">
      <alignment vertical="center" wrapText="1"/>
      <protection locked="0" hidden="0"/>
    </xf>
    <xf numFmtId="0" fontId="26" fillId="0" borderId="2" applyAlignment="1" applyProtection="1" pivotButton="0" quotePrefix="0" xfId="3">
      <alignment horizontal="left" vertical="center" wrapText="1"/>
      <protection locked="0" hidden="0"/>
    </xf>
    <xf numFmtId="0" fontId="26" fillId="0" borderId="78" applyAlignment="1" applyProtection="1" pivotButton="0" quotePrefix="0" xfId="2">
      <alignment horizontal="center" vertical="center"/>
      <protection locked="0" hidden="0"/>
    </xf>
    <xf numFmtId="0" fontId="26" fillId="0" borderId="78" applyAlignment="1" pivotButton="0" quotePrefix="0" xfId="14">
      <alignment horizontal="center" vertical="center" wrapText="1"/>
    </xf>
    <xf numFmtId="0" fontId="26" fillId="0" borderId="78" applyAlignment="1" pivotButton="0" quotePrefix="0" xfId="0">
      <alignment horizontal="center" vertical="center" wrapText="1"/>
    </xf>
    <xf numFmtId="0" fontId="26" fillId="0" borderId="78" applyAlignment="1" pivotButton="0" quotePrefix="0" xfId="2">
      <alignment horizontal="center" vertical="center" wrapText="1"/>
    </xf>
    <xf numFmtId="0" fontId="26" fillId="0" borderId="78" applyAlignment="1" applyProtection="1" pivotButton="0" quotePrefix="0" xfId="2">
      <alignment horizontal="center" vertical="center" wrapText="1"/>
      <protection locked="0" hidden="0"/>
    </xf>
    <xf numFmtId="0" fontId="26" fillId="0" borderId="78" applyAlignment="1" pivotButton="0" quotePrefix="0" xfId="3">
      <alignment horizontal="left" vertical="center" wrapText="1"/>
    </xf>
    <xf numFmtId="0" fontId="26" fillId="0" borderId="19" applyAlignment="1" pivotButton="0" quotePrefix="0" xfId="0">
      <alignment horizontal="left" vertical="center" wrapText="1"/>
    </xf>
    <xf numFmtId="0" fontId="26" fillId="0" borderId="19" applyAlignment="1" applyProtection="1" pivotButton="0" quotePrefix="0" xfId="0">
      <alignment horizontal="left" vertical="center" wrapText="1"/>
      <protection locked="0" hidden="0"/>
    </xf>
    <xf numFmtId="0" fontId="26" fillId="0" borderId="12" applyAlignment="1" applyProtection="1" pivotButton="0" quotePrefix="0" xfId="3">
      <alignment horizontal="left" vertical="center" wrapText="1"/>
      <protection locked="0" hidden="0"/>
    </xf>
    <xf numFmtId="0" fontId="26" fillId="0" borderId="53" applyAlignment="1" applyProtection="1" pivotButton="0" quotePrefix="0" xfId="3">
      <alignment horizontal="left" vertical="center" wrapText="1"/>
      <protection locked="0" hidden="0"/>
    </xf>
    <xf numFmtId="0" fontId="26" fillId="0" borderId="19" applyAlignment="1" pivotButton="0" quotePrefix="0" xfId="3">
      <alignment horizontal="left" vertical="center" wrapText="1"/>
    </xf>
    <xf numFmtId="0" fontId="26" fillId="0" borderId="78" applyAlignment="1" pivotButton="0" quotePrefix="0" xfId="3">
      <alignment vertical="center" wrapText="1"/>
    </xf>
    <xf numFmtId="0" fontId="26" fillId="0" borderId="78" applyAlignment="1" applyProtection="1" pivotButton="0" quotePrefix="0" xfId="17">
      <alignment horizontal="left" vertical="center" wrapText="1"/>
      <protection locked="0" hidden="0"/>
    </xf>
    <xf numFmtId="0" fontId="31" fillId="0" borderId="3" applyAlignment="1" pivotButton="0" quotePrefix="0" xfId="3">
      <alignment vertical="top" wrapText="1"/>
    </xf>
    <xf numFmtId="0" fontId="34" fillId="0" borderId="53" applyAlignment="1" applyProtection="1" pivotButton="0" quotePrefix="0" xfId="3">
      <alignment vertical="center" wrapText="1"/>
      <protection locked="0" hidden="0"/>
    </xf>
    <xf numFmtId="0" fontId="9" fillId="0" borderId="19" applyAlignment="1" pivotButton="0" quotePrefix="0" xfId="3">
      <alignment horizontal="center" vertical="center" wrapText="1"/>
    </xf>
    <xf numFmtId="0" fontId="31" fillId="0" borderId="55" applyAlignment="1" applyProtection="1" pivotButton="0" quotePrefix="0" xfId="2">
      <alignment horizontal="left" vertical="center" wrapText="1"/>
      <protection locked="0" hidden="0"/>
    </xf>
    <xf numFmtId="0" fontId="31" fillId="0" borderId="73" applyAlignment="1" applyProtection="1" pivotButton="0" quotePrefix="0" xfId="3">
      <alignment horizontal="left" vertical="center" wrapText="1"/>
      <protection locked="0" hidden="0"/>
    </xf>
    <xf numFmtId="0" fontId="27" fillId="0" borderId="17" applyAlignment="1" pivotButton="0" quotePrefix="0" xfId="3">
      <alignment horizontal="left" vertical="center" wrapText="1"/>
    </xf>
    <xf numFmtId="0" fontId="31" fillId="0" borderId="0" applyAlignment="1" pivotButton="0" quotePrefix="0" xfId="0">
      <alignment horizontal="left" vertical="center" wrapText="1"/>
    </xf>
    <xf numFmtId="0" fontId="9" fillId="0" borderId="0" applyAlignment="1" applyProtection="1" pivotButton="0" quotePrefix="0" xfId="3">
      <alignment horizontal="left" vertical="center"/>
      <protection locked="0" hidden="0"/>
    </xf>
    <xf numFmtId="0" fontId="26" fillId="0" borderId="1" applyAlignment="1" pivotButton="0" quotePrefix="0" xfId="3">
      <alignment horizontal="left" vertical="center" wrapText="1"/>
    </xf>
    <xf numFmtId="0" fontId="31" fillId="0" borderId="1" applyAlignment="1" pivotButton="0" quotePrefix="0" xfId="3">
      <alignment horizontal="center" vertical="center"/>
    </xf>
    <xf numFmtId="0" fontId="34" fillId="0" borderId="19" applyAlignment="1" applyProtection="1" pivotButton="0" quotePrefix="0" xfId="0">
      <alignment horizontal="left" vertical="center" wrapText="1"/>
      <protection locked="0" hidden="0"/>
    </xf>
    <xf numFmtId="0" fontId="34" fillId="0" borderId="19" applyAlignment="1" applyProtection="1" pivotButton="0" quotePrefix="0" xfId="0">
      <alignment horizontal="center" vertical="center" wrapText="1"/>
      <protection locked="0" hidden="0"/>
    </xf>
    <xf numFmtId="0" fontId="51" fillId="0" borderId="78" applyAlignment="1" pivotButton="0" quotePrefix="0" xfId="2">
      <alignment horizontal="left" vertical="center" wrapText="1"/>
    </xf>
    <xf numFmtId="0" fontId="31" fillId="0" borderId="52" applyAlignment="1" pivotButton="0" quotePrefix="0" xfId="3">
      <alignment horizontal="left" vertical="center" wrapText="1"/>
    </xf>
    <xf numFmtId="0" fontId="26" fillId="0" borderId="3" applyAlignment="1" pivotButton="0" quotePrefix="0" xfId="3">
      <alignment horizontal="left" vertical="center" wrapText="1"/>
    </xf>
    <xf numFmtId="0" fontId="31" fillId="0" borderId="1" applyAlignment="1" pivotButton="0" quotePrefix="0" xfId="0">
      <alignment horizontal="center" vertical="center"/>
    </xf>
    <xf numFmtId="0" fontId="31" fillId="0" borderId="16" applyAlignment="1" pivotButton="0" quotePrefix="0" xfId="0">
      <alignment horizontal="center" vertical="center"/>
    </xf>
    <xf numFmtId="0" fontId="31" fillId="0" borderId="16" applyAlignment="1" pivotButton="0" quotePrefix="0" xfId="0">
      <alignment vertical="center"/>
    </xf>
    <xf numFmtId="0" fontId="31" fillId="0" borderId="19" applyAlignment="1" applyProtection="1" pivotButton="0" quotePrefix="0" xfId="0">
      <alignment vertical="center"/>
      <protection locked="0" hidden="0"/>
    </xf>
    <xf numFmtId="0" fontId="31" fillId="0" borderId="16" applyAlignment="1" pivotButton="0" quotePrefix="0" xfId="0">
      <alignment horizontal="left" vertical="center"/>
    </xf>
    <xf numFmtId="0" fontId="31" fillId="0" borderId="15" applyAlignment="1" pivotButton="0" quotePrefix="0" xfId="3">
      <alignment horizontal="left" vertical="center" wrapText="1"/>
    </xf>
    <xf numFmtId="0" fontId="31" fillId="0" borderId="19" applyAlignment="1" pivotButton="0" quotePrefix="0" xfId="2">
      <alignment horizontal="left" vertical="center" wrapText="1"/>
    </xf>
    <xf numFmtId="0" fontId="31" fillId="0" borderId="62" applyAlignment="1" pivotButton="0" quotePrefix="0" xfId="3">
      <alignment horizontal="left" vertical="center" wrapText="1"/>
    </xf>
    <xf numFmtId="0" fontId="31" fillId="0" borderId="47" applyAlignment="1" applyProtection="1" pivotButton="0" quotePrefix="0" xfId="3">
      <alignment horizontal="left" vertical="center" wrapText="1"/>
      <protection locked="0" hidden="0"/>
    </xf>
    <xf numFmtId="0" fontId="31" fillId="0" borderId="10" applyAlignment="1" applyProtection="1" pivotButton="0" quotePrefix="0" xfId="0">
      <alignment horizontal="left" vertical="center" wrapText="1"/>
      <protection locked="0" hidden="0"/>
    </xf>
    <xf numFmtId="0" fontId="31" fillId="0" borderId="17" applyAlignment="1" applyProtection="1" pivotButton="0" quotePrefix="0" xfId="0">
      <alignment horizontal="left" vertical="center" wrapText="1"/>
      <protection locked="0" hidden="0"/>
    </xf>
    <xf numFmtId="0" fontId="9" fillId="0" borderId="78" applyAlignment="1" pivotButton="0" quotePrefix="0" xfId="2">
      <alignment horizontal="center" vertical="center" wrapText="1"/>
    </xf>
    <xf numFmtId="0" fontId="31" fillId="0" borderId="17" applyAlignment="1" applyProtection="1" pivotButton="0" quotePrefix="0" xfId="3">
      <alignment horizontal="left" vertical="center" wrapText="1"/>
      <protection locked="0" hidden="0"/>
    </xf>
    <xf numFmtId="0" fontId="31" fillId="0" borderId="6" applyAlignment="1" applyProtection="1" pivotButton="0" quotePrefix="0" xfId="2">
      <alignment horizontal="center" vertical="center"/>
      <protection locked="0" hidden="0"/>
    </xf>
    <xf numFmtId="0" fontId="34" fillId="0" borderId="38" applyAlignment="1" applyProtection="1" pivotButton="0" quotePrefix="0" xfId="3">
      <alignment horizontal="left" vertical="center" wrapText="1"/>
      <protection locked="0" hidden="0"/>
    </xf>
    <xf numFmtId="0" fontId="31" fillId="0" borderId="14" applyAlignment="1" applyProtection="1" pivotButton="0" quotePrefix="0" xfId="14">
      <alignment horizontal="center" vertical="center" wrapText="1"/>
      <protection locked="0" hidden="0"/>
    </xf>
    <xf numFmtId="0" fontId="31" fillId="0" borderId="14" applyAlignment="1" applyProtection="1" pivotButton="0" quotePrefix="0" xfId="3">
      <alignment vertical="center" wrapText="1"/>
      <protection locked="0" hidden="0"/>
    </xf>
    <xf numFmtId="0" fontId="31" fillId="0" borderId="14" applyAlignment="1" applyProtection="1" pivotButton="0" quotePrefix="0" xfId="2">
      <alignment horizontal="left" vertical="center" wrapText="1"/>
      <protection locked="0" hidden="0"/>
    </xf>
    <xf numFmtId="0" fontId="31" fillId="0" borderId="14" applyAlignment="1" applyProtection="1" pivotButton="0" quotePrefix="0" xfId="3">
      <alignment horizontal="center" vertical="center" wrapText="1"/>
      <protection locked="0" hidden="0"/>
    </xf>
    <xf numFmtId="0" fontId="34" fillId="0" borderId="14" applyAlignment="1" applyProtection="1" pivotButton="0" quotePrefix="0" xfId="3">
      <alignment vertical="center" wrapText="1"/>
      <protection locked="0" hidden="0"/>
    </xf>
    <xf numFmtId="0" fontId="34" fillId="0" borderId="76" applyAlignment="1" applyProtection="1" pivotButton="0" quotePrefix="0" xfId="3">
      <alignment vertical="center" wrapText="1"/>
      <protection locked="0" hidden="0"/>
    </xf>
    <xf numFmtId="0" fontId="34" fillId="0" borderId="33" applyAlignment="1" applyProtection="1" pivotButton="0" quotePrefix="0" xfId="3">
      <alignment horizontal="left" vertical="center" wrapText="1"/>
      <protection locked="0" hidden="0"/>
    </xf>
    <xf numFmtId="0" fontId="31" fillId="0" borderId="1" applyAlignment="1" applyProtection="1" pivotButton="0" quotePrefix="0" xfId="3">
      <alignment horizontal="center" vertical="center" wrapText="1"/>
      <protection locked="0" hidden="0"/>
    </xf>
    <xf numFmtId="0" fontId="31" fillId="0" borderId="1" applyProtection="1" pivotButton="0" quotePrefix="0" xfId="3">
      <protection locked="0" hidden="0"/>
    </xf>
    <xf numFmtId="0" fontId="31" fillId="0" borderId="16" applyProtection="1" pivotButton="0" quotePrefix="0" xfId="3">
      <protection locked="0" hidden="0"/>
    </xf>
    <xf numFmtId="0" fontId="34" fillId="0" borderId="1" applyAlignment="1" applyProtection="1" pivotButton="0" quotePrefix="0" xfId="3">
      <alignment vertical="center" wrapText="1"/>
      <protection locked="0" hidden="0"/>
    </xf>
    <xf numFmtId="0" fontId="34" fillId="0" borderId="16" applyAlignment="1" applyProtection="1" pivotButton="0" quotePrefix="0" xfId="3">
      <alignment vertical="center" wrapText="1"/>
      <protection locked="0" hidden="0"/>
    </xf>
    <xf numFmtId="0" fontId="34" fillId="0" borderId="11" applyAlignment="1" applyProtection="1" pivotButton="0" quotePrefix="0" xfId="3">
      <alignment vertical="center" wrapText="1"/>
      <protection locked="0" hidden="0"/>
    </xf>
    <xf numFmtId="0" fontId="34" fillId="0" borderId="20" applyAlignment="1" applyProtection="1" pivotButton="0" quotePrefix="0" xfId="3">
      <alignment vertical="center" wrapText="1"/>
      <protection locked="0" hidden="0"/>
    </xf>
    <xf numFmtId="0" fontId="31" fillId="0" borderId="2" applyAlignment="1" applyProtection="1" pivotButton="0" quotePrefix="0" xfId="3">
      <alignment horizontal="left" vertical="center" wrapText="1"/>
      <protection locked="0" hidden="0"/>
    </xf>
    <xf numFmtId="0" fontId="31" fillId="0" borderId="4" applyAlignment="1" applyProtection="1" pivotButton="0" quotePrefix="0" xfId="14">
      <alignment horizontal="center" vertical="center" wrapText="1"/>
      <protection locked="0" hidden="0"/>
    </xf>
    <xf numFmtId="0" fontId="31" fillId="0" borderId="4" applyAlignment="1" applyProtection="1" pivotButton="0" quotePrefix="0" xfId="0">
      <alignment horizontal="center" vertical="center" wrapText="1"/>
      <protection locked="0" hidden="0"/>
    </xf>
    <xf numFmtId="0" fontId="31" fillId="0" borderId="14" applyAlignment="1" applyProtection="1" pivotButton="0" quotePrefix="0" xfId="0">
      <alignment horizontal="left" vertical="center" wrapText="1"/>
      <protection locked="0" hidden="0"/>
    </xf>
    <xf numFmtId="0" fontId="31" fillId="0" borderId="4" applyAlignment="1" applyProtection="1" pivotButton="0" quotePrefix="0" xfId="2">
      <alignment horizontal="center" vertical="center" wrapText="1"/>
      <protection locked="0" hidden="0"/>
    </xf>
    <xf numFmtId="0" fontId="31" fillId="0" borderId="4" applyAlignment="1" applyProtection="1" pivotButton="0" quotePrefix="0" xfId="3">
      <alignment horizontal="left" vertical="center" wrapText="1"/>
      <protection locked="0" hidden="0"/>
    </xf>
    <xf numFmtId="0" fontId="31" fillId="0" borderId="18" applyAlignment="1" applyProtection="1" pivotButton="0" quotePrefix="0" xfId="3">
      <alignment horizontal="center" vertical="center" wrapText="1"/>
      <protection locked="0" hidden="0"/>
    </xf>
    <xf numFmtId="0" fontId="31" fillId="0" borderId="18" applyAlignment="1" applyProtection="1" pivotButton="0" quotePrefix="0" xfId="3">
      <alignment horizontal="left" vertical="center" wrapText="1"/>
      <protection locked="0" hidden="0"/>
    </xf>
    <xf numFmtId="0" fontId="26" fillId="0" borderId="8" applyAlignment="1" applyProtection="1" pivotButton="0" quotePrefix="0" xfId="2">
      <alignment horizontal="center" vertical="center"/>
      <protection locked="0" hidden="0"/>
    </xf>
    <xf numFmtId="0" fontId="26" fillId="0" borderId="73" applyAlignment="1" applyProtection="1" pivotButton="0" quotePrefix="0" xfId="14">
      <alignment horizontal="center" vertical="center" wrapText="1"/>
      <protection locked="0" hidden="0"/>
    </xf>
    <xf numFmtId="0" fontId="26" fillId="0" borderId="1" applyAlignment="1" applyProtection="1" pivotButton="0" quotePrefix="0" xfId="3">
      <alignment horizontal="center" vertical="center" wrapText="1"/>
      <protection locked="0" hidden="0"/>
    </xf>
    <xf numFmtId="0" fontId="26" fillId="0" borderId="16" applyAlignment="1" applyProtection="1" pivotButton="0" quotePrefix="0" xfId="2">
      <alignment horizontal="center" vertical="center" wrapText="1"/>
      <protection locked="0" hidden="0"/>
    </xf>
    <xf numFmtId="0" fontId="26" fillId="0" borderId="39" applyAlignment="1" applyProtection="1" pivotButton="0" quotePrefix="0" xfId="3">
      <alignment horizontal="center" vertical="center" wrapText="1"/>
      <protection locked="0" hidden="0"/>
    </xf>
    <xf numFmtId="0" fontId="26" fillId="0" borderId="78" applyAlignment="1" applyProtection="1" pivotButton="0" quotePrefix="0" xfId="14">
      <alignment horizontal="center" vertical="center" wrapText="1"/>
      <protection locked="0" hidden="0"/>
    </xf>
    <xf numFmtId="0" fontId="26" fillId="0" borderId="11" applyAlignment="1" applyProtection="1" pivotButton="0" quotePrefix="0" xfId="14">
      <alignment horizontal="center" vertical="center" wrapText="1"/>
      <protection locked="0" hidden="0"/>
    </xf>
    <xf numFmtId="0" fontId="26" fillId="0" borderId="11" applyAlignment="1" applyProtection="1" pivotButton="0" quotePrefix="0" xfId="2">
      <alignment horizontal="center" vertical="center" wrapText="1"/>
      <protection locked="0" hidden="0"/>
    </xf>
    <xf numFmtId="0" fontId="26" fillId="0" borderId="11" applyAlignment="1" applyProtection="1" pivotButton="0" quotePrefix="0" xfId="2">
      <alignment vertical="center" wrapText="1"/>
      <protection locked="0" hidden="0"/>
    </xf>
    <xf numFmtId="0" fontId="26" fillId="0" borderId="11" applyAlignment="1" applyProtection="1" pivotButton="0" quotePrefix="0" xfId="3">
      <alignment horizontal="center" vertical="center" wrapText="1"/>
      <protection locked="0" hidden="0"/>
    </xf>
    <xf numFmtId="0" fontId="26" fillId="0" borderId="20" applyAlignment="1" applyProtection="1" pivotButton="0" quotePrefix="0" xfId="2">
      <alignment horizontal="center" vertical="center" wrapText="1"/>
      <protection locked="0" hidden="0"/>
    </xf>
    <xf numFmtId="0" fontId="26" fillId="0" borderId="20" applyAlignment="1" applyProtection="1" pivotButton="0" quotePrefix="0" xfId="3">
      <alignment horizontal="left" vertical="center" wrapText="1"/>
      <protection locked="0" hidden="0"/>
    </xf>
    <xf numFmtId="0" fontId="26" fillId="0" borderId="40" applyAlignment="1" applyProtection="1" pivotButton="0" quotePrefix="0" xfId="3">
      <alignment horizontal="center" vertical="center" wrapText="1"/>
      <protection locked="0" hidden="0"/>
    </xf>
    <xf numFmtId="0" fontId="26" fillId="0" borderId="9" applyAlignment="1" applyProtection="1" pivotButton="0" quotePrefix="0" xfId="2">
      <alignment horizontal="center" vertical="center"/>
      <protection locked="0" hidden="0"/>
    </xf>
    <xf numFmtId="0" fontId="42" fillId="0" borderId="3" applyAlignment="1" applyProtection="1" pivotButton="0" quotePrefix="0" xfId="2">
      <alignment vertical="center" wrapText="1"/>
      <protection locked="0" hidden="0"/>
    </xf>
    <xf numFmtId="0" fontId="26" fillId="0" borderId="3" applyAlignment="1" applyProtection="1" pivotButton="0" quotePrefix="0" xfId="14">
      <alignment horizontal="center" vertical="center" wrapText="1"/>
      <protection locked="0" hidden="0"/>
    </xf>
    <xf numFmtId="0" fontId="26" fillId="0" borderId="3" applyAlignment="1" applyProtection="1" pivotButton="0" quotePrefix="0" xfId="2">
      <alignment horizontal="center" vertical="center" wrapText="1"/>
      <protection locked="0" hidden="0"/>
    </xf>
    <xf numFmtId="0" fontId="26" fillId="0" borderId="3" applyAlignment="1" applyProtection="1" pivotButton="0" quotePrefix="0" xfId="3">
      <alignment horizontal="center" vertical="center" wrapText="1"/>
      <protection locked="0" hidden="0"/>
    </xf>
    <xf numFmtId="0" fontId="26" fillId="0" borderId="19" applyAlignment="1" applyProtection="1" pivotButton="0" quotePrefix="0" xfId="2">
      <alignment horizontal="center" vertical="center" wrapText="1"/>
      <protection locked="0" hidden="0"/>
    </xf>
    <xf numFmtId="0" fontId="26" fillId="0" borderId="19" applyAlignment="1" applyProtection="1" pivotButton="0" quotePrefix="0" xfId="3">
      <alignment horizontal="left" vertical="center" wrapText="1"/>
      <protection locked="0" hidden="0"/>
    </xf>
    <xf numFmtId="0" fontId="26" fillId="0" borderId="53" applyAlignment="1" applyProtection="1" pivotButton="0" quotePrefix="0" xfId="3">
      <alignment horizontal="center" vertical="center" wrapText="1"/>
      <protection locked="0" hidden="0"/>
    </xf>
    <xf numFmtId="0" fontId="26" fillId="0" borderId="2" applyAlignment="1" applyProtection="1" pivotButton="0" quotePrefix="0" xfId="14">
      <alignment horizontal="center" vertical="center" wrapText="1"/>
      <protection locked="0" hidden="0"/>
    </xf>
    <xf numFmtId="0" fontId="26" fillId="0" borderId="2" applyAlignment="1" applyProtection="1" pivotButton="0" quotePrefix="0" xfId="1">
      <alignment horizontal="center" vertical="center" wrapText="1"/>
      <protection locked="0" hidden="0"/>
    </xf>
    <xf numFmtId="0" fontId="26" fillId="0" borderId="2" applyAlignment="1" applyProtection="1" pivotButton="0" quotePrefix="0" xfId="2">
      <alignment horizontal="center" vertical="center" wrapText="1"/>
      <protection locked="0" hidden="0"/>
    </xf>
    <xf numFmtId="0" fontId="26" fillId="0" borderId="0" applyAlignment="1" applyProtection="1" pivotButton="0" quotePrefix="0" xfId="3">
      <alignment horizontal="left" vertical="center" wrapText="1"/>
      <protection locked="0" hidden="0"/>
    </xf>
    <xf numFmtId="0" fontId="26" fillId="0" borderId="51" applyAlignment="1" applyProtection="1" pivotButton="0" quotePrefix="0" xfId="3">
      <alignment horizontal="center" vertical="center" wrapText="1"/>
      <protection locked="0" hidden="0"/>
    </xf>
    <xf numFmtId="0" fontId="26" fillId="0" borderId="2" applyAlignment="1" applyProtection="1" pivotButton="0" quotePrefix="0" xfId="0">
      <alignment horizontal="center" vertical="center" wrapText="1"/>
      <protection locked="0" hidden="0"/>
    </xf>
    <xf numFmtId="0" fontId="26" fillId="0" borderId="7" applyAlignment="1" applyProtection="1" pivotButton="0" quotePrefix="0" xfId="2">
      <alignment horizontal="center" vertical="center" wrapText="1"/>
      <protection locked="0" hidden="0"/>
    </xf>
    <xf numFmtId="0" fontId="26" fillId="0" borderId="3" applyAlignment="1" pivotButton="0" quotePrefix="0" xfId="14">
      <alignment horizontal="center" vertical="center" wrapText="1"/>
    </xf>
    <xf numFmtId="0" fontId="26" fillId="0" borderId="3" applyAlignment="1" pivotButton="0" quotePrefix="0" xfId="17">
      <alignment horizontal="left" vertical="center" wrapText="1"/>
    </xf>
    <xf numFmtId="0" fontId="26" fillId="0" borderId="3" applyAlignment="1" pivotButton="0" quotePrefix="0" xfId="3">
      <alignment horizontal="center" vertical="center" wrapText="1"/>
    </xf>
    <xf numFmtId="0" fontId="26" fillId="0" borderId="1" applyAlignment="1" pivotButton="0" quotePrefix="0" xfId="2">
      <alignment horizontal="center" vertical="center" wrapText="1"/>
    </xf>
    <xf numFmtId="0" fontId="26" fillId="0" borderId="38" applyAlignment="1" applyProtection="1" pivotButton="0" quotePrefix="0" xfId="3">
      <alignment horizontal="left" vertical="center" wrapText="1"/>
      <protection locked="0" hidden="0"/>
    </xf>
    <xf numFmtId="164" fontId="43" fillId="0" borderId="0" applyAlignment="1" pivotButton="0" quotePrefix="0" xfId="0">
      <alignment horizontal="center" vertical="center" wrapText="1"/>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3">
      <alignment wrapText="1"/>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3">
      <alignment vertical="center" wrapText="1"/>
      <protection locked="0" hidden="0"/>
    </xf>
    <xf numFmtId="0" fontId="1" fillId="0" borderId="0" applyAlignment="1" applyProtection="1" pivotButton="0" quotePrefix="0" xfId="3">
      <alignment horizontal="center" vertical="center" wrapText="1"/>
      <protection locked="0" hidden="0"/>
    </xf>
    <xf numFmtId="0" fontId="26" fillId="0" borderId="78" applyAlignment="1" applyProtection="1" pivotButton="0" quotePrefix="0" xfId="2">
      <alignment horizontal="left" vertical="center" wrapText="1"/>
      <protection locked="0" hidden="0"/>
    </xf>
    <xf numFmtId="0" fontId="26" fillId="0" borderId="1" applyAlignment="1" pivotButton="0" quotePrefix="0" xfId="0">
      <alignment horizontal="center" vertical="center" wrapText="1"/>
    </xf>
    <xf numFmtId="0" fontId="43" fillId="0" borderId="3" applyAlignment="1" pivotButton="0" quotePrefix="0" xfId="0">
      <alignment horizontal="center" vertical="center" wrapText="1"/>
    </xf>
    <xf numFmtId="0" fontId="26" fillId="0" borderId="6" applyAlignment="1" applyProtection="1" pivotButton="0" quotePrefix="0" xfId="2">
      <alignment horizontal="center" vertical="center"/>
      <protection locked="0" hidden="0"/>
    </xf>
    <xf numFmtId="0" fontId="26" fillId="0" borderId="71" applyAlignment="1" pivotButton="0" quotePrefix="0" xfId="2">
      <alignment horizontal="center" vertical="center" wrapText="1"/>
    </xf>
    <xf numFmtId="0" fontId="26" fillId="0" borderId="71" applyAlignment="1" applyProtection="1" pivotButton="0" quotePrefix="0" xfId="2">
      <alignment horizontal="center" vertical="center" wrapText="1"/>
      <protection locked="0" hidden="0"/>
    </xf>
    <xf numFmtId="0" fontId="26" fillId="0" borderId="71" applyAlignment="1" applyProtection="1" pivotButton="0" quotePrefix="0" xfId="0">
      <alignment horizontal="center" vertical="center" wrapText="1"/>
      <protection locked="0" hidden="0"/>
    </xf>
    <xf numFmtId="0" fontId="26" fillId="0" borderId="17" applyAlignment="1" applyProtection="1" pivotButton="0" quotePrefix="0" xfId="3">
      <alignment horizontal="left" vertical="center" wrapText="1"/>
      <protection locked="0" hidden="0"/>
    </xf>
    <xf numFmtId="0" fontId="26" fillId="0" borderId="23" applyAlignment="1" applyProtection="1" pivotButton="0" quotePrefix="0" xfId="3">
      <alignment horizontal="left" vertical="center" wrapText="1"/>
      <protection locked="0" hidden="0"/>
    </xf>
    <xf numFmtId="0" fontId="26" fillId="0" borderId="71" applyAlignment="1" applyProtection="1" pivotButton="0" quotePrefix="0" xfId="3">
      <alignment horizontal="left" vertical="center" wrapText="1"/>
      <protection locked="0" hidden="0"/>
    </xf>
    <xf numFmtId="0" fontId="26" fillId="0" borderId="19" applyAlignment="1" pivotButton="0" quotePrefix="0" xfId="3">
      <alignment horizontal="center" vertical="center" wrapText="1"/>
    </xf>
    <xf numFmtId="0" fontId="52" fillId="0" borderId="21" applyAlignment="1" pivotButton="0" quotePrefix="0" xfId="3">
      <alignment horizontal="left" vertical="center" wrapText="1"/>
    </xf>
    <xf numFmtId="0" fontId="52" fillId="0" borderId="21" applyAlignment="1" applyProtection="1" pivotButton="0" quotePrefix="0" xfId="3">
      <alignment horizontal="left" vertical="center" wrapText="1"/>
      <protection locked="0" hidden="0"/>
    </xf>
    <xf numFmtId="0" fontId="52" fillId="0" borderId="65" applyAlignment="1" applyProtection="1" pivotButton="0" quotePrefix="0" xfId="0">
      <alignment horizontal="left" vertical="center" wrapText="1"/>
      <protection locked="0" hidden="0"/>
    </xf>
    <xf numFmtId="0" fontId="52" fillId="0" borderId="32" applyAlignment="1" applyProtection="1" pivotButton="0" quotePrefix="0" xfId="3">
      <alignment horizontal="left" vertical="center" wrapText="1"/>
      <protection locked="0" hidden="0"/>
    </xf>
    <xf numFmtId="164" fontId="52" fillId="0" borderId="0" applyAlignment="1" pivotButton="0" quotePrefix="0" xfId="0">
      <alignment horizontal="center" vertical="center" wrapText="1"/>
    </xf>
    <xf numFmtId="9" fontId="52" fillId="0" borderId="0" applyAlignment="1" pivotButton="0" quotePrefix="0" xfId="11">
      <alignment horizontal="center" vertical="center"/>
    </xf>
    <xf numFmtId="164" fontId="52" fillId="0" borderId="0" applyAlignment="1" pivotButton="0" quotePrefix="0" xfId="0">
      <alignment horizontal="center" vertical="center"/>
    </xf>
    <xf numFmtId="0" fontId="53" fillId="0" borderId="0" applyAlignment="1" applyProtection="1" pivotButton="0" quotePrefix="0" xfId="0">
      <alignment horizontal="center" vertical="center"/>
      <protection locked="0" hidden="0"/>
    </xf>
    <xf numFmtId="0" fontId="53" fillId="0" borderId="0" applyProtection="1" pivotButton="0" quotePrefix="0" xfId="0">
      <protection locked="0" hidden="0"/>
    </xf>
    <xf numFmtId="0" fontId="53" fillId="0" borderId="0" applyAlignment="1" applyProtection="1" pivotButton="0" quotePrefix="0" xfId="0">
      <alignment vertical="center"/>
      <protection locked="0" hidden="0"/>
    </xf>
    <xf numFmtId="0" fontId="53" fillId="0" borderId="0" applyAlignment="1" applyProtection="1" pivotButton="0" quotePrefix="0" xfId="3">
      <alignment horizontal="center" vertical="center" wrapText="1"/>
      <protection locked="0" hidden="0"/>
    </xf>
    <xf numFmtId="0" fontId="31" fillId="8" borderId="19" applyAlignment="1" applyProtection="1" pivotButton="0" quotePrefix="0" xfId="3">
      <alignment horizontal="left" vertical="center" wrapText="1"/>
      <protection locked="0" hidden="0"/>
    </xf>
    <xf numFmtId="0" fontId="31" fillId="0" borderId="2" applyAlignment="1" pivotButton="0" quotePrefix="0" xfId="2">
      <alignment horizontal="left" vertical="center" wrapText="1"/>
    </xf>
    <xf numFmtId="0" fontId="31" fillId="0" borderId="83" applyAlignment="1" pivotButton="0" quotePrefix="0" xfId="2">
      <alignment horizontal="left" vertical="center" wrapText="1"/>
    </xf>
    <xf numFmtId="0" fontId="31" fillId="0" borderId="16" applyAlignment="1" pivotButton="0" quotePrefix="0" xfId="0">
      <alignment vertical="center" wrapText="1"/>
    </xf>
    <xf numFmtId="0" fontId="31" fillId="0" borderId="4" applyAlignment="1" applyProtection="1" pivotButton="0" quotePrefix="0" xfId="2">
      <alignment horizontal="left" vertical="top" wrapText="1"/>
      <protection locked="0" hidden="0"/>
    </xf>
    <xf numFmtId="0" fontId="31" fillId="0" borderId="2" applyAlignment="1" applyProtection="1" pivotButton="0" quotePrefix="0" xfId="16">
      <alignment horizontal="left" vertical="center" wrapText="1"/>
      <protection locked="0" hidden="0"/>
    </xf>
    <xf numFmtId="0" fontId="32" fillId="0" borderId="84" applyAlignment="1" pivotButton="0" quotePrefix="0" xfId="0">
      <alignment horizontal="left" vertical="center" wrapText="1"/>
    </xf>
    <xf numFmtId="0" fontId="31" fillId="0" borderId="78" applyAlignment="1" pivotButton="0" quotePrefix="0" xfId="3">
      <alignment horizontal="left" vertical="top" wrapText="1"/>
    </xf>
    <xf numFmtId="0" fontId="27" fillId="0" borderId="19" applyAlignment="1" pivotButton="0" quotePrefix="0" xfId="3">
      <alignment horizontal="left" vertical="center" wrapText="1"/>
    </xf>
    <xf numFmtId="0" fontId="31" fillId="0" borderId="78" applyAlignment="1" applyProtection="1" pivotButton="0" quotePrefix="0" xfId="3">
      <alignment horizontal="left" vertical="center" wrapText="1"/>
      <protection locked="0" hidden="0"/>
    </xf>
    <xf numFmtId="0" fontId="27" fillId="0" borderId="19" applyAlignment="1" applyProtection="1" pivotButton="0" quotePrefix="0" xfId="3">
      <alignment horizontal="left" vertical="center" wrapText="1"/>
      <protection locked="0" hidden="0"/>
    </xf>
    <xf numFmtId="0" fontId="34" fillId="0" borderId="16" applyAlignment="1" applyProtection="1" pivotButton="0" quotePrefix="0" xfId="0">
      <alignment horizontal="left" vertical="center" wrapText="1"/>
      <protection locked="0" hidden="0"/>
    </xf>
    <xf numFmtId="0" fontId="34" fillId="0" borderId="37" applyAlignment="1" applyProtection="1" pivotButton="0" quotePrefix="0" xfId="3">
      <alignment horizontal="center" vertical="center" wrapText="1"/>
      <protection locked="0" hidden="0"/>
    </xf>
    <xf numFmtId="0" fontId="31" fillId="0" borderId="2" applyAlignment="1" pivotButton="0" quotePrefix="0" xfId="2">
      <alignment horizontal="center" vertical="center"/>
    </xf>
    <xf numFmtId="0" fontId="34" fillId="0" borderId="17" applyAlignment="1" applyProtection="1" pivotButton="0" quotePrefix="0" xfId="0">
      <alignment horizontal="left" vertical="center" wrapText="1"/>
      <protection locked="0" hidden="0"/>
    </xf>
    <xf numFmtId="0" fontId="31" fillId="0" borderId="23" applyAlignment="1" applyProtection="1" pivotButton="0" quotePrefix="0" xfId="3">
      <alignment horizontal="left" vertical="center" wrapText="1"/>
      <protection locked="0" hidden="0"/>
    </xf>
    <xf numFmtId="0" fontId="27" fillId="0" borderId="16" applyAlignment="1" applyProtection="1" pivotButton="0" quotePrefix="0" xfId="3">
      <alignment horizontal="left" vertical="center" wrapText="1"/>
      <protection locked="0" hidden="0"/>
    </xf>
    <xf numFmtId="0" fontId="27" fillId="0" borderId="17" applyAlignment="1" applyProtection="1" pivotButton="0" quotePrefix="0" xfId="3">
      <alignment horizontal="left" vertical="center" wrapText="1"/>
      <protection locked="0" hidden="0"/>
    </xf>
    <xf numFmtId="0" fontId="31" fillId="0" borderId="78" applyAlignment="1" pivotButton="0" quotePrefix="0" xfId="0">
      <alignment vertical="center" wrapText="1"/>
    </xf>
    <xf numFmtId="0" fontId="31" fillId="0" borderId="78" applyAlignment="1" applyProtection="1" pivotButton="0" quotePrefix="0" xfId="16">
      <alignment horizontal="left" vertical="center" wrapText="1"/>
      <protection locked="0" hidden="0"/>
    </xf>
    <xf numFmtId="0" fontId="31" fillId="0" borderId="78" applyAlignment="1" applyProtection="1" pivotButton="0" quotePrefix="0" xfId="1">
      <alignment horizontal="center" vertical="center" wrapText="1"/>
      <protection locked="0" hidden="0"/>
    </xf>
    <xf numFmtId="0" fontId="32" fillId="0" borderId="85" applyAlignment="1" pivotButton="0" quotePrefix="0" xfId="0">
      <alignment horizontal="left" vertical="center" wrapText="1"/>
    </xf>
    <xf numFmtId="0" fontId="27" fillId="0" borderId="16" applyAlignment="1" pivotButton="0" quotePrefix="0" xfId="2">
      <alignment horizontal="left" vertical="center" wrapText="1"/>
    </xf>
    <xf numFmtId="0" fontId="27" fillId="0" borderId="21" applyAlignment="1" applyProtection="1" pivotButton="0" quotePrefix="0" xfId="3">
      <alignment horizontal="left" vertical="center" wrapText="1"/>
      <protection locked="0" hidden="0"/>
    </xf>
    <xf numFmtId="0" fontId="9" fillId="0" borderId="0" applyAlignment="1" applyProtection="1" pivotButton="0" quotePrefix="0" xfId="0">
      <alignment horizontal="left" vertical="center"/>
      <protection locked="0" hidden="0"/>
    </xf>
    <xf numFmtId="0" fontId="27" fillId="0" borderId="16" applyAlignment="1" applyProtection="1" pivotButton="0" quotePrefix="0" xfId="2">
      <alignment horizontal="left" vertical="center" wrapText="1"/>
      <protection locked="0" hidden="0"/>
    </xf>
    <xf numFmtId="0" fontId="31" fillId="0" borderId="78" applyAlignment="1" pivotButton="0" quotePrefix="0" xfId="3">
      <alignment vertical="top" wrapText="1"/>
    </xf>
    <xf numFmtId="0" fontId="27" fillId="0" borderId="39" applyAlignment="1" applyProtection="1" pivotButton="0" quotePrefix="0" xfId="3">
      <alignment horizontal="center" vertical="center" wrapText="1"/>
      <protection locked="0" hidden="0"/>
    </xf>
    <xf numFmtId="0" fontId="27" fillId="0" borderId="19" applyAlignment="1" pivotButton="0" quotePrefix="0" xfId="2">
      <alignment horizontal="left" vertical="center" wrapText="1"/>
    </xf>
    <xf numFmtId="0" fontId="31" fillId="0" borderId="3" applyAlignment="1" pivotButton="0" quotePrefix="0" xfId="14">
      <alignment horizontal="center" vertical="center"/>
    </xf>
    <xf numFmtId="0" fontId="31" fillId="0" borderId="3" applyAlignment="1" pivotButton="0" quotePrefix="0" xfId="0">
      <alignment horizontal="center" vertical="center"/>
    </xf>
    <xf numFmtId="0" fontId="31" fillId="0" borderId="19" applyAlignment="1" pivotButton="0" quotePrefix="0" xfId="2">
      <alignment horizontal="center" vertical="center"/>
    </xf>
    <xf numFmtId="0" fontId="34" fillId="0" borderId="19" applyAlignment="1" pivotButton="0" quotePrefix="0" xfId="3">
      <alignment horizontal="left" vertical="center" wrapText="1"/>
    </xf>
    <xf numFmtId="0" fontId="34" fillId="0" borderId="19" applyAlignment="1" applyProtection="1" pivotButton="0" quotePrefix="0" xfId="3">
      <alignment horizontal="left" vertical="center"/>
      <protection locked="0" hidden="0"/>
    </xf>
    <xf numFmtId="0" fontId="31" fillId="0" borderId="12" applyAlignment="1" applyProtection="1" pivotButton="0" quotePrefix="0" xfId="3">
      <alignment horizontal="left" vertical="center"/>
      <protection locked="0" hidden="0"/>
    </xf>
    <xf numFmtId="0" fontId="31" fillId="0" borderId="53" applyAlignment="1" applyProtection="1" pivotButton="0" quotePrefix="0" xfId="3">
      <alignment horizontal="left" vertical="center"/>
      <protection locked="0" hidden="0"/>
    </xf>
    <xf numFmtId="0" fontId="31" fillId="0" borderId="64" applyAlignment="1" applyProtection="1" pivotButton="0" quotePrefix="0" xfId="3">
      <alignment horizontal="left" vertical="center" wrapText="1"/>
      <protection locked="0" hidden="0"/>
    </xf>
    <xf numFmtId="0" fontId="31" fillId="0" borderId="2" applyAlignment="1" pivotButton="0" quotePrefix="0" xfId="0">
      <alignment horizontal="left" vertical="center" wrapText="1"/>
    </xf>
    <xf numFmtId="0" fontId="27" fillId="0" borderId="21" applyAlignment="1" pivotButton="0" quotePrefix="0" xfId="3">
      <alignment horizontal="left" vertical="center" wrapText="1"/>
    </xf>
    <xf numFmtId="0" fontId="31" fillId="0" borderId="2" applyAlignment="1" applyProtection="1" pivotButton="0" quotePrefix="0" xfId="16">
      <alignment horizontal="left" vertical="top" wrapText="1"/>
      <protection locked="0" hidden="0"/>
    </xf>
    <xf numFmtId="0" fontId="31" fillId="0" borderId="82" applyAlignment="1" applyProtection="1" pivotButton="0" quotePrefix="0" xfId="2">
      <alignment horizontal="center" vertical="center"/>
      <protection locked="0" hidden="0"/>
    </xf>
    <xf numFmtId="0" fontId="31" fillId="0" borderId="21" applyAlignment="1" pivotButton="0" quotePrefix="0" xfId="2">
      <alignment horizontal="center" vertical="center"/>
    </xf>
    <xf numFmtId="0" fontId="31" fillId="0" borderId="51" applyAlignment="1" applyProtection="1" pivotButton="0" quotePrefix="0" xfId="3">
      <alignment horizontal="left" vertical="center" wrapText="1"/>
      <protection locked="0" hidden="0"/>
    </xf>
    <xf numFmtId="0" fontId="27" fillId="0" borderId="2" applyAlignment="1" pivotButton="0" quotePrefix="0" xfId="3">
      <alignment horizontal="left" vertical="center" wrapText="1"/>
    </xf>
    <xf numFmtId="0" fontId="31" fillId="0" borderId="74" applyAlignment="1" applyProtection="1" pivotButton="0" quotePrefix="0" xfId="2">
      <alignment horizontal="left" vertical="center" wrapText="1"/>
      <protection locked="0" hidden="0"/>
    </xf>
    <xf numFmtId="0" fontId="31" fillId="0" borderId="73" applyAlignment="1" pivotButton="0" quotePrefix="0" xfId="0">
      <alignment horizontal="center" vertical="center" wrapText="1"/>
    </xf>
    <xf numFmtId="0" fontId="27" fillId="0" borderId="73" applyAlignment="1" pivotButton="0" quotePrefix="0" xfId="2">
      <alignment horizontal="left" vertical="center" wrapText="1"/>
    </xf>
    <xf numFmtId="0" fontId="31" fillId="0" borderId="16" applyAlignment="1" pivotButton="0" quotePrefix="0" xfId="0">
      <alignment horizontal="center" vertical="center" wrapText="1"/>
    </xf>
    <xf numFmtId="0" fontId="27" fillId="0" borderId="78" applyAlignment="1" pivotButton="0" quotePrefix="0" xfId="2">
      <alignment horizontal="left" vertical="center" wrapText="1"/>
    </xf>
    <xf numFmtId="0" fontId="31" fillId="0" borderId="0" applyAlignment="1" pivotButton="0" quotePrefix="0" xfId="2">
      <alignment horizontal="left" vertical="center" wrapText="1"/>
    </xf>
    <xf numFmtId="0" fontId="31" fillId="0" borderId="72" applyAlignment="1" applyProtection="1" pivotButton="0" quotePrefix="0" xfId="2">
      <alignment horizontal="left" vertical="center" wrapText="1"/>
      <protection locked="0" hidden="0"/>
    </xf>
    <xf numFmtId="0" fontId="31" fillId="0" borderId="75" applyAlignment="1" pivotButton="0" quotePrefix="0" xfId="0">
      <alignment horizontal="left" vertical="center" wrapText="1"/>
    </xf>
    <xf numFmtId="0" fontId="31" fillId="0" borderId="0" applyAlignment="1" applyProtection="1" pivotButton="0" quotePrefix="0" xfId="0">
      <alignment horizontal="left" vertical="center" wrapText="1"/>
      <protection locked="0" hidden="0"/>
    </xf>
    <xf numFmtId="0" fontId="31" fillId="0" borderId="74" applyAlignment="1" applyProtection="1" pivotButton="0" quotePrefix="0" xfId="0">
      <alignment horizontal="left" vertical="center" wrapText="1"/>
      <protection locked="0" hidden="0"/>
    </xf>
    <xf numFmtId="0" fontId="27" fillId="0" borderId="73" applyAlignment="1" pivotButton="0" quotePrefix="0" xfId="3">
      <alignment horizontal="left" vertical="center" wrapText="1"/>
    </xf>
    <xf numFmtId="0" fontId="31" fillId="0" borderId="2" applyAlignment="1" pivotButton="0" quotePrefix="0" xfId="3">
      <alignment horizontal="left" vertical="top" wrapText="1"/>
    </xf>
    <xf numFmtId="0" fontId="31" fillId="0" borderId="2" applyAlignment="1" pivotButton="0" quotePrefix="0" xfId="0">
      <alignment horizontal="center" vertical="center" wrapText="1"/>
    </xf>
    <xf numFmtId="0" fontId="31" fillId="0" borderId="4" applyAlignment="1" applyProtection="1" pivotButton="0" quotePrefix="0" xfId="17">
      <alignment horizontal="left" vertical="center" wrapText="1"/>
      <protection locked="0" hidden="0"/>
    </xf>
    <xf numFmtId="0" fontId="32" fillId="0" borderId="84" applyAlignment="1" pivotButton="0" quotePrefix="0" xfId="0">
      <alignment vertical="center" wrapText="1"/>
    </xf>
    <xf numFmtId="0" fontId="31" fillId="8" borderId="1" applyAlignment="1" applyProtection="1" pivotButton="0" quotePrefix="0" xfId="2">
      <alignment horizontal="center" wrapText="1"/>
      <protection locked="0" hidden="0"/>
    </xf>
    <xf numFmtId="0" fontId="31" fillId="0" borderId="78" applyAlignment="1" applyProtection="1" pivotButton="0" quotePrefix="0" xfId="17">
      <alignment vertical="center" wrapText="1"/>
      <protection locked="0" hidden="0"/>
    </xf>
    <xf numFmtId="0" fontId="31" fillId="0" borderId="78" applyAlignment="1" applyProtection="1" pivotButton="0" quotePrefix="0" xfId="2">
      <alignment horizontal="center" vertical="center" wrapText="1"/>
      <protection locked="0" hidden="0"/>
    </xf>
    <xf numFmtId="0" fontId="32" fillId="0" borderId="85" applyAlignment="1" pivotButton="0" quotePrefix="0" xfId="0">
      <alignment horizontal="left" vertical="center" wrapText="1"/>
    </xf>
    <xf numFmtId="0" fontId="31" fillId="0" borderId="3" applyAlignment="1" applyProtection="1" pivotButton="0" quotePrefix="0" xfId="14">
      <alignment horizontal="center" vertical="center" wrapText="1"/>
      <protection locked="0" hidden="0"/>
    </xf>
    <xf numFmtId="0" fontId="31" fillId="0" borderId="3" applyAlignment="1" applyProtection="1" pivotButton="0" quotePrefix="0" xfId="0">
      <alignment horizontal="left" vertical="center" wrapText="1"/>
      <protection locked="0" hidden="0"/>
    </xf>
    <xf numFmtId="0" fontId="31" fillId="0" borderId="3" applyAlignment="1" applyProtection="1" pivotButton="0" quotePrefix="0" xfId="2">
      <alignment horizontal="center" vertical="center" wrapText="1"/>
      <protection locked="0" hidden="0"/>
    </xf>
    <xf numFmtId="0" fontId="31" fillId="0" borderId="73" applyAlignment="1" applyProtection="1" pivotButton="0" quotePrefix="0" xfId="0">
      <alignment horizontal="center" vertical="center" wrapText="1"/>
      <protection locked="0" hidden="0"/>
    </xf>
    <xf numFmtId="0" fontId="31" fillId="0" borderId="1" applyAlignment="1" pivotButton="0" quotePrefix="0" xfId="2">
      <alignment horizontal="center" vertical="center" wrapText="1"/>
    </xf>
    <xf numFmtId="0" fontId="31" fillId="0" borderId="3" applyAlignment="1" pivotButton="0" quotePrefix="0" xfId="2">
      <alignment horizontal="center" vertical="center" wrapText="1"/>
    </xf>
    <xf numFmtId="0" fontId="31" fillId="0" borderId="19" applyAlignment="1" pivotButton="0" quotePrefix="0" xfId="2">
      <alignment horizontal="center" vertical="center" wrapText="1"/>
    </xf>
    <xf numFmtId="0" fontId="31" fillId="0" borderId="19" applyAlignment="1" applyProtection="1" pivotButton="0" quotePrefix="0" xfId="3">
      <alignment horizontal="left" vertical="center" wrapText="1"/>
      <protection locked="0" hidden="0"/>
    </xf>
    <xf numFmtId="0" fontId="31" fillId="0" borderId="1" applyAlignment="1" applyProtection="1" pivotButton="0" quotePrefix="0" xfId="0">
      <alignment horizontal="left" vertical="center" wrapText="1"/>
      <protection locked="0" hidden="0"/>
    </xf>
    <xf numFmtId="0" fontId="31" fillId="0" borderId="2" applyAlignment="1" applyProtection="1" pivotButton="0" quotePrefix="0" xfId="16">
      <alignment horizontal="left" vertical="center" wrapText="1"/>
      <protection locked="0" hidden="0"/>
    </xf>
    <xf numFmtId="0" fontId="31" fillId="0" borderId="73" applyAlignment="1" applyProtection="1" pivotButton="0" quotePrefix="0" xfId="3">
      <alignment horizontal="center" vertical="center" wrapText="1"/>
      <protection locked="0" hidden="0"/>
    </xf>
    <xf numFmtId="0" fontId="31" fillId="0" borderId="1" applyAlignment="1" applyProtection="1" pivotButton="0" quotePrefix="0" xfId="2">
      <alignment horizontal="center" vertical="center" wrapText="1"/>
      <protection locked="0" hidden="0"/>
    </xf>
    <xf numFmtId="0" fontId="31" fillId="0" borderId="73" applyAlignment="1" applyProtection="1" pivotButton="0" quotePrefix="0" xfId="2">
      <alignment horizontal="left" vertical="center" wrapText="1"/>
      <protection locked="0" hidden="0"/>
    </xf>
    <xf numFmtId="0" fontId="31" fillId="0" borderId="1" applyAlignment="1" applyProtection="1" pivotButton="0" quotePrefix="0" xfId="2">
      <alignment horizontal="center" vertical="top" wrapText="1"/>
      <protection locked="0" hidden="0"/>
    </xf>
    <xf numFmtId="0" fontId="31" fillId="0" borderId="73" applyAlignment="1" applyProtection="1" pivotButton="0" quotePrefix="0" xfId="16">
      <alignment horizontal="left" vertical="center" wrapText="1"/>
      <protection locked="0" hidden="0"/>
    </xf>
    <xf numFmtId="0" fontId="31" fillId="0" borderId="3" applyAlignment="1" applyProtection="1" pivotButton="0" quotePrefix="0" xfId="2">
      <alignment horizontal="left" vertical="center" wrapText="1"/>
      <protection locked="0" hidden="0"/>
    </xf>
    <xf numFmtId="0" fontId="31" fillId="0" borderId="3" applyAlignment="1" applyProtection="1" pivotButton="0" quotePrefix="0" xfId="3">
      <alignment horizontal="left" vertical="center" wrapText="1"/>
      <protection locked="0" hidden="0"/>
    </xf>
    <xf numFmtId="0" fontId="32" fillId="0" borderId="84" applyAlignment="1" pivotButton="0" quotePrefix="0" xfId="0">
      <alignment horizontal="left" vertical="center" wrapText="1"/>
    </xf>
    <xf numFmtId="0" fontId="31" fillId="0" borderId="3" applyAlignment="1" applyProtection="1" pivotButton="0" quotePrefix="0" xfId="2">
      <alignment horizontal="center" vertical="center"/>
      <protection locked="0" hidden="0"/>
    </xf>
    <xf numFmtId="0" fontId="31" fillId="8" borderId="2" applyAlignment="1" pivotButton="0" quotePrefix="0" xfId="3">
      <alignment horizontal="left" vertical="center" wrapText="1"/>
    </xf>
    <xf numFmtId="0" fontId="31" fillId="8" borderId="2" applyAlignment="1" pivotButton="0" quotePrefix="0" xfId="2">
      <alignment horizontal="center" vertical="center" wrapText="1"/>
    </xf>
    <xf numFmtId="0" fontId="31" fillId="8" borderId="2" applyAlignment="1" applyProtection="1" pivotButton="0" quotePrefix="0" xfId="17">
      <alignment horizontal="left" vertical="center" wrapText="1"/>
      <protection locked="0" hidden="0"/>
    </xf>
    <xf numFmtId="0" fontId="31" fillId="8" borderId="78" applyAlignment="1" applyProtection="1" pivotButton="0" quotePrefix="0" xfId="17">
      <alignment horizontal="left" vertical="center" wrapText="1"/>
      <protection locked="0" hidden="0"/>
    </xf>
    <xf numFmtId="0" fontId="31" fillId="8" borderId="78" applyAlignment="1" pivotButton="0" quotePrefix="0" xfId="3">
      <alignment horizontal="left" vertical="center" wrapText="1"/>
    </xf>
    <xf numFmtId="0" fontId="31" fillId="8" borderId="78" applyAlignment="1" pivotButton="0" quotePrefix="0" xfId="2">
      <alignment horizontal="center" vertical="center" wrapText="1"/>
    </xf>
    <xf numFmtId="0" fontId="55" fillId="11" borderId="86" applyAlignment="1" pivotButton="0" quotePrefix="0" xfId="0">
      <alignment horizontal="center" vertical="center"/>
    </xf>
    <xf numFmtId="0" fontId="55" fillId="11" borderId="84" applyAlignment="1" pivotButton="0" quotePrefix="0" xfId="0">
      <alignment horizontal="center" vertical="center" wrapText="1"/>
    </xf>
    <xf numFmtId="0" fontId="55" fillId="11" borderId="85" applyAlignment="1" pivotButton="0" quotePrefix="0" xfId="0">
      <alignment horizontal="left" vertical="center" wrapText="1"/>
    </xf>
    <xf numFmtId="0" fontId="55" fillId="11" borderId="87" applyAlignment="1" pivotButton="0" quotePrefix="0" xfId="0">
      <alignment horizontal="left" vertical="top" wrapText="1"/>
    </xf>
    <xf numFmtId="0" fontId="55" fillId="11" borderId="88" applyAlignment="1" pivotButton="0" quotePrefix="0" xfId="0">
      <alignment horizontal="left" vertical="center" wrapText="1"/>
    </xf>
    <xf numFmtId="0" fontId="56" fillId="11" borderId="88" applyAlignment="1" pivotButton="0" quotePrefix="0" xfId="0">
      <alignment horizontal="left" vertical="center" wrapText="1"/>
    </xf>
    <xf numFmtId="0" fontId="55" fillId="11" borderId="89" applyAlignment="1" pivotButton="0" quotePrefix="0" xfId="0">
      <alignment horizontal="left" vertical="center" wrapText="1"/>
    </xf>
    <xf numFmtId="0" fontId="55" fillId="11" borderId="90" applyAlignment="1" pivotButton="0" quotePrefix="0" xfId="0">
      <alignment horizontal="left" vertical="center" wrapText="1"/>
    </xf>
    <xf numFmtId="164" fontId="55" fillId="11" borderId="0" applyAlignment="1" pivotButton="0" quotePrefix="0" xfId="0">
      <alignment horizontal="center" vertical="center"/>
    </xf>
    <xf numFmtId="9" fontId="55" fillId="11" borderId="0" applyAlignment="1" pivotButton="0" quotePrefix="0" xfId="0">
      <alignment horizontal="center" vertical="center"/>
    </xf>
    <xf numFmtId="0" fontId="57" fillId="11" borderId="0" applyAlignment="1" pivotButton="0" quotePrefix="0" xfId="0">
      <alignment horizontal="center" vertical="center"/>
    </xf>
    <xf numFmtId="0" fontId="57" fillId="11" borderId="0" pivotButton="0" quotePrefix="0" xfId="0"/>
    <xf numFmtId="0" fontId="58" fillId="11" borderId="0" applyAlignment="1" pivotButton="0" quotePrefix="0" xfId="0">
      <alignment horizontal="center" vertical="center"/>
    </xf>
    <xf numFmtId="0" fontId="57" fillId="11" borderId="0" applyAlignment="1" pivotButton="0" quotePrefix="0" xfId="0">
      <alignment vertical="center"/>
    </xf>
    <xf numFmtId="0" fontId="31" fillId="8" borderId="3" applyAlignment="1" applyProtection="1" pivotButton="0" quotePrefix="0" xfId="2">
      <alignment horizontal="center" vertical="center" wrapText="1"/>
      <protection locked="0" hidden="0"/>
    </xf>
    <xf numFmtId="0" fontId="46" fillId="8" borderId="3" applyAlignment="1" applyProtection="1" pivotButton="0" quotePrefix="0" xfId="2">
      <alignment horizontal="center" vertical="center" wrapText="1"/>
      <protection locked="0" hidden="0"/>
    </xf>
    <xf numFmtId="0" fontId="46" fillId="8" borderId="73" applyAlignment="1" applyProtection="1" pivotButton="0" quotePrefix="0" xfId="0">
      <alignment horizontal="center" vertical="center" wrapText="1"/>
      <protection locked="0" hidden="0"/>
    </xf>
    <xf numFmtId="0" fontId="46" fillId="8" borderId="1" applyAlignment="1" pivotButton="0" quotePrefix="0" xfId="2">
      <alignment horizontal="center" vertical="center" wrapText="1"/>
    </xf>
    <xf numFmtId="0" fontId="46" fillId="8" borderId="3" applyAlignment="1" pivotButton="0" quotePrefix="0" xfId="2">
      <alignment horizontal="center" vertical="center" wrapText="1"/>
    </xf>
    <xf numFmtId="0" fontId="46" fillId="8" borderId="19" applyAlignment="1" pivotButton="0" quotePrefix="0" xfId="2">
      <alignment horizontal="center" vertical="center" wrapText="1"/>
    </xf>
    <xf numFmtId="0" fontId="31" fillId="8" borderId="1" applyAlignment="1" applyProtection="1" pivotButton="0" quotePrefix="0" xfId="0">
      <alignment horizontal="left" vertical="center" wrapText="1"/>
      <protection locked="0" hidden="0"/>
    </xf>
    <xf numFmtId="0" fontId="31" fillId="8" borderId="73" applyAlignment="1" applyProtection="1" pivotButton="0" quotePrefix="0" xfId="2">
      <alignment horizontal="left" vertical="center" wrapText="1"/>
      <protection locked="0" hidden="0"/>
    </xf>
    <xf numFmtId="0" fontId="31" fillId="8" borderId="73" applyAlignment="1" applyProtection="1" pivotButton="0" quotePrefix="0" xfId="3">
      <alignment horizontal="left" vertical="center" wrapText="1"/>
      <protection locked="0" hidden="0"/>
    </xf>
    <xf numFmtId="0" fontId="31" fillId="8" borderId="73" applyAlignment="1" applyProtection="1" pivotButton="0" quotePrefix="0" xfId="2">
      <alignment horizontal="center" vertical="center" wrapText="1"/>
      <protection locked="0" hidden="0"/>
    </xf>
    <xf numFmtId="0" fontId="31" fillId="8" borderId="73" applyAlignment="1" applyProtection="1" pivotButton="0" quotePrefix="0" xfId="17">
      <alignment horizontal="left" vertical="center" wrapText="1"/>
      <protection locked="0" hidden="0"/>
    </xf>
    <xf numFmtId="0" fontId="31" fillId="2" borderId="30" applyAlignment="1" pivotButton="0" quotePrefix="0" xfId="14">
      <alignment horizontal="center" vertical="center" wrapText="1"/>
    </xf>
    <xf numFmtId="0" fontId="11" fillId="0" borderId="0" applyProtection="1" pivotButton="0" quotePrefix="0" xfId="0">
      <protection locked="0" hidden="0"/>
    </xf>
    <xf numFmtId="0" fontId="9" fillId="0" borderId="0" applyAlignment="1" applyProtection="1" pivotButton="0" quotePrefix="0" xfId="0">
      <alignment horizontal="center"/>
      <protection locked="0" hidden="0"/>
    </xf>
    <xf numFmtId="0" fontId="9" fillId="0" borderId="0" applyAlignment="1" applyProtection="1" pivotButton="0" quotePrefix="0" xfId="0">
      <alignment wrapText="1"/>
      <protection locked="0" hidden="0"/>
    </xf>
    <xf numFmtId="0" fontId="9" fillId="0" borderId="0" applyProtection="1" pivotButton="0" quotePrefix="0" xfId="0">
      <protection locked="0" hidden="0"/>
    </xf>
    <xf numFmtId="0" fontId="9" fillId="0" borderId="0" applyAlignment="1" applyProtection="1" pivotButton="0" quotePrefix="0" xfId="0">
      <alignment horizontal="left"/>
      <protection locked="0" hidden="0"/>
    </xf>
    <xf numFmtId="0" fontId="13" fillId="0" borderId="0" applyAlignment="1" applyProtection="1" pivotButton="0" quotePrefix="0" xfId="0">
      <alignment horizontal="left"/>
      <protection locked="0" hidden="0"/>
    </xf>
    <xf numFmtId="0" fontId="27" fillId="3" borderId="39" applyAlignment="1" pivotButton="0" quotePrefix="0" xfId="14">
      <alignment horizontal="center" vertical="center" wrapText="1"/>
    </xf>
    <xf numFmtId="0" fontId="47" fillId="0" borderId="64" pivotButton="0" quotePrefix="0" xfId="0"/>
    <xf numFmtId="0" fontId="47" fillId="0" borderId="43" pivotButton="0" quotePrefix="0" xfId="0"/>
    <xf numFmtId="0" fontId="27" fillId="3" borderId="31" applyAlignment="1" pivotButton="0" quotePrefix="0" xfId="2">
      <alignment horizontal="center" vertical="center" wrapText="1"/>
    </xf>
    <xf numFmtId="0" fontId="0" fillId="0" borderId="33" pivotButton="0" quotePrefix="0" xfId="0"/>
    <xf numFmtId="0" fontId="27" fillId="10" borderId="31" applyAlignment="1" pivotButton="0" quotePrefix="0" xfId="2">
      <alignment horizontal="center" vertical="center"/>
    </xf>
    <xf numFmtId="0" fontId="47" fillId="10" borderId="35" pivotButton="0" quotePrefix="0" xfId="0"/>
    <xf numFmtId="0" fontId="47" fillId="10" borderId="36" pivotButton="0" quotePrefix="0" xfId="0"/>
    <xf numFmtId="0" fontId="39" fillId="0" borderId="39" applyAlignment="1" applyProtection="1" pivotButton="0" quotePrefix="0" xfId="3">
      <alignment horizontal="center" vertical="center" wrapText="1"/>
      <protection locked="0" hidden="0"/>
    </xf>
    <xf numFmtId="0" fontId="0" fillId="0" borderId="32" pivotButton="0" quotePrefix="0" xfId="0"/>
    <xf numFmtId="0" fontId="0" fillId="0" borderId="53" pivotButton="0" quotePrefix="0" xfId="0"/>
    <xf numFmtId="0" fontId="27" fillId="10" borderId="31" applyAlignment="1" applyProtection="1" pivotButton="0" quotePrefix="0" xfId="2">
      <alignment horizontal="center" vertical="center"/>
      <protection locked="0" hidden="0"/>
    </xf>
    <xf numFmtId="0" fontId="40" fillId="4" borderId="47" applyAlignment="1" applyProtection="1" pivotButton="0" quotePrefix="0" xfId="2">
      <alignment horizontal="left" vertical="center" wrapText="1"/>
      <protection locked="0" hidden="0"/>
    </xf>
    <xf numFmtId="0" fontId="50" fillId="4" borderId="3" pivotButton="0" quotePrefix="0" xfId="0"/>
    <xf numFmtId="0" fontId="31" fillId="0" borderId="71" applyAlignment="1" pivotButton="0" quotePrefix="0" xfId="3">
      <alignment horizontal="center" vertical="center" wrapText="1"/>
    </xf>
    <xf numFmtId="0" fontId="31" fillId="0" borderId="3" applyAlignment="1" pivotButton="0" quotePrefix="0" xfId="3">
      <alignment horizontal="center" vertical="center" wrapText="1"/>
    </xf>
    <xf numFmtId="0" fontId="31" fillId="0" borderId="2" applyAlignment="1" pivotButton="0" quotePrefix="0" xfId="3">
      <alignment horizontal="center" vertical="center" wrapText="1"/>
    </xf>
    <xf numFmtId="0" fontId="34" fillId="0" borderId="73" applyAlignment="1" pivotButton="0" quotePrefix="0" xfId="3">
      <alignment horizontal="center" vertical="center" wrapText="1"/>
    </xf>
    <xf numFmtId="0" fontId="8" fillId="0" borderId="71" pivotButton="0" quotePrefix="0" xfId="0"/>
    <xf numFmtId="0" fontId="8" fillId="0" borderId="3" pivotButton="0" quotePrefix="0" xfId="0"/>
    <xf numFmtId="0" fontId="31" fillId="0" borderId="72" applyAlignment="1" applyProtection="1" pivotButton="0" quotePrefix="0" xfId="3">
      <alignment horizontal="center" vertical="center" wrapText="1"/>
      <protection locked="0" hidden="0"/>
    </xf>
    <xf numFmtId="0" fontId="9" fillId="0" borderId="0" applyProtection="1" pivotButton="0" quotePrefix="0" xfId="3">
      <protection locked="0" hidden="0"/>
    </xf>
    <xf numFmtId="0" fontId="8" fillId="0" borderId="63" pivotButton="0" quotePrefix="0" xfId="0"/>
    <xf numFmtId="0" fontId="31" fillId="0" borderId="39" applyAlignment="1" applyProtection="1" pivotButton="0" quotePrefix="0" xfId="3">
      <alignment horizontal="center" vertical="center" wrapText="1"/>
      <protection locked="0" hidden="0"/>
    </xf>
    <xf numFmtId="0" fontId="8" fillId="0" borderId="32" pivotButton="0" quotePrefix="0" xfId="0"/>
    <xf numFmtId="0" fontId="8" fillId="0" borderId="53" pivotButton="0" quotePrefix="0" xfId="0"/>
    <xf numFmtId="0" fontId="27" fillId="10" borderId="33" applyAlignment="1" pivotButton="0" quotePrefix="0" xfId="2">
      <alignment horizontal="center" vertical="center"/>
    </xf>
    <xf numFmtId="0" fontId="47" fillId="10" borderId="68" pivotButton="0" quotePrefix="0" xfId="0"/>
    <xf numFmtId="0" fontId="47" fillId="10" borderId="54" pivotButton="0" quotePrefix="0" xfId="0"/>
    <xf numFmtId="0" fontId="37" fillId="0" borderId="37" applyAlignment="1" applyProtection="1" pivotButton="0" quotePrefix="0" xfId="3">
      <alignment horizontal="center" vertical="center" wrapText="1"/>
      <protection locked="0" hidden="0"/>
    </xf>
    <xf numFmtId="0" fontId="36" fillId="0" borderId="73" applyAlignment="1" applyProtection="1" pivotButton="0" quotePrefix="0" xfId="3">
      <alignment horizontal="left" vertical="center" wrapText="1"/>
      <protection locked="0" hidden="0"/>
    </xf>
    <xf numFmtId="0" fontId="0" fillId="0" borderId="71" pivotButton="0" quotePrefix="0" xfId="0"/>
    <xf numFmtId="0" fontId="0" fillId="0" borderId="3" pivotButton="0" quotePrefix="0" xfId="0"/>
    <xf numFmtId="0" fontId="2" fillId="0" borderId="31" applyAlignment="1" pivotButton="0" quotePrefix="0" xfId="10">
      <alignment horizontal="center" vertical="top" textRotation="90"/>
    </xf>
    <xf numFmtId="0" fontId="2" fillId="0" borderId="31" applyAlignment="1" pivotButton="0" quotePrefix="0" xfId="10">
      <alignment horizontal="center" vertical="top" textRotation="90" wrapText="1"/>
    </xf>
    <xf numFmtId="0" fontId="0" fillId="0" borderId="64" pivotButton="0" quotePrefix="0" xfId="0"/>
    <xf numFmtId="0" fontId="0" fillId="0" borderId="43" pivotButton="0" quotePrefix="0" xfId="0"/>
    <xf numFmtId="0" fontId="0" fillId="0" borderId="35" pivotButton="0" quotePrefix="0" xfId="0"/>
    <xf numFmtId="0" fontId="0" fillId="0" borderId="36" pivotButton="0" quotePrefix="0" xfId="0"/>
    <xf numFmtId="0" fontId="34" fillId="0" borderId="78" applyAlignment="1" pivotButton="0" quotePrefix="0" xfId="3">
      <alignment horizontal="center" vertical="center" wrapText="1"/>
    </xf>
    <xf numFmtId="0" fontId="0" fillId="0" borderId="63" pivotButton="0" quotePrefix="0" xfId="0"/>
    <xf numFmtId="0" fontId="0" fillId="0" borderId="68" pivotButton="0" quotePrefix="0" xfId="0"/>
    <xf numFmtId="0" fontId="0" fillId="0" borderId="54" pivotButton="0" quotePrefix="0" xfId="0"/>
    <xf numFmtId="0" fontId="36" fillId="0" borderId="78" applyAlignment="1" applyProtection="1" pivotButton="0" quotePrefix="0" xfId="3">
      <alignment horizontal="left" vertical="center" wrapText="1"/>
      <protection locked="0" hidden="0"/>
    </xf>
    <xf numFmtId="0" fontId="59" fillId="0" borderId="94" applyAlignment="1" pivotButton="0" quotePrefix="0" xfId="0">
      <alignment horizontal="center" vertical="top"/>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8" xfId="16"/>
    <cellStyle name="Normal 3 5" xfId="17"/>
    <cellStyle name="Percent 2" xfId="18"/>
    <cellStyle name="Percent 5" xfId="19"/>
    <cellStyle name="Normal 2 2 3 2 2" xfId="20"/>
    <cellStyle name="Normal 3 2 2" xfId="21"/>
  </cellStyles>
  <dxfs count="1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499984740745262"/>
    <outlinePr summaryBelow="1" summaryRight="1"/>
    <pageSetUpPr/>
  </sheetPr>
  <dimension ref="A1:XEZ214"/>
  <sheetViews>
    <sheetView tabSelected="1" zoomScale="50" zoomScaleNormal="50" workbookViewId="0">
      <pane xSplit="4" ySplit="3" topLeftCell="E4" activePane="bottomRight" state="frozen"/>
      <selection pane="topRight" activeCell="E1" sqref="E1"/>
      <selection pane="bottomLeft" activeCell="A4" sqref="A4"/>
      <selection pane="bottomRight" activeCell="D6" sqref="D6"/>
    </sheetView>
  </sheetViews>
  <sheetFormatPr baseColWidth="8" defaultColWidth="8.7109375" defaultRowHeight="18.75" outlineLevelCol="1"/>
  <cols>
    <col width="7.85546875" customWidth="1" style="680" min="1" max="1"/>
    <col width="30.42578125" bestFit="1" customWidth="1" style="680" min="2" max="2"/>
    <col width="39.85546875" customWidth="1" style="678" min="3" max="3"/>
    <col width="82.42578125" customWidth="1" style="679" min="4" max="4"/>
    <col width="12.42578125" customWidth="1" style="680" min="5" max="5"/>
    <col width="86.140625" customWidth="1" style="413" min="6" max="6"/>
    <col width="14.7109375" customWidth="1" style="680" min="7" max="7"/>
    <col width="20.28515625" bestFit="1" customWidth="1" style="680" min="8" max="8"/>
    <col width="18.85546875" customWidth="1" style="680" min="9" max="9"/>
    <col width="55.140625" customWidth="1" style="680" min="10" max="10"/>
    <col width="71.28515625" customWidth="1" style="680" min="11" max="11"/>
    <col width="27.85546875" customWidth="1" style="680" min="12" max="12"/>
    <col width="58.42578125" customWidth="1" style="680" min="13" max="13"/>
    <col width="48" customWidth="1" style="682" min="14" max="14"/>
    <col width="43.7109375" customWidth="1" style="680" min="15" max="15"/>
    <col width="22.28515625" customWidth="1" style="680" min="16" max="16"/>
    <col hidden="1" width="36.7109375" customWidth="1" style="680" min="17" max="17"/>
    <col width="40.7109375" customWidth="1" style="680" min="18" max="18"/>
    <col width="15.28515625" customWidth="1" style="92" min="19" max="19"/>
    <col width="15" customWidth="1" style="93" min="20" max="20"/>
    <col width="11.42578125" customWidth="1" style="92" min="21" max="21"/>
    <col width="8.7109375" customWidth="1" style="65" min="22" max="22"/>
    <col width="8.7109375" customWidth="1" style="680" min="23" max="23"/>
    <col hidden="1" width="20.7109375" customWidth="1" style="67" min="24" max="24"/>
    <col outlineLevel="1" width="8.7109375" customWidth="1" style="680" min="25" max="25"/>
    <col width="8.7109375" customWidth="1" style="680" min="26" max="27"/>
    <col hidden="1" width="26.28515625" customWidth="1" style="68" min="28" max="28"/>
    <col width="8.7109375" customWidth="1" style="680" min="29" max="30"/>
    <col width="8.7109375" customWidth="1" style="680" min="31" max="16384"/>
  </cols>
  <sheetData>
    <row r="1" ht="37.5" customHeight="1" thickBot="1">
      <c r="A1" s="676" t="inlineStr">
        <is>
          <t>GeoPoll Submission Form</t>
        </is>
      </c>
      <c r="S1" s="122" t="n"/>
      <c r="T1" s="123" t="n"/>
      <c r="U1" s="122" t="n"/>
      <c r="V1" s="59" t="n"/>
      <c r="X1" s="59" t="n"/>
      <c r="AB1" s="76" t="inlineStr">
        <is>
          <t xml:space="preserve">Change made </t>
        </is>
      </c>
    </row>
    <row r="2" ht="19.5" customHeight="1" thickBot="1">
      <c r="A2" s="683" t="inlineStr">
        <is>
          <t>FAO - Household Questionnaire</t>
        </is>
      </c>
      <c r="B2" s="718" t="n"/>
      <c r="C2" s="718" t="n"/>
      <c r="D2" s="718" t="n"/>
      <c r="E2" s="718" t="n"/>
      <c r="F2" s="718" t="n"/>
      <c r="G2" s="718" t="n"/>
      <c r="H2" s="718" t="n"/>
      <c r="I2" s="718" t="n"/>
      <c r="J2" s="718" t="n"/>
      <c r="K2" s="718" t="n"/>
      <c r="L2" s="718" t="n"/>
      <c r="M2" s="718" t="n"/>
      <c r="N2" s="718" t="n"/>
      <c r="O2" s="718" t="n"/>
      <c r="P2" s="718" t="n"/>
      <c r="Q2" s="719" t="n"/>
      <c r="R2" s="686" t="inlineStr">
        <is>
          <t>Additional notes</t>
        </is>
      </c>
      <c r="S2" s="122" t="n"/>
      <c r="T2" s="123" t="n"/>
      <c r="U2" s="122" t="n"/>
      <c r="V2" s="59" t="n"/>
    </row>
    <row r="3" ht="27.95" customFormat="1" customHeight="1" s="677" thickBot="1">
      <c r="A3" s="346" t="inlineStr">
        <is>
          <t>Q #</t>
        </is>
      </c>
      <c r="B3" s="347" t="inlineStr">
        <is>
          <t>Q Name</t>
        </is>
      </c>
      <c r="C3" s="347" t="inlineStr">
        <is>
          <t>Suggested Qname</t>
        </is>
      </c>
      <c r="D3" s="347" t="inlineStr">
        <is>
          <t>English</t>
        </is>
      </c>
      <c r="E3" s="347" t="inlineStr">
        <is>
          <t>Length</t>
        </is>
      </c>
      <c r="F3" s="347" t="inlineStr">
        <is>
          <t>my_Burmese</t>
        </is>
      </c>
      <c r="G3" s="347" t="inlineStr">
        <is>
          <t>Length</t>
        </is>
      </c>
      <c r="H3" s="347" t="inlineStr">
        <is>
          <t>Q Type</t>
        </is>
      </c>
      <c r="I3" s="347" t="inlineStr">
        <is>
          <t>Randomize</t>
        </is>
      </c>
      <c r="J3" s="347" t="inlineStr">
        <is>
          <t>Conditional</t>
        </is>
      </c>
      <c r="K3" s="347" t="inlineStr">
        <is>
          <t>Programming Instructions</t>
        </is>
      </c>
      <c r="L3" s="348" t="inlineStr">
        <is>
          <t>Codes</t>
        </is>
      </c>
      <c r="M3" s="348" t="inlineStr">
        <is>
          <t>Skip Pattern</t>
        </is>
      </c>
      <c r="N3" s="349" t="inlineStr">
        <is>
          <t>GeoPoll Comments</t>
        </is>
      </c>
      <c r="O3" s="348" t="inlineStr">
        <is>
          <t xml:space="preserve">Default skip patterns &amp; conditional </t>
        </is>
      </c>
      <c r="P3" s="348" t="inlineStr">
        <is>
          <t>Specify skip pattern variable [from blue text]</t>
        </is>
      </c>
      <c r="Q3" s="124" t="inlineStr">
        <is>
          <t>UNIVERSE</t>
        </is>
      </c>
      <c r="R3" s="687" t="n"/>
      <c r="S3" s="125" t="inlineStr">
        <is>
          <t>Duration average [sec]</t>
        </is>
      </c>
      <c r="T3" s="125" t="inlineStr">
        <is>
          <t>Estimated percentage of repondents</t>
        </is>
      </c>
      <c r="U3" s="126" t="inlineStr">
        <is>
          <t>Weighted Duration</t>
        </is>
      </c>
      <c r="V3" s="77" t="n"/>
      <c r="X3" s="104" t="inlineStr">
        <is>
          <t>Mandatory</t>
        </is>
      </c>
      <c r="AB3" s="76" t="n"/>
    </row>
    <row r="4" ht="27.95" customHeight="1" thickBot="1">
      <c r="A4" s="688" t="inlineStr">
        <is>
          <t>A. PRESENTATION OF THE SURVEY AND ELIGIBILITY CRITERIA SELECTION</t>
        </is>
      </c>
      <c r="B4" s="720" t="n"/>
      <c r="C4" s="720" t="n"/>
      <c r="D4" s="720" t="n"/>
      <c r="E4" s="720" t="n"/>
      <c r="F4" s="720" t="n"/>
      <c r="G4" s="720" t="n"/>
      <c r="H4" s="720" t="n"/>
      <c r="I4" s="720" t="n"/>
      <c r="J4" s="720" t="n"/>
      <c r="K4" s="720" t="n"/>
      <c r="L4" s="720" t="n"/>
      <c r="M4" s="720" t="n"/>
      <c r="N4" s="720" t="n"/>
      <c r="O4" s="720" t="n"/>
      <c r="P4" s="720" t="n"/>
      <c r="Q4" s="720" t="n"/>
      <c r="R4" s="721" t="n"/>
      <c r="S4" s="122" t="n"/>
      <c r="T4" s="123" t="n"/>
      <c r="U4" s="127" t="n"/>
      <c r="V4" s="59" t="n"/>
      <c r="X4" s="67" t="inlineStr">
        <is>
          <t>no</t>
        </is>
      </c>
    </row>
    <row r="5" ht="30" customHeight="1">
      <c r="A5" s="326" t="inlineStr">
        <is>
          <t>NA</t>
        </is>
      </c>
      <c r="B5" s="128" t="inlineStr">
        <is>
          <t>Optin</t>
        </is>
      </c>
      <c r="C5" s="128" t="n"/>
      <c r="D5" s="129" t="inlineStr">
        <is>
          <t>Optin</t>
        </is>
      </c>
      <c r="E5" s="631">
        <f>LEN(D5)</f>
        <v/>
      </c>
      <c r="F5" s="171" t="inlineStr">
        <is>
          <t>Optin</t>
        </is>
      </c>
      <c r="G5" s="631">
        <f>LEN(F5)</f>
        <v/>
      </c>
      <c r="H5" s="631" t="inlineStr">
        <is>
          <t>Open Ended</t>
        </is>
      </c>
      <c r="I5" s="631" t="inlineStr">
        <is>
          <t>NA</t>
        </is>
      </c>
      <c r="J5" s="631" t="inlineStr">
        <is>
          <t>NA</t>
        </is>
      </c>
      <c r="K5" s="631" t="inlineStr">
        <is>
          <t>Form Type - TextBox</t>
        </is>
      </c>
      <c r="L5" s="632" t="inlineStr">
        <is>
          <t>NA</t>
        </is>
      </c>
      <c r="M5" s="131" t="inlineStr">
        <is>
          <t>Any Response = calldispo</t>
        </is>
      </c>
      <c r="N5" s="178" t="n"/>
      <c r="O5" s="132" t="inlineStr">
        <is>
          <t>NA</t>
        </is>
      </c>
      <c r="P5" s="133" t="n"/>
      <c r="Q5" s="134" t="inlineStr">
        <is>
          <t>ALL</t>
        </is>
      </c>
      <c r="R5" s="135" t="n"/>
      <c r="S5" s="127" t="n">
        <v>0</v>
      </c>
      <c r="T5" s="123" t="n"/>
      <c r="U5" s="127">
        <f>S5*T5</f>
        <v/>
      </c>
      <c r="V5" s="59" t="n"/>
      <c r="X5" s="67" t="inlineStr">
        <is>
          <t>no</t>
        </is>
      </c>
    </row>
    <row r="6" ht="176.45" customHeight="1">
      <c r="A6" s="327" t="inlineStr">
        <is>
          <t>NA</t>
        </is>
      </c>
      <c r="B6" s="203" t="inlineStr">
        <is>
          <t>calldispo</t>
        </is>
      </c>
      <c r="C6" s="136" t="inlineStr">
        <is>
          <t>calldispo</t>
        </is>
      </c>
      <c r="D6" s="137" t="inlineStr">
        <is>
          <t>Phone number: #CATI_MOBILENUMBER#
1)Someone answers
2)Answering machine
3)No answer
4)Hang up or refusal
5)Call back
6)Under review
7)Disconnected</t>
        </is>
      </c>
      <c r="E6" s="630">
        <f>LEN(D6)</f>
        <v/>
      </c>
      <c r="F6" s="641" t="inlineStr">
        <is>
          <t>ဖုန်းနံပါတ်- #CATI_MOBILENUMBER#
1)တစ်စုံတစ်ယောက်က ဖြေကြားသည်
2)ဖုန်းဖြေကြားစက်
3)မဖြေကြားပါ
4)ဖုန်းချလိုက်သည် သို့မဟုတ် ဖုန်းကိုင်ရန် ငြင်းဆိုသည်
5)ဖုန်းပြန်ခေါ်သည်
6)သုံးသပ်နေဆဲ
7)ဖုန်းလိုင်း ပြတ်တောက်သွားသည်</t>
        </is>
      </c>
      <c r="G6" s="630">
        <f>LEN(F6)</f>
        <v/>
      </c>
      <c r="H6" s="144" t="inlineStr">
        <is>
          <t>Single Choice</t>
        </is>
      </c>
      <c r="I6" s="630" t="inlineStr">
        <is>
          <t>NA</t>
        </is>
      </c>
      <c r="J6" s="630" t="inlineStr">
        <is>
          <t>NA</t>
        </is>
      </c>
      <c r="K6" s="630" t="inlineStr">
        <is>
          <t>Form Type - Buttons</t>
        </is>
      </c>
      <c r="L6" s="632" t="inlineStr">
        <is>
          <t>NA</t>
        </is>
      </c>
      <c r="M6" s="145" t="inlineStr">
        <is>
          <t>1 = resp_language
2 = AnsweringMachine
3 = NoAnswer
4 = Refusal
5 = WhenCallBack
6 = UnderReview
7 = Disconnected</t>
        </is>
      </c>
      <c r="N6" s="211" t="n"/>
      <c r="O6" s="146" t="inlineStr">
        <is>
          <t>NA</t>
        </is>
      </c>
      <c r="P6" s="147" t="n"/>
      <c r="Q6" s="148" t="inlineStr">
        <is>
          <t>ALL</t>
        </is>
      </c>
      <c r="R6" s="149" t="n"/>
      <c r="S6" s="127" t="n">
        <v>0</v>
      </c>
      <c r="T6" s="123" t="n"/>
      <c r="U6" s="127">
        <f>S6*T6</f>
        <v/>
      </c>
      <c r="V6" s="59" t="n"/>
      <c r="X6" s="67" t="inlineStr">
        <is>
          <t>no</t>
        </is>
      </c>
    </row>
    <row r="7" ht="31.5" customHeight="1">
      <c r="A7" s="327" t="inlineStr">
        <is>
          <t>NA</t>
        </is>
      </c>
      <c r="B7" s="203" t="inlineStr">
        <is>
          <t>AnsweringMachine</t>
        </is>
      </c>
      <c r="C7" s="136" t="inlineStr">
        <is>
          <t>calldispo_answeringmachine</t>
        </is>
      </c>
      <c r="D7" s="150" t="inlineStr">
        <is>
          <t>Reached an answering machine.</t>
        </is>
      </c>
      <c r="E7" s="630">
        <f>LEN(D7)</f>
        <v/>
      </c>
      <c r="F7" s="641" t="inlineStr">
        <is>
          <t>ဖြေကြားစက်မှ ပြန်လည်ဖြေကြားခဲ့သည်။</t>
        </is>
      </c>
      <c r="G7" s="630">
        <f>LEN(F7)</f>
        <v/>
      </c>
      <c r="H7" s="144" t="inlineStr">
        <is>
          <t>NA</t>
        </is>
      </c>
      <c r="I7" s="144" t="inlineStr">
        <is>
          <t>NA</t>
        </is>
      </c>
      <c r="J7" s="144" t="inlineStr">
        <is>
          <t>NA</t>
        </is>
      </c>
      <c r="K7" s="144" t="inlineStr">
        <is>
          <t>NA</t>
        </is>
      </c>
      <c r="L7" s="632" t="inlineStr">
        <is>
          <t>NA</t>
        </is>
      </c>
      <c r="M7" s="151" t="inlineStr">
        <is>
          <t>End Poll AnsweringMachine</t>
        </is>
      </c>
      <c r="N7" s="212" t="n"/>
      <c r="O7" s="152" t="inlineStr">
        <is>
          <t>NA</t>
        </is>
      </c>
      <c r="P7" s="153" t="n"/>
      <c r="Q7" s="154" t="inlineStr">
        <is>
          <t>calldispo = 2</t>
        </is>
      </c>
      <c r="R7" s="155" t="n"/>
      <c r="S7" s="127" t="n">
        <v>0</v>
      </c>
      <c r="T7" s="123" t="n"/>
      <c r="U7" s="127">
        <f>S7*T7</f>
        <v/>
      </c>
      <c r="V7" s="59" t="n"/>
      <c r="X7" s="67" t="inlineStr">
        <is>
          <t>no</t>
        </is>
      </c>
    </row>
    <row r="8" ht="31.5" customHeight="1">
      <c r="A8" s="327" t="inlineStr">
        <is>
          <t>NA</t>
        </is>
      </c>
      <c r="B8" s="203" t="inlineStr">
        <is>
          <t>NoAnswer</t>
        </is>
      </c>
      <c r="C8" s="136" t="inlineStr">
        <is>
          <t>calldispo_noanswer</t>
        </is>
      </c>
      <c r="D8" s="150" t="inlineStr">
        <is>
          <t>Phone rang and no one answered.</t>
        </is>
      </c>
      <c r="E8" s="630">
        <f>LEN(D8)</f>
        <v/>
      </c>
      <c r="F8" s="641" t="inlineStr">
        <is>
          <t>ဖုန်းမြည်ပြီး မည်သူမှပြန်မဖြေပါ။</t>
        </is>
      </c>
      <c r="G8" s="630">
        <f>LEN(F8)</f>
        <v/>
      </c>
      <c r="H8" s="144" t="inlineStr">
        <is>
          <t>NA</t>
        </is>
      </c>
      <c r="I8" s="144" t="inlineStr">
        <is>
          <t>NA</t>
        </is>
      </c>
      <c r="J8" s="144" t="inlineStr">
        <is>
          <t>NA</t>
        </is>
      </c>
      <c r="K8" s="144" t="inlineStr">
        <is>
          <t>NA</t>
        </is>
      </c>
      <c r="L8" s="632" t="inlineStr">
        <is>
          <t>NA</t>
        </is>
      </c>
      <c r="M8" s="151" t="inlineStr">
        <is>
          <t>End Poll NoAnswer</t>
        </is>
      </c>
      <c r="N8" s="212" t="n"/>
      <c r="O8" s="152" t="inlineStr">
        <is>
          <t>NA</t>
        </is>
      </c>
      <c r="P8" s="153" t="n"/>
      <c r="Q8" s="154" t="inlineStr">
        <is>
          <t>calldispo = 3</t>
        </is>
      </c>
      <c r="R8" s="155" t="n"/>
      <c r="S8" s="127" t="n">
        <v>0</v>
      </c>
      <c r="T8" s="123" t="n"/>
      <c r="U8" s="127">
        <f>S8*T8</f>
        <v/>
      </c>
      <c r="V8" s="59" t="n"/>
      <c r="X8" s="67" t="inlineStr">
        <is>
          <t>no</t>
        </is>
      </c>
    </row>
    <row r="9" ht="31.5" customHeight="1">
      <c r="A9" s="327" t="inlineStr">
        <is>
          <t>NA</t>
        </is>
      </c>
      <c r="B9" s="203" t="inlineStr">
        <is>
          <t>UnderReview</t>
        </is>
      </c>
      <c r="C9" s="136" t="inlineStr">
        <is>
          <t>calldispo_underreview</t>
        </is>
      </c>
      <c r="D9" s="150" t="inlineStr">
        <is>
          <t>Case needs review by a supervisor.</t>
        </is>
      </c>
      <c r="E9" s="630">
        <f>LEN(D9)</f>
        <v/>
      </c>
      <c r="F9" s="641" t="inlineStr">
        <is>
          <t>ကိစ္စရပ်ကို ကြီးကြပ်သူက ပြန်လည်သုံးသပ်ရန်လိုအပ်သည်။</t>
        </is>
      </c>
      <c r="G9" s="630">
        <f>LEN(F9)</f>
        <v/>
      </c>
      <c r="H9" s="144" t="inlineStr">
        <is>
          <t>NA</t>
        </is>
      </c>
      <c r="I9" s="144" t="inlineStr">
        <is>
          <t>NA</t>
        </is>
      </c>
      <c r="J9" s="144" t="inlineStr">
        <is>
          <t>NA</t>
        </is>
      </c>
      <c r="K9" s="144" t="inlineStr">
        <is>
          <t>NA</t>
        </is>
      </c>
      <c r="L9" s="632" t="inlineStr">
        <is>
          <t>NA</t>
        </is>
      </c>
      <c r="M9" s="151" t="inlineStr">
        <is>
          <t>End Poll UnderReview</t>
        </is>
      </c>
      <c r="N9" s="212" t="n"/>
      <c r="O9" s="152" t="inlineStr">
        <is>
          <t>NA</t>
        </is>
      </c>
      <c r="P9" s="153" t="n"/>
      <c r="Q9" s="154" t="inlineStr">
        <is>
          <t>calldispo = 6</t>
        </is>
      </c>
      <c r="R9" s="155" t="n"/>
      <c r="S9" s="127" t="n">
        <v>0</v>
      </c>
      <c r="T9" s="123" t="n"/>
      <c r="U9" s="127">
        <f>S9*T9</f>
        <v/>
      </c>
      <c r="V9" s="59" t="n"/>
      <c r="X9" s="67" t="inlineStr">
        <is>
          <t>no</t>
        </is>
      </c>
    </row>
    <row r="10" ht="31.5" customHeight="1">
      <c r="A10" s="327" t="inlineStr">
        <is>
          <t>NA</t>
        </is>
      </c>
      <c r="B10" s="203" t="inlineStr">
        <is>
          <t>Disconnected</t>
        </is>
      </c>
      <c r="C10" s="136" t="inlineStr">
        <is>
          <t>calldispo_disconnected</t>
        </is>
      </c>
      <c r="D10" s="150" t="inlineStr">
        <is>
          <t>Phone was disconnected or out of service.</t>
        </is>
      </c>
      <c r="E10" s="630">
        <f>LEN(D10)</f>
        <v/>
      </c>
      <c r="F10" s="641" t="inlineStr">
        <is>
          <t>ဖုန်းလိုင်း ပြတ်တောက်သွားခဲ့သည် သို့မဟုတ် ဆက်သွယ်မှုဧရိယာပြင်ပဖြစ်နေခဲ့သည်။</t>
        </is>
      </c>
      <c r="G10" s="630">
        <f>LEN(F10)</f>
        <v/>
      </c>
      <c r="H10" s="144" t="inlineStr">
        <is>
          <t>NA</t>
        </is>
      </c>
      <c r="I10" s="144" t="inlineStr">
        <is>
          <t>NA</t>
        </is>
      </c>
      <c r="J10" s="144" t="inlineStr">
        <is>
          <t>NA</t>
        </is>
      </c>
      <c r="K10" s="144" t="inlineStr">
        <is>
          <t>NA</t>
        </is>
      </c>
      <c r="L10" s="632" t="inlineStr">
        <is>
          <t>NA</t>
        </is>
      </c>
      <c r="M10" s="151" t="inlineStr">
        <is>
          <t>End Poll Disconnected</t>
        </is>
      </c>
      <c r="N10" s="212" t="n"/>
      <c r="O10" s="152" t="inlineStr">
        <is>
          <t>NA</t>
        </is>
      </c>
      <c r="P10" s="153" t="n"/>
      <c r="Q10" s="154" t="inlineStr">
        <is>
          <t>calldispo = 7</t>
        </is>
      </c>
      <c r="R10" s="155" t="n"/>
      <c r="S10" s="127" t="n">
        <v>0</v>
      </c>
      <c r="T10" s="123" t="n"/>
      <c r="U10" s="127">
        <f>S10*T10</f>
        <v/>
      </c>
      <c r="V10" s="59" t="n"/>
      <c r="X10" s="67" t="inlineStr">
        <is>
          <t>no</t>
        </is>
      </c>
    </row>
    <row r="11" ht="135" customHeight="1">
      <c r="A11" s="327" t="n">
        <v>1</v>
      </c>
      <c r="B11" s="203" t="inlineStr">
        <is>
          <t>resp_language</t>
        </is>
      </c>
      <c r="C11" s="136" t="inlineStr">
        <is>
          <t>resp_language</t>
        </is>
      </c>
      <c r="D11" s="156" t="inlineStr">
        <is>
          <t>Which language do you wish to proceed with?
[OPERATOR: READ ANSWER CHOICES. SINGLE RESPONSE.]
1)Burmese
2)English [FOR TESTING ONLY]</t>
        </is>
      </c>
      <c r="E11" s="630">
        <f>LEN(D11)</f>
        <v/>
      </c>
      <c r="F11" s="641" t="inlineStr">
        <is>
          <t>မည်သည့်ဘာသာစကားဖြင့် ဆက်လက်လုပ်ဆောင်လိုပါသလဲ။
[အော်ပရေတာ- အဖြေရွေးချယ်မှုများကို ဖတ်ရှုပါ။ တုံ့ပြန်မှုတစ်ခုသာ။]
1) ဗမာဘာသာ
2) အင်္ဂလိပ်ဘာသာ [စမ်းသပ်ရန်အတွက်သာ]</t>
        </is>
      </c>
      <c r="G11" s="630">
        <f>LEN(F11)</f>
        <v/>
      </c>
      <c r="H11" s="144" t="inlineStr">
        <is>
          <t>Single Choice</t>
        </is>
      </c>
      <c r="I11" s="630" t="inlineStr">
        <is>
          <t>NA</t>
        </is>
      </c>
      <c r="J11" s="630" t="inlineStr">
        <is>
          <t>NA</t>
        </is>
      </c>
      <c r="K11" s="630" t="inlineStr">
        <is>
          <t>Form Type - Buttons</t>
        </is>
      </c>
      <c r="L11" s="632" t="inlineStr">
        <is>
          <t>NA</t>
        </is>
      </c>
      <c r="M11" s="145" t="inlineStr">
        <is>
          <t>1 = introduction [Burmese]
2 = introduction [English]</t>
        </is>
      </c>
      <c r="N11" s="211" t="n"/>
      <c r="O11" s="157" t="inlineStr">
        <is>
          <t>For any response, go to introduction</t>
        </is>
      </c>
      <c r="P11" s="158" t="n"/>
      <c r="Q11" s="148" t="inlineStr">
        <is>
          <t>ALL</t>
        </is>
      </c>
      <c r="R11" s="159" t="n"/>
      <c r="S11" s="127" t="n">
        <v>3.062232494354248</v>
      </c>
      <c r="T11" s="123" t="n"/>
      <c r="U11" s="127">
        <f>S11*T11</f>
        <v/>
      </c>
      <c r="V11" s="59" t="n"/>
      <c r="X11" s="67" t="inlineStr">
        <is>
          <t>no</t>
        </is>
      </c>
      <c r="AB11" s="66" t="n"/>
    </row>
    <row r="12" ht="409.5" customHeight="1">
      <c r="A12" s="327">
        <f>A11+1</f>
        <v/>
      </c>
      <c r="B12" s="203" t="inlineStr">
        <is>
          <t>introduction</t>
        </is>
      </c>
      <c r="C12" s="136" t="inlineStr">
        <is>
          <t>introduction</t>
        </is>
      </c>
      <c r="D12" s="634" t="inlineStr">
        <is>
          <t>Hello sir/ma'am, my name is #OPERATOR#, and I am calling from GeoPoll Polling Agency on behalf of the humanitarian organization called Food and Agriculture Organization of the United Nations (FAO) and the World Food Programme (WFP). We are conducting a survey on household livelihoods and the ability to access food in your area. I would like to ask you some questions about your household.
The survey usually takes 20/25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2" s="630">
        <f>LEN(D12)</f>
        <v/>
      </c>
      <c r="F12" s="418" t="inlineStr">
        <is>
          <t>မင်္ဂလာပါခင်ဗျာ၊ ကျွန်တော့်နာမည်ကတော့ #OPERATOR# ဖြစ်ပြီး ကုလသမဂ္ဂ စားနပ်ရိက္ခာနှင့်စိုက်ပျိုးရေးအဖွဲ့ (FAO) နှင့် ကုလသမဂ္ဂ ကမ္ဘာ့စားနပ်ရိက္ခာအစီအစဉ် (WFP) လို့ခေါ်တဲ့ လူသားချင်းစာနာမှုအဖွဲ့အစည်းကိုယ်စား GeoPoll Polling Agency ကနေ ခေါ်ဆိုတာဖြစ်ပါတယ်။  လူကြီးမင်း၏အိမ်ထောင်စုနှင့်ပတ်သက်ပြီး မေးခွန်းအချို့ မေးမြန်းလိုပါတယ်။
စစ်တမ်းပြီးမြောက်အောင်ဖြေဆိုရန်အတွက် အချိန် 20 မိနစ်/မိနစ် 25 ကြာမြင့်နိုင်ပါတယ်။ လူကြီးမင်းဖော်ပြသော မည်သည့်သတင်းအချက်အလက်ကိုမဆို တင်းကျပ်စွာ လျှို့ဝှက်ထားမည်ဖြစ်ပြီး စစ်တမ်း၏ရည်ရွယ်ချက်အတွက်သာ အသုံးပြုမည်ဖြစ်ကာ အခြားသူများထံ ပြသမည်မဟုတ်ပါ။ မည်သူမည်ဝါဖြစ်ကြောင်း ခွဲခြားသိရှိနိုင်သည့်အချက်အလက်များကို ကောက်ယူမည်မဟုတ်ပါ။ ဤအင်တာဗျူးရလဒ်အတွက် လူကြီးမင်း၏ဆန္ဒအလျောက်ပါဝင်မှုသည် အကူအညီတစ်စုံတစ်ရာရရှိနိုင်သည့် လူကြီးမင်း၏ကိုယ်ပိုင်အခွင့်အရေးနှင့် လုံးဝဆက်စပ်မှုမရှိပါ။ ဒီအင်တာဗျူးဟာ မိမိသဘောဆန္ဒအလျောက်ပါဝင်နိုင်တဲ့ အင်တာဗျူးဖြစ်ပြီး လူကြီးမင်းဆန္ဒရှိပါက မေးခွန်းတစ်စုံတစ်ခုကိုဖြစ်စေ သို့မဟုတ် မေးခွန်းအားလုံးကိုဖြစ်စေ မဖြေကြားရန် ရွေးချယ်နိုင်ပါတယ်။ သို့သော် လူကြီးမင်း၏အမြင်များသည် အရေးကြီးသောကြောင့် လူကြီးမင်းအနေနဲ့ ပါဝင်ပေးဖို့ ကျွန်တော်တို့ မျှော်လင့်ပါတယ်။  
စစ်တမ်းတွင်ပါဝင်ခြင်းအတွက် လက်ဆောင်အဖြစ် ဖုန်းခေါ်ဆိုခွင့်ပမာဏ #TOPUP# ရရှိမှာ ဖြစ်ပါတယ်။
အရည် အသွေးကို ထိန်းသိမ်း ရန် ရည်ရွယ်ချက်အတွက် ဤခေါ်ဆိုမှုကို မှတ်တမ်းတင်ထားနိုင်သည်ကို ကျေးဇူးပြု၍ သတိပြုပါ။
မေးမြန်းလိုသည်များ ရှိပါသလား။
[အော်ပရေတာ- ဖြေဆိုသူထံမှ မေးခွန်းများရှိပါက ၎င်းတို့ကို ဖြေဆိုပါ။]
1) ရှေ့ဆက်ရန်</t>
        </is>
      </c>
      <c r="G12" s="630">
        <f>LEN(F12)</f>
        <v/>
      </c>
      <c r="H12" s="144" t="inlineStr">
        <is>
          <t>Single Choice</t>
        </is>
      </c>
      <c r="I12" s="630" t="inlineStr">
        <is>
          <t>NA</t>
        </is>
      </c>
      <c r="J12" s="630" t="inlineStr">
        <is>
          <t>NA</t>
        </is>
      </c>
      <c r="K12" s="630" t="inlineStr">
        <is>
          <t>Form Type - Buttons</t>
        </is>
      </c>
      <c r="L12" s="632" t="inlineStr">
        <is>
          <t>NA</t>
        </is>
      </c>
      <c r="M12" s="145" t="inlineStr">
        <is>
          <t>1 = Agree</t>
        </is>
      </c>
      <c r="N12" s="145" t="n"/>
      <c r="O12" s="157" t="inlineStr">
        <is>
          <t>For any response, go to Agree</t>
        </is>
      </c>
      <c r="P12" s="158" t="n"/>
      <c r="Q12" s="148" t="inlineStr">
        <is>
          <t>ALL</t>
        </is>
      </c>
      <c r="R12" s="416" t="n"/>
      <c r="S12" s="127" t="n">
        <v>50.82254028320312</v>
      </c>
      <c r="T12" s="123" t="n"/>
      <c r="U12" s="127">
        <f>S12*T12</f>
        <v/>
      </c>
      <c r="V12" s="59" t="n"/>
      <c r="X12" s="59" t="inlineStr">
        <is>
          <t>no</t>
        </is>
      </c>
    </row>
    <row r="13" ht="150" customFormat="1" customHeight="1" s="704">
      <c r="A13" s="327">
        <f>A12+1</f>
        <v/>
      </c>
      <c r="B13" s="203" t="inlineStr">
        <is>
          <t>Agree</t>
        </is>
      </c>
      <c r="C13" s="136" t="inlineStr">
        <is>
          <t>resp_agree</t>
        </is>
      </c>
      <c r="D13" s="137" t="inlineStr">
        <is>
          <t xml:space="preserve">Are you interested in participating in this survey?
[OPERATOR: SINGLE RESPONSE]
1)Yes 
2)Not now but another time in the week 
3)No </t>
        </is>
      </c>
      <c r="E13" s="630">
        <f>LEN(D13)</f>
        <v/>
      </c>
      <c r="F13" s="641" t="inlineStr">
        <is>
          <t xml:space="preserve">ဤစစ်တမ်းတွင်ပါဝင်ရန် စိတ်ဝင်စားပါသလား။
[အော်ပရေတာ- တုံ့ပြန်မှုတစ်ခုသာ]
1)ဟုတ် 
2)ယခုစိတ်မဝင်စားသေးသော်လည်း တစ်ပတ်အတွင်း စစ်တမ်းနောက်တစ်ကြိမ်ကျင်းပသောအခါ ပါဝင်မည် 
3)စိတ်မဝင်စားပါ </t>
        </is>
      </c>
      <c r="G13" s="630">
        <f>LEN(F13)</f>
        <v/>
      </c>
      <c r="H13" s="144" t="inlineStr">
        <is>
          <t>StartRecording</t>
        </is>
      </c>
      <c r="I13" s="630" t="inlineStr">
        <is>
          <t>NA</t>
        </is>
      </c>
      <c r="J13" s="630" t="inlineStr">
        <is>
          <t>NA</t>
        </is>
      </c>
      <c r="K13" s="630" t="inlineStr">
        <is>
          <t>Form Type - Buttons</t>
        </is>
      </c>
      <c r="L13" s="632" t="inlineStr">
        <is>
          <t>NA</t>
        </is>
      </c>
      <c r="M13" s="145" t="inlineStr">
        <is>
          <t>1 = resp_age
2 = WhenCallBack
3 = resp_refusalwhy</t>
        </is>
      </c>
      <c r="N13" s="145" t="n"/>
      <c r="O13" s="145" t="inlineStr">
        <is>
          <t>if Agree = 1, go to resp_firstname
if Agree = 2, go to WhenCallBack
if Agree = 3, go to resp_refusalwhy</t>
        </is>
      </c>
      <c r="P13" s="161" t="n"/>
      <c r="Q13" s="148" t="inlineStr">
        <is>
          <t>ALL</t>
        </is>
      </c>
      <c r="R13" s="149" t="n"/>
      <c r="S13" s="127" t="n">
        <v>3.496473789215088</v>
      </c>
      <c r="T13" s="123" t="n">
        <v>1</v>
      </c>
      <c r="U13" s="127">
        <f>S13*T13</f>
        <v/>
      </c>
      <c r="V13" s="59" t="n"/>
      <c r="X13" s="59" t="inlineStr">
        <is>
          <t>no</t>
        </is>
      </c>
      <c r="Y13" s="680" t="n"/>
      <c r="AB13" s="61" t="n"/>
    </row>
    <row r="14" ht="176.1" customFormat="1" customHeight="1" s="704">
      <c r="A14" s="327" t="inlineStr">
        <is>
          <t>NA</t>
        </is>
      </c>
      <c r="B14" s="203" t="inlineStr">
        <is>
          <t>resp_refusalwhy</t>
        </is>
      </c>
      <c r="C14" s="136" t="inlineStr">
        <is>
          <t>resp_refusalwhy</t>
        </is>
      </c>
      <c r="D14" s="417" t="inlineStr">
        <is>
          <t>Please let us know why you have REFUSED to take the survey.
[OPERATOR: SINGLE RESPONSE]
1)Not interested
2)Do not want to be recorded
3)Other [specify]</t>
        </is>
      </c>
      <c r="E14" s="630">
        <f>LEN(D14)</f>
        <v/>
      </c>
      <c r="F14" s="641" t="inlineStr">
        <is>
          <t>စစ်တမ်းဖြေဆိုရန် အဘယ်ကြောင့်ငြင်းဆန်သည်ကို ကျွန်ုပ်တို့အား အသိပေးပါ။
[အော်ပရေတာ- တုံ့ပြန်မှုတစ်ခုသာ]
1)စိတ်မဝင်စားသောကြောင့်
2)မှတ်တမ်းတင်ခြင်း ကို မပြုလုပ်ချင်​သော​ကြောင့်
3)အခြား [အသေးစိတ်ဖော်ပြပါ]</t>
        </is>
      </c>
      <c r="G14" s="630">
        <f>LEN(F14)</f>
        <v/>
      </c>
      <c r="H14" s="144" t="inlineStr">
        <is>
          <t>Open Ended-Single Choice</t>
        </is>
      </c>
      <c r="I14" s="630" t="inlineStr">
        <is>
          <t>NA</t>
        </is>
      </c>
      <c r="J14" s="630" t="inlineStr">
        <is>
          <t>NA</t>
        </is>
      </c>
      <c r="K14" s="630" t="inlineStr">
        <is>
          <t>Form Type - RadioList</t>
        </is>
      </c>
      <c r="L14" s="632" t="inlineStr">
        <is>
          <t>NA</t>
        </is>
      </c>
      <c r="M14" s="145" t="inlineStr">
        <is>
          <t>Any Response = Refusal</t>
        </is>
      </c>
      <c r="N14" s="145" t="n"/>
      <c r="O14" s="145" t="inlineStr">
        <is>
          <t>For any response, go to Refusal</t>
        </is>
      </c>
      <c r="P14" s="161" t="n"/>
      <c r="Q14" s="148" t="inlineStr">
        <is>
          <t>resp_agree = 3</t>
        </is>
      </c>
      <c r="R14" s="149" t="n"/>
      <c r="S14" s="127" t="n">
        <v>0</v>
      </c>
      <c r="T14" s="123" t="n">
        <v>1</v>
      </c>
      <c r="U14" s="127">
        <f>S14*T14</f>
        <v/>
      </c>
      <c r="V14" s="59" t="n"/>
      <c r="X14" s="419" t="inlineStr">
        <is>
          <t>no</t>
        </is>
      </c>
      <c r="Y14" s="680" t="n"/>
      <c r="AB14" s="61" t="n"/>
    </row>
    <row r="15" ht="102" customFormat="1" customHeight="1" s="704">
      <c r="A15" s="327" t="inlineStr">
        <is>
          <t>NA</t>
        </is>
      </c>
      <c r="B15" s="203" t="inlineStr">
        <is>
          <t>WhenCallBack</t>
        </is>
      </c>
      <c r="C15" s="136" t="inlineStr">
        <is>
          <t>resp_whencallback</t>
        </is>
      </c>
      <c r="D15" s="137" t="inlineStr">
        <is>
          <t>When would it be a good time to call you back?
[RECORD HH/MM/DD/MM OF CALLBACK]</t>
        </is>
      </c>
      <c r="E15" s="630">
        <f>LEN(D15)</f>
        <v/>
      </c>
      <c r="F15" s="641" t="inlineStr">
        <is>
          <t>လူကြီးမင်းအား မည်သည့်အချိန်တွင် ပြန်လည်ခေါ်ဆိုရန် အဆင်ပြေပါသလဲ။
[ပြန်လည်ခေါ်ဆိုမှု မှတ်တမ်း နာရီ /မိနစ် /ရက်/လ]</t>
        </is>
      </c>
      <c r="G15" s="630">
        <f>LEN(F15)</f>
        <v/>
      </c>
      <c r="H15" s="144" t="inlineStr">
        <is>
          <t>Open Ended</t>
        </is>
      </c>
      <c r="I15" s="630" t="inlineStr">
        <is>
          <t>NA</t>
        </is>
      </c>
      <c r="J15" s="630" t="inlineStr">
        <is>
          <t>NA</t>
        </is>
      </c>
      <c r="K15" s="630" t="inlineStr">
        <is>
          <t>Form Type - TextBox
IsCallBackdemographic</t>
        </is>
      </c>
      <c r="L15" s="632" t="inlineStr">
        <is>
          <t>NA</t>
        </is>
      </c>
      <c r="M15" s="145" t="inlineStr">
        <is>
          <t>Any Response = CallbackMessageEN</t>
        </is>
      </c>
      <c r="N15" s="145" t="n"/>
      <c r="O15" s="145" t="inlineStr">
        <is>
          <t>For any response, go to CallbackMessageEN</t>
        </is>
      </c>
      <c r="P15" s="161" t="n"/>
      <c r="Q15" s="148" t="inlineStr">
        <is>
          <t>resp_agree = 2</t>
        </is>
      </c>
      <c r="R15" s="149" t="n"/>
      <c r="S15" s="127" t="n">
        <v>0</v>
      </c>
      <c r="T15" s="123" t="n">
        <v>1</v>
      </c>
      <c r="U15" s="127">
        <f>S15*T15</f>
        <v/>
      </c>
      <c r="V15" s="59" t="n"/>
      <c r="X15" s="419" t="inlineStr">
        <is>
          <t>no</t>
        </is>
      </c>
      <c r="Y15" s="680" t="n"/>
      <c r="AB15" s="61" t="n"/>
    </row>
    <row r="16" ht="112.5" customFormat="1" customHeight="1" s="704">
      <c r="A16" s="327" t="inlineStr">
        <is>
          <t>NA</t>
        </is>
      </c>
      <c r="B16" s="203" t="inlineStr">
        <is>
          <t>CallbackMessageEN</t>
        </is>
      </c>
      <c r="C16" s="136" t="inlineStr">
        <is>
          <t>callbackmessage_en</t>
        </is>
      </c>
      <c r="D16" s="137" t="inlineStr">
        <is>
          <t>Thank you, we will call you back at {WhenCallBack} you requested. Thank you again and have a great day!
[OPERATOR: ENTER CALL NOTES BELOW, WHO YOU SPOKE TO AND WHAT THEY SAID]</t>
        </is>
      </c>
      <c r="E16" s="630">
        <f>LEN(D16)</f>
        <v/>
      </c>
      <c r="F16" s="641" t="inlineStr">
        <is>
          <t>ကျေးဇူးတင်ပါတယ်။ လူကြီးမင်းတောင်းဆိုသော {WhenCallBack} တွင် ဖုန်းပြန်လည်ခေါ်ဆိုပါမယ်။ ကျေးဇူးထပ်မံတင်ရှိပါတယ်။ သာယာတဲ့နေ့လေးဖြစ်ပါစေ။
[အော်ပရေတာ- ဖုန်းခေါ်ဆိုမှုမှတ်တမ်းများကို အောက်တွင် ဖြည့်သွင်းပါ၊ သင်နှင့်စကားပြောဆိုခဲ့သူများနှင့် ၎င်းတို့ပြောဆိုခဲ့သည်များ]</t>
        </is>
      </c>
      <c r="G16" s="630">
        <f>LEN(F16)</f>
        <v/>
      </c>
      <c r="H16" s="144" t="inlineStr">
        <is>
          <t>Open Ended</t>
        </is>
      </c>
      <c r="I16" s="630" t="inlineStr">
        <is>
          <t>NA</t>
        </is>
      </c>
      <c r="J16" s="630" t="inlineStr">
        <is>
          <t>NA</t>
        </is>
      </c>
      <c r="K16" s="630" t="inlineStr">
        <is>
          <t>Form Type - TextBox</t>
        </is>
      </c>
      <c r="L16" s="632" t="inlineStr">
        <is>
          <t>NA</t>
        </is>
      </c>
      <c r="M16" s="145" t="inlineStr">
        <is>
          <t>Any Response = End poll callback</t>
        </is>
      </c>
      <c r="N16" s="145" t="n"/>
      <c r="O16" s="146" t="inlineStr">
        <is>
          <t>NA</t>
        </is>
      </c>
      <c r="P16" s="147" t="n"/>
      <c r="Q16" s="148" t="inlineStr">
        <is>
          <t>resp_agree = 2</t>
        </is>
      </c>
      <c r="R16" s="149" t="n"/>
      <c r="S16" s="127" t="n">
        <v>0</v>
      </c>
      <c r="T16" s="123" t="n">
        <v>1</v>
      </c>
      <c r="U16" s="127">
        <f>S16*T16</f>
        <v/>
      </c>
      <c r="V16" s="59" t="n"/>
      <c r="X16" s="419" t="inlineStr">
        <is>
          <t>no</t>
        </is>
      </c>
      <c r="Y16" s="680" t="n"/>
      <c r="AB16" s="61" t="n"/>
    </row>
    <row r="17" ht="102.6" customFormat="1" customHeight="1" s="704">
      <c r="A17" s="327" t="inlineStr">
        <is>
          <t>NA</t>
        </is>
      </c>
      <c r="B17" s="203" t="inlineStr">
        <is>
          <t>Ineligible</t>
        </is>
      </c>
      <c r="C17" s="136" t="inlineStr">
        <is>
          <t>NA</t>
        </is>
      </c>
      <c r="D17" s="137" t="inlineStr">
        <is>
          <t>You are ineligible for this survey. Thank you for your time and please look out for future GeoPoll surveys! For more information visit GeoPoll.com</t>
        </is>
      </c>
      <c r="E17" s="630">
        <f>LEN(D17)</f>
        <v/>
      </c>
      <c r="F17" s="641" t="inlineStr">
        <is>
          <t>လူကြီးမင်းသည် ဤစစ်တမ်းအတွက် အရည်အချင်းမပြည့်မီပါ။ လူကြီးမင်း၏အချိန်ပေးမှုအတွက် ကျေးဇူးတင်ရှိပြီး နောင်တွင်လည်း GeoPoll စစ်တမ်းများကို ဖြေကြားပေးစေလိုပါတယ်။ ပိုမိုသိရှိလိုပါက GeoPoll.com သို့ ဝင်ရောက်ကြည့်ရှုပါ</t>
        </is>
      </c>
      <c r="G17" s="630">
        <f>LEN(F17)</f>
        <v/>
      </c>
      <c r="H17" s="144" t="inlineStr">
        <is>
          <t>NA</t>
        </is>
      </c>
      <c r="I17" s="630" t="inlineStr">
        <is>
          <t>NA</t>
        </is>
      </c>
      <c r="J17" s="630" t="inlineStr">
        <is>
          <t>NA</t>
        </is>
      </c>
      <c r="K17" s="630" t="inlineStr">
        <is>
          <t>NA</t>
        </is>
      </c>
      <c r="L17" s="632" t="inlineStr">
        <is>
          <t>NA</t>
        </is>
      </c>
      <c r="M17" s="145" t="inlineStr">
        <is>
          <t>End Poll Ineligible</t>
        </is>
      </c>
      <c r="N17" s="211" t="n"/>
      <c r="O17" s="146" t="inlineStr">
        <is>
          <t>NA</t>
        </is>
      </c>
      <c r="P17" s="147" t="n"/>
      <c r="Q17" s="148" t="inlineStr">
        <is>
          <t>NA</t>
        </is>
      </c>
      <c r="R17" s="149" t="n"/>
      <c r="S17" s="127" t="n">
        <v>0</v>
      </c>
      <c r="T17" s="123" t="n">
        <v>1</v>
      </c>
      <c r="U17" s="127">
        <f>S17*T17</f>
        <v/>
      </c>
      <c r="V17" s="59" t="n"/>
      <c r="X17" s="63" t="inlineStr">
        <is>
          <t>no</t>
        </is>
      </c>
      <c r="Y17" s="680" t="n"/>
      <c r="AB17" s="61" t="n"/>
    </row>
    <row r="18" ht="72.59999999999999" customFormat="1" customHeight="1" s="704" thickBot="1">
      <c r="A18" s="328" t="inlineStr">
        <is>
          <t>NA</t>
        </is>
      </c>
      <c r="B18" s="375" t="inlineStr">
        <is>
          <t>Refusal</t>
        </is>
      </c>
      <c r="C18" s="162" t="inlineStr">
        <is>
          <t xml:space="preserve">NA </t>
        </is>
      </c>
      <c r="D18" s="163" t="inlineStr">
        <is>
          <t>Thank you for your time, you will be removed from today's survey.</t>
        </is>
      </c>
      <c r="E18" s="164">
        <f>LEN(D18)</f>
        <v/>
      </c>
      <c r="F18" s="641" t="inlineStr">
        <is>
          <t>လူကြီးမင်း၏အချိန်ပေးမှုအတွက် ကျေးဇူးတင်ပါတယ်၊ လူကြီးမင်းအား ယနေ့စစ်တမ်းမှ ဖယ်ထုတ်သွားမှာဖြစ်ပါတယ်။</t>
        </is>
      </c>
      <c r="G18" s="164">
        <f>LEN(F18)</f>
        <v/>
      </c>
      <c r="H18" s="165" t="inlineStr">
        <is>
          <t>NA</t>
        </is>
      </c>
      <c r="I18" s="164" t="inlineStr">
        <is>
          <t>NA</t>
        </is>
      </c>
      <c r="J18" s="164" t="inlineStr">
        <is>
          <t>NA</t>
        </is>
      </c>
      <c r="K18" s="164" t="inlineStr">
        <is>
          <t>NA</t>
        </is>
      </c>
      <c r="L18" s="632" t="inlineStr">
        <is>
          <t>NA</t>
        </is>
      </c>
      <c r="M18" s="166" t="inlineStr">
        <is>
          <t>End poll declined</t>
        </is>
      </c>
      <c r="N18" s="213" t="n"/>
      <c r="O18" s="146" t="inlineStr">
        <is>
          <t>NA</t>
        </is>
      </c>
      <c r="P18" s="167" t="n"/>
      <c r="Q18" s="168" t="inlineStr">
        <is>
          <t>calldispo = 4</t>
        </is>
      </c>
      <c r="R18" s="169" t="n"/>
      <c r="S18" s="127" t="n">
        <v>0</v>
      </c>
      <c r="T18" s="123" t="n">
        <v>1</v>
      </c>
      <c r="U18" s="127">
        <f>S18*T18</f>
        <v/>
      </c>
      <c r="V18" s="59" t="n"/>
      <c r="X18" s="63" t="inlineStr">
        <is>
          <t>no</t>
        </is>
      </c>
      <c r="Y18" s="680" t="n"/>
      <c r="AB18" s="61" t="n"/>
    </row>
    <row r="19" ht="29.1" customFormat="1" customHeight="1" s="704" thickBot="1">
      <c r="A19" s="688" t="inlineStr">
        <is>
          <t>B. GENERAL INFORMATION &amp; ELIGIBILITY CRITERIA</t>
        </is>
      </c>
      <c r="B19" s="720" t="n"/>
      <c r="C19" s="720" t="n"/>
      <c r="D19" s="720" t="n"/>
      <c r="E19" s="720" t="n"/>
      <c r="F19" s="720" t="n"/>
      <c r="G19" s="720" t="n"/>
      <c r="H19" s="720" t="n"/>
      <c r="I19" s="720" t="n"/>
      <c r="J19" s="720" t="n"/>
      <c r="K19" s="720" t="n"/>
      <c r="L19" s="720" t="n"/>
      <c r="M19" s="720" t="n"/>
      <c r="N19" s="720" t="n"/>
      <c r="O19" s="720" t="n"/>
      <c r="P19" s="720" t="n"/>
      <c r="Q19" s="720" t="n"/>
      <c r="R19" s="721" t="n"/>
      <c r="S19" s="127" t="n"/>
      <c r="T19" s="123" t="n"/>
      <c r="U19" s="123" t="n"/>
      <c r="V19" s="59" t="n"/>
      <c r="X19" s="63" t="n"/>
      <c r="Y19" s="680" t="n"/>
      <c r="AB19" s="61" t="n"/>
    </row>
    <row r="20" ht="119.25" customFormat="1" customHeight="1" s="704">
      <c r="A20" s="327" t="n">
        <v>4</v>
      </c>
      <c r="B20" s="592" t="inlineStr">
        <is>
          <t>resp_age</t>
        </is>
      </c>
      <c r="C20" s="593" t="inlineStr">
        <is>
          <t>resp_age</t>
        </is>
      </c>
      <c r="D20" s="129" t="inlineStr">
        <is>
          <t>How old are you? 
[OPERATOR: RECORD AGE IN NUMBER OF YEARS. ROUND UP TO NEAREST WHOLE NUMBER. IF THE RESPONDENT GIVES BIRTH YEAR, REPEAT THE QUESTION. ENTER 00 FOR DON'T KNOW.]</t>
        </is>
      </c>
      <c r="E20" s="170">
        <f>LEN(D20)</f>
        <v/>
      </c>
      <c r="F20" s="641" t="inlineStr">
        <is>
          <t>အသက်ဘယ်လောက်ပါလဲ။ 
[အော်ပရေတာ- အသက်ကို နှစ်အရေအတွက်ဖြင့်မှတ်တမ်းတင်ပါ။ အနီးစပ်ဆုံးကိန်းပြည့်ကို ယူပါ။ အကယ်၍ ဖြေဆိုသူသည် မွေးဖွားသည့်ခုနှစ်ကိုပြောပါက မေးခွန်းကိုပြန်မေးပါ။ မသိပါဟု ဖြေဆိုပါက 00 ဟု ဖြည့်သွင်းပါ။]</t>
        </is>
      </c>
      <c r="G20" s="170">
        <f>LEN(F20)</f>
        <v/>
      </c>
      <c r="H20" s="170" t="inlineStr">
        <is>
          <t>Range</t>
        </is>
      </c>
      <c r="I20" s="170" t="inlineStr">
        <is>
          <t>NA</t>
        </is>
      </c>
      <c r="J20" s="170" t="inlineStr">
        <is>
          <t>NA</t>
        </is>
      </c>
      <c r="K20" s="170" t="inlineStr">
        <is>
          <t>Form Type - TextBox</t>
        </is>
      </c>
      <c r="L20" s="594" t="inlineStr">
        <is>
          <t>NA</t>
        </is>
      </c>
      <c r="M20" s="131" t="inlineStr">
        <is>
          <t>0-17 = Ineligible
18-100 = resp_gender
00 = Ineligible</t>
        </is>
      </c>
      <c r="N20" s="571" t="n"/>
      <c r="O20" s="595" t="inlineStr">
        <is>
          <t>Only respondents from 18-100 will be eligible for the surve.</t>
        </is>
      </c>
      <c r="P20" s="596" t="n"/>
      <c r="Q20" s="597" t="inlineStr">
        <is>
          <t>resp_agree = 1</t>
        </is>
      </c>
      <c r="R20" s="598" t="n"/>
      <c r="S20" s="172" t="n">
        <v>13.75307273864746</v>
      </c>
      <c r="T20" s="173">
        <f>1</f>
        <v/>
      </c>
      <c r="U20" s="172">
        <f>S20*T20</f>
        <v/>
      </c>
      <c r="V20" s="59" t="n"/>
      <c r="X20" s="67" t="inlineStr">
        <is>
          <t>yes</t>
        </is>
      </c>
      <c r="Y20" s="680" t="n"/>
      <c r="AB20" s="61" t="n"/>
    </row>
    <row r="21" ht="195.75" customFormat="1" customHeight="1" s="704">
      <c r="A21" s="326">
        <f>A20+1</f>
        <v/>
      </c>
      <c r="B21" s="203" t="inlineStr">
        <is>
          <t>resp_gender</t>
        </is>
      </c>
      <c r="C21" s="136" t="inlineStr">
        <is>
          <t>resp_gender</t>
        </is>
      </c>
      <c r="D21" s="137" t="inlineStr">
        <is>
          <t>What is the gender of the respondent?
[OPERATOR: DO NOT ASK THIS QUESTION. LISTEN TO THE VOICE AND CHECK THE CORRECT BOX.]
1)Male
2)Female
3)DON'T KNOW
4)REFUSED</t>
        </is>
      </c>
      <c r="E21" s="630">
        <f>LEN(D21)</f>
        <v/>
      </c>
      <c r="F21" s="641" t="inlineStr">
        <is>
          <t>ဖြေဆိုသူသည် ကျား သို့မဟုတ် မ ဖြစ်ပါသလား။
[အော်ပရေတာ- ထိုမေးခွန်းကို မမေးပါနှင့်။ အသံကိုနားထောင်ပြီး မှန်ကန်သောအကွက်တွင် အမှတ်ခြစ်ပါ။]
1)အမျိုးသား
2)အမျိုးသမီး
3)မသိပါ
4)ဖြေဆိုရန် ငြင်းဆန်သည်</t>
        </is>
      </c>
      <c r="G21" s="630">
        <f>LEN(F21)</f>
        <v/>
      </c>
      <c r="H21" s="144" t="inlineStr">
        <is>
          <t>Single Choice</t>
        </is>
      </c>
      <c r="I21" s="630" t="inlineStr">
        <is>
          <t>NA</t>
        </is>
      </c>
      <c r="J21" s="630" t="inlineStr">
        <is>
          <t>NA</t>
        </is>
      </c>
      <c r="K21" s="630" t="inlineStr">
        <is>
          <t>Form Type - Buttons</t>
        </is>
      </c>
      <c r="L21" s="594" t="inlineStr">
        <is>
          <t>NA</t>
        </is>
      </c>
      <c r="M21" s="145" t="inlineStr">
        <is>
          <t>1-4 = hh_admin1</t>
        </is>
      </c>
      <c r="N21" s="571" t="n"/>
      <c r="O21" s="131" t="inlineStr">
        <is>
          <t>For any response, go to phone_number_conf</t>
        </is>
      </c>
      <c r="P21" s="633" t="n"/>
      <c r="Q21" s="148" t="inlineStr">
        <is>
          <t>resp_agree = 1 
resp_age = 18-100</t>
        </is>
      </c>
      <c r="R21" s="149" t="n"/>
      <c r="S21" s="172" t="n">
        <v>2.117356061935425</v>
      </c>
      <c r="T21" s="173">
        <f>1</f>
        <v/>
      </c>
      <c r="U21" s="172">
        <f>S21*T21</f>
        <v/>
      </c>
      <c r="V21" s="59" t="n"/>
      <c r="X21" s="67" t="inlineStr">
        <is>
          <t>yes</t>
        </is>
      </c>
      <c r="Y21" s="680" t="n"/>
      <c r="AB21" s="61" t="n"/>
    </row>
    <row r="22" ht="409.5" customFormat="1" customHeight="1" s="704">
      <c r="A22" s="326">
        <f>A21+1</f>
        <v/>
      </c>
      <c r="B22" s="128" t="inlineStr">
        <is>
          <t>hh_admin1</t>
        </is>
      </c>
      <c r="C22" s="136" t="inlineStr">
        <is>
          <t>hh_admin1</t>
        </is>
      </c>
      <c r="D22" s="129" t="inlineStr">
        <is>
          <t xml:space="preserve">Currently, in which State/Region does your household reside?
[OPERATOR: SINGLE SELECTION.]
[HINT: HOUSEHOLD CONSISTS OF ALL MEMBERS LIVING TOGETHER, SHARING RESOURCES &amp; EATING FROM THE SAME POT.]
1)AYEYARWADY
2)BAGO
3)CHIN
4)KACHIN
5)KAYAH
6)KAYIN
7)MAGWAY
8)MANDALAY
9)MON
10)NAY PYI TAW
11)RAKHINE
12)SAGAING
13)SHAN
14)TANINTHARYI
15)YANGON
16)DON'T KNOW
17)REFUSED </t>
        </is>
      </c>
      <c r="E22" s="631">
        <f>LEN(D22)</f>
        <v/>
      </c>
      <c r="F22" s="171" t="inlineStr">
        <is>
          <t xml:space="preserve">လက်ရှိအချိန်၌ လူကြီးမင်း၏အိမ်ထောင်စုသည် မည်သည့်ပြည်နယ်/တိုင်းဒေသကြီးတွင် နေထိုင်သနည်း။
[အော်ပရေတာ- ရွေးချယ်မှုတစ်ခုသာ။]
[အရိပ်အမြွက် - အိမ်ထောင်စုတွင် အတူတကွနေထိုင်ကာ ရင်းမြစ်များကို မျှဝေသုံးစွဲပြီး တစ်အိုးတည်းစားသောက်သော မိသားစုဝင်များအားလုံး ပါဝင်သည်။]
1) ဧရာဝတီ
2) ပဲခူး
3) ချင်း
4) ကချင်
5) ကယား
6) ကရင်
7) မကွေး
8) မန္တလေး
9) မွန်
10) နေပြည်တော်
11) ရခိုင်
12) စစ်ကိုင်း
13) ရှမ်း
14) တနင်္သာရီ
15) ရန်ကုန်
16) မသိပါ
17) ဖြေဆိုရန် ငြင်းဆန်သည် </t>
        </is>
      </c>
      <c r="G22" s="631">
        <f>LEN(F22)</f>
        <v/>
      </c>
      <c r="H22" s="698" t="inlineStr">
        <is>
          <t>Single Choice</t>
        </is>
      </c>
      <c r="I22" s="631" t="inlineStr">
        <is>
          <t>NA</t>
        </is>
      </c>
      <c r="J22" s="631" t="inlineStr">
        <is>
          <t>NA</t>
        </is>
      </c>
      <c r="K22" s="631" t="inlineStr">
        <is>
          <t>Form Type - Dropdown
IsDemographic - ADM1</t>
        </is>
      </c>
      <c r="L22" s="594" t="inlineStr">
        <is>
          <t>NA</t>
        </is>
      </c>
      <c r="M22" s="131" t="inlineStr">
        <is>
          <t>1 = o_hh_admin3_1
2 = o_hh_admin3_2
3 = o_hh_admin3_3
4 = o_hh_admin3_4
5 = o_hh_admin3_5
6 = o_hh_admin3_6
7 = o_hh_admin3_7
8 = o_hh_admin3_8
9 = o_hh_admin3_9
10 = Ineligible
11 = o_hh_admin3_11
12 = o_hh_admin3_12
13 = o_hh_admin3_13
14 = o_hh_admin3_14
15 = o_hh_admin3_15
16,17 = Ineligible</t>
        </is>
      </c>
      <c r="N22" s="571" t="n"/>
      <c r="O22" s="722" t="inlineStr">
        <is>
          <t xml:space="preserve">The administrative information will be updated by GeoPoll based on the sample design document and the administrative boundaries provided by the dashboard team after the questionnaire validation. </t>
        </is>
      </c>
      <c r="P22" s="599" t="n"/>
      <c r="Q22" s="148" t="inlineStr">
        <is>
          <t>resp_agree = 1 
resp_age = 18-100</t>
        </is>
      </c>
      <c r="R22" s="149" t="n"/>
      <c r="S22" s="172" t="n">
        <v>8.800000000000001</v>
      </c>
      <c r="T22" s="173">
        <f>1</f>
        <v/>
      </c>
      <c r="U22" s="172">
        <f>S22*T22</f>
        <v/>
      </c>
      <c r="V22" s="59" t="n"/>
      <c r="X22" s="67" t="inlineStr">
        <is>
          <t>yes</t>
        </is>
      </c>
      <c r="Y22" s="680" t="n"/>
      <c r="AB22" s="61" t="n"/>
    </row>
    <row r="23" ht="409.5" customFormat="1" customHeight="1" s="704">
      <c r="A23" s="326">
        <f>A22+1</f>
        <v/>
      </c>
      <c r="B23" s="203" t="inlineStr">
        <is>
          <t>o_hh_admin3_1</t>
        </is>
      </c>
      <c r="C23" s="136" t="inlineStr">
        <is>
          <t>o_hh_admin3</t>
        </is>
      </c>
      <c r="D23" s="600" t="inlineStr">
        <is>
          <t>Currently, in which Township does your household reside?
[OPERATOR: SINGLE RESPONSE.]
1)BOGALE
2)DANUBYU
3)DEDAYE
4)EINME
5)HINTHADA
6)INGAPU
7)KANGYIDAUNT
8)KYAIKLAT
9)KYANGIN
10)KYAUNGGON
11)KYONPYAW
12)LABUTTA
13)LEMYETHNA
14)MAUBIN
15)MAWLAMYINEGYUN
16)MYANAUNG
17)MYAUNGMYA
18)NGAPUDAW
19)NYAUNGDON
20)PANTANAW
21)PATHEIN
22)PYAPON
23)THABAUNG
24)WAKEMA
25)YEGYI
26)ZALUN
27)DON'T KNOW
28)REFUSED</t>
        </is>
      </c>
      <c r="E23" s="630">
        <f>LEN(D23)</f>
        <v/>
      </c>
      <c r="F23" s="230" t="inlineStr">
        <is>
          <t>လက်ရှိအချိန်တွင် လူကြီးမင်း၏အိမ်ထောင်စုသည် မည်သည့်မြို့နယ်၌ နေထိုင်ပါသနည်း။
[အော်ပရေတာ- တုံ့ပြန်မှုတစ်ခုသာ။]
1)ဘိုကလေး
2)ဓနုဖြူ
3)ဒေးဒရဲ
4)အိမ်မဲ
5)ဟင်္သာတ
6)အင်္ဂပူ
7)ကန်ကြီးထောင့်
8)ကျိုက်လတ်
9)ကြံခင်း
10)ကျောင်းကုန်း
11)ကျုံပျော်
12)လပွတ္တာ
13)လေးမျက်နှာ
14)မအူပင်
15)မော်လမြိုင်ကျွန်း
16)မြန်အောင်
17)မြောင်းမြ
18)ငပုတော
19)ညောင်တုန်း
20)ပန်းတနော်
21)ပုသိမ်
22)ဖျာပုံ
23)သာပေါင်း
24)ဝါးခယ်မ
25)ရေကြည်
26)ဇလွန်
27)မသိပါ
28)ဖြေဆိုရန် ငြင်းဆန်သည်</t>
        </is>
      </c>
      <c r="G23" s="630">
        <f>LEN(F23)</f>
        <v/>
      </c>
      <c r="H23" s="144" t="inlineStr">
        <is>
          <t>Single Choice</t>
        </is>
      </c>
      <c r="I23" s="630" t="inlineStr">
        <is>
          <t>NA</t>
        </is>
      </c>
      <c r="J23" s="630" t="inlineStr">
        <is>
          <t>NA</t>
        </is>
      </c>
      <c r="K23" s="630" t="inlineStr">
        <is>
          <t>Form Type - Dropdown
IsDemographic - ADM3</t>
        </is>
      </c>
      <c r="L23" s="594" t="inlineStr">
        <is>
          <t>NA</t>
        </is>
      </c>
      <c r="M23" s="145" t="inlineStr">
        <is>
          <t>1-26 = quotareached
27-28 = quotareached</t>
        </is>
      </c>
      <c r="N23" s="601" t="n"/>
      <c r="O23" s="714" t="n"/>
      <c r="P23" s="703" t="n"/>
      <c r="Q23" s="148" t="inlineStr">
        <is>
          <t>resp_agree = 1 
resp_age = 18-100
hh_admin1 = 1</t>
        </is>
      </c>
      <c r="R23" s="706" t="n"/>
      <c r="S23" s="172" t="n">
        <v>10.4</v>
      </c>
      <c r="T23" s="173">
        <f>1</f>
        <v/>
      </c>
      <c r="U23" s="172">
        <f>S23*T23</f>
        <v/>
      </c>
      <c r="V23" s="59" t="n"/>
      <c r="X23" s="67" t="inlineStr">
        <is>
          <t>yes</t>
        </is>
      </c>
      <c r="Y23" s="680" t="n"/>
      <c r="AB23" s="61" t="n"/>
    </row>
    <row r="24" ht="409.5" customFormat="1" customHeight="1" s="704">
      <c r="A24" s="326">
        <f>A23+1</f>
        <v/>
      </c>
      <c r="B24" s="203" t="inlineStr">
        <is>
          <t>o_hh_admin3_2</t>
        </is>
      </c>
      <c r="C24" s="136" t="inlineStr">
        <is>
          <t>o_hh_admin3</t>
        </is>
      </c>
      <c r="D24" s="600" t="inlineStr">
        <is>
          <t xml:space="preserve">Currently, in which Township does your household reside?
[OPERATOR: SINGLE RESPONSE.]
1)BAGO
2)THANATPIN
3)KAWA
4)WAW
5)NYAUNGLEBIN
6)KYAUKTAGA
7)DAIK-U
8)SHWEGYIN
9)TAUNGOO
10)YEDASHE
11)KYAUKKYI
12)PHYU
13)OKTWIN
14)HTANTABIN
15)PYAY
16)PAUKKHAUNG
17)PADAUNG
18)PAUNGDE
19)THEGON
20)SHWEDAUNG
21)THAYARWADY
22)LETPADAN
23)MINHLA
24)OKPHO
25)ZIGON
26)NATTALIN
27)MONYO
28)GYOBINGAUK
29)DON'T KNOW
30)REFUSED </t>
        </is>
      </c>
      <c r="E24" s="630">
        <f>LEN(D24)</f>
        <v/>
      </c>
      <c r="F24" s="230" t="inlineStr">
        <is>
          <t>လက်ရှိအချိန်တွင် လူကြီးမင်း၏အိမ်ထောင်စုသည် မည်သည့်မြို့နယ်၌ နေထိုင်ပါသနည်း။
[အော်ပရေတာ- တုံ့ပြန်မှုတစ်ခုသာ။]
1)ပဲခူး
2)သနပ်ပင်
3)ကဝ
4)ဝေါ
5)ညောင်လေးပင်
6)ကျောက်တံခါး
7)ဒိုက်ဦး
8)ရွှေကျင်
9)တောင်ငူ
10)ရေတာရှည်
11)ကျောက်ကြီး
12)ဖြူး
13)အုတ်တွင်း
14)ထန်းတပင်
15)ပြည်
16)ပေါက်ခေါင်း
17)ပန်းတောင်း
18)ပေါင်းတည်
19)သဲကုန်း
20)ရွှေတောင်
21)သာယာဝတီ
22)လက်ပံတန်း
23)မင်းလှ
24)အုတ်ဖို
25)ဇီးကုန်း
26)နတ်တလင်း
27)မိုးညို
28)ကြို့ပင်ကောက်
29)မသိပါ
30)ဖြေဆိုရန် ငြင်းဆန်သည်</t>
        </is>
      </c>
      <c r="G24" s="630">
        <f>LEN(F24)</f>
        <v/>
      </c>
      <c r="H24" s="144" t="inlineStr">
        <is>
          <t>Single Choice</t>
        </is>
      </c>
      <c r="I24" s="630" t="inlineStr">
        <is>
          <t>NA</t>
        </is>
      </c>
      <c r="J24" s="630" t="inlineStr">
        <is>
          <t>NA</t>
        </is>
      </c>
      <c r="K24" s="630" t="inlineStr">
        <is>
          <t>Form Type - Dropdown
IsDemographic - ADM3</t>
        </is>
      </c>
      <c r="L24" s="594" t="inlineStr">
        <is>
          <t>NA</t>
        </is>
      </c>
      <c r="M24" s="145" t="inlineStr">
        <is>
          <t>1-28 = quotareached
29-30 = quotareached</t>
        </is>
      </c>
      <c r="N24" s="601" t="n"/>
      <c r="O24" s="714" t="n"/>
      <c r="Q24" s="148" t="n"/>
      <c r="R24" s="692" t="n"/>
      <c r="S24" s="172" t="n"/>
      <c r="T24" s="173" t="n"/>
      <c r="U24" s="172" t="n"/>
      <c r="V24" s="59" t="n"/>
      <c r="X24" s="67" t="n"/>
      <c r="Y24" s="680" t="n"/>
      <c r="AB24" s="61" t="n"/>
    </row>
    <row r="25" ht="300" customFormat="1" customHeight="1" s="704">
      <c r="A25" s="326">
        <f>A24+1</f>
        <v/>
      </c>
      <c r="B25" s="203" t="inlineStr">
        <is>
          <t>o_hh_admin3_3</t>
        </is>
      </c>
      <c r="C25" s="136" t="inlineStr">
        <is>
          <t>o_hh_admin3</t>
        </is>
      </c>
      <c r="D25" s="600" t="inlineStr">
        <is>
          <t>Currently, in which Township does your household reside?
[OPERATOR: SINGLE RESPONSE.]
1)FALAM
2)HAKHA
3)KANPETLET
4)MATUPI
5)MINDAT
6)PALETWA
7)TEDIM
8)THANTLANG
9)TONZANG
10)DON'T KNOW
11)REFUSED</t>
        </is>
      </c>
      <c r="E25" s="630">
        <f>LEN(D25)</f>
        <v/>
      </c>
      <c r="F25" s="230" t="inlineStr">
        <is>
          <t>လက်ရှိအချိန်တွင် လူကြီးမင်း၏အိမ်ထောင်စုသည် မည်သည့်မြို့နယ်၌ နေထိုင်ပါသနည်း။
[အော်ပရေတာ- တုံ့ပြန်မှုတစ်ခုသာ။]
1)ဖလမ်း
2)ဟားခါး
3)ကန်ပက်လက်
4)မတူပီ
5)မင်းတပ်
6)ပလက်ဝ
7)တီးတိန်
8)ထန်တလန်
9)တွန်းဇန်
10)မသိပါ
11)ဖြေဆိုရန် ငြင်းဆန်သည်</t>
        </is>
      </c>
      <c r="G25" s="630">
        <f>LEN(F25)</f>
        <v/>
      </c>
      <c r="H25" s="144" t="inlineStr">
        <is>
          <t>Single Choice</t>
        </is>
      </c>
      <c r="I25" s="630" t="inlineStr">
        <is>
          <t>NA</t>
        </is>
      </c>
      <c r="J25" s="630" t="inlineStr">
        <is>
          <t>NA</t>
        </is>
      </c>
      <c r="K25" s="630" t="inlineStr">
        <is>
          <t>Form Type - Dropdown
IsDemographic - ADM3</t>
        </is>
      </c>
      <c r="L25" s="594" t="inlineStr">
        <is>
          <t>NA</t>
        </is>
      </c>
      <c r="M25" s="145" t="inlineStr">
        <is>
          <t>1-9 = quotareached
10-11 = quotareached</t>
        </is>
      </c>
      <c r="N25" s="601" t="n"/>
      <c r="O25" s="714" t="n"/>
      <c r="Q25" s="148" t="n"/>
      <c r="R25" s="692" t="n"/>
      <c r="S25" s="172" t="n"/>
      <c r="T25" s="173" t="n"/>
      <c r="U25" s="172" t="n"/>
      <c r="V25" s="59" t="n"/>
      <c r="X25" s="67" t="n"/>
      <c r="Y25" s="680" t="n"/>
      <c r="AB25" s="61" t="n"/>
    </row>
    <row r="26" ht="409.5" customFormat="1" customHeight="1" s="704">
      <c r="A26" s="326">
        <f>A25+1</f>
        <v/>
      </c>
      <c r="B26" s="203" t="inlineStr">
        <is>
          <t>o_hh_admin3_4</t>
        </is>
      </c>
      <c r="C26" s="136" t="inlineStr">
        <is>
          <t>o_hh_admin3</t>
        </is>
      </c>
      <c r="D26" s="600" t="inlineStr">
        <is>
          <t>Currently, in which Township does your household reside?
[OPERATOR: SINGLE RESPONSE.]
1)BHAMO
2)CHIPWI
3)HPAKANT
4)INJANGYANG
5)KHAUNGLANHPU
6)MACHANBAW
7)MANSI
8)MOGAUNG
9)MOHNYIN
10)MOMAUK
11)MYITKYINA
12)NAWNGMUN
13)PUTA-O
14)SUMPRABUM
15)TANAI
16)TSAWLAW
17)WAINGMAW
18)DON'T KNOW
19)REFUSED</t>
        </is>
      </c>
      <c r="E26" s="630">
        <f>LEN(D26)</f>
        <v/>
      </c>
      <c r="F26" s="635" t="inlineStr">
        <is>
          <t>လက်ရှိအချိန်တွင် လူကြီးမင်း၏အိမ်ထောင်စုသည် မည်သည့်မြို့နယ်၌ နေထိုင်ပါသနည်း။
[အော်ပရေတာ- တုံ့ပြန်မှုတစ်ခုသာ။]
1)ဗန်းမော်
2)ချီ​ဖွေ
3)ဖားကန့်
4)အင်ဂျန်းယန်
5)ခေါင်လန်ဖူး
6)မချမ်းဘော
7)မံစီ
8)မိုးကောင်း
9)မိုးညှင်း
10)မိုးမောက်
11)မြစ်ကြီးနား
12)နောင်မွန်း
13)ပူတာအို
14)ဆွမ်ပရာဘွမ်
15)တနိုင်း
16)ဆော့လော်
17)ဝိုင်းမော်
18)မသိပါ
19)ဖြေဆိုရန် ငြင်းဆန်သည်</t>
        </is>
      </c>
      <c r="G26" s="630">
        <f>LEN(F26)</f>
        <v/>
      </c>
      <c r="H26" s="144" t="inlineStr">
        <is>
          <t>Single Choice</t>
        </is>
      </c>
      <c r="I26" s="630" t="inlineStr">
        <is>
          <t>NA</t>
        </is>
      </c>
      <c r="J26" s="630" t="inlineStr">
        <is>
          <t>NA</t>
        </is>
      </c>
      <c r="K26" s="630" t="inlineStr">
        <is>
          <t>Form Type - Dropdown
IsDemographic - ADM3</t>
        </is>
      </c>
      <c r="L26" s="594" t="inlineStr">
        <is>
          <t>NA</t>
        </is>
      </c>
      <c r="M26" s="145" t="inlineStr">
        <is>
          <t>1-17 = quotareached
18-19 = quotareached</t>
        </is>
      </c>
      <c r="N26" s="601" t="n"/>
      <c r="O26" s="714" t="n"/>
      <c r="Q26" s="148" t="n"/>
      <c r="R26" s="692" t="n"/>
      <c r="S26" s="172" t="n"/>
      <c r="T26" s="173" t="n"/>
      <c r="U26" s="172" t="n"/>
      <c r="V26" s="59" t="n"/>
      <c r="X26" s="67" t="n"/>
      <c r="Y26" s="680" t="n"/>
      <c r="AB26" s="61" t="n"/>
    </row>
    <row r="27" ht="262.5" customFormat="1" customHeight="1" s="704">
      <c r="A27" s="326">
        <f>A26+1</f>
        <v/>
      </c>
      <c r="B27" s="203" t="inlineStr">
        <is>
          <t>o_hh_admin3_5</t>
        </is>
      </c>
      <c r="C27" s="136" t="inlineStr">
        <is>
          <t>o_hh_admin3</t>
        </is>
      </c>
      <c r="D27" s="600" t="inlineStr">
        <is>
          <t xml:space="preserve">Currently, in which Township does your household reside?
[OPERATOR: SINGLE RESPONSE.]
1)BAWLAKE
2)DEMOSO
3)HPASAWNG
4)HPRUSO
5)LOIKAW
6)MESE
7)SHADAW
8)DON'T KNOW
9)REFUSED </t>
        </is>
      </c>
      <c r="E27" s="630">
        <f>LEN(D27)</f>
        <v/>
      </c>
      <c r="F27" s="635" t="inlineStr">
        <is>
          <t>လက်ရှိအချိန်တွင် လူကြီးမင်း၏အိမ်ထောင်စုသည် မည်သည့်မြို့နယ်၌ နေထိုင်ပါသနည်း။
[အော်ပရေတာ- တုံ့ပြန်မှုတစ်ခုသာ။]
1)ဘောလခဲ
2)ဒီးမော့ဆို
3)ဖားဆောင်း
4)ဖရူဆို
5)လွိုင်ကော်
6)မယ်စဲ
7)ရှားတော
8)မသိပါ
9)ဖြေဆိုရန် ငြင်းဆန်သည်</t>
        </is>
      </c>
      <c r="G27" s="630">
        <f>LEN(F27)</f>
        <v/>
      </c>
      <c r="H27" s="144" t="inlineStr">
        <is>
          <t>Single Choice</t>
        </is>
      </c>
      <c r="I27" s="630" t="inlineStr">
        <is>
          <t>NA</t>
        </is>
      </c>
      <c r="J27" s="630" t="inlineStr">
        <is>
          <t>NA</t>
        </is>
      </c>
      <c r="K27" s="630" t="inlineStr">
        <is>
          <t>Form Type - Dropdown
IsDemographic - ADM3</t>
        </is>
      </c>
      <c r="L27" s="594" t="inlineStr">
        <is>
          <t>NA</t>
        </is>
      </c>
      <c r="M27" s="145" t="inlineStr">
        <is>
          <t>1-7 = quotareached
8-9 = quotareached</t>
        </is>
      </c>
      <c r="N27" s="601" t="n"/>
      <c r="O27" s="714" t="n"/>
      <c r="Q27" s="148" t="n"/>
      <c r="R27" s="692" t="n"/>
      <c r="S27" s="172" t="n"/>
      <c r="T27" s="173" t="n"/>
      <c r="U27" s="172" t="n"/>
      <c r="V27" s="59" t="n"/>
      <c r="X27" s="67" t="n"/>
      <c r="Y27" s="680" t="n"/>
      <c r="AB27" s="61" t="n"/>
    </row>
    <row r="28" ht="262.5" customFormat="1" customHeight="1" s="704">
      <c r="A28" s="326">
        <f>A27+1</f>
        <v/>
      </c>
      <c r="B28" s="203" t="inlineStr">
        <is>
          <t>o_hh_admin3_6</t>
        </is>
      </c>
      <c r="C28" s="136" t="inlineStr">
        <is>
          <t>o_hh_admin3</t>
        </is>
      </c>
      <c r="D28" s="600" t="inlineStr">
        <is>
          <t>Currently, in which Township does your household reside?
[OPERATOR: SINGLE RESPONSE.]
1)HLAINGBWE
2)HPA-AN
3)HPAPUN
4)KAWKAREIK
5)KYAINSEIKGYI
6)MYAWADDY
7)THANDAUNGGYI
8)DON'T KNOW
9)REFUSED</t>
        </is>
      </c>
      <c r="E28" s="630">
        <f>LEN(D28)</f>
        <v/>
      </c>
      <c r="F28" s="635" t="inlineStr">
        <is>
          <t>လက်ရှိအချိန်တွင် လူကြီးမင်း၏အိမ်ထောင်စုသည် မည်သည့်မြို့နယ်၌ နေထိုင်ပါသနည်း။
[အော်ပရေတာ- တုံ့ပြန်မှုတစ်ခုသာ။]
1)လှိုင်းဘွဲ့
2)ဘားအံ
3)ဖာပွန်
4)ကော့ကရိတ်
5)ကြာအင်းဆိပ်ကြီး
6)မြဝတီ
7)သံတောင်ကြီး
8)မသိပါ
9)ဖြေဆိုရန် ငြင်းဆန်သည်</t>
        </is>
      </c>
      <c r="G28" s="630">
        <f>LEN(F28)</f>
        <v/>
      </c>
      <c r="H28" s="144" t="inlineStr">
        <is>
          <t>Single Choice</t>
        </is>
      </c>
      <c r="I28" s="630" t="inlineStr">
        <is>
          <t>NA</t>
        </is>
      </c>
      <c r="J28" s="630" t="inlineStr">
        <is>
          <t>NA</t>
        </is>
      </c>
      <c r="K28" s="630" t="inlineStr">
        <is>
          <t>Form Type - Dropdown
IsDemographic - ADM3</t>
        </is>
      </c>
      <c r="L28" s="594" t="inlineStr">
        <is>
          <t>NA</t>
        </is>
      </c>
      <c r="M28" s="145" t="inlineStr">
        <is>
          <t>1-7 = quotareached
8-9 = quotareached</t>
        </is>
      </c>
      <c r="N28" s="601" t="n"/>
      <c r="O28" s="714" t="n"/>
      <c r="Q28" s="148" t="n"/>
      <c r="R28" s="692" t="n"/>
      <c r="S28" s="172" t="n"/>
      <c r="T28" s="173" t="n"/>
      <c r="U28" s="172" t="n"/>
      <c r="V28" s="59" t="n"/>
      <c r="X28" s="67" t="n"/>
      <c r="Y28" s="680" t="n"/>
      <c r="AB28" s="61" t="n"/>
    </row>
    <row r="29" ht="409.5" customFormat="1" customHeight="1" s="704">
      <c r="A29" s="326">
        <f>A28+1</f>
        <v/>
      </c>
      <c r="B29" s="203" t="inlineStr">
        <is>
          <t>o_hh_admin3_7</t>
        </is>
      </c>
      <c r="C29" s="136" t="inlineStr">
        <is>
          <t>o_hh_admin3</t>
        </is>
      </c>
      <c r="D29" s="600" t="inlineStr">
        <is>
          <t xml:space="preserve">Currently, in which Township does your household reside?
[OPERATOR: SINGLE RESPONSE.]
1)AUNGLAN
2)CHAUK
3)GANGAW
4)KAMMA
5)MAGWAY
6)MINBU
7)MINDON
8)MINHLA
9)MYAING
10)MYOTHIT
11)NATMAUK
12)NGAPE
13)PAKOKKU
14)PAUK
15)PWINTBYU
16)SALIN
17)SAW
18)SEIKPHYU
19)SIDOKTAYA
20)SINBAUNGWE
21)TAUNGDWINGYI
22)THAYET
23)TILIN
24)YENANGYAUNG
25)YESAGYO
26)DON'T KNOW
27)REFUSED </t>
        </is>
      </c>
      <c r="E29" s="630">
        <f>LEN(D29)</f>
        <v/>
      </c>
      <c r="F29" s="602" t="inlineStr">
        <is>
          <t>လက်ရှိအချိန်တွင် လူကြီးမင်း၏အိမ်ထောင်စုသည် မည်သည့်မြို့နယ်၌ နေထိုင်ပါသနည်း။
[အော်ပရေတာ- တုံ့ပြန်မှုတစ်ခုသာ။]
1)အောင်လံ
2)ချောက်
3)ဂန့်ဂေါ
4)ကံမ
5)မကွေး
6) မင်းဘူး
7)မင်းတုန်း
8)မင်းလှ
9)မြိုင်
10) မြို့သစ်
11)နတ်မောက်
12)ငဖဲ
13)ပခုက္ကူ
14)ပေါက်
15)ပွင့်ဖြူ
16)စလင်း
17)ဆော
18)ဆိပ်ဖြူ
19)စေတုတ္ထရာ
20)ဆင်ပေါင်ဝဲ
21)တောင်တွင်းကြီး
22)သရက်
23)ထီးလင်း
24)ရေနံချောင်း
25)ရေစကြို
26)မသိပါ
27)ဖြေဆိုရန် ငြင်းဆန်သည်</t>
        </is>
      </c>
      <c r="G29" s="630">
        <f>LEN(F29)</f>
        <v/>
      </c>
      <c r="H29" s="144" t="inlineStr">
        <is>
          <t>Single Choice</t>
        </is>
      </c>
      <c r="I29" s="630" t="inlineStr">
        <is>
          <t>NA</t>
        </is>
      </c>
      <c r="J29" s="630" t="inlineStr">
        <is>
          <t>NA</t>
        </is>
      </c>
      <c r="K29" s="630" t="inlineStr">
        <is>
          <t>Form Type - Dropdown
IsDemographic - ADM3</t>
        </is>
      </c>
      <c r="L29" s="594" t="inlineStr">
        <is>
          <t>NA</t>
        </is>
      </c>
      <c r="M29" s="145" t="inlineStr">
        <is>
          <t>1-25 = quotareached
26-27 = quotareached</t>
        </is>
      </c>
      <c r="N29" s="601" t="n"/>
      <c r="O29" s="714" t="n"/>
      <c r="Q29" s="148" t="n"/>
      <c r="R29" s="692" t="n"/>
      <c r="S29" s="172" t="n"/>
      <c r="T29" s="173" t="n"/>
      <c r="U29" s="172" t="n"/>
      <c r="V29" s="59" t="n"/>
      <c r="X29" s="67" t="n"/>
      <c r="Y29" s="680" t="n"/>
      <c r="AB29" s="61" t="n"/>
    </row>
    <row r="30" ht="409.5" customFormat="1" customHeight="1" s="704">
      <c r="A30" s="326">
        <f>A29+1</f>
        <v/>
      </c>
      <c r="B30" s="203" t="inlineStr">
        <is>
          <t>o_hh_admin3_8</t>
        </is>
      </c>
      <c r="C30" s="136" t="inlineStr">
        <is>
          <t>o_hh_admin3</t>
        </is>
      </c>
      <c r="D30" s="600" t="inlineStr">
        <is>
          <t xml:space="preserve">Currently, in which Township does your household reside?
[OPERATOR: SINGLE RESPONSE.]
1)KYAUKSE
2)PATHEINGYI
3)CHANAYETHAZAN
4)AUNGMYAYTHAZAN
5)YAMETHIN
6)MADAYA
7)THABEIKKYIN
8)MAHAAUNGMYAY
9)AMARAPURA
10)PYINOOLWIN
11)SINTGAING
12)CHANMYATHAZI
13)THAZI
14)TADA-U
15)MOGOKE
16)PYIGYITAGON
17)PYAWBWE
18)NYAUNG-U
19)MEIKTILA
20)MAHLAING
21)TAUNGTHA
22)MYITTHA
23)MYINGYAN
24)NATOGYI
25)SINGU
26)NGAZUN
27)KYAUKPADAUNG
28)WUNDWIN
29)DON'T KNOW
30)REFUSEDD </t>
        </is>
      </c>
      <c r="E30" s="630">
        <f>LEN(D30)</f>
        <v/>
      </c>
      <c r="F30" s="635" t="inlineStr">
        <is>
          <t xml:space="preserve">လက်ရှိအချိန်တွင် လူကြီးမင်း၏အိမ်ထောင်စုသည် မည်သည့်မြို့နယ်၌ နေထိုင်ပါသနည်း။
[အော်ပရေတာ- တုံ့ပြန်မှုတစ်ခုသာ။]
1)ကျောက်ဆည်
2)ပုသိမ်ကြီး
3)ချမ်းအေးသာစံ
4)အောင်မြေသာစံ
5)ရမည်းသင်း
6)မတ္တရာ
7)သပိတ်ကျင်း
8)မဟာအောင်မြေ
9)အမရပူရ
10)ပြင်ဦးလွင်
11)စဉ့်ကိုင်
12)ချမ်းမြသာစည်
13)သာစည်
14)တံတားဦး
15)မိုးကုတ်
16)ပြည်ကြီးတံခွန်
17)ပျော်ဘွယ်
18)ညောင်ဦး
19)မိတ္ထီလာ
20)မလှိုင်
21)တောင်သာ
22)မြစ်သား
23)မြင်းခြံ
24)နွားထိုးကြီး
25)စဉ့်ကူး
26)ငါန်းဇွန်
27)ကျောက်ပန်းတောင်း
28)ဝမ်းတွင်း
29)မသိပါ
30)ဖြေဆိုရန် ငြင်းဆန်သည်
</t>
        </is>
      </c>
      <c r="G30" s="630">
        <f>LEN(F30)</f>
        <v/>
      </c>
      <c r="H30" s="144" t="inlineStr">
        <is>
          <t>Single Choice</t>
        </is>
      </c>
      <c r="I30" s="630" t="inlineStr">
        <is>
          <t>NA</t>
        </is>
      </c>
      <c r="J30" s="630" t="inlineStr">
        <is>
          <t>NA</t>
        </is>
      </c>
      <c r="K30" s="630" t="inlineStr">
        <is>
          <t>Form Type - Dropdown
IsDemographic - ADM3</t>
        </is>
      </c>
      <c r="L30" s="594" t="inlineStr">
        <is>
          <t>NA</t>
        </is>
      </c>
      <c r="M30" s="145" t="inlineStr">
        <is>
          <t>1-28 = quotareached
29-30 = quotareached</t>
        </is>
      </c>
      <c r="N30" s="601" t="n"/>
      <c r="O30" s="714" t="n"/>
      <c r="Q30" s="148" t="n"/>
      <c r="R30" s="692" t="n"/>
      <c r="S30" s="172" t="n"/>
      <c r="T30" s="173" t="n"/>
      <c r="U30" s="172" t="n"/>
      <c r="V30" s="59" t="n"/>
      <c r="X30" s="67" t="n"/>
      <c r="Y30" s="680" t="n"/>
      <c r="AB30" s="61" t="n"/>
    </row>
    <row r="31" ht="318.75" customFormat="1" customHeight="1" s="704">
      <c r="A31" s="326">
        <f>A30+1</f>
        <v/>
      </c>
      <c r="B31" s="203" t="inlineStr">
        <is>
          <t>o_hh_admin3_9</t>
        </is>
      </c>
      <c r="C31" s="136" t="inlineStr">
        <is>
          <t>o_hh_admin3</t>
        </is>
      </c>
      <c r="D31" s="600" t="inlineStr">
        <is>
          <t xml:space="preserve">Currently, in which Township does your household reside?
[OPERATOR: SINGLE RESPONSE.]
1)BILIN
2)CHAUNGZON
3)KYAIKMARAW
4)KYAIKTO
5)MAWLAMYINE
6)MUDON
7)PAUNG
8)THANBYUZAYAT
9)THATON
10)YE
11)DON'T KNOW
12)REFUSED </t>
        </is>
      </c>
      <c r="E31" s="630">
        <f>LEN(D31)</f>
        <v/>
      </c>
      <c r="F31" s="230" t="inlineStr">
        <is>
          <t>လက်ရှိအချိန်တွင် လူကြီးမင်း၏အိမ်ထောင်စုသည် မည်သည့်မြို့နယ်၌ နေထိုင်ပါသနည်း။
[အော်ပရေတာ- တုံ့ပြန်မှုတစ်ခုသာ။]
1)ဘီးလင်း
2)ချောင်းဆုံ
3)ကျိုက်မရော
4)ကျိုက်ထို
5)မော်လမြိုင်
6)မုဒုံ
7)ပေါင်
8)သံဖြူဇရပ်
9)သထုံ
10)ရေး
11)မသိပါ
12)ဖြေဆိုရန် ငြင်းဆန်သည်</t>
        </is>
      </c>
      <c r="G31" s="630">
        <f>LEN(F31)</f>
        <v/>
      </c>
      <c r="H31" s="144" t="inlineStr">
        <is>
          <t>Single Choice</t>
        </is>
      </c>
      <c r="I31" s="630" t="inlineStr">
        <is>
          <t>NA</t>
        </is>
      </c>
      <c r="J31" s="630" t="inlineStr">
        <is>
          <t>NA</t>
        </is>
      </c>
      <c r="K31" s="630" t="inlineStr">
        <is>
          <t>Form Type - Dropdown
IsDemographic - ADM3</t>
        </is>
      </c>
      <c r="L31" s="594" t="inlineStr">
        <is>
          <t>NA</t>
        </is>
      </c>
      <c r="M31" s="145" t="inlineStr">
        <is>
          <t>1-10 = quotareached
11-12 = quotareached</t>
        </is>
      </c>
      <c r="N31" s="601" t="n"/>
      <c r="O31" s="714" t="n"/>
      <c r="Q31" s="148" t="n"/>
      <c r="R31" s="692" t="n"/>
      <c r="S31" s="172" t="n"/>
      <c r="T31" s="173" t="n"/>
      <c r="U31" s="172" t="n"/>
      <c r="V31" s="59" t="n"/>
      <c r="X31" s="67" t="n"/>
      <c r="Y31" s="680" t="n"/>
      <c r="AB31" s="61" t="n"/>
    </row>
    <row r="32" ht="409.5" customFormat="1" customHeight="1" s="704">
      <c r="A32" s="326">
        <f>A31+1</f>
        <v/>
      </c>
      <c r="B32" s="203" t="inlineStr">
        <is>
          <t>o_hh_admin3_11</t>
        </is>
      </c>
      <c r="C32" s="136" t="inlineStr">
        <is>
          <t>o_hh_admin3</t>
        </is>
      </c>
      <c r="D32" s="600" t="inlineStr">
        <is>
          <t>Currently, in which Township does your household reside?
[OPERATOR: SINGLE RESPONSE.]
1)ANN
2)BUTHIDAUNG
3)GWA
4)KYAUKPYU
5)KYAUKTAW
6)MAUNGDAW
7)MINBYA
8)MRAUK-U
9)MUNAUNG
10)MYEBON
11)PAUKTAW
12)PONNAGYUN
13)RAMREE
14)RATHEDAUNG
15)SITTWE
16)THANDWE
17)TOUNGUP
18)DON'T KNOW
19)REFUSED</t>
        </is>
      </c>
      <c r="E32" s="630">
        <f>LEN(D32)</f>
        <v/>
      </c>
      <c r="F32" s="230" t="inlineStr">
        <is>
          <t>လက်ရှိအချိန်တွင် လူကြီးမင်း၏အိမ်ထောင်စုသည် မည်သည့်မြို့နယ်၌ နေထိုင်ပါသနည်း။
[အော်ပရေတာ- တုံ့ပြန်မှုတစ်ခုသာ။]
1)အမ်း
2)ဘူးသီးတောင်
3)ဂွ
4)ကျောက်ဖြူ
5)ကျောက်တော်
6)မောင်တော
7)မင်းပြား
8)မြောက်ဦး
9)မာန်အောင်
10)မြေပုံ
11)ပေါက်တော
12)ပုဏ္ဏားကျွန်း
13)ရမ်းဗြဲ
14)ရသေ့တောင်
15)စစ်တွေ
16)သံတွဲ
17)တောင်ကုတ်
18)မသိပါ
19)ဖြေဆိုရန် ငြင်းဆန်သည်</t>
        </is>
      </c>
      <c r="G32" s="630">
        <f>LEN(F32)</f>
        <v/>
      </c>
      <c r="H32" s="144" t="inlineStr">
        <is>
          <t>Single Choice</t>
        </is>
      </c>
      <c r="I32" s="630" t="inlineStr">
        <is>
          <t>NA</t>
        </is>
      </c>
      <c r="J32" s="630" t="inlineStr">
        <is>
          <t>NA</t>
        </is>
      </c>
      <c r="K32" s="630" t="inlineStr">
        <is>
          <t>Form Type - Dropdown
IsDemographic - ADM3</t>
        </is>
      </c>
      <c r="L32" s="594" t="inlineStr">
        <is>
          <t>NA</t>
        </is>
      </c>
      <c r="M32" s="145" t="inlineStr">
        <is>
          <t>1-17 = quotareached
18-19 = quotareached</t>
        </is>
      </c>
      <c r="N32" s="601" t="n"/>
      <c r="O32" s="714" t="n"/>
      <c r="Q32" s="148" t="n"/>
      <c r="R32" s="692" t="n"/>
      <c r="S32" s="172" t="n"/>
      <c r="T32" s="173" t="n"/>
      <c r="U32" s="172" t="n"/>
      <c r="V32" s="59" t="n"/>
      <c r="X32" s="67" t="n"/>
      <c r="Y32" s="680" t="n"/>
      <c r="AB32" s="61" t="n"/>
    </row>
    <row r="33" ht="409.5" customFormat="1" customHeight="1" s="704">
      <c r="A33" s="326">
        <f>A32+1</f>
        <v/>
      </c>
      <c r="B33" s="203" t="inlineStr">
        <is>
          <t>o_hh_admin3_12</t>
        </is>
      </c>
      <c r="C33" s="136" t="inlineStr">
        <is>
          <t>o_hh_admin3</t>
        </is>
      </c>
      <c r="D33" s="600" t="inlineStr">
        <is>
          <t>Currently, in which Township does your household reside?
[OPERATOR: SINGLE RESPONSE.]
1)SAGAING
2)MYINMU
3)MYAUNG
4)SHWEBO
5)KHIN-U
6)WETLET
7)KANBALU
8)KYUNHLA
9)YE-U
10)TABAYIN
11)TAZE
12)MONYWA
13)BUDALIN
14)AYADAW
15)CHAUNG-U
16)YINMARBIN
17)KANI
18)SALINGYI
19)PALE
20)KATHA
21)INDAW
22)TIGYAING
23)BANMAUK
24)KAWLIN
25)WUNTHO
26)PINLEBU
27)KALE
28)KALEWA
29)MINGIN
30)TAMU
31)MAWLAIK
32)PAUNGBYIN
33)HKAMTI
34)HOMALIN
35)LAY SHI
36)LAHE
37)NANYUN
38)DON'T KNOW
39)REFUSED</t>
        </is>
      </c>
      <c r="E33" s="630">
        <f>LEN(D33)</f>
        <v/>
      </c>
      <c r="F33" s="230" t="inlineStr">
        <is>
          <t>လက်ရှိအချိန်တွင် လူကြီးမင်း၏အိမ်ထောင်စုသည် မည်သည့်မြို့နယ်၌ နေထိုင်ပါသနည်း။
[အော်ပရေတာ- တုံ့ပြန်မှုတစ်ခုသာ။]
1)စစ်ကိုင်း
2)မြင်းမူ
3)မြောင်
4)ရွှေဘို
5)ခင်ဦး
6)ဝက်လက်
7)ကန့်ဘလူ
8)ကျွန်းလှ
9)ရေဦး
10)ဒီပဲယင်း
11)တန့်ဆည်
12)မုံရွာ
13)ဘုတလင်
14)အရာတော်
15)ချောင်းဦး
16)ယင်းမာပင်
17)ကနီ
18)ဆားလင်းကြီး
19)ပုလဲ
20)ကသာ
21)အင်းတော်
22)ထီးချိုင့်
23)ဗန်းမောက်
24)ကောလင်း
25)ဝန်းသို
26)ပင်လည်ဘူး
27)ကလေး
28)ကလေးဝ
29)မင်းကင်း
30)တမူး
31)မော်လိုက်
32)ဖောင်းပြင်
33)ခန္တီး
34)ဟုမ္မလင်း
35)လေရှီး
36)လဟယ်
37)နန်းယွန်း
38)မသိပါ
39)ဖြေဆိုရန် ငြင်းဆန်သည်</t>
        </is>
      </c>
      <c r="G33" s="630">
        <f>LEN(F33)</f>
        <v/>
      </c>
      <c r="H33" s="144" t="inlineStr">
        <is>
          <t>Single Choice</t>
        </is>
      </c>
      <c r="I33" s="630" t="inlineStr">
        <is>
          <t>NA</t>
        </is>
      </c>
      <c r="J33" s="630" t="inlineStr">
        <is>
          <t>NA</t>
        </is>
      </c>
      <c r="K33" s="630" t="inlineStr">
        <is>
          <t>Form Type - Dropdown
IsDemographic - ADM3</t>
        </is>
      </c>
      <c r="L33" s="594" t="inlineStr">
        <is>
          <t>NA</t>
        </is>
      </c>
      <c r="M33" s="145" t="inlineStr">
        <is>
          <t>1-37 = quotareached
38-39 = quotareached</t>
        </is>
      </c>
      <c r="N33" s="601" t="n"/>
      <c r="O33" s="714" t="n"/>
      <c r="Q33" s="148" t="n"/>
      <c r="R33" s="692" t="n"/>
      <c r="S33" s="172" t="n"/>
      <c r="T33" s="173" t="n"/>
      <c r="U33" s="172" t="n"/>
      <c r="V33" s="59" t="n"/>
      <c r="X33" s="67" t="n"/>
      <c r="Y33" s="680" t="n"/>
      <c r="AB33" s="61" t="n"/>
    </row>
    <row r="34" ht="409.5" customFormat="1" customHeight="1" s="704">
      <c r="A34" s="326">
        <f>A33+1</f>
        <v/>
      </c>
      <c r="B34" s="203" t="inlineStr">
        <is>
          <t>o_hh_admin3_13</t>
        </is>
      </c>
      <c r="C34" s="136" t="inlineStr">
        <is>
          <t>o_hh_admin3</t>
        </is>
      </c>
      <c r="D34" s="600" t="inlineStr">
        <is>
          <t>Currently, in which Township does your household reside?
[OPERATOR: SINGLE RESPONSE.]
1)TAUNGGYI
2)NYAUNGSHWE
3)HOPONG
4)HSIHSENG
5)KALAW
6)PINDAYA
7)YWANGAN
8)LAWKSAWK
9)PINLAUNG
10)PEKON
11)LOILEN
12)LAIHKA
13)NANSANG
14)KUNHING
15)KYETHI
16)MONGKAING
17)MONGHSU
18)LANGKHO
19)MONGNAI
20)MAWKMAI
21)MONGPAN
22)LASHIO
23)HSENI
24)MONGYAI
25)TANGYAN
26)PANGSANG
27)NARPHAN
28)PANGWAUN
29)MONGMAO
30)MUSE
31)NAMHKAN
32)KUTKAI
33)KYAUKME
34)NAWNGHKIO
35)HSIPAW
36)NAMTU
37)NAMHSAN
38)MONGMIT
39)MABEIN
40)MANTON
41)KUNLONG
42)HOPANG
43)LAUKKAING
44)KONKYAN
45)MATMAN
46)KENGTUNG
47)MONGKHET
48)MONGYANG
49)MONGLA
50)MONGHSAT
51)MONGPING
52)MONGTON
53)TACHILEIK
54)MONGHPYAK
55)MONGYAWNG
56)DON'T KNOW
57)REFUSED</t>
        </is>
      </c>
      <c r="E34" s="630">
        <f>LEN(D34)</f>
        <v/>
      </c>
      <c r="F34" s="230" t="inlineStr">
        <is>
          <t>လက်ရှိအချိန်တွင် လူကြီးမင်း၏အိမ်ထောင်စုသည် မည်သည့်မြို့နယ်၌ နေထိုင်ပါသနည်း။
[အော်ပရေတာ- တုံ့ပြန်မှုတစ်ခုသာ။]
1)တောင်ကြီး
2)ညောင်ရွှေ
3)ဟိုပုံး
4)ဆီဆိုင်
5)ကလော
6)ပင်းတယ
7)ရွာငံ
8)ရပ်စောက်
9)ပင်လောင်း
10)ဖယ်ခုံ
11)လွိုင်လင်
12)လဲချား
13)နမ့်စန်
14)ကွန်ဟိန်း
15)ကျေးသီး
16)မိုင်းကိုင်
17)မိုင်းရှူး
18)လင်းခေး
19)မိုးနဲ
20)မောက်မယ်
21)မိုင်းပန်
22)လားရှိုး
23)သိန္နီ
24)မိုင်းရယ်
25)တန့်ယန်း
26)ပန်ဆန်း (ပန်ခမ်း)
27)နားဖန်း
28)ပန်ဝိုင်
29)မိုင်းမော
30)မူဆယ်
31)နမ့်ခမ်း
32)ကွတ်ခိုင်
33)ကျောက်မဲ
34)နောင်ချို
35)သီပေါ
36)နမ္မတူ
37)နမ့်ဆန်
38)မိုးမိတ်
39)မဘိမ်း
40)မန်တုံ
41)ကွမ်းလုံ
42)ဟိုပန်
43)လောက်ကိုင်
44)ကုန်းကြမ်း
45)မက်မန်း
46)ကျိုင်းတုံ
47)မိုင်းခတ်
48)မိုင်းယန်း
49)မိုင်းလား
50)မိုင်းဆတ်
51)မိုင်းပျဉ်း
52)မိုင်းတုံ
53)တာချီလိတ်
54)မိုင်းဖြတ်
55)မိုင်းယောင်း
56)မသိပါ
57)ဖြေဆိုရန် ငြင်းဆန်သည်</t>
        </is>
      </c>
      <c r="G34" s="630">
        <f>LEN(F34)</f>
        <v/>
      </c>
      <c r="H34" s="144" t="inlineStr">
        <is>
          <t>Single Choice</t>
        </is>
      </c>
      <c r="I34" s="630" t="inlineStr">
        <is>
          <t>NA</t>
        </is>
      </c>
      <c r="J34" s="630" t="inlineStr">
        <is>
          <t>NA</t>
        </is>
      </c>
      <c r="K34" s="630" t="inlineStr">
        <is>
          <t>Form Type - Dropdown
IsDemographic - ADM3</t>
        </is>
      </c>
      <c r="L34" s="594" t="inlineStr">
        <is>
          <t>NA</t>
        </is>
      </c>
      <c r="M34" s="145" t="inlineStr">
        <is>
          <t>1-55 = quotareached
56-57 = quotareached</t>
        </is>
      </c>
      <c r="N34" s="601" t="n"/>
      <c r="O34" s="714" t="n"/>
      <c r="Q34" s="148" t="n"/>
      <c r="R34" s="692" t="n"/>
      <c r="S34" s="172" t="n"/>
      <c r="T34" s="173" t="n"/>
      <c r="U34" s="172" t="n"/>
      <c r="V34" s="59" t="n"/>
      <c r="X34" s="67" t="n"/>
      <c r="Y34" s="680" t="n"/>
      <c r="AB34" s="61" t="n"/>
    </row>
    <row r="35" ht="337.5" customFormat="1" customHeight="1" s="704">
      <c r="A35" s="326">
        <f>A34+1</f>
        <v/>
      </c>
      <c r="B35" s="203" t="inlineStr">
        <is>
          <t>o_hh_admin3_14</t>
        </is>
      </c>
      <c r="C35" s="136" t="inlineStr">
        <is>
          <t>o_hh_admin3</t>
        </is>
      </c>
      <c r="D35" s="600" t="inlineStr">
        <is>
          <t>Currently, in which Township does your household reside?
[OPERATOR: SINGLE RESPONSE.]
1)DAWEI
2)LAUNGLON
3)THAYETCHAUNG
4)YEBYU
5)MYEIK
6)KYUNSU
7)PALAW
8)TANINTHARYI
9)KAWTHOUNG
10)BOKPYIN
11)DON'T KNOW
12)REFUSED</t>
        </is>
      </c>
      <c r="E35" s="630">
        <f>LEN(D35)</f>
        <v/>
      </c>
      <c r="F35" s="230" t="inlineStr">
        <is>
          <t xml:space="preserve">လက်ရှိအချိန်တွင် လူကြီးမင်း၏အိမ်ထောင်စုသည် မည်သည့်မြို့နယ်၌ နေထိုင်ပါသနည်း။
[အော်ပရေတာ- တုံ့ပြန်မှုတစ်ခုသာ။]
1)ထားဝယ်
2)လောင်းလုံး
3)သရက်ချောင်း
4)ရေဖြူ
5)မြိတ်
6)ကျွန်းစု
7)ပုလော
8)တနင်္သာရီ
9)ကော့သောင်း
10)ဘုတ်ပြင်း
11)မသိပါ
12)ဖြေဆိုရန် ငြင်းဆန်သည်
</t>
        </is>
      </c>
      <c r="G35" s="630">
        <f>LEN(F35)</f>
        <v/>
      </c>
      <c r="H35" s="144" t="inlineStr">
        <is>
          <t>Single Choice</t>
        </is>
      </c>
      <c r="I35" s="630" t="inlineStr">
        <is>
          <t>NA</t>
        </is>
      </c>
      <c r="J35" s="630" t="inlineStr">
        <is>
          <t>NA</t>
        </is>
      </c>
      <c r="K35" s="630" t="inlineStr">
        <is>
          <t>Form Type - Dropdown
IsDemographic - ADM3</t>
        </is>
      </c>
      <c r="L35" s="594" t="inlineStr">
        <is>
          <t>NA</t>
        </is>
      </c>
      <c r="M35" s="145" t="inlineStr">
        <is>
          <t>1-10 = quotareached
11-12 = quotareached</t>
        </is>
      </c>
      <c r="N35" s="601" t="n"/>
      <c r="O35" s="714" t="n"/>
      <c r="Q35" s="148" t="n"/>
      <c r="R35" s="692" t="n"/>
      <c r="S35" s="172" t="n"/>
      <c r="T35" s="173" t="n"/>
      <c r="U35" s="172" t="n"/>
      <c r="V35" s="59" t="n"/>
      <c r="X35" s="67" t="n"/>
      <c r="Y35" s="680" t="n"/>
      <c r="AB35" s="61" t="n"/>
    </row>
    <row r="36" ht="409.5" customFormat="1" customHeight="1" s="704">
      <c r="A36" s="326">
        <f>A35+1</f>
        <v/>
      </c>
      <c r="B36" s="203" t="inlineStr">
        <is>
          <t>o_hh_admin3_15</t>
        </is>
      </c>
      <c r="C36" s="136" t="inlineStr">
        <is>
          <t>o_hh_admin3</t>
        </is>
      </c>
      <c r="D36" s="600" t="inlineStr">
        <is>
          <t xml:space="preserve">Currently, in which Township does your household reside?
[OPERATOR: SINGLE RESPONSE.]
1)AHLONE
2)BAHAN
3)BOTAHTAUNG
4)COCOKYUN
5)DAGON
6)DAGON MYOTHIT [EAST]
7)DAGON MYOTHIT [NORTH]
8)DAGON MYOTHIT [SEIKKAN]
9)DAGON MYOTHIT [SOUTH]
10)DALA
11)DAWBON
12)HLAING
13)HLAINGTHARYA [EAST]
14)HLAINGTHARYA [WEST]
15)HLEGU
16)HMAWBI
17)HTANTABIN
18)INSEIN
19)KAMARYUT
20)KAWHMU
21)KAYAN
22)KUNGYANGON
23)KYAUKTADA
24)KYAUKTAN
25)KYEEMYINDAING
26)LANMADAW
27)LATHA
28)MAYANGONE
29)MINGALADON
30)MINGALARTAUNGNYUNT
31)NORTH OKKALAPA
32)PABEDAN
33)PAZUNDAUNG
34)SANCHAUNG
35)SEIKGYIKANAUNGTO
36)SHWEPYITHAR
37)SOUTH OKKALAPA
38)TAIKKYI
39)TAMWE
40)THAKETA
41)THANLYIN
42)THINGANGYUN
43)THONGWA
44)TWANTAY
45)YANKIN
46)DON'T KNOW
47)REFUSED </t>
        </is>
      </c>
      <c r="E36" s="630">
        <f>LEN(D36)</f>
        <v/>
      </c>
      <c r="F36" s="230" t="inlineStr">
        <is>
          <t>လက်ရှိအချိန်တွင် လူကြီးမင်း၏အိမ်ထောင်စုသည် မည်သည့်မြို့နယ်၌ နေထိုင်ပါသနည်း။
[အော်ပရေတာ- တုံ့ပြန်မှုတစ်ခုသာ။]
1)အလုံ
2)ဗဟန်း
3)ဗိုလ်တထောင်
4)ကိုကိုးကျွန်း
5)ဒဂုံ
6)ဒဂုံမြို့သစ် [အရှေ့ပိုင်း]
7)ဒဂုံမြို့သစ် [မြောက်ပိုင်း]
8)ဒဂုံမြို့သစ် [ဆိပ်ကမ်း]
9)ဒဂုံမြို့သစ် [တောင်ပိုင်း]
10)ဒလ
11)ဒေါပုံ
12)လှိုင်
13)လှိုင်သာယာ [အရှေ့ပိုင်း]
14)လှိုင်သာယာ [အနောက်ပိုင်း]
15)လှည်းကူး
16)မှော်ဘီ
17)ထန်းတပင်
18)အင်းစိန်
19)ကမာရွတ်
20)ကော့မှုး
21)ခရမ်း
22)ကွမ်းခြံကုန်း
23)ကျောက်တံတား
24)ကျောက်တန်း
25)ကြည့်မြင်တိုင်
26)လမ်းမတော်
27)လသာ
28)မရမ်းကုန်း
29)မင်္ဂလာဒုံ
30)မင်္ဂလာတောင်ညွန့်
31)မြောက်ဥက္ကလာပ
32)ပန်းဘဲတန်း
33)ပုဇွန်တောင်
34)စမ်းချောင်း
35)ဆိပ်ကြီး/ခနောင်တို
36)ရွှေပြည်သာ
37)တောင်ဥက္ကလာပ
38)တိုက်ကြီး
39)တာမွေ
40)သာကေတ
41)သန်လျင်
42)သင်္ဃန်းကျွန်း
43)သုံးခွ
44)တွံတေး
45)ရန်ကင်း
46)မသိပါ
47)ဖြေဆိုရန် ငြင်းဆန်သည်</t>
        </is>
      </c>
      <c r="G36" s="630">
        <f>LEN(F36)</f>
        <v/>
      </c>
      <c r="H36" s="144" t="inlineStr">
        <is>
          <t>Single Choice</t>
        </is>
      </c>
      <c r="I36" s="630" t="inlineStr">
        <is>
          <t>NA</t>
        </is>
      </c>
      <c r="J36" s="630" t="inlineStr">
        <is>
          <t>NA</t>
        </is>
      </c>
      <c r="K36" s="630" t="inlineStr">
        <is>
          <t>Form Type - Dropdown
IsDemographic - ADM3</t>
        </is>
      </c>
      <c r="L36" s="594" t="inlineStr">
        <is>
          <t>NA</t>
        </is>
      </c>
      <c r="M36" s="145" t="inlineStr">
        <is>
          <t>1-4 = quotareached
5 = Ineligible
6-7 = quotareached
8 = Ineligible
9-22 = quotareached
23 = Ineligible
24-26 = quotareached
27 = Ineligible
28-45 = quotareached
46-47 = Ineligible</t>
        </is>
      </c>
      <c r="N36" s="601" t="n"/>
      <c r="O36" s="715" t="n"/>
      <c r="P36" s="723" t="n"/>
      <c r="Q36" s="148" t="n"/>
      <c r="R36" s="693" t="n"/>
      <c r="S36" s="172" t="n"/>
      <c r="T36" s="173" t="n"/>
      <c r="U36" s="172" t="n"/>
      <c r="V36" s="59" t="n"/>
      <c r="X36" s="67" t="n"/>
      <c r="Y36" s="680" t="n"/>
      <c r="AB36" s="61" t="n"/>
    </row>
    <row r="37" ht="202.5" customFormat="1" customHeight="1" s="704">
      <c r="A37" s="326">
        <f>A36+1</f>
        <v/>
      </c>
      <c r="B37" s="203" t="inlineStr">
        <is>
          <t>quotareached</t>
        </is>
      </c>
      <c r="C37" s="136" t="inlineStr">
        <is>
          <t>quotareached</t>
        </is>
      </c>
      <c r="D37" s="137" t="inlineStr">
        <is>
          <t>[OPERATOR: DO NOT READ. ANSWER QUESTION BELOW.]
THIS RESPONDENT REPORTED THEY LIVE IN:
{ADM1}
{ADM3}
1)THE GOAL FOR THIS LOCATION HAS BEEN ACHIEVED - END SURVEY
2)THE GOAL FOR THIS LOCATION IS OPEN - CONTINUE SURVEY</t>
        </is>
      </c>
      <c r="E37" s="630">
        <f>LEN(D37)</f>
        <v/>
      </c>
      <c r="F37" s="297" t="inlineStr">
        <is>
          <t>[အော်ပရေတာ- မဖတ်ပါနှင့်။ အောက်ပါမေးခွန်းကို ဖြေဆိုပါ။]
ဖြေဆိုသူသည် ၎င်းတို့နေထိုင်ရာအရပ်ကို ဤသို့ဖော်ပြခဲ့သည်
{ADM1}
{ADM3}
1)ဤနေရာအတွက် ရည်မှန်းချက် အောင်မြင်ခဲ့ပြီဖြစ်ပါသည်- စစ်တမ်းအား အဆုံးသတ်ရန်
2)ဤနေရာအတွက် ရည်မှန်းချက်ကို ကြိုးပမ်းနိုင်ဆဲဖြစ်ပါသည်- စစ်တမ်းအား ရှေ့ဆက်ရန်</t>
        </is>
      </c>
      <c r="G37" s="630">
        <f>LEN(F37)</f>
        <v/>
      </c>
      <c r="H37" s="144" t="inlineStr">
        <is>
          <t>Single Choice</t>
        </is>
      </c>
      <c r="I37" s="630" t="inlineStr">
        <is>
          <t>NA</t>
        </is>
      </c>
      <c r="J37" s="630" t="inlineStr">
        <is>
          <t>NA</t>
        </is>
      </c>
      <c r="K37" s="630" t="inlineStr">
        <is>
          <t>Form Type - Buttons</t>
        </is>
      </c>
      <c r="L37" s="594" t="inlineStr">
        <is>
          <t>NA</t>
        </is>
      </c>
      <c r="M37" s="145" t="inlineStr">
        <is>
          <t>1 = End Poll Quota Reached
2 = hh_agricactivity</t>
        </is>
      </c>
      <c r="N37" s="571" t="n"/>
      <c r="O37" s="131" t="inlineStr">
        <is>
          <t>If the quota has not been reached, continue the questionnaire. If it has, end of survey.</t>
        </is>
      </c>
      <c r="P37" s="633" t="n"/>
      <c r="Q37" s="148" t="inlineStr">
        <is>
          <t>resp_agree = 1 
resp_age = 18-100</t>
        </is>
      </c>
      <c r="R37" s="149" t="n"/>
      <c r="S37" s="172" t="n">
        <v>2.284250020980835</v>
      </c>
      <c r="T37" s="173">
        <f>1</f>
        <v/>
      </c>
      <c r="U37" s="172">
        <f>S37*T37</f>
        <v/>
      </c>
      <c r="V37" s="59" t="n"/>
      <c r="X37" s="63" t="inlineStr">
        <is>
          <t>no</t>
        </is>
      </c>
      <c r="Y37" s="680" t="n"/>
      <c r="AB37" s="61" t="n"/>
    </row>
    <row r="38" ht="393" customFormat="1" customHeight="1" s="704">
      <c r="A38" s="603">
        <f>A37+1</f>
        <v/>
      </c>
      <c r="B38" s="180" t="inlineStr">
        <is>
          <t>hh_agricactivity</t>
        </is>
      </c>
      <c r="C38" s="180" t="inlineStr">
        <is>
          <t>hh_agricactivity</t>
        </is>
      </c>
      <c r="D38" s="645"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sell or consume? Do you raise any animals with the intent of selling or consuming them or their products like meat, milk, wool or leather? Is one of your household member currently away with cattle or other animals for transhumance?]
[FISHING/AQUACULTURE IS NOT LIVESTOCK PRODUCTION. FLOWER PLANTING IS NOT CROP PRODUCTION]
1)Yes - crop production 
2)Yes - livestock production
3)Yes - both crop and livestock production 
4)No
5)DON'T KNOW
6)REFUSED </t>
        </is>
      </c>
      <c r="E38" s="646">
        <f>LEN(D38)</f>
        <v/>
      </c>
      <c r="F38" s="647" t="inlineStr">
        <is>
          <t xml:space="preserve">ရွှေ့ပြောင်းမွေးမြူရေးအတွက် လက်ရှိ အဝေးတွင်ရောက်ရှိနေသော အိမ်ထောင်စုပါ မိသားစုဝင်အပါအဝင် လူကြီးမင်း၏အိမ်ထောင်စုထဲမှ တစ်ဦးတစ်ယောက်သည် လွန်ခဲ့သော 12 လအတွင်း အိမ်ထောင်စု စားသောက်ရန် သို့မဟုတ် ရောင်းချရန်အတွက် ကောက်ပဲသီးနှံများ စိုက်ပျိုးရေး သို့မဟုတ် မွေးမြူရေး လုပ်ကိုင်ခဲ့ပါသလား။
[အော်ပရေတာ- တုံ့ပြန်မှုတစ်ခုသာ။ ဤသည်မှာ အဓိကအကဲဖြတ်မေးခွန်းဖြစ်သည်။ ဖြေဆိုသူသည် မဖြေမနေရ ဖြေဆိုရမည်ဖြစ်သည်။ ရွှေ့ပြောင်းမွေးမြူးရေးအကြောင်း မေးမြန်းရန် မမေ့ပါနှင့်။]
[အရိပ်အမြွက် - အိမ်ထောင်စုတွင် အတူတကွနေထိုင်ကာ ရင်းမြစ်များကို မျှဝေသုံးစွဲပြီး တစ်အိုးတည်းစားသောက်သော မိသားစုဝင်များအားလုံး ပါဝင်သည်။]
[ငါးဖမ်းခြင်း/ငါးမွေးမြူရေးလုပ်ငန်းသည် တိရစ္ဆာန်မွေးမြူရေးမဟုတ်ပါ။ ပန်းစိုက်ပျိုးခြင်းသည် သီးနှံထုတ်လုပ်ခြင်းမဟုတ်ပါ]
1)လုပ်ကိုင်ပါသည် - ကောက်ပဲသီးနှံ စိုက်ပျိုးထုတ်လုပ်ရေး
2)လုပ်ကိုင်ပါသည် - မွေးမြူရေး
3)လုပ်ကိုင်ပါသည်- ကောက်ပဲသီးနှံစိုက်ပျိုးရေးနှင့် မွေးမြူရေးလုပ်ငန်းနှစ်ခုလုံး 
4)မလုပ်ကိုင်ပါ
5)မသိပါ
6)ဖြေဆိုရန် ငြင်းဆန်သည် </t>
        </is>
      </c>
      <c r="G38" s="181">
        <f>LEN(F38)</f>
        <v/>
      </c>
      <c r="H38" s="699" t="inlineStr">
        <is>
          <t>Single Choice</t>
        </is>
      </c>
      <c r="I38" s="181" t="inlineStr">
        <is>
          <t>NA</t>
        </is>
      </c>
      <c r="J38" s="181" t="inlineStr">
        <is>
          <t>NA</t>
        </is>
      </c>
      <c r="K38" s="181" t="inlineStr">
        <is>
          <t>Form Type - Buttons
IsDemographic</t>
        </is>
      </c>
      <c r="L38" s="604" t="inlineStr">
        <is>
          <t>NA</t>
        </is>
      </c>
      <c r="M38" s="183" t="inlineStr">
        <is>
          <t>1 = hh_agricactivity_Check1
2 = hh_agricactivity_Check2
3 = hh_agricactivity_Check3
4 = hh_agricactivity_Check4
5-6 = Ineligible</t>
        </is>
      </c>
      <c r="N38" s="184" t="n"/>
      <c r="O38" s="184" t="inlineStr">
        <is>
          <t xml:space="preserve">if hh_agricactivity = 1-4, go to hh_gender. Otherwise, the respondent is ineligible. </t>
        </is>
      </c>
      <c r="P38" s="422" t="n"/>
      <c r="Q38" s="578" t="inlineStr">
        <is>
          <t xml:space="preserve">resp_agree = 1 
resp_age = 18-100
quotareached = 2 </t>
        </is>
      </c>
      <c r="R38" s="185" t="n"/>
      <c r="S38" s="172" t="n">
        <v>31.37237739562988</v>
      </c>
      <c r="T38" s="173">
        <f>1</f>
        <v/>
      </c>
      <c r="U38" s="172">
        <f>S38*T38</f>
        <v/>
      </c>
      <c r="V38" s="59" t="n"/>
      <c r="X38" s="59" t="inlineStr">
        <is>
          <t>yes</t>
        </is>
      </c>
      <c r="Y38" s="680" t="n"/>
      <c r="AB38" s="61" t="n"/>
    </row>
    <row r="39" ht="240.75" customFormat="1" customHeight="1" s="704">
      <c r="A39" s="350" t="n">
        <v>23</v>
      </c>
      <c r="B39" s="351" t="inlineStr">
        <is>
          <t>hh_agricactivity_Check1</t>
        </is>
      </c>
      <c r="C39" s="351" t="inlineStr">
        <is>
          <t>hh_agricactivity_Check1</t>
        </is>
      </c>
      <c r="D39" s="645" t="inlineStr">
        <is>
          <t>You reported that you or someone in your household participated in crop production activities , but no one cared for animals/livestock for household income/consumption at any time during the past 12 months (1 year). Is this correct?
[OPERATOR: IF YES, SELECT "NEXT". IF NO, GO BACK TO THE PREVIOUS QUESTION AND CORRECT THE ANSWER.]
[FISHING/AQUACULTURE IS NOT LIVESTOCK PRODUCTION. FLOWER PLANTING IS NOT CROP PRODUCTION]
1)NEXT</t>
        </is>
      </c>
      <c r="E39" s="646">
        <f>LEN(D39)</f>
        <v/>
      </c>
      <c r="F39" s="648" t="inlineStr">
        <is>
          <t xml:space="preserve">သင် သို့မဟုတ် သင့်အိမ်ထောင်စုရှိ တစ်စုံတစ်ဦးသည် လွန်ခဲ့သည့် 12 လ (1 နှစ်) အတွင်း ကောက်ပဲသီးနှံစိုက်ပျိုးရေး  လုပ်ကိုင်ခဲ့သော်လည်း သင်၏ အိမ်ထောင်စု၏ ဝင်ငွေ/စားသုံးမှုအတွက် တိရစ္ဆာန်မွေးမြူရေးကို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ပန်းစိုက်ပျိုးခြင်းသည် သီးနှံထုတ်လုပ်ခြင်းမဟုတ်ပါ]
1) နောက်တစ်ခု     </t>
        </is>
      </c>
      <c r="G39" s="181">
        <f>LEN(F39)</f>
        <v/>
      </c>
      <c r="H39" s="363" t="inlineStr">
        <is>
          <t>Single Choice</t>
        </is>
      </c>
      <c r="I39" s="354" t="inlineStr">
        <is>
          <t>NA</t>
        </is>
      </c>
      <c r="J39" s="354" t="inlineStr">
        <is>
          <t>NA</t>
        </is>
      </c>
      <c r="K39" s="354" t="inlineStr">
        <is>
          <t>Form Type - Buttons</t>
        </is>
      </c>
      <c r="L39" s="366" t="inlineStr">
        <is>
          <t>NA</t>
        </is>
      </c>
      <c r="M39" s="353" t="inlineStr">
        <is>
          <t>1 = o_cyclaffected</t>
        </is>
      </c>
      <c r="N39" s="698" t="inlineStr">
        <is>
          <t xml:space="preserve">6/30/2023: Introduced internal validation /probe prompt to confirm the most accurate response possible has been coded at QName hh_agricactivity. These variables will not appear in the dataset. </t>
        </is>
      </c>
      <c r="O39" s="184" t="n"/>
      <c r="P39" s="422" t="n"/>
      <c r="Q39" s="263" t="n"/>
      <c r="R39" s="605" t="n"/>
      <c r="S39" s="172" t="n"/>
      <c r="T39" s="173" t="n"/>
      <c r="U39" s="172" t="n"/>
      <c r="V39" s="59" t="n"/>
      <c r="X39" s="59" t="n"/>
      <c r="Y39" s="680" t="n"/>
      <c r="AB39" s="61" t="n"/>
    </row>
    <row r="40" ht="252.75" customFormat="1" customHeight="1" s="704">
      <c r="A40" s="350" t="n">
        <v>24</v>
      </c>
      <c r="B40" s="351" t="inlineStr">
        <is>
          <t>hh_agricactivity_Check2</t>
        </is>
      </c>
      <c r="C40" s="351" t="inlineStr">
        <is>
          <t>hh_agricactivity_Check2</t>
        </is>
      </c>
      <c r="D40" s="645" t="inlineStr">
        <is>
          <t>You reported that you or someone in your household participated in livestock activities, but no one cultivated plants for household income/consumption at any time during the past 12 months (1 year). Is this correct?
[OPERATOR: IF YES, SELECT "NEXT". IF NO, GO BACK TO THE PREVIOUS QUESTION AND CORRECT THE ANSWER.]
[FISHING/AQUACULTURE IS NOT LIVESTOCK PRODUCTION. FLOWER PLANTING IS NOT CROP PRODUCTION]
1)NEXT</t>
        </is>
      </c>
      <c r="E40" s="646">
        <f>LEN(D40)</f>
        <v/>
      </c>
      <c r="F40" s="648" t="inlineStr">
        <is>
          <t xml:space="preserve">သင် သို့မဟုတ် သင့်အိမ်ထောင်စုရှိ တစ်စုံတစ်ဦးသည် လွန်ခဲ့သည့် 12 လ (1 နှစ်) အတွင်း တိရစ္ဆာန်မွေးမြူရေး  လုပ်ကိုင်ခဲ့သော်လည်း သင်၏ အိမ်ထောင်စု၏ ဝင်ငွေ/စားသုံးမှုအတွက် ကောက်ပဲသီးနှံစိုက်ပျိုးရေးကို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ပန်းစိုက်ပျိုးခြင်းသည် သီးနှံထုတ်လုပ်ခြင်းမဟုတ်ပါ]
1) နောက်တစ်ခု </t>
        </is>
      </c>
      <c r="G40" s="181">
        <f>LEN(F40)</f>
        <v/>
      </c>
      <c r="H40" s="363" t="inlineStr">
        <is>
          <t>Single Choice</t>
        </is>
      </c>
      <c r="I40" s="354" t="inlineStr">
        <is>
          <t>NA</t>
        </is>
      </c>
      <c r="J40" s="354" t="inlineStr">
        <is>
          <t>NA</t>
        </is>
      </c>
      <c r="K40" s="354" t="inlineStr">
        <is>
          <t>Form Type - Buttons</t>
        </is>
      </c>
      <c r="L40" s="366" t="inlineStr">
        <is>
          <t>NA</t>
        </is>
      </c>
      <c r="M40" s="353" t="inlineStr">
        <is>
          <t>1 = o_cyclaffected</t>
        </is>
      </c>
      <c r="N40" s="714" t="n"/>
      <c r="O40" s="184" t="n"/>
      <c r="P40" s="422" t="n"/>
      <c r="Q40" s="263" t="n"/>
      <c r="R40" s="605" t="n"/>
      <c r="S40" s="172" t="n"/>
      <c r="T40" s="173" t="n"/>
      <c r="U40" s="172" t="n"/>
      <c r="V40" s="59" t="n"/>
      <c r="X40" s="59" t="n"/>
      <c r="Y40" s="680" t="n"/>
      <c r="AB40" s="61" t="n"/>
    </row>
    <row r="41" ht="256.5" customFormat="1" customHeight="1" s="704">
      <c r="A41" s="350" t="n">
        <v>25</v>
      </c>
      <c r="B41" s="351" t="inlineStr">
        <is>
          <t>hh_agricactivity_Check3</t>
        </is>
      </c>
      <c r="C41" s="351" t="inlineStr">
        <is>
          <t>hh_agricactivity_Check3</t>
        </is>
      </c>
      <c r="D41" s="645" t="inlineStr">
        <is>
          <t>You reported that you or someone in your household participated in crop production and livestock activities for household income or consumption during the past 12 months (1 year). Is this correct?
[OPERATOR: IF YES, SELECT "NEXT". IF NO, GO BACK TO THE PREVIOUS QUESTION AND CORRECT THE ANSWER.]
[FISHING/AQUACULTURE IS NOT LIVESTOCK PRODUCTION. FLOWER PLANTING IS NOT CROP PRODUCTION]
1)NEXT</t>
        </is>
      </c>
      <c r="E41" s="646">
        <f>LEN(D41)</f>
        <v/>
      </c>
      <c r="F41" s="648" t="inlineStr">
        <is>
          <t xml:space="preserve">သင် သို့မဟုတ် သင့်အိမ်ထောင်စုရှိ တစ်စုံတစ်ဦးသည် လွန်ခဲ့သည့် 12 လ (1 နှစ်) အတွင်း သင်၏ အိမ်ထောင်စု၏ ဝင်ငွေ/စားသုံးမှုအတွက် တိရစ္ဆာန်မွေးမြူရေးရော ကောက်ပဲသီးနှံစိုက်ပျိုးရေးကိုပါ ပြုလုပ်ခဲ့သည်ဟု ဖြေဆိုခဲ့သည်။ ထိုအချက်သည် မှန်ကန်ပါသလား။                                                
[အော်ပရေတာ- ဟုတ်ပါက၊ "နောက်တစ်ခု" ကို ရွေးပါ။ မဟုတ်ပါက၊ ယခင်မေးခွန်းသို့ ပြန်သွားပြီး အဖြေကို ပြင်ပါ။]
[ငါးဖမ်းခြင်း/ငါးမွေးမြူရေးလုပ်ငန်းသည် တိရစ္ဆာန်မွေးမြူရေးမဟုတ်ပါ။ ပန်းစိုက်ပျိုးခြင်းသည် သီးနှံထုတ်လုပ်ခြင်းမဟုတ်ပါ]
1) နောက်တစ်ခု   </t>
        </is>
      </c>
      <c r="G41" s="181">
        <f>LEN(F41)</f>
        <v/>
      </c>
      <c r="H41" s="363" t="inlineStr">
        <is>
          <t>Single Choice</t>
        </is>
      </c>
      <c r="I41" s="354" t="inlineStr">
        <is>
          <t>NA</t>
        </is>
      </c>
      <c r="J41" s="354" t="inlineStr">
        <is>
          <t>NA</t>
        </is>
      </c>
      <c r="K41" s="354" t="inlineStr">
        <is>
          <t>Form Type - Buttons</t>
        </is>
      </c>
      <c r="L41" s="366" t="inlineStr">
        <is>
          <t>NA</t>
        </is>
      </c>
      <c r="M41" s="353" t="inlineStr">
        <is>
          <t>1 = o_cyclaffected</t>
        </is>
      </c>
      <c r="N41" s="714" t="n"/>
      <c r="O41" s="184" t="n"/>
      <c r="P41" s="422" t="n"/>
      <c r="Q41" s="263" t="n"/>
      <c r="R41" s="605" t="n"/>
      <c r="S41" s="172" t="n"/>
      <c r="T41" s="173" t="n"/>
      <c r="U41" s="172" t="n"/>
      <c r="V41" s="59" t="n"/>
      <c r="X41" s="59" t="n"/>
      <c r="Y41" s="680" t="n"/>
      <c r="AB41" s="61" t="n"/>
    </row>
    <row r="42" ht="250.5" customFormat="1" customHeight="1" s="704">
      <c r="A42" s="350" t="n">
        <v>26</v>
      </c>
      <c r="B42" s="351" t="inlineStr">
        <is>
          <t>hh_agricactivity_Check4</t>
        </is>
      </c>
      <c r="C42" s="351" t="inlineStr">
        <is>
          <t>hh_agricactivity_Check4</t>
        </is>
      </c>
      <c r="D42" s="649" t="inlineStr">
        <is>
          <t>You reported that no one in your household  participated in  livestock activities or cultivated plants for household income /consumption at any time during the past 12 months (1 year). Is this correct?
[OPERATOR: IF YES, SELECT "NEXT". IF NO, GO BACK TO THE PREVIOUS QUESTION AND CORRECT THE ANSWER.]
[FISHING/AQUACULTURE IS NOT LIVESTOCK PRODUCTION. FLOWER PLANTING IS NOT CROP PRODUCTION]
1)NEXT</t>
        </is>
      </c>
      <c r="E42" s="650">
        <f>LEN(D42)</f>
        <v/>
      </c>
      <c r="F42" s="648" t="inlineStr">
        <is>
          <t xml:space="preserve">သင် သို့မဟုတ် သင့်အိမ်ထောင်စုရှိ တစ်စုံတစ်ဦးသည် လွန်ခဲ့သည့် 12 လ (1 နှစ်) အတွင်း သင်၏ အိမ်ထောင်စု၏ ဝင်ငွေ/စားသုံးမှုအတွက် တိရစ္ဆာန်မွေးမြူရေးရော ကောက်ပဲသီးနှံစိုက်ပျိုးရေးကိုပါ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ပန်းစိုက်ပျိုးခြင်းသည် သီးနှံထုတ်လုပ်ခြင်းမဟုတ်ပါ]
1) နောက်တစ်ခု   </t>
        </is>
      </c>
      <c r="G42" s="181">
        <f>LEN(F42)</f>
        <v/>
      </c>
      <c r="H42" s="363" t="inlineStr">
        <is>
          <t>Single Choice</t>
        </is>
      </c>
      <c r="I42" s="354" t="inlineStr">
        <is>
          <t>NA</t>
        </is>
      </c>
      <c r="J42" s="354" t="inlineStr">
        <is>
          <t>NA</t>
        </is>
      </c>
      <c r="K42" s="354" t="inlineStr">
        <is>
          <t>Form Type - Buttons</t>
        </is>
      </c>
      <c r="L42" s="366" t="inlineStr">
        <is>
          <t>NA</t>
        </is>
      </c>
      <c r="M42" s="353" t="inlineStr">
        <is>
          <t>1 = o_cyclaffected</t>
        </is>
      </c>
      <c r="N42" s="715" t="n"/>
      <c r="O42" s="353" t="n"/>
      <c r="P42" s="572" t="n"/>
      <c r="Q42" s="263" t="n"/>
      <c r="R42" s="605" t="n"/>
      <c r="S42" s="172" t="n"/>
      <c r="T42" s="173" t="n"/>
      <c r="U42" s="172" t="n"/>
      <c r="V42" s="59" t="n"/>
      <c r="X42" s="59" t="n"/>
      <c r="Y42" s="680" t="n"/>
      <c r="AB42" s="61" t="n"/>
    </row>
    <row r="43" ht="213" customFormat="1" customHeight="1" s="704">
      <c r="A43" s="350" t="n">
        <v>27</v>
      </c>
      <c r="B43" s="351" t="inlineStr">
        <is>
          <t>o_cyclaffected</t>
        </is>
      </c>
      <c r="C43" s="351" t="inlineStr">
        <is>
          <t>o_cyclaffected</t>
        </is>
      </c>
      <c r="D43" s="353" t="inlineStr">
        <is>
          <t>Has your household or community been impacted by Cyclone MOCHA and has it affected your household ability to raise income and/or to produce food for self consumption?
[OPERATOR: SINGLE RESPONSE.]
1)YES
2)NO
3)DON'T KNOW
4)REFUSED</t>
        </is>
      </c>
      <c r="E43" s="181" t="n">
        <v>235</v>
      </c>
      <c r="F43" s="423" t="inlineStr">
        <is>
          <t>ဆိုင်ကလုန်းမိုချာ တိုက်ခတ်မှုသည် သင့်အိမ်ထောင်စု သို့မဟုတ် ရပ်ရွာအသိုင်းအဝိုင်းအတွက် သင့်အိမ်ထောင်စု၏ ဝင်ငွေမြှင့်တင်နိုင်မှုနှင့်/သို့မဟုတ် ကိုယ်တိုင်စားသုံးရန် အစားအစာထုတ်လုပ်မှုအပေါ် ထိခိုက်ပျက်စီးမှုရှိပါသလား။ 
[အော်ပရေတာ- တုံ့ပြန်မှုတစ်ခုသာ။]
1)ထိခိုက်ပျက်စီးမှု ရှိပါသည်။
2) ထိခိုက်ပျက်စီးမှု မရှိပါ။
3)မသိပါ
4)ငြင်းဆိုသည်။</t>
        </is>
      </c>
      <c r="G43" s="181">
        <f>LEN(F43)</f>
        <v/>
      </c>
      <c r="H43" s="699" t="inlineStr">
        <is>
          <t>Single Choice</t>
        </is>
      </c>
      <c r="I43" s="181" t="inlineStr">
        <is>
          <t>NA</t>
        </is>
      </c>
      <c r="J43" s="181" t="inlineStr">
        <is>
          <t>NA</t>
        </is>
      </c>
      <c r="K43" s="181" t="inlineStr">
        <is>
          <t>Form Type - Buttons
IsDemographic</t>
        </is>
      </c>
      <c r="L43" s="576" t="inlineStr">
        <is>
          <t>NA</t>
        </is>
      </c>
      <c r="M43" s="420" t="inlineStr">
        <is>
          <t>1 = o_cyclaffected_Check1
2 = o_cyclaffected_Check2
3-4 = hh_gender</t>
        </is>
      </c>
      <c r="N43" s="606" t="n"/>
      <c r="O43" s="420" t="n"/>
      <c r="P43" s="494" t="n"/>
      <c r="Q43" s="263" t="n"/>
      <c r="R43" s="605" t="n"/>
      <c r="S43" s="172" t="n"/>
      <c r="T43" s="173" t="n"/>
      <c r="U43" s="172" t="n"/>
      <c r="V43" s="59" t="n"/>
      <c r="X43" s="59" t="n"/>
      <c r="Y43" s="680" t="n"/>
      <c r="AB43" s="61" t="n"/>
    </row>
    <row r="44" ht="105" customFormat="1" customHeight="1" s="704">
      <c r="A44" s="350" t="n">
        <v>28</v>
      </c>
      <c r="B44" s="351" t="inlineStr">
        <is>
          <t>o_cyclaffected_Check1</t>
        </is>
      </c>
      <c r="C44" s="351" t="inlineStr">
        <is>
          <t>o_cyclaffected_Check1</t>
        </is>
      </c>
      <c r="D44" s="353" t="inlineStr">
        <is>
          <t>You reported that  the damages from Cyclone Mocha  impacted your household's ability to raise income and/or produce food for self consumption.  Is this correct?
[OPERATOR: IF YES, SELECT "NEXT". IF NO, GO BACK TO THE PREVIOUS QUESTION AND CORRECT THE ANSWER.
1)NEXT</t>
        </is>
      </c>
      <c r="E44" s="354">
        <f>LEN(D44)</f>
        <v/>
      </c>
      <c r="F44" s="342" t="inlineStr">
        <is>
          <t xml:space="preserve">ဆိုင်ကလုန်းမိုချာ တိုက်ခတ်မှုသည် သင့်အိမ်ထောင်စု သို့မဟုတ် ရပ်ရွာအသိုင်းအဝိုင်းအတွက် သင့်အိမ်ထောင်စု၏ ဝင်ငွေမြှင့်တင်နိုင်မှုနှင့်/သို့မဟုတ် ကိုယ်တိုင်စားသုံးရန် အစားအစာထုတ်လုပ်မှုအပေါ် ထိခိုက်ပျက်စီးမှုရှိသည်ဟု ဖြေဆိုခဲ့သည်။ ထိုအချက်သည် မှန်ကန်ပါသလား။                           
 [အော်ပရေတာ- ဟုတ်ပါက၊ "နောက်တစ်ခု" ကို ရွေးပါ။ မဟုတ်ပါက၊ ယခင်မေးခွန်းသို့ ပြန်သွားပြီး အဖြေကို ပြင်ပါ။
1) နောက်တစ်ခု </t>
        </is>
      </c>
      <c r="G44" s="354">
        <f>LEN(F44)</f>
        <v/>
      </c>
      <c r="H44" s="363" t="inlineStr">
        <is>
          <t>Single Choice</t>
        </is>
      </c>
      <c r="I44" s="354" t="inlineStr">
        <is>
          <t>NA</t>
        </is>
      </c>
      <c r="J44" s="354" t="inlineStr">
        <is>
          <t>NA</t>
        </is>
      </c>
      <c r="K44" s="354" t="inlineStr">
        <is>
          <t>Form Type - Buttons</t>
        </is>
      </c>
      <c r="L44" s="366" t="inlineStr">
        <is>
          <t>NA</t>
        </is>
      </c>
      <c r="M44" s="353" t="inlineStr">
        <is>
          <t>1 = hh_gender</t>
        </is>
      </c>
      <c r="N44" s="363" t="inlineStr">
        <is>
          <t xml:space="preserve">6/30/2023: Introduced internal validation /probe prompt to confirm the most accurate response possible has been coded at QName o_cyclaffected . These variables will not appear in the dataset. </t>
        </is>
      </c>
      <c r="O44" s="353" t="n"/>
      <c r="P44" s="572" t="n"/>
      <c r="Q44" s="572" t="n"/>
      <c r="R44" s="572" t="n"/>
      <c r="S44" s="172" t="n"/>
      <c r="T44" s="173" t="n"/>
      <c r="U44" s="172" t="n"/>
      <c r="V44" s="59" t="n"/>
      <c r="X44" s="59" t="n"/>
      <c r="Y44" s="680" t="n"/>
      <c r="AB44" s="61" t="n"/>
    </row>
    <row r="45" ht="109.5" customFormat="1" customHeight="1" s="704">
      <c r="A45" s="350" t="n">
        <v>29</v>
      </c>
      <c r="B45" s="351" t="inlineStr">
        <is>
          <t>o_cyclaffected_Check2</t>
        </is>
      </c>
      <c r="C45" s="351" t="inlineStr">
        <is>
          <t>o_cyclaffected_Check2</t>
        </is>
      </c>
      <c r="D45" s="353" t="inlineStr">
        <is>
          <t>You reported that Cyclone Mocha had no impact on  your household's ability to raise income and/or produce food for self consumption.  Is this correct?
[OPERATOR: IF YES, SELECT "NEXT". IF NO, GO BACK TO THE PREVIOUS QUESTION AND CORRECT THE ANSWER.
1)NEXT</t>
        </is>
      </c>
      <c r="E45" s="354">
        <f>LEN(D45)</f>
        <v/>
      </c>
      <c r="F45" s="342" t="inlineStr">
        <is>
          <t xml:space="preserve">ဆိုင်ကလုန်းမိုချာ တိုက်ခတ်မှုသည် သင့်အိမ်ထောင်စု သို့မဟုတ် ရပ်ရွာအသိုင်းအဝိုင်းအတွက် သင့်အိမ်ထောင်စု၏ ဝင်ငွေမြှင့်တင်နိုင်မှုနှင့်/သို့မဟုတ် ကိုယ်တိုင်စားသုံးရန် အစားအစာထုတ်လုပ်မှုအပေါ် ထိခိုက်ပျက်စီးမှုမရှိပါဟု ဖြေဆိုခဲ့သည်။ ထိုအချက်သည် မှန်ကန်ပါသလား။                           
 [အော်ပရေတာ- ဟုတ်ပါက၊ "နောက်တစ်ခု" ကို ရွေးပါ။ မဟုတ်ပါက၊ ယခင်မေးခွန်းသို့ ပြန်သွားပြီး အဖြေကို ပြင်ပါ။
1) နောက်တစ်ခု  </t>
        </is>
      </c>
      <c r="G45" s="354">
        <f>LEN(F45)</f>
        <v/>
      </c>
      <c r="H45" s="363" t="inlineStr">
        <is>
          <t>Single Choice</t>
        </is>
      </c>
      <c r="I45" s="354" t="inlineStr">
        <is>
          <t>NA</t>
        </is>
      </c>
      <c r="J45" s="354" t="inlineStr">
        <is>
          <t>NA</t>
        </is>
      </c>
      <c r="K45" s="354" t="inlineStr">
        <is>
          <t>Form Type - Buttons</t>
        </is>
      </c>
      <c r="L45" s="366" t="inlineStr">
        <is>
          <t>NA</t>
        </is>
      </c>
      <c r="M45" s="353" t="inlineStr">
        <is>
          <t>1 = hh_gender</t>
        </is>
      </c>
      <c r="N45" s="715" t="n"/>
      <c r="O45" s="353" t="n"/>
      <c r="P45" s="572" t="n"/>
      <c r="Q45" s="572" t="n"/>
      <c r="R45" s="572" t="n"/>
      <c r="S45" s="172" t="n"/>
      <c r="T45" s="173" t="n"/>
      <c r="U45" s="172" t="n"/>
      <c r="V45" s="59" t="n"/>
      <c r="X45" s="59" t="n"/>
      <c r="Y45" s="680" t="n"/>
      <c r="AB45" s="61" t="n"/>
    </row>
    <row r="46" ht="37.5" customFormat="1" customHeight="1" s="704" thickBot="1">
      <c r="A46" s="709" t="inlineStr">
        <is>
          <t>B. GENERAL HOUSEHOLD INFORMATION</t>
        </is>
      </c>
      <c r="B46" s="724" t="n"/>
      <c r="C46" s="724" t="n"/>
      <c r="D46" s="724" t="n"/>
      <c r="E46" s="724" t="n"/>
      <c r="F46" s="724" t="n"/>
      <c r="G46" s="724" t="n"/>
      <c r="H46" s="724" t="n"/>
      <c r="I46" s="724" t="n"/>
      <c r="J46" s="724" t="n"/>
      <c r="K46" s="724" t="n"/>
      <c r="L46" s="724" t="n"/>
      <c r="M46" s="724" t="n"/>
      <c r="N46" s="724" t="n"/>
      <c r="O46" s="724" t="n"/>
      <c r="P46" s="724" t="n"/>
      <c r="Q46" s="724" t="n"/>
      <c r="R46" s="725" t="n"/>
      <c r="S46" s="127" t="n"/>
      <c r="T46" s="123" t="n"/>
      <c r="U46" s="127" t="n"/>
      <c r="V46" s="59" t="n"/>
      <c r="X46" s="63" t="n"/>
      <c r="Y46" s="680" t="n"/>
      <c r="AB46" s="61" t="n"/>
    </row>
    <row r="47" ht="200.1" customFormat="1" customHeight="1" s="704">
      <c r="A47" s="326" t="n">
        <v>30</v>
      </c>
      <c r="B47" s="128" t="inlineStr">
        <is>
          <t>hh_gender</t>
        </is>
      </c>
      <c r="C47" s="136" t="inlineStr">
        <is>
          <t>hh_gender</t>
        </is>
      </c>
      <c r="D47" s="186" t="inlineStr">
        <is>
          <t>Is the head of your household male or female?
[OPERATOR: SINGLE RESPONSE.]
1)Male 
2)Female
3)DON'T KNOW
4)REFUSED</t>
        </is>
      </c>
      <c r="E47" s="631">
        <f>LEN(D47)</f>
        <v/>
      </c>
      <c r="F47" s="294" t="inlineStr">
        <is>
          <t>လူကြီးမင်းအိမ်ထောင်စု၏ အိမ်ထောင်ဦးစီးသည် အမျိုးသား သို့မဟုတ် အမျိုးသမီးပါလား။
[အော်ပရေတာ- တုံ့ပြန်မှုတစ်ခုသာ။]
1)အမျိုးသား 
2)အမျိုးသမီး
3)မသိပါ
4)ဖြေဆိုရန် ငြင်းဆန်သည်</t>
        </is>
      </c>
      <c r="G47" s="631">
        <f>LEN(F47)</f>
        <v/>
      </c>
      <c r="H47" s="136" t="inlineStr">
        <is>
          <t>Single Choice</t>
        </is>
      </c>
      <c r="I47" s="631" t="inlineStr">
        <is>
          <t>NA</t>
        </is>
      </c>
      <c r="J47" s="631" t="inlineStr">
        <is>
          <t>NA</t>
        </is>
      </c>
      <c r="K47" s="631" t="inlineStr">
        <is>
          <t>Form Type - Buttons</t>
        </is>
      </c>
      <c r="L47" s="632" t="inlineStr">
        <is>
          <t>NA</t>
        </is>
      </c>
      <c r="M47" s="131" t="inlineStr">
        <is>
          <t>1-4 = RuralUrban</t>
        </is>
      </c>
      <c r="N47" s="178" t="n"/>
      <c r="O47" s="131" t="inlineStr">
        <is>
          <t>if hh_gender = 1-4, go to hh_education.</t>
        </is>
      </c>
      <c r="P47" s="633" t="inlineStr">
        <is>
          <t>RuralUrban</t>
        </is>
      </c>
      <c r="Q47" s="134" t="inlineStr">
        <is>
          <t>resp_age = 18-100
hh_agricactivity = 1 | 2 | 3 | 4
quotareached = 2</t>
        </is>
      </c>
      <c r="R47" s="138" t="n"/>
      <c r="S47" s="172" t="n">
        <v>10.08573150634766</v>
      </c>
      <c r="T47" s="173">
        <f>1</f>
        <v/>
      </c>
      <c r="U47" s="172">
        <f>S47*T47</f>
        <v/>
      </c>
      <c r="V47" s="59" t="n"/>
      <c r="X47" s="63" t="inlineStr">
        <is>
          <t>yes</t>
        </is>
      </c>
      <c r="Y47" s="680" t="n"/>
      <c r="AB47" s="61" t="n"/>
    </row>
    <row r="48" ht="205.5" customFormat="1" customHeight="1" s="704">
      <c r="A48" s="326">
        <f>A47+1</f>
        <v/>
      </c>
      <c r="B48" s="626" t="inlineStr">
        <is>
          <t>RuralUrban</t>
        </is>
      </c>
      <c r="C48" s="626" t="inlineStr">
        <is>
          <t>RuralUrban</t>
        </is>
      </c>
      <c r="D48" s="627" t="inlineStr">
        <is>
          <t>Are you living in a rural or urban area?
[OPERATOR: CHOOSE ONLY ONE OPTION]
1)RURAL [Village] AREA
2)URBAN [Ward] AREA
3)DON'T KNOW
4)REFUSED</t>
        </is>
      </c>
      <c r="E48" s="628">
        <f>LEN(D48)</f>
        <v/>
      </c>
      <c r="F48" s="641" t="inlineStr">
        <is>
          <t>လူကြီးမင်းသည် ကျေးလက်ဒေသ သို့မဟုတ် မြို့ပြဒေသတွင် နေထိုင်ပါသလား။
[အော်ပရေတာ- ရွေးချယ်မှုတစ်ခုသာ ရွေးချယ်ပါ]
1)ကျေးလက်ဒေသ [သို့မတုတ်] ရွာ
2)မြို့ပြဒေသ [သို့မဟုတ်] ရပ်ကွက်
3)မသိပါ
4)ဖြေဆိုရန် ငြင်းဆန်သည်</t>
        </is>
      </c>
      <c r="G48" s="628">
        <f>LEN(F48)</f>
        <v/>
      </c>
      <c r="H48" s="629" t="inlineStr">
        <is>
          <t>Single Choice</t>
        </is>
      </c>
      <c r="I48" s="630" t="inlineStr">
        <is>
          <t>NA</t>
        </is>
      </c>
      <c r="J48" s="630" t="inlineStr">
        <is>
          <t>NA</t>
        </is>
      </c>
      <c r="K48" s="631" t="inlineStr">
        <is>
          <t>Form Type - Buttons</t>
        </is>
      </c>
      <c r="L48" s="632" t="inlineStr">
        <is>
          <t>NA</t>
        </is>
      </c>
      <c r="M48" s="633" t="inlineStr">
        <is>
          <t>1-4 = hhsize</t>
        </is>
      </c>
      <c r="N48" s="208" t="n"/>
      <c r="O48" s="633" t="n"/>
      <c r="P48" s="633" t="n"/>
      <c r="Q48" s="134" t="n"/>
      <c r="R48" s="138" t="n"/>
      <c r="S48" s="127" t="n"/>
      <c r="T48" s="123">
        <f>1</f>
        <v/>
      </c>
      <c r="U48" s="127">
        <f>S48*T48</f>
        <v/>
      </c>
      <c r="V48" s="59" t="n"/>
      <c r="X48" s="63" t="n"/>
      <c r="Y48" s="680" t="n"/>
      <c r="AB48" s="61" t="n"/>
    </row>
    <row r="49" ht="204.75" customFormat="1" customHeight="1" s="704">
      <c r="A49" s="326">
        <f>A48+1</f>
        <v/>
      </c>
      <c r="B49" s="626" t="inlineStr">
        <is>
          <t>hhsize</t>
        </is>
      </c>
      <c r="C49" s="626" t="inlineStr">
        <is>
          <t>hh_size</t>
        </is>
      </c>
      <c r="D49" s="634" t="inlineStr">
        <is>
          <t>How many people are part of the household?
[OPERATOR: RECORD NUMBER OF MEMBERS IN HOUSEHOLD. 
[HINT: TO BE A PART OF THE SAME HOUSEHOLD, MEMBERS MUST LIVE UNDER THE SAME ROOF, SHARE THE SAME RESOURCES &amp; EAT FROM THE SAME POT.]</t>
        </is>
      </c>
      <c r="E49" s="628">
        <f>LEN(D49)</f>
        <v/>
      </c>
      <c r="F49" s="635" t="inlineStr">
        <is>
          <t>အိမ်ထောင်စုမှာ လူဦးရေ ဘယ်လောက်ရှိပါသလဲ။
[အော်ပရေတာ- အိမ်ထောင်စုဝင်အရေအတွက်ကိုမှတ်သားပါ။ 
[အရိပ်အမြွက် - အိမ်ထောင်စုတွင် အတူတကွနေထိုင်ကာ ရင်းမြစ်များကို မျှဝေသုံးစွဲပြီး တစ်အိုးတည်းစားသောက်သော မိသားစုဝင်များအားလုံး ပါဝင်သည်။]</t>
        </is>
      </c>
      <c r="G49" s="628">
        <f>LEN(F49)</f>
        <v/>
      </c>
      <c r="H49" s="636" t="inlineStr">
        <is>
          <t>Range</t>
        </is>
      </c>
      <c r="I49" s="630" t="inlineStr">
        <is>
          <t>NA</t>
        </is>
      </c>
      <c r="J49" s="630" t="inlineStr">
        <is>
          <t>NA</t>
        </is>
      </c>
      <c r="K49" s="637" t="inlineStr">
        <is>
          <t>Form Type - TextBox
IsDemographic</t>
        </is>
      </c>
      <c r="L49" s="632" t="inlineStr">
        <is>
          <t>NA</t>
        </is>
      </c>
      <c r="M49" s="563" t="inlineStr">
        <is>
          <t>1-50 = hhsizeconfirm</t>
        </is>
      </c>
      <c r="N49" s="208" t="n"/>
      <c r="O49" s="633" t="n"/>
      <c r="P49" s="633" t="inlineStr">
        <is>
          <t>HHSize04</t>
        </is>
      </c>
      <c r="Q49" s="134" t="n"/>
      <c r="R49" s="187" t="n"/>
      <c r="S49" s="127" t="n"/>
      <c r="T49" s="123" t="n"/>
      <c r="U49" s="127" t="n"/>
      <c r="V49" s="59" t="n"/>
      <c r="X49" s="63" t="n"/>
      <c r="Y49" s="680" t="n"/>
      <c r="AB49" s="61" t="n"/>
    </row>
    <row r="50" ht="299.25" customHeight="1">
      <c r="A50" s="651" t="n"/>
      <c r="B50" s="652" t="inlineStr">
        <is>
          <t>hhsizeconfirm</t>
        </is>
      </c>
      <c r="C50" s="652" t="inlineStr">
        <is>
          <t>hhsizeconfirm</t>
        </is>
      </c>
      <c r="D50" s="653" t="inlineStr">
        <is>
          <t>These {hh_size} people have lived together and eaten their meals from the same kitchen for 6+ months - and the household size includes yourself, head of household, and any elderly/young children. Is this correct?
[HINT: MEMBERS THAT ARE TEMPORARILY AWAY BUT NORMALLY LIVE AND EAT IN THE HOUSEHOLD CAN BE COUNTED. NEWLY MARRIED COUPLES AND NEWBORN BABIES SHOULD ALSO BE COUNTED]
[OPERATOR: IF YES, SELECT "NEXT". IF NO, GO BACK TO THE PREVIOUS QUESTION AND CORRECT THE ANSWER.
1)NEXT</t>
        </is>
      </c>
      <c r="E50" s="666">
        <f>LEN(D50)</f>
        <v/>
      </c>
      <c r="F50" s="654" t="inlineStr">
        <is>
          <t>ဤ {hh_size} လူများသည် 6 လကျော်ကြာ တအိမ်ထဲတွင် အတူတကွနေထိုင်ပြီး မီးဖိုချောင်တစ်ခုတည်းမှ အစားအစာများကို စားခဲ့ကြသည် - ယခုသင်ဖြေဆိုခဲ့သော အိမ်ထောင်စုအရွယ်အစားတွင် သင်ကိုယ်တိုင်၊ အိမ်ထောင်ဦးစီးနှင့် သက်ကြီးရွယ်အို/ကလေးငယ်များ ပါဝင်ပါသည်။ အထက်ပါအချက်များသည် မှန်ပါသလား။ 
[အရိပ်အမြွက်- ခေတ္တအဝေးရောက်နေသော်လည်း အိမ်ထောင်စုတွင် ပုံမှန်အတူတကွ နေထိုင်စားသောက်သောသူများကိုလည်း အိမ်ထောင်စုဝင်အဖြစ် ကို ရေတွက်နိုင်ပါသည်။ လက်ထပ်ပြီးခါစ ဇနီးမောင်နှံများနှင့် မွေးကင်းစကလေးငယ်များကိုလည်း ထည့်သွင်းရေတွက်သင့်သည်] 
[အော်ပရေတာ- ဟုတ်ပါက၊ "နောက်တစ်ခု" ကို ရွေးပါ။ မဟုတ်ပါက၊ ယခင်မေးခွန်းသို့ ပြန်သွားပြီး အဖြေကို ပြင်ပါ။ ]
၁) နောက်တစ်ခု</t>
        </is>
      </c>
      <c r="G50" s="666">
        <f>LEN(F50)</f>
        <v/>
      </c>
      <c r="H50" s="667" t="inlineStr">
        <is>
          <t>Single Choice</t>
        </is>
      </c>
      <c r="I50" s="668" t="inlineStr">
        <is>
          <t>NA</t>
        </is>
      </c>
      <c r="J50" s="668" t="inlineStr">
        <is>
          <t>NA</t>
        </is>
      </c>
      <c r="K50" s="669" t="inlineStr">
        <is>
          <t>Form Type - Buttons</t>
        </is>
      </c>
      <c r="L50" s="670" t="inlineStr">
        <is>
          <t>NA</t>
        </is>
      </c>
      <c r="M50" s="655" t="inlineStr">
        <is>
          <t>1 = oHHSize04</t>
        </is>
      </c>
      <c r="N50" s="656" t="n"/>
      <c r="O50" s="655" t="n"/>
      <c r="P50" s="655" t="n"/>
      <c r="Q50" s="657" t="n"/>
      <c r="R50" s="658" t="n"/>
      <c r="S50" s="659" t="n"/>
      <c r="T50" s="660" t="n"/>
      <c r="U50" s="659" t="n"/>
      <c r="V50" s="661" t="n"/>
      <c r="W50" s="662" t="n"/>
      <c r="X50" s="663" t="n"/>
      <c r="Y50" s="662" t="n"/>
      <c r="Z50" s="662" t="n"/>
      <c r="AA50" s="662" t="n"/>
      <c r="AB50" s="664" t="n"/>
      <c r="AC50" s="662" t="n"/>
      <c r="AD50" s="662" t="n"/>
      <c r="AE50" s="662" t="n"/>
      <c r="AF50" s="662" t="n"/>
      <c r="AG50" s="662" t="n"/>
      <c r="AH50" s="662" t="n"/>
      <c r="AI50" s="662" t="n"/>
      <c r="AJ50" s="662" t="n"/>
      <c r="AK50" s="662" t="n"/>
      <c r="AL50" s="662" t="n"/>
      <c r="AM50" s="662" t="n"/>
      <c r="AN50" s="662" t="n"/>
      <c r="AO50" s="662" t="n"/>
      <c r="AP50" s="662" t="n"/>
      <c r="AQ50" s="662" t="n"/>
      <c r="AR50" s="662" t="n"/>
      <c r="AS50" s="662" t="n"/>
      <c r="AT50" s="662" t="n"/>
      <c r="AU50" s="662" t="n"/>
      <c r="AV50" s="662" t="n"/>
    </row>
    <row r="51" ht="288" customFormat="1" customHeight="1" s="704">
      <c r="A51" s="326">
        <f>A49+1</f>
        <v/>
      </c>
      <c r="B51" s="626" t="inlineStr">
        <is>
          <t>oHHSize04</t>
        </is>
      </c>
      <c r="C51" s="626" t="inlineStr">
        <is>
          <t>o_HHSize04</t>
        </is>
      </c>
      <c r="D51" s="671" t="inlineStr">
        <is>
          <t>What is the total number of children aged 0 to 4 years old (0-59 months) in your household?
[OPERATOR: RECORD NUMBER GIVEN. DON'T FORGET TO COUNT NEWBORN AND SMALL CHILDREN]</t>
        </is>
      </c>
      <c r="E51" s="665">
        <f>LEN(D51)</f>
        <v/>
      </c>
      <c r="F51" s="672" t="inlineStr">
        <is>
          <t>လူကြီးမင်း၏အိမ်ထောင်စုတွင် အသက် 0 မှ 4 နှစ်အတွင်း (0-59 လ) ကလေးငယ် မည်မျှရှိပါသလဲ။
[အော်ပရေတာ- ဖော်ပြသော အရေအတွက်ကို မှတ်သားပါ. မွေးကင်းစကလေးငယ်များနှင့် ကလေးငယ်များကို ရေတွက်ရန် မမေ့ပါနှင့်]</t>
        </is>
      </c>
      <c r="G51" s="628">
        <f>LEN(F51)</f>
        <v/>
      </c>
      <c r="H51" s="636" t="inlineStr">
        <is>
          <t>Range</t>
        </is>
      </c>
      <c r="I51" s="630" t="inlineStr">
        <is>
          <t>NA</t>
        </is>
      </c>
      <c r="J51" s="630" t="inlineStr">
        <is>
          <t>NA</t>
        </is>
      </c>
      <c r="K51" s="639" t="inlineStr">
        <is>
          <t>Form Type - TextBox
Validation Rule: Answer to this question is VALID IF ""hhsize"" is GreaterThan""CurrentAnswer"" - Unmatched Response [You have given an answer higher than the number of people in your household. Please provide the correct number of children aged 0 to 4 years old (0-59 months) in your household]
[လူကြီးမင်းသည် လူကြီးမင်း၏အိမ်ထောင်စုရှိ လူအရေအတွက်ထက်ပိုသော အဖြေကို ပေးခဲ့သည်။ ကျေးဇူးပြု၍ လူကြီးမင်း၏အိမ်ထောင်စုရှိ အသက် 0 မှ 4 နှစ်အတွင်း [0-59 လ] ကလေးအရေအတွက်အမှန်ကို ဖြေဆိုပါ]</t>
        </is>
      </c>
      <c r="L51" s="632" t="inlineStr">
        <is>
          <t>NA</t>
        </is>
      </c>
      <c r="M51" s="633" t="inlineStr">
        <is>
          <t>0-0 = oHHSize515
1-50 = oHHSize515</t>
        </is>
      </c>
      <c r="N51" s="726" t="n"/>
      <c r="O51" s="633" t="n"/>
      <c r="P51" s="633" t="n"/>
      <c r="Q51" s="134" t="n"/>
      <c r="R51" s="187" t="n"/>
      <c r="S51" s="127" t="n"/>
      <c r="T51" s="123" t="n"/>
      <c r="U51" s="127" t="n"/>
      <c r="V51" s="59" t="n"/>
      <c r="X51" s="63" t="n"/>
      <c r="Y51" s="680" t="n"/>
      <c r="AB51" s="61" t="n"/>
    </row>
    <row r="52" ht="294.75" customFormat="1" customHeight="1" s="704">
      <c r="A52" s="326">
        <f>A51+1</f>
        <v/>
      </c>
      <c r="B52" s="626" t="inlineStr">
        <is>
          <t>oHHSize515</t>
        </is>
      </c>
      <c r="C52" s="626" t="inlineStr">
        <is>
          <t>o_HHSize5_15</t>
        </is>
      </c>
      <c r="D52" s="634" t="inlineStr">
        <is>
          <t>What is the total number of members aged 5 to 15 years old in your household?
[OPERATOR: RECORD NUMBER GIVEN]</t>
        </is>
      </c>
      <c r="E52" s="628">
        <f>LEN(D52)</f>
        <v/>
      </c>
      <c r="F52" s="638" t="inlineStr">
        <is>
          <t>လူကြီးမင်း၏အိမ်ထောင်စုတွင် အသက် 5 နှစ် မှ 15 နှစ်အတွင်း  ကလေးငယ် မည်မျှရှိပါသလဲ။
[အော်ပရေတာ- ဖော်ပြသော အရေအတွက်ကို မှတ်သားပါ]</t>
        </is>
      </c>
      <c r="G52" s="628">
        <f>LEN(F52)</f>
        <v/>
      </c>
      <c r="H52" s="636" t="inlineStr">
        <is>
          <t>Range</t>
        </is>
      </c>
      <c r="I52" s="630" t="inlineStr">
        <is>
          <t>NA</t>
        </is>
      </c>
      <c r="J52" s="630" t="inlineStr">
        <is>
          <t>NA</t>
        </is>
      </c>
      <c r="K52" s="622" t="inlineStr">
        <is>
          <t>Form Type - TextBox
IsDemographic
Validation rule: Answer to this question is VALID if "&lt;Expression&gt;hhsize - oHHSize04" is GreaterThan "CurrentAnswer"
 Unmatched Response [You have given an answer higher than the number of people in your household. Please provide the correct number of household members aged 5 to 15 years old in your household]
[လူကြီးမင်းသည် လူကြီးမင်း၏အိမ်ထောင်စုရှိ လူအရေအတွက်ထက်ပိုသော အဖြေကို ပေးခဲ့သည်။ ကျေးဇူးပြု၍ လူကြီးမင်း၏အိမ်ထောင်စုရှိ အသက် 5 မှ 15 နှစ်အတွင်း ရေအတွက်အမှန်ကို ဖြေဆိုပါ]</t>
        </is>
      </c>
      <c r="L52" s="632" t="inlineStr">
        <is>
          <t>NA</t>
        </is>
      </c>
      <c r="M52" s="633" t="inlineStr">
        <is>
          <t>0-0 = oHHSize1659
1-50 = oHHSize1659</t>
        </is>
      </c>
      <c r="N52" s="714" t="n"/>
      <c r="O52" s="633" t="n"/>
      <c r="P52" s="633" t="n"/>
      <c r="Q52" s="134" t="n"/>
      <c r="R52" s="187" t="n"/>
      <c r="S52" s="127" t="n"/>
      <c r="T52" s="123" t="n"/>
      <c r="U52" s="127" t="n"/>
      <c r="V52" s="59" t="n"/>
      <c r="X52" s="63" t="n"/>
      <c r="Y52" s="680" t="n"/>
      <c r="AB52" s="61" t="n"/>
    </row>
    <row r="53" ht="327" customFormat="1" customHeight="1" s="704">
      <c r="A53" s="326">
        <f>A52+1</f>
        <v/>
      </c>
      <c r="B53" s="626" t="inlineStr">
        <is>
          <t>oHHSize1659</t>
        </is>
      </c>
      <c r="C53" s="626" t="inlineStr">
        <is>
          <t>o_HHSize16_59</t>
        </is>
      </c>
      <c r="D53" s="634" t="inlineStr">
        <is>
          <t>What is the total number of members aged 16 to 59 years old in your household?
[OPERATOR: RECORD NUMBER GIVEN]</t>
        </is>
      </c>
      <c r="E53" s="628">
        <f>LEN(D53)</f>
        <v/>
      </c>
      <c r="F53" s="638" t="inlineStr">
        <is>
          <t>လူကြီးမင်း၏အိမ်ထောင်စုတွင် အသက် 16 နှစ် မှ 59 နှစ်အတွင်း  မည်မျှရှိပါသလဲ။
[အော်ပရေတာ- ဖော်ပြသော အရေအတွက်ကို မှတ်သားပါ]</t>
        </is>
      </c>
      <c r="G53" s="628">
        <f>LEN(F53)</f>
        <v/>
      </c>
      <c r="H53" s="636" t="inlineStr">
        <is>
          <t>Range</t>
        </is>
      </c>
      <c r="I53" s="630" t="inlineStr">
        <is>
          <t>NA</t>
        </is>
      </c>
      <c r="J53" s="630" t="inlineStr">
        <is>
          <t>NA</t>
        </is>
      </c>
      <c r="K53" s="637" t="inlineStr">
        <is>
          <t>Form Type - TextBox
Validation rule: Answer to this question is VALID if "&lt;Expression&gt;hhsize - oHHSize04 - oHHSize515" is GreaterThanOrEqual to "CurrentAnswer"
Unmatched Response [You have given an answer higher than the number of people in your household. Please provide the correct number of household members aged 16 to 59 years old in your household]
[လူကြီးမင်းသည် လူကြီးမင်း၏အိမ်ထောင်စုရှိ လူအရေအတွက်ထက်ပိုသော အဖြေကို ပေးခဲ့သည်။ ကျေးဇူးပြု၍ လူကြီးမင်း၏အိမ်ထောင်စုရှိ အသက် 16 မှ 59 နှစ်အတွင်း ရေအတွက်အမှန်ကို ဖြေဆိုပါ]</t>
        </is>
      </c>
      <c r="L53" s="632" t="inlineStr">
        <is>
          <t>NA</t>
        </is>
      </c>
      <c r="M53" s="633" t="inlineStr">
        <is>
          <t>0-50 = oHHSize60</t>
        </is>
      </c>
      <c r="N53" s="714" t="n"/>
      <c r="O53" s="633" t="n"/>
      <c r="P53" s="633" t="n"/>
      <c r="Q53" s="134" t="n"/>
      <c r="R53" s="187" t="n"/>
      <c r="S53" s="127" t="n"/>
      <c r="T53" s="123" t="n"/>
      <c r="U53" s="127" t="n"/>
      <c r="V53" s="59" t="n"/>
      <c r="X53" s="63" t="n"/>
      <c r="Y53" s="680" t="n"/>
      <c r="AB53" s="61" t="n"/>
    </row>
    <row r="54" ht="250.5" customFormat="1" customHeight="1" s="704">
      <c r="A54" s="326">
        <f>A53+1</f>
        <v/>
      </c>
      <c r="B54" s="626" t="inlineStr">
        <is>
          <t>oHHSize60</t>
        </is>
      </c>
      <c r="C54" s="626" t="inlineStr">
        <is>
          <t>o_HHSize60</t>
        </is>
      </c>
      <c r="D54" s="634" t="inlineStr">
        <is>
          <t>What is the total number of members aged 60 years old and older  in your household?
[OPERATOR: RECORD NUMBER GIVEN]</t>
        </is>
      </c>
      <c r="E54" s="631">
        <f>LEN(D54)</f>
        <v/>
      </c>
      <c r="F54" s="638" t="inlineStr">
        <is>
          <t>လူကြီးမင်း၏အိမ်ထောင်စုတွင် အသက်  60 နှစ်နှင့် အထက်  မည်မျှရှိပါသလဲ။
[အော်ပရေတာ- ဖော်ပြသော အရေအတွက်ကို မှတ်သားပါ]</t>
        </is>
      </c>
      <c r="G54" s="628">
        <f>LEN(F54)</f>
        <v/>
      </c>
      <c r="H54" s="636" t="inlineStr">
        <is>
          <t>Range</t>
        </is>
      </c>
      <c r="I54" s="630" t="inlineStr">
        <is>
          <t>NA</t>
        </is>
      </c>
      <c r="J54" s="630" t="inlineStr">
        <is>
          <t>NA</t>
        </is>
      </c>
      <c r="K54" s="637" t="inlineStr">
        <is>
          <t>Form Type - TextBox
Validation rule: Answer to this question is VALID if "&lt;Expression&gt;hhsize - oHHSize04 - oHHSize515 - oHHSize1659" Equals "CurrentAnswer"
Unmatched Response [You have given an answer that does not add up to the total.  Please provide the correct number of household members aged 60 years or older in your household]
[စုစုပေါင်းနှင့် မပေါင်းနိုင်သော အဖြေတစ်ခုကို သင် ပေးခဲ့သည်။ ကျေးဇူးပြု၍ လူကြီးမင်း၏အိမ်ထောင်စုရှိ အသက် 60 နှစ်နှင့် အထက် အရေအတွက်အမှန်ကို ဖြေဆိုပါ]</t>
        </is>
      </c>
      <c r="L54" s="632" t="inlineStr">
        <is>
          <t>NA</t>
        </is>
      </c>
      <c r="M54" s="633" t="inlineStr">
        <is>
          <t>0-50 = o_HHDisability</t>
        </is>
      </c>
      <c r="N54" s="715" t="n"/>
      <c r="O54" s="633" t="n"/>
      <c r="P54" s="633" t="n"/>
      <c r="Q54" s="134" t="n"/>
      <c r="R54" s="187" t="n"/>
      <c r="S54" s="127" t="n"/>
      <c r="T54" s="123" t="n"/>
      <c r="U54" s="127" t="n"/>
      <c r="V54" s="59" t="n"/>
      <c r="X54" s="63" t="n"/>
      <c r="Y54" s="680" t="n"/>
      <c r="AB54" s="61" t="n"/>
    </row>
    <row r="55" ht="210.95" customFormat="1" customHeight="1" s="704">
      <c r="A55" s="326">
        <f>A54+1</f>
        <v/>
      </c>
      <c r="B55" s="626" t="inlineStr">
        <is>
          <t>o_HHDisability</t>
        </is>
      </c>
      <c r="C55" s="626" t="inlineStr">
        <is>
          <t>o_HHDisability</t>
        </is>
      </c>
      <c r="D55" s="634" t="inlineStr">
        <is>
          <t>How many members of your household have a disability?
Note: to count as a disability the person must have a lot of difficulty or cannot do at all, any of the following: seeing (even if wearing glasses), hearing (even if wearing hearing aids), walking or climbing steps, remembering or concentrating, self-care (such as washing or dressing) or communicating (understanding or being understood). 
[OPERATOR: RECORD THE NUMBER GIVEN]</t>
        </is>
      </c>
      <c r="E55" s="631">
        <f>LEN(D55)</f>
        <v/>
      </c>
      <c r="F55" s="640" t="inlineStr">
        <is>
          <t>လူကြီးမင်း၏အိမ်ထောင်စုဝင် မည်မျှသည် မသန်စွမ်း ခံစားနေရပါသလဲ။
မှတ်ချက်- အောက်ပါတို့မှ တစ်ခုခုကို လုပ်ရန် အခက်အခဲများစွာ ရှိခြင်း သို့မဟုတ် လုံးဝမပြုလုပ်နိုင်ခြင်း ဖြစ်မှသာ လူတစ်ဦးအား မသန်စွမ်းမှုအဖြစ်သတ်မှတ်နိုင်ပါသည်။၊ မမြင်နိုင်ခြင်း (မျက်မှန်တပ်ထားသည့်တိုင်)၊ မကြားနိုင်ခြင်း (နားကြားကိရိယာများကို ဝတ်ဆင်ထားသည့်တိုင်)၊ လမ်းမလျှောက်နိုင်ခြင်း သို့မဟုတ် အပေါ်မတက်နိုင်ခြင်း၊ မမှတ်မိနိုင်ခြင်း သို့မဟုတ် အာရုံမစူးစိုက်နိုင်ခြင်း၊ မိမိကိုယ်ကို မစောင့်ရှောက်နိုင်ခြင်း (ဆေးကြောသန့်စင်ခြင်း၊ အဝတ်လဲခြင်း) သို့မဟုတ် ဆက်သွယ်မပြောဆိုနိုင်ခြင်း (နားမလည်ခြင်း သို့မဟုတ် နားလည်အောင်မဆက်သွယ် မပြောဆိုနိုင်ခြင်း)။ 
[အော်ပရေတာ- ဖော်ပြသော အရေအတွက်ကို မှတ်သားပါ]</t>
        </is>
      </c>
      <c r="G55" s="628">
        <f>LEN(F55)</f>
        <v/>
      </c>
      <c r="H55" s="636" t="inlineStr">
        <is>
          <t>Range</t>
        </is>
      </c>
      <c r="I55" s="630" t="inlineStr">
        <is>
          <t>NA</t>
        </is>
      </c>
      <c r="J55" s="630" t="inlineStr">
        <is>
          <t>NA</t>
        </is>
      </c>
      <c r="K55" s="637" t="inlineStr">
        <is>
          <t>Form Type - TextBox
Validation Rule: Answer to this question is VALID IF "hhsize" is GreaterThanOrEqual to "CurrentAnswer"
Unmatched Response [You have given an answer higher than the number of people in your household. Please provide the correct number of members with a disability in your household]
[လူကြီးမင်းသည် လူကြီးမင်း၏အိမ်ထောင်စုရှိ လူအရေအတွက်ထက်ပိုသော အဖြေကို ပေးခဲ့သည်။ သင့်အိမ်ထောင်စုရှိ မသန်စွမ်းမှုရှိသော အဖွဲ့ဝင်အရေအတွက်ကို ကျေးဇူးပြု၍ ပေးပါ။]</t>
        </is>
      </c>
      <c r="L55" s="632" t="inlineStr">
        <is>
          <t>NA</t>
        </is>
      </c>
      <c r="M55" s="633" t="inlineStr">
        <is>
          <t>0-50 = hh_age</t>
        </is>
      </c>
      <c r="N55" s="208" t="n"/>
      <c r="O55" s="633" t="n"/>
      <c r="P55" s="633" t="n"/>
      <c r="Q55" s="134" t="n"/>
      <c r="R55" s="187" t="n"/>
      <c r="S55" s="127" t="n"/>
      <c r="T55" s="123" t="n"/>
      <c r="U55" s="127" t="n"/>
      <c r="V55" s="59" t="n"/>
      <c r="X55" s="63" t="n"/>
      <c r="Y55" s="680" t="n"/>
      <c r="AB55" s="61" t="n"/>
    </row>
    <row r="56" ht="236.45" customFormat="1" customHeight="1" s="704">
      <c r="A56" s="326">
        <f>A55+1</f>
        <v/>
      </c>
      <c r="B56" s="626" t="inlineStr">
        <is>
          <t>hh_age</t>
        </is>
      </c>
      <c r="C56" s="626" t="inlineStr">
        <is>
          <t>hh_age</t>
        </is>
      </c>
      <c r="D56" s="188" t="inlineStr">
        <is>
          <t>How old is the head of household? 
[OPERATOR: SINGLE RESPONSE.]
1)Under 18
2)18 to 40
3)41 to 65
4)Over 65
5)DON'T KNOW
6)REFUSED</t>
        </is>
      </c>
      <c r="E56" s="631">
        <f>LEN(D56)</f>
        <v/>
      </c>
      <c r="F56" s="294" t="inlineStr">
        <is>
          <t>အိမ်ထောင်ဦးစီးက အသက်ဘယ်လောက်ပါလဲ။ 
[အော်ပရေတာ- တုံ့ပြန်မှုတစ်ခုသာ။]
1)အသက် 18 နှစ်အောက်
2)18 နှစ်မှ 40 နှစ် 
3)41 နှစ် မှ 65 နှစ် 
4)65 နှစ်ကျော်
5)မသိပါ
6)ဖြေဆိုရန် ငြင်းဆန်သည်</t>
        </is>
      </c>
      <c r="G56" s="628">
        <f>LEN(F56)</f>
        <v/>
      </c>
      <c r="H56" s="189" t="inlineStr">
        <is>
          <t>Single Choice</t>
        </is>
      </c>
      <c r="I56" s="630" t="inlineStr">
        <is>
          <t>NA</t>
        </is>
      </c>
      <c r="J56" s="630" t="inlineStr">
        <is>
          <t>NA</t>
        </is>
      </c>
      <c r="K56" s="630" t="inlineStr">
        <is>
          <t>Form Type - Buttons</t>
        </is>
      </c>
      <c r="L56" s="632" t="inlineStr">
        <is>
          <t>NA</t>
        </is>
      </c>
      <c r="M56" s="633" t="inlineStr">
        <is>
          <t>1-6 = hh_education</t>
        </is>
      </c>
      <c r="N56" s="208" t="n"/>
      <c r="O56" s="633" t="n"/>
      <c r="P56" s="633" t="n"/>
      <c r="Q56" s="134" t="n"/>
      <c r="R56" s="187" t="n"/>
      <c r="S56" s="127" t="n"/>
      <c r="T56" s="123" t="n"/>
      <c r="U56" s="127" t="n"/>
      <c r="V56" s="59" t="n"/>
      <c r="X56" s="63" t="n"/>
      <c r="Y56" s="680" t="n"/>
      <c r="AB56" s="61" t="n"/>
    </row>
    <row r="57" ht="240" customFormat="1" customHeight="1" s="704">
      <c r="A57" s="326">
        <f>A56+1</f>
        <v/>
      </c>
      <c r="B57" s="128" t="inlineStr">
        <is>
          <t>hh_education</t>
        </is>
      </c>
      <c r="C57" s="136" t="inlineStr">
        <is>
          <t>hh_education</t>
        </is>
      </c>
      <c r="D57" s="190"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7" s="631">
        <f>LEN(D57)</f>
        <v/>
      </c>
      <c r="F57" s="295" t="inlineStr">
        <is>
          <t>အိမ်ထောင်ဦးစီးရဲ့ ပညာအရည်အချင်းမှာ ဘယ်လိုပါလဲ။
[အော်ပရေတာ- တုံ့ပြန်မှုတစ်ခုသာ။]
1)အတန်းပညာမရှိ သို့မဟုတ် မူလတန်း မပြီးဆုံး
2)မူလတန်း ပြီးဆုံးပြီးပါသည်
3)အလယ်တန်း ပြီးဆုံးပါသည်
4)အဆင့်မြင့်ပညာရေး [တက္ကသိုလ်/ကောလိပ်] ဘွဲ့ ရရှိထားသည်
5)အစ္စလာမ် သို့မဟုတ် အခြားသော ဘာသာရေးကျောင်းပညာရေး
6)မသိပါ
7)ဖြေဆိုရန် ငြင်းဆန်သည်</t>
        </is>
      </c>
      <c r="G57" s="630">
        <f>LEN(F57)</f>
        <v/>
      </c>
      <c r="H57" s="189" t="inlineStr">
        <is>
          <t>Single Choice</t>
        </is>
      </c>
      <c r="I57" s="630" t="inlineStr">
        <is>
          <t>NA</t>
        </is>
      </c>
      <c r="J57" s="630" t="inlineStr">
        <is>
          <t>NA</t>
        </is>
      </c>
      <c r="K57" s="630" t="inlineStr">
        <is>
          <t>Form Type - Buttons</t>
        </is>
      </c>
      <c r="L57" s="632" t="inlineStr">
        <is>
          <t>NA</t>
        </is>
      </c>
      <c r="M57" s="145" t="inlineStr">
        <is>
          <t>1-7 = hh_wealth_water</t>
        </is>
      </c>
      <c r="N57" s="178" t="n"/>
      <c r="O57" s="131" t="inlineStr">
        <is>
          <t>if hh_education = 1-7, go to hh_wealth.</t>
        </is>
      </c>
      <c r="P57" s="633" t="n"/>
      <c r="Q57" s="148" t="inlineStr">
        <is>
          <t>resp_age = 18-100
hh_agricactivity = 1 | 2 | 3 | 4
quotareached = 2</t>
        </is>
      </c>
      <c r="R57" s="185" t="n"/>
      <c r="S57" s="172" t="n">
        <v>12.89403438568115</v>
      </c>
      <c r="T57" s="173">
        <f>1</f>
        <v/>
      </c>
      <c r="U57" s="172">
        <f>S57*T57</f>
        <v/>
      </c>
      <c r="V57" s="59" t="n"/>
      <c r="X57" s="63" t="inlineStr">
        <is>
          <t>yes</t>
        </is>
      </c>
      <c r="Y57" s="680" t="n"/>
      <c r="AB57" s="61" t="inlineStr">
        <is>
          <t>Changed answer option 5</t>
        </is>
      </c>
    </row>
    <row r="58" ht="322.5" customFormat="1" customHeight="1" s="319">
      <c r="A58" s="429">
        <f>A57+1</f>
        <v/>
      </c>
      <c r="B58" s="430" t="inlineStr">
        <is>
          <t>hh_wealth_water</t>
        </is>
      </c>
      <c r="C58" s="430" t="inlineStr">
        <is>
          <t>hh_wealth_water</t>
        </is>
      </c>
      <c r="D58" s="431" t="inlineStr">
        <is>
          <t>Where does the water that you drink at home come from?
[OPERATOR: SINGLE CHOICE.]
1)Private tap from piped water
2)Public tap
3)Protected well
4)Bottled water
5)Other safe source
6)River
7)Unprotected well
8)Spring water
9)Surface water [e.g. canals/ponds/dams]
10)Other unsafe source
11)DON'T KNOW
12)REFUSED</t>
        </is>
      </c>
      <c r="E58" s="432">
        <f>LEN(D58)</f>
        <v/>
      </c>
      <c r="F58" s="421" t="inlineStr">
        <is>
          <t>လူကြီးမင်း၏အိမ်ထောင်စုဝင်များအတွက် သောက်သုံးရေ၏ အဓိကအရင်းအမြစ်မှာ အဘယ်နည်း။
[အော်ပရေတာ- ရွေးချယ်မှုတစ်ခုသာ ရွေးချယ်ပါ]
1)ရေပိုက်မှ ရရှိ​သော သီးသန့် ​ရေပိုက်​ခေါင်း
2)အများသုံး ​ရေပိုက်​ခေါင်း
3)အကာအကွယ်ရှိ​သော ​ရေတွင်း
4)ရေဘူး
5)အခြား သန့်ရှင်း​သော ရေ
6)မြစ်
7)အကာအကွယ် မရှိ​သော ​ရေတွင်း
8)စီးဆင်း​နေ​သော ​ရေ
9)​မြေ​ပေါ်​ရေ [ တူးမြောင်း​ရေ [သို့] စိမ့်စမ်းရေ [သို့] ဆည်ရေ]
10)အခြား မသန့်ရှင်း ​သော ​ရေ
11)မသိပါ။
12)ငြင်းဆို</t>
        </is>
      </c>
      <c r="G58" s="432">
        <f>LEN(F58)</f>
        <v/>
      </c>
      <c r="H58" s="433" t="inlineStr">
        <is>
          <t>Single Choice</t>
        </is>
      </c>
      <c r="I58" s="432" t="inlineStr">
        <is>
          <t>NA</t>
        </is>
      </c>
      <c r="J58" s="432" t="inlineStr">
        <is>
          <t>NA</t>
        </is>
      </c>
      <c r="K58" s="432" t="inlineStr">
        <is>
          <t>Form Type - Buttons</t>
        </is>
      </c>
      <c r="L58" s="428" t="inlineStr">
        <is>
          <t>NA</t>
        </is>
      </c>
      <c r="M58" s="434" t="inlineStr">
        <is>
          <t>1-12 = hh_wealth_house</t>
        </is>
      </c>
      <c r="N58" s="436" t="n"/>
      <c r="O58" s="231" t="inlineStr">
        <is>
          <t>For any response, go to [income_main OR other optional question]</t>
        </is>
      </c>
      <c r="P58" s="435" t="inlineStr">
        <is>
          <t>hh_wealth_house</t>
        </is>
      </c>
      <c r="Q58" s="314" t="inlineStr">
        <is>
          <t>resp_age = 18-100
hh_agricactivity = 1 | 2 | 3 | 4
quotareached = 2</t>
        </is>
      </c>
      <c r="R58" s="712" t="inlineStr">
        <is>
          <t>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S58" s="424" t="n">
        <v>15.26582908630371</v>
      </c>
      <c r="T58" s="425">
        <f>1</f>
        <v/>
      </c>
      <c r="U58" s="424">
        <f>S58*T58</f>
        <v/>
      </c>
      <c r="V58" s="318" t="n"/>
      <c r="X58" s="324" t="inlineStr">
        <is>
          <t>yes</t>
        </is>
      </c>
      <c r="Y58" s="321" t="n"/>
      <c r="AB58" s="322" t="inlineStr">
        <is>
          <t xml:space="preserve">Change in question text </t>
        </is>
      </c>
    </row>
    <row r="59" ht="375.75" customFormat="1" customHeight="1" s="704" thickBot="1">
      <c r="A59" s="326">
        <f>A58+1</f>
        <v/>
      </c>
      <c r="B59" s="192" t="inlineStr">
        <is>
          <t>hh_wealth_house</t>
        </is>
      </c>
      <c r="C59" s="192" t="inlineStr">
        <is>
          <t>hh_wealth_house</t>
        </is>
      </c>
      <c r="D59" s="634" t="inlineStr">
        <is>
          <t>What kind of dwelling unit does your household live in?
[OPERATOR: SINGLE RESPONSE.]
1)Apartment/condominium
2)Bungalow/brick house
3)Semi-pucca house
4)Wooden house
5)Bamboo House
6)Hut [2-3 years]
7)Hut [1 years]
8)Tent/plastic sheets
9)Substandard shelter / collective shelter [factory/warehouse/garage/shop/worksite/unfinished building]
10)No shelter [sleeping in open]
11)Other [specify]
12)DON'T KNOW
13)REFUSED</t>
        </is>
      </c>
      <c r="E59" s="637">
        <f>LEN(D59)</f>
        <v/>
      </c>
      <c r="F59" s="640" t="inlineStr">
        <is>
          <t>သင် သည် မည် သို့သော အဆောက်အဉီး အမျိုး အစားတွင် နေထိုင်ပါသနည်း။
[အော်ပရေတာ- တုံ့ပြန်မှုတစ်ခုသာ။]
1)တိုက်ခန်း/ကွန်ဒို
2)လုံးချင်းတိုက်/အုတ်ဖြင့်ဆောက်ထားသောအိမ်
3)အုတ်ညှပ်အိမ် [အုတ်/သစ်/သံတို့ဖြင့်]
4)သစ်အိမ်
5)ဝါးအိမ်
6)ယာယီတဲ [2-3နှစ်ခန်]
7)ယာယီတဲ [၁ နှစ်ခန်]
8)ပလပ်စတစ်ဖြင့် မိုး ကာထားသော ယာယီတဲ
9)တန်းလျား အတွဲ/စုပေါင်း အဆောက်အဉီး သို့မဟုတ် ပုံစံမကျသော/လူနေရန်ရည်ရွယ် ခြင်း မဟုတ်သော အဆောက်အအုံ[စက်ရုံ/ကုန်လှောင်ရုံ/ကားဂိုထောင်/ဈေးဆိုင်/အလုပ်နေရာ/မပြီးသေးသော အဆောက်အဉီး]
10)အမိုးအကာ မရှိ [အပြင် တွင် နေခြင်း]
11)တစ်ခြား[အသေးစိတ်ဖော်ပြပါ]
12)မသိပါ။
13)ငြင်းဆို</t>
        </is>
      </c>
      <c r="G59" s="637">
        <f>LEN(F59)</f>
        <v/>
      </c>
      <c r="H59" s="191" t="inlineStr">
        <is>
          <t>Open Ended-Single Choice</t>
        </is>
      </c>
      <c r="I59" s="637" t="inlineStr">
        <is>
          <t>NA</t>
        </is>
      </c>
      <c r="J59" s="637" t="inlineStr">
        <is>
          <t>NA</t>
        </is>
      </c>
      <c r="K59" s="637" t="inlineStr">
        <is>
          <t>Form Type - RadioList</t>
        </is>
      </c>
      <c r="L59" s="222" t="inlineStr">
        <is>
          <t>NA</t>
        </is>
      </c>
      <c r="M59" s="337" t="inlineStr">
        <is>
          <t xml:space="preserve">
1-13 = HHIncEarners</t>
        </is>
      </c>
      <c r="N59" s="713" t="n"/>
      <c r="O59" s="193" t="inlineStr">
        <is>
          <t>For any response, go to [income_main OR other optional question]</t>
        </is>
      </c>
      <c r="P59" s="194" t="n"/>
      <c r="Q59" s="148" t="inlineStr">
        <is>
          <t>resp_age = 18-100
hh_agricactivity = 1 | 2 | 3 | 4
quotareached = 2</t>
        </is>
      </c>
      <c r="R59" s="692" t="n"/>
      <c r="S59" s="127" t="n">
        <v>15.12371826171875</v>
      </c>
      <c r="T59" s="123">
        <f>1</f>
        <v/>
      </c>
      <c r="U59" s="127">
        <f>S59*T59</f>
        <v/>
      </c>
      <c r="V59" s="59" t="n"/>
      <c r="X59" s="63" t="inlineStr">
        <is>
          <t>yes</t>
        </is>
      </c>
      <c r="Y59" s="680" t="n"/>
      <c r="AB59" s="61" t="n"/>
    </row>
    <row r="60" ht="29.45" customFormat="1" customHeight="1" s="704" thickBot="1">
      <c r="A60" s="688" t="inlineStr">
        <is>
          <t>C. INCOME SOURCES, LIVELIHOOD AND SHOCKS</t>
        </is>
      </c>
      <c r="B60" s="720" t="n"/>
      <c r="C60" s="720" t="n"/>
      <c r="D60" s="720" t="n"/>
      <c r="E60" s="720" t="n"/>
      <c r="F60" s="720" t="n"/>
      <c r="G60" s="720" t="n"/>
      <c r="H60" s="720" t="n"/>
      <c r="I60" s="720" t="n"/>
      <c r="J60" s="720" t="n"/>
      <c r="K60" s="720" t="n"/>
      <c r="L60" s="720" t="n"/>
      <c r="M60" s="720" t="n"/>
      <c r="N60" s="720" t="n"/>
      <c r="O60" s="720" t="n"/>
      <c r="P60" s="720" t="n"/>
      <c r="Q60" s="720" t="n"/>
      <c r="R60" s="721" t="n"/>
      <c r="S60" s="127" t="n"/>
      <c r="T60" s="123" t="n"/>
      <c r="U60" s="127" t="n"/>
      <c r="V60" s="59" t="n"/>
      <c r="X60" s="63" t="n"/>
      <c r="Y60" s="680" t="n"/>
      <c r="AB60" s="61" t="n"/>
    </row>
    <row r="61" ht="281.25" customFormat="1" customHeight="1" s="704">
      <c r="A61" s="329">
        <f>A59+1</f>
        <v/>
      </c>
      <c r="B61" s="626" t="inlineStr">
        <is>
          <t>HHIncEarners</t>
        </is>
      </c>
      <c r="C61" s="626" t="inlineStr">
        <is>
          <t>HHIncEarners</t>
        </is>
      </c>
      <c r="D61" s="642" t="inlineStr">
        <is>
          <t>How many members of your household earned an income in the last 3 months?
[OPERATOR: RECORD NUMBER GIVEN]
[NOTE: THERE ARE {hhsize} PEOPLE IN THE HOUSEHOLD. IF NO MEMBERS OF THE HOUSEHOLD EARNED AN INCOME - PLEASE PROBE TO CONFIRM THE HOUSEHOLD EITHER HAD NO INCOME DURING THE PAST 3 MONTHS AND RELIED EXCLUSIVELY ON SAVINGS/DEBT OR THE INCOME CAME FROM CHARITY, WELFARE, REMITTANCES, ETC.]</t>
        </is>
      </c>
      <c r="E61" s="631">
        <f>LEN(D61)</f>
        <v/>
      </c>
      <c r="F61" s="643" t="inlineStr">
        <is>
          <t>လွန်ခဲ့သော ၃ လ အတွင်း တွင် လူကြီးမင်း၏အိမ်ထောင်စုဝင်မည်မျှသည် ဝင်ငွေရှိနေပါသလဲ။
[အော်ပရေတာ- ဖော်ပြသော အရေအတွက်ကို မှတ်သားပါ] 
[မှတ်ချက်- အိမ်တစ်အိမ်တွင် လူ {hhsize} ရှိပါသည်။ အိမ်ထောင်စုဝင်တစ်ယောက်မျှ ၀င်ငွေမရှိပါက - လွန်ခဲ့သည့် 3 လတာကာလအတွင်း အိမ်ထောင်စုတစ်စုလုံးမှ ဝင်ငွေမရှိခဲ့ကြောင်း  စုဆောင်းငွေ/ကြွေးမြီများ သို့မဟုတ် ပရဟိတ၊ လူမှုဖူလုံရေး၊ ငွေလွှဲမှုများအစရှိသည်များအပေါ် လုံးဝမူတည်နေကြောင်း အတည်ပြုရန် ကျေးဇူးပြု၍ ဖနာက်ဆက်တွဲ ‌မေးခွန်းများ မေး၍ မေးမြန်းပေးပါ။]</t>
        </is>
      </c>
      <c r="G61" s="631">
        <f>LEN(F61)</f>
        <v/>
      </c>
      <c r="H61" s="644" t="inlineStr">
        <is>
          <t>Range</t>
        </is>
      </c>
      <c r="I61" s="630" t="inlineStr">
        <is>
          <t>NA</t>
        </is>
      </c>
      <c r="J61" s="630" t="inlineStr">
        <is>
          <t>NA</t>
        </is>
      </c>
      <c r="K61" s="637" t="inlineStr">
        <is>
          <t>Form Type - TextBox
IsDemographic
Validation Rule: Answer to this question is VALID IF ""hhsize"" is GreaterThanOrEqual to ""CurrentAnswer"" - Unmatched Response [You have given an answer higher than the number of people in your household. Please provide the correct number of members that earned an income in the last 3 months in your household]
 [လူကြီးမင်းသည် လူကြီးမင်း၏အိမ်ထောင်စုရှိ လူအရေအတွက်ထက်ပိုသော အဖြေကို ပေးခဲ့သည်။ ကျေးဇူးပြု၍ လူကြီးမင်း၏အိမ်ထောင်စုရှိ လွန်ခဲ့သော ၃ လ  အတွင်းတွင် ဝင်ငွေရရှိသော အိမ်ထောင်စုဝင် အရေအတွက် အမှန်ကို ဖြေဆိုပါ]"</t>
        </is>
      </c>
      <c r="L61" s="339" t="inlineStr">
        <is>
          <t>NA</t>
        </is>
      </c>
      <c r="M61" s="340" t="inlineStr">
        <is>
          <t>0-50 = HHIncEarners_year</t>
        </is>
      </c>
      <c r="N61" s="695" t="inlineStr">
        <is>
          <t xml:space="preserve">6/30/2023. Added suggested notes to aid operators in further probing if needed. 
</t>
        </is>
      </c>
      <c r="O61" s="219" t="n"/>
      <c r="P61" s="219" t="n"/>
      <c r="Q61" s="219" t="n"/>
      <c r="R61" s="138" t="n"/>
      <c r="S61" s="127" t="n"/>
      <c r="T61" s="123" t="n"/>
      <c r="U61" s="127" t="n"/>
      <c r="V61" s="59" t="n"/>
      <c r="X61" s="63" t="n"/>
      <c r="Y61" s="680" t="n"/>
      <c r="AB61" s="61" t="n"/>
    </row>
    <row r="62" ht="172.5" customFormat="1" customHeight="1" s="704">
      <c r="A62" s="329" t="n">
        <v>42</v>
      </c>
      <c r="B62" s="626" t="inlineStr">
        <is>
          <t>HHIncEarners_year</t>
        </is>
      </c>
      <c r="C62" s="626" t="inlineStr">
        <is>
          <t>HHIncEarners_year</t>
        </is>
      </c>
      <c r="D62" s="642" t="inlineStr">
        <is>
          <t>How many members of your household were earning an income in this period one year ago?
[OPERATOR: RECORD NUMBER GIVEN]</t>
        </is>
      </c>
      <c r="E62" s="631">
        <f>LEN(D62)</f>
        <v/>
      </c>
      <c r="F62" s="638" t="inlineStr">
        <is>
          <t>ယခင်နှစ် ခုလို အချိန် တွင် လူကြီးမင်း၏အိမ်ထောင်စုဝင်ဘယ်နှစ်ယောက်တွင် ဝင်ငွေ ရှိ သနည်း။
[အော်ပရေတာ- ဖော်ပြသော အရေအတွက်ကို မှတ်သားပါ]</t>
        </is>
      </c>
      <c r="G62" s="631">
        <f>LEN(F62)</f>
        <v/>
      </c>
      <c r="H62" s="644" t="inlineStr">
        <is>
          <t>Range</t>
        </is>
      </c>
      <c r="I62" s="630" t="inlineStr">
        <is>
          <t>NA</t>
        </is>
      </c>
      <c r="J62" s="630" t="inlineStr">
        <is>
          <t>NA</t>
        </is>
      </c>
      <c r="K62" s="637" t="inlineStr">
        <is>
          <t>Form Type - TextBox
Validation Rule: Answer to this question is VALID IF ""hhsize"" is GreaterThanOrEqual to ""CurrentAnswer"" - Unmatched Response [You have given an answer higher than the number of people in your household. Please provide the correct number of members that were earning an income in this period one year ago in your household]
 [လူကြီးမင်းသည် လူကြီးမင်း၏အိမ်ထောင်စုရှိ လူအရေအတွက်ထက်ပိုသော အဖြေကို ပေးခဲ့သည်။ ကျေးဇူးပြု၍ လူကြီးမင်း၏အိမ်ထောင်စုရှိ လွန်ခဲ့သော 1 နှစ် ယခုလိုအချိန်တွင် ဝင်ငွေရရှိသော အိမ်ထောင်စုဝင် အရေအတွက် အမှန်ကို ဖြေဆိုပါ]"</t>
        </is>
      </c>
      <c r="L62" s="339" t="inlineStr">
        <is>
          <t>NA</t>
        </is>
      </c>
      <c r="M62" s="340" t="inlineStr">
        <is>
          <t>0-50 = income_main</t>
        </is>
      </c>
      <c r="N62" s="715" t="n"/>
      <c r="O62" s="219" t="n"/>
      <c r="P62" s="219" t="n"/>
      <c r="Q62" s="219" t="n"/>
      <c r="R62" s="138" t="n"/>
      <c r="S62" s="127" t="n"/>
      <c r="T62" s="123" t="n"/>
      <c r="U62" s="127" t="n"/>
      <c r="V62" s="59" t="n"/>
      <c r="X62" s="63" t="n"/>
      <c r="Y62" s="680" t="n"/>
      <c r="AB62" s="61" t="n"/>
    </row>
    <row r="63" ht="409.5" customFormat="1" customHeight="1" s="704">
      <c r="A63" s="350">
        <f>A62+1</f>
        <v/>
      </c>
      <c r="B63" s="351" t="inlineStr">
        <is>
          <t>income_main</t>
        </is>
      </c>
      <c r="C63" s="352" t="inlineStr">
        <is>
          <t>income_main</t>
        </is>
      </c>
      <c r="D63" s="570" t="inlineStr">
        <is>
          <t>What has been your household's main source of income in the past 3 months?
[OPERATOR: SINGLE RESPONSE. REFUSED OPTION SHOULD BE AVOIDED AS MUCH AS POSSIBLE]
[THE RESPONDENT REPORTED {HHIncEarners} PEOPLE IN THE HOUSEHOLD EARNED INCOME FROM WORKING]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63" s="354">
        <f>LEN(D63)</f>
        <v/>
      </c>
      <c r="F63" s="360" t="inlineStr">
        <is>
          <t>လွန်ခဲ့သော 3 လအတွင်း လူကြီးမင်းအိမ်ထောင်စု၏ အဓိကဝင်ငွေအရင်းအမြစ်က ဘာပါလဲ။
[အော်ပရေတာ- တုံ့ပြန်မှုတစ်ခုသာ။ ငြင်းဆန်သည့်ရွေးချယ်မှုများကို တတ်နိုင်သမျှ မပြုလုပ်ဘဲ/မရှောင်ရှားဘဲ ဖြေဆိုပေးပါ] 
[ဖြေဆိုသူသည် ၎င်း၏ အိမ်ထောင်စုဝင် {HHIncEarners}သည် အလုပ်လုပ်ခြင်းမှ ဝင်ငွေရသည်ဟု ဖြေဆိုခဲ့သည်။ ]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19)လွန်ခဲ့သော 3 လအတွင်း 0င်ငွေအရင်းအမြစ်မရှိဘဲ သီးသန့်စုငွေ သို့ ကြွေးမြီကိုသာ အသုံးပြုသည်
20)ဖြေဆိုရန် ငြင်းဆန်သည်</t>
        </is>
      </c>
      <c r="G63" s="354">
        <f>LEN(F63)</f>
        <v/>
      </c>
      <c r="H63" s="352" t="inlineStr">
        <is>
          <t>Single Choice</t>
        </is>
      </c>
      <c r="I63" s="354" t="inlineStr">
        <is>
          <t>NA</t>
        </is>
      </c>
      <c r="J63" s="354" t="inlineStr">
        <is>
          <t>NA</t>
        </is>
      </c>
      <c r="K63" s="354" t="inlineStr">
        <is>
          <t>Form Type - Buttons
IsDemographic</t>
        </is>
      </c>
      <c r="L63" s="624" t="inlineStr">
        <is>
          <t>NA</t>
        </is>
      </c>
      <c r="M63" s="353" t="inlineStr">
        <is>
          <t>1-3 = income_main_cropcheck
4 = income_main_lscheck 
5 = income_main_comp
6 = income_main_fishcheck 
7-8 = income_main_comp
9 = o_wage_main_amount
10 = income_main_comp
11 = o_income_main_selfemployed
12 = o_wage_main_amount
13-18 = income_main_comp
19-20 = o_Income_total_amount</t>
        </is>
      </c>
      <c r="N63" s="571" t="inlineStr">
        <is>
          <t xml:space="preserve">6/30/2023. Added suggested notes to aid operators in identifying potential inconsistencies for further probing if needed. </t>
        </is>
      </c>
      <c r="O63" s="196" t="inlineStr">
        <is>
          <t>if options #1-3 selected go to income_main_cropcheck 
if options #4 selected go to income_main_lscheck 
if options #5 selected go to income_main_fishcheck 
if options #6-8, 10, 13-18 selected, go to income_main_amount 
if option #9, 12 selected, go to o_wage_main_amount
if option #11 selected, go to o_income_main_selfemployed
if options #19-21 selected, go to o_income_total_amount</t>
        </is>
      </c>
      <c r="P63" s="195" t="n"/>
      <c r="Q63" s="134" t="inlineStr">
        <is>
          <t>resp_age = 18-100
hh_agricactivity = 1 | 2 | 3 | 4
quotareached = 2</t>
        </is>
      </c>
      <c r="R63" s="138" t="n"/>
      <c r="S63" s="172" t="n">
        <v>36.92873382568359</v>
      </c>
      <c r="T63" s="173">
        <f>1</f>
        <v/>
      </c>
      <c r="U63" s="172">
        <f>S63*T63</f>
        <v/>
      </c>
      <c r="V63" s="59" t="n"/>
      <c r="X63" s="419" t="inlineStr">
        <is>
          <t>yes</t>
        </is>
      </c>
      <c r="Y63" s="680" t="n"/>
      <c r="AB63" s="64" t="inlineStr">
        <is>
          <t>Change in skip pattern (col J)
Change in answer option #1</t>
        </is>
      </c>
    </row>
    <row r="64" ht="187.5" customFormat="1" customHeight="1" s="319">
      <c r="A64" s="437">
        <f>A63+1</f>
        <v/>
      </c>
      <c r="B64" s="438" t="inlineStr">
        <is>
          <t>income_main_cropcheck</t>
        </is>
      </c>
      <c r="C64" s="438" t="inlineStr">
        <is>
          <t>income_main_crop_check</t>
        </is>
      </c>
      <c r="D64" s="448" t="inlineStr">
        <is>
          <t>Are the crops that you sell produced by you or anyone in your household? 
[OPERATOR: SINGLE RESPONSE.]
1)YES
2)NO
3)DON'T KNOW
4)REFUSED</t>
        </is>
      </c>
      <c r="E64" s="440">
        <f>LEN(D64)</f>
        <v/>
      </c>
      <c r="F64" s="449" t="inlineStr">
        <is>
          <t xml:space="preserve">
သင်၏ အဓိက ၀င်ငွေအရင်းအမြစ်ဖြစ်သော လယ်ယာထွက်ကုန်များကို ကိုယ်တိုင် (သို့) မိသားစုဝင်တစ်ဦးဦးမှ ထုတ်လုပ် နေပါသလား။
[အော်ပရေတာ- တုံ့ပြန်မှုတစ်ခုသာ။]
1)ဟုတ်သည်
2)မဟုတ်ပါ
3)မသိပါ
4)ငြင်းဆိုသည်။</t>
        </is>
      </c>
      <c r="G64" s="440">
        <f>LEN(F64)</f>
        <v/>
      </c>
      <c r="H64" s="439" t="inlineStr">
        <is>
          <t>Single Choice</t>
        </is>
      </c>
      <c r="I64" s="440" t="inlineStr">
        <is>
          <t>NA</t>
        </is>
      </c>
      <c r="J64" s="440" t="inlineStr">
        <is>
          <t>NA</t>
        </is>
      </c>
      <c r="K64" s="440" t="inlineStr">
        <is>
          <t>Form Type - Buttons</t>
        </is>
      </c>
      <c r="L64" s="441" t="inlineStr">
        <is>
          <t>NA</t>
        </is>
      </c>
      <c r="M64" s="442" t="inlineStr">
        <is>
          <t>1-4 = income_main_comp</t>
        </is>
      </c>
      <c r="N64" s="447" t="n"/>
      <c r="O64" s="443" t="inlineStr">
        <is>
          <t>if options #1-4, go to [income_main_comp OR income_main_amount OR income_main_gender]</t>
        </is>
      </c>
      <c r="P64" s="444" t="n"/>
      <c r="Q64" s="445" t="inlineStr">
        <is>
          <t>resp_age = 18-100
hh_agricactivity = 1 | 2 | 3 | 4
quotareached = 2
income_main = 1 | 2 | 3</t>
        </is>
      </c>
      <c r="R64" s="446" t="n"/>
      <c r="S64" s="316" t="n"/>
      <c r="T64" s="317">
        <f>1</f>
        <v/>
      </c>
      <c r="U64" s="316">
        <f>S64*T64</f>
        <v/>
      </c>
      <c r="V64" s="318" t="n"/>
      <c r="X64" s="324" t="inlineStr">
        <is>
          <t>yes</t>
        </is>
      </c>
      <c r="Y64" s="321" t="n"/>
      <c r="AB64" s="322" t="inlineStr">
        <is>
          <t>New question</t>
        </is>
      </c>
    </row>
    <row r="65" ht="187.5" customFormat="1" customHeight="1" s="704">
      <c r="A65" s="350">
        <f>A64+1</f>
        <v/>
      </c>
      <c r="B65" s="351" t="inlineStr">
        <is>
          <t>income_main_lscheck</t>
        </is>
      </c>
      <c r="C65" s="351" t="inlineStr">
        <is>
          <t>income_main_ls_check</t>
        </is>
      </c>
      <c r="D65" s="356" t="inlineStr">
        <is>
          <t>Are the livestock and livestock products that you sell produced by you or anyone in your household? 
[OPERATOR: SINGLE RESPONSE.]
1)YES
2)NO
3)DON'T KNOW
4)REFUSED</t>
        </is>
      </c>
      <c r="E65" s="354">
        <f>LEN(D65)</f>
        <v/>
      </c>
      <c r="F65" s="342" t="inlineStr">
        <is>
          <t xml:space="preserve">
သင်၏ အဓိက ၀င်ငွေအရင်းအမြစ်ဖြစ်သော မွေးမြူရေးထုက်ကုန်များကို ကိုယ်တိုင် (သို့) မိသားစုဝင်တစ်ဦးဦးမှ ထုတ်လုပ် နေပါသလား။။
[အော်ပရေတာ- တုံ့ပြန်မှုတစ်ခုသာ။]
1)ဟုတ်သည်
2)မဟုတ်ပါ
3)မသိပါ
4)ငြင်းဆိုသည်။</t>
        </is>
      </c>
      <c r="G65" s="354">
        <f>LEN(F65)</f>
        <v/>
      </c>
      <c r="H65" s="352" t="inlineStr">
        <is>
          <t>Single Choice</t>
        </is>
      </c>
      <c r="I65" s="354" t="inlineStr">
        <is>
          <t>NA</t>
        </is>
      </c>
      <c r="J65" s="354" t="inlineStr">
        <is>
          <t>NA</t>
        </is>
      </c>
      <c r="K65" s="354" t="inlineStr">
        <is>
          <t>Form Type - Buttons</t>
        </is>
      </c>
      <c r="L65" s="624" t="inlineStr">
        <is>
          <t>NA</t>
        </is>
      </c>
      <c r="M65" s="353" t="inlineStr">
        <is>
          <t>1-4 = income_main_comp</t>
        </is>
      </c>
      <c r="N65" s="131" t="n"/>
      <c r="O65" s="196" t="inlineStr">
        <is>
          <t>if options #1-4, go to [income_main_comp OR income_main_amount OR income_main_gender]</t>
        </is>
      </c>
      <c r="P65" s="195" t="n"/>
      <c r="Q65" s="134" t="inlineStr">
        <is>
          <t>resp_age = 18-100
hh_agricactivity = 1 | 2 | 3 | 4
quotareached = 2
income_main = 4</t>
        </is>
      </c>
      <c r="R65" s="138" t="n"/>
      <c r="S65" s="172" t="n"/>
      <c r="T65" s="173">
        <f>1</f>
        <v/>
      </c>
      <c r="U65" s="172">
        <f>S65*T65</f>
        <v/>
      </c>
      <c r="V65" s="59" t="n"/>
      <c r="X65" s="419" t="inlineStr">
        <is>
          <t>yes</t>
        </is>
      </c>
      <c r="Y65" s="680" t="n"/>
      <c r="AB65" s="61" t="inlineStr">
        <is>
          <t>New question</t>
        </is>
      </c>
    </row>
    <row r="66" ht="187.5" customFormat="1" customHeight="1" s="704">
      <c r="A66" s="350">
        <f>A65+1</f>
        <v/>
      </c>
      <c r="B66" s="351" t="inlineStr">
        <is>
          <t>income_main_fishcheck</t>
        </is>
      </c>
      <c r="C66" s="351" t="inlineStr">
        <is>
          <t>income_main_fish_check</t>
        </is>
      </c>
      <c r="D66" s="356" t="inlineStr">
        <is>
          <t>Are the fish products that you sell produced by you or anyone in your household? 
[OPERATOR: SINGLE RESPONSE.]
1)YES
2)NO
3)DON'T KNOW
4)REFUSED</t>
        </is>
      </c>
      <c r="E66" s="354">
        <f>LEN(D66)</f>
        <v/>
      </c>
      <c r="F66" s="342" t="inlineStr">
        <is>
          <t xml:space="preserve">
သင်၏ အဓိက ၀င်ငွေအရင်းအမြစ်ဖြစ်သော ရေထွက်ကုန်များကို ကိုယ်တိုင် (သို့) မိသားစုဝင်တစ်ဦးဦးမှ ထုတ်လုပ် နေပါသလား။
[အော်ပရေတာ- တုံ့ပြန်မှုတစ်ခုသာ။]
1)ဟုတ်သည်
2)မဟုတ်ပါ
3)မသိပါ
4)ငြင်းဆိုသည်။</t>
        </is>
      </c>
      <c r="G66" s="354">
        <f>LEN(F66)</f>
        <v/>
      </c>
      <c r="H66" s="352" t="inlineStr">
        <is>
          <t>Single Choice</t>
        </is>
      </c>
      <c r="I66" s="354" t="inlineStr">
        <is>
          <t>NA</t>
        </is>
      </c>
      <c r="J66" s="354" t="inlineStr">
        <is>
          <t>NA</t>
        </is>
      </c>
      <c r="K66" s="354" t="inlineStr">
        <is>
          <t>Form Type - Buttons</t>
        </is>
      </c>
      <c r="L66" s="624" t="inlineStr">
        <is>
          <t>NA</t>
        </is>
      </c>
      <c r="M66" s="353" t="inlineStr">
        <is>
          <t>1-4 = income_main_comp</t>
        </is>
      </c>
      <c r="N66" s="131" t="n"/>
      <c r="O66" s="196" t="inlineStr">
        <is>
          <t>if options #1-4, go to [income_main_comp OR income_main_amount OR income_main_gender]</t>
        </is>
      </c>
      <c r="P66" s="195" t="n"/>
      <c r="Q66" s="134" t="inlineStr">
        <is>
          <t>resp_age = 18-100
hh_agricactivity = 1 | 2 | 3 | 4
quotareached = 2
income_main = 5</t>
        </is>
      </c>
      <c r="R66" s="138" t="n"/>
      <c r="S66" s="172" t="n"/>
      <c r="T66" s="173">
        <f>1</f>
        <v/>
      </c>
      <c r="U66" s="172">
        <f>S66*T66</f>
        <v/>
      </c>
      <c r="V66" s="59" t="n"/>
      <c r="X66" s="419" t="inlineStr">
        <is>
          <t>yes</t>
        </is>
      </c>
      <c r="Y66" s="680" t="n"/>
      <c r="AB66" s="61" t="inlineStr">
        <is>
          <t>New question</t>
        </is>
      </c>
    </row>
    <row r="67" ht="269.45" customFormat="1" customHeight="1" s="704">
      <c r="A67" s="366">
        <f>A66+1</f>
        <v/>
      </c>
      <c r="B67" s="357" t="inlineStr">
        <is>
          <t>o_income_main_selfemployed</t>
        </is>
      </c>
      <c r="C67" s="357" t="inlineStr">
        <is>
          <t>o_income_main_selfemployed</t>
        </is>
      </c>
      <c r="D67" s="358" t="inlineStr">
        <is>
          <t>What type of self-employment / liberal profession?
[OPERATOR: SINGLE RESPONSE.]
1)Liberal profession [doctor/architect/layer...]
2)Petty trade/selling on streets [own business/self or with family]
3)Small trade [own business/ &lt;5 employees]
4)Medium/large trade [own business/&gt;=5 employees]
5)Other [specify]
6)DON'T KNOW
7)REFUSED</t>
        </is>
      </c>
      <c r="E67" s="354">
        <f>LEN(D67)</f>
        <v/>
      </c>
      <c r="F67" s="342" t="inlineStr">
        <is>
          <t>သင်သည် မည်သို့သော ကိုယ်ပိုင် အလုပ်/ ပညာရှင် အလုပ်မျိုးကို လုပ် ကိုင်ပါသနည်း။
[အော်ပရေတာ- တုံ့ပြန်မှုတစ်ခုသာ။]
1)ပညာရှင် [ဆရာဝန်/အင်ဂျင်နီယာ/ရှေ့နေ စသည်]
2)လမ်းဘေးဈေးသည် [ကိုယ်ပိုင်/မိသားစု နှင့် အတူ]
3)အသေးစား ကုန်သွယ်မှု [ကိုယ်ပိုင်/ လုပ်သမား ၅ ယောက်အောက်]
4)အလယ်အလတ်/အကြီးစား ကုန်သည် [ကိုယ်ပိုင်/လုပ်သမား၅ ယောက်နှင့် အထက်]
5)အခြား [သတ်မှတ်ရန်]
6)မသိ
7)ငြင်းဆို</t>
        </is>
      </c>
      <c r="G67" s="624">
        <f>LEN(F67)</f>
        <v/>
      </c>
      <c r="H67" s="352" t="inlineStr">
        <is>
          <t>Open Ended-Single Choice</t>
        </is>
      </c>
      <c r="I67" s="354" t="inlineStr">
        <is>
          <t>NA</t>
        </is>
      </c>
      <c r="J67" s="354" t="inlineStr">
        <is>
          <t>NA</t>
        </is>
      </c>
      <c r="K67" s="354" t="inlineStr">
        <is>
          <t>Form Type - RadioList</t>
        </is>
      </c>
      <c r="L67" s="624" t="inlineStr">
        <is>
          <t>NA</t>
        </is>
      </c>
      <c r="M67" s="353" t="inlineStr">
        <is>
          <t>1-7 = income_main_comp</t>
        </is>
      </c>
      <c r="N67" s="131" t="n"/>
      <c r="O67" s="195" t="n"/>
      <c r="P67" s="195" t="n"/>
      <c r="Q67" s="134" t="n"/>
      <c r="R67" s="138" t="n"/>
      <c r="S67" s="127" t="n"/>
      <c r="T67" s="123">
        <f>1</f>
        <v/>
      </c>
      <c r="U67" s="127">
        <f>S67*T67</f>
        <v/>
      </c>
      <c r="V67" s="59" t="n"/>
      <c r="X67" s="419" t="n"/>
      <c r="Y67" s="680" t="n"/>
      <c r="AB67" s="61" t="n"/>
    </row>
    <row r="68" ht="141.6" customFormat="1" customHeight="1" s="704">
      <c r="A68" s="366">
        <f>A67+1</f>
        <v/>
      </c>
      <c r="B68" s="357" t="inlineStr">
        <is>
          <t>o_wage_main_amount</t>
        </is>
      </c>
      <c r="C68" s="357" t="inlineStr">
        <is>
          <t>o_wage_main_amount</t>
        </is>
      </c>
      <c r="D68" s="358" t="inlineStr">
        <is>
          <t xml:space="preserve">What was the typical wage for wage labourers per person per day  in the past one month (30 days)?
[OPERATOR: RECORD NUMBER GIVEN. ENTER 8888888 FOR DON'T KNOW &amp; 9999999 FOR REFUSED.]  </t>
        </is>
      </c>
      <c r="E68" s="354">
        <f>LEN(D68)</f>
        <v/>
      </c>
      <c r="F68" s="342" t="inlineStr">
        <is>
          <t>လွန်ခဲ့သည့်  ရက် ၃၀ အတွင်းမှာ လူတစ်ဦးလျှင် တစ်ရက်လျှင် လုပ်ခ မည်မျှရှိသနည်း။
[အော်ပရေတာ- မှတ်တမ်းနံပါတ်ကို အကြောင်းမဲ့။ မသိခြင်းအတွက် 8888888 နှင့် 9999999 ကို ငြင်းဆိုရန်။]</t>
        </is>
      </c>
      <c r="G68" s="624">
        <f>LEN(F68)</f>
        <v/>
      </c>
      <c r="H68" s="359" t="inlineStr">
        <is>
          <t>Range</t>
        </is>
      </c>
      <c r="I68" s="624" t="inlineStr">
        <is>
          <t>NA</t>
        </is>
      </c>
      <c r="J68" s="624" t="inlineStr">
        <is>
          <t>NA</t>
        </is>
      </c>
      <c r="K68" s="624" t="inlineStr">
        <is>
          <t>Form Type - TextBox
IsDemographic</t>
        </is>
      </c>
      <c r="L68" s="624" t="inlineStr">
        <is>
          <t>NA</t>
        </is>
      </c>
      <c r="M68" s="572" t="inlineStr">
        <is>
          <t>100 - 800000 = o_wage_main_amount_Check
8888888-8888888 = income_main_comp
9999999-9999999 = income_main_comp</t>
        </is>
      </c>
      <c r="N68" s="573" t="n"/>
      <c r="O68" s="195" t="inlineStr">
        <is>
          <t>if options #1-4, go to [income_main_comp OR income_main_amount]</t>
        </is>
      </c>
      <c r="P68" s="195" t="n"/>
      <c r="Q68" s="134" t="inlineStr">
        <is>
          <t>resp_age = 18-100
hh_agricactivity = 1 | 2 | 3 | 4
quotareached = 2
income_main =  1-18</t>
        </is>
      </c>
      <c r="R68" s="138" t="n"/>
      <c r="S68" s="127" t="n">
        <v>17</v>
      </c>
      <c r="T68" s="123">
        <f>1</f>
        <v/>
      </c>
      <c r="U68" s="127">
        <f>S68*T68</f>
        <v/>
      </c>
      <c r="V68" s="59" t="n"/>
      <c r="X68" s="63" t="inlineStr">
        <is>
          <t>no</t>
        </is>
      </c>
      <c r="Y68" s="680" t="n"/>
      <c r="AB68" s="61" t="inlineStr">
        <is>
          <t>New question</t>
        </is>
      </c>
    </row>
    <row r="69" ht="186" customFormat="1" customHeight="1" s="704">
      <c r="A69" s="366" t="n">
        <v>49</v>
      </c>
      <c r="B69" s="357" t="inlineStr">
        <is>
          <t>o_wage_main_amount_Check</t>
        </is>
      </c>
      <c r="C69" s="357" t="inlineStr">
        <is>
          <t>o_wage_main_amount_Check</t>
        </is>
      </c>
      <c r="D69" s="358" t="inlineStr">
        <is>
          <t xml:space="preserve">You reported the average wage a person recieved per day was {o_wage_main_amount} MMK. Is this correct?
[OPERATOR: IF YES, SELECT "NEXT". IF NO, GO BACK TO THE PREVIOUS QUESTION AND CORRECT THE ANSWER.
1)NEXT </t>
        </is>
      </c>
      <c r="E69" s="354" t="n"/>
      <c r="F69" s="342" t="inlineStr">
        <is>
          <t>တစ်ရက်လျှင် လူတစ်ဦးရရှိသည့် ပျမ်းမျှလုပ်ခမှာ {o_wage_main_amount} MMK  ဖြစ်ကြောင်း သင်ဖြေဆိုခဲ့သည်။ ထိုအချက်သည် မှန်ကန်ပါသလား။ 
[အော်ပရေတာ- ဟုတ်ပါက၊ "နောက်တစ်ခု" ကို ရွေးပါ။ မဟုတ်ပါက၊ ယခင်မေးခွန်းသို့ ပြန်သွားပြီး အဖြေကို ပြင်ပါ။
1) နောက်တစ်ခု</t>
        </is>
      </c>
      <c r="G69" s="624" t="n"/>
      <c r="H69" s="644" t="inlineStr">
        <is>
          <t>Single Choice</t>
        </is>
      </c>
      <c r="I69" s="354" t="inlineStr">
        <is>
          <t>NA</t>
        </is>
      </c>
      <c r="J69" s="354" t="inlineStr">
        <is>
          <t>NA</t>
        </is>
      </c>
      <c r="K69" s="624" t="inlineStr">
        <is>
          <t>Form Type - Buttons</t>
        </is>
      </c>
      <c r="L69" s="339" t="inlineStr">
        <is>
          <t>NA</t>
        </is>
      </c>
      <c r="M69" s="572" t="inlineStr">
        <is>
          <t>1 = income_main_comp</t>
        </is>
      </c>
      <c r="N69" s="573" t="inlineStr">
        <is>
          <t xml:space="preserve">6/30/2023. Added validation check for operator to confirm value was entered properly/correctly and respondent is clear on timeframe. This variable will not appear in dataset. </t>
        </is>
      </c>
      <c r="O69" s="195" t="n"/>
      <c r="P69" s="195" t="n"/>
      <c r="Q69" s="134" t="n"/>
      <c r="R69" s="138" t="n"/>
      <c r="S69" s="127" t="n"/>
      <c r="T69" s="123" t="n"/>
      <c r="U69" s="127" t="n"/>
      <c r="V69" s="59" t="n"/>
      <c r="X69" s="63" t="n"/>
      <c r="Y69" s="680" t="n"/>
      <c r="AB69" s="61" t="n"/>
    </row>
    <row r="70" ht="270.6" customFormat="1" customHeight="1" s="704">
      <c r="A70" s="366" t="n">
        <v>50</v>
      </c>
      <c r="B70" s="351" t="inlineStr">
        <is>
          <t>income_main_comp</t>
        </is>
      </c>
      <c r="C70" s="352" t="inlineStr">
        <is>
          <t>income_main_comp</t>
        </is>
      </c>
      <c r="D70" s="356"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70" s="354">
        <f>LEN(D70)</f>
        <v/>
      </c>
      <c r="F70" s="362" t="inlineStr">
        <is>
          <t>လူကြီးမင်း၏ ပြီးခဲ့သည့် 3 လအတွင်း အိမ်ထောင်စုဝင်ငွေ {income_main}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is>
      </c>
      <c r="G70" s="354">
        <f>LEN(F70)</f>
        <v/>
      </c>
      <c r="H70" s="363" t="inlineStr">
        <is>
          <t>Single Choice</t>
        </is>
      </c>
      <c r="I70" s="354" t="inlineStr">
        <is>
          <t>NA</t>
        </is>
      </c>
      <c r="J70" s="354" t="inlineStr">
        <is>
          <t>NA</t>
        </is>
      </c>
      <c r="K70" s="354" t="inlineStr">
        <is>
          <t>Form Type - Buttons</t>
        </is>
      </c>
      <c r="L70" s="624" t="inlineStr">
        <is>
          <t>NA</t>
        </is>
      </c>
      <c r="M70" s="362" t="inlineStr">
        <is>
          <t>1-3 = income_sec
4-5= o_incomechangereduced
6-7= income_sec</t>
        </is>
      </c>
      <c r="N70" s="214" t="n"/>
      <c r="O70" s="198" t="inlineStr">
        <is>
          <t>if income_main_comp = 1-7, go to income_sec</t>
        </is>
      </c>
      <c r="P70" s="199" t="n"/>
      <c r="Q70" s="148" t="inlineStr">
        <is>
          <t>resp_age = 18-100
hh_agricactivity = 1 | 2 | 3 | 4
quotareached = 2
income_main = 1-18</t>
        </is>
      </c>
      <c r="R70" s="149" t="n"/>
      <c r="S70" s="172" t="n">
        <v>27.24216651916504</v>
      </c>
      <c r="T70" s="173">
        <f>1</f>
        <v/>
      </c>
      <c r="U70" s="172">
        <f>S70*T70</f>
        <v/>
      </c>
      <c r="V70" s="59" t="n"/>
      <c r="X70" s="63" t="inlineStr">
        <is>
          <t>yes</t>
        </is>
      </c>
      <c r="Y70" s="680" t="n"/>
      <c r="AB70" s="64" t="inlineStr">
        <is>
          <t>Change in options #2,4 + question formulation (col D) + hint</t>
        </is>
      </c>
    </row>
    <row r="71" ht="246.95" customFormat="1" customHeight="1" s="704" thickBot="1">
      <c r="A71" s="367">
        <f>A70+1</f>
        <v/>
      </c>
      <c r="B71" s="368" t="inlineStr">
        <is>
          <t>o_incomechangereduced</t>
        </is>
      </c>
      <c r="C71" s="368" t="inlineStr">
        <is>
          <t>o_incomechangereduced</t>
        </is>
      </c>
      <c r="D71" s="369" t="inlineStr">
        <is>
          <t>Please describe the degree of income reduction:
[OPERATOR: SINGLE RESPONSE]
1)0-25%
2)26-50%
3)51-75%
4)76-100%
5)DON'T KNOW
6)REFUSED</t>
        </is>
      </c>
      <c r="E71" s="164">
        <f>LEN(D71)</f>
        <v/>
      </c>
      <c r="F71" s="370" t="inlineStr">
        <is>
          <t xml:space="preserve">လျော့နည်းသွား​သော ပမာဏ ကို ​ဖော်ပြပါ။
[အော်ပရေတာ- တုံ့ပြန်မှုတစ်ခုသာ။]
1)0-25%
2)26-50%
3)51-75%
4)76-100%
5)မသိပါ
6)ဖြေဆိုရန် ငြင်းဆန်သည်
</t>
        </is>
      </c>
      <c r="G71" s="164">
        <f>LEN(F71)</f>
        <v/>
      </c>
      <c r="H71" s="371" t="inlineStr">
        <is>
          <t>Single Choice</t>
        </is>
      </c>
      <c r="I71" s="164" t="inlineStr">
        <is>
          <t>NA</t>
        </is>
      </c>
      <c r="J71" s="164" t="inlineStr">
        <is>
          <t>NA</t>
        </is>
      </c>
      <c r="K71" s="164" t="inlineStr">
        <is>
          <t>Form Type - Buttons</t>
        </is>
      </c>
      <c r="L71" s="372" t="inlineStr">
        <is>
          <t>NA</t>
        </is>
      </c>
      <c r="M71" s="370" t="inlineStr">
        <is>
          <t>1-6 = income_sec</t>
        </is>
      </c>
      <c r="N71" s="373" t="n"/>
      <c r="O71" s="374" t="n"/>
      <c r="P71" s="374" t="n"/>
      <c r="Q71" s="168" t="n"/>
      <c r="R71" s="169" t="n"/>
      <c r="S71" s="127" t="n"/>
      <c r="T71" s="123">
        <f>1</f>
        <v/>
      </c>
      <c r="U71" s="127">
        <f>S71*T71</f>
        <v/>
      </c>
      <c r="V71" s="59" t="n"/>
      <c r="X71" s="63" t="n"/>
      <c r="Y71" s="680" t="n"/>
      <c r="AB71" s="64" t="n"/>
    </row>
    <row r="72" ht="409.5" customFormat="1" customHeight="1" s="704">
      <c r="A72" s="170">
        <f>A71+1</f>
        <v/>
      </c>
      <c r="B72" s="128" t="inlineStr">
        <is>
          <t>income_sec</t>
        </is>
      </c>
      <c r="C72" s="136" t="inlineStr">
        <is>
          <t>income_sec</t>
        </is>
      </c>
      <c r="D72" s="450" t="inlineStr">
        <is>
          <t>What has been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second most important source of income
20)DON'T KNOW
21)REFUSED</t>
        </is>
      </c>
      <c r="E72" s="631">
        <f>LEN(D72)</f>
        <v/>
      </c>
      <c r="F72" s="360" t="inlineStr">
        <is>
          <t>လွန်ခဲ့သော 3 လအတွင်း လူကြီးမင်းအိမ်ထောင်စု၏ ဒုတိယအ‌ရေးအကြီးဆုံး ဝင်ငွေအရင်းအမြစ်က ဘာပါလဲ။
[အော်ပရေတာ- တုံ့ပြန်မှုတစ်ခုသာ။ ငြင်းဆန်သည့်ရွေးချယ်မှုများကို တတ်နိုင်သမျှ မပြုလုပ်ဘဲ/မရှောင်ရှားဘဲ ဖြေဆိုပေးပါ]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19)ဒုတိယအရေးအကြီးဆုံး ဝင်ငွေအရင်းအမြစ်မရှိပါ
20)မသိပါ 
21)ဖြေဆိုရန် ငြင်းဆန်သည်</t>
        </is>
      </c>
      <c r="G72" s="631">
        <f>LEN(F72)</f>
        <v/>
      </c>
      <c r="H72" s="698" t="inlineStr">
        <is>
          <t>Single Choice</t>
        </is>
      </c>
      <c r="I72" s="631" t="inlineStr">
        <is>
          <t>NA</t>
        </is>
      </c>
      <c r="J72" s="631" t="inlineStr">
        <is>
          <t>NA</t>
        </is>
      </c>
      <c r="K72" s="631" t="inlineStr">
        <is>
          <t>Form Type - Buttons
Exclude selected "income_main"
IsDemographic</t>
        </is>
      </c>
      <c r="L72" s="628" t="inlineStr">
        <is>
          <t>NA</t>
        </is>
      </c>
      <c r="M72" s="129" t="inlineStr">
        <is>
          <t>1-3 = income_sec_cropcheck
4 = income_sec_lscheck
5 = income_sec_comp
6 = income_sec_fishcheck 
7-8 = income_sec_comp
9 = o_wage_sec_amount
10 = income_sec_comp
11 = o_income_sec_selfemployed
12 = o_wage_sec_amount
13-18 = income_sec_comp
19-21 =  o_Income_total_amount</t>
        </is>
      </c>
      <c r="N72" s="131" t="n"/>
      <c r="O72" s="196" t="inlineStr">
        <is>
          <t xml:space="preserve"> if options #1-3 selected go to income_sec_cropcheck 
if options #4 selected go to income_sec_lscheck 
if options #5 selected go to income_sec_fishcheck 
if options #6-18 selected, go to [income_sec_comp OR income_sec_amount OR income_sec_gender] 
if options #19-21 selected, go to shock</t>
        </is>
      </c>
      <c r="P72" s="195" t="n"/>
      <c r="Q72" s="134" t="inlineStr">
        <is>
          <t>resp_age = 18-100
hh_agricactivity = 1 | 2 | 3 | 4
quotareached = 2
income_main = 1-18</t>
        </is>
      </c>
      <c r="R72" s="138" t="n"/>
      <c r="S72" s="172" t="n">
        <v>25.30800437927246</v>
      </c>
      <c r="T72" s="173">
        <f>1</f>
        <v/>
      </c>
      <c r="U72" s="172">
        <f>S72*T72</f>
        <v/>
      </c>
      <c r="V72" s="59" t="n"/>
      <c r="X72" s="419" t="inlineStr">
        <is>
          <t>yes</t>
        </is>
      </c>
      <c r="Y72" s="680" t="n"/>
      <c r="AB72" s="64" t="inlineStr">
        <is>
          <t>Change in skip pattern (col J)
Change in answer option #1</t>
        </is>
      </c>
    </row>
    <row r="73" ht="187.5" customFormat="1" customHeight="1" s="704">
      <c r="A73" s="366">
        <f>A72+1</f>
        <v/>
      </c>
      <c r="B73" s="351" t="inlineStr">
        <is>
          <t>income_sec_cropcheck</t>
        </is>
      </c>
      <c r="C73" s="351" t="inlineStr">
        <is>
          <t>income_sec_crop_check</t>
        </is>
      </c>
      <c r="D73" s="356" t="inlineStr">
        <is>
          <t>Are the crops that you sell produced by you or anyone in your household? 
[OPERATOR: SINGLE RESPONSE.]
1)YES
2)NO
3)DON'T KNOW
4)REFUSED</t>
        </is>
      </c>
      <c r="E73" s="354">
        <f>LEN(D73)</f>
        <v/>
      </c>
      <c r="F73" s="342" t="inlineStr">
        <is>
          <t xml:space="preserve">
သင်၏ အဓိက ၀င်ငွေအရင်းအမြစ်ဖြစ်သော လယ်ယာထွက်ကုန်များကို ကိုယ်တိုင် (သို့) မိသားစုဝင်တစ်ဦးဦးမှ ထုတ်လုပ် နေပါသလား။
[အော်ပရေတာ- တုံ့ပြန်မှုတစ်ခုသာ။]
1)ဟုတ်သည်
2)မဟုတ်ပါ
3)မသိပါ
4)ငြင်းဆိုသည်။</t>
        </is>
      </c>
      <c r="G73" s="354">
        <f>LEN(F73)</f>
        <v/>
      </c>
      <c r="H73" s="352" t="inlineStr">
        <is>
          <t>Single Choice</t>
        </is>
      </c>
      <c r="I73" s="354" t="inlineStr">
        <is>
          <t>NA</t>
        </is>
      </c>
      <c r="J73" s="354" t="inlineStr">
        <is>
          <t>NA</t>
        </is>
      </c>
      <c r="K73" s="354" t="inlineStr">
        <is>
          <t>Form Type - Buttons</t>
        </is>
      </c>
      <c r="L73" s="624" t="inlineStr">
        <is>
          <t>NA</t>
        </is>
      </c>
      <c r="M73" s="353" t="inlineStr">
        <is>
          <t>1-4 = income_sec_comp</t>
        </is>
      </c>
      <c r="N73" s="131" t="n"/>
      <c r="O73" s="196" t="inlineStr">
        <is>
          <t>if options #1-4, go to [income_sec_comp OR income_sec_amount OR income_sec_gender]</t>
        </is>
      </c>
      <c r="P73" s="195" t="n"/>
      <c r="Q73" s="134" t="inlineStr">
        <is>
          <t>resp_age = 18-100
hh_agricactivity = 1 | 2 | 3 | 4
quotareached = 2
income_sec = 1 | 2 | 3</t>
        </is>
      </c>
      <c r="R73" s="138" t="n"/>
      <c r="S73" s="172" t="n"/>
      <c r="T73" s="173">
        <f>1</f>
        <v/>
      </c>
      <c r="U73" s="172">
        <f>S73*T73</f>
        <v/>
      </c>
      <c r="V73" s="59" t="n"/>
      <c r="X73" s="419" t="inlineStr">
        <is>
          <t>yes</t>
        </is>
      </c>
      <c r="Y73" s="680" t="n"/>
      <c r="AB73" s="61" t="inlineStr">
        <is>
          <t>New question</t>
        </is>
      </c>
    </row>
    <row r="74" ht="206.25" customFormat="1" customHeight="1" s="704">
      <c r="A74" s="366">
        <f>A73+1</f>
        <v/>
      </c>
      <c r="B74" s="351" t="inlineStr">
        <is>
          <t>income_sec_lscheck</t>
        </is>
      </c>
      <c r="C74" s="351" t="inlineStr">
        <is>
          <t>income_sec_ls_check</t>
        </is>
      </c>
      <c r="D74" s="356" t="inlineStr">
        <is>
          <t>Are the livestock and livestock products that you sell produced by you or anyone in your household? 
[OPERATOR: SINGLE RESPONSE.]
1)YES
2)NO
3)DON'T KNOW
4)REFUSED</t>
        </is>
      </c>
      <c r="E74" s="354">
        <f>LEN(D74)</f>
        <v/>
      </c>
      <c r="F74" s="342" t="inlineStr">
        <is>
          <t xml:space="preserve">
သင်၏ အဓိက ၀င်ငွေအရင်းအမြစ်ဖြစ်သော မွေးမြူရေးထွက်ကုန်များကို ကိုယ်တိုင် (သို့) မိသားစုဝင်တစ်ဦးဦးမှ ထုတ်လုပ် နေပါသလား။
[အော်ပရေတာ- တုံ့ပြန်မှုတစ်ခုသာ။]
1)ဟုတ်သည်
2)မဟုတ်ပါ
3)မသိပါ
4)ငြင်းဆိုသည်။
</t>
        </is>
      </c>
      <c r="G74" s="354">
        <f>LEN(F74)</f>
        <v/>
      </c>
      <c r="H74" s="352" t="inlineStr">
        <is>
          <t>Single Choice</t>
        </is>
      </c>
      <c r="I74" s="354" t="inlineStr">
        <is>
          <t>NA</t>
        </is>
      </c>
      <c r="J74" s="354" t="inlineStr">
        <is>
          <t>NA</t>
        </is>
      </c>
      <c r="K74" s="354" t="inlineStr">
        <is>
          <t>Form Type - Buttons</t>
        </is>
      </c>
      <c r="L74" s="624" t="inlineStr">
        <is>
          <t>NA</t>
        </is>
      </c>
      <c r="M74" s="353" t="inlineStr">
        <is>
          <t>1-4 = income_sec_comp</t>
        </is>
      </c>
      <c r="N74" s="131" t="n"/>
      <c r="O74" s="196" t="inlineStr">
        <is>
          <t>if options #1-4, go to [income_sec_comp OR income_sec_amount OR income_sec_gender]</t>
        </is>
      </c>
      <c r="P74" s="195" t="n"/>
      <c r="Q74" s="134" t="inlineStr">
        <is>
          <t>resp_age = 18-100
hh_agricactivity = 1 | 2 | 3 | 4
quotareached = 2
income_sec = 4</t>
        </is>
      </c>
      <c r="R74" s="138" t="n"/>
      <c r="S74" s="172" t="n"/>
      <c r="T74" s="173">
        <f>1</f>
        <v/>
      </c>
      <c r="U74" s="172">
        <f>S74*T74</f>
        <v/>
      </c>
      <c r="V74" s="59" t="n"/>
      <c r="X74" s="419" t="inlineStr">
        <is>
          <t>yes</t>
        </is>
      </c>
      <c r="Y74" s="680" t="n"/>
      <c r="AB74" s="61" t="inlineStr">
        <is>
          <t>New question</t>
        </is>
      </c>
    </row>
    <row r="75" ht="206.25" customFormat="1" customHeight="1" s="704">
      <c r="A75" s="366">
        <f>A74+1</f>
        <v/>
      </c>
      <c r="B75" s="351" t="inlineStr">
        <is>
          <t>income_sec_fishcheck</t>
        </is>
      </c>
      <c r="C75" s="351" t="inlineStr">
        <is>
          <t>income_sec_fish_check</t>
        </is>
      </c>
      <c r="D75" s="356" t="inlineStr">
        <is>
          <t>Are the fish products that you sell produced by you or anyone in your household? 
[OPERATOR: SINGLE RESPONSE.]
1)YES
2)NO
3)DON'T KNOW
4)REFUSED</t>
        </is>
      </c>
      <c r="E75" s="354">
        <f>LEN(D75)</f>
        <v/>
      </c>
      <c r="F75" s="342" t="inlineStr">
        <is>
          <t xml:space="preserve">
သင်၏ အဓိက ၀င်ငွေအရင်းအမြစ်ဖြစ်သော ရေထွက်ကုန်များကို ကိုယ်တိုင် (သို့) မိသားစုဝင်တစ်ဦးဦးမှ ထုတ်လုပ် နေပါသလား။
[အော်ပရေတာ- တုံ့ပြန်မှုတစ်ခုသာ။]
1)ဟုတ်သည်
2)မဟုတ်ပါ
3)မသိပါ
4)ငြင်းဆိုသည်။
</t>
        </is>
      </c>
      <c r="G75" s="354">
        <f>LEN(F75)</f>
        <v/>
      </c>
      <c r="H75" s="352" t="inlineStr">
        <is>
          <t>Single Choice</t>
        </is>
      </c>
      <c r="I75" s="354" t="inlineStr">
        <is>
          <t>NA</t>
        </is>
      </c>
      <c r="J75" s="354" t="inlineStr">
        <is>
          <t>NA</t>
        </is>
      </c>
      <c r="K75" s="354" t="inlineStr">
        <is>
          <t>Form Type - Buttons</t>
        </is>
      </c>
      <c r="L75" s="624" t="inlineStr">
        <is>
          <t>NA</t>
        </is>
      </c>
      <c r="M75" s="353" t="inlineStr">
        <is>
          <t>1-4 = income_sec_comp</t>
        </is>
      </c>
      <c r="N75" s="131" t="n"/>
      <c r="O75" s="196" t="inlineStr">
        <is>
          <t>if options #1-4, go to [income_sec_comp OR income_sec_amount OR income_sec_gender]</t>
        </is>
      </c>
      <c r="P75" s="195" t="n"/>
      <c r="Q75" s="134" t="inlineStr">
        <is>
          <t>resp_age = 18-100
hh_agricactivity = 1 | 2 | 3 | 4
quotareached = 2
income_sec = 5</t>
        </is>
      </c>
      <c r="R75" s="138" t="n"/>
      <c r="S75" s="172" t="n"/>
      <c r="T75" s="173">
        <f>1</f>
        <v/>
      </c>
      <c r="U75" s="172">
        <f>S75*T75</f>
        <v/>
      </c>
      <c r="V75" s="59" t="n"/>
      <c r="X75" s="419" t="inlineStr">
        <is>
          <t>yes</t>
        </is>
      </c>
      <c r="Y75" s="680" t="n"/>
      <c r="AB75" s="61" t="inlineStr">
        <is>
          <t>New question</t>
        </is>
      </c>
    </row>
    <row r="76" ht="246.95" customFormat="1" customHeight="1" s="704">
      <c r="A76" s="366">
        <f>A75+1</f>
        <v/>
      </c>
      <c r="B76" s="357" t="inlineStr">
        <is>
          <t>o_income_sec_selfemployed</t>
        </is>
      </c>
      <c r="C76" s="357" t="inlineStr">
        <is>
          <t>o_income_sec_selfemployed</t>
        </is>
      </c>
      <c r="D76" s="358" t="inlineStr">
        <is>
          <t>What type of self-employment / liberal profession?
[OPERATOR: SINGLE RESPONSE.]
1)Liberal profession [doctor/architect/layer...]
2)Petty trade/selling on streets [own business/self or with family]
3)Small trade [own business/&lt;5 employees]
4)Medium/large trade [own business/&gt;=5 employees]
5)Other
6)DON'T KNOW
7)REFUSED</t>
        </is>
      </c>
      <c r="E76" s="624">
        <f>LEN(D76)</f>
        <v/>
      </c>
      <c r="F76" s="342" t="inlineStr">
        <is>
          <t>သင်သည် မည်သို့သော ကိုယ်ပိုင် အလုပ်/ ပညာရှင် အလုပ်မျိုးကို လုပ် ကိုင်ပါသနည်း။
[အော်ပရေတာ- တုံ့ပြန်မှုတစ်ခုသာ။]
1)ပညာရှင် [ဆရာဝန်/အင်ဂျင်နီယာ/ရှေ့နေ စသည်]
2)လမ်းဘေးဈေးသည် [ကိုယ်ပိုင်/မိသားစု နှင့် အတူ]
3)အသေးစား ကုန်သွယ်မှု [ကိုယ်ပိုင်/ လုပ်သမား ၅ ယောက်အောက်]
4)အလယ်အလတ်/အကြီးစား ကုန်သည် [ကိုယ်ပိုင်/လုပ်သမား၅ ယောက်နှင့် အထက်]
5)အခြား
6)မသိ
7)ငြင်းဆို</t>
        </is>
      </c>
      <c r="G76" s="624">
        <f>LEN(F76)</f>
        <v/>
      </c>
      <c r="H76" s="359" t="inlineStr">
        <is>
          <t>Single Choice</t>
        </is>
      </c>
      <c r="I76" s="624" t="inlineStr">
        <is>
          <t>NA</t>
        </is>
      </c>
      <c r="J76" s="624" t="inlineStr">
        <is>
          <t>NA</t>
        </is>
      </c>
      <c r="K76" s="624" t="inlineStr">
        <is>
          <t>Form Type - Buttons</t>
        </is>
      </c>
      <c r="L76" s="624" t="inlineStr">
        <is>
          <t>NA</t>
        </is>
      </c>
      <c r="M76" s="353" t="inlineStr">
        <is>
          <t>1-7 = income_sec_comp</t>
        </is>
      </c>
      <c r="N76" s="178" t="n"/>
      <c r="O76" s="195" t="n"/>
      <c r="P76" s="195" t="n"/>
      <c r="Q76" s="134" t="inlineStr">
        <is>
          <t>resp_age = 18-100
hh_agricactivity = 1 | 2 | 3 | 4
quotareached = 2
income_sec =  1-18</t>
        </is>
      </c>
      <c r="R76" s="138" t="n"/>
      <c r="S76" s="127" t="n">
        <v>17</v>
      </c>
      <c r="T76" s="123">
        <f>1</f>
        <v/>
      </c>
      <c r="U76" s="127">
        <f>S76*T76</f>
        <v/>
      </c>
      <c r="V76" s="59" t="n"/>
      <c r="X76" s="63" t="inlineStr">
        <is>
          <t>no</t>
        </is>
      </c>
      <c r="Y76" s="680" t="n"/>
      <c r="AB76" s="61" t="inlineStr">
        <is>
          <t>New question</t>
        </is>
      </c>
    </row>
    <row r="77" ht="160.5" customFormat="1" customHeight="1" s="704">
      <c r="A77" s="366">
        <f>A76+1</f>
        <v/>
      </c>
      <c r="B77" s="357" t="inlineStr">
        <is>
          <t>o_wage_sec_amount</t>
        </is>
      </c>
      <c r="C77" s="357" t="inlineStr">
        <is>
          <t>o_wage_sec_amount</t>
        </is>
      </c>
      <c r="D77" s="358" t="inlineStr">
        <is>
          <t xml:space="preserve">What was the typical wage for wage labourers per person per day  in the past one month (30 days)?
[OPERATOR: RECORD NUMBER GIVEN. ENTER 8888888 FOR DON'T KNOW &amp; 9999999 FOR REFUSED.] </t>
        </is>
      </c>
      <c r="E77" s="624">
        <f>LEN(D77)</f>
        <v/>
      </c>
      <c r="F77" s="342" t="inlineStr">
        <is>
          <t>လွန်ခဲ့သည့်  ရက် ၃၀ အတွင်းမှာ လူတစ်ဦးလျှင် တစ်ရက်လျှင် လုပ်ခ မည်မျှရှိသနည်း။
[အော်ပရေတာ- မှတ်တမ်းနံပါတ်ကို အကြောင်းမဲ့။ မသိခြင်းအတွက် 8888888 နှင့် 9999999 ကို ငြင်းဆိုရန်။]</t>
        </is>
      </c>
      <c r="G77" s="624">
        <f>LEN(F77)</f>
        <v/>
      </c>
      <c r="H77" s="624" t="inlineStr">
        <is>
          <t>Range</t>
        </is>
      </c>
      <c r="I77" s="624" t="inlineStr">
        <is>
          <t>NA</t>
        </is>
      </c>
      <c r="J77" s="624" t="inlineStr">
        <is>
          <t>NA</t>
        </is>
      </c>
      <c r="K77" s="624" t="inlineStr">
        <is>
          <t>Form Type - TextBox
IsDemographic</t>
        </is>
      </c>
      <c r="L77" s="624" t="inlineStr">
        <is>
          <t>NA</t>
        </is>
      </c>
      <c r="M77" s="572" t="inlineStr">
        <is>
          <t>100 - 800000 = o_wage_sec_amount_Check
8888888-8888888 = income_sec_comp
9999999-9999999 = income_sec_comp</t>
        </is>
      </c>
      <c r="N77" s="579" t="n"/>
      <c r="O77" s="574" t="n"/>
      <c r="P77" s="574" t="n"/>
      <c r="Q77" s="148" t="inlineStr">
        <is>
          <t>resp_age = 18-100
hh_agricactivity = 1 | 2 | 3 | 4
quotareached = 2
income_sec = 1-18</t>
        </is>
      </c>
      <c r="R77" s="575" t="inlineStr">
        <is>
          <t>We recommend using this pair of questions together.</t>
        </is>
      </c>
      <c r="S77" s="127" t="n">
        <v>30.82847023010254</v>
      </c>
      <c r="T77" s="123">
        <f>1</f>
        <v/>
      </c>
      <c r="U77" s="127">
        <f>S77*T77</f>
        <v/>
      </c>
      <c r="V77" s="59" t="n"/>
      <c r="X77" s="63" t="inlineStr">
        <is>
          <t>no</t>
        </is>
      </c>
      <c r="Y77" s="680" t="n"/>
      <c r="AB77" s="61" t="inlineStr">
        <is>
          <t>Change in question text (col D)</t>
        </is>
      </c>
    </row>
    <row r="78" ht="184.5" customFormat="1" customHeight="1" s="704">
      <c r="A78" s="576" t="n">
        <v>58</v>
      </c>
      <c r="B78" s="357" t="inlineStr">
        <is>
          <t>o_wage_sec_amount_Check</t>
        </is>
      </c>
      <c r="C78" s="357" t="inlineStr">
        <is>
          <t>o_wage_sec_amount_Check</t>
        </is>
      </c>
      <c r="D78" s="358" t="inlineStr">
        <is>
          <t xml:space="preserve">You reported the average wage a person recieved per day was {o_wage_sec_amount} MMK. Is this correct?
[OPERATOR: IF YES, SELECT "NEXT". IF NO, GO BACK TO THE PREVIOUS QUESTION AND CORRECT THE ANSWER.
1)NEXT </t>
        </is>
      </c>
      <c r="E78" s="354" t="n"/>
      <c r="F78" s="342" t="inlineStr">
        <is>
          <t>တစ်ရက်လျှင် လူတစ်ဦးရရှိသည့် ပျမ်းမျှလုပ်ခမှာ {o_wage_sec_amount} MMK  ဖြစ်ကြောင်း သင်ဖြေဆိုခဲ့သည်။ ထိုအချက်သည် မှန်ကန်ပါသလား။ 
[အော်ပရေတာ- ဟုတ်ပါက၊ "နောက်တစ်ခု" ကို ရွေးပါ။ မဟုတ်ပါက၊ ယခင်မေးခွန်းသို့ ပြန်သွားပြီး အဖြေကို ပြင်ပါ။
1) နောက်တစ်ခု</t>
        </is>
      </c>
      <c r="G78" s="624">
        <f>LEN(F78)</f>
        <v/>
      </c>
      <c r="H78" s="644" t="inlineStr">
        <is>
          <t>Single Choice</t>
        </is>
      </c>
      <c r="I78" s="354" t="inlineStr">
        <is>
          <t>NA</t>
        </is>
      </c>
      <c r="J78" s="354" t="inlineStr">
        <is>
          <t>NA</t>
        </is>
      </c>
      <c r="K78" s="624" t="inlineStr">
        <is>
          <t>Form Type - Buttons</t>
        </is>
      </c>
      <c r="L78" s="339" t="inlineStr">
        <is>
          <t>NA</t>
        </is>
      </c>
      <c r="M78" s="572" t="inlineStr">
        <is>
          <t>1=income_sec_comp</t>
        </is>
      </c>
      <c r="N78" s="580" t="inlineStr">
        <is>
          <t xml:space="preserve">6/30/2023. Added validation check for operator to confirm value was entered properly/correctly and respondent is clear on timeframe. This variable will not appear in dataset. 
</t>
        </is>
      </c>
      <c r="O78" s="577" t="n"/>
      <c r="P78" s="577" t="n"/>
      <c r="Q78" s="578" t="n"/>
      <c r="R78" s="575" t="n"/>
      <c r="S78" s="127" t="n"/>
      <c r="T78" s="123" t="n"/>
      <c r="U78" s="127" t="n"/>
      <c r="V78" s="59" t="n"/>
      <c r="X78" s="63" t="n"/>
      <c r="Y78" s="680" t="n"/>
      <c r="AB78" s="61" t="n"/>
    </row>
    <row r="79" ht="255" customFormat="1" customHeight="1" s="704" thickBot="1">
      <c r="A79" s="367" t="n">
        <v>59</v>
      </c>
      <c r="B79" s="375" t="inlineStr">
        <is>
          <t>income_sec_comp</t>
        </is>
      </c>
      <c r="C79" s="376" t="inlineStr">
        <is>
          <t>income_sec_comp</t>
        </is>
      </c>
      <c r="D79" s="377"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79" s="164">
        <f>LEN(D79)</f>
        <v/>
      </c>
      <c r="F79" s="378" t="inlineStr">
        <is>
          <t>လူကြီးမင်း၏ ပြီးခဲ့သည့် 3 လအတွင်း အိမ်ထောင်စုဝင်ငွေ {income_sec}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is>
      </c>
      <c r="G79" s="164">
        <f>LEN(F79)</f>
        <v/>
      </c>
      <c r="H79" s="165" t="inlineStr">
        <is>
          <t>Single Choice</t>
        </is>
      </c>
      <c r="I79" s="164" t="inlineStr">
        <is>
          <t>NA</t>
        </is>
      </c>
      <c r="J79" s="164" t="inlineStr">
        <is>
          <t>NA</t>
        </is>
      </c>
      <c r="K79" s="164" t="inlineStr">
        <is>
          <t>Form Type - Buttons</t>
        </is>
      </c>
      <c r="L79" s="372" t="inlineStr">
        <is>
          <t>NA</t>
        </is>
      </c>
      <c r="M79" s="370" t="inlineStr">
        <is>
          <t>1-7= income_third</t>
        </is>
      </c>
      <c r="N79" s="373" t="n"/>
      <c r="O79" s="379" t="inlineStr">
        <is>
          <t>if income_sec_comp = 1-7, go to income_third</t>
        </is>
      </c>
      <c r="P79" s="374" t="n"/>
      <c r="Q79" s="168" t="inlineStr">
        <is>
          <t>resp_age = 18-100
hh_agricactivity = 1 | 2 | 3 | 4
quotareached = 2
income_main = 1-18
income_sec = 1-18</t>
        </is>
      </c>
      <c r="R79" s="169" t="n"/>
      <c r="S79" s="172" t="n">
        <v>21.19325637817383</v>
      </c>
      <c r="T79" s="173">
        <f>1</f>
        <v/>
      </c>
      <c r="U79" s="172">
        <f>S79*T79</f>
        <v/>
      </c>
      <c r="V79" s="59" t="n"/>
      <c r="X79" s="63" t="inlineStr">
        <is>
          <t>yes</t>
        </is>
      </c>
      <c r="Y79" s="680" t="n"/>
      <c r="AB79" s="64" t="inlineStr">
        <is>
          <t xml:space="preserve">Change in options #2,4 + question formulation (col D) </t>
        </is>
      </c>
    </row>
    <row r="80" ht="409.5" customFormat="1" customHeight="1" s="704">
      <c r="A80" s="170">
        <f>A79+1</f>
        <v/>
      </c>
      <c r="B80" s="128" t="inlineStr">
        <is>
          <t>income_third</t>
        </is>
      </c>
      <c r="C80" s="136" t="inlineStr">
        <is>
          <t>income_third</t>
        </is>
      </c>
      <c r="D80" s="450" t="inlineStr">
        <is>
          <t>What has been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third most important source of income
20)DON'T KNOW
21)REFUSED</t>
        </is>
      </c>
      <c r="E80" s="631">
        <f>LEN(D80)</f>
        <v/>
      </c>
      <c r="F80" s="360" t="inlineStr">
        <is>
          <t>လွန်ခဲ့သော 3 လအတွင်း လူကြီးမင်းအိမ်ထောင်စု၏ တတိယအ‌ရေးအကြီးဆုံး ဝင်ငွေအရင်းအမြစ်က ဘာပါလဲ။
[အော်ပရေတာ- တုံ့ပြန်မှုတစ်ခုသာ။ ငြင်းဆန်သည့်ရွေးချယ်မှုများကို တတ်နိုင်သမျှ မပြုလုပ်ဘဲ/မရှောင်ရှားဘဲ ဖြေဆိုပေးပါ]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19)တတိယအရေးအကြီးဆုံး ဝင်ငွေအရင်းအမြစ် မရှိပါ
20)မသိပါ 
21)ဖြေဆိုရန် ငြင်းဆန်သည်</t>
        </is>
      </c>
      <c r="G80" s="631">
        <f>LEN(F80)</f>
        <v/>
      </c>
      <c r="H80" s="698" t="inlineStr">
        <is>
          <t>Single Choice</t>
        </is>
      </c>
      <c r="I80" s="631" t="inlineStr">
        <is>
          <t>NA</t>
        </is>
      </c>
      <c r="J80" s="631" t="inlineStr">
        <is>
          <t>NA</t>
        </is>
      </c>
      <c r="K80" s="631" t="inlineStr">
        <is>
          <t>Form Type - Buttons
Exclude selected "income_main"
Exclude selected "income_sec"
IsDemographic</t>
        </is>
      </c>
      <c r="L80" s="628" t="inlineStr">
        <is>
          <t>NA</t>
        </is>
      </c>
      <c r="M80" s="129" t="inlineStr">
        <is>
          <t>1-3 = income_third_cropcheck
4 = income_third_lscheck
5 = income_third_comp
6 = income_third_fishcheck 
7-8 = income_third_comp
9 = o_wage_third_amount
10 = income_third_comp
11 = o_income_third_selfemployed
12 = o_wage_third_amount
13-18 = income_third_comp
19-21 =  o_Income_total_amount</t>
        </is>
      </c>
      <c r="N80" s="131" t="n"/>
      <c r="O80" s="196" t="inlineStr">
        <is>
          <t>if options #1-3 selected go to income_third_cropcheck 
if options #4 selected go to income_third_lscheck 
if options #5 selected go to income_third_fishcheck 
if options #6-18 selected, go to [income_third_comp OR income_third_amount OR income_third_gender] 
if options #19-21 selected, go to shock</t>
        </is>
      </c>
      <c r="P80" s="195" t="n"/>
      <c r="Q80" s="134" t="inlineStr">
        <is>
          <t>resp_age = 18-100
hh_agricactivity = 1 | 2 | 3 | 4
quotareached = 2
income_main = 1-18
income_sec = 1-18</t>
        </is>
      </c>
      <c r="R80" s="138" t="n"/>
      <c r="S80" s="172" t="n">
        <v>20.22992706298828</v>
      </c>
      <c r="T80" s="173">
        <f>1</f>
        <v/>
      </c>
      <c r="U80" s="172">
        <f>S80*T80</f>
        <v/>
      </c>
      <c r="V80" s="59" t="n"/>
      <c r="X80" s="419" t="inlineStr">
        <is>
          <t>yes</t>
        </is>
      </c>
      <c r="Y80" s="680" t="n"/>
      <c r="AB80" s="64" t="inlineStr">
        <is>
          <t>Change in skip pattern (col J)
Change in answer option #1</t>
        </is>
      </c>
    </row>
    <row r="81" ht="206.25" customFormat="1" customHeight="1" s="704">
      <c r="A81" s="366">
        <f>A80+1</f>
        <v/>
      </c>
      <c r="B81" s="351" t="inlineStr">
        <is>
          <t>income_third_cropcheck</t>
        </is>
      </c>
      <c r="C81" s="351" t="inlineStr">
        <is>
          <t>income_third_crop_check</t>
        </is>
      </c>
      <c r="D81" s="356" t="inlineStr">
        <is>
          <t>Are the crops that you sell produced by you or anyone in your household? 
[OPERATOR: SINGLE RESPONSE.]
1)YES
2)NO
3)DON'T KNOW
4)REFUSED</t>
        </is>
      </c>
      <c r="E81" s="354">
        <f>LEN(D81)</f>
        <v/>
      </c>
      <c r="F81" s="342" t="inlineStr">
        <is>
          <t xml:space="preserve">
သင်၏ အဓိက ၀င်ငွေအရင်းအမြစ်ဖြစ်သော လယ်ယာထွက်ကုန်များကို ကိုယ်တိုင် (သို့) မိသားစုဝင်တစ်ဦးဦးမှ ထုတ်လုပ် နေပါသလား။
[အော်ပရေတာ- တုံ့ပြန်မှုတစ်ခုသာ။]
1)ဟုတ်သည်
2)မဟုတ်ပါ
3)မသိပါ
4)ငြင်းဆိုသည်။
</t>
        </is>
      </c>
      <c r="G81" s="354">
        <f>LEN(F81)</f>
        <v/>
      </c>
      <c r="H81" s="352" t="inlineStr">
        <is>
          <t>Single Choice</t>
        </is>
      </c>
      <c r="I81" s="354" t="inlineStr">
        <is>
          <t>NA</t>
        </is>
      </c>
      <c r="J81" s="354" t="inlineStr">
        <is>
          <t>NA</t>
        </is>
      </c>
      <c r="K81" s="354" t="inlineStr">
        <is>
          <t>Form Type - Buttons</t>
        </is>
      </c>
      <c r="L81" s="624" t="inlineStr">
        <is>
          <t>NA</t>
        </is>
      </c>
      <c r="M81" s="353" t="inlineStr">
        <is>
          <t>1-4 = income_third_comp</t>
        </is>
      </c>
      <c r="N81" s="131" t="n"/>
      <c r="O81" s="196" t="inlineStr">
        <is>
          <t>if options #1-4, go to [income_third_comp OR income_third_amount OR income_third_gender]</t>
        </is>
      </c>
      <c r="P81" s="195" t="n"/>
      <c r="Q81" s="134" t="inlineStr">
        <is>
          <t>resp_age = 18-100
hh_agricactivity = 1 | 2 | 3 | 4
quotareached = 2
income_third = 1 | 2 | 3</t>
        </is>
      </c>
      <c r="R81" s="138" t="n"/>
      <c r="S81" s="172" t="n"/>
      <c r="T81" s="173">
        <f>1</f>
        <v/>
      </c>
      <c r="U81" s="172">
        <f>S81*T81</f>
        <v/>
      </c>
      <c r="V81" s="59" t="n"/>
      <c r="X81" s="419" t="inlineStr">
        <is>
          <t>yes</t>
        </is>
      </c>
      <c r="Y81" s="680" t="n"/>
      <c r="AB81" s="61" t="inlineStr">
        <is>
          <t>New question</t>
        </is>
      </c>
    </row>
    <row r="82" ht="206.25" customFormat="1" customHeight="1" s="704">
      <c r="A82" s="366">
        <f>A81+1</f>
        <v/>
      </c>
      <c r="B82" s="351" t="inlineStr">
        <is>
          <t>income_third_lscheck</t>
        </is>
      </c>
      <c r="C82" s="351" t="inlineStr">
        <is>
          <t>income_third_ls_check</t>
        </is>
      </c>
      <c r="D82" s="356" t="inlineStr">
        <is>
          <t>Are the livestock and livestock products that you sell produced by you or anyone in your household? 
[OPERATOR: SINGLE RESPONSE.]
1)YES
2)NO
3)DON'T KNOW
4)REFUSED</t>
        </is>
      </c>
      <c r="E82" s="354">
        <f>LEN(D82)</f>
        <v/>
      </c>
      <c r="F82" s="342" t="inlineStr">
        <is>
          <t xml:space="preserve">
သင်၏ အဓိက ၀င်ငွေအရင်းအမြစ်ဖြစ်သော မွေးမြူရေးထုက်ကုန်များကို ကိုယ်တိုင် (သို့) မိသားစုဝင်တစ်ဦးဦးမှ ထုတ်လုပ် နေပါသလား။။
[အော်ပရေတာ- တုံ့ပြန်မှုတစ်ခုသာ။]
1)ဟုတ်သည်
2)မဟုတ်ပါ
3)မသိပါ
4)ငြင်းဆိုသည်။
</t>
        </is>
      </c>
      <c r="G82" s="354">
        <f>LEN(F82)</f>
        <v/>
      </c>
      <c r="H82" s="352" t="inlineStr">
        <is>
          <t>Single Choice</t>
        </is>
      </c>
      <c r="I82" s="354" t="inlineStr">
        <is>
          <t>NA</t>
        </is>
      </c>
      <c r="J82" s="354" t="inlineStr">
        <is>
          <t>NA</t>
        </is>
      </c>
      <c r="K82" s="354" t="inlineStr">
        <is>
          <t>Form Type - Buttons</t>
        </is>
      </c>
      <c r="L82" s="624" t="inlineStr">
        <is>
          <t>NA</t>
        </is>
      </c>
      <c r="M82" s="353" t="inlineStr">
        <is>
          <t>1-4 = income_third_comp</t>
        </is>
      </c>
      <c r="N82" s="131" t="n"/>
      <c r="O82" s="196" t="inlineStr">
        <is>
          <t>if options #1-4, go to [income_third_comp OR income_third_amount OR income_third_gender]</t>
        </is>
      </c>
      <c r="P82" s="195" t="n"/>
      <c r="Q82" s="134" t="inlineStr">
        <is>
          <t>resp_age = 18-100
hh_agricactivity = 1 | 2 | 3 | 4
quotareached = 2
income_third = 4</t>
        </is>
      </c>
      <c r="R82" s="138" t="n"/>
      <c r="S82" s="172" t="n"/>
      <c r="T82" s="173">
        <f>1</f>
        <v/>
      </c>
      <c r="U82" s="172">
        <f>S82*T82</f>
        <v/>
      </c>
      <c r="V82" s="59" t="n"/>
      <c r="X82" s="419" t="inlineStr">
        <is>
          <t>yes</t>
        </is>
      </c>
      <c r="Y82" s="680" t="n"/>
      <c r="AB82" s="61" t="inlineStr">
        <is>
          <t>New question</t>
        </is>
      </c>
    </row>
    <row r="83" ht="206.25" customFormat="1" customHeight="1" s="704">
      <c r="A83" s="350">
        <f>A82+1</f>
        <v/>
      </c>
      <c r="B83" s="351" t="inlineStr">
        <is>
          <t>income_third_fishcheck</t>
        </is>
      </c>
      <c r="C83" s="351" t="inlineStr">
        <is>
          <t>income_third_fish_check</t>
        </is>
      </c>
      <c r="D83" s="356" t="inlineStr">
        <is>
          <t>Are the fish products that you sell produced by you or anyone in your household? 
[OPERATOR: SINGLE RESPONSE.]
1)YES
2)NO
3)DON'T KNOW
4)REFUSED</t>
        </is>
      </c>
      <c r="E83" s="354">
        <f>LEN(D83)</f>
        <v/>
      </c>
      <c r="F83" s="342" t="inlineStr">
        <is>
          <t xml:space="preserve">
သင်၏ အဓိက ၀င်ငွေအရင်းအမြစ်ဖြစ်သော ရေထွက်ကုန်များကို ကိုယ်တိုင် (သို့) မိသားစုဝင်တစ်ဦးဦးမှ ထုတ်လုပ် နေပါသလား။
[အော်ပရေတာ- တုံ့ပြန်မှုတစ်ခုသာ။]
1)ဟုတ်သည်
2)မဟုတ်ပါ
3)မသိပါ
4)ငြင်းဆိုသည်။
</t>
        </is>
      </c>
      <c r="G83" s="354">
        <f>LEN(F83)</f>
        <v/>
      </c>
      <c r="H83" s="352" t="inlineStr">
        <is>
          <t>Single Choice</t>
        </is>
      </c>
      <c r="I83" s="354" t="inlineStr">
        <is>
          <t>NA</t>
        </is>
      </c>
      <c r="J83" s="354" t="inlineStr">
        <is>
          <t>NA</t>
        </is>
      </c>
      <c r="K83" s="354" t="inlineStr">
        <is>
          <t>Form Type - Buttons</t>
        </is>
      </c>
      <c r="L83" s="624" t="inlineStr">
        <is>
          <t>NA</t>
        </is>
      </c>
      <c r="M83" s="353" t="inlineStr">
        <is>
          <t>1-4 = income_third_comp</t>
        </is>
      </c>
      <c r="N83" s="131" t="n"/>
      <c r="O83" s="196" t="inlineStr">
        <is>
          <t>if options #1-4, go to [income_third_comp OR income_third_amount OR income_third_gender]</t>
        </is>
      </c>
      <c r="P83" s="195" t="n"/>
      <c r="Q83" s="134" t="inlineStr">
        <is>
          <t>resp_age = 18-100
hh_agricactivity = 1 | 2 | 3 | 4
quotareached = 2
income_third = 5</t>
        </is>
      </c>
      <c r="R83" s="138" t="n"/>
      <c r="S83" s="172" t="n"/>
      <c r="T83" s="173">
        <f>1</f>
        <v/>
      </c>
      <c r="U83" s="172">
        <f>S83*T83</f>
        <v/>
      </c>
      <c r="V83" s="59" t="n"/>
      <c r="X83" s="419" t="inlineStr">
        <is>
          <t>yes</t>
        </is>
      </c>
      <c r="Y83" s="680" t="n"/>
      <c r="AB83" s="61" t="inlineStr">
        <is>
          <t>New question</t>
        </is>
      </c>
    </row>
    <row r="84" ht="264.6" customFormat="1" customHeight="1" s="704">
      <c r="A84" s="350">
        <f>A83+1</f>
        <v/>
      </c>
      <c r="B84" s="357" t="inlineStr">
        <is>
          <t>o_income_third_selfemployed</t>
        </is>
      </c>
      <c r="C84" s="357" t="inlineStr">
        <is>
          <t>o_income_third_selfemployed</t>
        </is>
      </c>
      <c r="D84" s="358" t="inlineStr">
        <is>
          <t>What type of self-employment / liberal profession?
[OPERATOR: SINGLE RESPONSE.]
1)Liberal profession [doctor/architect/layer...]
2)Petty trade/selling on streets [own business/self or with family]
3)Small trade [own business/&lt;5 employees]
4)Medium/large trade [own business/&gt;=5 employees]
5)Other
6)DON'T KNOW
7)REFUSED</t>
        </is>
      </c>
      <c r="E84" s="354">
        <f>LEN(D84)</f>
        <v/>
      </c>
      <c r="F84" s="342" t="inlineStr">
        <is>
          <t>သင်သည် မည်သို့သော ကိုယ်ပိုင် အလုပ်/ ပညာရှင် အလုပ်မျိုးကို လုပ် ကိုင်ပါသနည်း။
[အော်ပရေတာ- တုံ့ပြန်မှုတစ်ခုသာ။]
1)ပညာရှင် [ဆရာဝန်/အင်ဂျင်နီယာ/ရှေ့နေ စသည်]
2)လမ်ဘေးဈေးသည် [ကိုယ်ပိုင်]
3)အသေးစား ကုန်သွယ်မှု [ကိုယ်ပိုင်]
4)အလယ်အလတ်/အကြီးစား ကုန်သည်[ကိုယ်ပိုင်]
5)အခြား
6)မသိ
7)ငြင်းဆို</t>
        </is>
      </c>
      <c r="G84" s="354">
        <f>LEN(F84)</f>
        <v/>
      </c>
      <c r="H84" s="352" t="inlineStr">
        <is>
          <t>Single Choice</t>
        </is>
      </c>
      <c r="I84" s="354" t="inlineStr">
        <is>
          <t>NA</t>
        </is>
      </c>
      <c r="J84" s="354" t="inlineStr">
        <is>
          <t>NA</t>
        </is>
      </c>
      <c r="K84" s="354" t="inlineStr">
        <is>
          <t>Form Type - Buttons</t>
        </is>
      </c>
      <c r="L84" s="624" t="inlineStr">
        <is>
          <t>NA</t>
        </is>
      </c>
      <c r="M84" s="353" t="inlineStr">
        <is>
          <t>1-7 = income_third_comp</t>
        </is>
      </c>
      <c r="N84" s="178" t="n"/>
      <c r="O84" s="195" t="n"/>
      <c r="P84" s="195" t="n"/>
      <c r="Q84" s="134" t="n"/>
      <c r="R84" s="138" t="n"/>
      <c r="S84" s="127" t="n"/>
      <c r="T84" s="123">
        <f>1</f>
        <v/>
      </c>
      <c r="U84" s="127">
        <f>S84*T84</f>
        <v/>
      </c>
      <c r="V84" s="59" t="n"/>
      <c r="X84" s="63" t="n"/>
      <c r="Y84" s="680" t="n"/>
      <c r="AB84" s="61" t="n"/>
    </row>
    <row r="85" ht="151.5" customFormat="1" customHeight="1" s="704">
      <c r="A85" s="350">
        <f>A84+1</f>
        <v/>
      </c>
      <c r="B85" s="365" t="inlineStr">
        <is>
          <t>o_wage_third_amount</t>
        </is>
      </c>
      <c r="C85" s="357" t="inlineStr">
        <is>
          <t>o_wage_third_amount</t>
        </is>
      </c>
      <c r="D85" s="342" t="inlineStr">
        <is>
          <t xml:space="preserve">What was the typical wage for wage labourers per person per day  in the past one month (30 days)?
[OPERATOR: RECORD NUMBER GIVEN. ENTER 8888888 FOR DON'T KNOW &amp; 9999999 FOR REFUSED.] </t>
        </is>
      </c>
      <c r="E85" s="624">
        <f>LEN(D85)</f>
        <v/>
      </c>
      <c r="F85" s="342" t="inlineStr">
        <is>
          <t>လွန်ခဲ့သည့်  ရက် ၃၀ အတွင်းမှာ လူတစ်ဦးလျှင် တစ်ရက်လျှင် လုပ်ခ မည်မျှရှိသနည်း။
[အော်ပရေတာ- မှတ်တမ်းနံပါတ်ကို အကြောင်းမဲ့။ မသိခြင်းအတွက် 8888888 နှင့် 9999999 ကို ငြင်းဆိုရန်။]</t>
        </is>
      </c>
      <c r="G85" s="624">
        <f>LEN(F85)</f>
        <v/>
      </c>
      <c r="H85" s="624" t="inlineStr">
        <is>
          <t>Range</t>
        </is>
      </c>
      <c r="I85" s="624" t="inlineStr">
        <is>
          <t>NA</t>
        </is>
      </c>
      <c r="J85" s="624" t="inlineStr">
        <is>
          <t>NA</t>
        </is>
      </c>
      <c r="K85" s="624" t="inlineStr">
        <is>
          <t>Form Type - TextBox
IsDemographic</t>
        </is>
      </c>
      <c r="L85" s="624" t="inlineStr">
        <is>
          <t>NA</t>
        </is>
      </c>
      <c r="M85" s="572" t="inlineStr">
        <is>
          <t>1 00- 800000 = o_wage_third_amount_Check
8888888-8888888 = income_third_comp
9999999-9999999 = income_third_comp</t>
        </is>
      </c>
      <c r="N85" s="573" t="n"/>
      <c r="O85" s="195" t="inlineStr">
        <is>
          <t>if options #1-4, go to [income_third_comp OR income_third_amount]</t>
        </is>
      </c>
      <c r="P85" s="195" t="n"/>
      <c r="Q85" s="134" t="inlineStr">
        <is>
          <t>resp_age = 18-100
hh_agricactivity = 1 | 2 | 3 | 4
quotareached = 2
income_third =  1-18</t>
        </is>
      </c>
      <c r="R85" s="138" t="n"/>
      <c r="S85" s="127" t="n">
        <v>17</v>
      </c>
      <c r="T85" s="123">
        <f>1</f>
        <v/>
      </c>
      <c r="U85" s="127">
        <f>S85*T85</f>
        <v/>
      </c>
      <c r="V85" s="59" t="n"/>
      <c r="X85" s="63" t="inlineStr">
        <is>
          <t>no</t>
        </is>
      </c>
      <c r="Y85" s="680" t="n"/>
      <c r="AB85" s="61" t="inlineStr">
        <is>
          <t>New question</t>
        </is>
      </c>
    </row>
    <row r="86" ht="192" customFormat="1" customHeight="1" s="704">
      <c r="A86" s="350" t="n">
        <v>66</v>
      </c>
      <c r="B86" s="357" t="inlineStr">
        <is>
          <t>o_wage_third_amount_Check</t>
        </is>
      </c>
      <c r="C86" s="357" t="inlineStr">
        <is>
          <t>o_wage_third_amount_Check</t>
        </is>
      </c>
      <c r="D86" s="358" t="inlineStr">
        <is>
          <t xml:space="preserve">You reported the average wage a person recieved per day was {o_wage_third_amount} MMK. Is this correct?
[OPERATOR: IF YES, SELECT "NEXT". IF NO, GO BACK TO THE PREVIOUS QUESTION AND CORRECT THE ANSWER.]
1)NEXT </t>
        </is>
      </c>
      <c r="E86" s="354" t="n"/>
      <c r="F86" s="342" t="inlineStr">
        <is>
          <t>တစ်ရက်လျှင် လူတစ်ဦးရရှိသည့် ပျမ်းမျှလုပ်ခမှာ {o_wage_third_amount} MMK  ဖြစ်ကြောင်း သင်ဖြေဆိုခဲ့သည်။ ထိုအချက်သည် မှန်ကန်ပါသလား။ 
[အော်ပရေတာ- ဟုတ်ပါက၊ "နောက်တစ်ခု" ကို ရွေးပါ။ မဟုတ်ပါက၊ ယခင်မေးခွန်းသို့ ပြန်သွားပြီး အဖြေကို ပြင်ပါ။
1) နောက်တစ်ခု</t>
        </is>
      </c>
      <c r="G86" s="624">
        <f>LEN(F86)</f>
        <v/>
      </c>
      <c r="H86" s="644" t="inlineStr">
        <is>
          <t>Single Choice</t>
        </is>
      </c>
      <c r="I86" s="354" t="inlineStr">
        <is>
          <t>NA</t>
        </is>
      </c>
      <c r="J86" s="354" t="inlineStr">
        <is>
          <t>NA</t>
        </is>
      </c>
      <c r="K86" s="624" t="inlineStr">
        <is>
          <t>Form Type - Buttons</t>
        </is>
      </c>
      <c r="L86" s="339" t="inlineStr">
        <is>
          <t>NA</t>
        </is>
      </c>
      <c r="M86" s="572" t="inlineStr">
        <is>
          <t>1=income_third_comp</t>
        </is>
      </c>
      <c r="N86" s="573" t="inlineStr">
        <is>
          <t xml:space="preserve">6/30/2023. Added validation check for operator to confirm value was entered properly/correctly and respondent is clear on timeframe. This variable will not appear in dataset. 
</t>
        </is>
      </c>
      <c r="O86" s="195" t="n"/>
      <c r="P86" s="195" t="n"/>
      <c r="Q86" s="134" t="n"/>
      <c r="R86" s="138" t="n"/>
      <c r="S86" s="127" t="n"/>
      <c r="T86" s="123" t="n"/>
      <c r="U86" s="127" t="n"/>
      <c r="V86" s="59" t="n"/>
      <c r="X86" s="63" t="n"/>
      <c r="Y86" s="680" t="n"/>
      <c r="AB86" s="61" t="n"/>
    </row>
    <row r="87" ht="258.6" customFormat="1" customHeight="1" s="704">
      <c r="A87" s="350" t="n">
        <v>67</v>
      </c>
      <c r="B87" s="351" t="inlineStr">
        <is>
          <t>income_third_comp</t>
        </is>
      </c>
      <c r="C87" s="352" t="inlineStr">
        <is>
          <t>income_third_comp</t>
        </is>
      </c>
      <c r="D87" s="581"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87" s="354">
        <f>LEN(D87)</f>
        <v/>
      </c>
      <c r="F87" s="582" t="inlineStr">
        <is>
          <t>လူကြီးမင်း၏ ပြီးခဲ့သည့် 3 လအတွင်း အိမ်ထောင်စုဝင်ငွေ {income_third}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is>
      </c>
      <c r="G87" s="354">
        <f>LEN(F87)</f>
        <v/>
      </c>
      <c r="H87" s="363" t="inlineStr">
        <is>
          <t>Single Choice</t>
        </is>
      </c>
      <c r="I87" s="354" t="inlineStr">
        <is>
          <t>NA</t>
        </is>
      </c>
      <c r="J87" s="354" t="inlineStr">
        <is>
          <t>NA</t>
        </is>
      </c>
      <c r="K87" s="354" t="inlineStr">
        <is>
          <t>Form Type - Buttons</t>
        </is>
      </c>
      <c r="L87" s="624" t="inlineStr">
        <is>
          <t>NA</t>
        </is>
      </c>
      <c r="M87" s="362" t="inlineStr">
        <is>
          <t>1-7=  o_Income_total_amount</t>
        </is>
      </c>
      <c r="N87" s="585" t="n"/>
      <c r="O87" s="198" t="inlineStr">
        <is>
          <t>if income_third_comp = 1-7, go to shock OR income_gender_control</t>
        </is>
      </c>
      <c r="P87" s="199" t="n"/>
      <c r="Q87" s="148" t="inlineStr">
        <is>
          <t>resp_age = 18-100
hh_agricactivity = 1 | 2 | 3 | 4
quotareached = 2
income_main = 1-18
income_sec = 1-18
income_third = 1-18</t>
        </is>
      </c>
      <c r="R87" s="149" t="n"/>
      <c r="S87" s="172" t="n">
        <v>16.34839630126953</v>
      </c>
      <c r="T87" s="173">
        <f>1</f>
        <v/>
      </c>
      <c r="U87" s="172">
        <f>S87*T87</f>
        <v/>
      </c>
      <c r="V87" s="59" t="n"/>
      <c r="X87" s="63" t="inlineStr">
        <is>
          <t>yes</t>
        </is>
      </c>
      <c r="Y87" s="680" t="n"/>
      <c r="AB87" s="64" t="inlineStr">
        <is>
          <t xml:space="preserve">Change in options #2,4 + question formulation (col D) </t>
        </is>
      </c>
    </row>
    <row r="88" ht="243" customFormat="1" customHeight="1" s="704">
      <c r="A88" s="350">
        <f>A87+1</f>
        <v/>
      </c>
      <c r="B88" s="583" t="inlineStr">
        <is>
          <t>o_Income_total_amount</t>
        </is>
      </c>
      <c r="C88" s="357" t="inlineStr">
        <is>
          <t>o_Income_total_amount</t>
        </is>
      </c>
      <c r="D88" s="358" t="inlineStr">
        <is>
          <t>How much was the household's total income during the last four weeks [one month]? 
[OPERATOR: RECORD TOTAL INCOME FOR THE LAST FOUR WEEKS. ENTER 8888888 FOR DON'T KNOW &amp; 9999999 FOR REFUSED]
[NOTE: THERE ARE {HHIncEarners} HOUSEHOLD INCOME EARNERS AND MAIN SOURCE OF INCOME IS {income_main}]</t>
        </is>
      </c>
      <c r="E88" s="624">
        <f>LEN(D88)</f>
        <v/>
      </c>
      <c r="F88" s="625" t="inlineStr">
        <is>
          <t xml:space="preserve">လွန်ခဲသော တစ်လအတွင်း သင်အိမ်ထောင်စု၏ စုစုပေါင်းဝင်ငွေသည် ဘယ်လောက်လဲ။
[အော်ပရေတာ- နောက်ဆုံး လေးပတ်တာအတွက် စုစုပေါင်းဝင်ငွေကို မှတ်တမ်းတင်ပါ။ မသိပါဟု ဖြေဆိုပါက 8888888 ဟု ဖြည့်သွင်းပြီး ဖြေဆိုရန် ငြင်းဆန်သည်ကို ရွေးချယ်ပါက 9999999 ဟု ဖြည့်သွင်းပါ]                               
 [မှတ်ချက် အိမ်ထောင်စုတွင် ဝင်ငွေရှာသူများ{HHIncEarners} ရှိပြီး ဝင်ငွေ၏အဓိကအရင်းအမြစ်မှာ {income_main}ဖြစ်သည်။]                                                        </t>
        </is>
      </c>
      <c r="G88" s="624">
        <f>LEN(F88)</f>
        <v/>
      </c>
      <c r="H88" s="361" t="inlineStr">
        <is>
          <t>Range</t>
        </is>
      </c>
      <c r="I88" s="624" t="inlineStr">
        <is>
          <t>NA</t>
        </is>
      </c>
      <c r="J88" s="624" t="inlineStr">
        <is>
          <t>NA</t>
        </is>
      </c>
      <c r="K88" s="624" t="inlineStr">
        <is>
          <t>Form Type - TextBox
IsDemographic</t>
        </is>
      </c>
      <c r="L88" s="624" t="inlineStr">
        <is>
          <t>NA</t>
        </is>
      </c>
      <c r="M88" s="572" t="inlineStr">
        <is>
          <t>0=o_Income_total_amount_conf
10000-8000000 = o_Income_total_amount_conf
8888888-8888888 = o_Income_total_comp
9999999-9999999 = o_Income_total_comp</t>
        </is>
      </c>
      <c r="N88" s="586" t="inlineStr">
        <is>
          <t xml:space="preserve">6/30/2023. Added suggested notes to aid operators in identifying potential outliers for further probing if needed. </t>
        </is>
      </c>
      <c r="O88" s="422" t="n"/>
      <c r="P88" s="422" t="n"/>
      <c r="Q88" s="148" t="inlineStr">
        <is>
          <t>resp_age = 18-100
hh_agricactivity = 1 | 2 | 3 | 4
(income_main_gender = 1) | (income_sec_gender = 1) | (income_third_gender = 1)
quotareached = 2</t>
        </is>
      </c>
      <c r="R88" s="149" t="n"/>
      <c r="S88" s="127" t="n">
        <v>0</v>
      </c>
      <c r="T88" s="123">
        <f>1</f>
        <v/>
      </c>
      <c r="U88" s="127">
        <f>S88*T88</f>
        <v/>
      </c>
      <c r="V88" s="59" t="n"/>
      <c r="W88" s="587" t="n"/>
      <c r="X88" s="63" t="inlineStr">
        <is>
          <t>no</t>
        </is>
      </c>
      <c r="Y88" s="680" t="n"/>
      <c r="Z88" s="587" t="n"/>
      <c r="AA88" s="587" t="n"/>
      <c r="AB88" s="587" t="inlineStr">
        <is>
          <t>New question</t>
        </is>
      </c>
      <c r="AC88" s="587" t="n"/>
      <c r="AD88" s="587" t="n"/>
      <c r="AE88" s="587" t="n"/>
      <c r="AF88" s="587" t="n"/>
      <c r="AG88" s="587" t="n"/>
      <c r="AH88" s="587" t="n"/>
      <c r="AI88" s="587" t="n"/>
      <c r="AJ88" s="587" t="n"/>
      <c r="AK88" s="587" t="n"/>
      <c r="AL88" s="587" t="n"/>
      <c r="AM88" s="587" t="n"/>
      <c r="AN88" s="587" t="n"/>
      <c r="AO88" s="587" t="n"/>
      <c r="AP88" s="587" t="n"/>
      <c r="AQ88" s="587" t="n"/>
      <c r="AR88" s="587" t="n"/>
      <c r="AS88" s="587" t="n"/>
      <c r="AT88" s="587" t="n"/>
      <c r="AU88" s="587" t="n"/>
      <c r="AV88" s="587" t="n"/>
      <c r="AW88" s="587" t="n"/>
      <c r="AX88" s="587" t="n"/>
      <c r="AY88" s="587" t="n"/>
      <c r="AZ88" s="587" t="n"/>
      <c r="BA88" s="587" t="n"/>
      <c r="BB88" s="587" t="n"/>
      <c r="BC88" s="587" t="n"/>
      <c r="BD88" s="587" t="n"/>
      <c r="BE88" s="587" t="n"/>
      <c r="BF88" s="587" t="n"/>
      <c r="BG88" s="587" t="n"/>
      <c r="BH88" s="587" t="n"/>
      <c r="BI88" s="587" t="n"/>
      <c r="BJ88" s="587" t="n"/>
      <c r="BK88" s="587" t="n"/>
      <c r="BL88" s="587" t="n"/>
      <c r="BM88" s="587" t="n"/>
      <c r="BN88" s="587" t="n"/>
      <c r="BO88" s="587" t="n"/>
      <c r="BP88" s="587" t="n"/>
      <c r="BQ88" s="587" t="n"/>
      <c r="BR88" s="587" t="n"/>
      <c r="BS88" s="587" t="n"/>
      <c r="BT88" s="587" t="n"/>
      <c r="BU88" s="587" t="n"/>
      <c r="BV88" s="587" t="n"/>
      <c r="BW88" s="587" t="n"/>
      <c r="BX88" s="587" t="n"/>
      <c r="BY88" s="587" t="n"/>
      <c r="BZ88" s="587" t="n"/>
      <c r="CA88" s="587" t="n"/>
      <c r="CB88" s="587" t="n"/>
      <c r="CC88" s="587" t="n"/>
      <c r="CD88" s="587" t="n"/>
      <c r="CE88" s="587" t="n"/>
      <c r="CF88" s="587" t="n"/>
      <c r="CG88" s="587" t="n"/>
      <c r="CH88" s="587" t="n"/>
      <c r="CI88" s="587" t="n"/>
      <c r="CJ88" s="587" t="n"/>
      <c r="CK88" s="587" t="n"/>
      <c r="CL88" s="587" t="n"/>
      <c r="CM88" s="587" t="n"/>
      <c r="CN88" s="587" t="n"/>
      <c r="CO88" s="587" t="n"/>
      <c r="CP88" s="587" t="n"/>
      <c r="CQ88" s="587" t="n"/>
      <c r="CR88" s="587" t="n"/>
      <c r="CS88" s="587" t="n"/>
      <c r="CT88" s="587" t="n"/>
      <c r="CU88" s="587" t="n"/>
      <c r="CV88" s="587" t="n"/>
      <c r="CW88" s="587" t="n"/>
      <c r="CX88" s="587" t="n"/>
      <c r="CY88" s="587" t="n"/>
      <c r="CZ88" s="587" t="n"/>
      <c r="DA88" s="587" t="n"/>
      <c r="DB88" s="587" t="n"/>
      <c r="DC88" s="587" t="n"/>
      <c r="DD88" s="587" t="n"/>
      <c r="DE88" s="587" t="n"/>
      <c r="DF88" s="587" t="n"/>
      <c r="DG88" s="587" t="n"/>
      <c r="DH88" s="587" t="n"/>
      <c r="DI88" s="587" t="n"/>
      <c r="DJ88" s="587" t="n"/>
      <c r="DK88" s="587" t="n"/>
      <c r="DL88" s="587" t="n"/>
      <c r="DM88" s="587" t="n"/>
      <c r="DN88" s="587" t="n"/>
      <c r="DO88" s="587" t="n"/>
      <c r="DP88" s="587" t="n"/>
      <c r="DQ88" s="587" t="n"/>
      <c r="DR88" s="587" t="n"/>
      <c r="DS88" s="587" t="n"/>
      <c r="DT88" s="587" t="n"/>
      <c r="DU88" s="587" t="n"/>
      <c r="DV88" s="587" t="n"/>
      <c r="DW88" s="587" t="n"/>
      <c r="DX88" s="587" t="n"/>
      <c r="DY88" s="587" t="n"/>
      <c r="DZ88" s="587" t="n"/>
      <c r="EA88" s="587" t="n"/>
      <c r="EB88" s="587" t="n"/>
      <c r="EC88" s="587" t="n"/>
      <c r="ED88" s="587" t="n"/>
      <c r="EE88" s="587" t="n"/>
      <c r="EF88" s="587" t="n"/>
      <c r="EG88" s="587" t="n"/>
      <c r="EH88" s="587" t="n"/>
      <c r="EI88" s="587" t="n"/>
      <c r="EJ88" s="587" t="n"/>
      <c r="EK88" s="587" t="n"/>
      <c r="EL88" s="587" t="n"/>
      <c r="EM88" s="587" t="n"/>
      <c r="EN88" s="587" t="n"/>
      <c r="EO88" s="587" t="n"/>
      <c r="EP88" s="587" t="n"/>
      <c r="EQ88" s="587" t="n"/>
      <c r="ER88" s="587" t="n"/>
      <c r="ES88" s="587" t="n"/>
      <c r="ET88" s="587" t="n"/>
      <c r="EU88" s="587" t="n"/>
      <c r="EV88" s="587" t="n"/>
      <c r="EW88" s="587" t="n"/>
      <c r="EX88" s="587" t="n"/>
      <c r="EY88" s="587" t="n"/>
      <c r="EZ88" s="587" t="n"/>
      <c r="FA88" s="587" t="n"/>
      <c r="FB88" s="587" t="n"/>
      <c r="FC88" s="587" t="n"/>
      <c r="FD88" s="587" t="n"/>
      <c r="FE88" s="587" t="n"/>
      <c r="FF88" s="587" t="n"/>
      <c r="FG88" s="587" t="n"/>
      <c r="FH88" s="587" t="n"/>
      <c r="FI88" s="587" t="n"/>
      <c r="FJ88" s="587" t="n"/>
      <c r="FK88" s="587" t="n"/>
      <c r="FL88" s="587" t="n"/>
      <c r="FM88" s="587" t="n"/>
      <c r="FN88" s="587" t="n"/>
      <c r="FO88" s="587" t="n"/>
      <c r="FP88" s="587" t="n"/>
      <c r="FQ88" s="587" t="n"/>
      <c r="FR88" s="587" t="n"/>
      <c r="FS88" s="587" t="n"/>
      <c r="FT88" s="587" t="n"/>
      <c r="FU88" s="587" t="n"/>
      <c r="FV88" s="587" t="n"/>
      <c r="FW88" s="587" t="n"/>
      <c r="FX88" s="587" t="n"/>
      <c r="FY88" s="587" t="n"/>
      <c r="FZ88" s="587" t="n"/>
      <c r="GA88" s="587" t="n"/>
      <c r="GB88" s="587" t="n"/>
      <c r="GC88" s="587" t="n"/>
      <c r="GD88" s="587" t="n"/>
      <c r="GE88" s="587" t="n"/>
      <c r="GF88" s="587" t="n"/>
      <c r="GG88" s="587" t="n"/>
      <c r="GH88" s="587" t="n"/>
      <c r="GI88" s="587" t="n"/>
      <c r="GJ88" s="587" t="n"/>
      <c r="GK88" s="587" t="n"/>
      <c r="GL88" s="587" t="n"/>
      <c r="GM88" s="587" t="n"/>
      <c r="GN88" s="587" t="n"/>
      <c r="GO88" s="587" t="n"/>
      <c r="GP88" s="587" t="n"/>
      <c r="GQ88" s="587" t="n"/>
      <c r="GR88" s="587" t="n"/>
      <c r="GS88" s="587" t="n"/>
      <c r="GT88" s="587" t="n"/>
      <c r="GU88" s="587" t="n"/>
      <c r="GV88" s="587" t="n"/>
      <c r="GW88" s="587" t="n"/>
      <c r="GX88" s="587" t="n"/>
      <c r="GY88" s="587" t="n"/>
      <c r="GZ88" s="587" t="n"/>
      <c r="HA88" s="587" t="n"/>
      <c r="HB88" s="587" t="n"/>
      <c r="HC88" s="587" t="n"/>
      <c r="HD88" s="587" t="n"/>
      <c r="HE88" s="587" t="n"/>
      <c r="HF88" s="587" t="n"/>
      <c r="HG88" s="587" t="n"/>
      <c r="HH88" s="587" t="n"/>
      <c r="HI88" s="587" t="n"/>
      <c r="HJ88" s="587" t="n"/>
      <c r="HK88" s="587" t="n"/>
      <c r="HL88" s="587" t="n"/>
      <c r="HM88" s="587" t="n"/>
      <c r="HN88" s="587" t="n"/>
      <c r="HO88" s="587" t="n"/>
      <c r="HP88" s="587" t="n"/>
      <c r="HQ88" s="587" t="n"/>
      <c r="HR88" s="587" t="n"/>
      <c r="HS88" s="587" t="n"/>
      <c r="HT88" s="587" t="n"/>
      <c r="HU88" s="587" t="n"/>
      <c r="HV88" s="587" t="n"/>
      <c r="HW88" s="587" t="n"/>
      <c r="HX88" s="587" t="n"/>
      <c r="HY88" s="587" t="n"/>
      <c r="HZ88" s="587" t="n"/>
      <c r="IA88" s="587" t="n"/>
      <c r="IB88" s="587" t="n"/>
      <c r="IC88" s="587" t="n"/>
      <c r="ID88" s="587" t="n"/>
      <c r="IE88" s="587" t="n"/>
      <c r="IF88" s="587" t="n"/>
      <c r="IG88" s="587" t="n"/>
      <c r="IH88" s="587" t="n"/>
      <c r="II88" s="587" t="n"/>
      <c r="IJ88" s="587" t="n"/>
      <c r="IK88" s="587" t="n"/>
      <c r="IL88" s="587" t="n"/>
      <c r="IM88" s="587" t="n"/>
      <c r="IN88" s="587" t="n"/>
      <c r="IO88" s="587" t="n"/>
      <c r="IP88" s="587" t="n"/>
      <c r="IQ88" s="587" t="n"/>
      <c r="IR88" s="587" t="n"/>
      <c r="IS88" s="587" t="n"/>
      <c r="IT88" s="587" t="n"/>
      <c r="IU88" s="587" t="n"/>
      <c r="IV88" s="587" t="n"/>
      <c r="IW88" s="587" t="n"/>
      <c r="IX88" s="587" t="n"/>
      <c r="IY88" s="587" t="n"/>
      <c r="IZ88" s="587" t="n"/>
      <c r="JA88" s="587" t="n"/>
      <c r="JB88" s="587" t="n"/>
      <c r="JC88" s="587" t="n"/>
      <c r="JD88" s="587" t="n"/>
      <c r="JE88" s="587" t="n"/>
      <c r="JF88" s="587" t="n"/>
      <c r="JG88" s="587" t="n"/>
      <c r="JH88" s="587" t="n"/>
      <c r="JI88" s="587" t="n"/>
      <c r="JJ88" s="587" t="n"/>
      <c r="JK88" s="587" t="n"/>
      <c r="JL88" s="587" t="n"/>
      <c r="JM88" s="587" t="n"/>
      <c r="JN88" s="587" t="n"/>
      <c r="JO88" s="587" t="n"/>
      <c r="JP88" s="587" t="n"/>
      <c r="JQ88" s="587" t="n"/>
      <c r="JR88" s="587" t="n"/>
      <c r="JS88" s="587" t="n"/>
      <c r="JT88" s="587" t="n"/>
      <c r="JU88" s="587" t="n"/>
      <c r="JV88" s="587" t="n"/>
      <c r="JW88" s="587" t="n"/>
      <c r="JX88" s="587" t="n"/>
      <c r="JY88" s="587" t="n"/>
      <c r="JZ88" s="587" t="n"/>
      <c r="KA88" s="587" t="n"/>
      <c r="KB88" s="587" t="n"/>
      <c r="KC88" s="587" t="n"/>
      <c r="KD88" s="587" t="n"/>
      <c r="KE88" s="587" t="n"/>
      <c r="KF88" s="587" t="n"/>
      <c r="KG88" s="587" t="n"/>
      <c r="KH88" s="587" t="n"/>
      <c r="KI88" s="587" t="n"/>
      <c r="KJ88" s="587" t="n"/>
      <c r="KK88" s="587" t="n"/>
      <c r="KL88" s="587" t="n"/>
      <c r="KM88" s="587" t="n"/>
      <c r="KN88" s="587" t="n"/>
      <c r="KO88" s="587" t="n"/>
      <c r="KP88" s="587" t="n"/>
      <c r="KQ88" s="587" t="n"/>
      <c r="KR88" s="587" t="n"/>
      <c r="KS88" s="587" t="n"/>
      <c r="KT88" s="587" t="n"/>
      <c r="KU88" s="587" t="n"/>
      <c r="KV88" s="587" t="n"/>
      <c r="KW88" s="587" t="n"/>
      <c r="KX88" s="587" t="n"/>
      <c r="KY88" s="587" t="n"/>
      <c r="KZ88" s="587" t="n"/>
      <c r="LA88" s="587" t="n"/>
      <c r="LB88" s="587" t="n"/>
      <c r="LC88" s="587" t="n"/>
      <c r="LD88" s="587" t="n"/>
      <c r="LE88" s="587" t="n"/>
      <c r="LF88" s="587" t="n"/>
      <c r="LG88" s="587" t="n"/>
      <c r="LH88" s="587" t="n"/>
      <c r="LI88" s="587" t="n"/>
      <c r="LJ88" s="587" t="n"/>
      <c r="LK88" s="587" t="n"/>
      <c r="LL88" s="587" t="n"/>
      <c r="LM88" s="587" t="n"/>
      <c r="LN88" s="587" t="n"/>
      <c r="LO88" s="587" t="n"/>
      <c r="LP88" s="587" t="n"/>
      <c r="LQ88" s="587" t="n"/>
      <c r="LR88" s="587" t="n"/>
      <c r="LS88" s="587" t="n"/>
      <c r="LT88" s="587" t="n"/>
      <c r="LU88" s="587" t="n"/>
      <c r="LV88" s="587" t="n"/>
      <c r="LW88" s="587" t="n"/>
      <c r="LX88" s="587" t="n"/>
      <c r="LY88" s="587" t="n"/>
      <c r="LZ88" s="587" t="n"/>
      <c r="MA88" s="587" t="n"/>
      <c r="MB88" s="587" t="n"/>
      <c r="MC88" s="587" t="n"/>
      <c r="MD88" s="587" t="n"/>
      <c r="ME88" s="587" t="n"/>
      <c r="MF88" s="587" t="n"/>
      <c r="MG88" s="587" t="n"/>
      <c r="MH88" s="587" t="n"/>
      <c r="MI88" s="587" t="n"/>
      <c r="MJ88" s="587" t="n"/>
      <c r="MK88" s="587" t="n"/>
      <c r="ML88" s="587" t="n"/>
      <c r="MM88" s="587" t="n"/>
      <c r="MN88" s="587" t="n"/>
      <c r="MO88" s="587" t="n"/>
      <c r="MP88" s="587" t="n"/>
      <c r="MQ88" s="587" t="n"/>
      <c r="MR88" s="587" t="n"/>
      <c r="MS88" s="587" t="n"/>
      <c r="MT88" s="587" t="n"/>
      <c r="MU88" s="587" t="n"/>
      <c r="MV88" s="587" t="n"/>
      <c r="MW88" s="587" t="n"/>
      <c r="MX88" s="587" t="n"/>
      <c r="MY88" s="587" t="n"/>
      <c r="MZ88" s="587" t="n"/>
      <c r="NA88" s="587" t="n"/>
      <c r="NB88" s="587" t="n"/>
      <c r="NC88" s="587" t="n"/>
      <c r="ND88" s="587" t="n"/>
      <c r="NE88" s="587" t="n"/>
      <c r="NF88" s="587" t="n"/>
      <c r="NG88" s="587" t="n"/>
      <c r="NH88" s="587" t="n"/>
      <c r="NI88" s="587" t="n"/>
      <c r="NJ88" s="587" t="n"/>
      <c r="NK88" s="587" t="n"/>
      <c r="NL88" s="587" t="n"/>
      <c r="NM88" s="587" t="n"/>
      <c r="NN88" s="587" t="n"/>
      <c r="NO88" s="587" t="n"/>
      <c r="NP88" s="587" t="n"/>
      <c r="NQ88" s="587" t="n"/>
      <c r="NR88" s="587" t="n"/>
      <c r="NS88" s="587" t="n"/>
      <c r="NT88" s="587" t="n"/>
      <c r="NU88" s="587" t="n"/>
      <c r="NV88" s="587" t="n"/>
      <c r="NW88" s="587" t="n"/>
      <c r="NX88" s="587" t="n"/>
      <c r="NY88" s="587" t="n"/>
      <c r="NZ88" s="587" t="n"/>
      <c r="OA88" s="587" t="n"/>
      <c r="OB88" s="587" t="n"/>
      <c r="OC88" s="587" t="n"/>
      <c r="OD88" s="587" t="n"/>
      <c r="OE88" s="587" t="n"/>
      <c r="OF88" s="587" t="n"/>
      <c r="OG88" s="587" t="n"/>
      <c r="OH88" s="587" t="n"/>
      <c r="OI88" s="587" t="n"/>
      <c r="OJ88" s="587" t="n"/>
      <c r="OK88" s="587" t="n"/>
      <c r="OL88" s="587" t="n"/>
      <c r="OM88" s="587" t="n"/>
      <c r="ON88" s="587" t="n"/>
      <c r="OO88" s="587" t="n"/>
      <c r="OP88" s="587" t="n"/>
      <c r="OQ88" s="587" t="n"/>
      <c r="OR88" s="587" t="n"/>
      <c r="OS88" s="587" t="n"/>
      <c r="OT88" s="587" t="n"/>
      <c r="OU88" s="587" t="n"/>
      <c r="OV88" s="587" t="n"/>
      <c r="OW88" s="587" t="n"/>
      <c r="OX88" s="587" t="n"/>
      <c r="OY88" s="587" t="n"/>
      <c r="OZ88" s="587" t="n"/>
      <c r="PA88" s="587" t="n"/>
      <c r="PB88" s="587" t="n"/>
      <c r="PC88" s="587" t="n"/>
      <c r="PD88" s="587" t="n"/>
      <c r="PE88" s="587" t="n"/>
      <c r="PF88" s="587" t="n"/>
      <c r="PG88" s="587" t="n"/>
      <c r="PH88" s="587" t="n"/>
      <c r="PI88" s="587" t="n"/>
      <c r="PJ88" s="587" t="n"/>
      <c r="PK88" s="587" t="n"/>
      <c r="PL88" s="587" t="n"/>
      <c r="PM88" s="587" t="n"/>
      <c r="PN88" s="587" t="n"/>
      <c r="PO88" s="587" t="n"/>
      <c r="PP88" s="587" t="n"/>
      <c r="PQ88" s="587" t="n"/>
      <c r="PR88" s="587" t="n"/>
      <c r="PS88" s="587" t="n"/>
      <c r="PT88" s="587" t="n"/>
      <c r="PU88" s="587" t="n"/>
      <c r="PV88" s="587" t="n"/>
      <c r="PW88" s="587" t="n"/>
      <c r="PX88" s="587" t="n"/>
      <c r="PY88" s="587" t="n"/>
      <c r="PZ88" s="587" t="n"/>
      <c r="QA88" s="587" t="n"/>
      <c r="QB88" s="587" t="n"/>
      <c r="QC88" s="587" t="n"/>
      <c r="QD88" s="587" t="n"/>
      <c r="QE88" s="587" t="n"/>
      <c r="QF88" s="587" t="n"/>
      <c r="QG88" s="587" t="n"/>
      <c r="QH88" s="587" t="n"/>
      <c r="QI88" s="587" t="n"/>
      <c r="QJ88" s="587" t="n"/>
      <c r="QK88" s="587" t="n"/>
      <c r="QL88" s="587" t="n"/>
      <c r="QM88" s="587" t="n"/>
      <c r="QN88" s="587" t="n"/>
      <c r="QO88" s="587" t="n"/>
      <c r="QP88" s="587" t="n"/>
      <c r="QQ88" s="587" t="n"/>
      <c r="QR88" s="587" t="n"/>
      <c r="QS88" s="587" t="n"/>
      <c r="QT88" s="587" t="n"/>
      <c r="QU88" s="587" t="n"/>
      <c r="QV88" s="587" t="n"/>
      <c r="QW88" s="587" t="n"/>
      <c r="QX88" s="587" t="n"/>
      <c r="QY88" s="587" t="n"/>
      <c r="QZ88" s="587" t="n"/>
      <c r="RA88" s="587" t="n"/>
      <c r="RB88" s="587" t="n"/>
      <c r="RC88" s="587" t="n"/>
      <c r="RD88" s="587" t="n"/>
      <c r="RE88" s="587" t="n"/>
      <c r="RF88" s="587" t="n"/>
      <c r="RG88" s="587" t="n"/>
      <c r="RH88" s="587" t="n"/>
      <c r="RI88" s="587" t="n"/>
      <c r="RJ88" s="587" t="n"/>
      <c r="RK88" s="587" t="n"/>
      <c r="RL88" s="587" t="n"/>
      <c r="RM88" s="587" t="n"/>
      <c r="RN88" s="587" t="n"/>
      <c r="RO88" s="587" t="n"/>
      <c r="RP88" s="587" t="n"/>
      <c r="RQ88" s="587" t="n"/>
      <c r="RR88" s="587" t="n"/>
      <c r="RS88" s="587" t="n"/>
      <c r="RT88" s="587" t="n"/>
      <c r="RU88" s="587" t="n"/>
      <c r="RV88" s="587" t="n"/>
      <c r="RW88" s="587" t="n"/>
      <c r="RX88" s="587" t="n"/>
      <c r="RY88" s="587" t="n"/>
      <c r="RZ88" s="587" t="n"/>
      <c r="SA88" s="587" t="n"/>
      <c r="SB88" s="587" t="n"/>
      <c r="SC88" s="587" t="n"/>
      <c r="SD88" s="587" t="n"/>
      <c r="SE88" s="587" t="n"/>
      <c r="SF88" s="587" t="n"/>
      <c r="SG88" s="587" t="n"/>
      <c r="SH88" s="587" t="n"/>
      <c r="SI88" s="587" t="n"/>
      <c r="SJ88" s="587" t="n"/>
      <c r="SK88" s="587" t="n"/>
      <c r="SL88" s="587" t="n"/>
      <c r="SM88" s="587" t="n"/>
      <c r="SN88" s="587" t="n"/>
      <c r="SO88" s="587" t="n"/>
      <c r="SP88" s="587" t="n"/>
      <c r="SQ88" s="587" t="n"/>
      <c r="SR88" s="587" t="n"/>
      <c r="SS88" s="587" t="n"/>
      <c r="ST88" s="587" t="n"/>
      <c r="SU88" s="587" t="n"/>
      <c r="SV88" s="587" t="n"/>
      <c r="SW88" s="587" t="n"/>
      <c r="SX88" s="587" t="n"/>
      <c r="SY88" s="587" t="n"/>
      <c r="SZ88" s="587" t="n"/>
      <c r="TA88" s="587" t="n"/>
      <c r="TB88" s="587" t="n"/>
      <c r="TC88" s="587" t="n"/>
      <c r="TD88" s="587" t="n"/>
      <c r="TE88" s="587" t="n"/>
      <c r="TF88" s="587" t="n"/>
      <c r="TG88" s="587" t="n"/>
      <c r="TH88" s="587" t="n"/>
      <c r="TI88" s="587" t="n"/>
      <c r="TJ88" s="587" t="n"/>
      <c r="TK88" s="587" t="n"/>
      <c r="TL88" s="587" t="n"/>
      <c r="TM88" s="587" t="n"/>
      <c r="TN88" s="587" t="n"/>
      <c r="TO88" s="587" t="n"/>
      <c r="TP88" s="587" t="n"/>
      <c r="TQ88" s="587" t="n"/>
      <c r="TR88" s="587" t="n"/>
      <c r="TS88" s="587" t="n"/>
      <c r="TT88" s="587" t="n"/>
      <c r="TU88" s="587" t="n"/>
      <c r="TV88" s="587" t="n"/>
      <c r="TW88" s="587" t="n"/>
      <c r="TX88" s="587" t="n"/>
      <c r="TY88" s="587" t="n"/>
      <c r="TZ88" s="587" t="n"/>
      <c r="UA88" s="587" t="n"/>
      <c r="UB88" s="587" t="n"/>
      <c r="UC88" s="587" t="n"/>
      <c r="UD88" s="587" t="n"/>
      <c r="UE88" s="587" t="n"/>
      <c r="UF88" s="587" t="n"/>
      <c r="UG88" s="587" t="n"/>
      <c r="UH88" s="587" t="n"/>
      <c r="UI88" s="587" t="n"/>
      <c r="UJ88" s="587" t="n"/>
      <c r="UK88" s="587" t="n"/>
      <c r="UL88" s="587" t="n"/>
      <c r="UM88" s="587" t="n"/>
      <c r="UN88" s="587" t="n"/>
      <c r="UO88" s="587" t="n"/>
      <c r="UP88" s="587" t="n"/>
      <c r="UQ88" s="587" t="n"/>
      <c r="UR88" s="587" t="n"/>
      <c r="US88" s="587" t="n"/>
      <c r="UT88" s="587" t="n"/>
      <c r="UU88" s="587" t="n"/>
      <c r="UV88" s="587" t="n"/>
      <c r="UW88" s="587" t="n"/>
      <c r="UX88" s="587" t="n"/>
      <c r="UY88" s="587" t="n"/>
      <c r="UZ88" s="587" t="n"/>
      <c r="VA88" s="587" t="n"/>
      <c r="VB88" s="587" t="n"/>
      <c r="VC88" s="587" t="n"/>
      <c r="VD88" s="587" t="n"/>
      <c r="VE88" s="587" t="n"/>
      <c r="VF88" s="587" t="n"/>
      <c r="VG88" s="587" t="n"/>
      <c r="VH88" s="587" t="n"/>
      <c r="VI88" s="587" t="n"/>
      <c r="VJ88" s="587" t="n"/>
      <c r="VK88" s="587" t="n"/>
      <c r="VL88" s="587" t="n"/>
      <c r="VM88" s="587" t="n"/>
      <c r="VN88" s="587" t="n"/>
      <c r="VO88" s="587" t="n"/>
      <c r="VP88" s="587" t="n"/>
      <c r="VQ88" s="587" t="n"/>
      <c r="VR88" s="587" t="n"/>
      <c r="VS88" s="587" t="n"/>
      <c r="VT88" s="587" t="n"/>
      <c r="VU88" s="587" t="n"/>
      <c r="VV88" s="587" t="n"/>
      <c r="VW88" s="587" t="n"/>
      <c r="VX88" s="587" t="n"/>
      <c r="VY88" s="587" t="n"/>
      <c r="VZ88" s="587" t="n"/>
      <c r="WA88" s="587" t="n"/>
      <c r="WB88" s="587" t="n"/>
      <c r="WC88" s="587" t="n"/>
      <c r="WD88" s="587" t="n"/>
      <c r="WE88" s="587" t="n"/>
      <c r="WF88" s="587" t="n"/>
      <c r="WG88" s="587" t="n"/>
      <c r="WH88" s="587" t="n"/>
      <c r="WI88" s="587" t="n"/>
      <c r="WJ88" s="587" t="n"/>
      <c r="WK88" s="587" t="n"/>
      <c r="WL88" s="587" t="n"/>
      <c r="WM88" s="587" t="n"/>
      <c r="WN88" s="587" t="n"/>
      <c r="WO88" s="587" t="n"/>
      <c r="WP88" s="587" t="n"/>
      <c r="WQ88" s="587" t="n"/>
      <c r="WR88" s="587" t="n"/>
      <c r="WS88" s="587" t="n"/>
      <c r="WT88" s="587" t="n"/>
      <c r="WU88" s="587" t="n"/>
      <c r="WV88" s="587" t="n"/>
      <c r="WW88" s="587" t="n"/>
      <c r="WX88" s="587" t="n"/>
      <c r="WY88" s="587" t="n"/>
      <c r="WZ88" s="587" t="n"/>
      <c r="XA88" s="587" t="n"/>
      <c r="XB88" s="587" t="n"/>
      <c r="XC88" s="587" t="n"/>
      <c r="XD88" s="587" t="n"/>
      <c r="XE88" s="587" t="n"/>
      <c r="XF88" s="587" t="n"/>
      <c r="XG88" s="587" t="n"/>
      <c r="XH88" s="587" t="n"/>
      <c r="XI88" s="587" t="n"/>
      <c r="XJ88" s="587" t="n"/>
      <c r="XK88" s="587" t="n"/>
      <c r="XL88" s="587" t="n"/>
      <c r="XM88" s="587" t="n"/>
      <c r="XN88" s="587" t="n"/>
      <c r="XO88" s="587" t="n"/>
      <c r="XP88" s="587" t="n"/>
      <c r="XQ88" s="587" t="n"/>
      <c r="XR88" s="587" t="n"/>
      <c r="XS88" s="587" t="n"/>
      <c r="XT88" s="587" t="n"/>
      <c r="XU88" s="587" t="n"/>
      <c r="XV88" s="587" t="n"/>
      <c r="XW88" s="587" t="n"/>
      <c r="XX88" s="587" t="n"/>
      <c r="XY88" s="587" t="n"/>
      <c r="XZ88" s="587" t="n"/>
      <c r="YA88" s="587" t="n"/>
      <c r="YB88" s="587" t="n"/>
      <c r="YC88" s="587" t="n"/>
      <c r="YD88" s="587" t="n"/>
      <c r="YE88" s="587" t="n"/>
      <c r="YF88" s="587" t="n"/>
      <c r="YG88" s="587" t="n"/>
      <c r="YH88" s="587" t="n"/>
      <c r="YI88" s="587" t="n"/>
      <c r="YJ88" s="587" t="n"/>
      <c r="YK88" s="587" t="n"/>
      <c r="YL88" s="587" t="n"/>
      <c r="YM88" s="587" t="n"/>
      <c r="YN88" s="587" t="n"/>
      <c r="YO88" s="587" t="n"/>
      <c r="YP88" s="587" t="n"/>
      <c r="YQ88" s="587" t="n"/>
      <c r="YR88" s="587" t="n"/>
      <c r="YS88" s="587" t="n"/>
      <c r="YT88" s="587" t="n"/>
      <c r="YU88" s="587" t="n"/>
      <c r="YV88" s="587" t="n"/>
      <c r="YW88" s="587" t="n"/>
      <c r="YX88" s="587" t="n"/>
      <c r="YY88" s="587" t="n"/>
      <c r="YZ88" s="587" t="n"/>
      <c r="ZA88" s="587" t="n"/>
      <c r="ZB88" s="587" t="n"/>
      <c r="ZC88" s="587" t="n"/>
      <c r="ZD88" s="587" t="n"/>
      <c r="ZE88" s="587" t="n"/>
      <c r="ZF88" s="587" t="n"/>
      <c r="ZG88" s="587" t="n"/>
      <c r="ZH88" s="587" t="n"/>
      <c r="ZI88" s="587" t="n"/>
      <c r="ZJ88" s="587" t="n"/>
      <c r="ZK88" s="587" t="n"/>
      <c r="ZL88" s="587" t="n"/>
      <c r="ZM88" s="587" t="n"/>
      <c r="ZN88" s="587" t="n"/>
      <c r="ZO88" s="587" t="n"/>
      <c r="ZP88" s="587" t="n"/>
      <c r="ZQ88" s="587" t="n"/>
      <c r="ZR88" s="587" t="n"/>
      <c r="ZS88" s="587" t="n"/>
      <c r="ZT88" s="587" t="n"/>
      <c r="ZU88" s="587" t="n"/>
      <c r="ZV88" s="587" t="n"/>
      <c r="ZW88" s="587" t="n"/>
      <c r="ZX88" s="587" t="n"/>
      <c r="ZY88" s="587" t="n"/>
      <c r="ZZ88" s="587" t="n"/>
      <c r="AAA88" s="587" t="n"/>
      <c r="AAB88" s="587" t="n"/>
      <c r="AAC88" s="587" t="n"/>
      <c r="AAD88" s="587" t="n"/>
      <c r="AAE88" s="587" t="n"/>
      <c r="AAF88" s="587" t="n"/>
      <c r="AAG88" s="587" t="n"/>
      <c r="AAH88" s="587" t="n"/>
      <c r="AAI88" s="587" t="n"/>
      <c r="AAJ88" s="587" t="n"/>
      <c r="AAK88" s="587" t="n"/>
      <c r="AAL88" s="587" t="n"/>
      <c r="AAM88" s="587" t="n"/>
      <c r="AAN88" s="587" t="n"/>
      <c r="AAO88" s="587" t="n"/>
      <c r="AAP88" s="587" t="n"/>
      <c r="AAQ88" s="587" t="n"/>
      <c r="AAR88" s="587" t="n"/>
      <c r="AAS88" s="587" t="n"/>
      <c r="AAT88" s="587" t="n"/>
      <c r="AAU88" s="587" t="n"/>
      <c r="AAV88" s="587" t="n"/>
      <c r="AAW88" s="587" t="n"/>
      <c r="AAX88" s="587" t="n"/>
      <c r="AAY88" s="587" t="n"/>
      <c r="AAZ88" s="587" t="n"/>
      <c r="ABA88" s="587" t="n"/>
      <c r="ABB88" s="587" t="n"/>
      <c r="ABC88" s="587" t="n"/>
      <c r="ABD88" s="587" t="n"/>
      <c r="ABE88" s="587" t="n"/>
      <c r="ABF88" s="587" t="n"/>
      <c r="ABG88" s="587" t="n"/>
      <c r="ABH88" s="587" t="n"/>
      <c r="ABI88" s="587" t="n"/>
      <c r="ABJ88" s="587" t="n"/>
      <c r="ABK88" s="587" t="n"/>
      <c r="ABL88" s="587" t="n"/>
      <c r="ABM88" s="587" t="n"/>
      <c r="ABN88" s="587" t="n"/>
      <c r="ABO88" s="587" t="n"/>
      <c r="ABP88" s="587" t="n"/>
      <c r="ABQ88" s="587" t="n"/>
      <c r="ABR88" s="587" t="n"/>
      <c r="ABS88" s="587" t="n"/>
      <c r="ABT88" s="587" t="n"/>
      <c r="ABU88" s="587" t="n"/>
      <c r="ABV88" s="587" t="n"/>
      <c r="ABW88" s="587" t="n"/>
      <c r="ABX88" s="587" t="n"/>
      <c r="ABY88" s="587" t="n"/>
      <c r="ABZ88" s="587" t="n"/>
      <c r="ACA88" s="587" t="n"/>
      <c r="ACB88" s="587" t="n"/>
      <c r="ACC88" s="587" t="n"/>
      <c r="ACD88" s="587" t="n"/>
      <c r="ACE88" s="587" t="n"/>
      <c r="ACF88" s="587" t="n"/>
      <c r="ACG88" s="587" t="n"/>
      <c r="ACH88" s="587" t="n"/>
      <c r="ACI88" s="587" t="n"/>
      <c r="ACJ88" s="587" t="n"/>
      <c r="ACK88" s="587" t="n"/>
      <c r="ACL88" s="587" t="n"/>
      <c r="ACM88" s="587" t="n"/>
      <c r="ACN88" s="587" t="n"/>
      <c r="ACO88" s="587" t="n"/>
      <c r="ACP88" s="587" t="n"/>
      <c r="ACQ88" s="587" t="n"/>
      <c r="ACR88" s="587" t="n"/>
      <c r="ACS88" s="587" t="n"/>
      <c r="ACT88" s="587" t="n"/>
      <c r="ACU88" s="587" t="n"/>
      <c r="ACV88" s="587" t="n"/>
      <c r="ACW88" s="587" t="n"/>
      <c r="ACX88" s="587" t="n"/>
      <c r="ACY88" s="587" t="n"/>
      <c r="ACZ88" s="587" t="n"/>
      <c r="ADA88" s="587" t="n"/>
      <c r="ADB88" s="587" t="n"/>
      <c r="ADC88" s="587" t="n"/>
      <c r="ADD88" s="587" t="n"/>
      <c r="ADE88" s="587" t="n"/>
      <c r="ADF88" s="587" t="n"/>
      <c r="ADG88" s="587" t="n"/>
      <c r="ADH88" s="587" t="n"/>
      <c r="ADI88" s="587" t="n"/>
      <c r="ADJ88" s="587" t="n"/>
      <c r="ADK88" s="587" t="n"/>
      <c r="ADL88" s="587" t="n"/>
      <c r="ADM88" s="587" t="n"/>
      <c r="ADN88" s="587" t="n"/>
      <c r="ADO88" s="587" t="n"/>
      <c r="ADP88" s="587" t="n"/>
      <c r="ADQ88" s="587" t="n"/>
      <c r="ADR88" s="587" t="n"/>
      <c r="ADS88" s="587" t="n"/>
      <c r="ADT88" s="587" t="n"/>
      <c r="ADU88" s="587" t="n"/>
      <c r="ADV88" s="587" t="n"/>
      <c r="ADW88" s="587" t="n"/>
      <c r="ADX88" s="587" t="n"/>
      <c r="ADY88" s="587" t="n"/>
      <c r="ADZ88" s="587" t="n"/>
      <c r="AEA88" s="587" t="n"/>
      <c r="AEB88" s="587" t="n"/>
      <c r="AEC88" s="587" t="n"/>
      <c r="AED88" s="587" t="n"/>
      <c r="AEE88" s="587" t="n"/>
      <c r="AEF88" s="587" t="n"/>
      <c r="AEG88" s="587" t="n"/>
      <c r="AEH88" s="587" t="n"/>
      <c r="AEI88" s="587" t="n"/>
      <c r="AEJ88" s="587" t="n"/>
      <c r="AEK88" s="587" t="n"/>
      <c r="AEL88" s="587" t="n"/>
      <c r="AEM88" s="587" t="n"/>
      <c r="AEN88" s="587" t="n"/>
      <c r="AEO88" s="587" t="n"/>
      <c r="AEP88" s="587" t="n"/>
      <c r="AEQ88" s="587" t="n"/>
      <c r="AER88" s="587" t="n"/>
      <c r="AES88" s="587" t="n"/>
      <c r="AET88" s="587" t="n"/>
      <c r="AEU88" s="587" t="n"/>
      <c r="AEV88" s="587" t="n"/>
      <c r="AEW88" s="587" t="n"/>
      <c r="AEX88" s="587" t="n"/>
      <c r="AEY88" s="587" t="n"/>
      <c r="AEZ88" s="587" t="n"/>
      <c r="AFA88" s="587" t="n"/>
      <c r="AFB88" s="587" t="n"/>
      <c r="AFC88" s="587" t="n"/>
      <c r="AFD88" s="587" t="n"/>
      <c r="AFE88" s="587" t="n"/>
      <c r="AFF88" s="587" t="n"/>
      <c r="AFG88" s="587" t="n"/>
      <c r="AFH88" s="587" t="n"/>
      <c r="AFI88" s="587" t="n"/>
      <c r="AFJ88" s="587" t="n"/>
      <c r="AFK88" s="587" t="n"/>
      <c r="AFL88" s="587" t="n"/>
      <c r="AFM88" s="587" t="n"/>
      <c r="AFN88" s="587" t="n"/>
      <c r="AFO88" s="587" t="n"/>
      <c r="AFP88" s="587" t="n"/>
      <c r="AFQ88" s="587" t="n"/>
      <c r="AFR88" s="587" t="n"/>
      <c r="AFS88" s="587" t="n"/>
      <c r="AFT88" s="587" t="n"/>
      <c r="AFU88" s="587" t="n"/>
      <c r="AFV88" s="587" t="n"/>
      <c r="AFW88" s="587" t="n"/>
      <c r="AFX88" s="587" t="n"/>
      <c r="AFY88" s="587" t="n"/>
      <c r="AFZ88" s="587" t="n"/>
      <c r="AGA88" s="587" t="n"/>
      <c r="AGB88" s="587" t="n"/>
      <c r="AGC88" s="587" t="n"/>
      <c r="AGD88" s="587" t="n"/>
      <c r="AGE88" s="587" t="n"/>
      <c r="AGF88" s="587" t="n"/>
      <c r="AGG88" s="587" t="n"/>
      <c r="AGH88" s="587" t="n"/>
      <c r="AGI88" s="587" t="n"/>
      <c r="AGJ88" s="587" t="n"/>
      <c r="AGK88" s="587" t="n"/>
      <c r="AGL88" s="587" t="n"/>
      <c r="AGM88" s="587" t="n"/>
      <c r="AGN88" s="587" t="n"/>
      <c r="AGO88" s="587" t="n"/>
      <c r="AGP88" s="587" t="n"/>
      <c r="AGQ88" s="587" t="n"/>
      <c r="AGR88" s="587" t="n"/>
      <c r="AGS88" s="587" t="n"/>
      <c r="AGT88" s="587" t="n"/>
      <c r="AGU88" s="587" t="n"/>
      <c r="AGV88" s="587" t="n"/>
      <c r="AGW88" s="587" t="n"/>
      <c r="AGX88" s="587" t="n"/>
      <c r="AGY88" s="587" t="n"/>
      <c r="AGZ88" s="587" t="n"/>
      <c r="AHA88" s="587" t="n"/>
      <c r="AHB88" s="587" t="n"/>
      <c r="AHC88" s="587" t="n"/>
      <c r="AHD88" s="587" t="n"/>
      <c r="AHE88" s="587" t="n"/>
      <c r="AHF88" s="587" t="n"/>
      <c r="AHG88" s="587" t="n"/>
      <c r="AHH88" s="587" t="n"/>
      <c r="AHI88" s="587" t="n"/>
      <c r="AHJ88" s="587" t="n"/>
      <c r="AHK88" s="587" t="n"/>
      <c r="AHL88" s="587" t="n"/>
      <c r="AHM88" s="587" t="n"/>
      <c r="AHN88" s="587" t="n"/>
      <c r="AHO88" s="587" t="n"/>
      <c r="AHP88" s="587" t="n"/>
      <c r="AHQ88" s="587" t="n"/>
      <c r="AHR88" s="587" t="n"/>
      <c r="AHS88" s="587" t="n"/>
      <c r="AHT88" s="587" t="n"/>
      <c r="AHU88" s="587" t="n"/>
      <c r="AHV88" s="587" t="n"/>
      <c r="AHW88" s="587" t="n"/>
      <c r="AHX88" s="587" t="n"/>
      <c r="AHY88" s="587" t="n"/>
      <c r="AHZ88" s="587" t="n"/>
      <c r="AIA88" s="587" t="n"/>
      <c r="AIB88" s="587" t="n"/>
      <c r="AIC88" s="587" t="n"/>
      <c r="AID88" s="587" t="n"/>
      <c r="AIE88" s="587" t="n"/>
      <c r="AIF88" s="587" t="n"/>
      <c r="AIG88" s="587" t="n"/>
      <c r="AIH88" s="587" t="n"/>
      <c r="AII88" s="587" t="n"/>
      <c r="AIJ88" s="587" t="n"/>
      <c r="AIK88" s="587" t="n"/>
      <c r="AIL88" s="587" t="n"/>
      <c r="AIM88" s="587" t="n"/>
      <c r="AIN88" s="587" t="n"/>
      <c r="AIO88" s="587" t="n"/>
      <c r="AIP88" s="587" t="n"/>
      <c r="AIQ88" s="587" t="n"/>
      <c r="AIR88" s="587" t="n"/>
      <c r="AIS88" s="587" t="n"/>
      <c r="AIT88" s="587" t="n"/>
      <c r="AIU88" s="587" t="n"/>
      <c r="AIV88" s="587" t="n"/>
      <c r="AIW88" s="587" t="n"/>
      <c r="AIX88" s="587" t="n"/>
      <c r="AIY88" s="587" t="n"/>
      <c r="AIZ88" s="587" t="n"/>
      <c r="AJA88" s="587" t="n"/>
      <c r="AJB88" s="587" t="n"/>
      <c r="AJC88" s="587" t="n"/>
      <c r="AJD88" s="587" t="n"/>
      <c r="AJE88" s="587" t="n"/>
      <c r="AJF88" s="587" t="n"/>
      <c r="AJG88" s="587" t="n"/>
      <c r="AJH88" s="587" t="n"/>
      <c r="AJI88" s="587" t="n"/>
      <c r="AJJ88" s="587" t="n"/>
      <c r="AJK88" s="587" t="n"/>
      <c r="AJL88" s="587" t="n"/>
      <c r="AJM88" s="587" t="n"/>
      <c r="AJN88" s="587" t="n"/>
      <c r="AJO88" s="587" t="n"/>
      <c r="AJP88" s="587" t="n"/>
      <c r="AJQ88" s="587" t="n"/>
      <c r="AJR88" s="587" t="n"/>
      <c r="AJS88" s="587" t="n"/>
      <c r="AJT88" s="587" t="n"/>
      <c r="AJU88" s="587" t="n"/>
      <c r="AJV88" s="587" t="n"/>
      <c r="AJW88" s="587" t="n"/>
      <c r="AJX88" s="587" t="n"/>
      <c r="AJY88" s="587" t="n"/>
      <c r="AJZ88" s="587" t="n"/>
      <c r="AKA88" s="587" t="n"/>
      <c r="AKB88" s="587" t="n"/>
      <c r="AKC88" s="587" t="n"/>
      <c r="AKD88" s="587" t="n"/>
      <c r="AKE88" s="587" t="n"/>
      <c r="AKF88" s="587" t="n"/>
      <c r="AKG88" s="587" t="n"/>
      <c r="AKH88" s="587" t="n"/>
      <c r="AKI88" s="587" t="n"/>
      <c r="AKJ88" s="587" t="n"/>
      <c r="AKK88" s="587" t="n"/>
      <c r="AKL88" s="587" t="n"/>
      <c r="AKM88" s="587" t="n"/>
      <c r="AKN88" s="587" t="n"/>
      <c r="AKO88" s="587" t="n"/>
      <c r="AKP88" s="587" t="n"/>
      <c r="AKQ88" s="587" t="n"/>
      <c r="AKR88" s="587" t="n"/>
      <c r="AKS88" s="587" t="n"/>
      <c r="AKT88" s="587" t="n"/>
      <c r="AKU88" s="587" t="n"/>
      <c r="AKV88" s="587" t="n"/>
      <c r="AKW88" s="587" t="n"/>
      <c r="AKX88" s="587" t="n"/>
      <c r="AKY88" s="587" t="n"/>
      <c r="AKZ88" s="587" t="n"/>
      <c r="ALA88" s="587" t="n"/>
      <c r="ALB88" s="587" t="n"/>
      <c r="ALC88" s="587" t="n"/>
      <c r="ALD88" s="587" t="n"/>
      <c r="ALE88" s="587" t="n"/>
      <c r="ALF88" s="587" t="n"/>
      <c r="ALG88" s="587" t="n"/>
      <c r="ALH88" s="587" t="n"/>
      <c r="ALI88" s="587" t="n"/>
      <c r="ALJ88" s="587" t="n"/>
      <c r="ALK88" s="587" t="n"/>
      <c r="ALL88" s="587" t="n"/>
      <c r="ALM88" s="587" t="n"/>
      <c r="ALN88" s="587" t="n"/>
      <c r="ALO88" s="587" t="n"/>
      <c r="ALP88" s="587" t="n"/>
      <c r="ALQ88" s="587" t="n"/>
      <c r="ALR88" s="587" t="n"/>
      <c r="ALS88" s="587" t="n"/>
      <c r="ALT88" s="587" t="n"/>
      <c r="ALU88" s="587" t="n"/>
      <c r="ALV88" s="587" t="n"/>
      <c r="ALW88" s="587" t="n"/>
      <c r="ALX88" s="587" t="n"/>
      <c r="ALY88" s="587" t="n"/>
      <c r="ALZ88" s="587" t="n"/>
      <c r="AMA88" s="587" t="n"/>
      <c r="AMB88" s="587" t="n"/>
      <c r="AMC88" s="587" t="n"/>
      <c r="AMD88" s="587" t="n"/>
      <c r="AME88" s="587" t="n"/>
      <c r="AMF88" s="587" t="n"/>
      <c r="AMG88" s="587" t="n"/>
      <c r="AMH88" s="587" t="n"/>
      <c r="AMI88" s="587" t="n"/>
      <c r="AMJ88" s="587" t="n"/>
      <c r="AMK88" s="587" t="n"/>
      <c r="AML88" s="587" t="n"/>
      <c r="AMM88" s="587" t="n"/>
      <c r="AMN88" s="587" t="n"/>
      <c r="AMO88" s="587" t="n"/>
      <c r="AMP88" s="587" t="n"/>
      <c r="AMQ88" s="587" t="n"/>
      <c r="AMR88" s="587" t="n"/>
      <c r="AMS88" s="587" t="n"/>
      <c r="AMT88" s="587" t="n"/>
      <c r="AMU88" s="587" t="n"/>
      <c r="AMV88" s="587" t="n"/>
      <c r="AMW88" s="587" t="n"/>
      <c r="AMX88" s="587" t="n"/>
      <c r="AMY88" s="587" t="n"/>
      <c r="AMZ88" s="587" t="n"/>
      <c r="ANA88" s="587" t="n"/>
      <c r="ANB88" s="587" t="n"/>
      <c r="ANC88" s="587" t="n"/>
      <c r="AND88" s="587" t="n"/>
      <c r="ANE88" s="587" t="n"/>
      <c r="ANF88" s="587" t="n"/>
      <c r="ANG88" s="587" t="n"/>
      <c r="ANH88" s="587" t="n"/>
      <c r="ANI88" s="587" t="n"/>
      <c r="ANJ88" s="587" t="n"/>
      <c r="ANK88" s="587" t="n"/>
      <c r="ANL88" s="587" t="n"/>
      <c r="ANM88" s="587" t="n"/>
      <c r="ANN88" s="587" t="n"/>
      <c r="ANO88" s="587" t="n"/>
      <c r="ANP88" s="587" t="n"/>
      <c r="ANQ88" s="587" t="n"/>
      <c r="ANR88" s="587" t="n"/>
      <c r="ANS88" s="587" t="n"/>
      <c r="ANT88" s="587" t="n"/>
      <c r="ANU88" s="587" t="n"/>
      <c r="ANV88" s="587" t="n"/>
      <c r="ANW88" s="587" t="n"/>
      <c r="ANX88" s="587" t="n"/>
      <c r="ANY88" s="587" t="n"/>
      <c r="ANZ88" s="587" t="n"/>
      <c r="AOA88" s="587" t="n"/>
      <c r="AOB88" s="587" t="n"/>
      <c r="AOC88" s="587" t="n"/>
      <c r="AOD88" s="587" t="n"/>
      <c r="AOE88" s="587" t="n"/>
      <c r="AOF88" s="587" t="n"/>
      <c r="AOG88" s="587" t="n"/>
      <c r="AOH88" s="587" t="n"/>
      <c r="AOI88" s="587" t="n"/>
      <c r="AOJ88" s="587" t="n"/>
      <c r="AOK88" s="587" t="n"/>
      <c r="AOL88" s="587" t="n"/>
      <c r="AOM88" s="587" t="n"/>
      <c r="AON88" s="587" t="n"/>
      <c r="AOO88" s="587" t="n"/>
      <c r="AOP88" s="587" t="n"/>
      <c r="AOQ88" s="587" t="n"/>
      <c r="AOR88" s="587" t="n"/>
      <c r="AOS88" s="587" t="n"/>
      <c r="AOT88" s="587" t="n"/>
      <c r="AOU88" s="587" t="n"/>
      <c r="AOV88" s="587" t="n"/>
      <c r="AOW88" s="587" t="n"/>
      <c r="AOX88" s="587" t="n"/>
      <c r="AOY88" s="587" t="n"/>
      <c r="AOZ88" s="587" t="n"/>
      <c r="APA88" s="587" t="n"/>
      <c r="APB88" s="587" t="n"/>
      <c r="APC88" s="587" t="n"/>
      <c r="APD88" s="587" t="n"/>
      <c r="APE88" s="587" t="n"/>
      <c r="APF88" s="587" t="n"/>
      <c r="APG88" s="587" t="n"/>
      <c r="APH88" s="587" t="n"/>
      <c r="API88" s="587" t="n"/>
      <c r="APJ88" s="587" t="n"/>
      <c r="APK88" s="587" t="n"/>
      <c r="APL88" s="587" t="n"/>
      <c r="APM88" s="587" t="n"/>
      <c r="APN88" s="587" t="n"/>
      <c r="APO88" s="587" t="n"/>
      <c r="APP88" s="587" t="n"/>
      <c r="APQ88" s="587" t="n"/>
      <c r="APR88" s="587" t="n"/>
      <c r="APS88" s="587" t="n"/>
      <c r="APT88" s="587" t="n"/>
      <c r="APU88" s="587" t="n"/>
      <c r="APV88" s="587" t="n"/>
      <c r="APW88" s="587" t="n"/>
      <c r="APX88" s="587" t="n"/>
      <c r="APY88" s="587" t="n"/>
      <c r="APZ88" s="587" t="n"/>
      <c r="AQA88" s="587" t="n"/>
      <c r="AQB88" s="587" t="n"/>
      <c r="AQC88" s="587" t="n"/>
      <c r="AQD88" s="587" t="n"/>
      <c r="AQE88" s="587" t="n"/>
      <c r="AQF88" s="587" t="n"/>
      <c r="AQG88" s="587" t="n"/>
      <c r="AQH88" s="587" t="n"/>
      <c r="AQI88" s="587" t="n"/>
      <c r="AQJ88" s="587" t="n"/>
      <c r="AQK88" s="587" t="n"/>
      <c r="AQL88" s="587" t="n"/>
      <c r="AQM88" s="587" t="n"/>
      <c r="AQN88" s="587" t="n"/>
      <c r="AQO88" s="587" t="n"/>
      <c r="AQP88" s="587" t="n"/>
      <c r="AQQ88" s="587" t="n"/>
      <c r="AQR88" s="587" t="n"/>
      <c r="AQS88" s="587" t="n"/>
      <c r="AQT88" s="587" t="n"/>
      <c r="AQU88" s="587" t="n"/>
      <c r="AQV88" s="587" t="n"/>
      <c r="AQW88" s="587" t="n"/>
      <c r="AQX88" s="587" t="n"/>
      <c r="AQY88" s="587" t="n"/>
      <c r="AQZ88" s="587" t="n"/>
      <c r="ARA88" s="587" t="n"/>
      <c r="ARB88" s="587" t="n"/>
      <c r="ARC88" s="587" t="n"/>
      <c r="ARD88" s="587" t="n"/>
      <c r="ARE88" s="587" t="n"/>
      <c r="ARF88" s="587" t="n"/>
      <c r="ARG88" s="587" t="n"/>
      <c r="ARH88" s="587" t="n"/>
      <c r="ARI88" s="587" t="n"/>
      <c r="ARJ88" s="587" t="n"/>
      <c r="ARK88" s="587" t="n"/>
      <c r="ARL88" s="587" t="n"/>
      <c r="ARM88" s="587" t="n"/>
      <c r="ARN88" s="587" t="n"/>
      <c r="ARO88" s="587" t="n"/>
      <c r="ARP88" s="587" t="n"/>
      <c r="ARQ88" s="587" t="n"/>
      <c r="ARR88" s="587" t="n"/>
      <c r="ARS88" s="587" t="n"/>
      <c r="ART88" s="587" t="n"/>
      <c r="ARU88" s="587" t="n"/>
      <c r="ARV88" s="587" t="n"/>
      <c r="ARW88" s="587" t="n"/>
      <c r="ARX88" s="587" t="n"/>
      <c r="ARY88" s="587" t="n"/>
      <c r="ARZ88" s="587" t="n"/>
      <c r="ASA88" s="587" t="n"/>
      <c r="ASB88" s="587" t="n"/>
      <c r="ASC88" s="587" t="n"/>
      <c r="ASD88" s="587" t="n"/>
      <c r="ASE88" s="587" t="n"/>
      <c r="ASF88" s="587" t="n"/>
      <c r="ASG88" s="587" t="n"/>
      <c r="ASH88" s="587" t="n"/>
      <c r="ASI88" s="587" t="n"/>
      <c r="ASJ88" s="587" t="n"/>
      <c r="ASK88" s="587" t="n"/>
      <c r="ASL88" s="587" t="n"/>
      <c r="ASM88" s="587" t="n"/>
      <c r="ASN88" s="587" t="n"/>
      <c r="ASO88" s="587" t="n"/>
      <c r="ASP88" s="587" t="n"/>
      <c r="ASQ88" s="587" t="n"/>
      <c r="ASR88" s="587" t="n"/>
      <c r="ASS88" s="587" t="n"/>
      <c r="AST88" s="587" t="n"/>
      <c r="ASU88" s="587" t="n"/>
      <c r="ASV88" s="587" t="n"/>
      <c r="ASW88" s="587" t="n"/>
      <c r="ASX88" s="587" t="n"/>
      <c r="ASY88" s="587" t="n"/>
      <c r="ASZ88" s="587" t="n"/>
      <c r="ATA88" s="587" t="n"/>
      <c r="ATB88" s="587" t="n"/>
      <c r="ATC88" s="587" t="n"/>
      <c r="ATD88" s="587" t="n"/>
      <c r="ATE88" s="587" t="n"/>
      <c r="ATF88" s="587" t="n"/>
      <c r="ATG88" s="587" t="n"/>
      <c r="ATH88" s="587" t="n"/>
      <c r="ATI88" s="587" t="n"/>
      <c r="ATJ88" s="587" t="n"/>
      <c r="ATK88" s="587" t="n"/>
      <c r="ATL88" s="587" t="n"/>
      <c r="ATM88" s="587" t="n"/>
      <c r="ATN88" s="587" t="n"/>
      <c r="ATO88" s="587" t="n"/>
      <c r="ATP88" s="587" t="n"/>
      <c r="ATQ88" s="587" t="n"/>
      <c r="ATR88" s="587" t="n"/>
      <c r="ATS88" s="587" t="n"/>
      <c r="ATT88" s="587" t="n"/>
      <c r="ATU88" s="587" t="n"/>
      <c r="ATV88" s="587" t="n"/>
      <c r="ATW88" s="587" t="n"/>
      <c r="ATX88" s="587" t="n"/>
      <c r="ATY88" s="587" t="n"/>
      <c r="ATZ88" s="587" t="n"/>
      <c r="AUA88" s="587" t="n"/>
      <c r="AUB88" s="587" t="n"/>
      <c r="AUC88" s="587" t="n"/>
      <c r="AUD88" s="587" t="n"/>
      <c r="AUE88" s="587" t="n"/>
      <c r="AUF88" s="587" t="n"/>
      <c r="AUG88" s="587" t="n"/>
      <c r="AUH88" s="587" t="n"/>
      <c r="AUI88" s="587" t="n"/>
      <c r="AUJ88" s="587" t="n"/>
      <c r="AUK88" s="587" t="n"/>
      <c r="AUL88" s="587" t="n"/>
      <c r="AUM88" s="587" t="n"/>
      <c r="AUN88" s="587" t="n"/>
      <c r="AUO88" s="587" t="n"/>
      <c r="AUP88" s="587" t="n"/>
      <c r="AUQ88" s="587" t="n"/>
      <c r="AUR88" s="587" t="n"/>
      <c r="AUS88" s="587" t="n"/>
      <c r="AUT88" s="587" t="n"/>
      <c r="AUU88" s="587" t="n"/>
      <c r="AUV88" s="587" t="n"/>
      <c r="AUW88" s="587" t="n"/>
      <c r="AUX88" s="587" t="n"/>
      <c r="AUY88" s="587" t="n"/>
      <c r="AUZ88" s="587" t="n"/>
      <c r="AVA88" s="587" t="n"/>
      <c r="AVB88" s="587" t="n"/>
      <c r="AVC88" s="587" t="n"/>
      <c r="AVD88" s="587" t="n"/>
      <c r="AVE88" s="587" t="n"/>
      <c r="AVF88" s="587" t="n"/>
      <c r="AVG88" s="587" t="n"/>
      <c r="AVH88" s="587" t="n"/>
      <c r="AVI88" s="587" t="n"/>
      <c r="AVJ88" s="587" t="n"/>
      <c r="AVK88" s="587" t="n"/>
      <c r="AVL88" s="587" t="n"/>
      <c r="AVM88" s="587" t="n"/>
      <c r="AVN88" s="587" t="n"/>
      <c r="AVO88" s="587" t="n"/>
      <c r="AVP88" s="587" t="n"/>
      <c r="AVQ88" s="587" t="n"/>
      <c r="AVR88" s="587" t="n"/>
      <c r="AVS88" s="587" t="n"/>
      <c r="AVT88" s="587" t="n"/>
      <c r="AVU88" s="587" t="n"/>
      <c r="AVV88" s="587" t="n"/>
      <c r="AVW88" s="587" t="n"/>
      <c r="AVX88" s="587" t="n"/>
      <c r="AVY88" s="587" t="n"/>
      <c r="AVZ88" s="587" t="n"/>
      <c r="AWA88" s="587" t="n"/>
      <c r="AWB88" s="587" t="n"/>
      <c r="AWC88" s="587" t="n"/>
      <c r="AWD88" s="587" t="n"/>
      <c r="AWE88" s="587" t="n"/>
      <c r="AWF88" s="587" t="n"/>
      <c r="AWG88" s="587" t="n"/>
      <c r="AWH88" s="587" t="n"/>
      <c r="AWI88" s="587" t="n"/>
      <c r="AWJ88" s="587" t="n"/>
      <c r="AWK88" s="587" t="n"/>
      <c r="AWL88" s="587" t="n"/>
      <c r="AWM88" s="587" t="n"/>
      <c r="AWN88" s="587" t="n"/>
      <c r="AWO88" s="587" t="n"/>
      <c r="AWP88" s="587" t="n"/>
      <c r="AWQ88" s="587" t="n"/>
      <c r="AWR88" s="587" t="n"/>
      <c r="AWS88" s="587" t="n"/>
      <c r="AWT88" s="587" t="n"/>
      <c r="AWU88" s="587" t="n"/>
      <c r="AWV88" s="587" t="n"/>
      <c r="AWW88" s="587" t="n"/>
      <c r="AWX88" s="587" t="n"/>
      <c r="AWY88" s="587" t="n"/>
      <c r="AWZ88" s="587" t="n"/>
      <c r="AXA88" s="587" t="n"/>
      <c r="AXB88" s="587" t="n"/>
      <c r="AXC88" s="587" t="n"/>
      <c r="AXD88" s="587" t="n"/>
      <c r="AXE88" s="587" t="n"/>
      <c r="AXF88" s="587" t="n"/>
      <c r="AXG88" s="587" t="n"/>
      <c r="AXH88" s="587" t="n"/>
      <c r="AXI88" s="587" t="n"/>
      <c r="AXJ88" s="587" t="n"/>
      <c r="AXK88" s="587" t="n"/>
      <c r="AXL88" s="587" t="n"/>
      <c r="AXM88" s="587" t="n"/>
      <c r="AXN88" s="587" t="n"/>
      <c r="AXO88" s="587" t="n"/>
      <c r="AXP88" s="587" t="n"/>
      <c r="AXQ88" s="587" t="n"/>
      <c r="AXR88" s="587" t="n"/>
      <c r="AXS88" s="587" t="n"/>
      <c r="AXT88" s="587" t="n"/>
      <c r="AXU88" s="587" t="n"/>
      <c r="AXV88" s="587" t="n"/>
      <c r="AXW88" s="587" t="n"/>
      <c r="AXX88" s="587" t="n"/>
      <c r="AXY88" s="587" t="n"/>
      <c r="AXZ88" s="587" t="n"/>
      <c r="AYA88" s="587" t="n"/>
      <c r="AYB88" s="587" t="n"/>
      <c r="AYC88" s="587" t="n"/>
      <c r="AYD88" s="587" t="n"/>
      <c r="AYE88" s="587" t="n"/>
      <c r="AYF88" s="587" t="n"/>
      <c r="AYG88" s="587" t="n"/>
      <c r="AYH88" s="587" t="n"/>
      <c r="AYI88" s="587" t="n"/>
      <c r="AYJ88" s="587" t="n"/>
      <c r="AYK88" s="587" t="n"/>
      <c r="AYL88" s="587" t="n"/>
      <c r="AYM88" s="587" t="n"/>
      <c r="AYN88" s="587" t="n"/>
      <c r="AYO88" s="587" t="n"/>
      <c r="AYP88" s="587" t="n"/>
      <c r="AYQ88" s="587" t="n"/>
      <c r="AYR88" s="587" t="n"/>
      <c r="AYS88" s="587" t="n"/>
      <c r="AYT88" s="587" t="n"/>
      <c r="AYU88" s="587" t="n"/>
      <c r="AYV88" s="587" t="n"/>
      <c r="AYW88" s="587" t="n"/>
      <c r="AYX88" s="587" t="n"/>
      <c r="AYY88" s="587" t="n"/>
      <c r="AYZ88" s="587" t="n"/>
      <c r="AZA88" s="587" t="n"/>
      <c r="AZB88" s="587" t="n"/>
      <c r="AZC88" s="587" t="n"/>
      <c r="AZD88" s="587" t="n"/>
      <c r="AZE88" s="587" t="n"/>
      <c r="AZF88" s="587" t="n"/>
      <c r="AZG88" s="587" t="n"/>
      <c r="AZH88" s="587" t="n"/>
      <c r="AZI88" s="587" t="n"/>
      <c r="AZJ88" s="587" t="n"/>
      <c r="AZK88" s="587" t="n"/>
      <c r="AZL88" s="587" t="n"/>
      <c r="AZM88" s="587" t="n"/>
      <c r="AZN88" s="587" t="n"/>
      <c r="AZO88" s="587" t="n"/>
      <c r="AZP88" s="587" t="n"/>
      <c r="AZQ88" s="587" t="n"/>
      <c r="AZR88" s="587" t="n"/>
      <c r="AZS88" s="587" t="n"/>
      <c r="AZT88" s="587" t="n"/>
      <c r="AZU88" s="587" t="n"/>
      <c r="AZV88" s="587" t="n"/>
      <c r="AZW88" s="587" t="n"/>
      <c r="AZX88" s="587" t="n"/>
      <c r="AZY88" s="587" t="n"/>
      <c r="AZZ88" s="587" t="n"/>
      <c r="BAA88" s="587" t="n"/>
      <c r="BAB88" s="587" t="n"/>
      <c r="BAC88" s="587" t="n"/>
      <c r="BAD88" s="587" t="n"/>
      <c r="BAE88" s="587" t="n"/>
      <c r="BAF88" s="587" t="n"/>
      <c r="BAG88" s="587" t="n"/>
      <c r="BAH88" s="587" t="n"/>
      <c r="BAI88" s="587" t="n"/>
      <c r="BAJ88" s="587" t="n"/>
      <c r="BAK88" s="587" t="n"/>
      <c r="BAL88" s="587" t="n"/>
      <c r="BAM88" s="587" t="n"/>
      <c r="BAN88" s="587" t="n"/>
      <c r="BAO88" s="587" t="n"/>
      <c r="BAP88" s="587" t="n"/>
      <c r="BAQ88" s="587" t="n"/>
      <c r="BAR88" s="587" t="n"/>
      <c r="BAS88" s="587" t="n"/>
      <c r="BAT88" s="587" t="n"/>
      <c r="BAU88" s="587" t="n"/>
      <c r="BAV88" s="587" t="n"/>
      <c r="BAW88" s="587" t="n"/>
      <c r="BAX88" s="587" t="n"/>
      <c r="BAY88" s="587" t="n"/>
      <c r="BAZ88" s="587" t="n"/>
      <c r="BBA88" s="587" t="n"/>
      <c r="BBB88" s="587" t="n"/>
      <c r="BBC88" s="587" t="n"/>
      <c r="BBD88" s="587" t="n"/>
      <c r="BBE88" s="587" t="n"/>
      <c r="BBF88" s="587" t="n"/>
      <c r="BBG88" s="587" t="n"/>
      <c r="BBH88" s="587" t="n"/>
      <c r="BBI88" s="587" t="n"/>
      <c r="BBJ88" s="587" t="n"/>
      <c r="BBK88" s="587" t="n"/>
      <c r="BBL88" s="587" t="n"/>
      <c r="BBM88" s="587" t="n"/>
      <c r="BBN88" s="587" t="n"/>
      <c r="BBO88" s="587" t="n"/>
      <c r="BBP88" s="587" t="n"/>
      <c r="BBQ88" s="587" t="n"/>
      <c r="BBR88" s="587" t="n"/>
      <c r="BBS88" s="587" t="n"/>
      <c r="BBT88" s="587" t="n"/>
      <c r="BBU88" s="587" t="n"/>
      <c r="BBV88" s="587" t="n"/>
      <c r="BBW88" s="587" t="n"/>
      <c r="BBX88" s="587" t="n"/>
      <c r="BBY88" s="587" t="n"/>
      <c r="BBZ88" s="587" t="n"/>
      <c r="BCA88" s="587" t="n"/>
      <c r="BCB88" s="587" t="n"/>
      <c r="BCC88" s="587" t="n"/>
      <c r="BCD88" s="587" t="n"/>
      <c r="BCE88" s="587" t="n"/>
      <c r="BCF88" s="587" t="n"/>
      <c r="BCG88" s="587" t="n"/>
      <c r="BCH88" s="587" t="n"/>
      <c r="BCI88" s="587" t="n"/>
      <c r="BCJ88" s="587" t="n"/>
      <c r="BCK88" s="587" t="n"/>
      <c r="BCL88" s="587" t="n"/>
      <c r="BCM88" s="587" t="n"/>
      <c r="BCN88" s="587" t="n"/>
      <c r="BCO88" s="587" t="n"/>
      <c r="BCP88" s="587" t="n"/>
      <c r="BCQ88" s="587" t="n"/>
      <c r="BCR88" s="587" t="n"/>
      <c r="BCS88" s="587" t="n"/>
      <c r="BCT88" s="587" t="n"/>
      <c r="BCU88" s="587" t="n"/>
      <c r="BCV88" s="587" t="n"/>
      <c r="BCW88" s="587" t="n"/>
      <c r="BCX88" s="587" t="n"/>
      <c r="BCY88" s="587" t="n"/>
      <c r="BCZ88" s="587" t="n"/>
      <c r="BDA88" s="587" t="n"/>
      <c r="BDB88" s="587" t="n"/>
      <c r="BDC88" s="587" t="n"/>
      <c r="BDD88" s="587" t="n"/>
      <c r="BDE88" s="587" t="n"/>
      <c r="BDF88" s="587" t="n"/>
      <c r="BDG88" s="587" t="n"/>
      <c r="BDH88" s="587" t="n"/>
      <c r="BDI88" s="587" t="n"/>
      <c r="BDJ88" s="587" t="n"/>
      <c r="BDK88" s="587" t="n"/>
      <c r="BDL88" s="587" t="n"/>
      <c r="BDM88" s="587" t="n"/>
      <c r="BDN88" s="587" t="n"/>
      <c r="BDO88" s="587" t="n"/>
      <c r="BDP88" s="587" t="n"/>
      <c r="BDQ88" s="587" t="n"/>
      <c r="BDR88" s="587" t="n"/>
      <c r="BDS88" s="587" t="n"/>
      <c r="BDT88" s="587" t="n"/>
      <c r="BDU88" s="587" t="n"/>
      <c r="BDV88" s="587" t="n"/>
      <c r="BDW88" s="587" t="n"/>
      <c r="BDX88" s="587" t="n"/>
      <c r="BDY88" s="587" t="n"/>
      <c r="BDZ88" s="587" t="n"/>
      <c r="BEA88" s="587" t="n"/>
      <c r="BEB88" s="587" t="n"/>
      <c r="BEC88" s="587" t="n"/>
      <c r="BED88" s="587" t="n"/>
      <c r="BEE88" s="587" t="n"/>
      <c r="BEF88" s="587" t="n"/>
      <c r="BEG88" s="587" t="n"/>
      <c r="BEH88" s="587" t="n"/>
      <c r="BEI88" s="587" t="n"/>
      <c r="BEJ88" s="587" t="n"/>
      <c r="BEK88" s="587" t="n"/>
      <c r="BEL88" s="587" t="n"/>
      <c r="BEM88" s="587" t="n"/>
      <c r="BEN88" s="587" t="n"/>
      <c r="BEO88" s="587" t="n"/>
      <c r="BEP88" s="587" t="n"/>
      <c r="BEQ88" s="587" t="n"/>
      <c r="BER88" s="587" t="n"/>
      <c r="BES88" s="587" t="n"/>
      <c r="BET88" s="587" t="n"/>
      <c r="BEU88" s="587" t="n"/>
      <c r="BEV88" s="587" t="n"/>
      <c r="BEW88" s="587" t="n"/>
      <c r="BEX88" s="587" t="n"/>
      <c r="BEY88" s="587" t="n"/>
      <c r="BEZ88" s="587" t="n"/>
      <c r="BFA88" s="587" t="n"/>
      <c r="BFB88" s="587" t="n"/>
      <c r="BFC88" s="587" t="n"/>
      <c r="BFD88" s="587" t="n"/>
      <c r="BFE88" s="587" t="n"/>
      <c r="BFF88" s="587" t="n"/>
      <c r="BFG88" s="587" t="n"/>
      <c r="BFH88" s="587" t="n"/>
      <c r="BFI88" s="587" t="n"/>
      <c r="BFJ88" s="587" t="n"/>
      <c r="BFK88" s="587" t="n"/>
      <c r="BFL88" s="587" t="n"/>
      <c r="BFM88" s="587" t="n"/>
      <c r="BFN88" s="587" t="n"/>
      <c r="BFO88" s="587" t="n"/>
      <c r="BFP88" s="587" t="n"/>
      <c r="BFQ88" s="587" t="n"/>
      <c r="BFR88" s="587" t="n"/>
      <c r="BFS88" s="587" t="n"/>
      <c r="BFT88" s="587" t="n"/>
      <c r="BFU88" s="587" t="n"/>
      <c r="BFV88" s="587" t="n"/>
      <c r="BFW88" s="587" t="n"/>
      <c r="BFX88" s="587" t="n"/>
      <c r="BFY88" s="587" t="n"/>
      <c r="BFZ88" s="587" t="n"/>
      <c r="BGA88" s="587" t="n"/>
      <c r="BGB88" s="587" t="n"/>
      <c r="BGC88" s="587" t="n"/>
      <c r="BGD88" s="587" t="n"/>
      <c r="BGE88" s="587" t="n"/>
      <c r="BGF88" s="587" t="n"/>
      <c r="BGG88" s="587" t="n"/>
      <c r="BGH88" s="587" t="n"/>
      <c r="BGI88" s="587" t="n"/>
      <c r="BGJ88" s="587" t="n"/>
      <c r="BGK88" s="587" t="n"/>
      <c r="BGL88" s="587" t="n"/>
      <c r="BGM88" s="587" t="n"/>
      <c r="BGN88" s="587" t="n"/>
      <c r="BGO88" s="587" t="n"/>
      <c r="BGP88" s="587" t="n"/>
      <c r="BGQ88" s="587" t="n"/>
      <c r="BGR88" s="587" t="n"/>
      <c r="BGS88" s="587" t="n"/>
      <c r="BGT88" s="587" t="n"/>
      <c r="BGU88" s="587" t="n"/>
      <c r="BGV88" s="587" t="n"/>
      <c r="BGW88" s="587" t="n"/>
      <c r="BGX88" s="587" t="n"/>
      <c r="BGY88" s="587" t="n"/>
      <c r="BGZ88" s="587" t="n"/>
      <c r="BHA88" s="587" t="n"/>
      <c r="BHB88" s="587" t="n"/>
      <c r="BHC88" s="587" t="n"/>
      <c r="BHD88" s="587" t="n"/>
      <c r="BHE88" s="587" t="n"/>
      <c r="BHF88" s="587" t="n"/>
      <c r="BHG88" s="587" t="n"/>
      <c r="BHH88" s="587" t="n"/>
      <c r="BHI88" s="587" t="n"/>
      <c r="BHJ88" s="587" t="n"/>
      <c r="BHK88" s="587" t="n"/>
      <c r="BHL88" s="587" t="n"/>
      <c r="BHM88" s="587" t="n"/>
      <c r="BHN88" s="587" t="n"/>
      <c r="BHO88" s="587" t="n"/>
      <c r="BHP88" s="587" t="n"/>
      <c r="BHQ88" s="587" t="n"/>
      <c r="BHR88" s="587" t="n"/>
      <c r="BHS88" s="587" t="n"/>
      <c r="BHT88" s="587" t="n"/>
      <c r="BHU88" s="587" t="n"/>
      <c r="BHV88" s="587" t="n"/>
      <c r="BHW88" s="587" t="n"/>
      <c r="BHX88" s="587" t="n"/>
      <c r="BHY88" s="587" t="n"/>
      <c r="BHZ88" s="587" t="n"/>
      <c r="BIA88" s="587" t="n"/>
      <c r="BIB88" s="587" t="n"/>
      <c r="BIC88" s="587" t="n"/>
      <c r="BID88" s="587" t="n"/>
      <c r="BIE88" s="587" t="n"/>
      <c r="BIF88" s="587" t="n"/>
      <c r="BIG88" s="587" t="n"/>
      <c r="BIH88" s="587" t="n"/>
      <c r="BII88" s="587" t="n"/>
      <c r="BIJ88" s="587" t="n"/>
      <c r="BIK88" s="587" t="n"/>
      <c r="BIL88" s="587" t="n"/>
      <c r="BIM88" s="587" t="n"/>
      <c r="BIN88" s="587" t="n"/>
      <c r="BIO88" s="587" t="n"/>
      <c r="BIP88" s="587" t="n"/>
      <c r="BIQ88" s="587" t="n"/>
      <c r="BIR88" s="587" t="n"/>
      <c r="BIS88" s="587" t="n"/>
      <c r="BIT88" s="587" t="n"/>
      <c r="BIU88" s="587" t="n"/>
      <c r="BIV88" s="587" t="n"/>
      <c r="BIW88" s="587" t="n"/>
      <c r="BIX88" s="587" t="n"/>
      <c r="BIY88" s="587" t="n"/>
      <c r="BIZ88" s="587" t="n"/>
      <c r="BJA88" s="587" t="n"/>
      <c r="BJB88" s="587" t="n"/>
      <c r="BJC88" s="587" t="n"/>
      <c r="BJD88" s="587" t="n"/>
      <c r="BJE88" s="587" t="n"/>
      <c r="BJF88" s="587" t="n"/>
      <c r="BJG88" s="587" t="n"/>
      <c r="BJH88" s="587" t="n"/>
      <c r="BJI88" s="587" t="n"/>
      <c r="BJJ88" s="587" t="n"/>
      <c r="BJK88" s="587" t="n"/>
      <c r="BJL88" s="587" t="n"/>
      <c r="BJM88" s="587" t="n"/>
      <c r="BJN88" s="587" t="n"/>
      <c r="BJO88" s="587" t="n"/>
      <c r="BJP88" s="587" t="n"/>
      <c r="BJQ88" s="587" t="n"/>
      <c r="BJR88" s="587" t="n"/>
      <c r="BJS88" s="587" t="n"/>
      <c r="BJT88" s="587" t="n"/>
      <c r="BJU88" s="587" t="n"/>
      <c r="BJV88" s="587" t="n"/>
      <c r="BJW88" s="587" t="n"/>
      <c r="BJX88" s="587" t="n"/>
      <c r="BJY88" s="587" t="n"/>
      <c r="BJZ88" s="587" t="n"/>
      <c r="BKA88" s="587" t="n"/>
      <c r="BKB88" s="587" t="n"/>
      <c r="BKC88" s="587" t="n"/>
      <c r="BKD88" s="587" t="n"/>
      <c r="BKE88" s="587" t="n"/>
      <c r="BKF88" s="587" t="n"/>
      <c r="BKG88" s="587" t="n"/>
      <c r="BKH88" s="587" t="n"/>
      <c r="BKI88" s="587" t="n"/>
      <c r="BKJ88" s="587" t="n"/>
      <c r="BKK88" s="587" t="n"/>
      <c r="BKL88" s="587" t="n"/>
      <c r="BKM88" s="587" t="n"/>
      <c r="BKN88" s="587" t="n"/>
      <c r="BKO88" s="587" t="n"/>
      <c r="BKP88" s="587" t="n"/>
      <c r="BKQ88" s="587" t="n"/>
      <c r="BKR88" s="587" t="n"/>
      <c r="BKS88" s="587" t="n"/>
      <c r="BKT88" s="587" t="n"/>
      <c r="BKU88" s="587" t="n"/>
      <c r="BKV88" s="587" t="n"/>
      <c r="BKW88" s="587" t="n"/>
      <c r="BKX88" s="587" t="n"/>
      <c r="BKY88" s="587" t="n"/>
      <c r="BKZ88" s="587" t="n"/>
      <c r="BLA88" s="587" t="n"/>
      <c r="BLB88" s="587" t="n"/>
      <c r="BLC88" s="587" t="n"/>
      <c r="BLD88" s="587" t="n"/>
      <c r="BLE88" s="587" t="n"/>
      <c r="BLF88" s="587" t="n"/>
      <c r="BLG88" s="587" t="n"/>
      <c r="BLH88" s="587" t="n"/>
      <c r="BLI88" s="587" t="n"/>
      <c r="BLJ88" s="587" t="n"/>
      <c r="BLK88" s="587" t="n"/>
      <c r="BLL88" s="587" t="n"/>
      <c r="BLM88" s="587" t="n"/>
      <c r="BLN88" s="587" t="n"/>
      <c r="BLO88" s="587" t="n"/>
      <c r="BLP88" s="587" t="n"/>
      <c r="BLQ88" s="587" t="n"/>
      <c r="BLR88" s="587" t="n"/>
      <c r="BLS88" s="587" t="n"/>
      <c r="BLT88" s="587" t="n"/>
      <c r="BLU88" s="587" t="n"/>
      <c r="BLV88" s="587" t="n"/>
      <c r="BLW88" s="587" t="n"/>
      <c r="BLX88" s="587" t="n"/>
      <c r="BLY88" s="587" t="n"/>
      <c r="BLZ88" s="587" t="n"/>
      <c r="BMA88" s="587" t="n"/>
      <c r="BMB88" s="587" t="n"/>
      <c r="BMC88" s="587" t="n"/>
      <c r="BMD88" s="587" t="n"/>
      <c r="BME88" s="587" t="n"/>
      <c r="BMF88" s="587" t="n"/>
      <c r="BMG88" s="587" t="n"/>
      <c r="BMH88" s="587" t="n"/>
      <c r="BMI88" s="587" t="n"/>
      <c r="BMJ88" s="587" t="n"/>
      <c r="BMK88" s="587" t="n"/>
      <c r="BML88" s="587" t="n"/>
      <c r="BMM88" s="587" t="n"/>
      <c r="BMN88" s="587" t="n"/>
      <c r="BMO88" s="587" t="n"/>
      <c r="BMP88" s="587" t="n"/>
      <c r="BMQ88" s="587" t="n"/>
      <c r="BMR88" s="587" t="n"/>
      <c r="BMS88" s="587" t="n"/>
      <c r="BMT88" s="587" t="n"/>
      <c r="BMU88" s="587" t="n"/>
      <c r="BMV88" s="587" t="n"/>
      <c r="BMW88" s="587" t="n"/>
      <c r="BMX88" s="587" t="n"/>
      <c r="BMY88" s="587" t="n"/>
      <c r="BMZ88" s="587" t="n"/>
      <c r="BNA88" s="587" t="n"/>
      <c r="BNB88" s="587" t="n"/>
      <c r="BNC88" s="587" t="n"/>
      <c r="BND88" s="587" t="n"/>
      <c r="BNE88" s="587" t="n"/>
      <c r="BNF88" s="587" t="n"/>
      <c r="BNG88" s="587" t="n"/>
      <c r="BNH88" s="587" t="n"/>
      <c r="BNI88" s="587" t="n"/>
      <c r="BNJ88" s="587" t="n"/>
      <c r="BNK88" s="587" t="n"/>
      <c r="BNL88" s="587" t="n"/>
      <c r="BNM88" s="587" t="n"/>
      <c r="BNN88" s="587" t="n"/>
      <c r="BNO88" s="587" t="n"/>
      <c r="BNP88" s="587" t="n"/>
      <c r="BNQ88" s="587" t="n"/>
      <c r="BNR88" s="587" t="n"/>
      <c r="BNS88" s="587" t="n"/>
      <c r="BNT88" s="587" t="n"/>
      <c r="BNU88" s="587" t="n"/>
      <c r="BNV88" s="587" t="n"/>
      <c r="BNW88" s="587" t="n"/>
      <c r="BNX88" s="587" t="n"/>
      <c r="BNY88" s="587" t="n"/>
      <c r="BNZ88" s="587" t="n"/>
      <c r="BOA88" s="587" t="n"/>
      <c r="BOB88" s="587" t="n"/>
      <c r="BOC88" s="587" t="n"/>
      <c r="BOD88" s="587" t="n"/>
      <c r="BOE88" s="587" t="n"/>
      <c r="BOF88" s="587" t="n"/>
      <c r="BOG88" s="587" t="n"/>
      <c r="BOH88" s="587" t="n"/>
      <c r="BOI88" s="587" t="n"/>
      <c r="BOJ88" s="587" t="n"/>
      <c r="BOK88" s="587" t="n"/>
      <c r="BOL88" s="587" t="n"/>
      <c r="BOM88" s="587" t="n"/>
      <c r="BON88" s="587" t="n"/>
      <c r="BOO88" s="587" t="n"/>
      <c r="BOP88" s="587" t="n"/>
      <c r="BOQ88" s="587" t="n"/>
      <c r="BOR88" s="587" t="n"/>
      <c r="BOS88" s="587" t="n"/>
      <c r="BOT88" s="587" t="n"/>
      <c r="BOU88" s="587" t="n"/>
      <c r="BOV88" s="587" t="n"/>
      <c r="BOW88" s="587" t="n"/>
      <c r="BOX88" s="587" t="n"/>
      <c r="BOY88" s="587" t="n"/>
      <c r="BOZ88" s="587" t="n"/>
      <c r="BPA88" s="587" t="n"/>
      <c r="BPB88" s="587" t="n"/>
      <c r="BPC88" s="587" t="n"/>
      <c r="BPD88" s="587" t="n"/>
      <c r="BPE88" s="587" t="n"/>
      <c r="BPF88" s="587" t="n"/>
      <c r="BPG88" s="587" t="n"/>
      <c r="BPH88" s="587" t="n"/>
      <c r="BPI88" s="587" t="n"/>
      <c r="BPJ88" s="587" t="n"/>
      <c r="BPK88" s="587" t="n"/>
      <c r="BPL88" s="587" t="n"/>
      <c r="BPM88" s="587" t="n"/>
      <c r="BPN88" s="587" t="n"/>
      <c r="BPO88" s="587" t="n"/>
      <c r="BPP88" s="587" t="n"/>
      <c r="BPQ88" s="587" t="n"/>
      <c r="BPR88" s="587" t="n"/>
      <c r="BPS88" s="587" t="n"/>
      <c r="BPT88" s="587" t="n"/>
      <c r="BPU88" s="587" t="n"/>
      <c r="BPV88" s="587" t="n"/>
      <c r="BPW88" s="587" t="n"/>
      <c r="BPX88" s="587" t="n"/>
      <c r="BPY88" s="587" t="n"/>
      <c r="BPZ88" s="587" t="n"/>
      <c r="BQA88" s="587" t="n"/>
      <c r="BQB88" s="587" t="n"/>
      <c r="BQC88" s="587" t="n"/>
      <c r="BQD88" s="587" t="n"/>
      <c r="BQE88" s="587" t="n"/>
      <c r="BQF88" s="587" t="n"/>
      <c r="BQG88" s="587" t="n"/>
      <c r="BQH88" s="587" t="n"/>
      <c r="BQI88" s="587" t="n"/>
      <c r="BQJ88" s="587" t="n"/>
      <c r="BQK88" s="587" t="n"/>
      <c r="BQL88" s="587" t="n"/>
      <c r="BQM88" s="587" t="n"/>
      <c r="BQN88" s="587" t="n"/>
      <c r="BQO88" s="587" t="n"/>
      <c r="BQP88" s="587" t="n"/>
      <c r="BQQ88" s="587" t="n"/>
      <c r="BQR88" s="587" t="n"/>
      <c r="BQS88" s="587" t="n"/>
      <c r="BQT88" s="587" t="n"/>
      <c r="BQU88" s="587" t="n"/>
      <c r="BQV88" s="587" t="n"/>
      <c r="BQW88" s="587" t="n"/>
      <c r="BQX88" s="587" t="n"/>
      <c r="BQY88" s="587" t="n"/>
      <c r="BQZ88" s="587" t="n"/>
      <c r="BRA88" s="587" t="n"/>
      <c r="BRB88" s="587" t="n"/>
      <c r="BRC88" s="587" t="n"/>
      <c r="BRD88" s="587" t="n"/>
      <c r="BRE88" s="587" t="n"/>
      <c r="BRF88" s="587" t="n"/>
      <c r="BRG88" s="587" t="n"/>
      <c r="BRH88" s="587" t="n"/>
      <c r="BRI88" s="587" t="n"/>
      <c r="BRJ88" s="587" t="n"/>
      <c r="BRK88" s="587" t="n"/>
      <c r="BRL88" s="587" t="n"/>
      <c r="BRM88" s="587" t="n"/>
      <c r="BRN88" s="587" t="n"/>
      <c r="BRO88" s="587" t="n"/>
      <c r="BRP88" s="587" t="n"/>
      <c r="BRQ88" s="587" t="n"/>
      <c r="BRR88" s="587" t="n"/>
      <c r="BRS88" s="587" t="n"/>
      <c r="BRT88" s="587" t="n"/>
      <c r="BRU88" s="587" t="n"/>
      <c r="BRV88" s="587" t="n"/>
      <c r="BRW88" s="587" t="n"/>
      <c r="BRX88" s="587" t="n"/>
      <c r="BRY88" s="587" t="n"/>
      <c r="BRZ88" s="587" t="n"/>
      <c r="BSA88" s="587" t="n"/>
      <c r="BSB88" s="587" t="n"/>
      <c r="BSC88" s="587" t="n"/>
      <c r="BSD88" s="587" t="n"/>
      <c r="BSE88" s="587" t="n"/>
      <c r="BSF88" s="587" t="n"/>
      <c r="BSG88" s="587" t="n"/>
      <c r="BSH88" s="587" t="n"/>
      <c r="BSI88" s="587" t="n"/>
      <c r="BSJ88" s="587" t="n"/>
      <c r="BSK88" s="587" t="n"/>
      <c r="BSL88" s="587" t="n"/>
      <c r="BSM88" s="587" t="n"/>
      <c r="BSN88" s="587" t="n"/>
      <c r="BSO88" s="587" t="n"/>
      <c r="BSP88" s="587" t="n"/>
      <c r="BSQ88" s="587" t="n"/>
      <c r="BSR88" s="587" t="n"/>
      <c r="BSS88" s="587" t="n"/>
      <c r="BST88" s="587" t="n"/>
      <c r="BSU88" s="587" t="n"/>
      <c r="BSV88" s="587" t="n"/>
      <c r="BSW88" s="587" t="n"/>
      <c r="BSX88" s="587" t="n"/>
      <c r="BSY88" s="587" t="n"/>
      <c r="BSZ88" s="587" t="n"/>
      <c r="BTA88" s="587" t="n"/>
      <c r="BTB88" s="587" t="n"/>
      <c r="BTC88" s="587" t="n"/>
      <c r="BTD88" s="587" t="n"/>
      <c r="BTE88" s="587" t="n"/>
      <c r="BTF88" s="587" t="n"/>
      <c r="BTG88" s="587" t="n"/>
      <c r="BTH88" s="587" t="n"/>
      <c r="BTI88" s="587" t="n"/>
      <c r="BTJ88" s="587" t="n"/>
      <c r="BTK88" s="587" t="n"/>
      <c r="BTL88" s="587" t="n"/>
      <c r="BTM88" s="587" t="n"/>
      <c r="BTN88" s="587" t="n"/>
      <c r="BTO88" s="587" t="n"/>
      <c r="BTP88" s="587" t="n"/>
      <c r="BTQ88" s="587" t="n"/>
      <c r="BTR88" s="587" t="n"/>
      <c r="BTS88" s="587" t="n"/>
      <c r="BTT88" s="587" t="n"/>
      <c r="BTU88" s="587" t="n"/>
      <c r="BTV88" s="587" t="n"/>
      <c r="BTW88" s="587" t="n"/>
      <c r="BTX88" s="587" t="n"/>
      <c r="BTY88" s="587" t="n"/>
      <c r="BTZ88" s="587" t="n"/>
      <c r="BUA88" s="587" t="n"/>
      <c r="BUB88" s="587" t="n"/>
      <c r="BUC88" s="587" t="n"/>
      <c r="BUD88" s="587" t="n"/>
      <c r="BUE88" s="587" t="n"/>
      <c r="BUF88" s="587" t="n"/>
      <c r="BUG88" s="587" t="n"/>
      <c r="BUH88" s="587" t="n"/>
      <c r="BUI88" s="587" t="n"/>
      <c r="BUJ88" s="587" t="n"/>
      <c r="BUK88" s="587" t="n"/>
      <c r="BUL88" s="587" t="n"/>
      <c r="BUM88" s="587" t="n"/>
      <c r="BUN88" s="587" t="n"/>
      <c r="BUO88" s="587" t="n"/>
      <c r="BUP88" s="587" t="n"/>
      <c r="BUQ88" s="587" t="n"/>
      <c r="BUR88" s="587" t="n"/>
      <c r="BUS88" s="587" t="n"/>
      <c r="BUT88" s="587" t="n"/>
      <c r="BUU88" s="587" t="n"/>
      <c r="BUV88" s="587" t="n"/>
      <c r="BUW88" s="587" t="n"/>
      <c r="BUX88" s="587" t="n"/>
      <c r="BUY88" s="587" t="n"/>
      <c r="BUZ88" s="587" t="n"/>
      <c r="BVA88" s="587" t="n"/>
      <c r="BVB88" s="587" t="n"/>
      <c r="BVC88" s="587" t="n"/>
      <c r="BVD88" s="587" t="n"/>
      <c r="BVE88" s="587" t="n"/>
      <c r="BVF88" s="587" t="n"/>
      <c r="BVG88" s="587" t="n"/>
      <c r="BVH88" s="587" t="n"/>
      <c r="BVI88" s="587" t="n"/>
      <c r="BVJ88" s="587" t="n"/>
      <c r="BVK88" s="587" t="n"/>
      <c r="BVL88" s="587" t="n"/>
      <c r="BVM88" s="587" t="n"/>
      <c r="BVN88" s="587" t="n"/>
      <c r="BVO88" s="587" t="n"/>
      <c r="BVP88" s="587" t="n"/>
      <c r="BVQ88" s="587" t="n"/>
      <c r="BVR88" s="587" t="n"/>
      <c r="BVS88" s="587" t="n"/>
      <c r="BVT88" s="587" t="n"/>
      <c r="BVU88" s="587" t="n"/>
      <c r="BVV88" s="587" t="n"/>
      <c r="BVW88" s="587" t="n"/>
      <c r="BVX88" s="587" t="n"/>
      <c r="BVY88" s="587" t="n"/>
      <c r="BVZ88" s="587" t="n"/>
      <c r="BWA88" s="587" t="n"/>
      <c r="BWB88" s="587" t="n"/>
      <c r="BWC88" s="587" t="n"/>
      <c r="BWD88" s="587" t="n"/>
      <c r="BWE88" s="587" t="n"/>
      <c r="BWF88" s="587" t="n"/>
      <c r="BWG88" s="587" t="n"/>
      <c r="BWH88" s="587" t="n"/>
      <c r="BWI88" s="587" t="n"/>
      <c r="BWJ88" s="587" t="n"/>
      <c r="BWK88" s="587" t="n"/>
      <c r="BWL88" s="587" t="n"/>
      <c r="BWM88" s="587" t="n"/>
      <c r="BWN88" s="587" t="n"/>
      <c r="BWO88" s="587" t="n"/>
      <c r="BWP88" s="587" t="n"/>
      <c r="BWQ88" s="587" t="n"/>
      <c r="BWR88" s="587" t="n"/>
      <c r="BWS88" s="587" t="n"/>
      <c r="BWT88" s="587" t="n"/>
      <c r="BWU88" s="587" t="n"/>
      <c r="BWV88" s="587" t="n"/>
      <c r="BWW88" s="587" t="n"/>
      <c r="BWX88" s="587" t="n"/>
      <c r="BWY88" s="587" t="n"/>
      <c r="BWZ88" s="587" t="n"/>
      <c r="BXA88" s="587" t="n"/>
      <c r="BXB88" s="587" t="n"/>
      <c r="BXC88" s="587" t="n"/>
      <c r="BXD88" s="587" t="n"/>
      <c r="BXE88" s="587" t="n"/>
      <c r="BXF88" s="587" t="n"/>
      <c r="BXG88" s="587" t="n"/>
      <c r="BXH88" s="587" t="n"/>
      <c r="BXI88" s="587" t="n"/>
      <c r="BXJ88" s="587" t="n"/>
      <c r="BXK88" s="587" t="n"/>
      <c r="BXL88" s="587" t="n"/>
      <c r="BXM88" s="587" t="n"/>
      <c r="BXN88" s="587" t="n"/>
      <c r="BXO88" s="587" t="n"/>
      <c r="BXP88" s="587" t="n"/>
      <c r="BXQ88" s="587" t="n"/>
      <c r="BXR88" s="587" t="n"/>
      <c r="BXS88" s="587" t="n"/>
      <c r="BXT88" s="587" t="n"/>
      <c r="BXU88" s="587" t="n"/>
      <c r="BXV88" s="587" t="n"/>
      <c r="BXW88" s="587" t="n"/>
      <c r="BXX88" s="587" t="n"/>
      <c r="BXY88" s="587" t="n"/>
      <c r="BXZ88" s="587" t="n"/>
      <c r="BYA88" s="587" t="n"/>
      <c r="BYB88" s="587" t="n"/>
      <c r="BYC88" s="587" t="n"/>
      <c r="BYD88" s="587" t="n"/>
      <c r="BYE88" s="587" t="n"/>
      <c r="BYF88" s="587" t="n"/>
      <c r="BYG88" s="587" t="n"/>
      <c r="BYH88" s="587" t="n"/>
      <c r="BYI88" s="587" t="n"/>
      <c r="BYJ88" s="587" t="n"/>
      <c r="BYK88" s="587" t="n"/>
      <c r="BYL88" s="587" t="n"/>
      <c r="BYM88" s="587" t="n"/>
      <c r="BYN88" s="587" t="n"/>
      <c r="BYO88" s="587" t="n"/>
      <c r="BYP88" s="587" t="n"/>
      <c r="BYQ88" s="587" t="n"/>
      <c r="BYR88" s="587" t="n"/>
      <c r="BYS88" s="587" t="n"/>
      <c r="BYT88" s="587" t="n"/>
      <c r="BYU88" s="587" t="n"/>
      <c r="BYV88" s="587" t="n"/>
      <c r="BYW88" s="587" t="n"/>
      <c r="BYX88" s="587" t="n"/>
      <c r="BYY88" s="587" t="n"/>
      <c r="BYZ88" s="587" t="n"/>
      <c r="BZA88" s="587" t="n"/>
      <c r="BZB88" s="587" t="n"/>
      <c r="BZC88" s="587" t="n"/>
      <c r="BZD88" s="587" t="n"/>
      <c r="BZE88" s="587" t="n"/>
      <c r="BZF88" s="587" t="n"/>
      <c r="BZG88" s="587" t="n"/>
      <c r="BZH88" s="587" t="n"/>
      <c r="BZI88" s="587" t="n"/>
      <c r="BZJ88" s="587" t="n"/>
      <c r="BZK88" s="587" t="n"/>
      <c r="BZL88" s="587" t="n"/>
      <c r="BZM88" s="587" t="n"/>
      <c r="BZN88" s="587" t="n"/>
      <c r="BZO88" s="587" t="n"/>
      <c r="BZP88" s="587" t="n"/>
      <c r="BZQ88" s="587" t="n"/>
      <c r="BZR88" s="587" t="n"/>
      <c r="BZS88" s="587" t="n"/>
      <c r="BZT88" s="587" t="n"/>
      <c r="BZU88" s="587" t="n"/>
      <c r="BZV88" s="587" t="n"/>
      <c r="BZW88" s="587" t="n"/>
      <c r="BZX88" s="587" t="n"/>
      <c r="BZY88" s="587" t="n"/>
      <c r="BZZ88" s="587" t="n"/>
      <c r="CAA88" s="587" t="n"/>
      <c r="CAB88" s="587" t="n"/>
      <c r="CAC88" s="587" t="n"/>
      <c r="CAD88" s="587" t="n"/>
      <c r="CAE88" s="587" t="n"/>
      <c r="CAF88" s="587" t="n"/>
      <c r="CAG88" s="587" t="n"/>
      <c r="CAH88" s="587" t="n"/>
      <c r="CAI88" s="587" t="n"/>
      <c r="CAJ88" s="587" t="n"/>
      <c r="CAK88" s="587" t="n"/>
      <c r="CAL88" s="587" t="n"/>
      <c r="CAM88" s="587" t="n"/>
      <c r="CAN88" s="587" t="n"/>
      <c r="CAO88" s="587" t="n"/>
      <c r="CAP88" s="587" t="n"/>
      <c r="CAQ88" s="587" t="n"/>
      <c r="CAR88" s="587" t="n"/>
      <c r="CAS88" s="587" t="n"/>
      <c r="CAT88" s="587" t="n"/>
      <c r="CAU88" s="587" t="n"/>
      <c r="CAV88" s="587" t="n"/>
      <c r="CAW88" s="587" t="n"/>
      <c r="CAX88" s="587" t="n"/>
      <c r="CAY88" s="587" t="n"/>
      <c r="CAZ88" s="587" t="n"/>
      <c r="CBA88" s="587" t="n"/>
      <c r="CBB88" s="587" t="n"/>
      <c r="CBC88" s="587" t="n"/>
      <c r="CBD88" s="587" t="n"/>
      <c r="CBE88" s="587" t="n"/>
      <c r="CBF88" s="587" t="n"/>
      <c r="CBG88" s="587" t="n"/>
      <c r="CBH88" s="587" t="n"/>
      <c r="CBI88" s="587" t="n"/>
      <c r="CBJ88" s="587" t="n"/>
      <c r="CBK88" s="587" t="n"/>
      <c r="CBL88" s="587" t="n"/>
      <c r="CBM88" s="587" t="n"/>
      <c r="CBN88" s="587" t="n"/>
      <c r="CBO88" s="587" t="n"/>
      <c r="CBP88" s="587" t="n"/>
      <c r="CBQ88" s="587" t="n"/>
      <c r="CBR88" s="587" t="n"/>
      <c r="CBS88" s="587" t="n"/>
      <c r="CBT88" s="587" t="n"/>
      <c r="CBU88" s="587" t="n"/>
      <c r="CBV88" s="587" t="n"/>
      <c r="CBW88" s="587" t="n"/>
      <c r="CBX88" s="587" t="n"/>
      <c r="CBY88" s="587" t="n"/>
      <c r="CBZ88" s="587" t="n"/>
      <c r="CCA88" s="587" t="n"/>
      <c r="CCB88" s="587" t="n"/>
      <c r="CCC88" s="587" t="n"/>
      <c r="CCD88" s="587" t="n"/>
      <c r="CCE88" s="587" t="n"/>
      <c r="CCF88" s="587" t="n"/>
      <c r="CCG88" s="587" t="n"/>
      <c r="CCH88" s="587" t="n"/>
      <c r="CCI88" s="587" t="n"/>
      <c r="CCJ88" s="587" t="n"/>
      <c r="CCK88" s="587" t="n"/>
      <c r="CCL88" s="587" t="n"/>
      <c r="CCM88" s="587" t="n"/>
      <c r="CCN88" s="587" t="n"/>
      <c r="CCO88" s="587" t="n"/>
      <c r="CCP88" s="587" t="n"/>
      <c r="CCQ88" s="587" t="n"/>
      <c r="CCR88" s="587" t="n"/>
      <c r="CCS88" s="587" t="n"/>
      <c r="CCT88" s="587" t="n"/>
      <c r="CCU88" s="587" t="n"/>
      <c r="CCV88" s="587" t="n"/>
      <c r="CCW88" s="587" t="n"/>
      <c r="CCX88" s="587" t="n"/>
      <c r="CCY88" s="587" t="n"/>
      <c r="CCZ88" s="587" t="n"/>
      <c r="CDA88" s="587" t="n"/>
      <c r="CDB88" s="587" t="n"/>
      <c r="CDC88" s="587" t="n"/>
      <c r="CDD88" s="587" t="n"/>
      <c r="CDE88" s="587" t="n"/>
      <c r="CDF88" s="587" t="n"/>
      <c r="CDG88" s="587" t="n"/>
      <c r="CDH88" s="587" t="n"/>
      <c r="CDI88" s="587" t="n"/>
      <c r="CDJ88" s="587" t="n"/>
      <c r="CDK88" s="587" t="n"/>
      <c r="CDL88" s="587" t="n"/>
      <c r="CDM88" s="587" t="n"/>
      <c r="CDN88" s="587" t="n"/>
      <c r="CDO88" s="587" t="n"/>
      <c r="CDP88" s="587" t="n"/>
      <c r="CDQ88" s="587" t="n"/>
      <c r="CDR88" s="587" t="n"/>
      <c r="CDS88" s="587" t="n"/>
      <c r="CDT88" s="587" t="n"/>
      <c r="CDU88" s="587" t="n"/>
      <c r="CDV88" s="587" t="n"/>
      <c r="CDW88" s="587" t="n"/>
      <c r="CDX88" s="587" t="n"/>
      <c r="CDY88" s="587" t="n"/>
      <c r="CDZ88" s="587" t="n"/>
      <c r="CEA88" s="587" t="n"/>
      <c r="CEB88" s="587" t="n"/>
      <c r="CEC88" s="587" t="n"/>
      <c r="CED88" s="587" t="n"/>
      <c r="CEE88" s="587" t="n"/>
      <c r="CEF88" s="587" t="n"/>
      <c r="CEG88" s="587" t="n"/>
      <c r="CEH88" s="587" t="n"/>
      <c r="CEI88" s="587" t="n"/>
      <c r="CEJ88" s="587" t="n"/>
      <c r="CEK88" s="587" t="n"/>
      <c r="CEL88" s="587" t="n"/>
      <c r="CEM88" s="587" t="n"/>
      <c r="CEN88" s="587" t="n"/>
      <c r="CEO88" s="587" t="n"/>
      <c r="CEP88" s="587" t="n"/>
      <c r="CEQ88" s="587" t="n"/>
      <c r="CER88" s="587" t="n"/>
      <c r="CES88" s="587" t="n"/>
      <c r="CET88" s="587" t="n"/>
      <c r="CEU88" s="587" t="n"/>
      <c r="CEV88" s="587" t="n"/>
      <c r="CEW88" s="587" t="n"/>
      <c r="CEX88" s="587" t="n"/>
      <c r="CEY88" s="587" t="n"/>
      <c r="CEZ88" s="587" t="n"/>
      <c r="CFA88" s="587" t="n"/>
      <c r="CFB88" s="587" t="n"/>
      <c r="CFC88" s="587" t="n"/>
      <c r="CFD88" s="587" t="n"/>
      <c r="CFE88" s="587" t="n"/>
      <c r="CFF88" s="587" t="n"/>
      <c r="CFG88" s="587" t="n"/>
      <c r="CFH88" s="587" t="n"/>
      <c r="CFI88" s="587" t="n"/>
      <c r="CFJ88" s="587" t="n"/>
      <c r="CFK88" s="587" t="n"/>
      <c r="CFL88" s="587" t="n"/>
      <c r="CFM88" s="587" t="n"/>
      <c r="CFN88" s="587" t="n"/>
      <c r="CFO88" s="587" t="n"/>
      <c r="CFP88" s="587" t="n"/>
      <c r="CFQ88" s="587" t="n"/>
      <c r="CFR88" s="587" t="n"/>
      <c r="CFS88" s="587" t="n"/>
      <c r="CFT88" s="587" t="n"/>
      <c r="CFU88" s="587" t="n"/>
      <c r="CFV88" s="587" t="n"/>
      <c r="CFW88" s="587" t="n"/>
      <c r="CFX88" s="587" t="n"/>
      <c r="CFY88" s="587" t="n"/>
      <c r="CFZ88" s="587" t="n"/>
      <c r="CGA88" s="587" t="n"/>
      <c r="CGB88" s="587" t="n"/>
      <c r="CGC88" s="587" t="n"/>
      <c r="CGD88" s="587" t="n"/>
      <c r="CGE88" s="587" t="n"/>
      <c r="CGF88" s="587" t="n"/>
      <c r="CGG88" s="587" t="n"/>
      <c r="CGH88" s="587" t="n"/>
      <c r="CGI88" s="587" t="n"/>
      <c r="CGJ88" s="587" t="n"/>
      <c r="CGK88" s="587" t="n"/>
      <c r="CGL88" s="587" t="n"/>
      <c r="CGM88" s="587" t="n"/>
      <c r="CGN88" s="587" t="n"/>
      <c r="CGO88" s="587" t="n"/>
      <c r="CGP88" s="587" t="n"/>
      <c r="CGQ88" s="587" t="n"/>
      <c r="CGR88" s="587" t="n"/>
      <c r="CGS88" s="587" t="n"/>
      <c r="CGT88" s="587" t="n"/>
      <c r="CGU88" s="587" t="n"/>
      <c r="CGV88" s="587" t="n"/>
      <c r="CGW88" s="587" t="n"/>
      <c r="CGX88" s="587" t="n"/>
      <c r="CGY88" s="587" t="n"/>
      <c r="CGZ88" s="587" t="n"/>
      <c r="CHA88" s="587" t="n"/>
      <c r="CHB88" s="587" t="n"/>
      <c r="CHC88" s="587" t="n"/>
      <c r="CHD88" s="587" t="n"/>
      <c r="CHE88" s="587" t="n"/>
      <c r="CHF88" s="587" t="n"/>
      <c r="CHG88" s="587" t="n"/>
      <c r="CHH88" s="587" t="n"/>
      <c r="CHI88" s="587" t="n"/>
      <c r="CHJ88" s="587" t="n"/>
      <c r="CHK88" s="587" t="n"/>
      <c r="CHL88" s="587" t="n"/>
      <c r="CHM88" s="587" t="n"/>
      <c r="CHN88" s="587" t="n"/>
      <c r="CHO88" s="587" t="n"/>
      <c r="CHP88" s="587" t="n"/>
      <c r="CHQ88" s="587" t="n"/>
      <c r="CHR88" s="587" t="n"/>
      <c r="CHS88" s="587" t="n"/>
      <c r="CHT88" s="587" t="n"/>
      <c r="CHU88" s="587" t="n"/>
      <c r="CHV88" s="587" t="n"/>
      <c r="CHW88" s="587" t="n"/>
      <c r="CHX88" s="587" t="n"/>
      <c r="CHY88" s="587" t="n"/>
      <c r="CHZ88" s="587" t="n"/>
      <c r="CIA88" s="587" t="n"/>
      <c r="CIB88" s="587" t="n"/>
      <c r="CIC88" s="587" t="n"/>
      <c r="CID88" s="587" t="n"/>
      <c r="CIE88" s="587" t="n"/>
      <c r="CIF88" s="587" t="n"/>
      <c r="CIG88" s="587" t="n"/>
      <c r="CIH88" s="587" t="n"/>
      <c r="CII88" s="587" t="n"/>
      <c r="CIJ88" s="587" t="n"/>
      <c r="CIK88" s="587" t="n"/>
      <c r="CIL88" s="587" t="n"/>
      <c r="CIM88" s="587" t="n"/>
      <c r="CIN88" s="587" t="n"/>
      <c r="CIO88" s="587" t="n"/>
      <c r="CIP88" s="587" t="n"/>
      <c r="CIQ88" s="587" t="n"/>
      <c r="CIR88" s="587" t="n"/>
      <c r="CIS88" s="587" t="n"/>
      <c r="CIT88" s="587" t="n"/>
      <c r="CIU88" s="587" t="n"/>
      <c r="CIV88" s="587" t="n"/>
      <c r="CIW88" s="587" t="n"/>
      <c r="CIX88" s="587" t="n"/>
      <c r="CIY88" s="587" t="n"/>
      <c r="CIZ88" s="587" t="n"/>
      <c r="CJA88" s="587" t="n"/>
      <c r="CJB88" s="587" t="n"/>
      <c r="CJC88" s="587" t="n"/>
      <c r="CJD88" s="587" t="n"/>
      <c r="CJE88" s="587" t="n"/>
      <c r="CJF88" s="587" t="n"/>
      <c r="CJG88" s="587" t="n"/>
      <c r="CJH88" s="587" t="n"/>
      <c r="CJI88" s="587" t="n"/>
      <c r="CJJ88" s="587" t="n"/>
      <c r="CJK88" s="587" t="n"/>
      <c r="CJL88" s="587" t="n"/>
      <c r="CJM88" s="587" t="n"/>
      <c r="CJN88" s="587" t="n"/>
      <c r="CJO88" s="587" t="n"/>
      <c r="CJP88" s="587" t="n"/>
      <c r="CJQ88" s="587" t="n"/>
      <c r="CJR88" s="587" t="n"/>
      <c r="CJS88" s="587" t="n"/>
      <c r="CJT88" s="587" t="n"/>
      <c r="CJU88" s="587" t="n"/>
      <c r="CJV88" s="587" t="n"/>
      <c r="CJW88" s="587" t="n"/>
      <c r="CJX88" s="587" t="n"/>
      <c r="CJY88" s="587" t="n"/>
      <c r="CJZ88" s="587" t="n"/>
      <c r="CKA88" s="587" t="n"/>
      <c r="CKB88" s="587" t="n"/>
      <c r="CKC88" s="587" t="n"/>
      <c r="CKD88" s="587" t="n"/>
      <c r="CKE88" s="587" t="n"/>
      <c r="CKF88" s="587" t="n"/>
      <c r="CKG88" s="587" t="n"/>
      <c r="CKH88" s="587" t="n"/>
      <c r="CKI88" s="587" t="n"/>
      <c r="CKJ88" s="587" t="n"/>
      <c r="CKK88" s="587" t="n"/>
      <c r="CKL88" s="587" t="n"/>
      <c r="CKM88" s="587" t="n"/>
      <c r="CKN88" s="587" t="n"/>
      <c r="CKO88" s="587" t="n"/>
      <c r="CKP88" s="587" t="n"/>
      <c r="CKQ88" s="587" t="n"/>
      <c r="CKR88" s="587" t="n"/>
      <c r="CKS88" s="587" t="n"/>
      <c r="CKT88" s="587" t="n"/>
      <c r="CKU88" s="587" t="n"/>
      <c r="CKV88" s="587" t="n"/>
      <c r="CKW88" s="587" t="n"/>
      <c r="CKX88" s="587" t="n"/>
      <c r="CKY88" s="587" t="n"/>
      <c r="CKZ88" s="587" t="n"/>
      <c r="CLA88" s="587" t="n"/>
      <c r="CLB88" s="587" t="n"/>
      <c r="CLC88" s="587" t="n"/>
      <c r="CLD88" s="587" t="n"/>
      <c r="CLE88" s="587" t="n"/>
      <c r="CLF88" s="587" t="n"/>
      <c r="CLG88" s="587" t="n"/>
      <c r="CLH88" s="587" t="n"/>
      <c r="CLI88" s="587" t="n"/>
      <c r="CLJ88" s="587" t="n"/>
      <c r="CLK88" s="587" t="n"/>
      <c r="CLL88" s="587" t="n"/>
      <c r="CLM88" s="587" t="n"/>
      <c r="CLN88" s="587" t="n"/>
      <c r="CLO88" s="587" t="n"/>
      <c r="CLP88" s="587" t="n"/>
      <c r="CLQ88" s="587" t="n"/>
      <c r="CLR88" s="587" t="n"/>
      <c r="CLS88" s="587" t="n"/>
      <c r="CLT88" s="587" t="n"/>
      <c r="CLU88" s="587" t="n"/>
      <c r="CLV88" s="587" t="n"/>
      <c r="CLW88" s="587" t="n"/>
      <c r="CLX88" s="587" t="n"/>
      <c r="CLY88" s="587" t="n"/>
      <c r="CLZ88" s="587" t="n"/>
      <c r="CMA88" s="587" t="n"/>
      <c r="CMB88" s="587" t="n"/>
      <c r="CMC88" s="587" t="n"/>
      <c r="CMD88" s="587" t="n"/>
      <c r="CME88" s="587" t="n"/>
      <c r="CMF88" s="587" t="n"/>
      <c r="CMG88" s="587" t="n"/>
      <c r="CMH88" s="587" t="n"/>
      <c r="CMI88" s="587" t="n"/>
      <c r="CMJ88" s="587" t="n"/>
      <c r="CMK88" s="587" t="n"/>
      <c r="CML88" s="587" t="n"/>
      <c r="CMM88" s="587" t="n"/>
      <c r="CMN88" s="587" t="n"/>
      <c r="CMO88" s="587" t="n"/>
      <c r="CMP88" s="587" t="n"/>
      <c r="CMQ88" s="587" t="n"/>
      <c r="CMR88" s="587" t="n"/>
      <c r="CMS88" s="587" t="n"/>
      <c r="CMT88" s="587" t="n"/>
      <c r="CMU88" s="587" t="n"/>
      <c r="CMV88" s="587" t="n"/>
      <c r="CMW88" s="587" t="n"/>
      <c r="CMX88" s="587" t="n"/>
      <c r="CMY88" s="587" t="n"/>
      <c r="CMZ88" s="587" t="n"/>
      <c r="CNA88" s="587" t="n"/>
      <c r="CNB88" s="587" t="n"/>
      <c r="CNC88" s="587" t="n"/>
      <c r="CND88" s="587" t="n"/>
      <c r="CNE88" s="587" t="n"/>
      <c r="CNF88" s="587" t="n"/>
      <c r="CNG88" s="587" t="n"/>
      <c r="CNH88" s="587" t="n"/>
      <c r="CNI88" s="587" t="n"/>
      <c r="CNJ88" s="587" t="n"/>
      <c r="CNK88" s="587" t="n"/>
      <c r="CNL88" s="587" t="n"/>
      <c r="CNM88" s="587" t="n"/>
      <c r="CNN88" s="587" t="n"/>
      <c r="CNO88" s="587" t="n"/>
      <c r="CNP88" s="587" t="n"/>
      <c r="CNQ88" s="587" t="n"/>
      <c r="CNR88" s="587" t="n"/>
      <c r="CNS88" s="587" t="n"/>
      <c r="CNT88" s="587" t="n"/>
      <c r="CNU88" s="587" t="n"/>
      <c r="CNV88" s="587" t="n"/>
      <c r="CNW88" s="587" t="n"/>
      <c r="CNX88" s="587" t="n"/>
      <c r="CNY88" s="587" t="n"/>
      <c r="CNZ88" s="587" t="n"/>
      <c r="COA88" s="587" t="n"/>
      <c r="COB88" s="587" t="n"/>
      <c r="COC88" s="587" t="n"/>
      <c r="COD88" s="587" t="n"/>
      <c r="COE88" s="587" t="n"/>
      <c r="COF88" s="587" t="n"/>
      <c r="COG88" s="587" t="n"/>
      <c r="COH88" s="587" t="n"/>
      <c r="COI88" s="587" t="n"/>
      <c r="COJ88" s="587" t="n"/>
      <c r="COK88" s="587" t="n"/>
      <c r="COL88" s="587" t="n"/>
      <c r="COM88" s="587" t="n"/>
      <c r="CON88" s="587" t="n"/>
      <c r="COO88" s="587" t="n"/>
      <c r="COP88" s="587" t="n"/>
      <c r="COQ88" s="587" t="n"/>
      <c r="COR88" s="587" t="n"/>
      <c r="COS88" s="587" t="n"/>
      <c r="COT88" s="587" t="n"/>
      <c r="COU88" s="587" t="n"/>
      <c r="COV88" s="587" t="n"/>
      <c r="COW88" s="587" t="n"/>
      <c r="COX88" s="587" t="n"/>
      <c r="COY88" s="587" t="n"/>
      <c r="COZ88" s="587" t="n"/>
      <c r="CPA88" s="587" t="n"/>
      <c r="CPB88" s="587" t="n"/>
      <c r="CPC88" s="587" t="n"/>
      <c r="CPD88" s="587" t="n"/>
      <c r="CPE88" s="587" t="n"/>
      <c r="CPF88" s="587" t="n"/>
      <c r="CPG88" s="587" t="n"/>
      <c r="CPH88" s="587" t="n"/>
      <c r="CPI88" s="587" t="n"/>
      <c r="CPJ88" s="587" t="n"/>
      <c r="CPK88" s="587" t="n"/>
      <c r="CPL88" s="587" t="n"/>
      <c r="CPM88" s="587" t="n"/>
      <c r="CPN88" s="587" t="n"/>
      <c r="CPO88" s="587" t="n"/>
      <c r="CPP88" s="587" t="n"/>
      <c r="CPQ88" s="587" t="n"/>
      <c r="CPR88" s="587" t="n"/>
      <c r="CPS88" s="587" t="n"/>
      <c r="CPT88" s="587" t="n"/>
      <c r="CPU88" s="587" t="n"/>
      <c r="CPV88" s="587" t="n"/>
      <c r="CPW88" s="587" t="n"/>
      <c r="CPX88" s="587" t="n"/>
      <c r="CPY88" s="587" t="n"/>
      <c r="CPZ88" s="587" t="n"/>
      <c r="CQA88" s="587" t="n"/>
      <c r="CQB88" s="587" t="n"/>
      <c r="CQC88" s="587" t="n"/>
      <c r="CQD88" s="587" t="n"/>
      <c r="CQE88" s="587" t="n"/>
      <c r="CQF88" s="587" t="n"/>
      <c r="CQG88" s="587" t="n"/>
      <c r="CQH88" s="587" t="n"/>
      <c r="CQI88" s="587" t="n"/>
      <c r="CQJ88" s="587" t="n"/>
      <c r="CQK88" s="587" t="n"/>
      <c r="CQL88" s="587" t="n"/>
      <c r="CQM88" s="587" t="n"/>
      <c r="CQN88" s="587" t="n"/>
      <c r="CQO88" s="587" t="n"/>
      <c r="CQP88" s="587" t="n"/>
      <c r="CQQ88" s="587" t="n"/>
      <c r="CQR88" s="587" t="n"/>
      <c r="CQS88" s="587" t="n"/>
      <c r="CQT88" s="587" t="n"/>
      <c r="CQU88" s="587" t="n"/>
      <c r="CQV88" s="587" t="n"/>
      <c r="CQW88" s="587" t="n"/>
      <c r="CQX88" s="587" t="n"/>
      <c r="CQY88" s="587" t="n"/>
      <c r="CQZ88" s="587" t="n"/>
      <c r="CRA88" s="587" t="n"/>
      <c r="CRB88" s="587" t="n"/>
      <c r="CRC88" s="587" t="n"/>
      <c r="CRD88" s="587" t="n"/>
      <c r="CRE88" s="587" t="n"/>
      <c r="CRF88" s="587" t="n"/>
      <c r="CRG88" s="587" t="n"/>
      <c r="CRH88" s="587" t="n"/>
      <c r="CRI88" s="587" t="n"/>
      <c r="CRJ88" s="587" t="n"/>
      <c r="CRK88" s="587" t="n"/>
      <c r="CRL88" s="587" t="n"/>
      <c r="CRM88" s="587" t="n"/>
      <c r="CRN88" s="587" t="n"/>
      <c r="CRO88" s="587" t="n"/>
      <c r="CRP88" s="587" t="n"/>
      <c r="CRQ88" s="587" t="n"/>
      <c r="CRR88" s="587" t="n"/>
      <c r="CRS88" s="587" t="n"/>
      <c r="CRT88" s="587" t="n"/>
      <c r="CRU88" s="587" t="n"/>
      <c r="CRV88" s="587" t="n"/>
      <c r="CRW88" s="587" t="n"/>
      <c r="CRX88" s="587" t="n"/>
      <c r="CRY88" s="587" t="n"/>
      <c r="CRZ88" s="587" t="n"/>
      <c r="CSA88" s="587" t="n"/>
      <c r="CSB88" s="587" t="n"/>
      <c r="CSC88" s="587" t="n"/>
      <c r="CSD88" s="587" t="n"/>
      <c r="CSE88" s="587" t="n"/>
      <c r="CSF88" s="587" t="n"/>
      <c r="CSG88" s="587" t="n"/>
      <c r="CSH88" s="587" t="n"/>
      <c r="CSI88" s="587" t="n"/>
      <c r="CSJ88" s="587" t="n"/>
      <c r="CSK88" s="587" t="n"/>
      <c r="CSL88" s="587" t="n"/>
      <c r="CSM88" s="587" t="n"/>
      <c r="CSN88" s="587" t="n"/>
      <c r="CSO88" s="587" t="n"/>
      <c r="CSP88" s="587" t="n"/>
      <c r="CSQ88" s="587" t="n"/>
      <c r="CSR88" s="587" t="n"/>
      <c r="CSS88" s="587" t="n"/>
      <c r="CST88" s="587" t="n"/>
      <c r="CSU88" s="587" t="n"/>
      <c r="CSV88" s="587" t="n"/>
      <c r="CSW88" s="587" t="n"/>
      <c r="CSX88" s="587" t="n"/>
      <c r="CSY88" s="587" t="n"/>
      <c r="CSZ88" s="587" t="n"/>
      <c r="CTA88" s="587" t="n"/>
      <c r="CTB88" s="587" t="n"/>
      <c r="CTC88" s="587" t="n"/>
      <c r="CTD88" s="587" t="n"/>
      <c r="CTE88" s="587" t="n"/>
      <c r="CTF88" s="587" t="n"/>
      <c r="CTG88" s="587" t="n"/>
      <c r="CTH88" s="587" t="n"/>
      <c r="CTI88" s="587" t="n"/>
      <c r="CTJ88" s="587" t="n"/>
      <c r="CTK88" s="587" t="n"/>
      <c r="CTL88" s="587" t="n"/>
      <c r="CTM88" s="587" t="n"/>
      <c r="CTN88" s="587" t="n"/>
      <c r="CTO88" s="587" t="n"/>
      <c r="CTP88" s="587" t="n"/>
      <c r="CTQ88" s="587" t="n"/>
      <c r="CTR88" s="587" t="n"/>
      <c r="CTS88" s="587" t="n"/>
      <c r="CTT88" s="587" t="n"/>
      <c r="CTU88" s="587" t="n"/>
      <c r="CTV88" s="587" t="n"/>
      <c r="CTW88" s="587" t="n"/>
      <c r="CTX88" s="587" t="n"/>
      <c r="CTY88" s="587" t="n"/>
      <c r="CTZ88" s="587" t="n"/>
      <c r="CUA88" s="587" t="n"/>
      <c r="CUB88" s="587" t="n"/>
      <c r="CUC88" s="587" t="n"/>
      <c r="CUD88" s="587" t="n"/>
      <c r="CUE88" s="587" t="n"/>
      <c r="CUF88" s="587" t="n"/>
      <c r="CUG88" s="587" t="n"/>
      <c r="CUH88" s="587" t="n"/>
      <c r="CUI88" s="587" t="n"/>
      <c r="CUJ88" s="587" t="n"/>
      <c r="CUK88" s="587" t="n"/>
      <c r="CUL88" s="587" t="n"/>
      <c r="CUM88" s="587" t="n"/>
      <c r="CUN88" s="587" t="n"/>
      <c r="CUO88" s="587" t="n"/>
      <c r="CUP88" s="587" t="n"/>
      <c r="CUQ88" s="587" t="n"/>
      <c r="CUR88" s="587" t="n"/>
      <c r="CUS88" s="587" t="n"/>
      <c r="CUT88" s="587" t="n"/>
      <c r="CUU88" s="587" t="n"/>
      <c r="CUV88" s="587" t="n"/>
      <c r="CUW88" s="587" t="n"/>
      <c r="CUX88" s="587" t="n"/>
      <c r="CUY88" s="587" t="n"/>
      <c r="CUZ88" s="587" t="n"/>
      <c r="CVA88" s="587" t="n"/>
      <c r="CVB88" s="587" t="n"/>
      <c r="CVC88" s="587" t="n"/>
      <c r="CVD88" s="587" t="n"/>
      <c r="CVE88" s="587" t="n"/>
      <c r="CVF88" s="587" t="n"/>
      <c r="CVG88" s="587" t="n"/>
      <c r="CVH88" s="587" t="n"/>
      <c r="CVI88" s="587" t="n"/>
      <c r="CVJ88" s="587" t="n"/>
      <c r="CVK88" s="587" t="n"/>
      <c r="CVL88" s="587" t="n"/>
      <c r="CVM88" s="587" t="n"/>
      <c r="CVN88" s="587" t="n"/>
      <c r="CVO88" s="587" t="n"/>
      <c r="CVP88" s="587" t="n"/>
      <c r="CVQ88" s="587" t="n"/>
      <c r="CVR88" s="587" t="n"/>
      <c r="CVS88" s="587" t="n"/>
      <c r="CVT88" s="587" t="n"/>
      <c r="CVU88" s="587" t="n"/>
      <c r="CVV88" s="587" t="n"/>
      <c r="CVW88" s="587" t="n"/>
      <c r="CVX88" s="587" t="n"/>
      <c r="CVY88" s="587" t="n"/>
      <c r="CVZ88" s="587" t="n"/>
      <c r="CWA88" s="587" t="n"/>
      <c r="CWB88" s="587" t="n"/>
      <c r="CWC88" s="587" t="n"/>
      <c r="CWD88" s="587" t="n"/>
      <c r="CWE88" s="587" t="n"/>
      <c r="CWF88" s="587" t="n"/>
      <c r="CWG88" s="587" t="n"/>
      <c r="CWH88" s="587" t="n"/>
      <c r="CWI88" s="587" t="n"/>
      <c r="CWJ88" s="587" t="n"/>
      <c r="CWK88" s="587" t="n"/>
      <c r="CWL88" s="587" t="n"/>
      <c r="CWM88" s="587" t="n"/>
      <c r="CWN88" s="587" t="n"/>
      <c r="CWO88" s="587" t="n"/>
      <c r="CWP88" s="587" t="n"/>
      <c r="CWQ88" s="587" t="n"/>
      <c r="CWR88" s="587" t="n"/>
      <c r="CWS88" s="587" t="n"/>
      <c r="CWT88" s="587" t="n"/>
      <c r="CWU88" s="587" t="n"/>
      <c r="CWV88" s="587" t="n"/>
      <c r="CWW88" s="587" t="n"/>
      <c r="CWX88" s="587" t="n"/>
      <c r="CWY88" s="587" t="n"/>
      <c r="CWZ88" s="587" t="n"/>
      <c r="CXA88" s="587" t="n"/>
      <c r="CXB88" s="587" t="n"/>
      <c r="CXC88" s="587" t="n"/>
      <c r="CXD88" s="587" t="n"/>
      <c r="CXE88" s="587" t="n"/>
      <c r="CXF88" s="587" t="n"/>
      <c r="CXG88" s="587" t="n"/>
      <c r="CXH88" s="587" t="n"/>
      <c r="CXI88" s="587" t="n"/>
      <c r="CXJ88" s="587" t="n"/>
      <c r="CXK88" s="587" t="n"/>
      <c r="CXL88" s="587" t="n"/>
      <c r="CXM88" s="587" t="n"/>
      <c r="CXN88" s="587" t="n"/>
      <c r="CXO88" s="587" t="n"/>
      <c r="CXP88" s="587" t="n"/>
      <c r="CXQ88" s="587" t="n"/>
      <c r="CXR88" s="587" t="n"/>
      <c r="CXS88" s="587" t="n"/>
      <c r="CXT88" s="587" t="n"/>
      <c r="CXU88" s="587" t="n"/>
      <c r="CXV88" s="587" t="n"/>
      <c r="CXW88" s="587" t="n"/>
      <c r="CXX88" s="587" t="n"/>
      <c r="CXY88" s="587" t="n"/>
      <c r="CXZ88" s="587" t="n"/>
      <c r="CYA88" s="587" t="n"/>
      <c r="CYB88" s="587" t="n"/>
      <c r="CYC88" s="587" t="n"/>
      <c r="CYD88" s="587" t="n"/>
      <c r="CYE88" s="587" t="n"/>
      <c r="CYF88" s="587" t="n"/>
      <c r="CYG88" s="587" t="n"/>
      <c r="CYH88" s="587" t="n"/>
      <c r="CYI88" s="587" t="n"/>
      <c r="CYJ88" s="587" t="n"/>
      <c r="CYK88" s="587" t="n"/>
      <c r="CYL88" s="587" t="n"/>
      <c r="CYM88" s="587" t="n"/>
      <c r="CYN88" s="587" t="n"/>
      <c r="CYO88" s="587" t="n"/>
      <c r="CYP88" s="587" t="n"/>
      <c r="CYQ88" s="587" t="n"/>
      <c r="CYR88" s="587" t="n"/>
      <c r="CYS88" s="587" t="n"/>
      <c r="CYT88" s="587" t="n"/>
      <c r="CYU88" s="587" t="n"/>
      <c r="CYV88" s="587" t="n"/>
      <c r="CYW88" s="587" t="n"/>
      <c r="CYX88" s="587" t="n"/>
      <c r="CYY88" s="587" t="n"/>
      <c r="CYZ88" s="587" t="n"/>
      <c r="CZA88" s="587" t="n"/>
      <c r="CZB88" s="587" t="n"/>
      <c r="CZC88" s="587" t="n"/>
      <c r="CZD88" s="587" t="n"/>
      <c r="CZE88" s="587" t="n"/>
      <c r="CZF88" s="587" t="n"/>
      <c r="CZG88" s="587" t="n"/>
      <c r="CZH88" s="587" t="n"/>
      <c r="CZI88" s="587" t="n"/>
      <c r="CZJ88" s="587" t="n"/>
      <c r="CZK88" s="587" t="n"/>
      <c r="CZL88" s="587" t="n"/>
      <c r="CZM88" s="587" t="n"/>
      <c r="CZN88" s="587" t="n"/>
      <c r="CZO88" s="587" t="n"/>
      <c r="CZP88" s="587" t="n"/>
      <c r="CZQ88" s="587" t="n"/>
      <c r="CZR88" s="587" t="n"/>
      <c r="CZS88" s="587" t="n"/>
      <c r="CZT88" s="587" t="n"/>
      <c r="CZU88" s="587" t="n"/>
      <c r="CZV88" s="587" t="n"/>
      <c r="CZW88" s="587" t="n"/>
      <c r="CZX88" s="587" t="n"/>
      <c r="CZY88" s="587" t="n"/>
      <c r="CZZ88" s="587" t="n"/>
      <c r="DAA88" s="587" t="n"/>
      <c r="DAB88" s="587" t="n"/>
      <c r="DAC88" s="587" t="n"/>
      <c r="DAD88" s="587" t="n"/>
      <c r="DAE88" s="587" t="n"/>
      <c r="DAF88" s="587" t="n"/>
      <c r="DAG88" s="587" t="n"/>
      <c r="DAH88" s="587" t="n"/>
      <c r="DAI88" s="587" t="n"/>
      <c r="DAJ88" s="587" t="n"/>
      <c r="DAK88" s="587" t="n"/>
      <c r="DAL88" s="587" t="n"/>
      <c r="DAM88" s="587" t="n"/>
      <c r="DAN88" s="587" t="n"/>
      <c r="DAO88" s="587" t="n"/>
      <c r="DAP88" s="587" t="n"/>
      <c r="DAQ88" s="587" t="n"/>
      <c r="DAR88" s="587" t="n"/>
      <c r="DAS88" s="587" t="n"/>
      <c r="DAT88" s="587" t="n"/>
      <c r="DAU88" s="587" t="n"/>
      <c r="DAV88" s="587" t="n"/>
      <c r="DAW88" s="587" t="n"/>
      <c r="DAX88" s="587" t="n"/>
      <c r="DAY88" s="587" t="n"/>
      <c r="DAZ88" s="587" t="n"/>
      <c r="DBA88" s="587" t="n"/>
      <c r="DBB88" s="587" t="n"/>
      <c r="DBC88" s="587" t="n"/>
      <c r="DBD88" s="587" t="n"/>
      <c r="DBE88" s="587" t="n"/>
      <c r="DBF88" s="587" t="n"/>
      <c r="DBG88" s="587" t="n"/>
      <c r="DBH88" s="587" t="n"/>
      <c r="DBI88" s="587" t="n"/>
      <c r="DBJ88" s="587" t="n"/>
      <c r="DBK88" s="587" t="n"/>
      <c r="DBL88" s="587" t="n"/>
      <c r="DBM88" s="587" t="n"/>
      <c r="DBN88" s="587" t="n"/>
      <c r="DBO88" s="587" t="n"/>
      <c r="DBP88" s="587" t="n"/>
      <c r="DBQ88" s="587" t="n"/>
      <c r="DBR88" s="587" t="n"/>
      <c r="DBS88" s="587" t="n"/>
      <c r="DBT88" s="587" t="n"/>
      <c r="DBU88" s="587" t="n"/>
      <c r="DBV88" s="587" t="n"/>
      <c r="DBW88" s="587" t="n"/>
      <c r="DBX88" s="587" t="n"/>
      <c r="DBY88" s="587" t="n"/>
      <c r="DBZ88" s="587" t="n"/>
      <c r="DCA88" s="587" t="n"/>
      <c r="DCB88" s="587" t="n"/>
      <c r="DCC88" s="587" t="n"/>
      <c r="DCD88" s="587" t="n"/>
      <c r="DCE88" s="587" t="n"/>
      <c r="DCF88" s="587" t="n"/>
      <c r="DCG88" s="587" t="n"/>
      <c r="DCH88" s="587" t="n"/>
      <c r="DCI88" s="587" t="n"/>
      <c r="DCJ88" s="587" t="n"/>
      <c r="DCK88" s="587" t="n"/>
      <c r="DCL88" s="587" t="n"/>
      <c r="DCM88" s="587" t="n"/>
      <c r="DCN88" s="587" t="n"/>
      <c r="DCO88" s="587" t="n"/>
      <c r="DCP88" s="587" t="n"/>
      <c r="DCQ88" s="587" t="n"/>
      <c r="DCR88" s="587" t="n"/>
      <c r="DCS88" s="587" t="n"/>
      <c r="DCT88" s="587" t="n"/>
      <c r="DCU88" s="587" t="n"/>
      <c r="DCV88" s="587" t="n"/>
      <c r="DCW88" s="587" t="n"/>
      <c r="DCX88" s="587" t="n"/>
      <c r="DCY88" s="587" t="n"/>
      <c r="DCZ88" s="587" t="n"/>
      <c r="DDA88" s="587" t="n"/>
      <c r="DDB88" s="587" t="n"/>
      <c r="DDC88" s="587" t="n"/>
      <c r="DDD88" s="587" t="n"/>
      <c r="DDE88" s="587" t="n"/>
      <c r="DDF88" s="587" t="n"/>
      <c r="DDG88" s="587" t="n"/>
      <c r="DDH88" s="587" t="n"/>
      <c r="DDI88" s="587" t="n"/>
      <c r="DDJ88" s="587" t="n"/>
      <c r="DDK88" s="587" t="n"/>
      <c r="DDL88" s="587" t="n"/>
      <c r="DDM88" s="587" t="n"/>
      <c r="DDN88" s="587" t="n"/>
      <c r="DDO88" s="587" t="n"/>
      <c r="DDP88" s="587" t="n"/>
      <c r="DDQ88" s="587" t="n"/>
      <c r="DDR88" s="587" t="n"/>
      <c r="DDS88" s="587" t="n"/>
      <c r="DDT88" s="587" t="n"/>
      <c r="DDU88" s="587" t="n"/>
      <c r="DDV88" s="587" t="n"/>
      <c r="DDW88" s="587" t="n"/>
      <c r="DDX88" s="587" t="n"/>
      <c r="DDY88" s="587" t="n"/>
      <c r="DDZ88" s="587" t="n"/>
      <c r="DEA88" s="587" t="n"/>
      <c r="DEB88" s="587" t="n"/>
      <c r="DEC88" s="587" t="n"/>
      <c r="DED88" s="587" t="n"/>
      <c r="DEE88" s="587" t="n"/>
      <c r="DEF88" s="587" t="n"/>
      <c r="DEG88" s="587" t="n"/>
      <c r="DEH88" s="587" t="n"/>
      <c r="DEI88" s="587" t="n"/>
      <c r="DEJ88" s="587" t="n"/>
      <c r="DEK88" s="587" t="n"/>
      <c r="DEL88" s="587" t="n"/>
      <c r="DEM88" s="587" t="n"/>
      <c r="DEN88" s="587" t="n"/>
      <c r="DEO88" s="587" t="n"/>
      <c r="DEP88" s="587" t="n"/>
      <c r="DEQ88" s="587" t="n"/>
      <c r="DER88" s="587" t="n"/>
      <c r="DES88" s="587" t="n"/>
      <c r="DET88" s="587" t="n"/>
      <c r="DEU88" s="587" t="n"/>
      <c r="DEV88" s="587" t="n"/>
      <c r="DEW88" s="587" t="n"/>
      <c r="DEX88" s="587" t="n"/>
      <c r="DEY88" s="587" t="n"/>
      <c r="DEZ88" s="587" t="n"/>
      <c r="DFA88" s="587" t="n"/>
      <c r="DFB88" s="587" t="n"/>
      <c r="DFC88" s="587" t="n"/>
      <c r="DFD88" s="587" t="n"/>
      <c r="DFE88" s="587" t="n"/>
      <c r="DFF88" s="587" t="n"/>
      <c r="DFG88" s="587" t="n"/>
      <c r="DFH88" s="587" t="n"/>
      <c r="DFI88" s="587" t="n"/>
      <c r="DFJ88" s="587" t="n"/>
      <c r="DFK88" s="587" t="n"/>
      <c r="DFL88" s="587" t="n"/>
      <c r="DFM88" s="587" t="n"/>
      <c r="DFN88" s="587" t="n"/>
      <c r="DFO88" s="587" t="n"/>
      <c r="DFP88" s="587" t="n"/>
      <c r="DFQ88" s="587" t="n"/>
      <c r="DFR88" s="587" t="n"/>
      <c r="DFS88" s="587" t="n"/>
      <c r="DFT88" s="587" t="n"/>
      <c r="DFU88" s="587" t="n"/>
      <c r="DFV88" s="587" t="n"/>
      <c r="DFW88" s="587" t="n"/>
      <c r="DFX88" s="587" t="n"/>
      <c r="DFY88" s="587" t="n"/>
      <c r="DFZ88" s="587" t="n"/>
      <c r="DGA88" s="587" t="n"/>
      <c r="DGB88" s="587" t="n"/>
      <c r="DGC88" s="587" t="n"/>
      <c r="DGD88" s="587" t="n"/>
      <c r="DGE88" s="587" t="n"/>
      <c r="DGF88" s="587" t="n"/>
      <c r="DGG88" s="587" t="n"/>
      <c r="DGH88" s="587" t="n"/>
      <c r="DGI88" s="587" t="n"/>
      <c r="DGJ88" s="587" t="n"/>
      <c r="DGK88" s="587" t="n"/>
      <c r="DGL88" s="587" t="n"/>
      <c r="DGM88" s="587" t="n"/>
      <c r="DGN88" s="587" t="n"/>
      <c r="DGO88" s="587" t="n"/>
      <c r="DGP88" s="587" t="n"/>
      <c r="DGQ88" s="587" t="n"/>
      <c r="DGR88" s="587" t="n"/>
      <c r="DGS88" s="587" t="n"/>
      <c r="DGT88" s="587" t="n"/>
      <c r="DGU88" s="587" t="n"/>
      <c r="DGV88" s="587" t="n"/>
      <c r="DGW88" s="587" t="n"/>
      <c r="DGX88" s="587" t="n"/>
      <c r="DGY88" s="587" t="n"/>
      <c r="DGZ88" s="587" t="n"/>
      <c r="DHA88" s="587" t="n"/>
      <c r="DHB88" s="587" t="n"/>
      <c r="DHC88" s="587" t="n"/>
      <c r="DHD88" s="587" t="n"/>
      <c r="DHE88" s="587" t="n"/>
      <c r="DHF88" s="587" t="n"/>
      <c r="DHG88" s="587" t="n"/>
      <c r="DHH88" s="587" t="n"/>
      <c r="DHI88" s="587" t="n"/>
      <c r="DHJ88" s="587" t="n"/>
      <c r="DHK88" s="587" t="n"/>
      <c r="DHL88" s="587" t="n"/>
      <c r="DHM88" s="587" t="n"/>
      <c r="DHN88" s="587" t="n"/>
      <c r="DHO88" s="587" t="n"/>
      <c r="DHP88" s="587" t="n"/>
      <c r="DHQ88" s="587" t="n"/>
      <c r="DHR88" s="587" t="n"/>
      <c r="DHS88" s="587" t="n"/>
      <c r="DHT88" s="587" t="n"/>
      <c r="DHU88" s="587" t="n"/>
      <c r="DHV88" s="587" t="n"/>
      <c r="DHW88" s="587" t="n"/>
      <c r="DHX88" s="587" t="n"/>
      <c r="DHY88" s="587" t="n"/>
      <c r="DHZ88" s="587" t="n"/>
      <c r="DIA88" s="587" t="n"/>
      <c r="DIB88" s="587" t="n"/>
      <c r="DIC88" s="587" t="n"/>
      <c r="DID88" s="587" t="n"/>
      <c r="DIE88" s="587" t="n"/>
      <c r="DIF88" s="587" t="n"/>
      <c r="DIG88" s="587" t="n"/>
      <c r="DIH88" s="587" t="n"/>
      <c r="DII88" s="587" t="n"/>
      <c r="DIJ88" s="587" t="n"/>
      <c r="DIK88" s="587" t="n"/>
      <c r="DIL88" s="587" t="n"/>
      <c r="DIM88" s="587" t="n"/>
      <c r="DIN88" s="587" t="n"/>
      <c r="DIO88" s="587" t="n"/>
      <c r="DIP88" s="587" t="n"/>
      <c r="DIQ88" s="587" t="n"/>
      <c r="DIR88" s="587" t="n"/>
      <c r="DIS88" s="587" t="n"/>
      <c r="DIT88" s="587" t="n"/>
      <c r="DIU88" s="587" t="n"/>
      <c r="DIV88" s="587" t="n"/>
      <c r="DIW88" s="587" t="n"/>
      <c r="DIX88" s="587" t="n"/>
      <c r="DIY88" s="587" t="n"/>
      <c r="DIZ88" s="587" t="n"/>
      <c r="DJA88" s="587" t="n"/>
      <c r="DJB88" s="587" t="n"/>
      <c r="DJC88" s="587" t="n"/>
      <c r="DJD88" s="587" t="n"/>
      <c r="DJE88" s="587" t="n"/>
      <c r="DJF88" s="587" t="n"/>
      <c r="DJG88" s="587" t="n"/>
      <c r="DJH88" s="587" t="n"/>
      <c r="DJI88" s="587" t="n"/>
      <c r="DJJ88" s="587" t="n"/>
      <c r="DJK88" s="587" t="n"/>
      <c r="DJL88" s="587" t="n"/>
      <c r="DJM88" s="587" t="n"/>
      <c r="DJN88" s="587" t="n"/>
      <c r="DJO88" s="587" t="n"/>
      <c r="DJP88" s="587" t="n"/>
      <c r="DJQ88" s="587" t="n"/>
      <c r="DJR88" s="587" t="n"/>
      <c r="DJS88" s="587" t="n"/>
      <c r="DJT88" s="587" t="n"/>
      <c r="DJU88" s="587" t="n"/>
      <c r="DJV88" s="587" t="n"/>
      <c r="DJW88" s="587" t="n"/>
      <c r="DJX88" s="587" t="n"/>
      <c r="DJY88" s="587" t="n"/>
      <c r="DJZ88" s="587" t="n"/>
      <c r="DKA88" s="587" t="n"/>
      <c r="DKB88" s="587" t="n"/>
      <c r="DKC88" s="587" t="n"/>
      <c r="DKD88" s="587" t="n"/>
      <c r="DKE88" s="587" t="n"/>
      <c r="DKF88" s="587" t="n"/>
      <c r="DKG88" s="587" t="n"/>
      <c r="DKH88" s="587" t="n"/>
      <c r="DKI88" s="587" t="n"/>
      <c r="DKJ88" s="587" t="n"/>
      <c r="DKK88" s="587" t="n"/>
      <c r="DKL88" s="587" t="n"/>
      <c r="DKM88" s="587" t="n"/>
      <c r="DKN88" s="587" t="n"/>
      <c r="DKO88" s="587" t="n"/>
      <c r="DKP88" s="587" t="n"/>
      <c r="DKQ88" s="587" t="n"/>
      <c r="DKR88" s="587" t="n"/>
      <c r="DKS88" s="587" t="n"/>
      <c r="DKT88" s="587" t="n"/>
      <c r="DKU88" s="587" t="n"/>
      <c r="DKV88" s="587" t="n"/>
      <c r="DKW88" s="587" t="n"/>
      <c r="DKX88" s="587" t="n"/>
      <c r="DKY88" s="587" t="n"/>
      <c r="DKZ88" s="587" t="n"/>
      <c r="DLA88" s="587" t="n"/>
      <c r="DLB88" s="587" t="n"/>
      <c r="DLC88" s="587" t="n"/>
      <c r="DLD88" s="587" t="n"/>
      <c r="DLE88" s="587" t="n"/>
      <c r="DLF88" s="587" t="n"/>
      <c r="DLG88" s="587" t="n"/>
      <c r="DLH88" s="587" t="n"/>
      <c r="DLI88" s="587" t="n"/>
      <c r="DLJ88" s="587" t="n"/>
      <c r="DLK88" s="587" t="n"/>
      <c r="DLL88" s="587" t="n"/>
      <c r="DLM88" s="587" t="n"/>
      <c r="DLN88" s="587" t="n"/>
      <c r="DLO88" s="587" t="n"/>
      <c r="DLP88" s="587" t="n"/>
      <c r="DLQ88" s="587" t="n"/>
      <c r="DLR88" s="587" t="n"/>
      <c r="DLS88" s="587" t="n"/>
      <c r="DLT88" s="587" t="n"/>
      <c r="DLU88" s="587" t="n"/>
      <c r="DLV88" s="587" t="n"/>
      <c r="DLW88" s="587" t="n"/>
      <c r="DLX88" s="587" t="n"/>
      <c r="DLY88" s="587" t="n"/>
      <c r="DLZ88" s="587" t="n"/>
      <c r="DMA88" s="587" t="n"/>
      <c r="DMB88" s="587" t="n"/>
      <c r="DMC88" s="587" t="n"/>
      <c r="DMD88" s="587" t="n"/>
      <c r="DME88" s="587" t="n"/>
      <c r="DMF88" s="587" t="n"/>
      <c r="DMG88" s="587" t="n"/>
      <c r="DMH88" s="587" t="n"/>
      <c r="DMI88" s="587" t="n"/>
      <c r="DMJ88" s="587" t="n"/>
      <c r="DMK88" s="587" t="n"/>
      <c r="DML88" s="587" t="n"/>
      <c r="DMM88" s="587" t="n"/>
      <c r="DMN88" s="587" t="n"/>
      <c r="DMO88" s="587" t="n"/>
      <c r="DMP88" s="587" t="n"/>
      <c r="DMQ88" s="587" t="n"/>
      <c r="DMR88" s="587" t="n"/>
      <c r="DMS88" s="587" t="n"/>
      <c r="DMT88" s="587" t="n"/>
      <c r="DMU88" s="587" t="n"/>
      <c r="DMV88" s="587" t="n"/>
      <c r="DMW88" s="587" t="n"/>
      <c r="DMX88" s="587" t="n"/>
      <c r="DMY88" s="587" t="n"/>
      <c r="DMZ88" s="587" t="n"/>
      <c r="DNA88" s="587" t="n"/>
      <c r="DNB88" s="587" t="n"/>
      <c r="DNC88" s="587" t="n"/>
      <c r="DND88" s="587" t="n"/>
      <c r="DNE88" s="587" t="n"/>
      <c r="DNF88" s="587" t="n"/>
      <c r="DNG88" s="587" t="n"/>
      <c r="DNH88" s="587" t="n"/>
      <c r="DNI88" s="587" t="n"/>
      <c r="DNJ88" s="587" t="n"/>
      <c r="DNK88" s="587" t="n"/>
      <c r="DNL88" s="587" t="n"/>
      <c r="DNM88" s="587" t="n"/>
      <c r="DNN88" s="587" t="n"/>
      <c r="DNO88" s="587" t="n"/>
      <c r="DNP88" s="587" t="n"/>
      <c r="DNQ88" s="587" t="n"/>
      <c r="DNR88" s="587" t="n"/>
      <c r="DNS88" s="587" t="n"/>
      <c r="DNT88" s="587" t="n"/>
      <c r="DNU88" s="587" t="n"/>
      <c r="DNV88" s="587" t="n"/>
      <c r="DNW88" s="587" t="n"/>
      <c r="DNX88" s="587" t="n"/>
      <c r="DNY88" s="587" t="n"/>
      <c r="DNZ88" s="587" t="n"/>
      <c r="DOA88" s="587" t="n"/>
      <c r="DOB88" s="587" t="n"/>
      <c r="DOC88" s="587" t="n"/>
      <c r="DOD88" s="587" t="n"/>
      <c r="DOE88" s="587" t="n"/>
      <c r="DOF88" s="587" t="n"/>
      <c r="DOG88" s="587" t="n"/>
      <c r="DOH88" s="587" t="n"/>
      <c r="DOI88" s="587" t="n"/>
      <c r="DOJ88" s="587" t="n"/>
      <c r="DOK88" s="587" t="n"/>
      <c r="DOL88" s="587" t="n"/>
      <c r="DOM88" s="587" t="n"/>
      <c r="DON88" s="587" t="n"/>
      <c r="DOO88" s="587" t="n"/>
      <c r="DOP88" s="587" t="n"/>
      <c r="DOQ88" s="587" t="n"/>
      <c r="DOR88" s="587" t="n"/>
      <c r="DOS88" s="587" t="n"/>
      <c r="DOT88" s="587" t="n"/>
      <c r="DOU88" s="587" t="n"/>
      <c r="DOV88" s="587" t="n"/>
      <c r="DOW88" s="587" t="n"/>
      <c r="DOX88" s="587" t="n"/>
      <c r="DOY88" s="587" t="n"/>
      <c r="DOZ88" s="587" t="n"/>
      <c r="DPA88" s="587" t="n"/>
      <c r="DPB88" s="587" t="n"/>
      <c r="DPC88" s="587" t="n"/>
      <c r="DPD88" s="587" t="n"/>
      <c r="DPE88" s="587" t="n"/>
      <c r="DPF88" s="587" t="n"/>
      <c r="DPG88" s="587" t="n"/>
      <c r="DPH88" s="587" t="n"/>
      <c r="DPI88" s="587" t="n"/>
      <c r="DPJ88" s="587" t="n"/>
      <c r="DPK88" s="587" t="n"/>
      <c r="DPL88" s="587" t="n"/>
      <c r="DPM88" s="587" t="n"/>
      <c r="DPN88" s="587" t="n"/>
      <c r="DPO88" s="587" t="n"/>
      <c r="DPP88" s="587" t="n"/>
      <c r="DPQ88" s="587" t="n"/>
      <c r="DPR88" s="587" t="n"/>
      <c r="DPS88" s="587" t="n"/>
      <c r="DPT88" s="587" t="n"/>
      <c r="DPU88" s="587" t="n"/>
      <c r="DPV88" s="587" t="n"/>
      <c r="DPW88" s="587" t="n"/>
      <c r="DPX88" s="587" t="n"/>
      <c r="DPY88" s="587" t="n"/>
      <c r="DPZ88" s="587" t="n"/>
      <c r="DQA88" s="587" t="n"/>
      <c r="DQB88" s="587" t="n"/>
      <c r="DQC88" s="587" t="n"/>
      <c r="DQD88" s="587" t="n"/>
      <c r="DQE88" s="587" t="n"/>
      <c r="DQF88" s="587" t="n"/>
      <c r="DQG88" s="587" t="n"/>
      <c r="DQH88" s="587" t="n"/>
      <c r="DQI88" s="587" t="n"/>
      <c r="DQJ88" s="587" t="n"/>
      <c r="DQK88" s="587" t="n"/>
      <c r="DQL88" s="587" t="n"/>
      <c r="DQM88" s="587" t="n"/>
      <c r="DQN88" s="587" t="n"/>
      <c r="DQO88" s="587" t="n"/>
      <c r="DQP88" s="587" t="n"/>
      <c r="DQQ88" s="587" t="n"/>
      <c r="DQR88" s="587" t="n"/>
      <c r="DQS88" s="587" t="n"/>
      <c r="DQT88" s="587" t="n"/>
      <c r="DQU88" s="587" t="n"/>
      <c r="DQV88" s="587" t="n"/>
      <c r="DQW88" s="587" t="n"/>
      <c r="DQX88" s="587" t="n"/>
      <c r="DQY88" s="587" t="n"/>
      <c r="DQZ88" s="587" t="n"/>
      <c r="DRA88" s="587" t="n"/>
      <c r="DRB88" s="587" t="n"/>
      <c r="DRC88" s="587" t="n"/>
      <c r="DRD88" s="587" t="n"/>
      <c r="DRE88" s="587" t="n"/>
      <c r="DRF88" s="587" t="n"/>
      <c r="DRG88" s="587" t="n"/>
      <c r="DRH88" s="587" t="n"/>
      <c r="DRI88" s="587" t="n"/>
      <c r="DRJ88" s="587" t="n"/>
      <c r="DRK88" s="587" t="n"/>
      <c r="DRL88" s="587" t="n"/>
      <c r="DRM88" s="587" t="n"/>
      <c r="DRN88" s="587" t="n"/>
      <c r="DRO88" s="587" t="n"/>
      <c r="DRP88" s="587" t="n"/>
      <c r="DRQ88" s="587" t="n"/>
      <c r="DRR88" s="587" t="n"/>
      <c r="DRS88" s="587" t="n"/>
      <c r="DRT88" s="587" t="n"/>
      <c r="DRU88" s="587" t="n"/>
      <c r="DRV88" s="587" t="n"/>
      <c r="DRW88" s="587" t="n"/>
      <c r="DRX88" s="587" t="n"/>
      <c r="DRY88" s="587" t="n"/>
      <c r="DRZ88" s="587" t="n"/>
      <c r="DSA88" s="587" t="n"/>
      <c r="DSB88" s="587" t="n"/>
      <c r="DSC88" s="587" t="n"/>
      <c r="DSD88" s="587" t="n"/>
      <c r="DSE88" s="587" t="n"/>
      <c r="DSF88" s="587" t="n"/>
      <c r="DSG88" s="587" t="n"/>
      <c r="DSH88" s="587" t="n"/>
      <c r="DSI88" s="587" t="n"/>
      <c r="DSJ88" s="587" t="n"/>
      <c r="DSK88" s="587" t="n"/>
      <c r="DSL88" s="587" t="n"/>
      <c r="DSM88" s="587" t="n"/>
      <c r="DSN88" s="587" t="n"/>
      <c r="DSO88" s="587" t="n"/>
      <c r="DSP88" s="587" t="n"/>
      <c r="DSQ88" s="587" t="n"/>
      <c r="DSR88" s="587" t="n"/>
      <c r="DSS88" s="587" t="n"/>
      <c r="DST88" s="587" t="n"/>
      <c r="DSU88" s="587" t="n"/>
      <c r="DSV88" s="587" t="n"/>
      <c r="DSW88" s="587" t="n"/>
      <c r="DSX88" s="587" t="n"/>
      <c r="DSY88" s="587" t="n"/>
      <c r="DSZ88" s="587" t="n"/>
      <c r="DTA88" s="587" t="n"/>
      <c r="DTB88" s="587" t="n"/>
      <c r="DTC88" s="587" t="n"/>
      <c r="DTD88" s="587" t="n"/>
      <c r="DTE88" s="587" t="n"/>
      <c r="DTF88" s="587" t="n"/>
      <c r="DTG88" s="587" t="n"/>
      <c r="DTH88" s="587" t="n"/>
      <c r="DTI88" s="587" t="n"/>
      <c r="DTJ88" s="587" t="n"/>
      <c r="DTK88" s="587" t="n"/>
      <c r="DTL88" s="587" t="n"/>
      <c r="DTM88" s="587" t="n"/>
      <c r="DTN88" s="587" t="n"/>
      <c r="DTO88" s="587" t="n"/>
      <c r="DTP88" s="587" t="n"/>
      <c r="DTQ88" s="587" t="n"/>
      <c r="DTR88" s="587" t="n"/>
      <c r="DTS88" s="587" t="n"/>
      <c r="DTT88" s="587" t="n"/>
      <c r="DTU88" s="587" t="n"/>
      <c r="DTV88" s="587" t="n"/>
      <c r="DTW88" s="587" t="n"/>
      <c r="DTX88" s="587" t="n"/>
      <c r="DTY88" s="587" t="n"/>
      <c r="DTZ88" s="587" t="n"/>
      <c r="DUA88" s="587" t="n"/>
      <c r="DUB88" s="587" t="n"/>
      <c r="DUC88" s="587" t="n"/>
      <c r="DUD88" s="587" t="n"/>
      <c r="DUE88" s="587" t="n"/>
      <c r="DUF88" s="587" t="n"/>
      <c r="DUG88" s="587" t="n"/>
      <c r="DUH88" s="587" t="n"/>
      <c r="DUI88" s="587" t="n"/>
      <c r="DUJ88" s="587" t="n"/>
      <c r="DUK88" s="587" t="n"/>
      <c r="DUL88" s="587" t="n"/>
      <c r="DUM88" s="587" t="n"/>
      <c r="DUN88" s="587" t="n"/>
      <c r="DUO88" s="587" t="n"/>
      <c r="DUP88" s="587" t="n"/>
      <c r="DUQ88" s="587" t="n"/>
      <c r="DUR88" s="587" t="n"/>
      <c r="DUS88" s="587" t="n"/>
      <c r="DUT88" s="587" t="n"/>
      <c r="DUU88" s="587" t="n"/>
      <c r="DUV88" s="587" t="n"/>
      <c r="DUW88" s="587" t="n"/>
      <c r="DUX88" s="587" t="n"/>
      <c r="DUY88" s="587" t="n"/>
      <c r="DUZ88" s="587" t="n"/>
      <c r="DVA88" s="587" t="n"/>
      <c r="DVB88" s="587" t="n"/>
      <c r="DVC88" s="587" t="n"/>
      <c r="DVD88" s="587" t="n"/>
      <c r="DVE88" s="587" t="n"/>
      <c r="DVF88" s="587" t="n"/>
      <c r="DVG88" s="587" t="n"/>
      <c r="DVH88" s="587" t="n"/>
      <c r="DVI88" s="587" t="n"/>
      <c r="DVJ88" s="587" t="n"/>
      <c r="DVK88" s="587" t="n"/>
      <c r="DVL88" s="587" t="n"/>
      <c r="DVM88" s="587" t="n"/>
      <c r="DVN88" s="587" t="n"/>
      <c r="DVO88" s="587" t="n"/>
      <c r="DVP88" s="587" t="n"/>
      <c r="DVQ88" s="587" t="n"/>
      <c r="DVR88" s="587" t="n"/>
      <c r="DVS88" s="587" t="n"/>
      <c r="DVT88" s="587" t="n"/>
      <c r="DVU88" s="587" t="n"/>
      <c r="DVV88" s="587" t="n"/>
      <c r="DVW88" s="587" t="n"/>
      <c r="DVX88" s="587" t="n"/>
      <c r="DVY88" s="587" t="n"/>
      <c r="DVZ88" s="587" t="n"/>
      <c r="DWA88" s="587" t="n"/>
      <c r="DWB88" s="587" t="n"/>
      <c r="DWC88" s="587" t="n"/>
      <c r="DWD88" s="587" t="n"/>
      <c r="DWE88" s="587" t="n"/>
      <c r="DWF88" s="587" t="n"/>
      <c r="DWG88" s="587" t="n"/>
      <c r="DWH88" s="587" t="n"/>
      <c r="DWI88" s="587" t="n"/>
      <c r="DWJ88" s="587" t="n"/>
      <c r="DWK88" s="587" t="n"/>
      <c r="DWL88" s="587" t="n"/>
      <c r="DWM88" s="587" t="n"/>
      <c r="DWN88" s="587" t="n"/>
      <c r="DWO88" s="587" t="n"/>
      <c r="DWP88" s="587" t="n"/>
      <c r="DWQ88" s="587" t="n"/>
      <c r="DWR88" s="587" t="n"/>
      <c r="DWS88" s="587" t="n"/>
      <c r="DWT88" s="587" t="n"/>
      <c r="DWU88" s="587" t="n"/>
      <c r="DWV88" s="587" t="n"/>
      <c r="DWW88" s="587" t="n"/>
      <c r="DWX88" s="587" t="n"/>
      <c r="DWY88" s="587" t="n"/>
      <c r="DWZ88" s="587" t="n"/>
      <c r="DXA88" s="587" t="n"/>
      <c r="DXB88" s="587" t="n"/>
      <c r="DXC88" s="587" t="n"/>
      <c r="DXD88" s="587" t="n"/>
      <c r="DXE88" s="587" t="n"/>
      <c r="DXF88" s="587" t="n"/>
      <c r="DXG88" s="587" t="n"/>
      <c r="DXH88" s="587" t="n"/>
      <c r="DXI88" s="587" t="n"/>
      <c r="DXJ88" s="587" t="n"/>
      <c r="DXK88" s="587" t="n"/>
      <c r="DXL88" s="587" t="n"/>
      <c r="DXM88" s="587" t="n"/>
      <c r="DXN88" s="587" t="n"/>
      <c r="DXO88" s="587" t="n"/>
      <c r="DXP88" s="587" t="n"/>
      <c r="DXQ88" s="587" t="n"/>
      <c r="DXR88" s="587" t="n"/>
      <c r="DXS88" s="587" t="n"/>
      <c r="DXT88" s="587" t="n"/>
      <c r="DXU88" s="587" t="n"/>
      <c r="DXV88" s="587" t="n"/>
      <c r="DXW88" s="587" t="n"/>
      <c r="DXX88" s="587" t="n"/>
      <c r="DXY88" s="587" t="n"/>
      <c r="DXZ88" s="587" t="n"/>
      <c r="DYA88" s="587" t="n"/>
      <c r="DYB88" s="587" t="n"/>
      <c r="DYC88" s="587" t="n"/>
      <c r="DYD88" s="587" t="n"/>
      <c r="DYE88" s="587" t="n"/>
      <c r="DYF88" s="587" t="n"/>
      <c r="DYG88" s="587" t="n"/>
      <c r="DYH88" s="587" t="n"/>
      <c r="DYI88" s="587" t="n"/>
      <c r="DYJ88" s="587" t="n"/>
      <c r="DYK88" s="587" t="n"/>
      <c r="DYL88" s="587" t="n"/>
      <c r="DYM88" s="587" t="n"/>
      <c r="DYN88" s="587" t="n"/>
      <c r="DYO88" s="587" t="n"/>
      <c r="DYP88" s="587" t="n"/>
      <c r="DYQ88" s="587" t="n"/>
      <c r="DYR88" s="587" t="n"/>
      <c r="DYS88" s="587" t="n"/>
      <c r="DYT88" s="587" t="n"/>
      <c r="DYU88" s="587" t="n"/>
      <c r="DYV88" s="587" t="n"/>
      <c r="DYW88" s="587" t="n"/>
      <c r="DYX88" s="587" t="n"/>
      <c r="DYY88" s="587" t="n"/>
      <c r="DYZ88" s="587" t="n"/>
      <c r="DZA88" s="587" t="n"/>
      <c r="DZB88" s="587" t="n"/>
      <c r="DZC88" s="587" t="n"/>
      <c r="DZD88" s="587" t="n"/>
      <c r="DZE88" s="587" t="n"/>
      <c r="DZF88" s="587" t="n"/>
      <c r="DZG88" s="587" t="n"/>
      <c r="DZH88" s="587" t="n"/>
      <c r="DZI88" s="587" t="n"/>
      <c r="DZJ88" s="587" t="n"/>
      <c r="DZK88" s="587" t="n"/>
      <c r="DZL88" s="587" t="n"/>
      <c r="DZM88" s="587" t="n"/>
      <c r="DZN88" s="587" t="n"/>
      <c r="DZO88" s="587" t="n"/>
      <c r="DZP88" s="587" t="n"/>
      <c r="DZQ88" s="587" t="n"/>
      <c r="DZR88" s="587" t="n"/>
      <c r="DZS88" s="587" t="n"/>
      <c r="DZT88" s="587" t="n"/>
      <c r="DZU88" s="587" t="n"/>
      <c r="DZV88" s="587" t="n"/>
      <c r="DZW88" s="587" t="n"/>
      <c r="DZX88" s="587" t="n"/>
      <c r="DZY88" s="587" t="n"/>
      <c r="DZZ88" s="587" t="n"/>
      <c r="EAA88" s="587" t="n"/>
      <c r="EAB88" s="587" t="n"/>
      <c r="EAC88" s="587" t="n"/>
      <c r="EAD88" s="587" t="n"/>
      <c r="EAE88" s="587" t="n"/>
      <c r="EAF88" s="587" t="n"/>
      <c r="EAG88" s="587" t="n"/>
      <c r="EAH88" s="587" t="n"/>
      <c r="EAI88" s="587" t="n"/>
      <c r="EAJ88" s="587" t="n"/>
      <c r="EAK88" s="587" t="n"/>
      <c r="EAL88" s="587" t="n"/>
      <c r="EAM88" s="587" t="n"/>
      <c r="EAN88" s="587" t="n"/>
      <c r="EAO88" s="587" t="n"/>
      <c r="EAP88" s="587" t="n"/>
      <c r="EAQ88" s="587" t="n"/>
      <c r="EAR88" s="587" t="n"/>
      <c r="EAS88" s="587" t="n"/>
      <c r="EAT88" s="587" t="n"/>
      <c r="EAU88" s="587" t="n"/>
      <c r="EAV88" s="587" t="n"/>
      <c r="EAW88" s="587" t="n"/>
      <c r="EAX88" s="587" t="n"/>
      <c r="EAY88" s="587" t="n"/>
      <c r="EAZ88" s="587" t="n"/>
      <c r="EBA88" s="587" t="n"/>
      <c r="EBB88" s="587" t="n"/>
      <c r="EBC88" s="587" t="n"/>
      <c r="EBD88" s="587" t="n"/>
      <c r="EBE88" s="587" t="n"/>
      <c r="EBF88" s="587" t="n"/>
      <c r="EBG88" s="587" t="n"/>
      <c r="EBH88" s="587" t="n"/>
      <c r="EBI88" s="587" t="n"/>
      <c r="EBJ88" s="587" t="n"/>
      <c r="EBK88" s="587" t="n"/>
      <c r="EBL88" s="587" t="n"/>
      <c r="EBM88" s="587" t="n"/>
      <c r="EBN88" s="587" t="n"/>
      <c r="EBO88" s="587" t="n"/>
      <c r="EBP88" s="587" t="n"/>
      <c r="EBQ88" s="587" t="n"/>
      <c r="EBR88" s="587" t="n"/>
      <c r="EBS88" s="587" t="n"/>
      <c r="EBT88" s="587" t="n"/>
      <c r="EBU88" s="587" t="n"/>
      <c r="EBV88" s="587" t="n"/>
      <c r="EBW88" s="587" t="n"/>
      <c r="EBX88" s="587" t="n"/>
      <c r="EBY88" s="587" t="n"/>
      <c r="EBZ88" s="587" t="n"/>
      <c r="ECA88" s="587" t="n"/>
      <c r="ECB88" s="587" t="n"/>
      <c r="ECC88" s="587" t="n"/>
      <c r="ECD88" s="587" t="n"/>
      <c r="ECE88" s="587" t="n"/>
      <c r="ECF88" s="587" t="n"/>
      <c r="ECG88" s="587" t="n"/>
      <c r="ECH88" s="587" t="n"/>
      <c r="ECI88" s="587" t="n"/>
      <c r="ECJ88" s="587" t="n"/>
      <c r="ECK88" s="587" t="n"/>
      <c r="ECL88" s="587" t="n"/>
      <c r="ECM88" s="587" t="n"/>
      <c r="ECN88" s="587" t="n"/>
      <c r="ECO88" s="587" t="n"/>
      <c r="ECP88" s="587" t="n"/>
      <c r="ECQ88" s="587" t="n"/>
      <c r="ECR88" s="587" t="n"/>
      <c r="ECS88" s="587" t="n"/>
      <c r="ECT88" s="587" t="n"/>
      <c r="ECU88" s="587" t="n"/>
      <c r="ECV88" s="587" t="n"/>
      <c r="ECW88" s="587" t="n"/>
      <c r="ECX88" s="587" t="n"/>
      <c r="ECY88" s="587" t="n"/>
      <c r="ECZ88" s="587" t="n"/>
      <c r="EDA88" s="587" t="n"/>
      <c r="EDB88" s="587" t="n"/>
      <c r="EDC88" s="587" t="n"/>
      <c r="EDD88" s="587" t="n"/>
      <c r="EDE88" s="587" t="n"/>
      <c r="EDF88" s="587" t="n"/>
      <c r="EDG88" s="587" t="n"/>
      <c r="EDH88" s="587" t="n"/>
      <c r="EDI88" s="587" t="n"/>
      <c r="EDJ88" s="587" t="n"/>
      <c r="EDK88" s="587" t="n"/>
      <c r="EDL88" s="587" t="n"/>
      <c r="EDM88" s="587" t="n"/>
      <c r="EDN88" s="587" t="n"/>
      <c r="EDO88" s="587" t="n"/>
      <c r="EDP88" s="587" t="n"/>
      <c r="EDQ88" s="587" t="n"/>
      <c r="EDR88" s="587" t="n"/>
      <c r="EDS88" s="587" t="n"/>
      <c r="EDT88" s="587" t="n"/>
      <c r="EDU88" s="587" t="n"/>
      <c r="EDV88" s="587" t="n"/>
      <c r="EDW88" s="587" t="n"/>
      <c r="EDX88" s="587" t="n"/>
      <c r="EDY88" s="587" t="n"/>
      <c r="EDZ88" s="587" t="n"/>
      <c r="EEA88" s="587" t="n"/>
      <c r="EEB88" s="587" t="n"/>
      <c r="EEC88" s="587" t="n"/>
      <c r="EED88" s="587" t="n"/>
      <c r="EEE88" s="587" t="n"/>
      <c r="EEF88" s="587" t="n"/>
      <c r="EEG88" s="587" t="n"/>
      <c r="EEH88" s="587" t="n"/>
      <c r="EEI88" s="587" t="n"/>
      <c r="EEJ88" s="587" t="n"/>
      <c r="EEK88" s="587" t="n"/>
      <c r="EEL88" s="587" t="n"/>
      <c r="EEM88" s="587" t="n"/>
      <c r="EEN88" s="587" t="n"/>
      <c r="EEO88" s="587" t="n"/>
      <c r="EEP88" s="587" t="n"/>
      <c r="EEQ88" s="587" t="n"/>
      <c r="EER88" s="587" t="n"/>
      <c r="EES88" s="587" t="n"/>
      <c r="EET88" s="587" t="n"/>
      <c r="EEU88" s="587" t="n"/>
      <c r="EEV88" s="587" t="n"/>
      <c r="EEW88" s="587" t="n"/>
      <c r="EEX88" s="587" t="n"/>
      <c r="EEY88" s="587" t="n"/>
      <c r="EEZ88" s="587" t="n"/>
      <c r="EFA88" s="587" t="n"/>
      <c r="EFB88" s="587" t="n"/>
      <c r="EFC88" s="587" t="n"/>
      <c r="EFD88" s="587" t="n"/>
      <c r="EFE88" s="587" t="n"/>
      <c r="EFF88" s="587" t="n"/>
      <c r="EFG88" s="587" t="n"/>
      <c r="EFH88" s="587" t="n"/>
      <c r="EFI88" s="587" t="n"/>
      <c r="EFJ88" s="587" t="n"/>
      <c r="EFK88" s="587" t="n"/>
      <c r="EFL88" s="587" t="n"/>
      <c r="EFM88" s="587" t="n"/>
      <c r="EFN88" s="587" t="n"/>
      <c r="EFO88" s="587" t="n"/>
      <c r="EFP88" s="587" t="n"/>
      <c r="EFQ88" s="587" t="n"/>
      <c r="EFR88" s="587" t="n"/>
      <c r="EFS88" s="587" t="n"/>
      <c r="EFT88" s="587" t="n"/>
      <c r="EFU88" s="587" t="n"/>
      <c r="EFV88" s="587" t="n"/>
      <c r="EFW88" s="587" t="n"/>
      <c r="EFX88" s="587" t="n"/>
      <c r="EFY88" s="587" t="n"/>
      <c r="EFZ88" s="587" t="n"/>
      <c r="EGA88" s="587" t="n"/>
      <c r="EGB88" s="587" t="n"/>
      <c r="EGC88" s="587" t="n"/>
      <c r="EGD88" s="587" t="n"/>
      <c r="EGE88" s="587" t="n"/>
      <c r="EGF88" s="587" t="n"/>
      <c r="EGG88" s="587" t="n"/>
      <c r="EGH88" s="587" t="n"/>
      <c r="EGI88" s="587" t="n"/>
      <c r="EGJ88" s="587" t="n"/>
      <c r="EGK88" s="587" t="n"/>
      <c r="EGL88" s="587" t="n"/>
      <c r="EGM88" s="587" t="n"/>
      <c r="EGN88" s="587" t="n"/>
      <c r="EGO88" s="587" t="n"/>
      <c r="EGP88" s="587" t="n"/>
      <c r="EGQ88" s="587" t="n"/>
      <c r="EGR88" s="587" t="n"/>
      <c r="EGS88" s="587" t="n"/>
      <c r="EGT88" s="587" t="n"/>
      <c r="EGU88" s="587" t="n"/>
      <c r="EGV88" s="587" t="n"/>
      <c r="EGW88" s="587" t="n"/>
      <c r="EGX88" s="587" t="n"/>
      <c r="EGY88" s="587" t="n"/>
      <c r="EGZ88" s="587" t="n"/>
      <c r="EHA88" s="587" t="n"/>
      <c r="EHB88" s="587" t="n"/>
      <c r="EHC88" s="587" t="n"/>
      <c r="EHD88" s="587" t="n"/>
      <c r="EHE88" s="587" t="n"/>
      <c r="EHF88" s="587" t="n"/>
      <c r="EHG88" s="587" t="n"/>
      <c r="EHH88" s="587" t="n"/>
      <c r="EHI88" s="587" t="n"/>
      <c r="EHJ88" s="587" t="n"/>
      <c r="EHK88" s="587" t="n"/>
      <c r="EHL88" s="587" t="n"/>
      <c r="EHM88" s="587" t="n"/>
      <c r="EHN88" s="587" t="n"/>
      <c r="EHO88" s="587" t="n"/>
      <c r="EHP88" s="587" t="n"/>
      <c r="EHQ88" s="587" t="n"/>
      <c r="EHR88" s="587" t="n"/>
      <c r="EHS88" s="587" t="n"/>
      <c r="EHT88" s="587" t="n"/>
      <c r="EHU88" s="587" t="n"/>
      <c r="EHV88" s="587" t="n"/>
      <c r="EHW88" s="587" t="n"/>
      <c r="EHX88" s="587" t="n"/>
      <c r="EHY88" s="587" t="n"/>
      <c r="EHZ88" s="587" t="n"/>
      <c r="EIA88" s="587" t="n"/>
      <c r="EIB88" s="587" t="n"/>
      <c r="EIC88" s="587" t="n"/>
      <c r="EID88" s="587" t="n"/>
      <c r="EIE88" s="587" t="n"/>
      <c r="EIF88" s="587" t="n"/>
      <c r="EIG88" s="587" t="n"/>
      <c r="EIH88" s="587" t="n"/>
      <c r="EII88" s="587" t="n"/>
      <c r="EIJ88" s="587" t="n"/>
      <c r="EIK88" s="587" t="n"/>
      <c r="EIL88" s="587" t="n"/>
      <c r="EIM88" s="587" t="n"/>
      <c r="EIN88" s="587" t="n"/>
      <c r="EIO88" s="587" t="n"/>
      <c r="EIP88" s="587" t="n"/>
      <c r="EIQ88" s="587" t="n"/>
      <c r="EIR88" s="587" t="n"/>
      <c r="EIS88" s="587" t="n"/>
      <c r="EIT88" s="587" t="n"/>
      <c r="EIU88" s="587" t="n"/>
      <c r="EIV88" s="587" t="n"/>
      <c r="EIW88" s="587" t="n"/>
      <c r="EIX88" s="587" t="n"/>
      <c r="EIY88" s="587" t="n"/>
      <c r="EIZ88" s="587" t="n"/>
      <c r="EJA88" s="587" t="n"/>
      <c r="EJB88" s="587" t="n"/>
      <c r="EJC88" s="587" t="n"/>
      <c r="EJD88" s="587" t="n"/>
      <c r="EJE88" s="587" t="n"/>
      <c r="EJF88" s="587" t="n"/>
      <c r="EJG88" s="587" t="n"/>
      <c r="EJH88" s="587" t="n"/>
      <c r="EJI88" s="587" t="n"/>
      <c r="EJJ88" s="587" t="n"/>
      <c r="EJK88" s="587" t="n"/>
      <c r="EJL88" s="587" t="n"/>
      <c r="EJM88" s="587" t="n"/>
      <c r="EJN88" s="587" t="n"/>
      <c r="EJO88" s="587" t="n"/>
      <c r="EJP88" s="587" t="n"/>
      <c r="EJQ88" s="587" t="n"/>
      <c r="EJR88" s="587" t="n"/>
      <c r="EJS88" s="587" t="n"/>
      <c r="EJT88" s="587" t="n"/>
      <c r="EJU88" s="587" t="n"/>
      <c r="EJV88" s="587" t="n"/>
      <c r="EJW88" s="587" t="n"/>
      <c r="EJX88" s="587" t="n"/>
      <c r="EJY88" s="587" t="n"/>
      <c r="EJZ88" s="587" t="n"/>
      <c r="EKA88" s="587" t="n"/>
      <c r="EKB88" s="587" t="n"/>
      <c r="EKC88" s="587" t="n"/>
      <c r="EKD88" s="587" t="n"/>
      <c r="EKE88" s="587" t="n"/>
      <c r="EKF88" s="587" t="n"/>
      <c r="EKG88" s="587" t="n"/>
      <c r="EKH88" s="587" t="n"/>
      <c r="EKI88" s="587" t="n"/>
      <c r="EKJ88" s="587" t="n"/>
      <c r="EKK88" s="587" t="n"/>
      <c r="EKL88" s="587" t="n"/>
      <c r="EKM88" s="587" t="n"/>
      <c r="EKN88" s="587" t="n"/>
      <c r="EKO88" s="587" t="n"/>
      <c r="EKP88" s="587" t="n"/>
      <c r="EKQ88" s="587" t="n"/>
      <c r="EKR88" s="587" t="n"/>
      <c r="EKS88" s="587" t="n"/>
      <c r="EKT88" s="587" t="n"/>
      <c r="EKU88" s="587" t="n"/>
      <c r="EKV88" s="587" t="n"/>
      <c r="EKW88" s="587" t="n"/>
      <c r="EKX88" s="587" t="n"/>
      <c r="EKY88" s="587" t="n"/>
      <c r="EKZ88" s="587" t="n"/>
      <c r="ELA88" s="587" t="n"/>
      <c r="ELB88" s="587" t="n"/>
      <c r="ELC88" s="587" t="n"/>
      <c r="ELD88" s="587" t="n"/>
      <c r="ELE88" s="587" t="n"/>
      <c r="ELF88" s="587" t="n"/>
      <c r="ELG88" s="587" t="n"/>
      <c r="ELH88" s="587" t="n"/>
      <c r="ELI88" s="587" t="n"/>
      <c r="ELJ88" s="587" t="n"/>
      <c r="ELK88" s="587" t="n"/>
      <c r="ELL88" s="587" t="n"/>
      <c r="ELM88" s="587" t="n"/>
      <c r="ELN88" s="587" t="n"/>
      <c r="ELO88" s="587" t="n"/>
      <c r="ELP88" s="587" t="n"/>
      <c r="ELQ88" s="587" t="n"/>
      <c r="ELR88" s="587" t="n"/>
      <c r="ELS88" s="587" t="n"/>
      <c r="ELT88" s="587" t="n"/>
      <c r="ELU88" s="587" t="n"/>
      <c r="ELV88" s="587" t="n"/>
      <c r="ELW88" s="587" t="n"/>
      <c r="ELX88" s="587" t="n"/>
      <c r="ELY88" s="587" t="n"/>
      <c r="ELZ88" s="587" t="n"/>
      <c r="EMA88" s="587" t="n"/>
      <c r="EMB88" s="587" t="n"/>
      <c r="EMC88" s="587" t="n"/>
      <c r="EMD88" s="587" t="n"/>
      <c r="EME88" s="587" t="n"/>
      <c r="EMF88" s="587" t="n"/>
      <c r="EMG88" s="587" t="n"/>
      <c r="EMH88" s="587" t="n"/>
      <c r="EMI88" s="587" t="n"/>
      <c r="EMJ88" s="587" t="n"/>
      <c r="EMK88" s="587" t="n"/>
      <c r="EML88" s="587" t="n"/>
      <c r="EMM88" s="587" t="n"/>
      <c r="EMN88" s="587" t="n"/>
      <c r="EMO88" s="587" t="n"/>
      <c r="EMP88" s="587" t="n"/>
      <c r="EMQ88" s="587" t="n"/>
      <c r="EMR88" s="587" t="n"/>
      <c r="EMS88" s="587" t="n"/>
      <c r="EMT88" s="587" t="n"/>
      <c r="EMU88" s="587" t="n"/>
      <c r="EMV88" s="587" t="n"/>
      <c r="EMW88" s="587" t="n"/>
      <c r="EMX88" s="587" t="n"/>
      <c r="EMY88" s="587" t="n"/>
      <c r="EMZ88" s="587" t="n"/>
      <c r="ENA88" s="587" t="n"/>
      <c r="ENB88" s="587" t="n"/>
      <c r="ENC88" s="587" t="n"/>
      <c r="END88" s="587" t="n"/>
      <c r="ENE88" s="587" t="n"/>
      <c r="ENF88" s="587" t="n"/>
      <c r="ENG88" s="587" t="n"/>
      <c r="ENH88" s="587" t="n"/>
      <c r="ENI88" s="587" t="n"/>
      <c r="ENJ88" s="587" t="n"/>
      <c r="ENK88" s="587" t="n"/>
      <c r="ENL88" s="587" t="n"/>
      <c r="ENM88" s="587" t="n"/>
      <c r="ENN88" s="587" t="n"/>
      <c r="ENO88" s="587" t="n"/>
      <c r="ENP88" s="587" t="n"/>
      <c r="ENQ88" s="587" t="n"/>
      <c r="ENR88" s="587" t="n"/>
      <c r="ENS88" s="587" t="n"/>
      <c r="ENT88" s="587" t="n"/>
      <c r="ENU88" s="587" t="n"/>
      <c r="ENV88" s="587" t="n"/>
      <c r="ENW88" s="587" t="n"/>
      <c r="ENX88" s="587" t="n"/>
      <c r="ENY88" s="587" t="n"/>
      <c r="ENZ88" s="587" t="n"/>
      <c r="EOA88" s="587" t="n"/>
      <c r="EOB88" s="587" t="n"/>
      <c r="EOC88" s="587" t="n"/>
      <c r="EOD88" s="587" t="n"/>
      <c r="EOE88" s="587" t="n"/>
      <c r="EOF88" s="587" t="n"/>
      <c r="EOG88" s="587" t="n"/>
      <c r="EOH88" s="587" t="n"/>
      <c r="EOI88" s="587" t="n"/>
      <c r="EOJ88" s="587" t="n"/>
      <c r="EOK88" s="587" t="n"/>
      <c r="EOL88" s="587" t="n"/>
      <c r="EOM88" s="587" t="n"/>
      <c r="EON88" s="587" t="n"/>
      <c r="EOO88" s="587" t="n"/>
      <c r="EOP88" s="587" t="n"/>
      <c r="EOQ88" s="587" t="n"/>
      <c r="EOR88" s="587" t="n"/>
      <c r="EOS88" s="587" t="n"/>
      <c r="EOT88" s="587" t="n"/>
      <c r="EOU88" s="587" t="n"/>
      <c r="EOV88" s="587" t="n"/>
      <c r="EOW88" s="587" t="n"/>
      <c r="EOX88" s="587" t="n"/>
      <c r="EOY88" s="587" t="n"/>
      <c r="EOZ88" s="587" t="n"/>
      <c r="EPA88" s="587" t="n"/>
      <c r="EPB88" s="587" t="n"/>
      <c r="EPC88" s="587" t="n"/>
      <c r="EPD88" s="587" t="n"/>
      <c r="EPE88" s="587" t="n"/>
      <c r="EPF88" s="587" t="n"/>
      <c r="EPG88" s="587" t="n"/>
      <c r="EPH88" s="587" t="n"/>
      <c r="EPI88" s="587" t="n"/>
      <c r="EPJ88" s="587" t="n"/>
      <c r="EPK88" s="587" t="n"/>
      <c r="EPL88" s="587" t="n"/>
      <c r="EPM88" s="587" t="n"/>
      <c r="EPN88" s="587" t="n"/>
      <c r="EPO88" s="587" t="n"/>
      <c r="EPP88" s="587" t="n"/>
      <c r="EPQ88" s="587" t="n"/>
      <c r="EPR88" s="587" t="n"/>
      <c r="EPS88" s="587" t="n"/>
      <c r="EPT88" s="587" t="n"/>
      <c r="EPU88" s="587" t="n"/>
      <c r="EPV88" s="587" t="n"/>
      <c r="EPW88" s="587" t="n"/>
      <c r="EPX88" s="587" t="n"/>
      <c r="EPY88" s="587" t="n"/>
      <c r="EPZ88" s="587" t="n"/>
      <c r="EQA88" s="587" t="n"/>
      <c r="EQB88" s="587" t="n"/>
      <c r="EQC88" s="587" t="n"/>
      <c r="EQD88" s="587" t="n"/>
      <c r="EQE88" s="587" t="n"/>
      <c r="EQF88" s="587" t="n"/>
      <c r="EQG88" s="587" t="n"/>
      <c r="EQH88" s="587" t="n"/>
      <c r="EQI88" s="587" t="n"/>
      <c r="EQJ88" s="587" t="n"/>
      <c r="EQK88" s="587" t="n"/>
      <c r="EQL88" s="587" t="n"/>
      <c r="EQM88" s="587" t="n"/>
      <c r="EQN88" s="587" t="n"/>
      <c r="EQO88" s="587" t="n"/>
      <c r="EQP88" s="587" t="n"/>
      <c r="EQQ88" s="587" t="n"/>
      <c r="EQR88" s="587" t="n"/>
      <c r="EQS88" s="587" t="n"/>
      <c r="EQT88" s="587" t="n"/>
      <c r="EQU88" s="587" t="n"/>
      <c r="EQV88" s="587" t="n"/>
      <c r="EQW88" s="587" t="n"/>
      <c r="EQX88" s="587" t="n"/>
      <c r="EQY88" s="587" t="n"/>
      <c r="EQZ88" s="587" t="n"/>
      <c r="ERA88" s="587" t="n"/>
      <c r="ERB88" s="587" t="n"/>
      <c r="ERC88" s="587" t="n"/>
      <c r="ERD88" s="587" t="n"/>
      <c r="ERE88" s="587" t="n"/>
      <c r="ERF88" s="587" t="n"/>
      <c r="ERG88" s="587" t="n"/>
      <c r="ERH88" s="587" t="n"/>
      <c r="ERI88" s="587" t="n"/>
      <c r="ERJ88" s="587" t="n"/>
      <c r="ERK88" s="587" t="n"/>
      <c r="ERL88" s="587" t="n"/>
      <c r="ERM88" s="587" t="n"/>
      <c r="ERN88" s="587" t="n"/>
      <c r="ERO88" s="587" t="n"/>
      <c r="ERP88" s="587" t="n"/>
      <c r="ERQ88" s="587" t="n"/>
      <c r="ERR88" s="587" t="n"/>
      <c r="ERS88" s="587" t="n"/>
      <c r="ERT88" s="587" t="n"/>
      <c r="ERU88" s="587" t="n"/>
      <c r="ERV88" s="587" t="n"/>
      <c r="ERW88" s="587" t="n"/>
      <c r="ERX88" s="587" t="n"/>
      <c r="ERY88" s="587" t="n"/>
      <c r="ERZ88" s="587" t="n"/>
      <c r="ESA88" s="587" t="n"/>
      <c r="ESB88" s="587" t="n"/>
      <c r="ESC88" s="587" t="n"/>
      <c r="ESD88" s="587" t="n"/>
      <c r="ESE88" s="587" t="n"/>
      <c r="ESF88" s="587" t="n"/>
      <c r="ESG88" s="587" t="n"/>
      <c r="ESH88" s="587" t="n"/>
      <c r="ESI88" s="587" t="n"/>
      <c r="ESJ88" s="587" t="n"/>
      <c r="ESK88" s="587" t="n"/>
      <c r="ESL88" s="587" t="n"/>
      <c r="ESM88" s="587" t="n"/>
      <c r="ESN88" s="587" t="n"/>
      <c r="ESO88" s="587" t="n"/>
      <c r="ESP88" s="587" t="n"/>
      <c r="ESQ88" s="587" t="n"/>
      <c r="ESR88" s="587" t="n"/>
      <c r="ESS88" s="587" t="n"/>
      <c r="EST88" s="587" t="n"/>
      <c r="ESU88" s="587" t="n"/>
      <c r="ESV88" s="587" t="n"/>
      <c r="ESW88" s="587" t="n"/>
      <c r="ESX88" s="587" t="n"/>
      <c r="ESY88" s="587" t="n"/>
      <c r="ESZ88" s="587" t="n"/>
      <c r="ETA88" s="587" t="n"/>
      <c r="ETB88" s="587" t="n"/>
      <c r="ETC88" s="587" t="n"/>
      <c r="ETD88" s="587" t="n"/>
      <c r="ETE88" s="587" t="n"/>
      <c r="ETF88" s="587" t="n"/>
      <c r="ETG88" s="587" t="n"/>
      <c r="ETH88" s="587" t="n"/>
      <c r="ETI88" s="587" t="n"/>
      <c r="ETJ88" s="587" t="n"/>
      <c r="ETK88" s="587" t="n"/>
      <c r="ETL88" s="587" t="n"/>
      <c r="ETM88" s="587" t="n"/>
      <c r="ETN88" s="587" t="n"/>
      <c r="ETO88" s="587" t="n"/>
      <c r="ETP88" s="587" t="n"/>
      <c r="ETQ88" s="587" t="n"/>
      <c r="ETR88" s="587" t="n"/>
      <c r="ETS88" s="587" t="n"/>
      <c r="ETT88" s="587" t="n"/>
      <c r="ETU88" s="587" t="n"/>
      <c r="ETV88" s="587" t="n"/>
      <c r="ETW88" s="587" t="n"/>
      <c r="ETX88" s="587" t="n"/>
      <c r="ETY88" s="587" t="n"/>
      <c r="ETZ88" s="587" t="n"/>
      <c r="EUA88" s="587" t="n"/>
      <c r="EUB88" s="587" t="n"/>
      <c r="EUC88" s="587" t="n"/>
      <c r="EUD88" s="587" t="n"/>
      <c r="EUE88" s="587" t="n"/>
      <c r="EUF88" s="587" t="n"/>
      <c r="EUG88" s="587" t="n"/>
      <c r="EUH88" s="587" t="n"/>
      <c r="EUI88" s="587" t="n"/>
      <c r="EUJ88" s="587" t="n"/>
      <c r="EUK88" s="587" t="n"/>
      <c r="EUL88" s="587" t="n"/>
      <c r="EUM88" s="587" t="n"/>
      <c r="EUN88" s="587" t="n"/>
      <c r="EUO88" s="587" t="n"/>
      <c r="EUP88" s="587" t="n"/>
      <c r="EUQ88" s="587" t="n"/>
      <c r="EUR88" s="587" t="n"/>
      <c r="EUS88" s="587" t="n"/>
      <c r="EUT88" s="587" t="n"/>
      <c r="EUU88" s="587" t="n"/>
      <c r="EUV88" s="587" t="n"/>
      <c r="EUW88" s="587" t="n"/>
      <c r="EUX88" s="587" t="n"/>
      <c r="EUY88" s="587" t="n"/>
      <c r="EUZ88" s="587" t="n"/>
      <c r="EVA88" s="587" t="n"/>
      <c r="EVB88" s="587" t="n"/>
      <c r="EVC88" s="587" t="n"/>
      <c r="EVD88" s="587" t="n"/>
      <c r="EVE88" s="587" t="n"/>
      <c r="EVF88" s="587" t="n"/>
      <c r="EVG88" s="587" t="n"/>
      <c r="EVH88" s="587" t="n"/>
      <c r="EVI88" s="587" t="n"/>
      <c r="EVJ88" s="587" t="n"/>
      <c r="EVK88" s="587" t="n"/>
      <c r="EVL88" s="587" t="n"/>
      <c r="EVM88" s="587" t="n"/>
      <c r="EVN88" s="587" t="n"/>
      <c r="EVO88" s="587" t="n"/>
      <c r="EVP88" s="587" t="n"/>
      <c r="EVQ88" s="587" t="n"/>
      <c r="EVR88" s="587" t="n"/>
      <c r="EVS88" s="587" t="n"/>
      <c r="EVT88" s="587" t="n"/>
      <c r="EVU88" s="587" t="n"/>
      <c r="EVV88" s="587" t="n"/>
      <c r="EVW88" s="587" t="n"/>
      <c r="EVX88" s="587" t="n"/>
      <c r="EVY88" s="587" t="n"/>
      <c r="EVZ88" s="587" t="n"/>
      <c r="EWA88" s="587" t="n"/>
      <c r="EWB88" s="587" t="n"/>
      <c r="EWC88" s="587" t="n"/>
      <c r="EWD88" s="587" t="n"/>
      <c r="EWE88" s="587" t="n"/>
      <c r="EWF88" s="587" t="n"/>
      <c r="EWG88" s="587" t="n"/>
      <c r="EWH88" s="587" t="n"/>
      <c r="EWI88" s="587" t="n"/>
      <c r="EWJ88" s="587" t="n"/>
      <c r="EWK88" s="587" t="n"/>
      <c r="EWL88" s="587" t="n"/>
      <c r="EWM88" s="587" t="n"/>
      <c r="EWN88" s="587" t="n"/>
      <c r="EWO88" s="587" t="n"/>
      <c r="EWP88" s="587" t="n"/>
      <c r="EWQ88" s="587" t="n"/>
      <c r="EWR88" s="587" t="n"/>
      <c r="EWS88" s="587" t="n"/>
      <c r="EWT88" s="587" t="n"/>
      <c r="EWU88" s="587" t="n"/>
      <c r="EWV88" s="587" t="n"/>
      <c r="EWW88" s="587" t="n"/>
      <c r="EWX88" s="587" t="n"/>
      <c r="EWY88" s="587" t="n"/>
      <c r="EWZ88" s="587" t="n"/>
      <c r="EXA88" s="587" t="n"/>
      <c r="EXB88" s="587" t="n"/>
      <c r="EXC88" s="587" t="n"/>
      <c r="EXD88" s="587" t="n"/>
      <c r="EXE88" s="587" t="n"/>
      <c r="EXF88" s="587" t="n"/>
      <c r="EXG88" s="587" t="n"/>
      <c r="EXH88" s="587" t="n"/>
      <c r="EXI88" s="587" t="n"/>
      <c r="EXJ88" s="587" t="n"/>
      <c r="EXK88" s="587" t="n"/>
      <c r="EXL88" s="587" t="n"/>
      <c r="EXM88" s="587" t="n"/>
      <c r="EXN88" s="587" t="n"/>
      <c r="EXO88" s="587" t="n"/>
      <c r="EXP88" s="587" t="n"/>
      <c r="EXQ88" s="587" t="n"/>
      <c r="EXR88" s="587" t="n"/>
      <c r="EXS88" s="587" t="n"/>
      <c r="EXT88" s="587" t="n"/>
      <c r="EXU88" s="587" t="n"/>
      <c r="EXV88" s="587" t="n"/>
      <c r="EXW88" s="587" t="n"/>
      <c r="EXX88" s="587" t="n"/>
      <c r="EXY88" s="587" t="n"/>
      <c r="EXZ88" s="587" t="n"/>
      <c r="EYA88" s="587" t="n"/>
      <c r="EYB88" s="587" t="n"/>
      <c r="EYC88" s="587" t="n"/>
      <c r="EYD88" s="587" t="n"/>
      <c r="EYE88" s="587" t="n"/>
      <c r="EYF88" s="587" t="n"/>
      <c r="EYG88" s="587" t="n"/>
      <c r="EYH88" s="587" t="n"/>
      <c r="EYI88" s="587" t="n"/>
      <c r="EYJ88" s="587" t="n"/>
      <c r="EYK88" s="587" t="n"/>
      <c r="EYL88" s="587" t="n"/>
      <c r="EYM88" s="587" t="n"/>
      <c r="EYN88" s="587" t="n"/>
      <c r="EYO88" s="587" t="n"/>
      <c r="EYP88" s="587" t="n"/>
      <c r="EYQ88" s="587" t="n"/>
      <c r="EYR88" s="587" t="n"/>
      <c r="EYS88" s="587" t="n"/>
      <c r="EYT88" s="587" t="n"/>
      <c r="EYU88" s="587" t="n"/>
      <c r="EYV88" s="587" t="n"/>
      <c r="EYW88" s="587" t="n"/>
      <c r="EYX88" s="587" t="n"/>
      <c r="EYY88" s="587" t="n"/>
      <c r="EYZ88" s="587" t="n"/>
      <c r="EZA88" s="587" t="n"/>
      <c r="EZB88" s="587" t="n"/>
      <c r="EZC88" s="587" t="n"/>
      <c r="EZD88" s="587" t="n"/>
      <c r="EZE88" s="587" t="n"/>
      <c r="EZF88" s="587" t="n"/>
      <c r="EZG88" s="587" t="n"/>
      <c r="EZH88" s="587" t="n"/>
      <c r="EZI88" s="587" t="n"/>
      <c r="EZJ88" s="587" t="n"/>
      <c r="EZK88" s="587" t="n"/>
      <c r="EZL88" s="587" t="n"/>
      <c r="EZM88" s="587" t="n"/>
      <c r="EZN88" s="587" t="n"/>
      <c r="EZO88" s="587" t="n"/>
      <c r="EZP88" s="587" t="n"/>
      <c r="EZQ88" s="587" t="n"/>
      <c r="EZR88" s="587" t="n"/>
      <c r="EZS88" s="587" t="n"/>
      <c r="EZT88" s="587" t="n"/>
      <c r="EZU88" s="587" t="n"/>
      <c r="EZV88" s="587" t="n"/>
      <c r="EZW88" s="587" t="n"/>
      <c r="EZX88" s="587" t="n"/>
      <c r="EZY88" s="587" t="n"/>
      <c r="EZZ88" s="587" t="n"/>
      <c r="FAA88" s="587" t="n"/>
      <c r="FAB88" s="587" t="n"/>
      <c r="FAC88" s="587" t="n"/>
      <c r="FAD88" s="587" t="n"/>
      <c r="FAE88" s="587" t="n"/>
      <c r="FAF88" s="587" t="n"/>
      <c r="FAG88" s="587" t="n"/>
      <c r="FAH88" s="587" t="n"/>
      <c r="FAI88" s="587" t="n"/>
      <c r="FAJ88" s="587" t="n"/>
      <c r="FAK88" s="587" t="n"/>
      <c r="FAL88" s="587" t="n"/>
      <c r="FAM88" s="587" t="n"/>
      <c r="FAN88" s="587" t="n"/>
      <c r="FAO88" s="587" t="n"/>
      <c r="FAP88" s="587" t="n"/>
      <c r="FAQ88" s="587" t="n"/>
      <c r="FAR88" s="587" t="n"/>
      <c r="FAS88" s="587" t="n"/>
      <c r="FAT88" s="587" t="n"/>
      <c r="FAU88" s="587" t="n"/>
      <c r="FAV88" s="587" t="n"/>
      <c r="FAW88" s="587" t="n"/>
      <c r="FAX88" s="587" t="n"/>
      <c r="FAY88" s="587" t="n"/>
      <c r="FAZ88" s="587" t="n"/>
      <c r="FBA88" s="587" t="n"/>
      <c r="FBB88" s="587" t="n"/>
      <c r="FBC88" s="587" t="n"/>
      <c r="FBD88" s="587" t="n"/>
      <c r="FBE88" s="587" t="n"/>
      <c r="FBF88" s="587" t="n"/>
      <c r="FBG88" s="587" t="n"/>
      <c r="FBH88" s="587" t="n"/>
      <c r="FBI88" s="587" t="n"/>
      <c r="FBJ88" s="587" t="n"/>
      <c r="FBK88" s="587" t="n"/>
      <c r="FBL88" s="587" t="n"/>
      <c r="FBM88" s="587" t="n"/>
      <c r="FBN88" s="587" t="n"/>
      <c r="FBO88" s="587" t="n"/>
      <c r="FBP88" s="587" t="n"/>
      <c r="FBQ88" s="587" t="n"/>
      <c r="FBR88" s="587" t="n"/>
      <c r="FBS88" s="587" t="n"/>
      <c r="FBT88" s="587" t="n"/>
      <c r="FBU88" s="587" t="n"/>
      <c r="FBV88" s="587" t="n"/>
      <c r="FBW88" s="587" t="n"/>
      <c r="FBX88" s="587" t="n"/>
      <c r="FBY88" s="587" t="n"/>
      <c r="FBZ88" s="587" t="n"/>
      <c r="FCA88" s="587" t="n"/>
      <c r="FCB88" s="587" t="n"/>
      <c r="FCC88" s="587" t="n"/>
      <c r="FCD88" s="587" t="n"/>
      <c r="FCE88" s="587" t="n"/>
      <c r="FCF88" s="587" t="n"/>
      <c r="FCG88" s="587" t="n"/>
      <c r="FCH88" s="587" t="n"/>
      <c r="FCI88" s="587" t="n"/>
      <c r="FCJ88" s="587" t="n"/>
      <c r="FCK88" s="587" t="n"/>
      <c r="FCL88" s="587" t="n"/>
      <c r="FCM88" s="587" t="n"/>
      <c r="FCN88" s="587" t="n"/>
      <c r="FCO88" s="587" t="n"/>
      <c r="FCP88" s="587" t="n"/>
      <c r="FCQ88" s="587" t="n"/>
      <c r="FCR88" s="587" t="n"/>
      <c r="FCS88" s="587" t="n"/>
      <c r="FCT88" s="587" t="n"/>
      <c r="FCU88" s="587" t="n"/>
      <c r="FCV88" s="587" t="n"/>
      <c r="FCW88" s="587" t="n"/>
      <c r="FCX88" s="587" t="n"/>
      <c r="FCY88" s="587" t="n"/>
      <c r="FCZ88" s="587" t="n"/>
      <c r="FDA88" s="587" t="n"/>
      <c r="FDB88" s="587" t="n"/>
      <c r="FDC88" s="587" t="n"/>
      <c r="FDD88" s="587" t="n"/>
      <c r="FDE88" s="587" t="n"/>
      <c r="FDF88" s="587" t="n"/>
      <c r="FDG88" s="587" t="n"/>
      <c r="FDH88" s="587" t="n"/>
      <c r="FDI88" s="587" t="n"/>
      <c r="FDJ88" s="587" t="n"/>
      <c r="FDK88" s="587" t="n"/>
      <c r="FDL88" s="587" t="n"/>
      <c r="FDM88" s="587" t="n"/>
      <c r="FDN88" s="587" t="n"/>
      <c r="FDO88" s="587" t="n"/>
      <c r="FDP88" s="587" t="n"/>
      <c r="FDQ88" s="587" t="n"/>
      <c r="FDR88" s="587" t="n"/>
      <c r="FDS88" s="587" t="n"/>
      <c r="FDT88" s="587" t="n"/>
      <c r="FDU88" s="587" t="n"/>
      <c r="FDV88" s="587" t="n"/>
      <c r="FDW88" s="587" t="n"/>
      <c r="FDX88" s="587" t="n"/>
      <c r="FDY88" s="587" t="n"/>
      <c r="FDZ88" s="587" t="n"/>
      <c r="FEA88" s="587" t="n"/>
      <c r="FEB88" s="587" t="n"/>
      <c r="FEC88" s="587" t="n"/>
      <c r="FED88" s="587" t="n"/>
      <c r="FEE88" s="587" t="n"/>
      <c r="FEF88" s="587" t="n"/>
      <c r="FEG88" s="587" t="n"/>
      <c r="FEH88" s="587" t="n"/>
      <c r="FEI88" s="587" t="n"/>
      <c r="FEJ88" s="587" t="n"/>
      <c r="FEK88" s="587" t="n"/>
      <c r="FEL88" s="587" t="n"/>
      <c r="FEM88" s="587" t="n"/>
      <c r="FEN88" s="587" t="n"/>
      <c r="FEO88" s="587" t="n"/>
      <c r="FEP88" s="587" t="n"/>
      <c r="FEQ88" s="587" t="n"/>
      <c r="FER88" s="587" t="n"/>
      <c r="FES88" s="587" t="n"/>
      <c r="FET88" s="587" t="n"/>
      <c r="FEU88" s="587" t="n"/>
      <c r="FEV88" s="587" t="n"/>
      <c r="FEW88" s="587" t="n"/>
      <c r="FEX88" s="587" t="n"/>
      <c r="FEY88" s="587" t="n"/>
      <c r="FEZ88" s="587" t="n"/>
      <c r="FFA88" s="587" t="n"/>
      <c r="FFB88" s="587" t="n"/>
      <c r="FFC88" s="587" t="n"/>
      <c r="FFD88" s="587" t="n"/>
      <c r="FFE88" s="587" t="n"/>
      <c r="FFF88" s="587" t="n"/>
      <c r="FFG88" s="587" t="n"/>
      <c r="FFH88" s="587" t="n"/>
      <c r="FFI88" s="587" t="n"/>
      <c r="FFJ88" s="587" t="n"/>
      <c r="FFK88" s="587" t="n"/>
      <c r="FFL88" s="587" t="n"/>
      <c r="FFM88" s="587" t="n"/>
      <c r="FFN88" s="587" t="n"/>
      <c r="FFO88" s="587" t="n"/>
      <c r="FFP88" s="587" t="n"/>
      <c r="FFQ88" s="587" t="n"/>
      <c r="FFR88" s="587" t="n"/>
      <c r="FFS88" s="587" t="n"/>
      <c r="FFT88" s="587" t="n"/>
      <c r="FFU88" s="587" t="n"/>
      <c r="FFV88" s="587" t="n"/>
      <c r="FFW88" s="587" t="n"/>
      <c r="FFX88" s="587" t="n"/>
      <c r="FFY88" s="587" t="n"/>
      <c r="FFZ88" s="587" t="n"/>
      <c r="FGA88" s="587" t="n"/>
      <c r="FGB88" s="587" t="n"/>
      <c r="FGC88" s="587" t="n"/>
      <c r="FGD88" s="587" t="n"/>
      <c r="FGE88" s="587" t="n"/>
      <c r="FGF88" s="587" t="n"/>
      <c r="FGG88" s="587" t="n"/>
      <c r="FGH88" s="587" t="n"/>
      <c r="FGI88" s="587" t="n"/>
      <c r="FGJ88" s="587" t="n"/>
      <c r="FGK88" s="587" t="n"/>
      <c r="FGL88" s="587" t="n"/>
      <c r="FGM88" s="587" t="n"/>
      <c r="FGN88" s="587" t="n"/>
      <c r="FGO88" s="587" t="n"/>
      <c r="FGP88" s="587" t="n"/>
      <c r="FGQ88" s="587" t="n"/>
      <c r="FGR88" s="587" t="n"/>
      <c r="FGS88" s="587" t="n"/>
      <c r="FGT88" s="587" t="n"/>
      <c r="FGU88" s="587" t="n"/>
      <c r="FGV88" s="587" t="n"/>
      <c r="FGW88" s="587" t="n"/>
      <c r="FGX88" s="587" t="n"/>
      <c r="FGY88" s="587" t="n"/>
      <c r="FGZ88" s="587" t="n"/>
      <c r="FHA88" s="587" t="n"/>
      <c r="FHB88" s="587" t="n"/>
      <c r="FHC88" s="587" t="n"/>
      <c r="FHD88" s="587" t="n"/>
      <c r="FHE88" s="587" t="n"/>
      <c r="FHF88" s="587" t="n"/>
      <c r="FHG88" s="587" t="n"/>
      <c r="FHH88" s="587" t="n"/>
      <c r="FHI88" s="587" t="n"/>
      <c r="FHJ88" s="587" t="n"/>
      <c r="FHK88" s="587" t="n"/>
      <c r="FHL88" s="587" t="n"/>
      <c r="FHM88" s="587" t="n"/>
      <c r="FHN88" s="587" t="n"/>
      <c r="FHO88" s="587" t="n"/>
      <c r="FHP88" s="587" t="n"/>
      <c r="FHQ88" s="587" t="n"/>
      <c r="FHR88" s="587" t="n"/>
      <c r="FHS88" s="587" t="n"/>
      <c r="FHT88" s="587" t="n"/>
      <c r="FHU88" s="587" t="n"/>
      <c r="FHV88" s="587" t="n"/>
      <c r="FHW88" s="587" t="n"/>
      <c r="FHX88" s="587" t="n"/>
      <c r="FHY88" s="587" t="n"/>
      <c r="FHZ88" s="587" t="n"/>
      <c r="FIA88" s="587" t="n"/>
      <c r="FIB88" s="587" t="n"/>
      <c r="FIC88" s="587" t="n"/>
      <c r="FID88" s="587" t="n"/>
      <c r="FIE88" s="587" t="n"/>
      <c r="FIF88" s="587" t="n"/>
      <c r="FIG88" s="587" t="n"/>
      <c r="FIH88" s="587" t="n"/>
      <c r="FII88" s="587" t="n"/>
      <c r="FIJ88" s="587" t="n"/>
      <c r="FIK88" s="587" t="n"/>
      <c r="FIL88" s="587" t="n"/>
      <c r="FIM88" s="587" t="n"/>
      <c r="FIN88" s="587" t="n"/>
      <c r="FIO88" s="587" t="n"/>
      <c r="FIP88" s="587" t="n"/>
      <c r="FIQ88" s="587" t="n"/>
      <c r="FIR88" s="587" t="n"/>
      <c r="FIS88" s="587" t="n"/>
      <c r="FIT88" s="587" t="n"/>
      <c r="FIU88" s="587" t="n"/>
      <c r="FIV88" s="587" t="n"/>
      <c r="FIW88" s="587" t="n"/>
      <c r="FIX88" s="587" t="n"/>
      <c r="FIY88" s="587" t="n"/>
      <c r="FIZ88" s="587" t="n"/>
      <c r="FJA88" s="587" t="n"/>
      <c r="FJB88" s="587" t="n"/>
      <c r="FJC88" s="587" t="n"/>
      <c r="FJD88" s="587" t="n"/>
      <c r="FJE88" s="587" t="n"/>
      <c r="FJF88" s="587" t="n"/>
      <c r="FJG88" s="587" t="n"/>
      <c r="FJH88" s="587" t="n"/>
      <c r="FJI88" s="587" t="n"/>
      <c r="FJJ88" s="587" t="n"/>
      <c r="FJK88" s="587" t="n"/>
      <c r="FJL88" s="587" t="n"/>
      <c r="FJM88" s="587" t="n"/>
      <c r="FJN88" s="587" t="n"/>
      <c r="FJO88" s="587" t="n"/>
      <c r="FJP88" s="587" t="n"/>
      <c r="FJQ88" s="587" t="n"/>
      <c r="FJR88" s="587" t="n"/>
      <c r="FJS88" s="587" t="n"/>
      <c r="FJT88" s="587" t="n"/>
      <c r="FJU88" s="587" t="n"/>
      <c r="FJV88" s="587" t="n"/>
      <c r="FJW88" s="587" t="n"/>
      <c r="FJX88" s="587" t="n"/>
      <c r="FJY88" s="587" t="n"/>
      <c r="FJZ88" s="587" t="n"/>
      <c r="FKA88" s="587" t="n"/>
      <c r="FKB88" s="587" t="n"/>
      <c r="FKC88" s="587" t="n"/>
      <c r="FKD88" s="587" t="n"/>
      <c r="FKE88" s="587" t="n"/>
      <c r="FKF88" s="587" t="n"/>
      <c r="FKG88" s="587" t="n"/>
      <c r="FKH88" s="587" t="n"/>
      <c r="FKI88" s="587" t="n"/>
      <c r="FKJ88" s="587" t="n"/>
      <c r="FKK88" s="587" t="n"/>
      <c r="FKL88" s="587" t="n"/>
      <c r="FKM88" s="587" t="n"/>
      <c r="FKN88" s="587" t="n"/>
      <c r="FKO88" s="587" t="n"/>
      <c r="FKP88" s="587" t="n"/>
      <c r="FKQ88" s="587" t="n"/>
      <c r="FKR88" s="587" t="n"/>
      <c r="FKS88" s="587" t="n"/>
      <c r="FKT88" s="587" t="n"/>
      <c r="FKU88" s="587" t="n"/>
      <c r="FKV88" s="587" t="n"/>
      <c r="FKW88" s="587" t="n"/>
      <c r="FKX88" s="587" t="n"/>
      <c r="FKY88" s="587" t="n"/>
      <c r="FKZ88" s="587" t="n"/>
      <c r="FLA88" s="587" t="n"/>
      <c r="FLB88" s="587" t="n"/>
      <c r="FLC88" s="587" t="n"/>
      <c r="FLD88" s="587" t="n"/>
      <c r="FLE88" s="587" t="n"/>
      <c r="FLF88" s="587" t="n"/>
      <c r="FLG88" s="587" t="n"/>
      <c r="FLH88" s="587" t="n"/>
      <c r="FLI88" s="587" t="n"/>
      <c r="FLJ88" s="587" t="n"/>
      <c r="FLK88" s="587" t="n"/>
      <c r="FLL88" s="587" t="n"/>
      <c r="FLM88" s="587" t="n"/>
      <c r="FLN88" s="587" t="n"/>
      <c r="FLO88" s="587" t="n"/>
      <c r="FLP88" s="587" t="n"/>
      <c r="FLQ88" s="587" t="n"/>
      <c r="FLR88" s="587" t="n"/>
      <c r="FLS88" s="587" t="n"/>
      <c r="FLT88" s="587" t="n"/>
      <c r="FLU88" s="587" t="n"/>
      <c r="FLV88" s="587" t="n"/>
      <c r="FLW88" s="587" t="n"/>
      <c r="FLX88" s="587" t="n"/>
      <c r="FLY88" s="587" t="n"/>
      <c r="FLZ88" s="587" t="n"/>
      <c r="FMA88" s="587" t="n"/>
      <c r="FMB88" s="587" t="n"/>
      <c r="FMC88" s="587" t="n"/>
      <c r="FMD88" s="587" t="n"/>
      <c r="FME88" s="587" t="n"/>
      <c r="FMF88" s="587" t="n"/>
      <c r="FMG88" s="587" t="n"/>
      <c r="FMH88" s="587" t="n"/>
      <c r="FMI88" s="587" t="n"/>
      <c r="FMJ88" s="587" t="n"/>
      <c r="FMK88" s="587" t="n"/>
      <c r="FML88" s="587" t="n"/>
      <c r="FMM88" s="587" t="n"/>
      <c r="FMN88" s="587" t="n"/>
      <c r="FMO88" s="587" t="n"/>
      <c r="FMP88" s="587" t="n"/>
      <c r="FMQ88" s="587" t="n"/>
      <c r="FMR88" s="587" t="n"/>
      <c r="FMS88" s="587" t="n"/>
      <c r="FMT88" s="587" t="n"/>
      <c r="FMU88" s="587" t="n"/>
      <c r="FMV88" s="587" t="n"/>
      <c r="FMW88" s="587" t="n"/>
      <c r="FMX88" s="587" t="n"/>
      <c r="FMY88" s="587" t="n"/>
      <c r="FMZ88" s="587" t="n"/>
      <c r="FNA88" s="587" t="n"/>
      <c r="FNB88" s="587" t="n"/>
      <c r="FNC88" s="587" t="n"/>
      <c r="FND88" s="587" t="n"/>
      <c r="FNE88" s="587" t="n"/>
      <c r="FNF88" s="587" t="n"/>
      <c r="FNG88" s="587" t="n"/>
      <c r="FNH88" s="587" t="n"/>
      <c r="FNI88" s="587" t="n"/>
      <c r="FNJ88" s="587" t="n"/>
      <c r="FNK88" s="587" t="n"/>
      <c r="FNL88" s="587" t="n"/>
      <c r="FNM88" s="587" t="n"/>
      <c r="FNN88" s="587" t="n"/>
      <c r="FNO88" s="587" t="n"/>
      <c r="FNP88" s="587" t="n"/>
      <c r="FNQ88" s="587" t="n"/>
      <c r="FNR88" s="587" t="n"/>
      <c r="FNS88" s="587" t="n"/>
      <c r="FNT88" s="587" t="n"/>
      <c r="FNU88" s="587" t="n"/>
      <c r="FNV88" s="587" t="n"/>
      <c r="FNW88" s="587" t="n"/>
      <c r="FNX88" s="587" t="n"/>
      <c r="FNY88" s="587" t="n"/>
      <c r="FNZ88" s="587" t="n"/>
      <c r="FOA88" s="587" t="n"/>
      <c r="FOB88" s="587" t="n"/>
      <c r="FOC88" s="587" t="n"/>
      <c r="FOD88" s="587" t="n"/>
      <c r="FOE88" s="587" t="n"/>
      <c r="FOF88" s="587" t="n"/>
      <c r="FOG88" s="587" t="n"/>
      <c r="FOH88" s="587" t="n"/>
      <c r="FOI88" s="587" t="n"/>
      <c r="FOJ88" s="587" t="n"/>
      <c r="FOK88" s="587" t="n"/>
      <c r="FOL88" s="587" t="n"/>
      <c r="FOM88" s="587" t="n"/>
      <c r="FON88" s="587" t="n"/>
      <c r="FOO88" s="587" t="n"/>
      <c r="FOP88" s="587" t="n"/>
      <c r="FOQ88" s="587" t="n"/>
      <c r="FOR88" s="587" t="n"/>
      <c r="FOS88" s="587" t="n"/>
      <c r="FOT88" s="587" t="n"/>
      <c r="FOU88" s="587" t="n"/>
      <c r="FOV88" s="587" t="n"/>
      <c r="FOW88" s="587" t="n"/>
      <c r="FOX88" s="587" t="n"/>
      <c r="FOY88" s="587" t="n"/>
      <c r="FOZ88" s="587" t="n"/>
      <c r="FPA88" s="587" t="n"/>
      <c r="FPB88" s="587" t="n"/>
      <c r="FPC88" s="587" t="n"/>
      <c r="FPD88" s="587" t="n"/>
      <c r="FPE88" s="587" t="n"/>
      <c r="FPF88" s="587" t="n"/>
      <c r="FPG88" s="587" t="n"/>
      <c r="FPH88" s="587" t="n"/>
      <c r="FPI88" s="587" t="n"/>
      <c r="FPJ88" s="587" t="n"/>
      <c r="FPK88" s="587" t="n"/>
      <c r="FPL88" s="587" t="n"/>
      <c r="FPM88" s="587" t="n"/>
      <c r="FPN88" s="587" t="n"/>
      <c r="FPO88" s="587" t="n"/>
      <c r="FPP88" s="587" t="n"/>
      <c r="FPQ88" s="587" t="n"/>
      <c r="FPR88" s="587" t="n"/>
      <c r="FPS88" s="587" t="n"/>
      <c r="FPT88" s="587" t="n"/>
      <c r="FPU88" s="587" t="n"/>
      <c r="FPV88" s="587" t="n"/>
      <c r="FPW88" s="587" t="n"/>
      <c r="FPX88" s="587" t="n"/>
      <c r="FPY88" s="587" t="n"/>
      <c r="FPZ88" s="587" t="n"/>
      <c r="FQA88" s="587" t="n"/>
      <c r="FQB88" s="587" t="n"/>
      <c r="FQC88" s="587" t="n"/>
      <c r="FQD88" s="587" t="n"/>
      <c r="FQE88" s="587" t="n"/>
      <c r="FQF88" s="587" t="n"/>
      <c r="FQG88" s="587" t="n"/>
      <c r="FQH88" s="587" t="n"/>
      <c r="FQI88" s="587" t="n"/>
      <c r="FQJ88" s="587" t="n"/>
      <c r="FQK88" s="587" t="n"/>
      <c r="FQL88" s="587" t="n"/>
      <c r="FQM88" s="587" t="n"/>
      <c r="FQN88" s="587" t="n"/>
      <c r="FQO88" s="587" t="n"/>
      <c r="FQP88" s="587" t="n"/>
      <c r="FQQ88" s="587" t="n"/>
      <c r="FQR88" s="587" t="n"/>
      <c r="FQS88" s="587" t="n"/>
      <c r="FQT88" s="587" t="n"/>
      <c r="FQU88" s="587" t="n"/>
      <c r="FQV88" s="587" t="n"/>
      <c r="FQW88" s="587" t="n"/>
      <c r="FQX88" s="587" t="n"/>
      <c r="FQY88" s="587" t="n"/>
      <c r="FQZ88" s="587" t="n"/>
      <c r="FRA88" s="587" t="n"/>
      <c r="FRB88" s="587" t="n"/>
      <c r="FRC88" s="587" t="n"/>
      <c r="FRD88" s="587" t="n"/>
      <c r="FRE88" s="587" t="n"/>
      <c r="FRF88" s="587" t="n"/>
      <c r="FRG88" s="587" t="n"/>
      <c r="FRH88" s="587" t="n"/>
      <c r="FRI88" s="587" t="n"/>
      <c r="FRJ88" s="587" t="n"/>
      <c r="FRK88" s="587" t="n"/>
      <c r="FRL88" s="587" t="n"/>
      <c r="FRM88" s="587" t="n"/>
      <c r="FRN88" s="587" t="n"/>
      <c r="FRO88" s="587" t="n"/>
      <c r="FRP88" s="587" t="n"/>
      <c r="FRQ88" s="587" t="n"/>
      <c r="FRR88" s="587" t="n"/>
      <c r="FRS88" s="587" t="n"/>
      <c r="FRT88" s="587" t="n"/>
      <c r="FRU88" s="587" t="n"/>
      <c r="FRV88" s="587" t="n"/>
      <c r="FRW88" s="587" t="n"/>
      <c r="FRX88" s="587" t="n"/>
      <c r="FRY88" s="587" t="n"/>
      <c r="FRZ88" s="587" t="n"/>
      <c r="FSA88" s="587" t="n"/>
      <c r="FSB88" s="587" t="n"/>
      <c r="FSC88" s="587" t="n"/>
      <c r="FSD88" s="587" t="n"/>
      <c r="FSE88" s="587" t="n"/>
      <c r="FSF88" s="587" t="n"/>
      <c r="FSG88" s="587" t="n"/>
      <c r="FSH88" s="587" t="n"/>
      <c r="FSI88" s="587" t="n"/>
      <c r="FSJ88" s="587" t="n"/>
      <c r="FSK88" s="587" t="n"/>
      <c r="FSL88" s="587" t="n"/>
      <c r="FSM88" s="587" t="n"/>
      <c r="FSN88" s="587" t="n"/>
      <c r="FSO88" s="587" t="n"/>
      <c r="FSP88" s="587" t="n"/>
      <c r="FSQ88" s="587" t="n"/>
      <c r="FSR88" s="587" t="n"/>
      <c r="FSS88" s="587" t="n"/>
      <c r="FST88" s="587" t="n"/>
      <c r="FSU88" s="587" t="n"/>
      <c r="FSV88" s="587" t="n"/>
      <c r="FSW88" s="587" t="n"/>
      <c r="FSX88" s="587" t="n"/>
      <c r="FSY88" s="587" t="n"/>
      <c r="FSZ88" s="587" t="n"/>
      <c r="FTA88" s="587" t="n"/>
      <c r="FTB88" s="587" t="n"/>
      <c r="FTC88" s="587" t="n"/>
      <c r="FTD88" s="587" t="n"/>
      <c r="FTE88" s="587" t="n"/>
      <c r="FTF88" s="587" t="n"/>
      <c r="FTG88" s="587" t="n"/>
      <c r="FTH88" s="587" t="n"/>
      <c r="FTI88" s="587" t="n"/>
      <c r="FTJ88" s="587" t="n"/>
      <c r="FTK88" s="587" t="n"/>
      <c r="FTL88" s="587" t="n"/>
      <c r="FTM88" s="587" t="n"/>
      <c r="FTN88" s="587" t="n"/>
      <c r="FTO88" s="587" t="n"/>
      <c r="FTP88" s="587" t="n"/>
      <c r="FTQ88" s="587" t="n"/>
      <c r="FTR88" s="587" t="n"/>
      <c r="FTS88" s="587" t="n"/>
      <c r="FTT88" s="587" t="n"/>
      <c r="FTU88" s="587" t="n"/>
      <c r="FTV88" s="587" t="n"/>
      <c r="FTW88" s="587" t="n"/>
      <c r="FTX88" s="587" t="n"/>
      <c r="FTY88" s="587" t="n"/>
      <c r="FTZ88" s="587" t="n"/>
      <c r="FUA88" s="587" t="n"/>
      <c r="FUB88" s="587" t="n"/>
      <c r="FUC88" s="587" t="n"/>
      <c r="FUD88" s="587" t="n"/>
      <c r="FUE88" s="587" t="n"/>
      <c r="FUF88" s="587" t="n"/>
      <c r="FUG88" s="587" t="n"/>
      <c r="FUH88" s="587" t="n"/>
      <c r="FUI88" s="587" t="n"/>
      <c r="FUJ88" s="587" t="n"/>
      <c r="FUK88" s="587" t="n"/>
      <c r="FUL88" s="587" t="n"/>
      <c r="FUM88" s="587" t="n"/>
      <c r="FUN88" s="587" t="n"/>
      <c r="FUO88" s="587" t="n"/>
      <c r="FUP88" s="587" t="n"/>
      <c r="FUQ88" s="587" t="n"/>
      <c r="FUR88" s="587" t="n"/>
      <c r="FUS88" s="587" t="n"/>
      <c r="FUT88" s="587" t="n"/>
      <c r="FUU88" s="587" t="n"/>
      <c r="FUV88" s="587" t="n"/>
      <c r="FUW88" s="587" t="n"/>
      <c r="FUX88" s="587" t="n"/>
      <c r="FUY88" s="587" t="n"/>
      <c r="FUZ88" s="587" t="n"/>
      <c r="FVA88" s="587" t="n"/>
      <c r="FVB88" s="587" t="n"/>
      <c r="FVC88" s="587" t="n"/>
      <c r="FVD88" s="587" t="n"/>
      <c r="FVE88" s="587" t="n"/>
      <c r="FVF88" s="587" t="n"/>
      <c r="FVG88" s="587" t="n"/>
      <c r="FVH88" s="587" t="n"/>
      <c r="FVI88" s="587" t="n"/>
      <c r="FVJ88" s="587" t="n"/>
      <c r="FVK88" s="587" t="n"/>
      <c r="FVL88" s="587" t="n"/>
      <c r="FVM88" s="587" t="n"/>
      <c r="FVN88" s="587" t="n"/>
      <c r="FVO88" s="587" t="n"/>
      <c r="FVP88" s="587" t="n"/>
      <c r="FVQ88" s="587" t="n"/>
      <c r="FVR88" s="587" t="n"/>
      <c r="FVS88" s="587" t="n"/>
      <c r="FVT88" s="587" t="n"/>
      <c r="FVU88" s="587" t="n"/>
      <c r="FVV88" s="587" t="n"/>
      <c r="FVW88" s="587" t="n"/>
      <c r="FVX88" s="587" t="n"/>
      <c r="FVY88" s="587" t="n"/>
      <c r="FVZ88" s="587" t="n"/>
      <c r="FWA88" s="587" t="n"/>
      <c r="FWB88" s="587" t="n"/>
      <c r="FWC88" s="587" t="n"/>
      <c r="FWD88" s="587" t="n"/>
      <c r="FWE88" s="587" t="n"/>
      <c r="FWF88" s="587" t="n"/>
      <c r="FWG88" s="587" t="n"/>
      <c r="FWH88" s="587" t="n"/>
      <c r="FWI88" s="587" t="n"/>
      <c r="FWJ88" s="587" t="n"/>
      <c r="FWK88" s="587" t="n"/>
      <c r="FWL88" s="587" t="n"/>
      <c r="FWM88" s="587" t="n"/>
      <c r="FWN88" s="587" t="n"/>
      <c r="FWO88" s="587" t="n"/>
      <c r="FWP88" s="587" t="n"/>
      <c r="FWQ88" s="587" t="n"/>
      <c r="FWR88" s="587" t="n"/>
      <c r="FWS88" s="587" t="n"/>
      <c r="FWT88" s="587" t="n"/>
      <c r="FWU88" s="587" t="n"/>
      <c r="FWV88" s="587" t="n"/>
      <c r="FWW88" s="587" t="n"/>
      <c r="FWX88" s="587" t="n"/>
      <c r="FWY88" s="587" t="n"/>
      <c r="FWZ88" s="587" t="n"/>
      <c r="FXA88" s="587" t="n"/>
      <c r="FXB88" s="587" t="n"/>
      <c r="FXC88" s="587" t="n"/>
      <c r="FXD88" s="587" t="n"/>
      <c r="FXE88" s="587" t="n"/>
      <c r="FXF88" s="587" t="n"/>
      <c r="FXG88" s="587" t="n"/>
      <c r="FXH88" s="587" t="n"/>
      <c r="FXI88" s="587" t="n"/>
      <c r="FXJ88" s="587" t="n"/>
      <c r="FXK88" s="587" t="n"/>
      <c r="FXL88" s="587" t="n"/>
      <c r="FXM88" s="587" t="n"/>
      <c r="FXN88" s="587" t="n"/>
      <c r="FXO88" s="587" t="n"/>
      <c r="FXP88" s="587" t="n"/>
      <c r="FXQ88" s="587" t="n"/>
      <c r="FXR88" s="587" t="n"/>
      <c r="FXS88" s="587" t="n"/>
      <c r="FXT88" s="587" t="n"/>
      <c r="FXU88" s="587" t="n"/>
      <c r="FXV88" s="587" t="n"/>
      <c r="FXW88" s="587" t="n"/>
      <c r="FXX88" s="587" t="n"/>
      <c r="FXY88" s="587" t="n"/>
      <c r="FXZ88" s="587" t="n"/>
      <c r="FYA88" s="587" t="n"/>
      <c r="FYB88" s="587" t="n"/>
      <c r="FYC88" s="587" t="n"/>
      <c r="FYD88" s="587" t="n"/>
      <c r="FYE88" s="587" t="n"/>
      <c r="FYF88" s="587" t="n"/>
      <c r="FYG88" s="587" t="n"/>
      <c r="FYH88" s="587" t="n"/>
      <c r="FYI88" s="587" t="n"/>
      <c r="FYJ88" s="587" t="n"/>
      <c r="FYK88" s="587" t="n"/>
      <c r="FYL88" s="587" t="n"/>
      <c r="FYM88" s="587" t="n"/>
      <c r="FYN88" s="587" t="n"/>
      <c r="FYO88" s="587" t="n"/>
      <c r="FYP88" s="587" t="n"/>
      <c r="FYQ88" s="587" t="n"/>
      <c r="FYR88" s="587" t="n"/>
      <c r="FYS88" s="587" t="n"/>
      <c r="FYT88" s="587" t="n"/>
      <c r="FYU88" s="587" t="n"/>
      <c r="FYV88" s="587" t="n"/>
      <c r="FYW88" s="587" t="n"/>
      <c r="FYX88" s="587" t="n"/>
      <c r="FYY88" s="587" t="n"/>
      <c r="FYZ88" s="587" t="n"/>
      <c r="FZA88" s="587" t="n"/>
      <c r="FZB88" s="587" t="n"/>
      <c r="FZC88" s="587" t="n"/>
      <c r="FZD88" s="587" t="n"/>
      <c r="FZE88" s="587" t="n"/>
      <c r="FZF88" s="587" t="n"/>
      <c r="FZG88" s="587" t="n"/>
      <c r="FZH88" s="587" t="n"/>
      <c r="FZI88" s="587" t="n"/>
      <c r="FZJ88" s="587" t="n"/>
      <c r="FZK88" s="587" t="n"/>
      <c r="FZL88" s="587" t="n"/>
      <c r="FZM88" s="587" t="n"/>
      <c r="FZN88" s="587" t="n"/>
      <c r="FZO88" s="587" t="n"/>
      <c r="FZP88" s="587" t="n"/>
      <c r="FZQ88" s="587" t="n"/>
      <c r="FZR88" s="587" t="n"/>
      <c r="FZS88" s="587" t="n"/>
      <c r="FZT88" s="587" t="n"/>
      <c r="FZU88" s="587" t="n"/>
      <c r="FZV88" s="587" t="n"/>
      <c r="FZW88" s="587" t="n"/>
      <c r="FZX88" s="587" t="n"/>
      <c r="FZY88" s="587" t="n"/>
      <c r="FZZ88" s="587" t="n"/>
      <c r="GAA88" s="587" t="n"/>
      <c r="GAB88" s="587" t="n"/>
      <c r="GAC88" s="587" t="n"/>
      <c r="GAD88" s="587" t="n"/>
      <c r="GAE88" s="587" t="n"/>
      <c r="GAF88" s="587" t="n"/>
      <c r="GAG88" s="587" t="n"/>
      <c r="GAH88" s="587" t="n"/>
      <c r="GAI88" s="587" t="n"/>
      <c r="GAJ88" s="587" t="n"/>
      <c r="GAK88" s="587" t="n"/>
      <c r="GAL88" s="587" t="n"/>
      <c r="GAM88" s="587" t="n"/>
      <c r="GAN88" s="587" t="n"/>
      <c r="GAO88" s="587" t="n"/>
      <c r="GAP88" s="587" t="n"/>
      <c r="GAQ88" s="587" t="n"/>
      <c r="GAR88" s="587" t="n"/>
      <c r="GAS88" s="587" t="n"/>
      <c r="GAT88" s="587" t="n"/>
      <c r="GAU88" s="587" t="n"/>
      <c r="GAV88" s="587" t="n"/>
      <c r="GAW88" s="587" t="n"/>
      <c r="GAX88" s="587" t="n"/>
      <c r="GAY88" s="587" t="n"/>
      <c r="GAZ88" s="587" t="n"/>
      <c r="GBA88" s="587" t="n"/>
      <c r="GBB88" s="587" t="n"/>
      <c r="GBC88" s="587" t="n"/>
      <c r="GBD88" s="587" t="n"/>
      <c r="GBE88" s="587" t="n"/>
      <c r="GBF88" s="587" t="n"/>
      <c r="GBG88" s="587" t="n"/>
      <c r="GBH88" s="587" t="n"/>
      <c r="GBI88" s="587" t="n"/>
      <c r="GBJ88" s="587" t="n"/>
      <c r="GBK88" s="587" t="n"/>
      <c r="GBL88" s="587" t="n"/>
      <c r="GBM88" s="587" t="n"/>
      <c r="GBN88" s="587" t="n"/>
      <c r="GBO88" s="587" t="n"/>
      <c r="GBP88" s="587" t="n"/>
      <c r="GBQ88" s="587" t="n"/>
      <c r="GBR88" s="587" t="n"/>
      <c r="GBS88" s="587" t="n"/>
      <c r="GBT88" s="587" t="n"/>
      <c r="GBU88" s="587" t="n"/>
      <c r="GBV88" s="587" t="n"/>
      <c r="GBW88" s="587" t="n"/>
      <c r="GBX88" s="587" t="n"/>
      <c r="GBY88" s="587" t="n"/>
      <c r="GBZ88" s="587" t="n"/>
      <c r="GCA88" s="587" t="n"/>
      <c r="GCB88" s="587" t="n"/>
      <c r="GCC88" s="587" t="n"/>
      <c r="GCD88" s="587" t="n"/>
      <c r="GCE88" s="587" t="n"/>
      <c r="GCF88" s="587" t="n"/>
      <c r="GCG88" s="587" t="n"/>
      <c r="GCH88" s="587" t="n"/>
      <c r="GCI88" s="587" t="n"/>
      <c r="GCJ88" s="587" t="n"/>
      <c r="GCK88" s="587" t="n"/>
      <c r="GCL88" s="587" t="n"/>
      <c r="GCM88" s="587" t="n"/>
      <c r="GCN88" s="587" t="n"/>
      <c r="GCO88" s="587" t="n"/>
      <c r="GCP88" s="587" t="n"/>
      <c r="GCQ88" s="587" t="n"/>
      <c r="GCR88" s="587" t="n"/>
      <c r="GCS88" s="587" t="n"/>
      <c r="GCT88" s="587" t="n"/>
      <c r="GCU88" s="587" t="n"/>
      <c r="GCV88" s="587" t="n"/>
      <c r="GCW88" s="587" t="n"/>
      <c r="GCX88" s="587" t="n"/>
      <c r="GCY88" s="587" t="n"/>
      <c r="GCZ88" s="587" t="n"/>
      <c r="GDA88" s="587" t="n"/>
      <c r="GDB88" s="587" t="n"/>
      <c r="GDC88" s="587" t="n"/>
      <c r="GDD88" s="587" t="n"/>
      <c r="GDE88" s="587" t="n"/>
      <c r="GDF88" s="587" t="n"/>
      <c r="GDG88" s="587" t="n"/>
      <c r="GDH88" s="587" t="n"/>
      <c r="GDI88" s="587" t="n"/>
      <c r="GDJ88" s="587" t="n"/>
      <c r="GDK88" s="587" t="n"/>
      <c r="GDL88" s="587" t="n"/>
      <c r="GDM88" s="587" t="n"/>
      <c r="GDN88" s="587" t="n"/>
      <c r="GDO88" s="587" t="n"/>
      <c r="GDP88" s="587" t="n"/>
      <c r="GDQ88" s="587" t="n"/>
      <c r="GDR88" s="587" t="n"/>
      <c r="GDS88" s="587" t="n"/>
      <c r="GDT88" s="587" t="n"/>
      <c r="GDU88" s="587" t="n"/>
      <c r="GDV88" s="587" t="n"/>
      <c r="GDW88" s="587" t="n"/>
      <c r="GDX88" s="587" t="n"/>
      <c r="GDY88" s="587" t="n"/>
      <c r="GDZ88" s="587" t="n"/>
      <c r="GEA88" s="587" t="n"/>
      <c r="GEB88" s="587" t="n"/>
      <c r="GEC88" s="587" t="n"/>
      <c r="GED88" s="587" t="n"/>
      <c r="GEE88" s="587" t="n"/>
      <c r="GEF88" s="587" t="n"/>
      <c r="GEG88" s="587" t="n"/>
      <c r="GEH88" s="587" t="n"/>
      <c r="GEI88" s="587" t="n"/>
      <c r="GEJ88" s="587" t="n"/>
      <c r="GEK88" s="587" t="n"/>
      <c r="GEL88" s="587" t="n"/>
      <c r="GEM88" s="587" t="n"/>
      <c r="GEN88" s="587" t="n"/>
      <c r="GEO88" s="587" t="n"/>
      <c r="GEP88" s="587" t="n"/>
      <c r="GEQ88" s="587" t="n"/>
      <c r="GER88" s="587" t="n"/>
      <c r="GES88" s="587" t="n"/>
      <c r="GET88" s="587" t="n"/>
      <c r="GEU88" s="587" t="n"/>
      <c r="GEV88" s="587" t="n"/>
      <c r="GEW88" s="587" t="n"/>
      <c r="GEX88" s="587" t="n"/>
      <c r="GEY88" s="587" t="n"/>
      <c r="GEZ88" s="587" t="n"/>
      <c r="GFA88" s="587" t="n"/>
      <c r="GFB88" s="587" t="n"/>
      <c r="GFC88" s="587" t="n"/>
      <c r="GFD88" s="587" t="n"/>
      <c r="GFE88" s="587" t="n"/>
      <c r="GFF88" s="587" t="n"/>
      <c r="GFG88" s="587" t="n"/>
      <c r="GFH88" s="587" t="n"/>
      <c r="GFI88" s="587" t="n"/>
      <c r="GFJ88" s="587" t="n"/>
      <c r="GFK88" s="587" t="n"/>
      <c r="GFL88" s="587" t="n"/>
      <c r="GFM88" s="587" t="n"/>
      <c r="GFN88" s="587" t="n"/>
      <c r="GFO88" s="587" t="n"/>
      <c r="GFP88" s="587" t="n"/>
      <c r="GFQ88" s="587" t="n"/>
      <c r="GFR88" s="587" t="n"/>
      <c r="GFS88" s="587" t="n"/>
      <c r="GFT88" s="587" t="n"/>
      <c r="GFU88" s="587" t="n"/>
      <c r="GFV88" s="587" t="n"/>
      <c r="GFW88" s="587" t="n"/>
      <c r="GFX88" s="587" t="n"/>
      <c r="GFY88" s="587" t="n"/>
      <c r="GFZ88" s="587" t="n"/>
      <c r="GGA88" s="587" t="n"/>
      <c r="GGB88" s="587" t="n"/>
      <c r="GGC88" s="587" t="n"/>
      <c r="GGD88" s="587" t="n"/>
      <c r="GGE88" s="587" t="n"/>
      <c r="GGF88" s="587" t="n"/>
      <c r="GGG88" s="587" t="n"/>
      <c r="GGH88" s="587" t="n"/>
      <c r="GGI88" s="587" t="n"/>
      <c r="GGJ88" s="587" t="n"/>
      <c r="GGK88" s="587" t="n"/>
      <c r="GGL88" s="587" t="n"/>
      <c r="GGM88" s="587" t="n"/>
      <c r="GGN88" s="587" t="n"/>
      <c r="GGO88" s="587" t="n"/>
      <c r="GGP88" s="587" t="n"/>
      <c r="GGQ88" s="587" t="n"/>
      <c r="GGR88" s="587" t="n"/>
      <c r="GGS88" s="587" t="n"/>
      <c r="GGT88" s="587" t="n"/>
      <c r="GGU88" s="587" t="n"/>
      <c r="GGV88" s="587" t="n"/>
      <c r="GGW88" s="587" t="n"/>
      <c r="GGX88" s="587" t="n"/>
      <c r="GGY88" s="587" t="n"/>
      <c r="GGZ88" s="587" t="n"/>
      <c r="GHA88" s="587" t="n"/>
      <c r="GHB88" s="587" t="n"/>
      <c r="GHC88" s="587" t="n"/>
      <c r="GHD88" s="587" t="n"/>
      <c r="GHE88" s="587" t="n"/>
      <c r="GHF88" s="587" t="n"/>
      <c r="GHG88" s="587" t="n"/>
      <c r="GHH88" s="587" t="n"/>
      <c r="GHI88" s="587" t="n"/>
      <c r="GHJ88" s="587" t="n"/>
      <c r="GHK88" s="587" t="n"/>
      <c r="GHL88" s="587" t="n"/>
      <c r="GHM88" s="587" t="n"/>
      <c r="GHN88" s="587" t="n"/>
      <c r="GHO88" s="587" t="n"/>
      <c r="GHP88" s="587" t="n"/>
      <c r="GHQ88" s="587" t="n"/>
      <c r="GHR88" s="587" t="n"/>
      <c r="GHS88" s="587" t="n"/>
      <c r="GHT88" s="587" t="n"/>
      <c r="GHU88" s="587" t="n"/>
      <c r="GHV88" s="587" t="n"/>
      <c r="GHW88" s="587" t="n"/>
      <c r="GHX88" s="587" t="n"/>
      <c r="GHY88" s="587" t="n"/>
      <c r="GHZ88" s="587" t="n"/>
      <c r="GIA88" s="587" t="n"/>
      <c r="GIB88" s="587" t="n"/>
      <c r="GIC88" s="587" t="n"/>
      <c r="GID88" s="587" t="n"/>
      <c r="GIE88" s="587" t="n"/>
      <c r="GIF88" s="587" t="n"/>
      <c r="GIG88" s="587" t="n"/>
      <c r="GIH88" s="587" t="n"/>
      <c r="GII88" s="587" t="n"/>
      <c r="GIJ88" s="587" t="n"/>
      <c r="GIK88" s="587" t="n"/>
      <c r="GIL88" s="587" t="n"/>
      <c r="GIM88" s="587" t="n"/>
      <c r="GIN88" s="587" t="n"/>
      <c r="GIO88" s="587" t="n"/>
      <c r="GIP88" s="587" t="n"/>
      <c r="GIQ88" s="587" t="n"/>
      <c r="GIR88" s="587" t="n"/>
      <c r="GIS88" s="587" t="n"/>
      <c r="GIT88" s="587" t="n"/>
      <c r="GIU88" s="587" t="n"/>
      <c r="GIV88" s="587" t="n"/>
      <c r="GIW88" s="587" t="n"/>
      <c r="GIX88" s="587" t="n"/>
      <c r="GIY88" s="587" t="n"/>
      <c r="GIZ88" s="587" t="n"/>
      <c r="GJA88" s="587" t="n"/>
      <c r="GJB88" s="587" t="n"/>
      <c r="GJC88" s="587" t="n"/>
      <c r="GJD88" s="587" t="n"/>
      <c r="GJE88" s="587" t="n"/>
      <c r="GJF88" s="587" t="n"/>
      <c r="GJG88" s="587" t="n"/>
      <c r="GJH88" s="587" t="n"/>
      <c r="GJI88" s="587" t="n"/>
      <c r="GJJ88" s="587" t="n"/>
      <c r="GJK88" s="587" t="n"/>
      <c r="GJL88" s="587" t="n"/>
      <c r="GJM88" s="587" t="n"/>
      <c r="GJN88" s="587" t="n"/>
      <c r="GJO88" s="587" t="n"/>
      <c r="GJP88" s="587" t="n"/>
      <c r="GJQ88" s="587" t="n"/>
      <c r="GJR88" s="587" t="n"/>
      <c r="GJS88" s="587" t="n"/>
      <c r="GJT88" s="587" t="n"/>
      <c r="GJU88" s="587" t="n"/>
      <c r="GJV88" s="587" t="n"/>
      <c r="GJW88" s="587" t="n"/>
      <c r="GJX88" s="587" t="n"/>
      <c r="GJY88" s="587" t="n"/>
      <c r="GJZ88" s="587" t="n"/>
      <c r="GKA88" s="587" t="n"/>
      <c r="GKB88" s="587" t="n"/>
      <c r="GKC88" s="587" t="n"/>
      <c r="GKD88" s="587" t="n"/>
      <c r="GKE88" s="587" t="n"/>
      <c r="GKF88" s="587" t="n"/>
      <c r="GKG88" s="587" t="n"/>
      <c r="GKH88" s="587" t="n"/>
      <c r="GKI88" s="587" t="n"/>
      <c r="GKJ88" s="587" t="n"/>
      <c r="GKK88" s="587" t="n"/>
      <c r="GKL88" s="587" t="n"/>
      <c r="GKM88" s="587" t="n"/>
      <c r="GKN88" s="587" t="n"/>
      <c r="GKO88" s="587" t="n"/>
      <c r="GKP88" s="587" t="n"/>
      <c r="GKQ88" s="587" t="n"/>
      <c r="GKR88" s="587" t="n"/>
      <c r="GKS88" s="587" t="n"/>
      <c r="GKT88" s="587" t="n"/>
      <c r="GKU88" s="587" t="n"/>
      <c r="GKV88" s="587" t="n"/>
      <c r="GKW88" s="587" t="n"/>
      <c r="GKX88" s="587" t="n"/>
      <c r="GKY88" s="587" t="n"/>
      <c r="GKZ88" s="587" t="n"/>
      <c r="GLA88" s="587" t="n"/>
      <c r="GLB88" s="587" t="n"/>
      <c r="GLC88" s="587" t="n"/>
      <c r="GLD88" s="587" t="n"/>
      <c r="GLE88" s="587" t="n"/>
      <c r="GLF88" s="587" t="n"/>
      <c r="GLG88" s="587" t="n"/>
      <c r="GLH88" s="587" t="n"/>
      <c r="GLI88" s="587" t="n"/>
      <c r="GLJ88" s="587" t="n"/>
      <c r="GLK88" s="587" t="n"/>
      <c r="GLL88" s="587" t="n"/>
      <c r="GLM88" s="587" t="n"/>
      <c r="GLN88" s="587" t="n"/>
      <c r="GLO88" s="587" t="n"/>
      <c r="GLP88" s="587" t="n"/>
      <c r="GLQ88" s="587" t="n"/>
      <c r="GLR88" s="587" t="n"/>
      <c r="GLS88" s="587" t="n"/>
      <c r="GLT88" s="587" t="n"/>
      <c r="GLU88" s="587" t="n"/>
      <c r="GLV88" s="587" t="n"/>
      <c r="GLW88" s="587" t="n"/>
      <c r="GLX88" s="587" t="n"/>
      <c r="GLY88" s="587" t="n"/>
      <c r="GLZ88" s="587" t="n"/>
      <c r="GMA88" s="587" t="n"/>
      <c r="GMB88" s="587" t="n"/>
      <c r="GMC88" s="587" t="n"/>
      <c r="GMD88" s="587" t="n"/>
      <c r="GME88" s="587" t="n"/>
      <c r="GMF88" s="587" t="n"/>
      <c r="GMG88" s="587" t="n"/>
      <c r="GMH88" s="587" t="n"/>
      <c r="GMI88" s="587" t="n"/>
      <c r="GMJ88" s="587" t="n"/>
      <c r="GMK88" s="587" t="n"/>
      <c r="GML88" s="587" t="n"/>
      <c r="GMM88" s="587" t="n"/>
      <c r="GMN88" s="587" t="n"/>
      <c r="GMO88" s="587" t="n"/>
      <c r="GMP88" s="587" t="n"/>
      <c r="GMQ88" s="587" t="n"/>
      <c r="GMR88" s="587" t="n"/>
      <c r="GMS88" s="587" t="n"/>
      <c r="GMT88" s="587" t="n"/>
      <c r="GMU88" s="587" t="n"/>
      <c r="GMV88" s="587" t="n"/>
      <c r="GMW88" s="587" t="n"/>
      <c r="GMX88" s="587" t="n"/>
      <c r="GMY88" s="587" t="n"/>
      <c r="GMZ88" s="587" t="n"/>
      <c r="GNA88" s="587" t="n"/>
      <c r="GNB88" s="587" t="n"/>
      <c r="GNC88" s="587" t="n"/>
      <c r="GND88" s="587" t="n"/>
      <c r="GNE88" s="587" t="n"/>
      <c r="GNF88" s="587" t="n"/>
      <c r="GNG88" s="587" t="n"/>
      <c r="GNH88" s="587" t="n"/>
      <c r="GNI88" s="587" t="n"/>
      <c r="GNJ88" s="587" t="n"/>
      <c r="GNK88" s="587" t="n"/>
      <c r="GNL88" s="587" t="n"/>
      <c r="GNM88" s="587" t="n"/>
      <c r="GNN88" s="587" t="n"/>
      <c r="GNO88" s="587" t="n"/>
      <c r="GNP88" s="587" t="n"/>
      <c r="GNQ88" s="587" t="n"/>
      <c r="GNR88" s="587" t="n"/>
      <c r="GNS88" s="587" t="n"/>
      <c r="GNT88" s="587" t="n"/>
      <c r="GNU88" s="587" t="n"/>
      <c r="GNV88" s="587" t="n"/>
      <c r="GNW88" s="587" t="n"/>
      <c r="GNX88" s="587" t="n"/>
      <c r="GNY88" s="587" t="n"/>
      <c r="GNZ88" s="587" t="n"/>
      <c r="GOA88" s="587" t="n"/>
      <c r="GOB88" s="587" t="n"/>
      <c r="GOC88" s="587" t="n"/>
      <c r="GOD88" s="587" t="n"/>
      <c r="GOE88" s="587" t="n"/>
      <c r="GOF88" s="587" t="n"/>
      <c r="GOG88" s="587" t="n"/>
      <c r="GOH88" s="587" t="n"/>
      <c r="GOI88" s="587" t="n"/>
      <c r="GOJ88" s="587" t="n"/>
      <c r="GOK88" s="587" t="n"/>
      <c r="GOL88" s="587" t="n"/>
      <c r="GOM88" s="587" t="n"/>
      <c r="GON88" s="587" t="n"/>
      <c r="GOO88" s="587" t="n"/>
      <c r="GOP88" s="587" t="n"/>
      <c r="GOQ88" s="587" t="n"/>
      <c r="GOR88" s="587" t="n"/>
      <c r="GOS88" s="587" t="n"/>
      <c r="GOT88" s="587" t="n"/>
      <c r="GOU88" s="587" t="n"/>
      <c r="GOV88" s="587" t="n"/>
      <c r="GOW88" s="587" t="n"/>
      <c r="GOX88" s="587" t="n"/>
      <c r="GOY88" s="587" t="n"/>
      <c r="GOZ88" s="587" t="n"/>
      <c r="GPA88" s="587" t="n"/>
      <c r="GPB88" s="587" t="n"/>
      <c r="GPC88" s="587" t="n"/>
      <c r="GPD88" s="587" t="n"/>
      <c r="GPE88" s="587" t="n"/>
      <c r="GPF88" s="587" t="n"/>
      <c r="GPG88" s="587" t="n"/>
      <c r="GPH88" s="587" t="n"/>
      <c r="GPI88" s="587" t="n"/>
      <c r="GPJ88" s="587" t="n"/>
      <c r="GPK88" s="587" t="n"/>
      <c r="GPL88" s="587" t="n"/>
      <c r="GPM88" s="587" t="n"/>
      <c r="GPN88" s="587" t="n"/>
      <c r="GPO88" s="587" t="n"/>
      <c r="GPP88" s="587" t="n"/>
      <c r="GPQ88" s="587" t="n"/>
      <c r="GPR88" s="587" t="n"/>
      <c r="GPS88" s="587" t="n"/>
      <c r="GPT88" s="587" t="n"/>
      <c r="GPU88" s="587" t="n"/>
      <c r="GPV88" s="587" t="n"/>
      <c r="GPW88" s="587" t="n"/>
      <c r="GPX88" s="587" t="n"/>
      <c r="GPY88" s="587" t="n"/>
      <c r="GPZ88" s="587" t="n"/>
      <c r="GQA88" s="587" t="n"/>
      <c r="GQB88" s="587" t="n"/>
      <c r="GQC88" s="587" t="n"/>
      <c r="GQD88" s="587" t="n"/>
      <c r="GQE88" s="587" t="n"/>
      <c r="GQF88" s="587" t="n"/>
      <c r="GQG88" s="587" t="n"/>
      <c r="GQH88" s="587" t="n"/>
      <c r="GQI88" s="587" t="n"/>
      <c r="GQJ88" s="587" t="n"/>
      <c r="GQK88" s="587" t="n"/>
      <c r="GQL88" s="587" t="n"/>
      <c r="GQM88" s="587" t="n"/>
      <c r="GQN88" s="587" t="n"/>
      <c r="GQO88" s="587" t="n"/>
      <c r="GQP88" s="587" t="n"/>
      <c r="GQQ88" s="587" t="n"/>
      <c r="GQR88" s="587" t="n"/>
      <c r="GQS88" s="587" t="n"/>
      <c r="GQT88" s="587" t="n"/>
      <c r="GQU88" s="587" t="n"/>
      <c r="GQV88" s="587" t="n"/>
      <c r="GQW88" s="587" t="n"/>
      <c r="GQX88" s="587" t="n"/>
      <c r="GQY88" s="587" t="n"/>
      <c r="GQZ88" s="587" t="n"/>
      <c r="GRA88" s="587" t="n"/>
      <c r="GRB88" s="587" t="n"/>
      <c r="GRC88" s="587" t="n"/>
      <c r="GRD88" s="587" t="n"/>
      <c r="GRE88" s="587" t="n"/>
      <c r="GRF88" s="587" t="n"/>
      <c r="GRG88" s="587" t="n"/>
      <c r="GRH88" s="587" t="n"/>
      <c r="GRI88" s="587" t="n"/>
      <c r="GRJ88" s="587" t="n"/>
      <c r="GRK88" s="587" t="n"/>
      <c r="GRL88" s="587" t="n"/>
      <c r="GRM88" s="587" t="n"/>
      <c r="GRN88" s="587" t="n"/>
      <c r="GRO88" s="587" t="n"/>
      <c r="GRP88" s="587" t="n"/>
      <c r="GRQ88" s="587" t="n"/>
      <c r="GRR88" s="587" t="n"/>
      <c r="GRS88" s="587" t="n"/>
      <c r="GRT88" s="587" t="n"/>
      <c r="GRU88" s="587" t="n"/>
      <c r="GRV88" s="587" t="n"/>
      <c r="GRW88" s="587" t="n"/>
      <c r="GRX88" s="587" t="n"/>
      <c r="GRY88" s="587" t="n"/>
      <c r="GRZ88" s="587" t="n"/>
      <c r="GSA88" s="587" t="n"/>
      <c r="GSB88" s="587" t="n"/>
      <c r="GSC88" s="587" t="n"/>
      <c r="GSD88" s="587" t="n"/>
      <c r="GSE88" s="587" t="n"/>
      <c r="GSF88" s="587" t="n"/>
      <c r="GSG88" s="587" t="n"/>
      <c r="GSH88" s="587" t="n"/>
      <c r="GSI88" s="587" t="n"/>
      <c r="GSJ88" s="587" t="n"/>
      <c r="GSK88" s="587" t="n"/>
      <c r="GSL88" s="587" t="n"/>
      <c r="GSM88" s="587" t="n"/>
      <c r="GSN88" s="587" t="n"/>
      <c r="GSO88" s="587" t="n"/>
      <c r="GSP88" s="587" t="n"/>
      <c r="GSQ88" s="587" t="n"/>
      <c r="GSR88" s="587" t="n"/>
      <c r="GSS88" s="587" t="n"/>
      <c r="GST88" s="587" t="n"/>
      <c r="GSU88" s="587" t="n"/>
      <c r="GSV88" s="587" t="n"/>
      <c r="GSW88" s="587" t="n"/>
      <c r="GSX88" s="587" t="n"/>
      <c r="GSY88" s="587" t="n"/>
      <c r="GSZ88" s="587" t="n"/>
      <c r="GTA88" s="587" t="n"/>
      <c r="GTB88" s="587" t="n"/>
      <c r="GTC88" s="587" t="n"/>
      <c r="GTD88" s="587" t="n"/>
      <c r="GTE88" s="587" t="n"/>
      <c r="GTF88" s="587" t="n"/>
      <c r="GTG88" s="587" t="n"/>
      <c r="GTH88" s="587" t="n"/>
      <c r="GTI88" s="587" t="n"/>
      <c r="GTJ88" s="587" t="n"/>
      <c r="GTK88" s="587" t="n"/>
      <c r="GTL88" s="587" t="n"/>
      <c r="GTM88" s="587" t="n"/>
      <c r="GTN88" s="587" t="n"/>
      <c r="GTO88" s="587" t="n"/>
      <c r="GTP88" s="587" t="n"/>
      <c r="GTQ88" s="587" t="n"/>
      <c r="GTR88" s="587" t="n"/>
      <c r="GTS88" s="587" t="n"/>
      <c r="GTT88" s="587" t="n"/>
      <c r="GTU88" s="587" t="n"/>
      <c r="GTV88" s="587" t="n"/>
      <c r="GTW88" s="587" t="n"/>
      <c r="GTX88" s="587" t="n"/>
      <c r="GTY88" s="587" t="n"/>
      <c r="GTZ88" s="587" t="n"/>
      <c r="GUA88" s="587" t="n"/>
      <c r="GUB88" s="587" t="n"/>
      <c r="GUC88" s="587" t="n"/>
      <c r="GUD88" s="587" t="n"/>
      <c r="GUE88" s="587" t="n"/>
      <c r="GUF88" s="587" t="n"/>
      <c r="GUG88" s="587" t="n"/>
      <c r="GUH88" s="587" t="n"/>
      <c r="GUI88" s="587" t="n"/>
      <c r="GUJ88" s="587" t="n"/>
      <c r="GUK88" s="587" t="n"/>
      <c r="GUL88" s="587" t="n"/>
      <c r="GUM88" s="587" t="n"/>
      <c r="GUN88" s="587" t="n"/>
      <c r="GUO88" s="587" t="n"/>
      <c r="GUP88" s="587" t="n"/>
      <c r="GUQ88" s="587" t="n"/>
      <c r="GUR88" s="587" t="n"/>
      <c r="GUS88" s="587" t="n"/>
      <c r="GUT88" s="587" t="n"/>
      <c r="GUU88" s="587" t="n"/>
      <c r="GUV88" s="587" t="n"/>
      <c r="GUW88" s="587" t="n"/>
      <c r="GUX88" s="587" t="n"/>
      <c r="GUY88" s="587" t="n"/>
      <c r="GUZ88" s="587" t="n"/>
      <c r="GVA88" s="587" t="n"/>
      <c r="GVB88" s="587" t="n"/>
      <c r="GVC88" s="587" t="n"/>
      <c r="GVD88" s="587" t="n"/>
      <c r="GVE88" s="587" t="n"/>
      <c r="GVF88" s="587" t="n"/>
      <c r="GVG88" s="587" t="n"/>
      <c r="GVH88" s="587" t="n"/>
      <c r="GVI88" s="587" t="n"/>
      <c r="GVJ88" s="587" t="n"/>
      <c r="GVK88" s="587" t="n"/>
      <c r="GVL88" s="587" t="n"/>
      <c r="GVM88" s="587" t="n"/>
      <c r="GVN88" s="587" t="n"/>
      <c r="GVO88" s="587" t="n"/>
      <c r="GVP88" s="587" t="n"/>
      <c r="GVQ88" s="587" t="n"/>
      <c r="GVR88" s="587" t="n"/>
      <c r="GVS88" s="587" t="n"/>
      <c r="GVT88" s="587" t="n"/>
      <c r="GVU88" s="587" t="n"/>
      <c r="GVV88" s="587" t="n"/>
      <c r="GVW88" s="587" t="n"/>
      <c r="GVX88" s="587" t="n"/>
      <c r="GVY88" s="587" t="n"/>
      <c r="GVZ88" s="587" t="n"/>
      <c r="GWA88" s="587" t="n"/>
      <c r="GWB88" s="587" t="n"/>
      <c r="GWC88" s="587" t="n"/>
      <c r="GWD88" s="587" t="n"/>
      <c r="GWE88" s="587" t="n"/>
      <c r="GWF88" s="587" t="n"/>
      <c r="GWG88" s="587" t="n"/>
      <c r="GWH88" s="587" t="n"/>
      <c r="GWI88" s="587" t="n"/>
      <c r="GWJ88" s="587" t="n"/>
      <c r="GWK88" s="587" t="n"/>
      <c r="GWL88" s="587" t="n"/>
      <c r="GWM88" s="587" t="n"/>
      <c r="GWN88" s="587" t="n"/>
      <c r="GWO88" s="587" t="n"/>
      <c r="GWP88" s="587" t="n"/>
      <c r="GWQ88" s="587" t="n"/>
      <c r="GWR88" s="587" t="n"/>
      <c r="GWS88" s="587" t="n"/>
      <c r="GWT88" s="587" t="n"/>
      <c r="GWU88" s="587" t="n"/>
      <c r="GWV88" s="587" t="n"/>
      <c r="GWW88" s="587" t="n"/>
      <c r="GWX88" s="587" t="n"/>
      <c r="GWY88" s="587" t="n"/>
      <c r="GWZ88" s="587" t="n"/>
      <c r="GXA88" s="587" t="n"/>
      <c r="GXB88" s="587" t="n"/>
      <c r="GXC88" s="587" t="n"/>
      <c r="GXD88" s="587" t="n"/>
      <c r="GXE88" s="587" t="n"/>
      <c r="GXF88" s="587" t="n"/>
      <c r="GXG88" s="587" t="n"/>
      <c r="GXH88" s="587" t="n"/>
      <c r="GXI88" s="587" t="n"/>
      <c r="GXJ88" s="587" t="n"/>
      <c r="GXK88" s="587" t="n"/>
      <c r="GXL88" s="587" t="n"/>
      <c r="GXM88" s="587" t="n"/>
      <c r="GXN88" s="587" t="n"/>
      <c r="GXO88" s="587" t="n"/>
      <c r="GXP88" s="587" t="n"/>
      <c r="GXQ88" s="587" t="n"/>
      <c r="GXR88" s="587" t="n"/>
      <c r="GXS88" s="587" t="n"/>
      <c r="GXT88" s="587" t="n"/>
      <c r="GXU88" s="587" t="n"/>
      <c r="GXV88" s="587" t="n"/>
      <c r="GXW88" s="587" t="n"/>
      <c r="GXX88" s="587" t="n"/>
      <c r="GXY88" s="587" t="n"/>
      <c r="GXZ88" s="587" t="n"/>
      <c r="GYA88" s="587" t="n"/>
      <c r="GYB88" s="587" t="n"/>
      <c r="GYC88" s="587" t="n"/>
      <c r="GYD88" s="587" t="n"/>
      <c r="GYE88" s="587" t="n"/>
      <c r="GYF88" s="587" t="n"/>
      <c r="GYG88" s="587" t="n"/>
      <c r="GYH88" s="587" t="n"/>
      <c r="GYI88" s="587" t="n"/>
      <c r="GYJ88" s="587" t="n"/>
      <c r="GYK88" s="587" t="n"/>
      <c r="GYL88" s="587" t="n"/>
      <c r="GYM88" s="587" t="n"/>
      <c r="GYN88" s="587" t="n"/>
      <c r="GYO88" s="587" t="n"/>
      <c r="GYP88" s="587" t="n"/>
      <c r="GYQ88" s="587" t="n"/>
      <c r="GYR88" s="587" t="n"/>
      <c r="GYS88" s="587" t="n"/>
      <c r="GYT88" s="587" t="n"/>
      <c r="GYU88" s="587" t="n"/>
      <c r="GYV88" s="587" t="n"/>
      <c r="GYW88" s="587" t="n"/>
      <c r="GYX88" s="587" t="n"/>
      <c r="GYY88" s="587" t="n"/>
      <c r="GYZ88" s="587" t="n"/>
      <c r="GZA88" s="587" t="n"/>
      <c r="GZB88" s="587" t="n"/>
      <c r="GZC88" s="587" t="n"/>
      <c r="GZD88" s="587" t="n"/>
      <c r="GZE88" s="587" t="n"/>
      <c r="GZF88" s="587" t="n"/>
      <c r="GZG88" s="587" t="n"/>
      <c r="GZH88" s="587" t="n"/>
      <c r="GZI88" s="587" t="n"/>
      <c r="GZJ88" s="587" t="n"/>
      <c r="GZK88" s="587" t="n"/>
      <c r="GZL88" s="587" t="n"/>
      <c r="GZM88" s="587" t="n"/>
      <c r="GZN88" s="587" t="n"/>
      <c r="GZO88" s="587" t="n"/>
      <c r="GZP88" s="587" t="n"/>
      <c r="GZQ88" s="587" t="n"/>
      <c r="GZR88" s="587" t="n"/>
      <c r="GZS88" s="587" t="n"/>
      <c r="GZT88" s="587" t="n"/>
      <c r="GZU88" s="587" t="n"/>
      <c r="GZV88" s="587" t="n"/>
      <c r="GZW88" s="587" t="n"/>
      <c r="GZX88" s="587" t="n"/>
      <c r="GZY88" s="587" t="n"/>
      <c r="GZZ88" s="587" t="n"/>
      <c r="HAA88" s="587" t="n"/>
      <c r="HAB88" s="587" t="n"/>
      <c r="HAC88" s="587" t="n"/>
      <c r="HAD88" s="587" t="n"/>
      <c r="HAE88" s="587" t="n"/>
      <c r="HAF88" s="587" t="n"/>
      <c r="HAG88" s="587" t="n"/>
      <c r="HAH88" s="587" t="n"/>
      <c r="HAI88" s="587" t="n"/>
      <c r="HAJ88" s="587" t="n"/>
      <c r="HAK88" s="587" t="n"/>
      <c r="HAL88" s="587" t="n"/>
      <c r="HAM88" s="587" t="n"/>
      <c r="HAN88" s="587" t="n"/>
      <c r="HAO88" s="587" t="n"/>
      <c r="HAP88" s="587" t="n"/>
      <c r="HAQ88" s="587" t="n"/>
      <c r="HAR88" s="587" t="n"/>
      <c r="HAS88" s="587" t="n"/>
      <c r="HAT88" s="587" t="n"/>
      <c r="HAU88" s="587" t="n"/>
      <c r="HAV88" s="587" t="n"/>
      <c r="HAW88" s="587" t="n"/>
      <c r="HAX88" s="587" t="n"/>
      <c r="HAY88" s="587" t="n"/>
      <c r="HAZ88" s="587" t="n"/>
      <c r="HBA88" s="587" t="n"/>
      <c r="HBB88" s="587" t="n"/>
      <c r="HBC88" s="587" t="n"/>
      <c r="HBD88" s="587" t="n"/>
      <c r="HBE88" s="587" t="n"/>
      <c r="HBF88" s="587" t="n"/>
      <c r="HBG88" s="587" t="n"/>
      <c r="HBH88" s="587" t="n"/>
      <c r="HBI88" s="587" t="n"/>
      <c r="HBJ88" s="587" t="n"/>
      <c r="HBK88" s="587" t="n"/>
      <c r="HBL88" s="587" t="n"/>
      <c r="HBM88" s="587" t="n"/>
      <c r="HBN88" s="587" t="n"/>
      <c r="HBO88" s="587" t="n"/>
      <c r="HBP88" s="587" t="n"/>
      <c r="HBQ88" s="587" t="n"/>
      <c r="HBR88" s="587" t="n"/>
      <c r="HBS88" s="587" t="n"/>
      <c r="HBT88" s="587" t="n"/>
      <c r="HBU88" s="587" t="n"/>
      <c r="HBV88" s="587" t="n"/>
      <c r="HBW88" s="587" t="n"/>
      <c r="HBX88" s="587" t="n"/>
      <c r="HBY88" s="587" t="n"/>
      <c r="HBZ88" s="587" t="n"/>
      <c r="HCA88" s="587" t="n"/>
      <c r="HCB88" s="587" t="n"/>
      <c r="HCC88" s="587" t="n"/>
      <c r="HCD88" s="587" t="n"/>
      <c r="HCE88" s="587" t="n"/>
      <c r="HCF88" s="587" t="n"/>
      <c r="HCG88" s="587" t="n"/>
      <c r="HCH88" s="587" t="n"/>
      <c r="HCI88" s="587" t="n"/>
      <c r="HCJ88" s="587" t="n"/>
      <c r="HCK88" s="587" t="n"/>
      <c r="HCL88" s="587" t="n"/>
      <c r="HCM88" s="587" t="n"/>
      <c r="HCN88" s="587" t="n"/>
      <c r="HCO88" s="587" t="n"/>
      <c r="HCP88" s="587" t="n"/>
      <c r="HCQ88" s="587" t="n"/>
      <c r="HCR88" s="587" t="n"/>
      <c r="HCS88" s="587" t="n"/>
      <c r="HCT88" s="587" t="n"/>
      <c r="HCU88" s="587" t="n"/>
      <c r="HCV88" s="587" t="n"/>
      <c r="HCW88" s="587" t="n"/>
      <c r="HCX88" s="587" t="n"/>
      <c r="HCY88" s="587" t="n"/>
      <c r="HCZ88" s="587" t="n"/>
      <c r="HDA88" s="587" t="n"/>
      <c r="HDB88" s="587" t="n"/>
      <c r="HDC88" s="587" t="n"/>
      <c r="HDD88" s="587" t="n"/>
      <c r="HDE88" s="587" t="n"/>
      <c r="HDF88" s="587" t="n"/>
      <c r="HDG88" s="587" t="n"/>
      <c r="HDH88" s="587" t="n"/>
      <c r="HDI88" s="587" t="n"/>
      <c r="HDJ88" s="587" t="n"/>
      <c r="HDK88" s="587" t="n"/>
      <c r="HDL88" s="587" t="n"/>
      <c r="HDM88" s="587" t="n"/>
      <c r="HDN88" s="587" t="n"/>
      <c r="HDO88" s="587" t="n"/>
      <c r="HDP88" s="587" t="n"/>
      <c r="HDQ88" s="587" t="n"/>
      <c r="HDR88" s="587" t="n"/>
      <c r="HDS88" s="587" t="n"/>
      <c r="HDT88" s="587" t="n"/>
      <c r="HDU88" s="587" t="n"/>
      <c r="HDV88" s="587" t="n"/>
      <c r="HDW88" s="587" t="n"/>
      <c r="HDX88" s="587" t="n"/>
      <c r="HDY88" s="587" t="n"/>
      <c r="HDZ88" s="587" t="n"/>
      <c r="HEA88" s="587" t="n"/>
      <c r="HEB88" s="587" t="n"/>
      <c r="HEC88" s="587" t="n"/>
      <c r="HED88" s="587" t="n"/>
      <c r="HEE88" s="587" t="n"/>
      <c r="HEF88" s="587" t="n"/>
      <c r="HEG88" s="587" t="n"/>
      <c r="HEH88" s="587" t="n"/>
      <c r="HEI88" s="587" t="n"/>
      <c r="HEJ88" s="587" t="n"/>
      <c r="HEK88" s="587" t="n"/>
      <c r="HEL88" s="587" t="n"/>
      <c r="HEM88" s="587" t="n"/>
      <c r="HEN88" s="587" t="n"/>
      <c r="HEO88" s="587" t="n"/>
      <c r="HEP88" s="587" t="n"/>
      <c r="HEQ88" s="587" t="n"/>
      <c r="HER88" s="587" t="n"/>
      <c r="HES88" s="587" t="n"/>
      <c r="HET88" s="587" t="n"/>
      <c r="HEU88" s="587" t="n"/>
      <c r="HEV88" s="587" t="n"/>
      <c r="HEW88" s="587" t="n"/>
      <c r="HEX88" s="587" t="n"/>
      <c r="HEY88" s="587" t="n"/>
      <c r="HEZ88" s="587" t="n"/>
      <c r="HFA88" s="587" t="n"/>
      <c r="HFB88" s="587" t="n"/>
      <c r="HFC88" s="587" t="n"/>
      <c r="HFD88" s="587" t="n"/>
      <c r="HFE88" s="587" t="n"/>
      <c r="HFF88" s="587" t="n"/>
      <c r="HFG88" s="587" t="n"/>
      <c r="HFH88" s="587" t="n"/>
      <c r="HFI88" s="587" t="n"/>
      <c r="HFJ88" s="587" t="n"/>
      <c r="HFK88" s="587" t="n"/>
      <c r="HFL88" s="587" t="n"/>
      <c r="HFM88" s="587" t="n"/>
      <c r="HFN88" s="587" t="n"/>
      <c r="HFO88" s="587" t="n"/>
      <c r="HFP88" s="587" t="n"/>
      <c r="HFQ88" s="587" t="n"/>
      <c r="HFR88" s="587" t="n"/>
      <c r="HFS88" s="587" t="n"/>
      <c r="HFT88" s="587" t="n"/>
      <c r="HFU88" s="587" t="n"/>
      <c r="HFV88" s="587" t="n"/>
      <c r="HFW88" s="587" t="n"/>
      <c r="HFX88" s="587" t="n"/>
      <c r="HFY88" s="587" t="n"/>
      <c r="HFZ88" s="587" t="n"/>
      <c r="HGA88" s="587" t="n"/>
      <c r="HGB88" s="587" t="n"/>
      <c r="HGC88" s="587" t="n"/>
      <c r="HGD88" s="587" t="n"/>
      <c r="HGE88" s="587" t="n"/>
      <c r="HGF88" s="587" t="n"/>
      <c r="HGG88" s="587" t="n"/>
      <c r="HGH88" s="587" t="n"/>
      <c r="HGI88" s="587" t="n"/>
      <c r="HGJ88" s="587" t="n"/>
      <c r="HGK88" s="587" t="n"/>
      <c r="HGL88" s="587" t="n"/>
      <c r="HGM88" s="587" t="n"/>
      <c r="HGN88" s="587" t="n"/>
      <c r="HGO88" s="587" t="n"/>
      <c r="HGP88" s="587" t="n"/>
      <c r="HGQ88" s="587" t="n"/>
      <c r="HGR88" s="587" t="n"/>
      <c r="HGS88" s="587" t="n"/>
      <c r="HGT88" s="587" t="n"/>
      <c r="HGU88" s="587" t="n"/>
      <c r="HGV88" s="587" t="n"/>
      <c r="HGW88" s="587" t="n"/>
      <c r="HGX88" s="587" t="n"/>
      <c r="HGY88" s="587" t="n"/>
      <c r="HGZ88" s="587" t="n"/>
      <c r="HHA88" s="587" t="n"/>
      <c r="HHB88" s="587" t="n"/>
      <c r="HHC88" s="587" t="n"/>
      <c r="HHD88" s="587" t="n"/>
      <c r="HHE88" s="587" t="n"/>
      <c r="HHF88" s="587" t="n"/>
      <c r="HHG88" s="587" t="n"/>
      <c r="HHH88" s="587" t="n"/>
      <c r="HHI88" s="587" t="n"/>
      <c r="HHJ88" s="587" t="n"/>
      <c r="HHK88" s="587" t="n"/>
      <c r="HHL88" s="587" t="n"/>
      <c r="HHM88" s="587" t="n"/>
      <c r="HHN88" s="587" t="n"/>
      <c r="HHO88" s="587" t="n"/>
      <c r="HHP88" s="587" t="n"/>
      <c r="HHQ88" s="587" t="n"/>
      <c r="HHR88" s="587" t="n"/>
      <c r="HHS88" s="587" t="n"/>
      <c r="HHT88" s="587" t="n"/>
      <c r="HHU88" s="587" t="n"/>
      <c r="HHV88" s="587" t="n"/>
      <c r="HHW88" s="587" t="n"/>
      <c r="HHX88" s="587" t="n"/>
      <c r="HHY88" s="587" t="n"/>
      <c r="HHZ88" s="587" t="n"/>
      <c r="HIA88" s="587" t="n"/>
      <c r="HIB88" s="587" t="n"/>
      <c r="HIC88" s="587" t="n"/>
      <c r="HID88" s="587" t="n"/>
      <c r="HIE88" s="587" t="n"/>
      <c r="HIF88" s="587" t="n"/>
      <c r="HIG88" s="587" t="n"/>
      <c r="HIH88" s="587" t="n"/>
      <c r="HII88" s="587" t="n"/>
      <c r="HIJ88" s="587" t="n"/>
      <c r="HIK88" s="587" t="n"/>
      <c r="HIL88" s="587" t="n"/>
      <c r="HIM88" s="587" t="n"/>
      <c r="HIN88" s="587" t="n"/>
      <c r="HIO88" s="587" t="n"/>
      <c r="HIP88" s="587" t="n"/>
      <c r="HIQ88" s="587" t="n"/>
      <c r="HIR88" s="587" t="n"/>
      <c r="HIS88" s="587" t="n"/>
      <c r="HIT88" s="587" t="n"/>
      <c r="HIU88" s="587" t="n"/>
      <c r="HIV88" s="587" t="n"/>
      <c r="HIW88" s="587" t="n"/>
      <c r="HIX88" s="587" t="n"/>
      <c r="HIY88" s="587" t="n"/>
      <c r="HIZ88" s="587" t="n"/>
      <c r="HJA88" s="587" t="n"/>
      <c r="HJB88" s="587" t="n"/>
      <c r="HJC88" s="587" t="n"/>
      <c r="HJD88" s="587" t="n"/>
      <c r="HJE88" s="587" t="n"/>
      <c r="HJF88" s="587" t="n"/>
      <c r="HJG88" s="587" t="n"/>
      <c r="HJH88" s="587" t="n"/>
      <c r="HJI88" s="587" t="n"/>
      <c r="HJJ88" s="587" t="n"/>
      <c r="HJK88" s="587" t="n"/>
      <c r="HJL88" s="587" t="n"/>
      <c r="HJM88" s="587" t="n"/>
      <c r="HJN88" s="587" t="n"/>
      <c r="HJO88" s="587" t="n"/>
      <c r="HJP88" s="587" t="n"/>
      <c r="HJQ88" s="587" t="n"/>
      <c r="HJR88" s="587" t="n"/>
      <c r="HJS88" s="587" t="n"/>
      <c r="HJT88" s="587" t="n"/>
      <c r="HJU88" s="587" t="n"/>
      <c r="HJV88" s="587" t="n"/>
      <c r="HJW88" s="587" t="n"/>
      <c r="HJX88" s="587" t="n"/>
      <c r="HJY88" s="587" t="n"/>
      <c r="HJZ88" s="587" t="n"/>
      <c r="HKA88" s="587" t="n"/>
      <c r="HKB88" s="587" t="n"/>
      <c r="HKC88" s="587" t="n"/>
      <c r="HKD88" s="587" t="n"/>
      <c r="HKE88" s="587" t="n"/>
      <c r="HKF88" s="587" t="n"/>
      <c r="HKG88" s="587" t="n"/>
      <c r="HKH88" s="587" t="n"/>
      <c r="HKI88" s="587" t="n"/>
      <c r="HKJ88" s="587" t="n"/>
      <c r="HKK88" s="587" t="n"/>
      <c r="HKL88" s="587" t="n"/>
      <c r="HKM88" s="587" t="n"/>
      <c r="HKN88" s="587" t="n"/>
      <c r="HKO88" s="587" t="n"/>
      <c r="HKP88" s="587" t="n"/>
      <c r="HKQ88" s="587" t="n"/>
      <c r="HKR88" s="587" t="n"/>
      <c r="HKS88" s="587" t="n"/>
      <c r="HKT88" s="587" t="n"/>
      <c r="HKU88" s="587" t="n"/>
      <c r="HKV88" s="587" t="n"/>
      <c r="HKW88" s="587" t="n"/>
      <c r="HKX88" s="587" t="n"/>
      <c r="HKY88" s="587" t="n"/>
      <c r="HKZ88" s="587" t="n"/>
      <c r="HLA88" s="587" t="n"/>
      <c r="HLB88" s="587" t="n"/>
      <c r="HLC88" s="587" t="n"/>
      <c r="HLD88" s="587" t="n"/>
      <c r="HLE88" s="587" t="n"/>
      <c r="HLF88" s="587" t="n"/>
      <c r="HLG88" s="587" t="n"/>
      <c r="HLH88" s="587" t="n"/>
      <c r="HLI88" s="587" t="n"/>
      <c r="HLJ88" s="587" t="n"/>
      <c r="HLK88" s="587" t="n"/>
      <c r="HLL88" s="587" t="n"/>
      <c r="HLM88" s="587" t="n"/>
      <c r="HLN88" s="587" t="n"/>
      <c r="HLO88" s="587" t="n"/>
      <c r="HLP88" s="587" t="n"/>
      <c r="HLQ88" s="587" t="n"/>
      <c r="HLR88" s="587" t="n"/>
      <c r="HLS88" s="587" t="n"/>
      <c r="HLT88" s="587" t="n"/>
      <c r="HLU88" s="587" t="n"/>
      <c r="HLV88" s="587" t="n"/>
      <c r="HLW88" s="587" t="n"/>
      <c r="HLX88" s="587" t="n"/>
      <c r="HLY88" s="587" t="n"/>
      <c r="HLZ88" s="587" t="n"/>
      <c r="HMA88" s="587" t="n"/>
      <c r="HMB88" s="587" t="n"/>
      <c r="HMC88" s="587" t="n"/>
      <c r="HMD88" s="587" t="n"/>
      <c r="HME88" s="587" t="n"/>
      <c r="HMF88" s="587" t="n"/>
      <c r="HMG88" s="587" t="n"/>
      <c r="HMH88" s="587" t="n"/>
      <c r="HMI88" s="587" t="n"/>
      <c r="HMJ88" s="587" t="n"/>
      <c r="HMK88" s="587" t="n"/>
      <c r="HML88" s="587" t="n"/>
      <c r="HMM88" s="587" t="n"/>
      <c r="HMN88" s="587" t="n"/>
      <c r="HMO88" s="587" t="n"/>
      <c r="HMP88" s="587" t="n"/>
      <c r="HMQ88" s="587" t="n"/>
      <c r="HMR88" s="587" t="n"/>
      <c r="HMS88" s="587" t="n"/>
      <c r="HMT88" s="587" t="n"/>
      <c r="HMU88" s="587" t="n"/>
      <c r="HMV88" s="587" t="n"/>
      <c r="HMW88" s="587" t="n"/>
      <c r="HMX88" s="587" t="n"/>
      <c r="HMY88" s="587" t="n"/>
      <c r="HMZ88" s="587" t="n"/>
      <c r="HNA88" s="587" t="n"/>
      <c r="HNB88" s="587" t="n"/>
      <c r="HNC88" s="587" t="n"/>
      <c r="HND88" s="587" t="n"/>
      <c r="HNE88" s="587" t="n"/>
      <c r="HNF88" s="587" t="n"/>
      <c r="HNG88" s="587" t="n"/>
      <c r="HNH88" s="587" t="n"/>
      <c r="HNI88" s="587" t="n"/>
      <c r="HNJ88" s="587" t="n"/>
      <c r="HNK88" s="587" t="n"/>
      <c r="HNL88" s="587" t="n"/>
      <c r="HNM88" s="587" t="n"/>
      <c r="HNN88" s="587" t="n"/>
      <c r="HNO88" s="587" t="n"/>
      <c r="HNP88" s="587" t="n"/>
      <c r="HNQ88" s="587" t="n"/>
      <c r="HNR88" s="587" t="n"/>
      <c r="HNS88" s="587" t="n"/>
      <c r="HNT88" s="587" t="n"/>
      <c r="HNU88" s="587" t="n"/>
      <c r="HNV88" s="587" t="n"/>
      <c r="HNW88" s="587" t="n"/>
      <c r="HNX88" s="587" t="n"/>
      <c r="HNY88" s="587" t="n"/>
      <c r="HNZ88" s="587" t="n"/>
      <c r="HOA88" s="587" t="n"/>
      <c r="HOB88" s="587" t="n"/>
      <c r="HOC88" s="587" t="n"/>
      <c r="HOD88" s="587" t="n"/>
      <c r="HOE88" s="587" t="n"/>
      <c r="HOF88" s="587" t="n"/>
      <c r="HOG88" s="587" t="n"/>
      <c r="HOH88" s="587" t="n"/>
      <c r="HOI88" s="587" t="n"/>
      <c r="HOJ88" s="587" t="n"/>
      <c r="HOK88" s="587" t="n"/>
      <c r="HOL88" s="587" t="n"/>
      <c r="HOM88" s="587" t="n"/>
      <c r="HON88" s="587" t="n"/>
      <c r="HOO88" s="587" t="n"/>
      <c r="HOP88" s="587" t="n"/>
      <c r="HOQ88" s="587" t="n"/>
      <c r="HOR88" s="587" t="n"/>
      <c r="HOS88" s="587" t="n"/>
      <c r="HOT88" s="587" t="n"/>
      <c r="HOU88" s="587" t="n"/>
      <c r="HOV88" s="587" t="n"/>
      <c r="HOW88" s="587" t="n"/>
      <c r="HOX88" s="587" t="n"/>
      <c r="HOY88" s="587" t="n"/>
      <c r="HOZ88" s="587" t="n"/>
      <c r="HPA88" s="587" t="n"/>
      <c r="HPB88" s="587" t="n"/>
      <c r="HPC88" s="587" t="n"/>
      <c r="HPD88" s="587" t="n"/>
      <c r="HPE88" s="587" t="n"/>
      <c r="HPF88" s="587" t="n"/>
      <c r="HPG88" s="587" t="n"/>
      <c r="HPH88" s="587" t="n"/>
      <c r="HPI88" s="587" t="n"/>
      <c r="HPJ88" s="587" t="n"/>
      <c r="HPK88" s="587" t="n"/>
      <c r="HPL88" s="587" t="n"/>
      <c r="HPM88" s="587" t="n"/>
      <c r="HPN88" s="587" t="n"/>
      <c r="HPO88" s="587" t="n"/>
      <c r="HPP88" s="587" t="n"/>
      <c r="HPQ88" s="587" t="n"/>
      <c r="HPR88" s="587" t="n"/>
      <c r="HPS88" s="587" t="n"/>
      <c r="HPT88" s="587" t="n"/>
      <c r="HPU88" s="587" t="n"/>
      <c r="HPV88" s="587" t="n"/>
      <c r="HPW88" s="587" t="n"/>
      <c r="HPX88" s="587" t="n"/>
      <c r="HPY88" s="587" t="n"/>
      <c r="HPZ88" s="587" t="n"/>
      <c r="HQA88" s="587" t="n"/>
      <c r="HQB88" s="587" t="n"/>
      <c r="HQC88" s="587" t="n"/>
      <c r="HQD88" s="587" t="n"/>
      <c r="HQE88" s="587" t="n"/>
      <c r="HQF88" s="587" t="n"/>
      <c r="HQG88" s="587" t="n"/>
      <c r="HQH88" s="587" t="n"/>
      <c r="HQI88" s="587" t="n"/>
      <c r="HQJ88" s="587" t="n"/>
      <c r="HQK88" s="587" t="n"/>
      <c r="HQL88" s="587" t="n"/>
      <c r="HQM88" s="587" t="n"/>
      <c r="HQN88" s="587" t="n"/>
      <c r="HQO88" s="587" t="n"/>
      <c r="HQP88" s="587" t="n"/>
      <c r="HQQ88" s="587" t="n"/>
      <c r="HQR88" s="587" t="n"/>
      <c r="HQS88" s="587" t="n"/>
      <c r="HQT88" s="587" t="n"/>
      <c r="HQU88" s="587" t="n"/>
      <c r="HQV88" s="587" t="n"/>
      <c r="HQW88" s="587" t="n"/>
      <c r="HQX88" s="587" t="n"/>
      <c r="HQY88" s="587" t="n"/>
      <c r="HQZ88" s="587" t="n"/>
      <c r="HRA88" s="587" t="n"/>
      <c r="HRB88" s="587" t="n"/>
      <c r="HRC88" s="587" t="n"/>
      <c r="HRD88" s="587" t="n"/>
      <c r="HRE88" s="587" t="n"/>
      <c r="HRF88" s="587" t="n"/>
      <c r="HRG88" s="587" t="n"/>
      <c r="HRH88" s="587" t="n"/>
      <c r="HRI88" s="587" t="n"/>
      <c r="HRJ88" s="587" t="n"/>
      <c r="HRK88" s="587" t="n"/>
      <c r="HRL88" s="587" t="n"/>
      <c r="HRM88" s="587" t="n"/>
      <c r="HRN88" s="587" t="n"/>
      <c r="HRO88" s="587" t="n"/>
      <c r="HRP88" s="587" t="n"/>
      <c r="HRQ88" s="587" t="n"/>
      <c r="HRR88" s="587" t="n"/>
      <c r="HRS88" s="587" t="n"/>
      <c r="HRT88" s="587" t="n"/>
      <c r="HRU88" s="587" t="n"/>
      <c r="HRV88" s="587" t="n"/>
      <c r="HRW88" s="587" t="n"/>
      <c r="HRX88" s="587" t="n"/>
      <c r="HRY88" s="587" t="n"/>
      <c r="HRZ88" s="587" t="n"/>
      <c r="HSA88" s="587" t="n"/>
      <c r="HSB88" s="587" t="n"/>
      <c r="HSC88" s="587" t="n"/>
      <c r="HSD88" s="587" t="n"/>
      <c r="HSE88" s="587" t="n"/>
      <c r="HSF88" s="587" t="n"/>
      <c r="HSG88" s="587" t="n"/>
      <c r="HSH88" s="587" t="n"/>
      <c r="HSI88" s="587" t="n"/>
      <c r="HSJ88" s="587" t="n"/>
      <c r="HSK88" s="587" t="n"/>
      <c r="HSL88" s="587" t="n"/>
      <c r="HSM88" s="587" t="n"/>
      <c r="HSN88" s="587" t="n"/>
      <c r="HSO88" s="587" t="n"/>
      <c r="HSP88" s="587" t="n"/>
      <c r="HSQ88" s="587" t="n"/>
      <c r="HSR88" s="587" t="n"/>
      <c r="HSS88" s="587" t="n"/>
      <c r="HST88" s="587" t="n"/>
      <c r="HSU88" s="587" t="n"/>
      <c r="HSV88" s="587" t="n"/>
      <c r="HSW88" s="587" t="n"/>
      <c r="HSX88" s="587" t="n"/>
      <c r="HSY88" s="587" t="n"/>
      <c r="HSZ88" s="587" t="n"/>
      <c r="HTA88" s="587" t="n"/>
      <c r="HTB88" s="587" t="n"/>
      <c r="HTC88" s="587" t="n"/>
      <c r="HTD88" s="587" t="n"/>
      <c r="HTE88" s="587" t="n"/>
      <c r="HTF88" s="587" t="n"/>
      <c r="HTG88" s="587" t="n"/>
      <c r="HTH88" s="587" t="n"/>
      <c r="HTI88" s="587" t="n"/>
      <c r="HTJ88" s="587" t="n"/>
      <c r="HTK88" s="587" t="n"/>
      <c r="HTL88" s="587" t="n"/>
      <c r="HTM88" s="587" t="n"/>
      <c r="HTN88" s="587" t="n"/>
      <c r="HTO88" s="587" t="n"/>
      <c r="HTP88" s="587" t="n"/>
      <c r="HTQ88" s="587" t="n"/>
      <c r="HTR88" s="587" t="n"/>
      <c r="HTS88" s="587" t="n"/>
      <c r="HTT88" s="587" t="n"/>
      <c r="HTU88" s="587" t="n"/>
      <c r="HTV88" s="587" t="n"/>
      <c r="HTW88" s="587" t="n"/>
      <c r="HTX88" s="587" t="n"/>
      <c r="HTY88" s="587" t="n"/>
      <c r="HTZ88" s="587" t="n"/>
      <c r="HUA88" s="587" t="n"/>
      <c r="HUB88" s="587" t="n"/>
      <c r="HUC88" s="587" t="n"/>
      <c r="HUD88" s="587" t="n"/>
      <c r="HUE88" s="587" t="n"/>
      <c r="HUF88" s="587" t="n"/>
      <c r="HUG88" s="587" t="n"/>
      <c r="HUH88" s="587" t="n"/>
      <c r="HUI88" s="587" t="n"/>
      <c r="HUJ88" s="587" t="n"/>
      <c r="HUK88" s="587" t="n"/>
      <c r="HUL88" s="587" t="n"/>
      <c r="HUM88" s="587" t="n"/>
      <c r="HUN88" s="587" t="n"/>
      <c r="HUO88" s="587" t="n"/>
      <c r="HUP88" s="587" t="n"/>
      <c r="HUQ88" s="587" t="n"/>
      <c r="HUR88" s="587" t="n"/>
      <c r="HUS88" s="587" t="n"/>
      <c r="HUT88" s="587" t="n"/>
      <c r="HUU88" s="587" t="n"/>
      <c r="HUV88" s="587" t="n"/>
      <c r="HUW88" s="587" t="n"/>
      <c r="HUX88" s="587" t="n"/>
      <c r="HUY88" s="587" t="n"/>
      <c r="HUZ88" s="587" t="n"/>
      <c r="HVA88" s="587" t="n"/>
      <c r="HVB88" s="587" t="n"/>
      <c r="HVC88" s="587" t="n"/>
      <c r="HVD88" s="587" t="n"/>
      <c r="HVE88" s="587" t="n"/>
      <c r="HVF88" s="587" t="n"/>
      <c r="HVG88" s="587" t="n"/>
      <c r="HVH88" s="587" t="n"/>
      <c r="HVI88" s="587" t="n"/>
      <c r="HVJ88" s="587" t="n"/>
      <c r="HVK88" s="587" t="n"/>
      <c r="HVL88" s="587" t="n"/>
      <c r="HVM88" s="587" t="n"/>
      <c r="HVN88" s="587" t="n"/>
      <c r="HVO88" s="587" t="n"/>
      <c r="HVP88" s="587" t="n"/>
      <c r="HVQ88" s="587" t="n"/>
      <c r="HVR88" s="587" t="n"/>
      <c r="HVS88" s="587" t="n"/>
      <c r="HVT88" s="587" t="n"/>
      <c r="HVU88" s="587" t="n"/>
      <c r="HVV88" s="587" t="n"/>
      <c r="HVW88" s="587" t="n"/>
      <c r="HVX88" s="587" t="n"/>
      <c r="HVY88" s="587" t="n"/>
      <c r="HVZ88" s="587" t="n"/>
      <c r="HWA88" s="587" t="n"/>
      <c r="HWB88" s="587" t="n"/>
      <c r="HWC88" s="587" t="n"/>
      <c r="HWD88" s="587" t="n"/>
      <c r="HWE88" s="587" t="n"/>
      <c r="HWF88" s="587" t="n"/>
      <c r="HWG88" s="587" t="n"/>
      <c r="HWH88" s="587" t="n"/>
      <c r="HWI88" s="587" t="n"/>
      <c r="HWJ88" s="587" t="n"/>
      <c r="HWK88" s="587" t="n"/>
      <c r="HWL88" s="587" t="n"/>
      <c r="HWM88" s="587" t="n"/>
      <c r="HWN88" s="587" t="n"/>
      <c r="HWO88" s="587" t="n"/>
      <c r="HWP88" s="587" t="n"/>
      <c r="HWQ88" s="587" t="n"/>
      <c r="HWR88" s="587" t="n"/>
      <c r="HWS88" s="587" t="n"/>
      <c r="HWT88" s="587" t="n"/>
      <c r="HWU88" s="587" t="n"/>
      <c r="HWV88" s="587" t="n"/>
      <c r="HWW88" s="587" t="n"/>
      <c r="HWX88" s="587" t="n"/>
      <c r="HWY88" s="587" t="n"/>
      <c r="HWZ88" s="587" t="n"/>
      <c r="HXA88" s="587" t="n"/>
      <c r="HXB88" s="587" t="n"/>
      <c r="HXC88" s="587" t="n"/>
      <c r="HXD88" s="587" t="n"/>
      <c r="HXE88" s="587" t="n"/>
      <c r="HXF88" s="587" t="n"/>
      <c r="HXG88" s="587" t="n"/>
      <c r="HXH88" s="587" t="n"/>
      <c r="HXI88" s="587" t="n"/>
      <c r="HXJ88" s="587" t="n"/>
      <c r="HXK88" s="587" t="n"/>
      <c r="HXL88" s="587" t="n"/>
      <c r="HXM88" s="587" t="n"/>
      <c r="HXN88" s="587" t="n"/>
      <c r="HXO88" s="587" t="n"/>
      <c r="HXP88" s="587" t="n"/>
      <c r="HXQ88" s="587" t="n"/>
      <c r="HXR88" s="587" t="n"/>
      <c r="HXS88" s="587" t="n"/>
      <c r="HXT88" s="587" t="n"/>
      <c r="HXU88" s="587" t="n"/>
      <c r="HXV88" s="587" t="n"/>
      <c r="HXW88" s="587" t="n"/>
      <c r="HXX88" s="587" t="n"/>
      <c r="HXY88" s="587" t="n"/>
      <c r="HXZ88" s="587" t="n"/>
      <c r="HYA88" s="587" t="n"/>
      <c r="HYB88" s="587" t="n"/>
      <c r="HYC88" s="587" t="n"/>
      <c r="HYD88" s="587" t="n"/>
      <c r="HYE88" s="587" t="n"/>
      <c r="HYF88" s="587" t="n"/>
      <c r="HYG88" s="587" t="n"/>
      <c r="HYH88" s="587" t="n"/>
      <c r="HYI88" s="587" t="n"/>
      <c r="HYJ88" s="587" t="n"/>
      <c r="HYK88" s="587" t="n"/>
      <c r="HYL88" s="587" t="n"/>
      <c r="HYM88" s="587" t="n"/>
      <c r="HYN88" s="587" t="n"/>
      <c r="HYO88" s="587" t="n"/>
      <c r="HYP88" s="587" t="n"/>
      <c r="HYQ88" s="587" t="n"/>
      <c r="HYR88" s="587" t="n"/>
      <c r="HYS88" s="587" t="n"/>
      <c r="HYT88" s="587" t="n"/>
      <c r="HYU88" s="587" t="n"/>
      <c r="HYV88" s="587" t="n"/>
      <c r="HYW88" s="587" t="n"/>
      <c r="HYX88" s="587" t="n"/>
      <c r="HYY88" s="587" t="n"/>
      <c r="HYZ88" s="587" t="n"/>
      <c r="HZA88" s="587" t="n"/>
      <c r="HZB88" s="587" t="n"/>
      <c r="HZC88" s="587" t="n"/>
      <c r="HZD88" s="587" t="n"/>
      <c r="HZE88" s="587" t="n"/>
      <c r="HZF88" s="587" t="n"/>
      <c r="HZG88" s="587" t="n"/>
      <c r="HZH88" s="587" t="n"/>
      <c r="HZI88" s="587" t="n"/>
      <c r="HZJ88" s="587" t="n"/>
      <c r="HZK88" s="587" t="n"/>
      <c r="HZL88" s="587" t="n"/>
      <c r="HZM88" s="587" t="n"/>
      <c r="HZN88" s="587" t="n"/>
      <c r="HZO88" s="587" t="n"/>
      <c r="HZP88" s="587" t="n"/>
      <c r="HZQ88" s="587" t="n"/>
      <c r="HZR88" s="587" t="n"/>
      <c r="HZS88" s="587" t="n"/>
      <c r="HZT88" s="587" t="n"/>
      <c r="HZU88" s="587" t="n"/>
      <c r="HZV88" s="587" t="n"/>
      <c r="HZW88" s="587" t="n"/>
      <c r="HZX88" s="587" t="n"/>
      <c r="HZY88" s="587" t="n"/>
      <c r="HZZ88" s="587" t="n"/>
      <c r="IAA88" s="587" t="n"/>
      <c r="IAB88" s="587" t="n"/>
      <c r="IAC88" s="587" t="n"/>
      <c r="IAD88" s="587" t="n"/>
      <c r="IAE88" s="587" t="n"/>
      <c r="IAF88" s="587" t="n"/>
      <c r="IAG88" s="587" t="n"/>
      <c r="IAH88" s="587" t="n"/>
      <c r="IAI88" s="587" t="n"/>
      <c r="IAJ88" s="587" t="n"/>
      <c r="IAK88" s="587" t="n"/>
      <c r="IAL88" s="587" t="n"/>
      <c r="IAM88" s="587" t="n"/>
      <c r="IAN88" s="587" t="n"/>
      <c r="IAO88" s="587" t="n"/>
      <c r="IAP88" s="587" t="n"/>
      <c r="IAQ88" s="587" t="n"/>
      <c r="IAR88" s="587" t="n"/>
      <c r="IAS88" s="587" t="n"/>
      <c r="IAT88" s="587" t="n"/>
      <c r="IAU88" s="587" t="n"/>
      <c r="IAV88" s="587" t="n"/>
      <c r="IAW88" s="587" t="n"/>
      <c r="IAX88" s="587" t="n"/>
      <c r="IAY88" s="587" t="n"/>
      <c r="IAZ88" s="587" t="n"/>
      <c r="IBA88" s="587" t="n"/>
      <c r="IBB88" s="587" t="n"/>
      <c r="IBC88" s="587" t="n"/>
      <c r="IBD88" s="587" t="n"/>
      <c r="IBE88" s="587" t="n"/>
      <c r="IBF88" s="587" t="n"/>
      <c r="IBG88" s="587" t="n"/>
      <c r="IBH88" s="587" t="n"/>
      <c r="IBI88" s="587" t="n"/>
      <c r="IBJ88" s="587" t="n"/>
      <c r="IBK88" s="587" t="n"/>
      <c r="IBL88" s="587" t="n"/>
      <c r="IBM88" s="587" t="n"/>
      <c r="IBN88" s="587" t="n"/>
      <c r="IBO88" s="587" t="n"/>
      <c r="IBP88" s="587" t="n"/>
      <c r="IBQ88" s="587" t="n"/>
      <c r="IBR88" s="587" t="n"/>
      <c r="IBS88" s="587" t="n"/>
      <c r="IBT88" s="587" t="n"/>
      <c r="IBU88" s="587" t="n"/>
      <c r="IBV88" s="587" t="n"/>
      <c r="IBW88" s="587" t="n"/>
      <c r="IBX88" s="587" t="n"/>
      <c r="IBY88" s="587" t="n"/>
      <c r="IBZ88" s="587" t="n"/>
      <c r="ICA88" s="587" t="n"/>
      <c r="ICB88" s="587" t="n"/>
      <c r="ICC88" s="587" t="n"/>
      <c r="ICD88" s="587" t="n"/>
      <c r="ICE88" s="587" t="n"/>
      <c r="ICF88" s="587" t="n"/>
      <c r="ICG88" s="587" t="n"/>
      <c r="ICH88" s="587" t="n"/>
      <c r="ICI88" s="587" t="n"/>
      <c r="ICJ88" s="587" t="n"/>
      <c r="ICK88" s="587" t="n"/>
      <c r="ICL88" s="587" t="n"/>
      <c r="ICM88" s="587" t="n"/>
      <c r="ICN88" s="587" t="n"/>
      <c r="ICO88" s="587" t="n"/>
      <c r="ICP88" s="587" t="n"/>
      <c r="ICQ88" s="587" t="n"/>
      <c r="ICR88" s="587" t="n"/>
      <c r="ICS88" s="587" t="n"/>
      <c r="ICT88" s="587" t="n"/>
      <c r="ICU88" s="587" t="n"/>
      <c r="ICV88" s="587" t="n"/>
      <c r="ICW88" s="587" t="n"/>
      <c r="ICX88" s="587" t="n"/>
      <c r="ICY88" s="587" t="n"/>
      <c r="ICZ88" s="587" t="n"/>
      <c r="IDA88" s="587" t="n"/>
      <c r="IDB88" s="587" t="n"/>
      <c r="IDC88" s="587" t="n"/>
      <c r="IDD88" s="587" t="n"/>
      <c r="IDE88" s="587" t="n"/>
      <c r="IDF88" s="587" t="n"/>
      <c r="IDG88" s="587" t="n"/>
      <c r="IDH88" s="587" t="n"/>
      <c r="IDI88" s="587" t="n"/>
      <c r="IDJ88" s="587" t="n"/>
      <c r="IDK88" s="587" t="n"/>
      <c r="IDL88" s="587" t="n"/>
      <c r="IDM88" s="587" t="n"/>
      <c r="IDN88" s="587" t="n"/>
      <c r="IDO88" s="587" t="n"/>
      <c r="IDP88" s="587" t="n"/>
      <c r="IDQ88" s="587" t="n"/>
      <c r="IDR88" s="587" t="n"/>
      <c r="IDS88" s="587" t="n"/>
      <c r="IDT88" s="587" t="n"/>
      <c r="IDU88" s="587" t="n"/>
      <c r="IDV88" s="587" t="n"/>
      <c r="IDW88" s="587" t="n"/>
      <c r="IDX88" s="587" t="n"/>
      <c r="IDY88" s="587" t="n"/>
      <c r="IDZ88" s="587" t="n"/>
      <c r="IEA88" s="587" t="n"/>
      <c r="IEB88" s="587" t="n"/>
      <c r="IEC88" s="587" t="n"/>
      <c r="IED88" s="587" t="n"/>
      <c r="IEE88" s="587" t="n"/>
      <c r="IEF88" s="587" t="n"/>
      <c r="IEG88" s="587" t="n"/>
      <c r="IEH88" s="587" t="n"/>
      <c r="IEI88" s="587" t="n"/>
      <c r="IEJ88" s="587" t="n"/>
      <c r="IEK88" s="587" t="n"/>
      <c r="IEL88" s="587" t="n"/>
      <c r="IEM88" s="587" t="n"/>
      <c r="IEN88" s="587" t="n"/>
      <c r="IEO88" s="587" t="n"/>
      <c r="IEP88" s="587" t="n"/>
      <c r="IEQ88" s="587" t="n"/>
      <c r="IER88" s="587" t="n"/>
      <c r="IES88" s="587" t="n"/>
      <c r="IET88" s="587" t="n"/>
      <c r="IEU88" s="587" t="n"/>
      <c r="IEV88" s="587" t="n"/>
      <c r="IEW88" s="587" t="n"/>
      <c r="IEX88" s="587" t="n"/>
      <c r="IEY88" s="587" t="n"/>
      <c r="IEZ88" s="587" t="n"/>
      <c r="IFA88" s="587" t="n"/>
      <c r="IFB88" s="587" t="n"/>
      <c r="IFC88" s="587" t="n"/>
      <c r="IFD88" s="587" t="n"/>
      <c r="IFE88" s="587" t="n"/>
      <c r="IFF88" s="587" t="n"/>
      <c r="IFG88" s="587" t="n"/>
      <c r="IFH88" s="587" t="n"/>
      <c r="IFI88" s="587" t="n"/>
      <c r="IFJ88" s="587" t="n"/>
      <c r="IFK88" s="587" t="n"/>
      <c r="IFL88" s="587" t="n"/>
      <c r="IFM88" s="587" t="n"/>
      <c r="IFN88" s="587" t="n"/>
      <c r="IFO88" s="587" t="n"/>
      <c r="IFP88" s="587" t="n"/>
      <c r="IFQ88" s="587" t="n"/>
      <c r="IFR88" s="587" t="n"/>
      <c r="IFS88" s="587" t="n"/>
      <c r="IFT88" s="587" t="n"/>
      <c r="IFU88" s="587" t="n"/>
      <c r="IFV88" s="587" t="n"/>
      <c r="IFW88" s="587" t="n"/>
      <c r="IFX88" s="587" t="n"/>
      <c r="IFY88" s="587" t="n"/>
      <c r="IFZ88" s="587" t="n"/>
      <c r="IGA88" s="587" t="n"/>
      <c r="IGB88" s="587" t="n"/>
      <c r="IGC88" s="587" t="n"/>
      <c r="IGD88" s="587" t="n"/>
      <c r="IGE88" s="587" t="n"/>
      <c r="IGF88" s="587" t="n"/>
      <c r="IGG88" s="587" t="n"/>
      <c r="IGH88" s="587" t="n"/>
      <c r="IGI88" s="587" t="n"/>
      <c r="IGJ88" s="587" t="n"/>
      <c r="IGK88" s="587" t="n"/>
      <c r="IGL88" s="587" t="n"/>
      <c r="IGM88" s="587" t="n"/>
      <c r="IGN88" s="587" t="n"/>
      <c r="IGO88" s="587" t="n"/>
      <c r="IGP88" s="587" t="n"/>
      <c r="IGQ88" s="587" t="n"/>
      <c r="IGR88" s="587" t="n"/>
      <c r="IGS88" s="587" t="n"/>
      <c r="IGT88" s="587" t="n"/>
      <c r="IGU88" s="587" t="n"/>
      <c r="IGV88" s="587" t="n"/>
      <c r="IGW88" s="587" t="n"/>
      <c r="IGX88" s="587" t="n"/>
      <c r="IGY88" s="587" t="n"/>
      <c r="IGZ88" s="587" t="n"/>
      <c r="IHA88" s="587" t="n"/>
      <c r="IHB88" s="587" t="n"/>
      <c r="IHC88" s="587" t="n"/>
      <c r="IHD88" s="587" t="n"/>
      <c r="IHE88" s="587" t="n"/>
      <c r="IHF88" s="587" t="n"/>
      <c r="IHG88" s="587" t="n"/>
      <c r="IHH88" s="587" t="n"/>
      <c r="IHI88" s="587" t="n"/>
      <c r="IHJ88" s="587" t="n"/>
      <c r="IHK88" s="587" t="n"/>
      <c r="IHL88" s="587" t="n"/>
      <c r="IHM88" s="587" t="n"/>
      <c r="IHN88" s="587" t="n"/>
      <c r="IHO88" s="587" t="n"/>
      <c r="IHP88" s="587" t="n"/>
      <c r="IHQ88" s="587" t="n"/>
      <c r="IHR88" s="587" t="n"/>
      <c r="IHS88" s="587" t="n"/>
      <c r="IHT88" s="587" t="n"/>
      <c r="IHU88" s="587" t="n"/>
      <c r="IHV88" s="587" t="n"/>
      <c r="IHW88" s="587" t="n"/>
      <c r="IHX88" s="587" t="n"/>
      <c r="IHY88" s="587" t="n"/>
      <c r="IHZ88" s="587" t="n"/>
      <c r="IIA88" s="587" t="n"/>
      <c r="IIB88" s="587" t="n"/>
      <c r="IIC88" s="587" t="n"/>
      <c r="IID88" s="587" t="n"/>
      <c r="IIE88" s="587" t="n"/>
      <c r="IIF88" s="587" t="n"/>
      <c r="IIG88" s="587" t="n"/>
      <c r="IIH88" s="587" t="n"/>
      <c r="III88" s="587" t="n"/>
      <c r="IIJ88" s="587" t="n"/>
      <c r="IIK88" s="587" t="n"/>
      <c r="IIL88" s="587" t="n"/>
      <c r="IIM88" s="587" t="n"/>
      <c r="IIN88" s="587" t="n"/>
      <c r="IIO88" s="587" t="n"/>
      <c r="IIP88" s="587" t="n"/>
      <c r="IIQ88" s="587" t="n"/>
      <c r="IIR88" s="587" t="n"/>
      <c r="IIS88" s="587" t="n"/>
      <c r="IIT88" s="587" t="n"/>
      <c r="IIU88" s="587" t="n"/>
      <c r="IIV88" s="587" t="n"/>
      <c r="IIW88" s="587" t="n"/>
      <c r="IIX88" s="587" t="n"/>
      <c r="IIY88" s="587" t="n"/>
      <c r="IIZ88" s="587" t="n"/>
      <c r="IJA88" s="587" t="n"/>
      <c r="IJB88" s="587" t="n"/>
      <c r="IJC88" s="587" t="n"/>
      <c r="IJD88" s="587" t="n"/>
      <c r="IJE88" s="587" t="n"/>
      <c r="IJF88" s="587" t="n"/>
      <c r="IJG88" s="587" t="n"/>
      <c r="IJH88" s="587" t="n"/>
      <c r="IJI88" s="587" t="n"/>
      <c r="IJJ88" s="587" t="n"/>
      <c r="IJK88" s="587" t="n"/>
      <c r="IJL88" s="587" t="n"/>
      <c r="IJM88" s="587" t="n"/>
      <c r="IJN88" s="587" t="n"/>
      <c r="IJO88" s="587" t="n"/>
      <c r="IJP88" s="587" t="n"/>
      <c r="IJQ88" s="587" t="n"/>
      <c r="IJR88" s="587" t="n"/>
      <c r="IJS88" s="587" t="n"/>
      <c r="IJT88" s="587" t="n"/>
      <c r="IJU88" s="587" t="n"/>
      <c r="IJV88" s="587" t="n"/>
      <c r="IJW88" s="587" t="n"/>
      <c r="IJX88" s="587" t="n"/>
      <c r="IJY88" s="587" t="n"/>
      <c r="IJZ88" s="587" t="n"/>
      <c r="IKA88" s="587" t="n"/>
      <c r="IKB88" s="587" t="n"/>
      <c r="IKC88" s="587" t="n"/>
      <c r="IKD88" s="587" t="n"/>
      <c r="IKE88" s="587" t="n"/>
      <c r="IKF88" s="587" t="n"/>
      <c r="IKG88" s="587" t="n"/>
      <c r="IKH88" s="587" t="n"/>
      <c r="IKI88" s="587" t="n"/>
      <c r="IKJ88" s="587" t="n"/>
      <c r="IKK88" s="587" t="n"/>
      <c r="IKL88" s="587" t="n"/>
      <c r="IKM88" s="587" t="n"/>
      <c r="IKN88" s="587" t="n"/>
      <c r="IKO88" s="587" t="n"/>
      <c r="IKP88" s="587" t="n"/>
      <c r="IKQ88" s="587" t="n"/>
      <c r="IKR88" s="587" t="n"/>
      <c r="IKS88" s="587" t="n"/>
      <c r="IKT88" s="587" t="n"/>
      <c r="IKU88" s="587" t="n"/>
      <c r="IKV88" s="587" t="n"/>
      <c r="IKW88" s="587" t="n"/>
      <c r="IKX88" s="587" t="n"/>
      <c r="IKY88" s="587" t="n"/>
      <c r="IKZ88" s="587" t="n"/>
      <c r="ILA88" s="587" t="n"/>
      <c r="ILB88" s="587" t="n"/>
      <c r="ILC88" s="587" t="n"/>
      <c r="ILD88" s="587" t="n"/>
      <c r="ILE88" s="587" t="n"/>
      <c r="ILF88" s="587" t="n"/>
      <c r="ILG88" s="587" t="n"/>
      <c r="ILH88" s="587" t="n"/>
      <c r="ILI88" s="587" t="n"/>
      <c r="ILJ88" s="587" t="n"/>
      <c r="ILK88" s="587" t="n"/>
      <c r="ILL88" s="587" t="n"/>
      <c r="ILM88" s="587" t="n"/>
      <c r="ILN88" s="587" t="n"/>
      <c r="ILO88" s="587" t="n"/>
      <c r="ILP88" s="587" t="n"/>
      <c r="ILQ88" s="587" t="n"/>
      <c r="ILR88" s="587" t="n"/>
      <c r="ILS88" s="587" t="n"/>
      <c r="ILT88" s="587" t="n"/>
      <c r="ILU88" s="587" t="n"/>
      <c r="ILV88" s="587" t="n"/>
      <c r="ILW88" s="587" t="n"/>
      <c r="ILX88" s="587" t="n"/>
      <c r="ILY88" s="587" t="n"/>
      <c r="ILZ88" s="587" t="n"/>
      <c r="IMA88" s="587" t="n"/>
      <c r="IMB88" s="587" t="n"/>
      <c r="IMC88" s="587" t="n"/>
      <c r="IMD88" s="587" t="n"/>
      <c r="IME88" s="587" t="n"/>
      <c r="IMF88" s="587" t="n"/>
      <c r="IMG88" s="587" t="n"/>
      <c r="IMH88" s="587" t="n"/>
      <c r="IMI88" s="587" t="n"/>
      <c r="IMJ88" s="587" t="n"/>
      <c r="IMK88" s="587" t="n"/>
      <c r="IML88" s="587" t="n"/>
      <c r="IMM88" s="587" t="n"/>
      <c r="IMN88" s="587" t="n"/>
      <c r="IMO88" s="587" t="n"/>
      <c r="IMP88" s="587" t="n"/>
      <c r="IMQ88" s="587" t="n"/>
      <c r="IMR88" s="587" t="n"/>
      <c r="IMS88" s="587" t="n"/>
      <c r="IMT88" s="587" t="n"/>
      <c r="IMU88" s="587" t="n"/>
      <c r="IMV88" s="587" t="n"/>
      <c r="IMW88" s="587" t="n"/>
      <c r="IMX88" s="587" t="n"/>
      <c r="IMY88" s="587" t="n"/>
      <c r="IMZ88" s="587" t="n"/>
      <c r="INA88" s="587" t="n"/>
      <c r="INB88" s="587" t="n"/>
      <c r="INC88" s="587" t="n"/>
      <c r="IND88" s="587" t="n"/>
      <c r="INE88" s="587" t="n"/>
      <c r="INF88" s="587" t="n"/>
      <c r="ING88" s="587" t="n"/>
      <c r="INH88" s="587" t="n"/>
      <c r="INI88" s="587" t="n"/>
      <c r="INJ88" s="587" t="n"/>
      <c r="INK88" s="587" t="n"/>
      <c r="INL88" s="587" t="n"/>
      <c r="INM88" s="587" t="n"/>
      <c r="INN88" s="587" t="n"/>
      <c r="INO88" s="587" t="n"/>
      <c r="INP88" s="587" t="n"/>
      <c r="INQ88" s="587" t="n"/>
      <c r="INR88" s="587" t="n"/>
      <c r="INS88" s="587" t="n"/>
      <c r="INT88" s="587" t="n"/>
      <c r="INU88" s="587" t="n"/>
      <c r="INV88" s="587" t="n"/>
      <c r="INW88" s="587" t="n"/>
      <c r="INX88" s="587" t="n"/>
      <c r="INY88" s="587" t="n"/>
      <c r="INZ88" s="587" t="n"/>
      <c r="IOA88" s="587" t="n"/>
      <c r="IOB88" s="587" t="n"/>
      <c r="IOC88" s="587" t="n"/>
      <c r="IOD88" s="587" t="n"/>
      <c r="IOE88" s="587" t="n"/>
      <c r="IOF88" s="587" t="n"/>
      <c r="IOG88" s="587" t="n"/>
      <c r="IOH88" s="587" t="n"/>
      <c r="IOI88" s="587" t="n"/>
      <c r="IOJ88" s="587" t="n"/>
      <c r="IOK88" s="587" t="n"/>
      <c r="IOL88" s="587" t="n"/>
      <c r="IOM88" s="587" t="n"/>
      <c r="ION88" s="587" t="n"/>
      <c r="IOO88" s="587" t="n"/>
      <c r="IOP88" s="587" t="n"/>
      <c r="IOQ88" s="587" t="n"/>
      <c r="IOR88" s="587" t="n"/>
      <c r="IOS88" s="587" t="n"/>
      <c r="IOT88" s="587" t="n"/>
      <c r="IOU88" s="587" t="n"/>
      <c r="IOV88" s="587" t="n"/>
      <c r="IOW88" s="587" t="n"/>
      <c r="IOX88" s="587" t="n"/>
      <c r="IOY88" s="587" t="n"/>
      <c r="IOZ88" s="587" t="n"/>
      <c r="IPA88" s="587" t="n"/>
      <c r="IPB88" s="587" t="n"/>
      <c r="IPC88" s="587" t="n"/>
      <c r="IPD88" s="587" t="n"/>
      <c r="IPE88" s="587" t="n"/>
      <c r="IPF88" s="587" t="n"/>
      <c r="IPG88" s="587" t="n"/>
      <c r="IPH88" s="587" t="n"/>
      <c r="IPI88" s="587" t="n"/>
      <c r="IPJ88" s="587" t="n"/>
      <c r="IPK88" s="587" t="n"/>
      <c r="IPL88" s="587" t="n"/>
      <c r="IPM88" s="587" t="n"/>
      <c r="IPN88" s="587" t="n"/>
      <c r="IPO88" s="587" t="n"/>
      <c r="IPP88" s="587" t="n"/>
      <c r="IPQ88" s="587" t="n"/>
      <c r="IPR88" s="587" t="n"/>
      <c r="IPS88" s="587" t="n"/>
      <c r="IPT88" s="587" t="n"/>
      <c r="IPU88" s="587" t="n"/>
      <c r="IPV88" s="587" t="n"/>
      <c r="IPW88" s="587" t="n"/>
      <c r="IPX88" s="587" t="n"/>
      <c r="IPY88" s="587" t="n"/>
      <c r="IPZ88" s="587" t="n"/>
      <c r="IQA88" s="587" t="n"/>
      <c r="IQB88" s="587" t="n"/>
      <c r="IQC88" s="587" t="n"/>
      <c r="IQD88" s="587" t="n"/>
      <c r="IQE88" s="587" t="n"/>
      <c r="IQF88" s="587" t="n"/>
      <c r="IQG88" s="587" t="n"/>
      <c r="IQH88" s="587" t="n"/>
      <c r="IQI88" s="587" t="n"/>
      <c r="IQJ88" s="587" t="n"/>
      <c r="IQK88" s="587" t="n"/>
      <c r="IQL88" s="587" t="n"/>
      <c r="IQM88" s="587" t="n"/>
      <c r="IQN88" s="587" t="n"/>
      <c r="IQO88" s="587" t="n"/>
      <c r="IQP88" s="587" t="n"/>
      <c r="IQQ88" s="587" t="n"/>
      <c r="IQR88" s="587" t="n"/>
      <c r="IQS88" s="587" t="n"/>
      <c r="IQT88" s="587" t="n"/>
      <c r="IQU88" s="587" t="n"/>
      <c r="IQV88" s="587" t="n"/>
      <c r="IQW88" s="587" t="n"/>
      <c r="IQX88" s="587" t="n"/>
      <c r="IQY88" s="587" t="n"/>
      <c r="IQZ88" s="587" t="n"/>
      <c r="IRA88" s="587" t="n"/>
      <c r="IRB88" s="587" t="n"/>
      <c r="IRC88" s="587" t="n"/>
      <c r="IRD88" s="587" t="n"/>
      <c r="IRE88" s="587" t="n"/>
      <c r="IRF88" s="587" t="n"/>
      <c r="IRG88" s="587" t="n"/>
      <c r="IRH88" s="587" t="n"/>
      <c r="IRI88" s="587" t="n"/>
      <c r="IRJ88" s="587" t="n"/>
      <c r="IRK88" s="587" t="n"/>
      <c r="IRL88" s="587" t="n"/>
      <c r="IRM88" s="587" t="n"/>
      <c r="IRN88" s="587" t="n"/>
      <c r="IRO88" s="587" t="n"/>
      <c r="IRP88" s="587" t="n"/>
      <c r="IRQ88" s="587" t="n"/>
      <c r="IRR88" s="587" t="n"/>
      <c r="IRS88" s="587" t="n"/>
      <c r="IRT88" s="587" t="n"/>
      <c r="IRU88" s="587" t="n"/>
      <c r="IRV88" s="587" t="n"/>
      <c r="IRW88" s="587" t="n"/>
      <c r="IRX88" s="587" t="n"/>
      <c r="IRY88" s="587" t="n"/>
      <c r="IRZ88" s="587" t="n"/>
      <c r="ISA88" s="587" t="n"/>
      <c r="ISB88" s="587" t="n"/>
      <c r="ISC88" s="587" t="n"/>
      <c r="ISD88" s="587" t="n"/>
      <c r="ISE88" s="587" t="n"/>
      <c r="ISF88" s="587" t="n"/>
      <c r="ISG88" s="587" t="n"/>
      <c r="ISH88" s="587" t="n"/>
      <c r="ISI88" s="587" t="n"/>
      <c r="ISJ88" s="587" t="n"/>
      <c r="ISK88" s="587" t="n"/>
      <c r="ISL88" s="587" t="n"/>
      <c r="ISM88" s="587" t="n"/>
      <c r="ISN88" s="587" t="n"/>
      <c r="ISO88" s="587" t="n"/>
      <c r="ISP88" s="587" t="n"/>
      <c r="ISQ88" s="587" t="n"/>
      <c r="ISR88" s="587" t="n"/>
      <c r="ISS88" s="587" t="n"/>
      <c r="IST88" s="587" t="n"/>
      <c r="ISU88" s="587" t="n"/>
      <c r="ISV88" s="587" t="n"/>
      <c r="ISW88" s="587" t="n"/>
      <c r="ISX88" s="587" t="n"/>
      <c r="ISY88" s="587" t="n"/>
      <c r="ISZ88" s="587" t="n"/>
      <c r="ITA88" s="587" t="n"/>
      <c r="ITB88" s="587" t="n"/>
      <c r="ITC88" s="587" t="n"/>
      <c r="ITD88" s="587" t="n"/>
      <c r="ITE88" s="587" t="n"/>
      <c r="ITF88" s="587" t="n"/>
      <c r="ITG88" s="587" t="n"/>
      <c r="ITH88" s="587" t="n"/>
      <c r="ITI88" s="587" t="n"/>
      <c r="ITJ88" s="587" t="n"/>
      <c r="ITK88" s="587" t="n"/>
      <c r="ITL88" s="587" t="n"/>
      <c r="ITM88" s="587" t="n"/>
      <c r="ITN88" s="587" t="n"/>
      <c r="ITO88" s="587" t="n"/>
      <c r="ITP88" s="587" t="n"/>
      <c r="ITQ88" s="587" t="n"/>
      <c r="ITR88" s="587" t="n"/>
      <c r="ITS88" s="587" t="n"/>
      <c r="ITT88" s="587" t="n"/>
      <c r="ITU88" s="587" t="n"/>
      <c r="ITV88" s="587" t="n"/>
      <c r="ITW88" s="587" t="n"/>
      <c r="ITX88" s="587" t="n"/>
      <c r="ITY88" s="587" t="n"/>
      <c r="ITZ88" s="587" t="n"/>
      <c r="IUA88" s="587" t="n"/>
      <c r="IUB88" s="587" t="n"/>
      <c r="IUC88" s="587" t="n"/>
      <c r="IUD88" s="587" t="n"/>
      <c r="IUE88" s="587" t="n"/>
      <c r="IUF88" s="587" t="n"/>
      <c r="IUG88" s="587" t="n"/>
      <c r="IUH88" s="587" t="n"/>
      <c r="IUI88" s="587" t="n"/>
      <c r="IUJ88" s="587" t="n"/>
      <c r="IUK88" s="587" t="n"/>
      <c r="IUL88" s="587" t="n"/>
      <c r="IUM88" s="587" t="n"/>
      <c r="IUN88" s="587" t="n"/>
      <c r="IUO88" s="587" t="n"/>
      <c r="IUP88" s="587" t="n"/>
      <c r="IUQ88" s="587" t="n"/>
      <c r="IUR88" s="587" t="n"/>
      <c r="IUS88" s="587" t="n"/>
      <c r="IUT88" s="587" t="n"/>
      <c r="IUU88" s="587" t="n"/>
      <c r="IUV88" s="587" t="n"/>
      <c r="IUW88" s="587" t="n"/>
      <c r="IUX88" s="587" t="n"/>
      <c r="IUY88" s="587" t="n"/>
      <c r="IUZ88" s="587" t="n"/>
      <c r="IVA88" s="587" t="n"/>
      <c r="IVB88" s="587" t="n"/>
      <c r="IVC88" s="587" t="n"/>
      <c r="IVD88" s="587" t="n"/>
      <c r="IVE88" s="587" t="n"/>
      <c r="IVF88" s="587" t="n"/>
      <c r="IVG88" s="587" t="n"/>
      <c r="IVH88" s="587" t="n"/>
      <c r="IVI88" s="587" t="n"/>
      <c r="IVJ88" s="587" t="n"/>
      <c r="IVK88" s="587" t="n"/>
      <c r="IVL88" s="587" t="n"/>
      <c r="IVM88" s="587" t="n"/>
      <c r="IVN88" s="587" t="n"/>
      <c r="IVO88" s="587" t="n"/>
      <c r="IVP88" s="587" t="n"/>
      <c r="IVQ88" s="587" t="n"/>
      <c r="IVR88" s="587" t="n"/>
      <c r="IVS88" s="587" t="n"/>
      <c r="IVT88" s="587" t="n"/>
      <c r="IVU88" s="587" t="n"/>
      <c r="IVV88" s="587" t="n"/>
      <c r="IVW88" s="587" t="n"/>
      <c r="IVX88" s="587" t="n"/>
      <c r="IVY88" s="587" t="n"/>
      <c r="IVZ88" s="587" t="n"/>
      <c r="IWA88" s="587" t="n"/>
      <c r="IWB88" s="587" t="n"/>
      <c r="IWC88" s="587" t="n"/>
      <c r="IWD88" s="587" t="n"/>
      <c r="IWE88" s="587" t="n"/>
      <c r="IWF88" s="587" t="n"/>
      <c r="IWG88" s="587" t="n"/>
      <c r="IWH88" s="587" t="n"/>
      <c r="IWI88" s="587" t="n"/>
      <c r="IWJ88" s="587" t="n"/>
      <c r="IWK88" s="587" t="n"/>
      <c r="IWL88" s="587" t="n"/>
      <c r="IWM88" s="587" t="n"/>
      <c r="IWN88" s="587" t="n"/>
      <c r="IWO88" s="587" t="n"/>
      <c r="IWP88" s="587" t="n"/>
      <c r="IWQ88" s="587" t="n"/>
      <c r="IWR88" s="587" t="n"/>
      <c r="IWS88" s="587" t="n"/>
      <c r="IWT88" s="587" t="n"/>
      <c r="IWU88" s="587" t="n"/>
      <c r="IWV88" s="587" t="n"/>
      <c r="IWW88" s="587" t="n"/>
      <c r="IWX88" s="587" t="n"/>
      <c r="IWY88" s="587" t="n"/>
      <c r="IWZ88" s="587" t="n"/>
      <c r="IXA88" s="587" t="n"/>
      <c r="IXB88" s="587" t="n"/>
      <c r="IXC88" s="587" t="n"/>
      <c r="IXD88" s="587" t="n"/>
      <c r="IXE88" s="587" t="n"/>
      <c r="IXF88" s="587" t="n"/>
      <c r="IXG88" s="587" t="n"/>
      <c r="IXH88" s="587" t="n"/>
      <c r="IXI88" s="587" t="n"/>
      <c r="IXJ88" s="587" t="n"/>
      <c r="IXK88" s="587" t="n"/>
      <c r="IXL88" s="587" t="n"/>
      <c r="IXM88" s="587" t="n"/>
      <c r="IXN88" s="587" t="n"/>
      <c r="IXO88" s="587" t="n"/>
      <c r="IXP88" s="587" t="n"/>
      <c r="IXQ88" s="587" t="n"/>
      <c r="IXR88" s="587" t="n"/>
      <c r="IXS88" s="587" t="n"/>
      <c r="IXT88" s="587" t="n"/>
      <c r="IXU88" s="587" t="n"/>
      <c r="IXV88" s="587" t="n"/>
      <c r="IXW88" s="587" t="n"/>
      <c r="IXX88" s="587" t="n"/>
      <c r="IXY88" s="587" t="n"/>
      <c r="IXZ88" s="587" t="n"/>
      <c r="IYA88" s="587" t="n"/>
      <c r="IYB88" s="587" t="n"/>
      <c r="IYC88" s="587" t="n"/>
      <c r="IYD88" s="587" t="n"/>
      <c r="IYE88" s="587" t="n"/>
      <c r="IYF88" s="587" t="n"/>
      <c r="IYG88" s="587" t="n"/>
      <c r="IYH88" s="587" t="n"/>
      <c r="IYI88" s="587" t="n"/>
      <c r="IYJ88" s="587" t="n"/>
      <c r="IYK88" s="587" t="n"/>
      <c r="IYL88" s="587" t="n"/>
      <c r="IYM88" s="587" t="n"/>
      <c r="IYN88" s="587" t="n"/>
      <c r="IYO88" s="587" t="n"/>
      <c r="IYP88" s="587" t="n"/>
      <c r="IYQ88" s="587" t="n"/>
      <c r="IYR88" s="587" t="n"/>
      <c r="IYS88" s="587" t="n"/>
      <c r="IYT88" s="587" t="n"/>
      <c r="IYU88" s="587" t="n"/>
      <c r="IYV88" s="587" t="n"/>
      <c r="IYW88" s="587" t="n"/>
      <c r="IYX88" s="587" t="n"/>
      <c r="IYY88" s="587" t="n"/>
      <c r="IYZ88" s="587" t="n"/>
      <c r="IZA88" s="587" t="n"/>
      <c r="IZB88" s="587" t="n"/>
      <c r="IZC88" s="587" t="n"/>
      <c r="IZD88" s="587" t="n"/>
      <c r="IZE88" s="587" t="n"/>
      <c r="IZF88" s="587" t="n"/>
      <c r="IZG88" s="587" t="n"/>
      <c r="IZH88" s="587" t="n"/>
      <c r="IZI88" s="587" t="n"/>
      <c r="IZJ88" s="587" t="n"/>
      <c r="IZK88" s="587" t="n"/>
      <c r="IZL88" s="587" t="n"/>
      <c r="IZM88" s="587" t="n"/>
      <c r="IZN88" s="587" t="n"/>
      <c r="IZO88" s="587" t="n"/>
      <c r="IZP88" s="587" t="n"/>
      <c r="IZQ88" s="587" t="n"/>
      <c r="IZR88" s="587" t="n"/>
      <c r="IZS88" s="587" t="n"/>
      <c r="IZT88" s="587" t="n"/>
      <c r="IZU88" s="587" t="n"/>
      <c r="IZV88" s="587" t="n"/>
      <c r="IZW88" s="587" t="n"/>
      <c r="IZX88" s="587" t="n"/>
      <c r="IZY88" s="587" t="n"/>
      <c r="IZZ88" s="587" t="n"/>
      <c r="JAA88" s="587" t="n"/>
      <c r="JAB88" s="587" t="n"/>
      <c r="JAC88" s="587" t="n"/>
      <c r="JAD88" s="587" t="n"/>
      <c r="JAE88" s="587" t="n"/>
      <c r="JAF88" s="587" t="n"/>
      <c r="JAG88" s="587" t="n"/>
      <c r="JAH88" s="587" t="n"/>
      <c r="JAI88" s="587" t="n"/>
      <c r="JAJ88" s="587" t="n"/>
      <c r="JAK88" s="587" t="n"/>
      <c r="JAL88" s="587" t="n"/>
      <c r="JAM88" s="587" t="n"/>
      <c r="JAN88" s="587" t="n"/>
      <c r="JAO88" s="587" t="n"/>
      <c r="JAP88" s="587" t="n"/>
      <c r="JAQ88" s="587" t="n"/>
      <c r="JAR88" s="587" t="n"/>
      <c r="JAS88" s="587" t="n"/>
      <c r="JAT88" s="587" t="n"/>
      <c r="JAU88" s="587" t="n"/>
      <c r="JAV88" s="587" t="n"/>
      <c r="JAW88" s="587" t="n"/>
      <c r="JAX88" s="587" t="n"/>
      <c r="JAY88" s="587" t="n"/>
      <c r="JAZ88" s="587" t="n"/>
      <c r="JBA88" s="587" t="n"/>
      <c r="JBB88" s="587" t="n"/>
      <c r="JBC88" s="587" t="n"/>
      <c r="JBD88" s="587" t="n"/>
      <c r="JBE88" s="587" t="n"/>
      <c r="JBF88" s="587" t="n"/>
      <c r="JBG88" s="587" t="n"/>
      <c r="JBH88" s="587" t="n"/>
      <c r="JBI88" s="587" t="n"/>
      <c r="JBJ88" s="587" t="n"/>
      <c r="JBK88" s="587" t="n"/>
      <c r="JBL88" s="587" t="n"/>
      <c r="JBM88" s="587" t="n"/>
      <c r="JBN88" s="587" t="n"/>
      <c r="JBO88" s="587" t="n"/>
      <c r="JBP88" s="587" t="n"/>
      <c r="JBQ88" s="587" t="n"/>
      <c r="JBR88" s="587" t="n"/>
      <c r="JBS88" s="587" t="n"/>
      <c r="JBT88" s="587" t="n"/>
      <c r="JBU88" s="587" t="n"/>
      <c r="JBV88" s="587" t="n"/>
      <c r="JBW88" s="587" t="n"/>
      <c r="JBX88" s="587" t="n"/>
      <c r="JBY88" s="587" t="n"/>
      <c r="JBZ88" s="587" t="n"/>
      <c r="JCA88" s="587" t="n"/>
      <c r="JCB88" s="587" t="n"/>
      <c r="JCC88" s="587" t="n"/>
      <c r="JCD88" s="587" t="n"/>
      <c r="JCE88" s="587" t="n"/>
      <c r="JCF88" s="587" t="n"/>
      <c r="JCG88" s="587" t="n"/>
      <c r="JCH88" s="587" t="n"/>
      <c r="JCI88" s="587" t="n"/>
      <c r="JCJ88" s="587" t="n"/>
      <c r="JCK88" s="587" t="n"/>
      <c r="JCL88" s="587" t="n"/>
      <c r="JCM88" s="587" t="n"/>
      <c r="JCN88" s="587" t="n"/>
      <c r="JCO88" s="587" t="n"/>
      <c r="JCP88" s="587" t="n"/>
      <c r="JCQ88" s="587" t="n"/>
      <c r="JCR88" s="587" t="n"/>
      <c r="JCS88" s="587" t="n"/>
      <c r="JCT88" s="587" t="n"/>
      <c r="JCU88" s="587" t="n"/>
      <c r="JCV88" s="587" t="n"/>
      <c r="JCW88" s="587" t="n"/>
      <c r="JCX88" s="587" t="n"/>
      <c r="JCY88" s="587" t="n"/>
      <c r="JCZ88" s="587" t="n"/>
      <c r="JDA88" s="587" t="n"/>
      <c r="JDB88" s="587" t="n"/>
      <c r="JDC88" s="587" t="n"/>
      <c r="JDD88" s="587" t="n"/>
      <c r="JDE88" s="587" t="n"/>
      <c r="JDF88" s="587" t="n"/>
      <c r="JDG88" s="587" t="n"/>
      <c r="JDH88" s="587" t="n"/>
      <c r="JDI88" s="587" t="n"/>
      <c r="JDJ88" s="587" t="n"/>
      <c r="JDK88" s="587" t="n"/>
      <c r="JDL88" s="587" t="n"/>
      <c r="JDM88" s="587" t="n"/>
      <c r="JDN88" s="587" t="n"/>
      <c r="JDO88" s="587" t="n"/>
      <c r="JDP88" s="587" t="n"/>
      <c r="JDQ88" s="587" t="n"/>
      <c r="JDR88" s="587" t="n"/>
      <c r="JDS88" s="587" t="n"/>
      <c r="JDT88" s="587" t="n"/>
      <c r="JDU88" s="587" t="n"/>
      <c r="JDV88" s="587" t="n"/>
      <c r="JDW88" s="587" t="n"/>
      <c r="JDX88" s="587" t="n"/>
      <c r="JDY88" s="587" t="n"/>
      <c r="JDZ88" s="587" t="n"/>
      <c r="JEA88" s="587" t="n"/>
      <c r="JEB88" s="587" t="n"/>
      <c r="JEC88" s="587" t="n"/>
      <c r="JED88" s="587" t="n"/>
      <c r="JEE88" s="587" t="n"/>
      <c r="JEF88" s="587" t="n"/>
      <c r="JEG88" s="587" t="n"/>
      <c r="JEH88" s="587" t="n"/>
      <c r="JEI88" s="587" t="n"/>
      <c r="JEJ88" s="587" t="n"/>
      <c r="JEK88" s="587" t="n"/>
      <c r="JEL88" s="587" t="n"/>
      <c r="JEM88" s="587" t="n"/>
      <c r="JEN88" s="587" t="n"/>
      <c r="JEO88" s="587" t="n"/>
      <c r="JEP88" s="587" t="n"/>
      <c r="JEQ88" s="587" t="n"/>
      <c r="JER88" s="587" t="n"/>
      <c r="JES88" s="587" t="n"/>
      <c r="JET88" s="587" t="n"/>
      <c r="JEU88" s="587" t="n"/>
      <c r="JEV88" s="587" t="n"/>
      <c r="JEW88" s="587" t="n"/>
      <c r="JEX88" s="587" t="n"/>
      <c r="JEY88" s="587" t="n"/>
      <c r="JEZ88" s="587" t="n"/>
      <c r="JFA88" s="587" t="n"/>
      <c r="JFB88" s="587" t="n"/>
      <c r="JFC88" s="587" t="n"/>
      <c r="JFD88" s="587" t="n"/>
      <c r="JFE88" s="587" t="n"/>
      <c r="JFF88" s="587" t="n"/>
      <c r="JFG88" s="587" t="n"/>
      <c r="JFH88" s="587" t="n"/>
      <c r="JFI88" s="587" t="n"/>
      <c r="JFJ88" s="587" t="n"/>
      <c r="JFK88" s="587" t="n"/>
      <c r="JFL88" s="587" t="n"/>
      <c r="JFM88" s="587" t="n"/>
      <c r="JFN88" s="587" t="n"/>
      <c r="JFO88" s="587" t="n"/>
      <c r="JFP88" s="587" t="n"/>
      <c r="JFQ88" s="587" t="n"/>
      <c r="JFR88" s="587" t="n"/>
      <c r="JFS88" s="587" t="n"/>
      <c r="JFT88" s="587" t="n"/>
      <c r="JFU88" s="587" t="n"/>
      <c r="JFV88" s="587" t="n"/>
      <c r="JFW88" s="587" t="n"/>
      <c r="JFX88" s="587" t="n"/>
      <c r="JFY88" s="587" t="n"/>
      <c r="JFZ88" s="587" t="n"/>
      <c r="JGA88" s="587" t="n"/>
      <c r="JGB88" s="587" t="n"/>
      <c r="JGC88" s="587" t="n"/>
      <c r="JGD88" s="587" t="n"/>
      <c r="JGE88" s="587" t="n"/>
      <c r="JGF88" s="587" t="n"/>
      <c r="JGG88" s="587" t="n"/>
      <c r="JGH88" s="587" t="n"/>
      <c r="JGI88" s="587" t="n"/>
      <c r="JGJ88" s="587" t="n"/>
      <c r="JGK88" s="587" t="n"/>
      <c r="JGL88" s="587" t="n"/>
      <c r="JGM88" s="587" t="n"/>
      <c r="JGN88" s="587" t="n"/>
      <c r="JGO88" s="587" t="n"/>
      <c r="JGP88" s="587" t="n"/>
      <c r="JGQ88" s="587" t="n"/>
      <c r="JGR88" s="587" t="n"/>
      <c r="JGS88" s="587" t="n"/>
      <c r="JGT88" s="587" t="n"/>
      <c r="JGU88" s="587" t="n"/>
      <c r="JGV88" s="587" t="n"/>
      <c r="JGW88" s="587" t="n"/>
      <c r="JGX88" s="587" t="n"/>
      <c r="JGY88" s="587" t="n"/>
      <c r="JGZ88" s="587" t="n"/>
      <c r="JHA88" s="587" t="n"/>
      <c r="JHB88" s="587" t="n"/>
      <c r="JHC88" s="587" t="n"/>
      <c r="JHD88" s="587" t="n"/>
      <c r="JHE88" s="587" t="n"/>
      <c r="JHF88" s="587" t="n"/>
      <c r="JHG88" s="587" t="n"/>
      <c r="JHH88" s="587" t="n"/>
      <c r="JHI88" s="587" t="n"/>
      <c r="JHJ88" s="587" t="n"/>
      <c r="JHK88" s="587" t="n"/>
      <c r="JHL88" s="587" t="n"/>
      <c r="JHM88" s="587" t="n"/>
      <c r="JHN88" s="587" t="n"/>
      <c r="JHO88" s="587" t="n"/>
      <c r="JHP88" s="587" t="n"/>
      <c r="JHQ88" s="587" t="n"/>
      <c r="JHR88" s="587" t="n"/>
      <c r="JHS88" s="587" t="n"/>
      <c r="JHT88" s="587" t="n"/>
      <c r="JHU88" s="587" t="n"/>
      <c r="JHV88" s="587" t="n"/>
      <c r="JHW88" s="587" t="n"/>
      <c r="JHX88" s="587" t="n"/>
      <c r="JHY88" s="587" t="n"/>
      <c r="JHZ88" s="587" t="n"/>
      <c r="JIA88" s="587" t="n"/>
      <c r="JIB88" s="587" t="n"/>
      <c r="JIC88" s="587" t="n"/>
      <c r="JID88" s="587" t="n"/>
      <c r="JIE88" s="587" t="n"/>
      <c r="JIF88" s="587" t="n"/>
      <c r="JIG88" s="587" t="n"/>
      <c r="JIH88" s="587" t="n"/>
      <c r="JII88" s="587" t="n"/>
      <c r="JIJ88" s="587" t="n"/>
      <c r="JIK88" s="587" t="n"/>
      <c r="JIL88" s="587" t="n"/>
      <c r="JIM88" s="587" t="n"/>
      <c r="JIN88" s="587" t="n"/>
      <c r="JIO88" s="587" t="n"/>
      <c r="JIP88" s="587" t="n"/>
      <c r="JIQ88" s="587" t="n"/>
      <c r="JIR88" s="587" t="n"/>
      <c r="JIS88" s="587" t="n"/>
      <c r="JIT88" s="587" t="n"/>
      <c r="JIU88" s="587" t="n"/>
      <c r="JIV88" s="587" t="n"/>
      <c r="JIW88" s="587" t="n"/>
      <c r="JIX88" s="587" t="n"/>
      <c r="JIY88" s="587" t="n"/>
      <c r="JIZ88" s="587" t="n"/>
      <c r="JJA88" s="587" t="n"/>
      <c r="JJB88" s="587" t="n"/>
      <c r="JJC88" s="587" t="n"/>
      <c r="JJD88" s="587" t="n"/>
      <c r="JJE88" s="587" t="n"/>
      <c r="JJF88" s="587" t="n"/>
      <c r="JJG88" s="587" t="n"/>
      <c r="JJH88" s="587" t="n"/>
      <c r="JJI88" s="587" t="n"/>
      <c r="JJJ88" s="587" t="n"/>
      <c r="JJK88" s="587" t="n"/>
      <c r="JJL88" s="587" t="n"/>
      <c r="JJM88" s="587" t="n"/>
      <c r="JJN88" s="587" t="n"/>
      <c r="JJO88" s="587" t="n"/>
      <c r="JJP88" s="587" t="n"/>
      <c r="JJQ88" s="587" t="n"/>
      <c r="JJR88" s="587" t="n"/>
      <c r="JJS88" s="587" t="n"/>
      <c r="JJT88" s="587" t="n"/>
      <c r="JJU88" s="587" t="n"/>
      <c r="JJV88" s="587" t="n"/>
      <c r="JJW88" s="587" t="n"/>
      <c r="JJX88" s="587" t="n"/>
      <c r="JJY88" s="587" t="n"/>
      <c r="JJZ88" s="587" t="n"/>
      <c r="JKA88" s="587" t="n"/>
      <c r="JKB88" s="587" t="n"/>
      <c r="JKC88" s="587" t="n"/>
      <c r="JKD88" s="587" t="n"/>
      <c r="JKE88" s="587" t="n"/>
      <c r="JKF88" s="587" t="n"/>
      <c r="JKG88" s="587" t="n"/>
      <c r="JKH88" s="587" t="n"/>
      <c r="JKI88" s="587" t="n"/>
      <c r="JKJ88" s="587" t="n"/>
      <c r="JKK88" s="587" t="n"/>
      <c r="JKL88" s="587" t="n"/>
      <c r="JKM88" s="587" t="n"/>
      <c r="JKN88" s="587" t="n"/>
      <c r="JKO88" s="587" t="n"/>
      <c r="JKP88" s="587" t="n"/>
      <c r="JKQ88" s="587" t="n"/>
      <c r="JKR88" s="587" t="n"/>
      <c r="JKS88" s="587" t="n"/>
      <c r="JKT88" s="587" t="n"/>
      <c r="JKU88" s="587" t="n"/>
      <c r="JKV88" s="587" t="n"/>
      <c r="JKW88" s="587" t="n"/>
      <c r="JKX88" s="587" t="n"/>
      <c r="JKY88" s="587" t="n"/>
      <c r="JKZ88" s="587" t="n"/>
      <c r="JLA88" s="587" t="n"/>
      <c r="JLB88" s="587" t="n"/>
      <c r="JLC88" s="587" t="n"/>
      <c r="JLD88" s="587" t="n"/>
      <c r="JLE88" s="587" t="n"/>
      <c r="JLF88" s="587" t="n"/>
      <c r="JLG88" s="587" t="n"/>
      <c r="JLH88" s="587" t="n"/>
      <c r="JLI88" s="587" t="n"/>
      <c r="JLJ88" s="587" t="n"/>
      <c r="JLK88" s="587" t="n"/>
      <c r="JLL88" s="587" t="n"/>
      <c r="JLM88" s="587" t="n"/>
      <c r="JLN88" s="587" t="n"/>
      <c r="JLO88" s="587" t="n"/>
      <c r="JLP88" s="587" t="n"/>
      <c r="JLQ88" s="587" t="n"/>
      <c r="JLR88" s="587" t="n"/>
      <c r="JLS88" s="587" t="n"/>
      <c r="JLT88" s="587" t="n"/>
      <c r="JLU88" s="587" t="n"/>
      <c r="JLV88" s="587" t="n"/>
      <c r="JLW88" s="587" t="n"/>
      <c r="JLX88" s="587" t="n"/>
      <c r="JLY88" s="587" t="n"/>
      <c r="JLZ88" s="587" t="n"/>
      <c r="JMA88" s="587" t="n"/>
      <c r="JMB88" s="587" t="n"/>
      <c r="JMC88" s="587" t="n"/>
      <c r="JMD88" s="587" t="n"/>
      <c r="JME88" s="587" t="n"/>
      <c r="JMF88" s="587" t="n"/>
      <c r="JMG88" s="587" t="n"/>
      <c r="JMH88" s="587" t="n"/>
      <c r="JMI88" s="587" t="n"/>
      <c r="JMJ88" s="587" t="n"/>
      <c r="JMK88" s="587" t="n"/>
      <c r="JML88" s="587" t="n"/>
      <c r="JMM88" s="587" t="n"/>
      <c r="JMN88" s="587" t="n"/>
      <c r="JMO88" s="587" t="n"/>
      <c r="JMP88" s="587" t="n"/>
      <c r="JMQ88" s="587" t="n"/>
      <c r="JMR88" s="587" t="n"/>
      <c r="JMS88" s="587" t="n"/>
      <c r="JMT88" s="587" t="n"/>
      <c r="JMU88" s="587" t="n"/>
      <c r="JMV88" s="587" t="n"/>
      <c r="JMW88" s="587" t="n"/>
      <c r="JMX88" s="587" t="n"/>
      <c r="JMY88" s="587" t="n"/>
      <c r="JMZ88" s="587" t="n"/>
      <c r="JNA88" s="587" t="n"/>
      <c r="JNB88" s="587" t="n"/>
      <c r="JNC88" s="587" t="n"/>
      <c r="JND88" s="587" t="n"/>
      <c r="JNE88" s="587" t="n"/>
      <c r="JNF88" s="587" t="n"/>
      <c r="JNG88" s="587" t="n"/>
      <c r="JNH88" s="587" t="n"/>
      <c r="JNI88" s="587" t="n"/>
      <c r="JNJ88" s="587" t="n"/>
      <c r="JNK88" s="587" t="n"/>
      <c r="JNL88" s="587" t="n"/>
      <c r="JNM88" s="587" t="n"/>
      <c r="JNN88" s="587" t="n"/>
      <c r="JNO88" s="587" t="n"/>
      <c r="JNP88" s="587" t="n"/>
      <c r="JNQ88" s="587" t="n"/>
      <c r="JNR88" s="587" t="n"/>
      <c r="JNS88" s="587" t="n"/>
      <c r="JNT88" s="587" t="n"/>
      <c r="JNU88" s="587" t="n"/>
      <c r="JNV88" s="587" t="n"/>
      <c r="JNW88" s="587" t="n"/>
      <c r="JNX88" s="587" t="n"/>
      <c r="JNY88" s="587" t="n"/>
      <c r="JNZ88" s="587" t="n"/>
      <c r="JOA88" s="587" t="n"/>
      <c r="JOB88" s="587" t="n"/>
      <c r="JOC88" s="587" t="n"/>
      <c r="JOD88" s="587" t="n"/>
      <c r="JOE88" s="587" t="n"/>
      <c r="JOF88" s="587" t="n"/>
      <c r="JOG88" s="587" t="n"/>
      <c r="JOH88" s="587" t="n"/>
      <c r="JOI88" s="587" t="n"/>
      <c r="JOJ88" s="587" t="n"/>
      <c r="JOK88" s="587" t="n"/>
      <c r="JOL88" s="587" t="n"/>
      <c r="JOM88" s="587" t="n"/>
      <c r="JON88" s="587" t="n"/>
      <c r="JOO88" s="587" t="n"/>
      <c r="JOP88" s="587" t="n"/>
      <c r="JOQ88" s="587" t="n"/>
      <c r="JOR88" s="587" t="n"/>
      <c r="JOS88" s="587" t="n"/>
      <c r="JOT88" s="587" t="n"/>
      <c r="JOU88" s="587" t="n"/>
      <c r="JOV88" s="587" t="n"/>
      <c r="JOW88" s="587" t="n"/>
      <c r="JOX88" s="587" t="n"/>
      <c r="JOY88" s="587" t="n"/>
      <c r="JOZ88" s="587" t="n"/>
      <c r="JPA88" s="587" t="n"/>
      <c r="JPB88" s="587" t="n"/>
      <c r="JPC88" s="587" t="n"/>
      <c r="JPD88" s="587" t="n"/>
      <c r="JPE88" s="587" t="n"/>
      <c r="JPF88" s="587" t="n"/>
      <c r="JPG88" s="587" t="n"/>
      <c r="JPH88" s="587" t="n"/>
      <c r="JPI88" s="587" t="n"/>
      <c r="JPJ88" s="587" t="n"/>
      <c r="JPK88" s="587" t="n"/>
      <c r="JPL88" s="587" t="n"/>
      <c r="JPM88" s="587" t="n"/>
      <c r="JPN88" s="587" t="n"/>
      <c r="JPO88" s="587" t="n"/>
      <c r="JPP88" s="587" t="n"/>
      <c r="JPQ88" s="587" t="n"/>
      <c r="JPR88" s="587" t="n"/>
      <c r="JPS88" s="587" t="n"/>
      <c r="JPT88" s="587" t="n"/>
      <c r="JPU88" s="587" t="n"/>
      <c r="JPV88" s="587" t="n"/>
      <c r="JPW88" s="587" t="n"/>
      <c r="JPX88" s="587" t="n"/>
      <c r="JPY88" s="587" t="n"/>
      <c r="JPZ88" s="587" t="n"/>
      <c r="JQA88" s="587" t="n"/>
      <c r="JQB88" s="587" t="n"/>
      <c r="JQC88" s="587" t="n"/>
      <c r="JQD88" s="587" t="n"/>
      <c r="JQE88" s="587" t="n"/>
      <c r="JQF88" s="587" t="n"/>
      <c r="JQG88" s="587" t="n"/>
      <c r="JQH88" s="587" t="n"/>
      <c r="JQI88" s="587" t="n"/>
      <c r="JQJ88" s="587" t="n"/>
      <c r="JQK88" s="587" t="n"/>
      <c r="JQL88" s="587" t="n"/>
      <c r="JQM88" s="587" t="n"/>
      <c r="JQN88" s="587" t="n"/>
      <c r="JQO88" s="587" t="n"/>
      <c r="JQP88" s="587" t="n"/>
      <c r="JQQ88" s="587" t="n"/>
      <c r="JQR88" s="587" t="n"/>
      <c r="JQS88" s="587" t="n"/>
      <c r="JQT88" s="587" t="n"/>
      <c r="JQU88" s="587" t="n"/>
      <c r="JQV88" s="587" t="n"/>
      <c r="JQW88" s="587" t="n"/>
      <c r="JQX88" s="587" t="n"/>
      <c r="JQY88" s="587" t="n"/>
      <c r="JQZ88" s="587" t="n"/>
      <c r="JRA88" s="587" t="n"/>
      <c r="JRB88" s="587" t="n"/>
      <c r="JRC88" s="587" t="n"/>
      <c r="JRD88" s="587" t="n"/>
      <c r="JRE88" s="587" t="n"/>
      <c r="JRF88" s="587" t="n"/>
      <c r="JRG88" s="587" t="n"/>
      <c r="JRH88" s="587" t="n"/>
      <c r="JRI88" s="587" t="n"/>
      <c r="JRJ88" s="587" t="n"/>
      <c r="JRK88" s="587" t="n"/>
      <c r="JRL88" s="587" t="n"/>
      <c r="JRM88" s="587" t="n"/>
      <c r="JRN88" s="587" t="n"/>
      <c r="JRO88" s="587" t="n"/>
      <c r="JRP88" s="587" t="n"/>
      <c r="JRQ88" s="587" t="n"/>
      <c r="JRR88" s="587" t="n"/>
      <c r="JRS88" s="587" t="n"/>
      <c r="JRT88" s="587" t="n"/>
      <c r="JRU88" s="587" t="n"/>
      <c r="JRV88" s="587" t="n"/>
      <c r="JRW88" s="587" t="n"/>
      <c r="JRX88" s="587" t="n"/>
      <c r="JRY88" s="587" t="n"/>
      <c r="JRZ88" s="587" t="n"/>
      <c r="JSA88" s="587" t="n"/>
      <c r="JSB88" s="587" t="n"/>
      <c r="JSC88" s="587" t="n"/>
      <c r="JSD88" s="587" t="n"/>
      <c r="JSE88" s="587" t="n"/>
      <c r="JSF88" s="587" t="n"/>
      <c r="JSG88" s="587" t="n"/>
      <c r="JSH88" s="587" t="n"/>
      <c r="JSI88" s="587" t="n"/>
      <c r="JSJ88" s="587" t="n"/>
      <c r="JSK88" s="587" t="n"/>
      <c r="JSL88" s="587" t="n"/>
      <c r="JSM88" s="587" t="n"/>
      <c r="JSN88" s="587" t="n"/>
      <c r="JSO88" s="587" t="n"/>
      <c r="JSP88" s="587" t="n"/>
      <c r="JSQ88" s="587" t="n"/>
      <c r="JSR88" s="587" t="n"/>
      <c r="JSS88" s="587" t="n"/>
      <c r="JST88" s="587" t="n"/>
      <c r="JSU88" s="587" t="n"/>
      <c r="JSV88" s="587" t="n"/>
      <c r="JSW88" s="587" t="n"/>
      <c r="JSX88" s="587" t="n"/>
      <c r="JSY88" s="587" t="n"/>
      <c r="JSZ88" s="587" t="n"/>
      <c r="JTA88" s="587" t="n"/>
      <c r="JTB88" s="587" t="n"/>
      <c r="JTC88" s="587" t="n"/>
      <c r="JTD88" s="587" t="n"/>
      <c r="JTE88" s="587" t="n"/>
      <c r="JTF88" s="587" t="n"/>
      <c r="JTG88" s="587" t="n"/>
      <c r="JTH88" s="587" t="n"/>
      <c r="JTI88" s="587" t="n"/>
      <c r="JTJ88" s="587" t="n"/>
      <c r="JTK88" s="587" t="n"/>
      <c r="JTL88" s="587" t="n"/>
      <c r="JTM88" s="587" t="n"/>
      <c r="JTN88" s="587" t="n"/>
      <c r="JTO88" s="587" t="n"/>
      <c r="JTP88" s="587" t="n"/>
      <c r="JTQ88" s="587" t="n"/>
      <c r="JTR88" s="587" t="n"/>
      <c r="JTS88" s="587" t="n"/>
      <c r="JTT88" s="587" t="n"/>
      <c r="JTU88" s="587" t="n"/>
      <c r="JTV88" s="587" t="n"/>
      <c r="JTW88" s="587" t="n"/>
      <c r="JTX88" s="587" t="n"/>
      <c r="JTY88" s="587" t="n"/>
      <c r="JTZ88" s="587" t="n"/>
      <c r="JUA88" s="587" t="n"/>
      <c r="JUB88" s="587" t="n"/>
      <c r="JUC88" s="587" t="n"/>
      <c r="JUD88" s="587" t="n"/>
      <c r="JUE88" s="587" t="n"/>
      <c r="JUF88" s="587" t="n"/>
      <c r="JUG88" s="587" t="n"/>
      <c r="JUH88" s="587" t="n"/>
      <c r="JUI88" s="587" t="n"/>
      <c r="JUJ88" s="587" t="n"/>
      <c r="JUK88" s="587" t="n"/>
      <c r="JUL88" s="587" t="n"/>
      <c r="JUM88" s="587" t="n"/>
      <c r="JUN88" s="587" t="n"/>
      <c r="JUO88" s="587" t="n"/>
      <c r="JUP88" s="587" t="n"/>
      <c r="JUQ88" s="587" t="n"/>
      <c r="JUR88" s="587" t="n"/>
      <c r="JUS88" s="587" t="n"/>
      <c r="JUT88" s="587" t="n"/>
      <c r="JUU88" s="587" t="n"/>
      <c r="JUV88" s="587" t="n"/>
      <c r="JUW88" s="587" t="n"/>
      <c r="JUX88" s="587" t="n"/>
      <c r="JUY88" s="587" t="n"/>
      <c r="JUZ88" s="587" t="n"/>
      <c r="JVA88" s="587" t="n"/>
      <c r="JVB88" s="587" t="n"/>
      <c r="JVC88" s="587" t="n"/>
      <c r="JVD88" s="587" t="n"/>
      <c r="JVE88" s="587" t="n"/>
      <c r="JVF88" s="587" t="n"/>
      <c r="JVG88" s="587" t="n"/>
      <c r="JVH88" s="587" t="n"/>
      <c r="JVI88" s="587" t="n"/>
      <c r="JVJ88" s="587" t="n"/>
      <c r="JVK88" s="587" t="n"/>
      <c r="JVL88" s="587" t="n"/>
      <c r="JVM88" s="587" t="n"/>
      <c r="JVN88" s="587" t="n"/>
      <c r="JVO88" s="587" t="n"/>
      <c r="JVP88" s="587" t="n"/>
      <c r="JVQ88" s="587" t="n"/>
      <c r="JVR88" s="587" t="n"/>
      <c r="JVS88" s="587" t="n"/>
      <c r="JVT88" s="587" t="n"/>
      <c r="JVU88" s="587" t="n"/>
      <c r="JVV88" s="587" t="n"/>
      <c r="JVW88" s="587" t="n"/>
      <c r="JVX88" s="587" t="n"/>
      <c r="JVY88" s="587" t="n"/>
      <c r="JVZ88" s="587" t="n"/>
      <c r="JWA88" s="587" t="n"/>
      <c r="JWB88" s="587" t="n"/>
      <c r="JWC88" s="587" t="n"/>
      <c r="JWD88" s="587" t="n"/>
      <c r="JWE88" s="587" t="n"/>
      <c r="JWF88" s="587" t="n"/>
      <c r="JWG88" s="587" t="n"/>
      <c r="JWH88" s="587" t="n"/>
      <c r="JWI88" s="587" t="n"/>
      <c r="JWJ88" s="587" t="n"/>
      <c r="JWK88" s="587" t="n"/>
      <c r="JWL88" s="587" t="n"/>
      <c r="JWM88" s="587" t="n"/>
      <c r="JWN88" s="587" t="n"/>
      <c r="JWO88" s="587" t="n"/>
      <c r="JWP88" s="587" t="n"/>
      <c r="JWQ88" s="587" t="n"/>
      <c r="JWR88" s="587" t="n"/>
      <c r="JWS88" s="587" t="n"/>
      <c r="JWT88" s="587" t="n"/>
      <c r="JWU88" s="587" t="n"/>
      <c r="JWV88" s="587" t="n"/>
      <c r="JWW88" s="587" t="n"/>
      <c r="JWX88" s="587" t="n"/>
      <c r="JWY88" s="587" t="n"/>
      <c r="JWZ88" s="587" t="n"/>
      <c r="JXA88" s="587" t="n"/>
      <c r="JXB88" s="587" t="n"/>
      <c r="JXC88" s="587" t="n"/>
      <c r="JXD88" s="587" t="n"/>
      <c r="JXE88" s="587" t="n"/>
      <c r="JXF88" s="587" t="n"/>
      <c r="JXG88" s="587" t="n"/>
      <c r="JXH88" s="587" t="n"/>
      <c r="JXI88" s="587" t="n"/>
      <c r="JXJ88" s="587" t="n"/>
      <c r="JXK88" s="587" t="n"/>
      <c r="JXL88" s="587" t="n"/>
      <c r="JXM88" s="587" t="n"/>
      <c r="JXN88" s="587" t="n"/>
      <c r="JXO88" s="587" t="n"/>
      <c r="JXP88" s="587" t="n"/>
      <c r="JXQ88" s="587" t="n"/>
      <c r="JXR88" s="587" t="n"/>
      <c r="JXS88" s="587" t="n"/>
      <c r="JXT88" s="587" t="n"/>
      <c r="JXU88" s="587" t="n"/>
      <c r="JXV88" s="587" t="n"/>
      <c r="JXW88" s="587" t="n"/>
      <c r="JXX88" s="587" t="n"/>
      <c r="JXY88" s="587" t="n"/>
      <c r="JXZ88" s="587" t="n"/>
      <c r="JYA88" s="587" t="n"/>
      <c r="JYB88" s="587" t="n"/>
      <c r="JYC88" s="587" t="n"/>
      <c r="JYD88" s="587" t="n"/>
      <c r="JYE88" s="587" t="n"/>
      <c r="JYF88" s="587" t="n"/>
      <c r="JYG88" s="587" t="n"/>
      <c r="JYH88" s="587" t="n"/>
      <c r="JYI88" s="587" t="n"/>
      <c r="JYJ88" s="587" t="n"/>
      <c r="JYK88" s="587" t="n"/>
      <c r="JYL88" s="587" t="n"/>
      <c r="JYM88" s="587" t="n"/>
      <c r="JYN88" s="587" t="n"/>
      <c r="JYO88" s="587" t="n"/>
      <c r="JYP88" s="587" t="n"/>
      <c r="JYQ88" s="587" t="n"/>
      <c r="JYR88" s="587" t="n"/>
      <c r="JYS88" s="587" t="n"/>
      <c r="JYT88" s="587" t="n"/>
      <c r="JYU88" s="587" t="n"/>
      <c r="JYV88" s="587" t="n"/>
      <c r="JYW88" s="587" t="n"/>
      <c r="JYX88" s="587" t="n"/>
      <c r="JYY88" s="587" t="n"/>
      <c r="JYZ88" s="587" t="n"/>
      <c r="JZA88" s="587" t="n"/>
      <c r="JZB88" s="587" t="n"/>
      <c r="JZC88" s="587" t="n"/>
      <c r="JZD88" s="587" t="n"/>
      <c r="JZE88" s="587" t="n"/>
      <c r="JZF88" s="587" t="n"/>
      <c r="JZG88" s="587" t="n"/>
      <c r="JZH88" s="587" t="n"/>
      <c r="JZI88" s="587" t="n"/>
      <c r="JZJ88" s="587" t="n"/>
      <c r="JZK88" s="587" t="n"/>
      <c r="JZL88" s="587" t="n"/>
      <c r="JZM88" s="587" t="n"/>
      <c r="JZN88" s="587" t="n"/>
      <c r="JZO88" s="587" t="n"/>
      <c r="JZP88" s="587" t="n"/>
      <c r="JZQ88" s="587" t="n"/>
      <c r="JZR88" s="587" t="n"/>
      <c r="JZS88" s="587" t="n"/>
      <c r="JZT88" s="587" t="n"/>
      <c r="JZU88" s="587" t="n"/>
      <c r="JZV88" s="587" t="n"/>
      <c r="JZW88" s="587" t="n"/>
      <c r="JZX88" s="587" t="n"/>
      <c r="JZY88" s="587" t="n"/>
      <c r="JZZ88" s="587" t="n"/>
      <c r="KAA88" s="587" t="n"/>
      <c r="KAB88" s="587" t="n"/>
      <c r="KAC88" s="587" t="n"/>
      <c r="KAD88" s="587" t="n"/>
      <c r="KAE88" s="587" t="n"/>
      <c r="KAF88" s="587" t="n"/>
      <c r="KAG88" s="587" t="n"/>
      <c r="KAH88" s="587" t="n"/>
      <c r="KAI88" s="587" t="n"/>
      <c r="KAJ88" s="587" t="n"/>
      <c r="KAK88" s="587" t="n"/>
      <c r="KAL88" s="587" t="n"/>
      <c r="KAM88" s="587" t="n"/>
      <c r="KAN88" s="587" t="n"/>
      <c r="KAO88" s="587" t="n"/>
      <c r="KAP88" s="587" t="n"/>
      <c r="KAQ88" s="587" t="n"/>
      <c r="KAR88" s="587" t="n"/>
      <c r="KAS88" s="587" t="n"/>
      <c r="KAT88" s="587" t="n"/>
      <c r="KAU88" s="587" t="n"/>
      <c r="KAV88" s="587" t="n"/>
      <c r="KAW88" s="587" t="n"/>
      <c r="KAX88" s="587" t="n"/>
      <c r="KAY88" s="587" t="n"/>
      <c r="KAZ88" s="587" t="n"/>
      <c r="KBA88" s="587" t="n"/>
      <c r="KBB88" s="587" t="n"/>
      <c r="KBC88" s="587" t="n"/>
      <c r="KBD88" s="587" t="n"/>
      <c r="KBE88" s="587" t="n"/>
      <c r="KBF88" s="587" t="n"/>
      <c r="KBG88" s="587" t="n"/>
      <c r="KBH88" s="587" t="n"/>
      <c r="KBI88" s="587" t="n"/>
      <c r="KBJ88" s="587" t="n"/>
      <c r="KBK88" s="587" t="n"/>
      <c r="KBL88" s="587" t="n"/>
      <c r="KBM88" s="587" t="n"/>
      <c r="KBN88" s="587" t="n"/>
      <c r="KBO88" s="587" t="n"/>
      <c r="KBP88" s="587" t="n"/>
      <c r="KBQ88" s="587" t="n"/>
      <c r="KBR88" s="587" t="n"/>
      <c r="KBS88" s="587" t="n"/>
      <c r="KBT88" s="587" t="n"/>
      <c r="KBU88" s="587" t="n"/>
      <c r="KBV88" s="587" t="n"/>
      <c r="KBW88" s="587" t="n"/>
      <c r="KBX88" s="587" t="n"/>
      <c r="KBY88" s="587" t="n"/>
      <c r="KBZ88" s="587" t="n"/>
      <c r="KCA88" s="587" t="n"/>
      <c r="KCB88" s="587" t="n"/>
      <c r="KCC88" s="587" t="n"/>
      <c r="KCD88" s="587" t="n"/>
      <c r="KCE88" s="587" t="n"/>
      <c r="KCF88" s="587" t="n"/>
      <c r="KCG88" s="587" t="n"/>
      <c r="KCH88" s="587" t="n"/>
      <c r="KCI88" s="587" t="n"/>
      <c r="KCJ88" s="587" t="n"/>
      <c r="KCK88" s="587" t="n"/>
      <c r="KCL88" s="587" t="n"/>
      <c r="KCM88" s="587" t="n"/>
      <c r="KCN88" s="587" t="n"/>
      <c r="KCO88" s="587" t="n"/>
      <c r="KCP88" s="587" t="n"/>
      <c r="KCQ88" s="587" t="n"/>
      <c r="KCR88" s="587" t="n"/>
      <c r="KCS88" s="587" t="n"/>
      <c r="KCT88" s="587" t="n"/>
      <c r="KCU88" s="587" t="n"/>
      <c r="KCV88" s="587" t="n"/>
      <c r="KCW88" s="587" t="n"/>
      <c r="KCX88" s="587" t="n"/>
      <c r="KCY88" s="587" t="n"/>
      <c r="KCZ88" s="587" t="n"/>
      <c r="KDA88" s="587" t="n"/>
      <c r="KDB88" s="587" t="n"/>
      <c r="KDC88" s="587" t="n"/>
      <c r="KDD88" s="587" t="n"/>
      <c r="KDE88" s="587" t="n"/>
      <c r="KDF88" s="587" t="n"/>
      <c r="KDG88" s="587" t="n"/>
      <c r="KDH88" s="587" t="n"/>
      <c r="KDI88" s="587" t="n"/>
      <c r="KDJ88" s="587" t="n"/>
      <c r="KDK88" s="587" t="n"/>
      <c r="KDL88" s="587" t="n"/>
      <c r="KDM88" s="587" t="n"/>
      <c r="KDN88" s="587" t="n"/>
      <c r="KDO88" s="587" t="n"/>
      <c r="KDP88" s="587" t="n"/>
      <c r="KDQ88" s="587" t="n"/>
      <c r="KDR88" s="587" t="n"/>
      <c r="KDS88" s="587" t="n"/>
      <c r="KDT88" s="587" t="n"/>
      <c r="KDU88" s="587" t="n"/>
      <c r="KDV88" s="587" t="n"/>
      <c r="KDW88" s="587" t="n"/>
      <c r="KDX88" s="587" t="n"/>
      <c r="KDY88" s="587" t="n"/>
      <c r="KDZ88" s="587" t="n"/>
      <c r="KEA88" s="587" t="n"/>
      <c r="KEB88" s="587" t="n"/>
      <c r="KEC88" s="587" t="n"/>
      <c r="KED88" s="587" t="n"/>
      <c r="KEE88" s="587" t="n"/>
      <c r="KEF88" s="587" t="n"/>
      <c r="KEG88" s="587" t="n"/>
      <c r="KEH88" s="587" t="n"/>
      <c r="KEI88" s="587" t="n"/>
      <c r="KEJ88" s="587" t="n"/>
      <c r="KEK88" s="587" t="n"/>
      <c r="KEL88" s="587" t="n"/>
      <c r="KEM88" s="587" t="n"/>
      <c r="KEN88" s="587" t="n"/>
      <c r="KEO88" s="587" t="n"/>
      <c r="KEP88" s="587" t="n"/>
      <c r="KEQ88" s="587" t="n"/>
      <c r="KER88" s="587" t="n"/>
      <c r="KES88" s="587" t="n"/>
      <c r="KET88" s="587" t="n"/>
      <c r="KEU88" s="587" t="n"/>
      <c r="KEV88" s="587" t="n"/>
      <c r="KEW88" s="587" t="n"/>
      <c r="KEX88" s="587" t="n"/>
      <c r="KEY88" s="587" t="n"/>
      <c r="KEZ88" s="587" t="n"/>
      <c r="KFA88" s="587" t="n"/>
      <c r="KFB88" s="587" t="n"/>
      <c r="KFC88" s="587" t="n"/>
      <c r="KFD88" s="587" t="n"/>
      <c r="KFE88" s="587" t="n"/>
      <c r="KFF88" s="587" t="n"/>
      <c r="KFG88" s="587" t="n"/>
      <c r="KFH88" s="587" t="n"/>
      <c r="KFI88" s="587" t="n"/>
      <c r="KFJ88" s="587" t="n"/>
      <c r="KFK88" s="587" t="n"/>
      <c r="KFL88" s="587" t="n"/>
      <c r="KFM88" s="587" t="n"/>
      <c r="KFN88" s="587" t="n"/>
      <c r="KFO88" s="587" t="n"/>
      <c r="KFP88" s="587" t="n"/>
      <c r="KFQ88" s="587" t="n"/>
      <c r="KFR88" s="587" t="n"/>
      <c r="KFS88" s="587" t="n"/>
      <c r="KFT88" s="587" t="n"/>
      <c r="KFU88" s="587" t="n"/>
      <c r="KFV88" s="587" t="n"/>
      <c r="KFW88" s="587" t="n"/>
      <c r="KFX88" s="587" t="n"/>
      <c r="KFY88" s="587" t="n"/>
      <c r="KFZ88" s="587" t="n"/>
      <c r="KGA88" s="587" t="n"/>
      <c r="KGB88" s="587" t="n"/>
      <c r="KGC88" s="587" t="n"/>
      <c r="KGD88" s="587" t="n"/>
      <c r="KGE88" s="587" t="n"/>
      <c r="KGF88" s="587" t="n"/>
      <c r="KGG88" s="587" t="n"/>
      <c r="KGH88" s="587" t="n"/>
      <c r="KGI88" s="587" t="n"/>
      <c r="KGJ88" s="587" t="n"/>
      <c r="KGK88" s="587" t="n"/>
      <c r="KGL88" s="587" t="n"/>
      <c r="KGM88" s="587" t="n"/>
      <c r="KGN88" s="587" t="n"/>
      <c r="KGO88" s="587" t="n"/>
      <c r="KGP88" s="587" t="n"/>
      <c r="KGQ88" s="587" t="n"/>
      <c r="KGR88" s="587" t="n"/>
      <c r="KGS88" s="587" t="n"/>
      <c r="KGT88" s="587" t="n"/>
      <c r="KGU88" s="587" t="n"/>
      <c r="KGV88" s="587" t="n"/>
      <c r="KGW88" s="587" t="n"/>
      <c r="KGX88" s="587" t="n"/>
      <c r="KGY88" s="587" t="n"/>
      <c r="KGZ88" s="587" t="n"/>
      <c r="KHA88" s="587" t="n"/>
      <c r="KHB88" s="587" t="n"/>
      <c r="KHC88" s="587" t="n"/>
      <c r="KHD88" s="587" t="n"/>
      <c r="KHE88" s="587" t="n"/>
      <c r="KHF88" s="587" t="n"/>
      <c r="KHG88" s="587" t="n"/>
      <c r="KHH88" s="587" t="n"/>
      <c r="KHI88" s="587" t="n"/>
      <c r="KHJ88" s="587" t="n"/>
      <c r="KHK88" s="587" t="n"/>
      <c r="KHL88" s="587" t="n"/>
      <c r="KHM88" s="587" t="n"/>
      <c r="KHN88" s="587" t="n"/>
      <c r="KHO88" s="587" t="n"/>
      <c r="KHP88" s="587" t="n"/>
      <c r="KHQ88" s="587" t="n"/>
      <c r="KHR88" s="587" t="n"/>
      <c r="KHS88" s="587" t="n"/>
      <c r="KHT88" s="587" t="n"/>
      <c r="KHU88" s="587" t="n"/>
      <c r="KHV88" s="587" t="n"/>
      <c r="KHW88" s="587" t="n"/>
      <c r="KHX88" s="587" t="n"/>
      <c r="KHY88" s="587" t="n"/>
      <c r="KHZ88" s="587" t="n"/>
      <c r="KIA88" s="587" t="n"/>
      <c r="KIB88" s="587" t="n"/>
      <c r="KIC88" s="587" t="n"/>
      <c r="KID88" s="587" t="n"/>
      <c r="KIE88" s="587" t="n"/>
      <c r="KIF88" s="587" t="n"/>
      <c r="KIG88" s="587" t="n"/>
      <c r="KIH88" s="587" t="n"/>
      <c r="KII88" s="587" t="n"/>
      <c r="KIJ88" s="587" t="n"/>
      <c r="KIK88" s="587" t="n"/>
      <c r="KIL88" s="587" t="n"/>
      <c r="KIM88" s="587" t="n"/>
      <c r="KIN88" s="587" t="n"/>
      <c r="KIO88" s="587" t="n"/>
      <c r="KIP88" s="587" t="n"/>
      <c r="KIQ88" s="587" t="n"/>
      <c r="KIR88" s="587" t="n"/>
      <c r="KIS88" s="587" t="n"/>
      <c r="KIT88" s="587" t="n"/>
      <c r="KIU88" s="587" t="n"/>
      <c r="KIV88" s="587" t="n"/>
      <c r="KIW88" s="587" t="n"/>
      <c r="KIX88" s="587" t="n"/>
      <c r="KIY88" s="587" t="n"/>
      <c r="KIZ88" s="587" t="n"/>
      <c r="KJA88" s="587" t="n"/>
      <c r="KJB88" s="587" t="n"/>
      <c r="KJC88" s="587" t="n"/>
      <c r="KJD88" s="587" t="n"/>
      <c r="KJE88" s="587" t="n"/>
      <c r="KJF88" s="587" t="n"/>
      <c r="KJG88" s="587" t="n"/>
      <c r="KJH88" s="587" t="n"/>
      <c r="KJI88" s="587" t="n"/>
      <c r="KJJ88" s="587" t="n"/>
      <c r="KJK88" s="587" t="n"/>
      <c r="KJL88" s="587" t="n"/>
      <c r="KJM88" s="587" t="n"/>
      <c r="KJN88" s="587" t="n"/>
      <c r="KJO88" s="587" t="n"/>
      <c r="KJP88" s="587" t="n"/>
      <c r="KJQ88" s="587" t="n"/>
      <c r="KJR88" s="587" t="n"/>
      <c r="KJS88" s="587" t="n"/>
      <c r="KJT88" s="587" t="n"/>
      <c r="KJU88" s="587" t="n"/>
      <c r="KJV88" s="587" t="n"/>
      <c r="KJW88" s="587" t="n"/>
      <c r="KJX88" s="587" t="n"/>
      <c r="KJY88" s="587" t="n"/>
      <c r="KJZ88" s="587" t="n"/>
      <c r="KKA88" s="587" t="n"/>
      <c r="KKB88" s="587" t="n"/>
      <c r="KKC88" s="587" t="n"/>
      <c r="KKD88" s="587" t="n"/>
      <c r="KKE88" s="587" t="n"/>
      <c r="KKF88" s="587" t="n"/>
      <c r="KKG88" s="587" t="n"/>
      <c r="KKH88" s="587" t="n"/>
      <c r="KKI88" s="587" t="n"/>
      <c r="KKJ88" s="587" t="n"/>
      <c r="KKK88" s="587" t="n"/>
      <c r="KKL88" s="587" t="n"/>
      <c r="KKM88" s="587" t="n"/>
      <c r="KKN88" s="587" t="n"/>
      <c r="KKO88" s="587" t="n"/>
      <c r="KKP88" s="587" t="n"/>
      <c r="KKQ88" s="587" t="n"/>
      <c r="KKR88" s="587" t="n"/>
      <c r="KKS88" s="587" t="n"/>
      <c r="KKT88" s="587" t="n"/>
      <c r="KKU88" s="587" t="n"/>
      <c r="KKV88" s="587" t="n"/>
      <c r="KKW88" s="587" t="n"/>
      <c r="KKX88" s="587" t="n"/>
      <c r="KKY88" s="587" t="n"/>
      <c r="KKZ88" s="587" t="n"/>
      <c r="KLA88" s="587" t="n"/>
      <c r="KLB88" s="587" t="n"/>
      <c r="KLC88" s="587" t="n"/>
      <c r="KLD88" s="587" t="n"/>
      <c r="KLE88" s="587" t="n"/>
      <c r="KLF88" s="587" t="n"/>
      <c r="KLG88" s="587" t="n"/>
      <c r="KLH88" s="587" t="n"/>
      <c r="KLI88" s="587" t="n"/>
      <c r="KLJ88" s="587" t="n"/>
      <c r="KLK88" s="587" t="n"/>
      <c r="KLL88" s="587" t="n"/>
      <c r="KLM88" s="587" t="n"/>
      <c r="KLN88" s="587" t="n"/>
      <c r="KLO88" s="587" t="n"/>
      <c r="KLP88" s="587" t="n"/>
      <c r="KLQ88" s="587" t="n"/>
      <c r="KLR88" s="587" t="n"/>
      <c r="KLS88" s="587" t="n"/>
      <c r="KLT88" s="587" t="n"/>
      <c r="KLU88" s="587" t="n"/>
      <c r="KLV88" s="587" t="n"/>
      <c r="KLW88" s="587" t="n"/>
      <c r="KLX88" s="587" t="n"/>
      <c r="KLY88" s="587" t="n"/>
      <c r="KLZ88" s="587" t="n"/>
      <c r="KMA88" s="587" t="n"/>
      <c r="KMB88" s="587" t="n"/>
      <c r="KMC88" s="587" t="n"/>
      <c r="KMD88" s="587" t="n"/>
      <c r="KME88" s="587" t="n"/>
      <c r="KMF88" s="587" t="n"/>
      <c r="KMG88" s="587" t="n"/>
      <c r="KMH88" s="587" t="n"/>
      <c r="KMI88" s="587" t="n"/>
      <c r="KMJ88" s="587" t="n"/>
      <c r="KMK88" s="587" t="n"/>
      <c r="KML88" s="587" t="n"/>
      <c r="KMM88" s="587" t="n"/>
      <c r="KMN88" s="587" t="n"/>
      <c r="KMO88" s="587" t="n"/>
      <c r="KMP88" s="587" t="n"/>
      <c r="KMQ88" s="587" t="n"/>
      <c r="KMR88" s="587" t="n"/>
      <c r="KMS88" s="587" t="n"/>
      <c r="KMT88" s="587" t="n"/>
      <c r="KMU88" s="587" t="n"/>
      <c r="KMV88" s="587" t="n"/>
      <c r="KMW88" s="587" t="n"/>
      <c r="KMX88" s="587" t="n"/>
      <c r="KMY88" s="587" t="n"/>
      <c r="KMZ88" s="587" t="n"/>
      <c r="KNA88" s="587" t="n"/>
      <c r="KNB88" s="587" t="n"/>
      <c r="KNC88" s="587" t="n"/>
      <c r="KND88" s="587" t="n"/>
      <c r="KNE88" s="587" t="n"/>
      <c r="KNF88" s="587" t="n"/>
      <c r="KNG88" s="587" t="n"/>
      <c r="KNH88" s="587" t="n"/>
      <c r="KNI88" s="587" t="n"/>
      <c r="KNJ88" s="587" t="n"/>
      <c r="KNK88" s="587" t="n"/>
      <c r="KNL88" s="587" t="n"/>
      <c r="KNM88" s="587" t="n"/>
      <c r="KNN88" s="587" t="n"/>
      <c r="KNO88" s="587" t="n"/>
      <c r="KNP88" s="587" t="n"/>
      <c r="KNQ88" s="587" t="n"/>
      <c r="KNR88" s="587" t="n"/>
      <c r="KNS88" s="587" t="n"/>
      <c r="KNT88" s="587" t="n"/>
      <c r="KNU88" s="587" t="n"/>
      <c r="KNV88" s="587" t="n"/>
      <c r="KNW88" s="587" t="n"/>
      <c r="KNX88" s="587" t="n"/>
      <c r="KNY88" s="587" t="n"/>
      <c r="KNZ88" s="587" t="n"/>
      <c r="KOA88" s="587" t="n"/>
      <c r="KOB88" s="587" t="n"/>
      <c r="KOC88" s="587" t="n"/>
      <c r="KOD88" s="587" t="n"/>
      <c r="KOE88" s="587" t="n"/>
      <c r="KOF88" s="587" t="n"/>
      <c r="KOG88" s="587" t="n"/>
      <c r="KOH88" s="587" t="n"/>
      <c r="KOI88" s="587" t="n"/>
      <c r="KOJ88" s="587" t="n"/>
      <c r="KOK88" s="587" t="n"/>
      <c r="KOL88" s="587" t="n"/>
      <c r="KOM88" s="587" t="n"/>
      <c r="KON88" s="587" t="n"/>
      <c r="KOO88" s="587" t="n"/>
      <c r="KOP88" s="587" t="n"/>
      <c r="KOQ88" s="587" t="n"/>
      <c r="KOR88" s="587" t="n"/>
      <c r="KOS88" s="587" t="n"/>
      <c r="KOT88" s="587" t="n"/>
      <c r="KOU88" s="587" t="n"/>
      <c r="KOV88" s="587" t="n"/>
      <c r="KOW88" s="587" t="n"/>
      <c r="KOX88" s="587" t="n"/>
      <c r="KOY88" s="587" t="n"/>
      <c r="KOZ88" s="587" t="n"/>
      <c r="KPA88" s="587" t="n"/>
      <c r="KPB88" s="587" t="n"/>
      <c r="KPC88" s="587" t="n"/>
      <c r="KPD88" s="587" t="n"/>
      <c r="KPE88" s="587" t="n"/>
      <c r="KPF88" s="587" t="n"/>
      <c r="KPG88" s="587" t="n"/>
      <c r="KPH88" s="587" t="n"/>
      <c r="KPI88" s="587" t="n"/>
      <c r="KPJ88" s="587" t="n"/>
      <c r="KPK88" s="587" t="n"/>
      <c r="KPL88" s="587" t="n"/>
      <c r="KPM88" s="587" t="n"/>
      <c r="KPN88" s="587" t="n"/>
      <c r="KPO88" s="587" t="n"/>
      <c r="KPP88" s="587" t="n"/>
      <c r="KPQ88" s="587" t="n"/>
      <c r="KPR88" s="587" t="n"/>
      <c r="KPS88" s="587" t="n"/>
      <c r="KPT88" s="587" t="n"/>
      <c r="KPU88" s="587" t="n"/>
      <c r="KPV88" s="587" t="n"/>
      <c r="KPW88" s="587" t="n"/>
      <c r="KPX88" s="587" t="n"/>
      <c r="KPY88" s="587" t="n"/>
      <c r="KPZ88" s="587" t="n"/>
      <c r="KQA88" s="587" t="n"/>
      <c r="KQB88" s="587" t="n"/>
      <c r="KQC88" s="587" t="n"/>
      <c r="KQD88" s="587" t="n"/>
      <c r="KQE88" s="587" t="n"/>
      <c r="KQF88" s="587" t="n"/>
      <c r="KQG88" s="587" t="n"/>
      <c r="KQH88" s="587" t="n"/>
      <c r="KQI88" s="587" t="n"/>
      <c r="KQJ88" s="587" t="n"/>
      <c r="KQK88" s="587" t="n"/>
      <c r="KQL88" s="587" t="n"/>
      <c r="KQM88" s="587" t="n"/>
      <c r="KQN88" s="587" t="n"/>
      <c r="KQO88" s="587" t="n"/>
      <c r="KQP88" s="587" t="n"/>
      <c r="KQQ88" s="587" t="n"/>
      <c r="KQR88" s="587" t="n"/>
      <c r="KQS88" s="587" t="n"/>
      <c r="KQT88" s="587" t="n"/>
      <c r="KQU88" s="587" t="n"/>
      <c r="KQV88" s="587" t="n"/>
      <c r="KQW88" s="587" t="n"/>
      <c r="KQX88" s="587" t="n"/>
      <c r="KQY88" s="587" t="n"/>
      <c r="KQZ88" s="587" t="n"/>
      <c r="KRA88" s="587" t="n"/>
      <c r="KRB88" s="587" t="n"/>
      <c r="KRC88" s="587" t="n"/>
      <c r="KRD88" s="587" t="n"/>
      <c r="KRE88" s="587" t="n"/>
      <c r="KRF88" s="587" t="n"/>
      <c r="KRG88" s="587" t="n"/>
      <c r="KRH88" s="587" t="n"/>
      <c r="KRI88" s="587" t="n"/>
      <c r="KRJ88" s="587" t="n"/>
      <c r="KRK88" s="587" t="n"/>
      <c r="KRL88" s="587" t="n"/>
      <c r="KRM88" s="587" t="n"/>
      <c r="KRN88" s="587" t="n"/>
      <c r="KRO88" s="587" t="n"/>
      <c r="KRP88" s="587" t="n"/>
      <c r="KRQ88" s="587" t="n"/>
      <c r="KRR88" s="587" t="n"/>
      <c r="KRS88" s="587" t="n"/>
      <c r="KRT88" s="587" t="n"/>
      <c r="KRU88" s="587" t="n"/>
      <c r="KRV88" s="587" t="n"/>
      <c r="KRW88" s="587" t="n"/>
      <c r="KRX88" s="587" t="n"/>
      <c r="KRY88" s="587" t="n"/>
      <c r="KRZ88" s="587" t="n"/>
      <c r="KSA88" s="587" t="n"/>
      <c r="KSB88" s="587" t="n"/>
      <c r="KSC88" s="587" t="n"/>
      <c r="KSD88" s="587" t="n"/>
      <c r="KSE88" s="587" t="n"/>
      <c r="KSF88" s="587" t="n"/>
      <c r="KSG88" s="587" t="n"/>
      <c r="KSH88" s="587" t="n"/>
      <c r="KSI88" s="587" t="n"/>
      <c r="KSJ88" s="587" t="n"/>
      <c r="KSK88" s="587" t="n"/>
      <c r="KSL88" s="587" t="n"/>
      <c r="KSM88" s="587" t="n"/>
      <c r="KSN88" s="587" t="n"/>
      <c r="KSO88" s="587" t="n"/>
      <c r="KSP88" s="587" t="n"/>
      <c r="KSQ88" s="587" t="n"/>
      <c r="KSR88" s="587" t="n"/>
      <c r="KSS88" s="587" t="n"/>
      <c r="KST88" s="587" t="n"/>
      <c r="KSU88" s="587" t="n"/>
      <c r="KSV88" s="587" t="n"/>
      <c r="KSW88" s="587" t="n"/>
      <c r="KSX88" s="587" t="n"/>
      <c r="KSY88" s="587" t="n"/>
      <c r="KSZ88" s="587" t="n"/>
      <c r="KTA88" s="587" t="n"/>
      <c r="KTB88" s="587" t="n"/>
      <c r="KTC88" s="587" t="n"/>
      <c r="KTD88" s="587" t="n"/>
      <c r="KTE88" s="587" t="n"/>
      <c r="KTF88" s="587" t="n"/>
      <c r="KTG88" s="587" t="n"/>
      <c r="KTH88" s="587" t="n"/>
      <c r="KTI88" s="587" t="n"/>
      <c r="KTJ88" s="587" t="n"/>
      <c r="KTK88" s="587" t="n"/>
      <c r="KTL88" s="587" t="n"/>
      <c r="KTM88" s="587" t="n"/>
      <c r="KTN88" s="587" t="n"/>
      <c r="KTO88" s="587" t="n"/>
      <c r="KTP88" s="587" t="n"/>
      <c r="KTQ88" s="587" t="n"/>
      <c r="KTR88" s="587" t="n"/>
      <c r="KTS88" s="587" t="n"/>
      <c r="KTT88" s="587" t="n"/>
      <c r="KTU88" s="587" t="n"/>
      <c r="KTV88" s="587" t="n"/>
      <c r="KTW88" s="587" t="n"/>
      <c r="KTX88" s="587" t="n"/>
      <c r="KTY88" s="587" t="n"/>
      <c r="KTZ88" s="587" t="n"/>
      <c r="KUA88" s="587" t="n"/>
      <c r="KUB88" s="587" t="n"/>
      <c r="KUC88" s="587" t="n"/>
      <c r="KUD88" s="587" t="n"/>
      <c r="KUE88" s="587" t="n"/>
      <c r="KUF88" s="587" t="n"/>
      <c r="KUG88" s="587" t="n"/>
      <c r="KUH88" s="587" t="n"/>
      <c r="KUI88" s="587" t="n"/>
      <c r="KUJ88" s="587" t="n"/>
      <c r="KUK88" s="587" t="n"/>
      <c r="KUL88" s="587" t="n"/>
      <c r="KUM88" s="587" t="n"/>
      <c r="KUN88" s="587" t="n"/>
      <c r="KUO88" s="587" t="n"/>
      <c r="KUP88" s="587" t="n"/>
      <c r="KUQ88" s="587" t="n"/>
      <c r="KUR88" s="587" t="n"/>
      <c r="KUS88" s="587" t="n"/>
      <c r="KUT88" s="587" t="n"/>
      <c r="KUU88" s="587" t="n"/>
      <c r="KUV88" s="587" t="n"/>
      <c r="KUW88" s="587" t="n"/>
      <c r="KUX88" s="587" t="n"/>
      <c r="KUY88" s="587" t="n"/>
      <c r="KUZ88" s="587" t="n"/>
      <c r="KVA88" s="587" t="n"/>
      <c r="KVB88" s="587" t="n"/>
      <c r="KVC88" s="587" t="n"/>
      <c r="KVD88" s="587" t="n"/>
      <c r="KVE88" s="587" t="n"/>
      <c r="KVF88" s="587" t="n"/>
      <c r="KVG88" s="587" t="n"/>
      <c r="KVH88" s="587" t="n"/>
      <c r="KVI88" s="587" t="n"/>
      <c r="KVJ88" s="587" t="n"/>
      <c r="KVK88" s="587" t="n"/>
      <c r="KVL88" s="587" t="n"/>
      <c r="KVM88" s="587" t="n"/>
      <c r="KVN88" s="587" t="n"/>
      <c r="KVO88" s="587" t="n"/>
      <c r="KVP88" s="587" t="n"/>
      <c r="KVQ88" s="587" t="n"/>
      <c r="KVR88" s="587" t="n"/>
      <c r="KVS88" s="587" t="n"/>
      <c r="KVT88" s="587" t="n"/>
      <c r="KVU88" s="587" t="n"/>
      <c r="KVV88" s="587" t="n"/>
      <c r="KVW88" s="587" t="n"/>
      <c r="KVX88" s="587" t="n"/>
      <c r="KVY88" s="587" t="n"/>
      <c r="KVZ88" s="587" t="n"/>
      <c r="KWA88" s="587" t="n"/>
      <c r="KWB88" s="587" t="n"/>
      <c r="KWC88" s="587" t="n"/>
      <c r="KWD88" s="587" t="n"/>
      <c r="KWE88" s="587" t="n"/>
      <c r="KWF88" s="587" t="n"/>
      <c r="KWG88" s="587" t="n"/>
      <c r="KWH88" s="587" t="n"/>
      <c r="KWI88" s="587" t="n"/>
      <c r="KWJ88" s="587" t="n"/>
      <c r="KWK88" s="587" t="n"/>
      <c r="KWL88" s="587" t="n"/>
      <c r="KWM88" s="587" t="n"/>
      <c r="KWN88" s="587" t="n"/>
      <c r="KWO88" s="587" t="n"/>
      <c r="KWP88" s="587" t="n"/>
      <c r="KWQ88" s="587" t="n"/>
      <c r="KWR88" s="587" t="n"/>
      <c r="KWS88" s="587" t="n"/>
      <c r="KWT88" s="587" t="n"/>
      <c r="KWU88" s="587" t="n"/>
      <c r="KWV88" s="587" t="n"/>
      <c r="KWW88" s="587" t="n"/>
      <c r="KWX88" s="587" t="n"/>
      <c r="KWY88" s="587" t="n"/>
      <c r="KWZ88" s="587" t="n"/>
      <c r="KXA88" s="587" t="n"/>
      <c r="KXB88" s="587" t="n"/>
      <c r="KXC88" s="587" t="n"/>
      <c r="KXD88" s="587" t="n"/>
      <c r="KXE88" s="587" t="n"/>
      <c r="KXF88" s="587" t="n"/>
      <c r="KXG88" s="587" t="n"/>
      <c r="KXH88" s="587" t="n"/>
      <c r="KXI88" s="587" t="n"/>
      <c r="KXJ88" s="587" t="n"/>
      <c r="KXK88" s="587" t="n"/>
      <c r="KXL88" s="587" t="n"/>
      <c r="KXM88" s="587" t="n"/>
      <c r="KXN88" s="587" t="n"/>
      <c r="KXO88" s="587" t="n"/>
      <c r="KXP88" s="587" t="n"/>
      <c r="KXQ88" s="587" t="n"/>
      <c r="KXR88" s="587" t="n"/>
      <c r="KXS88" s="587" t="n"/>
      <c r="KXT88" s="587" t="n"/>
      <c r="KXU88" s="587" t="n"/>
      <c r="KXV88" s="587" t="n"/>
      <c r="KXW88" s="587" t="n"/>
      <c r="KXX88" s="587" t="n"/>
      <c r="KXY88" s="587" t="n"/>
      <c r="KXZ88" s="587" t="n"/>
      <c r="KYA88" s="587" t="n"/>
      <c r="KYB88" s="587" t="n"/>
      <c r="KYC88" s="587" t="n"/>
      <c r="KYD88" s="587" t="n"/>
      <c r="KYE88" s="587" t="n"/>
      <c r="KYF88" s="587" t="n"/>
      <c r="KYG88" s="587" t="n"/>
      <c r="KYH88" s="587" t="n"/>
      <c r="KYI88" s="587" t="n"/>
      <c r="KYJ88" s="587" t="n"/>
      <c r="KYK88" s="587" t="n"/>
      <c r="KYL88" s="587" t="n"/>
      <c r="KYM88" s="587" t="n"/>
      <c r="KYN88" s="587" t="n"/>
      <c r="KYO88" s="587" t="n"/>
      <c r="KYP88" s="587" t="n"/>
      <c r="KYQ88" s="587" t="n"/>
      <c r="KYR88" s="587" t="n"/>
      <c r="KYS88" s="587" t="n"/>
      <c r="KYT88" s="587" t="n"/>
      <c r="KYU88" s="587" t="n"/>
      <c r="KYV88" s="587" t="n"/>
      <c r="KYW88" s="587" t="n"/>
      <c r="KYX88" s="587" t="n"/>
      <c r="KYY88" s="587" t="n"/>
      <c r="KYZ88" s="587" t="n"/>
      <c r="KZA88" s="587" t="n"/>
      <c r="KZB88" s="587" t="n"/>
      <c r="KZC88" s="587" t="n"/>
      <c r="KZD88" s="587" t="n"/>
      <c r="KZE88" s="587" t="n"/>
      <c r="KZF88" s="587" t="n"/>
      <c r="KZG88" s="587" t="n"/>
      <c r="KZH88" s="587" t="n"/>
      <c r="KZI88" s="587" t="n"/>
      <c r="KZJ88" s="587" t="n"/>
      <c r="KZK88" s="587" t="n"/>
      <c r="KZL88" s="587" t="n"/>
      <c r="KZM88" s="587" t="n"/>
      <c r="KZN88" s="587" t="n"/>
      <c r="KZO88" s="587" t="n"/>
      <c r="KZP88" s="587" t="n"/>
      <c r="KZQ88" s="587" t="n"/>
      <c r="KZR88" s="587" t="n"/>
      <c r="KZS88" s="587" t="n"/>
      <c r="KZT88" s="587" t="n"/>
      <c r="KZU88" s="587" t="n"/>
      <c r="KZV88" s="587" t="n"/>
      <c r="KZW88" s="587" t="n"/>
      <c r="KZX88" s="587" t="n"/>
      <c r="KZY88" s="587" t="n"/>
      <c r="KZZ88" s="587" t="n"/>
      <c r="LAA88" s="587" t="n"/>
      <c r="LAB88" s="587" t="n"/>
      <c r="LAC88" s="587" t="n"/>
      <c r="LAD88" s="587" t="n"/>
      <c r="LAE88" s="587" t="n"/>
      <c r="LAF88" s="587" t="n"/>
      <c r="LAG88" s="587" t="n"/>
      <c r="LAH88" s="587" t="n"/>
      <c r="LAI88" s="587" t="n"/>
      <c r="LAJ88" s="587" t="n"/>
      <c r="LAK88" s="587" t="n"/>
      <c r="LAL88" s="587" t="n"/>
      <c r="LAM88" s="587" t="n"/>
      <c r="LAN88" s="587" t="n"/>
      <c r="LAO88" s="587" t="n"/>
      <c r="LAP88" s="587" t="n"/>
      <c r="LAQ88" s="587" t="n"/>
      <c r="LAR88" s="587" t="n"/>
      <c r="LAS88" s="587" t="n"/>
      <c r="LAT88" s="587" t="n"/>
      <c r="LAU88" s="587" t="n"/>
      <c r="LAV88" s="587" t="n"/>
      <c r="LAW88" s="587" t="n"/>
      <c r="LAX88" s="587" t="n"/>
      <c r="LAY88" s="587" t="n"/>
      <c r="LAZ88" s="587" t="n"/>
      <c r="LBA88" s="587" t="n"/>
      <c r="LBB88" s="587" t="n"/>
      <c r="LBC88" s="587" t="n"/>
      <c r="LBD88" s="587" t="n"/>
      <c r="LBE88" s="587" t="n"/>
      <c r="LBF88" s="587" t="n"/>
      <c r="LBG88" s="587" t="n"/>
      <c r="LBH88" s="587" t="n"/>
      <c r="LBI88" s="587" t="n"/>
      <c r="LBJ88" s="587" t="n"/>
      <c r="LBK88" s="587" t="n"/>
      <c r="LBL88" s="587" t="n"/>
      <c r="LBM88" s="587" t="n"/>
      <c r="LBN88" s="587" t="n"/>
      <c r="LBO88" s="587" t="n"/>
      <c r="LBP88" s="587" t="n"/>
      <c r="LBQ88" s="587" t="n"/>
      <c r="LBR88" s="587" t="n"/>
      <c r="LBS88" s="587" t="n"/>
      <c r="LBT88" s="587" t="n"/>
      <c r="LBU88" s="587" t="n"/>
      <c r="LBV88" s="587" t="n"/>
      <c r="LBW88" s="587" t="n"/>
      <c r="LBX88" s="587" t="n"/>
      <c r="LBY88" s="587" t="n"/>
      <c r="LBZ88" s="587" t="n"/>
      <c r="LCA88" s="587" t="n"/>
      <c r="LCB88" s="587" t="n"/>
      <c r="LCC88" s="587" t="n"/>
      <c r="LCD88" s="587" t="n"/>
      <c r="LCE88" s="587" t="n"/>
      <c r="LCF88" s="587" t="n"/>
      <c r="LCG88" s="587" t="n"/>
      <c r="LCH88" s="587" t="n"/>
      <c r="LCI88" s="587" t="n"/>
      <c r="LCJ88" s="587" t="n"/>
      <c r="LCK88" s="587" t="n"/>
      <c r="LCL88" s="587" t="n"/>
      <c r="LCM88" s="587" t="n"/>
      <c r="LCN88" s="587" t="n"/>
      <c r="LCO88" s="587" t="n"/>
      <c r="LCP88" s="587" t="n"/>
      <c r="LCQ88" s="587" t="n"/>
      <c r="LCR88" s="587" t="n"/>
      <c r="LCS88" s="587" t="n"/>
      <c r="LCT88" s="587" t="n"/>
      <c r="LCU88" s="587" t="n"/>
      <c r="LCV88" s="587" t="n"/>
      <c r="LCW88" s="587" t="n"/>
      <c r="LCX88" s="587" t="n"/>
      <c r="LCY88" s="587" t="n"/>
      <c r="LCZ88" s="587" t="n"/>
      <c r="LDA88" s="587" t="n"/>
      <c r="LDB88" s="587" t="n"/>
      <c r="LDC88" s="587" t="n"/>
      <c r="LDD88" s="587" t="n"/>
      <c r="LDE88" s="587" t="n"/>
      <c r="LDF88" s="587" t="n"/>
      <c r="LDG88" s="587" t="n"/>
      <c r="LDH88" s="587" t="n"/>
      <c r="LDI88" s="587" t="n"/>
      <c r="LDJ88" s="587" t="n"/>
      <c r="LDK88" s="587" t="n"/>
      <c r="LDL88" s="587" t="n"/>
      <c r="LDM88" s="587" t="n"/>
      <c r="LDN88" s="587" t="n"/>
      <c r="LDO88" s="587" t="n"/>
      <c r="LDP88" s="587" t="n"/>
      <c r="LDQ88" s="587" t="n"/>
      <c r="LDR88" s="587" t="n"/>
      <c r="LDS88" s="587" t="n"/>
      <c r="LDT88" s="587" t="n"/>
      <c r="LDU88" s="587" t="n"/>
      <c r="LDV88" s="587" t="n"/>
      <c r="LDW88" s="587" t="n"/>
      <c r="LDX88" s="587" t="n"/>
      <c r="LDY88" s="587" t="n"/>
      <c r="LDZ88" s="587" t="n"/>
      <c r="LEA88" s="587" t="n"/>
      <c r="LEB88" s="587" t="n"/>
      <c r="LEC88" s="587" t="n"/>
      <c r="LED88" s="587" t="n"/>
      <c r="LEE88" s="587" t="n"/>
      <c r="LEF88" s="587" t="n"/>
      <c r="LEG88" s="587" t="n"/>
      <c r="LEH88" s="587" t="n"/>
      <c r="LEI88" s="587" t="n"/>
      <c r="LEJ88" s="587" t="n"/>
      <c r="LEK88" s="587" t="n"/>
      <c r="LEL88" s="587" t="n"/>
      <c r="LEM88" s="587" t="n"/>
      <c r="LEN88" s="587" t="n"/>
      <c r="LEO88" s="587" t="n"/>
      <c r="LEP88" s="587" t="n"/>
      <c r="LEQ88" s="587" t="n"/>
      <c r="LER88" s="587" t="n"/>
      <c r="LES88" s="587" t="n"/>
      <c r="LET88" s="587" t="n"/>
      <c r="LEU88" s="587" t="n"/>
      <c r="LEV88" s="587" t="n"/>
      <c r="LEW88" s="587" t="n"/>
      <c r="LEX88" s="587" t="n"/>
      <c r="LEY88" s="587" t="n"/>
      <c r="LEZ88" s="587" t="n"/>
      <c r="LFA88" s="587" t="n"/>
      <c r="LFB88" s="587" t="n"/>
      <c r="LFC88" s="587" t="n"/>
      <c r="LFD88" s="587" t="n"/>
      <c r="LFE88" s="587" t="n"/>
      <c r="LFF88" s="587" t="n"/>
      <c r="LFG88" s="587" t="n"/>
      <c r="LFH88" s="587" t="n"/>
      <c r="LFI88" s="587" t="n"/>
      <c r="LFJ88" s="587" t="n"/>
      <c r="LFK88" s="587" t="n"/>
      <c r="LFL88" s="587" t="n"/>
      <c r="LFM88" s="587" t="n"/>
      <c r="LFN88" s="587" t="n"/>
      <c r="LFO88" s="587" t="n"/>
      <c r="LFP88" s="587" t="n"/>
      <c r="LFQ88" s="587" t="n"/>
      <c r="LFR88" s="587" t="n"/>
      <c r="LFS88" s="587" t="n"/>
      <c r="LFT88" s="587" t="n"/>
      <c r="LFU88" s="587" t="n"/>
      <c r="LFV88" s="587" t="n"/>
      <c r="LFW88" s="587" t="n"/>
      <c r="LFX88" s="587" t="n"/>
      <c r="LFY88" s="587" t="n"/>
      <c r="LFZ88" s="587" t="n"/>
      <c r="LGA88" s="587" t="n"/>
      <c r="LGB88" s="587" t="n"/>
      <c r="LGC88" s="587" t="n"/>
      <c r="LGD88" s="587" t="n"/>
      <c r="LGE88" s="587" t="n"/>
      <c r="LGF88" s="587" t="n"/>
      <c r="LGG88" s="587" t="n"/>
      <c r="LGH88" s="587" t="n"/>
      <c r="LGI88" s="587" t="n"/>
      <c r="LGJ88" s="587" t="n"/>
      <c r="LGK88" s="587" t="n"/>
      <c r="LGL88" s="587" t="n"/>
      <c r="LGM88" s="587" t="n"/>
      <c r="LGN88" s="587" t="n"/>
      <c r="LGO88" s="587" t="n"/>
      <c r="LGP88" s="587" t="n"/>
      <c r="LGQ88" s="587" t="n"/>
      <c r="LGR88" s="587" t="n"/>
      <c r="LGS88" s="587" t="n"/>
      <c r="LGT88" s="587" t="n"/>
      <c r="LGU88" s="587" t="n"/>
      <c r="LGV88" s="587" t="n"/>
      <c r="LGW88" s="587" t="n"/>
      <c r="LGX88" s="587" t="n"/>
      <c r="LGY88" s="587" t="n"/>
      <c r="LGZ88" s="587" t="n"/>
      <c r="LHA88" s="587" t="n"/>
      <c r="LHB88" s="587" t="n"/>
      <c r="LHC88" s="587" t="n"/>
      <c r="LHD88" s="587" t="n"/>
      <c r="LHE88" s="587" t="n"/>
      <c r="LHF88" s="587" t="n"/>
      <c r="LHG88" s="587" t="n"/>
      <c r="LHH88" s="587" t="n"/>
      <c r="LHI88" s="587" t="n"/>
      <c r="LHJ88" s="587" t="n"/>
      <c r="LHK88" s="587" t="n"/>
      <c r="LHL88" s="587" t="n"/>
      <c r="LHM88" s="587" t="n"/>
      <c r="LHN88" s="587" t="n"/>
      <c r="LHO88" s="587" t="n"/>
      <c r="LHP88" s="587" t="n"/>
      <c r="LHQ88" s="587" t="n"/>
      <c r="LHR88" s="587" t="n"/>
      <c r="LHS88" s="587" t="n"/>
      <c r="LHT88" s="587" t="n"/>
      <c r="LHU88" s="587" t="n"/>
      <c r="LHV88" s="587" t="n"/>
      <c r="LHW88" s="587" t="n"/>
      <c r="LHX88" s="587" t="n"/>
      <c r="LHY88" s="587" t="n"/>
      <c r="LHZ88" s="587" t="n"/>
      <c r="LIA88" s="587" t="n"/>
      <c r="LIB88" s="587" t="n"/>
      <c r="LIC88" s="587" t="n"/>
      <c r="LID88" s="587" t="n"/>
      <c r="LIE88" s="587" t="n"/>
      <c r="LIF88" s="587" t="n"/>
      <c r="LIG88" s="587" t="n"/>
      <c r="LIH88" s="587" t="n"/>
      <c r="LII88" s="587" t="n"/>
      <c r="LIJ88" s="587" t="n"/>
      <c r="LIK88" s="587" t="n"/>
      <c r="LIL88" s="587" t="n"/>
      <c r="LIM88" s="587" t="n"/>
      <c r="LIN88" s="587" t="n"/>
      <c r="LIO88" s="587" t="n"/>
      <c r="LIP88" s="587" t="n"/>
      <c r="LIQ88" s="587" t="n"/>
      <c r="LIR88" s="587" t="n"/>
      <c r="LIS88" s="587" t="n"/>
      <c r="LIT88" s="587" t="n"/>
      <c r="LIU88" s="587" t="n"/>
      <c r="LIV88" s="587" t="n"/>
      <c r="LIW88" s="587" t="n"/>
      <c r="LIX88" s="587" t="n"/>
      <c r="LIY88" s="587" t="n"/>
      <c r="LIZ88" s="587" t="n"/>
      <c r="LJA88" s="587" t="n"/>
      <c r="LJB88" s="587" t="n"/>
      <c r="LJC88" s="587" t="n"/>
      <c r="LJD88" s="587" t="n"/>
      <c r="LJE88" s="587" t="n"/>
      <c r="LJF88" s="587" t="n"/>
      <c r="LJG88" s="587" t="n"/>
      <c r="LJH88" s="587" t="n"/>
      <c r="LJI88" s="587" t="n"/>
      <c r="LJJ88" s="587" t="n"/>
      <c r="LJK88" s="587" t="n"/>
      <c r="LJL88" s="587" t="n"/>
      <c r="LJM88" s="587" t="n"/>
      <c r="LJN88" s="587" t="n"/>
      <c r="LJO88" s="587" t="n"/>
      <c r="LJP88" s="587" t="n"/>
      <c r="LJQ88" s="587" t="n"/>
      <c r="LJR88" s="587" t="n"/>
      <c r="LJS88" s="587" t="n"/>
      <c r="LJT88" s="587" t="n"/>
      <c r="LJU88" s="587" t="n"/>
      <c r="LJV88" s="587" t="n"/>
      <c r="LJW88" s="587" t="n"/>
      <c r="LJX88" s="587" t="n"/>
      <c r="LJY88" s="587" t="n"/>
      <c r="LJZ88" s="587" t="n"/>
      <c r="LKA88" s="587" t="n"/>
      <c r="LKB88" s="587" t="n"/>
      <c r="LKC88" s="587" t="n"/>
      <c r="LKD88" s="587" t="n"/>
      <c r="LKE88" s="587" t="n"/>
      <c r="LKF88" s="587" t="n"/>
      <c r="LKG88" s="587" t="n"/>
      <c r="LKH88" s="587" t="n"/>
      <c r="LKI88" s="587" t="n"/>
      <c r="LKJ88" s="587" t="n"/>
      <c r="LKK88" s="587" t="n"/>
      <c r="LKL88" s="587" t="n"/>
      <c r="LKM88" s="587" t="n"/>
      <c r="LKN88" s="587" t="n"/>
      <c r="LKO88" s="587" t="n"/>
      <c r="LKP88" s="587" t="n"/>
      <c r="LKQ88" s="587" t="n"/>
      <c r="LKR88" s="587" t="n"/>
      <c r="LKS88" s="587" t="n"/>
      <c r="LKT88" s="587" t="n"/>
      <c r="LKU88" s="587" t="n"/>
      <c r="LKV88" s="587" t="n"/>
      <c r="LKW88" s="587" t="n"/>
      <c r="LKX88" s="587" t="n"/>
      <c r="LKY88" s="587" t="n"/>
      <c r="LKZ88" s="587" t="n"/>
      <c r="LLA88" s="587" t="n"/>
      <c r="LLB88" s="587" t="n"/>
      <c r="LLC88" s="587" t="n"/>
      <c r="LLD88" s="587" t="n"/>
      <c r="LLE88" s="587" t="n"/>
      <c r="LLF88" s="587" t="n"/>
      <c r="LLG88" s="587" t="n"/>
      <c r="LLH88" s="587" t="n"/>
      <c r="LLI88" s="587" t="n"/>
      <c r="LLJ88" s="587" t="n"/>
      <c r="LLK88" s="587" t="n"/>
      <c r="LLL88" s="587" t="n"/>
      <c r="LLM88" s="587" t="n"/>
      <c r="LLN88" s="587" t="n"/>
      <c r="LLO88" s="587" t="n"/>
      <c r="LLP88" s="587" t="n"/>
      <c r="LLQ88" s="587" t="n"/>
      <c r="LLR88" s="587" t="n"/>
      <c r="LLS88" s="587" t="n"/>
      <c r="LLT88" s="587" t="n"/>
      <c r="LLU88" s="587" t="n"/>
      <c r="LLV88" s="587" t="n"/>
      <c r="LLW88" s="587" t="n"/>
      <c r="LLX88" s="587" t="n"/>
      <c r="LLY88" s="587" t="n"/>
      <c r="LLZ88" s="587" t="n"/>
      <c r="LMA88" s="587" t="n"/>
      <c r="LMB88" s="587" t="n"/>
      <c r="LMC88" s="587" t="n"/>
      <c r="LMD88" s="587" t="n"/>
      <c r="LME88" s="587" t="n"/>
      <c r="LMF88" s="587" t="n"/>
      <c r="LMG88" s="587" t="n"/>
      <c r="LMH88" s="587" t="n"/>
      <c r="LMI88" s="587" t="n"/>
      <c r="LMJ88" s="587" t="n"/>
      <c r="LMK88" s="587" t="n"/>
      <c r="LML88" s="587" t="n"/>
      <c r="LMM88" s="587" t="n"/>
      <c r="LMN88" s="587" t="n"/>
      <c r="LMO88" s="587" t="n"/>
      <c r="LMP88" s="587" t="n"/>
      <c r="LMQ88" s="587" t="n"/>
      <c r="LMR88" s="587" t="n"/>
      <c r="LMS88" s="587" t="n"/>
      <c r="LMT88" s="587" t="n"/>
      <c r="LMU88" s="587" t="n"/>
      <c r="LMV88" s="587" t="n"/>
      <c r="LMW88" s="587" t="n"/>
      <c r="LMX88" s="587" t="n"/>
      <c r="LMY88" s="587" t="n"/>
      <c r="LMZ88" s="587" t="n"/>
      <c r="LNA88" s="587" t="n"/>
      <c r="LNB88" s="587" t="n"/>
      <c r="LNC88" s="587" t="n"/>
      <c r="LND88" s="587" t="n"/>
      <c r="LNE88" s="587" t="n"/>
      <c r="LNF88" s="587" t="n"/>
      <c r="LNG88" s="587" t="n"/>
      <c r="LNH88" s="587" t="n"/>
      <c r="LNI88" s="587" t="n"/>
      <c r="LNJ88" s="587" t="n"/>
      <c r="LNK88" s="587" t="n"/>
      <c r="LNL88" s="587" t="n"/>
      <c r="LNM88" s="587" t="n"/>
      <c r="LNN88" s="587" t="n"/>
      <c r="LNO88" s="587" t="n"/>
      <c r="LNP88" s="587" t="n"/>
      <c r="LNQ88" s="587" t="n"/>
      <c r="LNR88" s="587" t="n"/>
      <c r="LNS88" s="587" t="n"/>
      <c r="LNT88" s="587" t="n"/>
      <c r="LNU88" s="587" t="n"/>
      <c r="LNV88" s="587" t="n"/>
      <c r="LNW88" s="587" t="n"/>
      <c r="LNX88" s="587" t="n"/>
      <c r="LNY88" s="587" t="n"/>
      <c r="LNZ88" s="587" t="n"/>
      <c r="LOA88" s="587" t="n"/>
      <c r="LOB88" s="587" t="n"/>
      <c r="LOC88" s="587" t="n"/>
      <c r="LOD88" s="587" t="n"/>
      <c r="LOE88" s="587" t="n"/>
      <c r="LOF88" s="587" t="n"/>
      <c r="LOG88" s="587" t="n"/>
      <c r="LOH88" s="587" t="n"/>
      <c r="LOI88" s="587" t="n"/>
      <c r="LOJ88" s="587" t="n"/>
      <c r="LOK88" s="587" t="n"/>
      <c r="LOL88" s="587" t="n"/>
      <c r="LOM88" s="587" t="n"/>
      <c r="LON88" s="587" t="n"/>
      <c r="LOO88" s="587" t="n"/>
      <c r="LOP88" s="587" t="n"/>
      <c r="LOQ88" s="587" t="n"/>
      <c r="LOR88" s="587" t="n"/>
      <c r="LOS88" s="587" t="n"/>
      <c r="LOT88" s="587" t="n"/>
      <c r="LOU88" s="587" t="n"/>
      <c r="LOV88" s="587" t="n"/>
      <c r="LOW88" s="587" t="n"/>
      <c r="LOX88" s="587" t="n"/>
      <c r="LOY88" s="587" t="n"/>
      <c r="LOZ88" s="587" t="n"/>
      <c r="LPA88" s="587" t="n"/>
      <c r="LPB88" s="587" t="n"/>
      <c r="LPC88" s="587" t="n"/>
      <c r="LPD88" s="587" t="n"/>
      <c r="LPE88" s="587" t="n"/>
      <c r="LPF88" s="587" t="n"/>
      <c r="LPG88" s="587" t="n"/>
      <c r="LPH88" s="587" t="n"/>
      <c r="LPI88" s="587" t="n"/>
      <c r="LPJ88" s="587" t="n"/>
      <c r="LPK88" s="587" t="n"/>
      <c r="LPL88" s="587" t="n"/>
      <c r="LPM88" s="587" t="n"/>
      <c r="LPN88" s="587" t="n"/>
      <c r="LPO88" s="587" t="n"/>
      <c r="LPP88" s="587" t="n"/>
      <c r="LPQ88" s="587" t="n"/>
      <c r="LPR88" s="587" t="n"/>
      <c r="LPS88" s="587" t="n"/>
      <c r="LPT88" s="587" t="n"/>
      <c r="LPU88" s="587" t="n"/>
      <c r="LPV88" s="587" t="n"/>
      <c r="LPW88" s="587" t="n"/>
      <c r="LPX88" s="587" t="n"/>
      <c r="LPY88" s="587" t="n"/>
      <c r="LPZ88" s="587" t="n"/>
      <c r="LQA88" s="587" t="n"/>
      <c r="LQB88" s="587" t="n"/>
      <c r="LQC88" s="587" t="n"/>
      <c r="LQD88" s="587" t="n"/>
      <c r="LQE88" s="587" t="n"/>
      <c r="LQF88" s="587" t="n"/>
      <c r="LQG88" s="587" t="n"/>
      <c r="LQH88" s="587" t="n"/>
      <c r="LQI88" s="587" t="n"/>
      <c r="LQJ88" s="587" t="n"/>
      <c r="LQK88" s="587" t="n"/>
      <c r="LQL88" s="587" t="n"/>
      <c r="LQM88" s="587" t="n"/>
      <c r="LQN88" s="587" t="n"/>
      <c r="LQO88" s="587" t="n"/>
      <c r="LQP88" s="587" t="n"/>
      <c r="LQQ88" s="587" t="n"/>
      <c r="LQR88" s="587" t="n"/>
      <c r="LQS88" s="587" t="n"/>
      <c r="LQT88" s="587" t="n"/>
      <c r="LQU88" s="587" t="n"/>
      <c r="LQV88" s="587" t="n"/>
      <c r="LQW88" s="587" t="n"/>
      <c r="LQX88" s="587" t="n"/>
      <c r="LQY88" s="587" t="n"/>
      <c r="LQZ88" s="587" t="n"/>
      <c r="LRA88" s="587" t="n"/>
      <c r="LRB88" s="587" t="n"/>
      <c r="LRC88" s="587" t="n"/>
      <c r="LRD88" s="587" t="n"/>
      <c r="LRE88" s="587" t="n"/>
      <c r="LRF88" s="587" t="n"/>
      <c r="LRG88" s="587" t="n"/>
      <c r="LRH88" s="587" t="n"/>
      <c r="LRI88" s="587" t="n"/>
      <c r="LRJ88" s="587" t="n"/>
      <c r="LRK88" s="587" t="n"/>
      <c r="LRL88" s="587" t="n"/>
      <c r="LRM88" s="587" t="n"/>
      <c r="LRN88" s="587" t="n"/>
      <c r="LRO88" s="587" t="n"/>
      <c r="LRP88" s="587" t="n"/>
      <c r="LRQ88" s="587" t="n"/>
      <c r="LRR88" s="587" t="n"/>
      <c r="LRS88" s="587" t="n"/>
      <c r="LRT88" s="587" t="n"/>
      <c r="LRU88" s="587" t="n"/>
      <c r="LRV88" s="587" t="n"/>
      <c r="LRW88" s="587" t="n"/>
      <c r="LRX88" s="587" t="n"/>
      <c r="LRY88" s="587" t="n"/>
      <c r="LRZ88" s="587" t="n"/>
      <c r="LSA88" s="587" t="n"/>
      <c r="LSB88" s="587" t="n"/>
      <c r="LSC88" s="587" t="n"/>
      <c r="LSD88" s="587" t="n"/>
      <c r="LSE88" s="587" t="n"/>
      <c r="LSF88" s="587" t="n"/>
      <c r="LSG88" s="587" t="n"/>
      <c r="LSH88" s="587" t="n"/>
      <c r="LSI88" s="587" t="n"/>
      <c r="LSJ88" s="587" t="n"/>
      <c r="LSK88" s="587" t="n"/>
      <c r="LSL88" s="587" t="n"/>
      <c r="LSM88" s="587" t="n"/>
      <c r="LSN88" s="587" t="n"/>
      <c r="LSO88" s="587" t="n"/>
      <c r="LSP88" s="587" t="n"/>
      <c r="LSQ88" s="587" t="n"/>
      <c r="LSR88" s="587" t="n"/>
      <c r="LSS88" s="587" t="n"/>
      <c r="LST88" s="587" t="n"/>
      <c r="LSU88" s="587" t="n"/>
      <c r="LSV88" s="587" t="n"/>
      <c r="LSW88" s="587" t="n"/>
      <c r="LSX88" s="587" t="n"/>
      <c r="LSY88" s="587" t="n"/>
      <c r="LSZ88" s="587" t="n"/>
      <c r="LTA88" s="587" t="n"/>
      <c r="LTB88" s="587" t="n"/>
      <c r="LTC88" s="587" t="n"/>
      <c r="LTD88" s="587" t="n"/>
      <c r="LTE88" s="587" t="n"/>
      <c r="LTF88" s="587" t="n"/>
      <c r="LTG88" s="587" t="n"/>
      <c r="LTH88" s="587" t="n"/>
      <c r="LTI88" s="587" t="n"/>
      <c r="LTJ88" s="587" t="n"/>
      <c r="LTK88" s="587" t="n"/>
      <c r="LTL88" s="587" t="n"/>
      <c r="LTM88" s="587" t="n"/>
      <c r="LTN88" s="587" t="n"/>
      <c r="LTO88" s="587" t="n"/>
      <c r="LTP88" s="587" t="n"/>
      <c r="LTQ88" s="587" t="n"/>
      <c r="LTR88" s="587" t="n"/>
      <c r="LTS88" s="587" t="n"/>
      <c r="LTT88" s="587" t="n"/>
      <c r="LTU88" s="587" t="n"/>
      <c r="LTV88" s="587" t="n"/>
      <c r="LTW88" s="587" t="n"/>
      <c r="LTX88" s="587" t="n"/>
      <c r="LTY88" s="587" t="n"/>
      <c r="LTZ88" s="587" t="n"/>
      <c r="LUA88" s="587" t="n"/>
      <c r="LUB88" s="587" t="n"/>
      <c r="LUC88" s="587" t="n"/>
      <c r="LUD88" s="587" t="n"/>
      <c r="LUE88" s="587" t="n"/>
      <c r="LUF88" s="587" t="n"/>
      <c r="LUG88" s="587" t="n"/>
      <c r="LUH88" s="587" t="n"/>
      <c r="LUI88" s="587" t="n"/>
      <c r="LUJ88" s="587" t="n"/>
      <c r="LUK88" s="587" t="n"/>
      <c r="LUL88" s="587" t="n"/>
      <c r="LUM88" s="587" t="n"/>
      <c r="LUN88" s="587" t="n"/>
      <c r="LUO88" s="587" t="n"/>
      <c r="LUP88" s="587" t="n"/>
      <c r="LUQ88" s="587" t="n"/>
      <c r="LUR88" s="587" t="n"/>
      <c r="LUS88" s="587" t="n"/>
      <c r="LUT88" s="587" t="n"/>
      <c r="LUU88" s="587" t="n"/>
      <c r="LUV88" s="587" t="n"/>
      <c r="LUW88" s="587" t="n"/>
      <c r="LUX88" s="587" t="n"/>
      <c r="LUY88" s="587" t="n"/>
      <c r="LUZ88" s="587" t="n"/>
      <c r="LVA88" s="587" t="n"/>
      <c r="LVB88" s="587" t="n"/>
      <c r="LVC88" s="587" t="n"/>
      <c r="LVD88" s="587" t="n"/>
      <c r="LVE88" s="587" t="n"/>
      <c r="LVF88" s="587" t="n"/>
      <c r="LVG88" s="587" t="n"/>
      <c r="LVH88" s="587" t="n"/>
      <c r="LVI88" s="587" t="n"/>
      <c r="LVJ88" s="587" t="n"/>
      <c r="LVK88" s="587" t="n"/>
      <c r="LVL88" s="587" t="n"/>
      <c r="LVM88" s="587" t="n"/>
      <c r="LVN88" s="587" t="n"/>
      <c r="LVO88" s="587" t="n"/>
      <c r="LVP88" s="587" t="n"/>
      <c r="LVQ88" s="587" t="n"/>
      <c r="LVR88" s="587" t="n"/>
      <c r="LVS88" s="587" t="n"/>
      <c r="LVT88" s="587" t="n"/>
      <c r="LVU88" s="587" t="n"/>
      <c r="LVV88" s="587" t="n"/>
      <c r="LVW88" s="587" t="n"/>
      <c r="LVX88" s="587" t="n"/>
      <c r="LVY88" s="587" t="n"/>
      <c r="LVZ88" s="587" t="n"/>
      <c r="LWA88" s="587" t="n"/>
      <c r="LWB88" s="587" t="n"/>
      <c r="LWC88" s="587" t="n"/>
      <c r="LWD88" s="587" t="n"/>
      <c r="LWE88" s="587" t="n"/>
      <c r="LWF88" s="587" t="n"/>
      <c r="LWG88" s="587" t="n"/>
      <c r="LWH88" s="587" t="n"/>
      <c r="LWI88" s="587" t="n"/>
      <c r="LWJ88" s="587" t="n"/>
      <c r="LWK88" s="587" t="n"/>
      <c r="LWL88" s="587" t="n"/>
      <c r="LWM88" s="587" t="n"/>
      <c r="LWN88" s="587" t="n"/>
      <c r="LWO88" s="587" t="n"/>
      <c r="LWP88" s="587" t="n"/>
      <c r="LWQ88" s="587" t="n"/>
      <c r="LWR88" s="587" t="n"/>
      <c r="LWS88" s="587" t="n"/>
      <c r="LWT88" s="587" t="n"/>
      <c r="LWU88" s="587" t="n"/>
      <c r="LWV88" s="587" t="n"/>
      <c r="LWW88" s="587" t="n"/>
      <c r="LWX88" s="587" t="n"/>
      <c r="LWY88" s="587" t="n"/>
      <c r="LWZ88" s="587" t="n"/>
      <c r="LXA88" s="587" t="n"/>
      <c r="LXB88" s="587" t="n"/>
      <c r="LXC88" s="587" t="n"/>
      <c r="LXD88" s="587" t="n"/>
      <c r="LXE88" s="587" t="n"/>
      <c r="LXF88" s="587" t="n"/>
      <c r="LXG88" s="587" t="n"/>
      <c r="LXH88" s="587" t="n"/>
      <c r="LXI88" s="587" t="n"/>
      <c r="LXJ88" s="587" t="n"/>
      <c r="LXK88" s="587" t="n"/>
      <c r="LXL88" s="587" t="n"/>
      <c r="LXM88" s="587" t="n"/>
      <c r="LXN88" s="587" t="n"/>
      <c r="LXO88" s="587" t="n"/>
      <c r="LXP88" s="587" t="n"/>
      <c r="LXQ88" s="587" t="n"/>
      <c r="LXR88" s="587" t="n"/>
      <c r="LXS88" s="587" t="n"/>
      <c r="LXT88" s="587" t="n"/>
      <c r="LXU88" s="587" t="n"/>
      <c r="LXV88" s="587" t="n"/>
      <c r="LXW88" s="587" t="n"/>
      <c r="LXX88" s="587" t="n"/>
      <c r="LXY88" s="587" t="n"/>
      <c r="LXZ88" s="587" t="n"/>
      <c r="LYA88" s="587" t="n"/>
      <c r="LYB88" s="587" t="n"/>
      <c r="LYC88" s="587" t="n"/>
      <c r="LYD88" s="587" t="n"/>
      <c r="LYE88" s="587" t="n"/>
      <c r="LYF88" s="587" t="n"/>
      <c r="LYG88" s="587" t="n"/>
      <c r="LYH88" s="587" t="n"/>
      <c r="LYI88" s="587" t="n"/>
      <c r="LYJ88" s="587" t="n"/>
      <c r="LYK88" s="587" t="n"/>
      <c r="LYL88" s="587" t="n"/>
      <c r="LYM88" s="587" t="n"/>
      <c r="LYN88" s="587" t="n"/>
      <c r="LYO88" s="587" t="n"/>
      <c r="LYP88" s="587" t="n"/>
      <c r="LYQ88" s="587" t="n"/>
      <c r="LYR88" s="587" t="n"/>
      <c r="LYS88" s="587" t="n"/>
      <c r="LYT88" s="587" t="n"/>
      <c r="LYU88" s="587" t="n"/>
      <c r="LYV88" s="587" t="n"/>
      <c r="LYW88" s="587" t="n"/>
      <c r="LYX88" s="587" t="n"/>
      <c r="LYY88" s="587" t="n"/>
      <c r="LYZ88" s="587" t="n"/>
      <c r="LZA88" s="587" t="n"/>
      <c r="LZB88" s="587" t="n"/>
      <c r="LZC88" s="587" t="n"/>
      <c r="LZD88" s="587" t="n"/>
      <c r="LZE88" s="587" t="n"/>
      <c r="LZF88" s="587" t="n"/>
      <c r="LZG88" s="587" t="n"/>
      <c r="LZH88" s="587" t="n"/>
      <c r="LZI88" s="587" t="n"/>
      <c r="LZJ88" s="587" t="n"/>
      <c r="LZK88" s="587" t="n"/>
      <c r="LZL88" s="587" t="n"/>
      <c r="LZM88" s="587" t="n"/>
      <c r="LZN88" s="587" t="n"/>
      <c r="LZO88" s="587" t="n"/>
      <c r="LZP88" s="587" t="n"/>
      <c r="LZQ88" s="587" t="n"/>
      <c r="LZR88" s="587" t="n"/>
      <c r="LZS88" s="587" t="n"/>
      <c r="LZT88" s="587" t="n"/>
      <c r="LZU88" s="587" t="n"/>
      <c r="LZV88" s="587" t="n"/>
      <c r="LZW88" s="587" t="n"/>
      <c r="LZX88" s="587" t="n"/>
      <c r="LZY88" s="587" t="n"/>
      <c r="LZZ88" s="587" t="n"/>
      <c r="MAA88" s="587" t="n"/>
      <c r="MAB88" s="587" t="n"/>
      <c r="MAC88" s="587" t="n"/>
      <c r="MAD88" s="587" t="n"/>
      <c r="MAE88" s="587" t="n"/>
      <c r="MAF88" s="587" t="n"/>
      <c r="MAG88" s="587" t="n"/>
      <c r="MAH88" s="587" t="n"/>
      <c r="MAI88" s="587" t="n"/>
      <c r="MAJ88" s="587" t="n"/>
      <c r="MAK88" s="587" t="n"/>
      <c r="MAL88" s="587" t="n"/>
      <c r="MAM88" s="587" t="n"/>
      <c r="MAN88" s="587" t="n"/>
      <c r="MAO88" s="587" t="n"/>
      <c r="MAP88" s="587" t="n"/>
      <c r="MAQ88" s="587" t="n"/>
      <c r="MAR88" s="587" t="n"/>
      <c r="MAS88" s="587" t="n"/>
      <c r="MAT88" s="587" t="n"/>
      <c r="MAU88" s="587" t="n"/>
      <c r="MAV88" s="587" t="n"/>
      <c r="MAW88" s="587" t="n"/>
      <c r="MAX88" s="587" t="n"/>
      <c r="MAY88" s="587" t="n"/>
      <c r="MAZ88" s="587" t="n"/>
      <c r="MBA88" s="587" t="n"/>
      <c r="MBB88" s="587" t="n"/>
      <c r="MBC88" s="587" t="n"/>
      <c r="MBD88" s="587" t="n"/>
      <c r="MBE88" s="587" t="n"/>
      <c r="MBF88" s="587" t="n"/>
      <c r="MBG88" s="587" t="n"/>
      <c r="MBH88" s="587" t="n"/>
      <c r="MBI88" s="587" t="n"/>
      <c r="MBJ88" s="587" t="n"/>
      <c r="MBK88" s="587" t="n"/>
      <c r="MBL88" s="587" t="n"/>
      <c r="MBM88" s="587" t="n"/>
      <c r="MBN88" s="587" t="n"/>
      <c r="MBO88" s="587" t="n"/>
      <c r="MBP88" s="587" t="n"/>
      <c r="MBQ88" s="587" t="n"/>
      <c r="MBR88" s="587" t="n"/>
      <c r="MBS88" s="587" t="n"/>
      <c r="MBT88" s="587" t="n"/>
      <c r="MBU88" s="587" t="n"/>
      <c r="MBV88" s="587" t="n"/>
      <c r="MBW88" s="587" t="n"/>
      <c r="MBX88" s="587" t="n"/>
      <c r="MBY88" s="587" t="n"/>
      <c r="MBZ88" s="587" t="n"/>
      <c r="MCA88" s="587" t="n"/>
      <c r="MCB88" s="587" t="n"/>
      <c r="MCC88" s="587" t="n"/>
      <c r="MCD88" s="587" t="n"/>
      <c r="MCE88" s="587" t="n"/>
      <c r="MCF88" s="587" t="n"/>
      <c r="MCG88" s="587" t="n"/>
      <c r="MCH88" s="587" t="n"/>
      <c r="MCI88" s="587" t="n"/>
      <c r="MCJ88" s="587" t="n"/>
      <c r="MCK88" s="587" t="n"/>
      <c r="MCL88" s="587" t="n"/>
      <c r="MCM88" s="587" t="n"/>
      <c r="MCN88" s="587" t="n"/>
      <c r="MCO88" s="587" t="n"/>
      <c r="MCP88" s="587" t="n"/>
      <c r="MCQ88" s="587" t="n"/>
      <c r="MCR88" s="587" t="n"/>
      <c r="MCS88" s="587" t="n"/>
      <c r="MCT88" s="587" t="n"/>
      <c r="MCU88" s="587" t="n"/>
      <c r="MCV88" s="587" t="n"/>
      <c r="MCW88" s="587" t="n"/>
      <c r="MCX88" s="587" t="n"/>
      <c r="MCY88" s="587" t="n"/>
      <c r="MCZ88" s="587" t="n"/>
      <c r="MDA88" s="587" t="n"/>
      <c r="MDB88" s="587" t="n"/>
      <c r="MDC88" s="587" t="n"/>
      <c r="MDD88" s="587" t="n"/>
      <c r="MDE88" s="587" t="n"/>
      <c r="MDF88" s="587" t="n"/>
      <c r="MDG88" s="587" t="n"/>
      <c r="MDH88" s="587" t="n"/>
      <c r="MDI88" s="587" t="n"/>
      <c r="MDJ88" s="587" t="n"/>
      <c r="MDK88" s="587" t="n"/>
      <c r="MDL88" s="587" t="n"/>
      <c r="MDM88" s="587" t="n"/>
      <c r="MDN88" s="587" t="n"/>
      <c r="MDO88" s="587" t="n"/>
      <c r="MDP88" s="587" t="n"/>
      <c r="MDQ88" s="587" t="n"/>
      <c r="MDR88" s="587" t="n"/>
      <c r="MDS88" s="587" t="n"/>
      <c r="MDT88" s="587" t="n"/>
      <c r="MDU88" s="587" t="n"/>
      <c r="MDV88" s="587" t="n"/>
      <c r="MDW88" s="587" t="n"/>
      <c r="MDX88" s="587" t="n"/>
      <c r="MDY88" s="587" t="n"/>
      <c r="MDZ88" s="587" t="n"/>
      <c r="MEA88" s="587" t="n"/>
      <c r="MEB88" s="587" t="n"/>
      <c r="MEC88" s="587" t="n"/>
      <c r="MED88" s="587" t="n"/>
      <c r="MEE88" s="587" t="n"/>
      <c r="MEF88" s="587" t="n"/>
      <c r="MEG88" s="587" t="n"/>
      <c r="MEH88" s="587" t="n"/>
      <c r="MEI88" s="587" t="n"/>
      <c r="MEJ88" s="587" t="n"/>
      <c r="MEK88" s="587" t="n"/>
      <c r="MEL88" s="587" t="n"/>
      <c r="MEM88" s="587" t="n"/>
      <c r="MEN88" s="587" t="n"/>
      <c r="MEO88" s="587" t="n"/>
      <c r="MEP88" s="587" t="n"/>
      <c r="MEQ88" s="587" t="n"/>
      <c r="MER88" s="587" t="n"/>
      <c r="MES88" s="587" t="n"/>
      <c r="MET88" s="587" t="n"/>
      <c r="MEU88" s="587" t="n"/>
      <c r="MEV88" s="587" t="n"/>
      <c r="MEW88" s="587" t="n"/>
      <c r="MEX88" s="587" t="n"/>
      <c r="MEY88" s="587" t="n"/>
      <c r="MEZ88" s="587" t="n"/>
      <c r="MFA88" s="587" t="n"/>
      <c r="MFB88" s="587" t="n"/>
      <c r="MFC88" s="587" t="n"/>
      <c r="MFD88" s="587" t="n"/>
      <c r="MFE88" s="587" t="n"/>
      <c r="MFF88" s="587" t="n"/>
      <c r="MFG88" s="587" t="n"/>
      <c r="MFH88" s="587" t="n"/>
      <c r="MFI88" s="587" t="n"/>
      <c r="MFJ88" s="587" t="n"/>
      <c r="MFK88" s="587" t="n"/>
      <c r="MFL88" s="587" t="n"/>
      <c r="MFM88" s="587" t="n"/>
      <c r="MFN88" s="587" t="n"/>
      <c r="MFO88" s="587" t="n"/>
      <c r="MFP88" s="587" t="n"/>
      <c r="MFQ88" s="587" t="n"/>
      <c r="MFR88" s="587" t="n"/>
      <c r="MFS88" s="587" t="n"/>
      <c r="MFT88" s="587" t="n"/>
      <c r="MFU88" s="587" t="n"/>
      <c r="MFV88" s="587" t="n"/>
      <c r="MFW88" s="587" t="n"/>
      <c r="MFX88" s="587" t="n"/>
      <c r="MFY88" s="587" t="n"/>
      <c r="MFZ88" s="587" t="n"/>
      <c r="MGA88" s="587" t="n"/>
      <c r="MGB88" s="587" t="n"/>
      <c r="MGC88" s="587" t="n"/>
      <c r="MGD88" s="587" t="n"/>
      <c r="MGE88" s="587" t="n"/>
      <c r="MGF88" s="587" t="n"/>
      <c r="MGG88" s="587" t="n"/>
      <c r="MGH88" s="587" t="n"/>
      <c r="MGI88" s="587" t="n"/>
      <c r="MGJ88" s="587" t="n"/>
      <c r="MGK88" s="587" t="n"/>
      <c r="MGL88" s="587" t="n"/>
      <c r="MGM88" s="587" t="n"/>
      <c r="MGN88" s="587" t="n"/>
      <c r="MGO88" s="587" t="n"/>
      <c r="MGP88" s="587" t="n"/>
      <c r="MGQ88" s="587" t="n"/>
      <c r="MGR88" s="587" t="n"/>
      <c r="MGS88" s="587" t="n"/>
      <c r="MGT88" s="587" t="n"/>
      <c r="MGU88" s="587" t="n"/>
      <c r="MGV88" s="587" t="n"/>
      <c r="MGW88" s="587" t="n"/>
      <c r="MGX88" s="587" t="n"/>
      <c r="MGY88" s="587" t="n"/>
      <c r="MGZ88" s="587" t="n"/>
      <c r="MHA88" s="587" t="n"/>
      <c r="MHB88" s="587" t="n"/>
      <c r="MHC88" s="587" t="n"/>
      <c r="MHD88" s="587" t="n"/>
      <c r="MHE88" s="587" t="n"/>
      <c r="MHF88" s="587" t="n"/>
      <c r="MHG88" s="587" t="n"/>
      <c r="MHH88" s="587" t="n"/>
      <c r="MHI88" s="587" t="n"/>
      <c r="MHJ88" s="587" t="n"/>
      <c r="MHK88" s="587" t="n"/>
      <c r="MHL88" s="587" t="n"/>
      <c r="MHM88" s="587" t="n"/>
      <c r="MHN88" s="587" t="n"/>
      <c r="MHO88" s="587" t="n"/>
      <c r="MHP88" s="587" t="n"/>
      <c r="MHQ88" s="587" t="n"/>
      <c r="MHR88" s="587" t="n"/>
      <c r="MHS88" s="587" t="n"/>
      <c r="MHT88" s="587" t="n"/>
      <c r="MHU88" s="587" t="n"/>
      <c r="MHV88" s="587" t="n"/>
      <c r="MHW88" s="587" t="n"/>
      <c r="MHX88" s="587" t="n"/>
      <c r="MHY88" s="587" t="n"/>
      <c r="MHZ88" s="587" t="n"/>
      <c r="MIA88" s="587" t="n"/>
      <c r="MIB88" s="587" t="n"/>
      <c r="MIC88" s="587" t="n"/>
      <c r="MID88" s="587" t="n"/>
      <c r="MIE88" s="587" t="n"/>
      <c r="MIF88" s="587" t="n"/>
      <c r="MIG88" s="587" t="n"/>
      <c r="MIH88" s="587" t="n"/>
      <c r="MII88" s="587" t="n"/>
      <c r="MIJ88" s="587" t="n"/>
      <c r="MIK88" s="587" t="n"/>
      <c r="MIL88" s="587" t="n"/>
      <c r="MIM88" s="587" t="n"/>
      <c r="MIN88" s="587" t="n"/>
      <c r="MIO88" s="587" t="n"/>
      <c r="MIP88" s="587" t="n"/>
      <c r="MIQ88" s="587" t="n"/>
      <c r="MIR88" s="587" t="n"/>
      <c r="MIS88" s="587" t="n"/>
      <c r="MIT88" s="587" t="n"/>
      <c r="MIU88" s="587" t="n"/>
      <c r="MIV88" s="587" t="n"/>
      <c r="MIW88" s="587" t="n"/>
      <c r="MIX88" s="587" t="n"/>
      <c r="MIY88" s="587" t="n"/>
      <c r="MIZ88" s="587" t="n"/>
      <c r="MJA88" s="587" t="n"/>
      <c r="MJB88" s="587" t="n"/>
      <c r="MJC88" s="587" t="n"/>
      <c r="MJD88" s="587" t="n"/>
      <c r="MJE88" s="587" t="n"/>
      <c r="MJF88" s="587" t="n"/>
      <c r="MJG88" s="587" t="n"/>
      <c r="MJH88" s="587" t="n"/>
      <c r="MJI88" s="587" t="n"/>
      <c r="MJJ88" s="587" t="n"/>
      <c r="MJK88" s="587" t="n"/>
      <c r="MJL88" s="587" t="n"/>
      <c r="MJM88" s="587" t="n"/>
      <c r="MJN88" s="587" t="n"/>
      <c r="MJO88" s="587" t="n"/>
      <c r="MJP88" s="587" t="n"/>
      <c r="MJQ88" s="587" t="n"/>
      <c r="MJR88" s="587" t="n"/>
      <c r="MJS88" s="587" t="n"/>
      <c r="MJT88" s="587" t="n"/>
      <c r="MJU88" s="587" t="n"/>
      <c r="MJV88" s="587" t="n"/>
      <c r="MJW88" s="587" t="n"/>
      <c r="MJX88" s="587" t="n"/>
      <c r="MJY88" s="587" t="n"/>
      <c r="MJZ88" s="587" t="n"/>
      <c r="MKA88" s="587" t="n"/>
      <c r="MKB88" s="587" t="n"/>
      <c r="MKC88" s="587" t="n"/>
      <c r="MKD88" s="587" t="n"/>
      <c r="MKE88" s="587" t="n"/>
      <c r="MKF88" s="587" t="n"/>
      <c r="MKG88" s="587" t="n"/>
      <c r="MKH88" s="587" t="n"/>
      <c r="MKI88" s="587" t="n"/>
      <c r="MKJ88" s="587" t="n"/>
      <c r="MKK88" s="587" t="n"/>
      <c r="MKL88" s="587" t="n"/>
      <c r="MKM88" s="587" t="n"/>
      <c r="MKN88" s="587" t="n"/>
      <c r="MKO88" s="587" t="n"/>
      <c r="MKP88" s="587" t="n"/>
      <c r="MKQ88" s="587" t="n"/>
      <c r="MKR88" s="587" t="n"/>
      <c r="MKS88" s="587" t="n"/>
      <c r="MKT88" s="587" t="n"/>
      <c r="MKU88" s="587" t="n"/>
      <c r="MKV88" s="587" t="n"/>
      <c r="MKW88" s="587" t="n"/>
      <c r="MKX88" s="587" t="n"/>
      <c r="MKY88" s="587" t="n"/>
      <c r="MKZ88" s="587" t="n"/>
      <c r="MLA88" s="587" t="n"/>
      <c r="MLB88" s="587" t="n"/>
      <c r="MLC88" s="587" t="n"/>
      <c r="MLD88" s="587" t="n"/>
      <c r="MLE88" s="587" t="n"/>
      <c r="MLF88" s="587" t="n"/>
      <c r="MLG88" s="587" t="n"/>
      <c r="MLH88" s="587" t="n"/>
      <c r="MLI88" s="587" t="n"/>
      <c r="MLJ88" s="587" t="n"/>
      <c r="MLK88" s="587" t="n"/>
      <c r="MLL88" s="587" t="n"/>
      <c r="MLM88" s="587" t="n"/>
      <c r="MLN88" s="587" t="n"/>
      <c r="MLO88" s="587" t="n"/>
      <c r="MLP88" s="587" t="n"/>
      <c r="MLQ88" s="587" t="n"/>
      <c r="MLR88" s="587" t="n"/>
      <c r="MLS88" s="587" t="n"/>
      <c r="MLT88" s="587" t="n"/>
      <c r="MLU88" s="587" t="n"/>
      <c r="MLV88" s="587" t="n"/>
      <c r="MLW88" s="587" t="n"/>
      <c r="MLX88" s="587" t="n"/>
      <c r="MLY88" s="587" t="n"/>
      <c r="MLZ88" s="587" t="n"/>
      <c r="MMA88" s="587" t="n"/>
      <c r="MMB88" s="587" t="n"/>
      <c r="MMC88" s="587" t="n"/>
      <c r="MMD88" s="587" t="n"/>
      <c r="MME88" s="587" t="n"/>
      <c r="MMF88" s="587" t="n"/>
      <c r="MMG88" s="587" t="n"/>
      <c r="MMH88" s="587" t="n"/>
      <c r="MMI88" s="587" t="n"/>
      <c r="MMJ88" s="587" t="n"/>
      <c r="MMK88" s="587" t="n"/>
      <c r="MML88" s="587" t="n"/>
      <c r="MMM88" s="587" t="n"/>
      <c r="MMN88" s="587" t="n"/>
      <c r="MMO88" s="587" t="n"/>
      <c r="MMP88" s="587" t="n"/>
      <c r="MMQ88" s="587" t="n"/>
      <c r="MMR88" s="587" t="n"/>
      <c r="MMS88" s="587" t="n"/>
      <c r="MMT88" s="587" t="n"/>
      <c r="MMU88" s="587" t="n"/>
      <c r="MMV88" s="587" t="n"/>
      <c r="MMW88" s="587" t="n"/>
      <c r="MMX88" s="587" t="n"/>
      <c r="MMY88" s="587" t="n"/>
      <c r="MMZ88" s="587" t="n"/>
      <c r="MNA88" s="587" t="n"/>
      <c r="MNB88" s="587" t="n"/>
      <c r="MNC88" s="587" t="n"/>
      <c r="MND88" s="587" t="n"/>
      <c r="MNE88" s="587" t="n"/>
      <c r="MNF88" s="587" t="n"/>
      <c r="MNG88" s="587" t="n"/>
      <c r="MNH88" s="587" t="n"/>
      <c r="MNI88" s="587" t="n"/>
      <c r="MNJ88" s="587" t="n"/>
      <c r="MNK88" s="587" t="n"/>
      <c r="MNL88" s="587" t="n"/>
      <c r="MNM88" s="587" t="n"/>
      <c r="MNN88" s="587" t="n"/>
      <c r="MNO88" s="587" t="n"/>
      <c r="MNP88" s="587" t="n"/>
      <c r="MNQ88" s="587" t="n"/>
      <c r="MNR88" s="587" t="n"/>
      <c r="MNS88" s="587" t="n"/>
      <c r="MNT88" s="587" t="n"/>
      <c r="MNU88" s="587" t="n"/>
      <c r="MNV88" s="587" t="n"/>
      <c r="MNW88" s="587" t="n"/>
      <c r="MNX88" s="587" t="n"/>
      <c r="MNY88" s="587" t="n"/>
      <c r="MNZ88" s="587" t="n"/>
      <c r="MOA88" s="587" t="n"/>
      <c r="MOB88" s="587" t="n"/>
      <c r="MOC88" s="587" t="n"/>
      <c r="MOD88" s="587" t="n"/>
      <c r="MOE88" s="587" t="n"/>
      <c r="MOF88" s="587" t="n"/>
      <c r="MOG88" s="587" t="n"/>
      <c r="MOH88" s="587" t="n"/>
      <c r="MOI88" s="587" t="n"/>
      <c r="MOJ88" s="587" t="n"/>
      <c r="MOK88" s="587" t="n"/>
      <c r="MOL88" s="587" t="n"/>
      <c r="MOM88" s="587" t="n"/>
      <c r="MON88" s="587" t="n"/>
      <c r="MOO88" s="587" t="n"/>
      <c r="MOP88" s="587" t="n"/>
      <c r="MOQ88" s="587" t="n"/>
      <c r="MOR88" s="587" t="n"/>
      <c r="MOS88" s="587" t="n"/>
      <c r="MOT88" s="587" t="n"/>
      <c r="MOU88" s="587" t="n"/>
      <c r="MOV88" s="587" t="n"/>
      <c r="MOW88" s="587" t="n"/>
      <c r="MOX88" s="587" t="n"/>
      <c r="MOY88" s="587" t="n"/>
      <c r="MOZ88" s="587" t="n"/>
      <c r="MPA88" s="587" t="n"/>
      <c r="MPB88" s="587" t="n"/>
      <c r="MPC88" s="587" t="n"/>
      <c r="MPD88" s="587" t="n"/>
      <c r="MPE88" s="587" t="n"/>
      <c r="MPF88" s="587" t="n"/>
      <c r="MPG88" s="587" t="n"/>
      <c r="MPH88" s="587" t="n"/>
      <c r="MPI88" s="587" t="n"/>
      <c r="MPJ88" s="587" t="n"/>
      <c r="MPK88" s="587" t="n"/>
      <c r="MPL88" s="587" t="n"/>
      <c r="MPM88" s="587" t="n"/>
      <c r="MPN88" s="587" t="n"/>
      <c r="MPO88" s="587" t="n"/>
      <c r="MPP88" s="587" t="n"/>
      <c r="MPQ88" s="587" t="n"/>
      <c r="MPR88" s="587" t="n"/>
      <c r="MPS88" s="587" t="n"/>
      <c r="MPT88" s="587" t="n"/>
      <c r="MPU88" s="587" t="n"/>
      <c r="MPV88" s="587" t="n"/>
      <c r="MPW88" s="587" t="n"/>
      <c r="MPX88" s="587" t="n"/>
      <c r="MPY88" s="587" t="n"/>
      <c r="MPZ88" s="587" t="n"/>
      <c r="MQA88" s="587" t="n"/>
      <c r="MQB88" s="587" t="n"/>
      <c r="MQC88" s="587" t="n"/>
      <c r="MQD88" s="587" t="n"/>
      <c r="MQE88" s="587" t="n"/>
      <c r="MQF88" s="587" t="n"/>
      <c r="MQG88" s="587" t="n"/>
      <c r="MQH88" s="587" t="n"/>
      <c r="MQI88" s="587" t="n"/>
      <c r="MQJ88" s="587" t="n"/>
      <c r="MQK88" s="587" t="n"/>
      <c r="MQL88" s="587" t="n"/>
      <c r="MQM88" s="587" t="n"/>
      <c r="MQN88" s="587" t="n"/>
      <c r="MQO88" s="587" t="n"/>
      <c r="MQP88" s="587" t="n"/>
      <c r="MQQ88" s="587" t="n"/>
      <c r="MQR88" s="587" t="n"/>
      <c r="MQS88" s="587" t="n"/>
      <c r="MQT88" s="587" t="n"/>
      <c r="MQU88" s="587" t="n"/>
      <c r="MQV88" s="587" t="n"/>
      <c r="MQW88" s="587" t="n"/>
      <c r="MQX88" s="587" t="n"/>
      <c r="MQY88" s="587" t="n"/>
      <c r="MQZ88" s="587" t="n"/>
      <c r="MRA88" s="587" t="n"/>
      <c r="MRB88" s="587" t="n"/>
      <c r="MRC88" s="587" t="n"/>
      <c r="MRD88" s="587" t="n"/>
      <c r="MRE88" s="587" t="n"/>
      <c r="MRF88" s="587" t="n"/>
      <c r="MRG88" s="587" t="n"/>
      <c r="MRH88" s="587" t="n"/>
      <c r="MRI88" s="587" t="n"/>
      <c r="MRJ88" s="587" t="n"/>
      <c r="MRK88" s="587" t="n"/>
      <c r="MRL88" s="587" t="n"/>
      <c r="MRM88" s="587" t="n"/>
      <c r="MRN88" s="587" t="n"/>
      <c r="MRO88" s="587" t="n"/>
      <c r="MRP88" s="587" t="n"/>
      <c r="MRQ88" s="587" t="n"/>
      <c r="MRR88" s="587" t="n"/>
      <c r="MRS88" s="587" t="n"/>
      <c r="MRT88" s="587" t="n"/>
      <c r="MRU88" s="587" t="n"/>
      <c r="MRV88" s="587" t="n"/>
      <c r="MRW88" s="587" t="n"/>
      <c r="MRX88" s="587" t="n"/>
      <c r="MRY88" s="587" t="n"/>
      <c r="MRZ88" s="587" t="n"/>
      <c r="MSA88" s="587" t="n"/>
      <c r="MSB88" s="587" t="n"/>
      <c r="MSC88" s="587" t="n"/>
      <c r="MSD88" s="587" t="n"/>
      <c r="MSE88" s="587" t="n"/>
      <c r="MSF88" s="587" t="n"/>
      <c r="MSG88" s="587" t="n"/>
      <c r="MSH88" s="587" t="n"/>
      <c r="MSI88" s="587" t="n"/>
      <c r="MSJ88" s="587" t="n"/>
      <c r="MSK88" s="587" t="n"/>
      <c r="MSL88" s="587" t="n"/>
      <c r="MSM88" s="587" t="n"/>
      <c r="MSN88" s="587" t="n"/>
      <c r="MSO88" s="587" t="n"/>
      <c r="MSP88" s="587" t="n"/>
      <c r="MSQ88" s="587" t="n"/>
      <c r="MSR88" s="587" t="n"/>
      <c r="MSS88" s="587" t="n"/>
      <c r="MST88" s="587" t="n"/>
      <c r="MSU88" s="587" t="n"/>
      <c r="MSV88" s="587" t="n"/>
      <c r="MSW88" s="587" t="n"/>
      <c r="MSX88" s="587" t="n"/>
      <c r="MSY88" s="587" t="n"/>
      <c r="MSZ88" s="587" t="n"/>
      <c r="MTA88" s="587" t="n"/>
      <c r="MTB88" s="587" t="n"/>
      <c r="MTC88" s="587" t="n"/>
      <c r="MTD88" s="587" t="n"/>
      <c r="MTE88" s="587" t="n"/>
      <c r="MTF88" s="587" t="n"/>
      <c r="MTG88" s="587" t="n"/>
      <c r="MTH88" s="587" t="n"/>
      <c r="MTI88" s="587" t="n"/>
      <c r="MTJ88" s="587" t="n"/>
      <c r="MTK88" s="587" t="n"/>
      <c r="MTL88" s="587" t="n"/>
      <c r="MTM88" s="587" t="n"/>
      <c r="MTN88" s="587" t="n"/>
      <c r="MTO88" s="587" t="n"/>
      <c r="MTP88" s="587" t="n"/>
      <c r="MTQ88" s="587" t="n"/>
      <c r="MTR88" s="587" t="n"/>
      <c r="MTS88" s="587" t="n"/>
      <c r="MTT88" s="587" t="n"/>
      <c r="MTU88" s="587" t="n"/>
      <c r="MTV88" s="587" t="n"/>
      <c r="MTW88" s="587" t="n"/>
      <c r="MTX88" s="587" t="n"/>
      <c r="MTY88" s="587" t="n"/>
      <c r="MTZ88" s="587" t="n"/>
      <c r="MUA88" s="587" t="n"/>
      <c r="MUB88" s="587" t="n"/>
      <c r="MUC88" s="587" t="n"/>
      <c r="MUD88" s="587" t="n"/>
      <c r="MUE88" s="587" t="n"/>
      <c r="MUF88" s="587" t="n"/>
      <c r="MUG88" s="587" t="n"/>
      <c r="MUH88" s="587" t="n"/>
      <c r="MUI88" s="587" t="n"/>
      <c r="MUJ88" s="587" t="n"/>
      <c r="MUK88" s="587" t="n"/>
      <c r="MUL88" s="587" t="n"/>
      <c r="MUM88" s="587" t="n"/>
      <c r="MUN88" s="587" t="n"/>
      <c r="MUO88" s="587" t="n"/>
      <c r="MUP88" s="587" t="n"/>
      <c r="MUQ88" s="587" t="n"/>
      <c r="MUR88" s="587" t="n"/>
      <c r="MUS88" s="587" t="n"/>
      <c r="MUT88" s="587" t="n"/>
      <c r="MUU88" s="587" t="n"/>
      <c r="MUV88" s="587" t="n"/>
      <c r="MUW88" s="587" t="n"/>
      <c r="MUX88" s="587" t="n"/>
      <c r="MUY88" s="587" t="n"/>
      <c r="MUZ88" s="587" t="n"/>
      <c r="MVA88" s="587" t="n"/>
      <c r="MVB88" s="587" t="n"/>
      <c r="MVC88" s="587" t="n"/>
      <c r="MVD88" s="587" t="n"/>
      <c r="MVE88" s="587" t="n"/>
      <c r="MVF88" s="587" t="n"/>
      <c r="MVG88" s="587" t="n"/>
      <c r="MVH88" s="587" t="n"/>
      <c r="MVI88" s="587" t="n"/>
      <c r="MVJ88" s="587" t="n"/>
      <c r="MVK88" s="587" t="n"/>
      <c r="MVL88" s="587" t="n"/>
      <c r="MVM88" s="587" t="n"/>
      <c r="MVN88" s="587" t="n"/>
      <c r="MVO88" s="587" t="n"/>
      <c r="MVP88" s="587" t="n"/>
      <c r="MVQ88" s="587" t="n"/>
      <c r="MVR88" s="587" t="n"/>
      <c r="MVS88" s="587" t="n"/>
      <c r="MVT88" s="587" t="n"/>
      <c r="MVU88" s="587" t="n"/>
      <c r="MVV88" s="587" t="n"/>
      <c r="MVW88" s="587" t="n"/>
      <c r="MVX88" s="587" t="n"/>
      <c r="MVY88" s="587" t="n"/>
      <c r="MVZ88" s="587" t="n"/>
      <c r="MWA88" s="587" t="n"/>
      <c r="MWB88" s="587" t="n"/>
      <c r="MWC88" s="587" t="n"/>
      <c r="MWD88" s="587" t="n"/>
      <c r="MWE88" s="587" t="n"/>
      <c r="MWF88" s="587" t="n"/>
      <c r="MWG88" s="587" t="n"/>
      <c r="MWH88" s="587" t="n"/>
      <c r="MWI88" s="587" t="n"/>
      <c r="MWJ88" s="587" t="n"/>
      <c r="MWK88" s="587" t="n"/>
      <c r="MWL88" s="587" t="n"/>
      <c r="MWM88" s="587" t="n"/>
      <c r="MWN88" s="587" t="n"/>
      <c r="MWO88" s="587" t="n"/>
      <c r="MWP88" s="587" t="n"/>
      <c r="MWQ88" s="587" t="n"/>
      <c r="MWR88" s="587" t="n"/>
      <c r="MWS88" s="587" t="n"/>
      <c r="MWT88" s="587" t="n"/>
      <c r="MWU88" s="587" t="n"/>
      <c r="MWV88" s="587" t="n"/>
      <c r="MWW88" s="587" t="n"/>
      <c r="MWX88" s="587" t="n"/>
      <c r="MWY88" s="587" t="n"/>
      <c r="MWZ88" s="587" t="n"/>
      <c r="MXA88" s="587" t="n"/>
      <c r="MXB88" s="587" t="n"/>
      <c r="MXC88" s="587" t="n"/>
      <c r="MXD88" s="587" t="n"/>
      <c r="MXE88" s="587" t="n"/>
      <c r="MXF88" s="587" t="n"/>
      <c r="MXG88" s="587" t="n"/>
      <c r="MXH88" s="587" t="n"/>
      <c r="MXI88" s="587" t="n"/>
      <c r="MXJ88" s="587" t="n"/>
      <c r="MXK88" s="587" t="n"/>
      <c r="MXL88" s="587" t="n"/>
      <c r="MXM88" s="587" t="n"/>
      <c r="MXN88" s="587" t="n"/>
      <c r="MXO88" s="587" t="n"/>
      <c r="MXP88" s="587" t="n"/>
      <c r="MXQ88" s="587" t="n"/>
      <c r="MXR88" s="587" t="n"/>
      <c r="MXS88" s="587" t="n"/>
      <c r="MXT88" s="587" t="n"/>
      <c r="MXU88" s="587" t="n"/>
      <c r="MXV88" s="587" t="n"/>
      <c r="MXW88" s="587" t="n"/>
      <c r="MXX88" s="587" t="n"/>
      <c r="MXY88" s="587" t="n"/>
      <c r="MXZ88" s="587" t="n"/>
      <c r="MYA88" s="587" t="n"/>
      <c r="MYB88" s="587" t="n"/>
      <c r="MYC88" s="587" t="n"/>
      <c r="MYD88" s="587" t="n"/>
      <c r="MYE88" s="587" t="n"/>
      <c r="MYF88" s="587" t="n"/>
      <c r="MYG88" s="587" t="n"/>
      <c r="MYH88" s="587" t="n"/>
      <c r="MYI88" s="587" t="n"/>
      <c r="MYJ88" s="587" t="n"/>
      <c r="MYK88" s="587" t="n"/>
      <c r="MYL88" s="587" t="n"/>
      <c r="MYM88" s="587" t="n"/>
      <c r="MYN88" s="587" t="n"/>
      <c r="MYO88" s="587" t="n"/>
      <c r="MYP88" s="587" t="n"/>
      <c r="MYQ88" s="587" t="n"/>
      <c r="MYR88" s="587" t="n"/>
      <c r="MYS88" s="587" t="n"/>
      <c r="MYT88" s="587" t="n"/>
      <c r="MYU88" s="587" t="n"/>
      <c r="MYV88" s="587" t="n"/>
      <c r="MYW88" s="587" t="n"/>
      <c r="MYX88" s="587" t="n"/>
      <c r="MYY88" s="587" t="n"/>
      <c r="MYZ88" s="587" t="n"/>
      <c r="MZA88" s="587" t="n"/>
      <c r="MZB88" s="587" t="n"/>
      <c r="MZC88" s="587" t="n"/>
      <c r="MZD88" s="587" t="n"/>
      <c r="MZE88" s="587" t="n"/>
      <c r="MZF88" s="587" t="n"/>
      <c r="MZG88" s="587" t="n"/>
      <c r="MZH88" s="587" t="n"/>
      <c r="MZI88" s="587" t="n"/>
      <c r="MZJ88" s="587" t="n"/>
      <c r="MZK88" s="587" t="n"/>
      <c r="MZL88" s="587" t="n"/>
      <c r="MZM88" s="587" t="n"/>
      <c r="MZN88" s="587" t="n"/>
      <c r="MZO88" s="587" t="n"/>
      <c r="MZP88" s="587" t="n"/>
      <c r="MZQ88" s="587" t="n"/>
      <c r="MZR88" s="587" t="n"/>
      <c r="MZS88" s="587" t="n"/>
      <c r="MZT88" s="587" t="n"/>
      <c r="MZU88" s="587" t="n"/>
      <c r="MZV88" s="587" t="n"/>
      <c r="MZW88" s="587" t="n"/>
      <c r="MZX88" s="587" t="n"/>
      <c r="MZY88" s="587" t="n"/>
      <c r="MZZ88" s="587" t="n"/>
      <c r="NAA88" s="587" t="n"/>
      <c r="NAB88" s="587" t="n"/>
      <c r="NAC88" s="587" t="n"/>
      <c r="NAD88" s="587" t="n"/>
      <c r="NAE88" s="587" t="n"/>
      <c r="NAF88" s="587" t="n"/>
      <c r="NAG88" s="587" t="n"/>
      <c r="NAH88" s="587" t="n"/>
      <c r="NAI88" s="587" t="n"/>
      <c r="NAJ88" s="587" t="n"/>
      <c r="NAK88" s="587" t="n"/>
      <c r="NAL88" s="587" t="n"/>
      <c r="NAM88" s="587" t="n"/>
      <c r="NAN88" s="587" t="n"/>
      <c r="NAO88" s="587" t="n"/>
      <c r="NAP88" s="587" t="n"/>
      <c r="NAQ88" s="587" t="n"/>
      <c r="NAR88" s="587" t="n"/>
      <c r="NAS88" s="587" t="n"/>
      <c r="NAT88" s="587" t="n"/>
      <c r="NAU88" s="587" t="n"/>
      <c r="NAV88" s="587" t="n"/>
      <c r="NAW88" s="587" t="n"/>
      <c r="NAX88" s="587" t="n"/>
      <c r="NAY88" s="587" t="n"/>
      <c r="NAZ88" s="587" t="n"/>
      <c r="NBA88" s="587" t="n"/>
      <c r="NBB88" s="587" t="n"/>
      <c r="NBC88" s="587" t="n"/>
      <c r="NBD88" s="587" t="n"/>
      <c r="NBE88" s="587" t="n"/>
      <c r="NBF88" s="587" t="n"/>
      <c r="NBG88" s="587" t="n"/>
      <c r="NBH88" s="587" t="n"/>
      <c r="NBI88" s="587" t="n"/>
      <c r="NBJ88" s="587" t="n"/>
      <c r="NBK88" s="587" t="n"/>
      <c r="NBL88" s="587" t="n"/>
      <c r="NBM88" s="587" t="n"/>
      <c r="NBN88" s="587" t="n"/>
      <c r="NBO88" s="587" t="n"/>
      <c r="NBP88" s="587" t="n"/>
      <c r="NBQ88" s="587" t="n"/>
      <c r="NBR88" s="587" t="n"/>
      <c r="NBS88" s="587" t="n"/>
      <c r="NBT88" s="587" t="n"/>
      <c r="NBU88" s="587" t="n"/>
      <c r="NBV88" s="587" t="n"/>
      <c r="NBW88" s="587" t="n"/>
      <c r="NBX88" s="587" t="n"/>
      <c r="NBY88" s="587" t="n"/>
      <c r="NBZ88" s="587" t="n"/>
      <c r="NCA88" s="587" t="n"/>
      <c r="NCB88" s="587" t="n"/>
      <c r="NCC88" s="587" t="n"/>
      <c r="NCD88" s="587" t="n"/>
      <c r="NCE88" s="587" t="n"/>
      <c r="NCF88" s="587" t="n"/>
      <c r="NCG88" s="587" t="n"/>
      <c r="NCH88" s="587" t="n"/>
      <c r="NCI88" s="587" t="n"/>
      <c r="NCJ88" s="587" t="n"/>
      <c r="NCK88" s="587" t="n"/>
      <c r="NCL88" s="587" t="n"/>
      <c r="NCM88" s="587" t="n"/>
      <c r="NCN88" s="587" t="n"/>
      <c r="NCO88" s="587" t="n"/>
      <c r="NCP88" s="587" t="n"/>
      <c r="NCQ88" s="587" t="n"/>
      <c r="NCR88" s="587" t="n"/>
      <c r="NCS88" s="587" t="n"/>
      <c r="NCT88" s="587" t="n"/>
      <c r="NCU88" s="587" t="n"/>
      <c r="NCV88" s="587" t="n"/>
      <c r="NCW88" s="587" t="n"/>
      <c r="NCX88" s="587" t="n"/>
      <c r="NCY88" s="587" t="n"/>
      <c r="NCZ88" s="587" t="n"/>
      <c r="NDA88" s="587" t="n"/>
      <c r="NDB88" s="587" t="n"/>
      <c r="NDC88" s="587" t="n"/>
      <c r="NDD88" s="587" t="n"/>
      <c r="NDE88" s="587" t="n"/>
      <c r="NDF88" s="587" t="n"/>
      <c r="NDG88" s="587" t="n"/>
      <c r="NDH88" s="587" t="n"/>
      <c r="NDI88" s="587" t="n"/>
      <c r="NDJ88" s="587" t="n"/>
      <c r="NDK88" s="587" t="n"/>
      <c r="NDL88" s="587" t="n"/>
      <c r="NDM88" s="587" t="n"/>
      <c r="NDN88" s="587" t="n"/>
      <c r="NDO88" s="587" t="n"/>
      <c r="NDP88" s="587" t="n"/>
      <c r="NDQ88" s="587" t="n"/>
      <c r="NDR88" s="587" t="n"/>
      <c r="NDS88" s="587" t="n"/>
      <c r="NDT88" s="587" t="n"/>
      <c r="NDU88" s="587" t="n"/>
      <c r="NDV88" s="587" t="n"/>
      <c r="NDW88" s="587" t="n"/>
      <c r="NDX88" s="587" t="n"/>
      <c r="NDY88" s="587" t="n"/>
      <c r="NDZ88" s="587" t="n"/>
      <c r="NEA88" s="587" t="n"/>
      <c r="NEB88" s="587" t="n"/>
      <c r="NEC88" s="587" t="n"/>
      <c r="NED88" s="587" t="n"/>
      <c r="NEE88" s="587" t="n"/>
      <c r="NEF88" s="587" t="n"/>
      <c r="NEG88" s="587" t="n"/>
      <c r="NEH88" s="587" t="n"/>
      <c r="NEI88" s="587" t="n"/>
      <c r="NEJ88" s="587" t="n"/>
      <c r="NEK88" s="587" t="n"/>
      <c r="NEL88" s="587" t="n"/>
      <c r="NEM88" s="587" t="n"/>
      <c r="NEN88" s="587" t="n"/>
      <c r="NEO88" s="587" t="n"/>
      <c r="NEP88" s="587" t="n"/>
      <c r="NEQ88" s="587" t="n"/>
      <c r="NER88" s="587" t="n"/>
      <c r="NES88" s="587" t="n"/>
      <c r="NET88" s="587" t="n"/>
      <c r="NEU88" s="587" t="n"/>
      <c r="NEV88" s="587" t="n"/>
      <c r="NEW88" s="587" t="n"/>
      <c r="NEX88" s="587" t="n"/>
      <c r="NEY88" s="587" t="n"/>
      <c r="NEZ88" s="587" t="n"/>
      <c r="NFA88" s="587" t="n"/>
      <c r="NFB88" s="587" t="n"/>
      <c r="NFC88" s="587" t="n"/>
      <c r="NFD88" s="587" t="n"/>
      <c r="NFE88" s="587" t="n"/>
      <c r="NFF88" s="587" t="n"/>
      <c r="NFG88" s="587" t="n"/>
      <c r="NFH88" s="587" t="n"/>
      <c r="NFI88" s="587" t="n"/>
      <c r="NFJ88" s="587" t="n"/>
      <c r="NFK88" s="587" t="n"/>
      <c r="NFL88" s="587" t="n"/>
      <c r="NFM88" s="587" t="n"/>
      <c r="NFN88" s="587" t="n"/>
      <c r="NFO88" s="587" t="n"/>
      <c r="NFP88" s="587" t="n"/>
      <c r="NFQ88" s="587" t="n"/>
      <c r="NFR88" s="587" t="n"/>
      <c r="NFS88" s="587" t="n"/>
      <c r="NFT88" s="587" t="n"/>
      <c r="NFU88" s="587" t="n"/>
      <c r="NFV88" s="587" t="n"/>
      <c r="NFW88" s="587" t="n"/>
      <c r="NFX88" s="587" t="n"/>
      <c r="NFY88" s="587" t="n"/>
      <c r="NFZ88" s="587" t="n"/>
      <c r="NGA88" s="587" t="n"/>
      <c r="NGB88" s="587" t="n"/>
      <c r="NGC88" s="587" t="n"/>
      <c r="NGD88" s="587" t="n"/>
      <c r="NGE88" s="587" t="n"/>
      <c r="NGF88" s="587" t="n"/>
      <c r="NGG88" s="587" t="n"/>
      <c r="NGH88" s="587" t="n"/>
      <c r="NGI88" s="587" t="n"/>
      <c r="NGJ88" s="587" t="n"/>
      <c r="NGK88" s="587" t="n"/>
      <c r="NGL88" s="587" t="n"/>
      <c r="NGM88" s="587" t="n"/>
      <c r="NGN88" s="587" t="n"/>
      <c r="NGO88" s="587" t="n"/>
      <c r="NGP88" s="587" t="n"/>
      <c r="NGQ88" s="587" t="n"/>
      <c r="NGR88" s="587" t="n"/>
      <c r="NGS88" s="587" t="n"/>
      <c r="NGT88" s="587" t="n"/>
      <c r="NGU88" s="587" t="n"/>
      <c r="NGV88" s="587" t="n"/>
      <c r="NGW88" s="587" t="n"/>
      <c r="NGX88" s="587" t="n"/>
      <c r="NGY88" s="587" t="n"/>
      <c r="NGZ88" s="587" t="n"/>
      <c r="NHA88" s="587" t="n"/>
      <c r="NHB88" s="587" t="n"/>
      <c r="NHC88" s="587" t="n"/>
      <c r="NHD88" s="587" t="n"/>
      <c r="NHE88" s="587" t="n"/>
      <c r="NHF88" s="587" t="n"/>
      <c r="NHG88" s="587" t="n"/>
      <c r="NHH88" s="587" t="n"/>
      <c r="NHI88" s="587" t="n"/>
      <c r="NHJ88" s="587" t="n"/>
      <c r="NHK88" s="587" t="n"/>
      <c r="NHL88" s="587" t="n"/>
      <c r="NHM88" s="587" t="n"/>
      <c r="NHN88" s="587" t="n"/>
      <c r="NHO88" s="587" t="n"/>
      <c r="NHP88" s="587" t="n"/>
      <c r="NHQ88" s="587" t="n"/>
      <c r="NHR88" s="587" t="n"/>
      <c r="NHS88" s="587" t="n"/>
      <c r="NHT88" s="587" t="n"/>
      <c r="NHU88" s="587" t="n"/>
      <c r="NHV88" s="587" t="n"/>
      <c r="NHW88" s="587" t="n"/>
      <c r="NHX88" s="587" t="n"/>
      <c r="NHY88" s="587" t="n"/>
      <c r="NHZ88" s="587" t="n"/>
      <c r="NIA88" s="587" t="n"/>
      <c r="NIB88" s="587" t="n"/>
      <c r="NIC88" s="587" t="n"/>
      <c r="NID88" s="587" t="n"/>
      <c r="NIE88" s="587" t="n"/>
      <c r="NIF88" s="587" t="n"/>
      <c r="NIG88" s="587" t="n"/>
      <c r="NIH88" s="587" t="n"/>
      <c r="NII88" s="587" t="n"/>
      <c r="NIJ88" s="587" t="n"/>
      <c r="NIK88" s="587" t="n"/>
      <c r="NIL88" s="587" t="n"/>
      <c r="NIM88" s="587" t="n"/>
      <c r="NIN88" s="587" t="n"/>
      <c r="NIO88" s="587" t="n"/>
      <c r="NIP88" s="587" t="n"/>
      <c r="NIQ88" s="587" t="n"/>
      <c r="NIR88" s="587" t="n"/>
      <c r="NIS88" s="587" t="n"/>
      <c r="NIT88" s="587" t="n"/>
      <c r="NIU88" s="587" t="n"/>
      <c r="NIV88" s="587" t="n"/>
      <c r="NIW88" s="587" t="n"/>
      <c r="NIX88" s="587" t="n"/>
      <c r="NIY88" s="587" t="n"/>
      <c r="NIZ88" s="587" t="n"/>
      <c r="NJA88" s="587" t="n"/>
      <c r="NJB88" s="587" t="n"/>
      <c r="NJC88" s="587" t="n"/>
      <c r="NJD88" s="587" t="n"/>
      <c r="NJE88" s="587" t="n"/>
      <c r="NJF88" s="587" t="n"/>
      <c r="NJG88" s="587" t="n"/>
      <c r="NJH88" s="587" t="n"/>
      <c r="NJI88" s="587" t="n"/>
      <c r="NJJ88" s="587" t="n"/>
      <c r="NJK88" s="587" t="n"/>
      <c r="NJL88" s="587" t="n"/>
      <c r="NJM88" s="587" t="n"/>
      <c r="NJN88" s="587" t="n"/>
      <c r="NJO88" s="587" t="n"/>
      <c r="NJP88" s="587" t="n"/>
      <c r="NJQ88" s="587" t="n"/>
      <c r="NJR88" s="587" t="n"/>
      <c r="NJS88" s="587" t="n"/>
      <c r="NJT88" s="587" t="n"/>
      <c r="NJU88" s="587" t="n"/>
      <c r="NJV88" s="587" t="n"/>
      <c r="NJW88" s="587" t="n"/>
      <c r="NJX88" s="587" t="n"/>
      <c r="NJY88" s="587" t="n"/>
      <c r="NJZ88" s="587" t="n"/>
      <c r="NKA88" s="587" t="n"/>
      <c r="NKB88" s="587" t="n"/>
      <c r="NKC88" s="587" t="n"/>
      <c r="NKD88" s="587" t="n"/>
      <c r="NKE88" s="587" t="n"/>
      <c r="NKF88" s="587" t="n"/>
      <c r="NKG88" s="587" t="n"/>
      <c r="NKH88" s="587" t="n"/>
      <c r="NKI88" s="587" t="n"/>
      <c r="NKJ88" s="587" t="n"/>
      <c r="NKK88" s="587" t="n"/>
      <c r="NKL88" s="587" t="n"/>
      <c r="NKM88" s="587" t="n"/>
      <c r="NKN88" s="587" t="n"/>
      <c r="NKO88" s="587" t="n"/>
      <c r="NKP88" s="587" t="n"/>
      <c r="NKQ88" s="587" t="n"/>
      <c r="NKR88" s="587" t="n"/>
      <c r="NKS88" s="587" t="n"/>
      <c r="NKT88" s="587" t="n"/>
      <c r="NKU88" s="587" t="n"/>
      <c r="NKV88" s="587" t="n"/>
      <c r="NKW88" s="587" t="n"/>
      <c r="NKX88" s="587" t="n"/>
      <c r="NKY88" s="587" t="n"/>
      <c r="NKZ88" s="587" t="n"/>
      <c r="NLA88" s="587" t="n"/>
      <c r="NLB88" s="587" t="n"/>
      <c r="NLC88" s="587" t="n"/>
      <c r="NLD88" s="587" t="n"/>
      <c r="NLE88" s="587" t="n"/>
      <c r="NLF88" s="587" t="n"/>
      <c r="NLG88" s="587" t="n"/>
      <c r="NLH88" s="587" t="n"/>
      <c r="NLI88" s="587" t="n"/>
      <c r="NLJ88" s="587" t="n"/>
      <c r="NLK88" s="587" t="n"/>
      <c r="NLL88" s="587" t="n"/>
      <c r="NLM88" s="587" t="n"/>
      <c r="NLN88" s="587" t="n"/>
      <c r="NLO88" s="587" t="n"/>
      <c r="NLP88" s="587" t="n"/>
      <c r="NLQ88" s="587" t="n"/>
      <c r="NLR88" s="587" t="n"/>
      <c r="NLS88" s="587" t="n"/>
      <c r="NLT88" s="587" t="n"/>
      <c r="NLU88" s="587" t="n"/>
      <c r="NLV88" s="587" t="n"/>
      <c r="NLW88" s="587" t="n"/>
      <c r="NLX88" s="587" t="n"/>
      <c r="NLY88" s="587" t="n"/>
      <c r="NLZ88" s="587" t="n"/>
      <c r="NMA88" s="587" t="n"/>
      <c r="NMB88" s="587" t="n"/>
      <c r="NMC88" s="587" t="n"/>
      <c r="NMD88" s="587" t="n"/>
      <c r="NME88" s="587" t="n"/>
      <c r="NMF88" s="587" t="n"/>
      <c r="NMG88" s="587" t="n"/>
      <c r="NMH88" s="587" t="n"/>
      <c r="NMI88" s="587" t="n"/>
      <c r="NMJ88" s="587" t="n"/>
      <c r="NMK88" s="587" t="n"/>
      <c r="NML88" s="587" t="n"/>
      <c r="NMM88" s="587" t="n"/>
      <c r="NMN88" s="587" t="n"/>
      <c r="NMO88" s="587" t="n"/>
      <c r="NMP88" s="587" t="n"/>
      <c r="NMQ88" s="587" t="n"/>
      <c r="NMR88" s="587" t="n"/>
      <c r="NMS88" s="587" t="n"/>
      <c r="NMT88" s="587" t="n"/>
      <c r="NMU88" s="587" t="n"/>
      <c r="NMV88" s="587" t="n"/>
      <c r="NMW88" s="587" t="n"/>
      <c r="NMX88" s="587" t="n"/>
      <c r="NMY88" s="587" t="n"/>
      <c r="NMZ88" s="587" t="n"/>
      <c r="NNA88" s="587" t="n"/>
      <c r="NNB88" s="587" t="n"/>
      <c r="NNC88" s="587" t="n"/>
      <c r="NND88" s="587" t="n"/>
      <c r="NNE88" s="587" t="n"/>
      <c r="NNF88" s="587" t="n"/>
      <c r="NNG88" s="587" t="n"/>
      <c r="NNH88" s="587" t="n"/>
      <c r="NNI88" s="587" t="n"/>
      <c r="NNJ88" s="587" t="n"/>
      <c r="NNK88" s="587" t="n"/>
      <c r="NNL88" s="587" t="n"/>
      <c r="NNM88" s="587" t="n"/>
      <c r="NNN88" s="587" t="n"/>
      <c r="NNO88" s="587" t="n"/>
      <c r="NNP88" s="587" t="n"/>
      <c r="NNQ88" s="587" t="n"/>
      <c r="NNR88" s="587" t="n"/>
      <c r="NNS88" s="587" t="n"/>
      <c r="NNT88" s="587" t="n"/>
      <c r="NNU88" s="587" t="n"/>
      <c r="NNV88" s="587" t="n"/>
      <c r="NNW88" s="587" t="n"/>
      <c r="NNX88" s="587" t="n"/>
      <c r="NNY88" s="587" t="n"/>
      <c r="NNZ88" s="587" t="n"/>
      <c r="NOA88" s="587" t="n"/>
      <c r="NOB88" s="587" t="n"/>
      <c r="NOC88" s="587" t="n"/>
      <c r="NOD88" s="587" t="n"/>
      <c r="NOE88" s="587" t="n"/>
      <c r="NOF88" s="587" t="n"/>
      <c r="NOG88" s="587" t="n"/>
      <c r="NOH88" s="587" t="n"/>
      <c r="NOI88" s="587" t="n"/>
      <c r="NOJ88" s="587" t="n"/>
      <c r="NOK88" s="587" t="n"/>
      <c r="NOL88" s="587" t="n"/>
      <c r="NOM88" s="587" t="n"/>
      <c r="NON88" s="587" t="n"/>
      <c r="NOO88" s="587" t="n"/>
      <c r="NOP88" s="587" t="n"/>
      <c r="NOQ88" s="587" t="n"/>
      <c r="NOR88" s="587" t="n"/>
      <c r="NOS88" s="587" t="n"/>
      <c r="NOT88" s="587" t="n"/>
      <c r="NOU88" s="587" t="n"/>
      <c r="NOV88" s="587" t="n"/>
      <c r="NOW88" s="587" t="n"/>
      <c r="NOX88" s="587" t="n"/>
      <c r="NOY88" s="587" t="n"/>
      <c r="NOZ88" s="587" t="n"/>
      <c r="NPA88" s="587" t="n"/>
      <c r="NPB88" s="587" t="n"/>
      <c r="NPC88" s="587" t="n"/>
      <c r="NPD88" s="587" t="n"/>
      <c r="NPE88" s="587" t="n"/>
      <c r="NPF88" s="587" t="n"/>
      <c r="NPG88" s="587" t="n"/>
      <c r="NPH88" s="587" t="n"/>
      <c r="NPI88" s="587" t="n"/>
      <c r="NPJ88" s="587" t="n"/>
      <c r="NPK88" s="587" t="n"/>
      <c r="NPL88" s="587" t="n"/>
      <c r="NPM88" s="587" t="n"/>
      <c r="NPN88" s="587" t="n"/>
      <c r="NPO88" s="587" t="n"/>
      <c r="NPP88" s="587" t="n"/>
      <c r="NPQ88" s="587" t="n"/>
      <c r="NPR88" s="587" t="n"/>
      <c r="NPS88" s="587" t="n"/>
      <c r="NPT88" s="587" t="n"/>
      <c r="NPU88" s="587" t="n"/>
      <c r="NPV88" s="587" t="n"/>
      <c r="NPW88" s="587" t="n"/>
      <c r="NPX88" s="587" t="n"/>
      <c r="NPY88" s="587" t="n"/>
      <c r="NPZ88" s="587" t="n"/>
      <c r="NQA88" s="587" t="n"/>
      <c r="NQB88" s="587" t="n"/>
      <c r="NQC88" s="587" t="n"/>
      <c r="NQD88" s="587" t="n"/>
      <c r="NQE88" s="587" t="n"/>
      <c r="NQF88" s="587" t="n"/>
      <c r="NQG88" s="587" t="n"/>
      <c r="NQH88" s="587" t="n"/>
      <c r="NQI88" s="587" t="n"/>
      <c r="NQJ88" s="587" t="n"/>
      <c r="NQK88" s="587" t="n"/>
      <c r="NQL88" s="587" t="n"/>
      <c r="NQM88" s="587" t="n"/>
      <c r="NQN88" s="587" t="n"/>
      <c r="NQO88" s="587" t="n"/>
      <c r="NQP88" s="587" t="n"/>
      <c r="NQQ88" s="587" t="n"/>
      <c r="NQR88" s="587" t="n"/>
      <c r="NQS88" s="587" t="n"/>
      <c r="NQT88" s="587" t="n"/>
      <c r="NQU88" s="587" t="n"/>
      <c r="NQV88" s="587" t="n"/>
      <c r="NQW88" s="587" t="n"/>
      <c r="NQX88" s="587" t="n"/>
      <c r="NQY88" s="587" t="n"/>
      <c r="NQZ88" s="587" t="n"/>
      <c r="NRA88" s="587" t="n"/>
      <c r="NRB88" s="587" t="n"/>
      <c r="NRC88" s="587" t="n"/>
      <c r="NRD88" s="587" t="n"/>
      <c r="NRE88" s="587" t="n"/>
      <c r="NRF88" s="587" t="n"/>
      <c r="NRG88" s="587" t="n"/>
      <c r="NRH88" s="587" t="n"/>
      <c r="NRI88" s="587" t="n"/>
      <c r="NRJ88" s="587" t="n"/>
      <c r="NRK88" s="587" t="n"/>
      <c r="NRL88" s="587" t="n"/>
      <c r="NRM88" s="587" t="n"/>
      <c r="NRN88" s="587" t="n"/>
      <c r="NRO88" s="587" t="n"/>
      <c r="NRP88" s="587" t="n"/>
      <c r="NRQ88" s="587" t="n"/>
      <c r="NRR88" s="587" t="n"/>
      <c r="NRS88" s="587" t="n"/>
      <c r="NRT88" s="587" t="n"/>
      <c r="NRU88" s="587" t="n"/>
      <c r="NRV88" s="587" t="n"/>
      <c r="NRW88" s="587" t="n"/>
      <c r="NRX88" s="587" t="n"/>
      <c r="NRY88" s="587" t="n"/>
      <c r="NRZ88" s="587" t="n"/>
      <c r="NSA88" s="587" t="n"/>
      <c r="NSB88" s="587" t="n"/>
      <c r="NSC88" s="587" t="n"/>
      <c r="NSD88" s="587" t="n"/>
      <c r="NSE88" s="587" t="n"/>
      <c r="NSF88" s="587" t="n"/>
      <c r="NSG88" s="587" t="n"/>
      <c r="NSH88" s="587" t="n"/>
      <c r="NSI88" s="587" t="n"/>
      <c r="NSJ88" s="587" t="n"/>
      <c r="NSK88" s="587" t="n"/>
      <c r="NSL88" s="587" t="n"/>
      <c r="NSM88" s="587" t="n"/>
      <c r="NSN88" s="587" t="n"/>
      <c r="NSO88" s="587" t="n"/>
      <c r="NSP88" s="587" t="n"/>
      <c r="NSQ88" s="587" t="n"/>
      <c r="NSR88" s="587" t="n"/>
      <c r="NSS88" s="587" t="n"/>
      <c r="NST88" s="587" t="n"/>
      <c r="NSU88" s="587" t="n"/>
      <c r="NSV88" s="587" t="n"/>
      <c r="NSW88" s="587" t="n"/>
      <c r="NSX88" s="587" t="n"/>
      <c r="NSY88" s="587" t="n"/>
      <c r="NSZ88" s="587" t="n"/>
      <c r="NTA88" s="587" t="n"/>
      <c r="NTB88" s="587" t="n"/>
      <c r="NTC88" s="587" t="n"/>
      <c r="NTD88" s="587" t="n"/>
      <c r="NTE88" s="587" t="n"/>
      <c r="NTF88" s="587" t="n"/>
      <c r="NTG88" s="587" t="n"/>
      <c r="NTH88" s="587" t="n"/>
      <c r="NTI88" s="587" t="n"/>
      <c r="NTJ88" s="587" t="n"/>
      <c r="NTK88" s="587" t="n"/>
      <c r="NTL88" s="587" t="n"/>
      <c r="NTM88" s="587" t="n"/>
      <c r="NTN88" s="587" t="n"/>
      <c r="NTO88" s="587" t="n"/>
      <c r="NTP88" s="587" t="n"/>
      <c r="NTQ88" s="587" t="n"/>
      <c r="NTR88" s="587" t="n"/>
      <c r="NTS88" s="587" t="n"/>
      <c r="NTT88" s="587" t="n"/>
      <c r="NTU88" s="587" t="n"/>
      <c r="NTV88" s="587" t="n"/>
      <c r="NTW88" s="587" t="n"/>
      <c r="NTX88" s="587" t="n"/>
      <c r="NTY88" s="587" t="n"/>
      <c r="NTZ88" s="587" t="n"/>
      <c r="NUA88" s="587" t="n"/>
      <c r="NUB88" s="587" t="n"/>
      <c r="NUC88" s="587" t="n"/>
      <c r="NUD88" s="587" t="n"/>
      <c r="NUE88" s="587" t="n"/>
      <c r="NUF88" s="587" t="n"/>
      <c r="NUG88" s="587" t="n"/>
      <c r="NUH88" s="587" t="n"/>
      <c r="NUI88" s="587" t="n"/>
      <c r="NUJ88" s="587" t="n"/>
      <c r="NUK88" s="587" t="n"/>
      <c r="NUL88" s="587" t="n"/>
      <c r="NUM88" s="587" t="n"/>
      <c r="NUN88" s="587" t="n"/>
      <c r="NUO88" s="587" t="n"/>
      <c r="NUP88" s="587" t="n"/>
      <c r="NUQ88" s="587" t="n"/>
      <c r="NUR88" s="587" t="n"/>
      <c r="NUS88" s="587" t="n"/>
      <c r="NUT88" s="587" t="n"/>
      <c r="NUU88" s="587" t="n"/>
      <c r="NUV88" s="587" t="n"/>
      <c r="NUW88" s="587" t="n"/>
      <c r="NUX88" s="587" t="n"/>
      <c r="NUY88" s="587" t="n"/>
      <c r="NUZ88" s="587" t="n"/>
      <c r="NVA88" s="587" t="n"/>
      <c r="NVB88" s="587" t="n"/>
      <c r="NVC88" s="587" t="n"/>
      <c r="NVD88" s="587" t="n"/>
      <c r="NVE88" s="587" t="n"/>
      <c r="NVF88" s="587" t="n"/>
      <c r="NVG88" s="587" t="n"/>
      <c r="NVH88" s="587" t="n"/>
      <c r="NVI88" s="587" t="n"/>
      <c r="NVJ88" s="587" t="n"/>
      <c r="NVK88" s="587" t="n"/>
      <c r="NVL88" s="587" t="n"/>
      <c r="NVM88" s="587" t="n"/>
      <c r="NVN88" s="587" t="n"/>
      <c r="NVO88" s="587" t="n"/>
      <c r="NVP88" s="587" t="n"/>
      <c r="NVQ88" s="587" t="n"/>
      <c r="NVR88" s="587" t="n"/>
      <c r="NVS88" s="587" t="n"/>
      <c r="NVT88" s="587" t="n"/>
      <c r="NVU88" s="587" t="n"/>
      <c r="NVV88" s="587" t="n"/>
      <c r="NVW88" s="587" t="n"/>
      <c r="NVX88" s="587" t="n"/>
      <c r="NVY88" s="587" t="n"/>
      <c r="NVZ88" s="587" t="n"/>
      <c r="NWA88" s="587" t="n"/>
      <c r="NWB88" s="587" t="n"/>
      <c r="NWC88" s="587" t="n"/>
      <c r="NWD88" s="587" t="n"/>
      <c r="NWE88" s="587" t="n"/>
      <c r="NWF88" s="587" t="n"/>
      <c r="NWG88" s="587" t="n"/>
      <c r="NWH88" s="587" t="n"/>
      <c r="NWI88" s="587" t="n"/>
      <c r="NWJ88" s="587" t="n"/>
      <c r="NWK88" s="587" t="n"/>
      <c r="NWL88" s="587" t="n"/>
      <c r="NWM88" s="587" t="n"/>
      <c r="NWN88" s="587" t="n"/>
      <c r="NWO88" s="587" t="n"/>
      <c r="NWP88" s="587" t="n"/>
      <c r="NWQ88" s="587" t="n"/>
      <c r="NWR88" s="587" t="n"/>
      <c r="NWS88" s="587" t="n"/>
      <c r="NWT88" s="587" t="n"/>
      <c r="NWU88" s="587" t="n"/>
      <c r="NWV88" s="587" t="n"/>
      <c r="NWW88" s="587" t="n"/>
      <c r="NWX88" s="587" t="n"/>
      <c r="NWY88" s="587" t="n"/>
      <c r="NWZ88" s="587" t="n"/>
      <c r="NXA88" s="587" t="n"/>
      <c r="NXB88" s="587" t="n"/>
      <c r="NXC88" s="587" t="n"/>
      <c r="NXD88" s="587" t="n"/>
      <c r="NXE88" s="587" t="n"/>
      <c r="NXF88" s="587" t="n"/>
      <c r="NXG88" s="587" t="n"/>
      <c r="NXH88" s="587" t="n"/>
      <c r="NXI88" s="587" t="n"/>
      <c r="NXJ88" s="587" t="n"/>
      <c r="NXK88" s="587" t="n"/>
      <c r="NXL88" s="587" t="n"/>
      <c r="NXM88" s="587" t="n"/>
      <c r="NXN88" s="587" t="n"/>
      <c r="NXO88" s="587" t="n"/>
      <c r="NXP88" s="587" t="n"/>
      <c r="NXQ88" s="587" t="n"/>
      <c r="NXR88" s="587" t="n"/>
      <c r="NXS88" s="587" t="n"/>
      <c r="NXT88" s="587" t="n"/>
      <c r="NXU88" s="587" t="n"/>
      <c r="NXV88" s="587" t="n"/>
      <c r="NXW88" s="587" t="n"/>
      <c r="NXX88" s="587" t="n"/>
      <c r="NXY88" s="587" t="n"/>
      <c r="NXZ88" s="587" t="n"/>
      <c r="NYA88" s="587" t="n"/>
      <c r="NYB88" s="587" t="n"/>
      <c r="NYC88" s="587" t="n"/>
      <c r="NYD88" s="587" t="n"/>
      <c r="NYE88" s="587" t="n"/>
      <c r="NYF88" s="587" t="n"/>
      <c r="NYG88" s="587" t="n"/>
      <c r="NYH88" s="587" t="n"/>
      <c r="NYI88" s="587" t="n"/>
      <c r="NYJ88" s="587" t="n"/>
      <c r="NYK88" s="587" t="n"/>
      <c r="NYL88" s="587" t="n"/>
      <c r="NYM88" s="587" t="n"/>
      <c r="NYN88" s="587" t="n"/>
      <c r="NYO88" s="587" t="n"/>
      <c r="NYP88" s="587" t="n"/>
      <c r="NYQ88" s="587" t="n"/>
      <c r="NYR88" s="587" t="n"/>
      <c r="NYS88" s="587" t="n"/>
      <c r="NYT88" s="587" t="n"/>
      <c r="NYU88" s="587" t="n"/>
      <c r="NYV88" s="587" t="n"/>
      <c r="NYW88" s="587" t="n"/>
      <c r="NYX88" s="587" t="n"/>
      <c r="NYY88" s="587" t="n"/>
      <c r="NYZ88" s="587" t="n"/>
      <c r="NZA88" s="587" t="n"/>
      <c r="NZB88" s="587" t="n"/>
      <c r="NZC88" s="587" t="n"/>
      <c r="NZD88" s="587" t="n"/>
      <c r="NZE88" s="587" t="n"/>
      <c r="NZF88" s="587" t="n"/>
      <c r="NZG88" s="587" t="n"/>
      <c r="NZH88" s="587" t="n"/>
      <c r="NZI88" s="587" t="n"/>
      <c r="NZJ88" s="587" t="n"/>
      <c r="NZK88" s="587" t="n"/>
      <c r="NZL88" s="587" t="n"/>
      <c r="NZM88" s="587" t="n"/>
      <c r="NZN88" s="587" t="n"/>
      <c r="NZO88" s="587" t="n"/>
      <c r="NZP88" s="587" t="n"/>
      <c r="NZQ88" s="587" t="n"/>
      <c r="NZR88" s="587" t="n"/>
      <c r="NZS88" s="587" t="n"/>
      <c r="NZT88" s="587" t="n"/>
      <c r="NZU88" s="587" t="n"/>
      <c r="NZV88" s="587" t="n"/>
      <c r="NZW88" s="587" t="n"/>
      <c r="NZX88" s="587" t="n"/>
      <c r="NZY88" s="587" t="n"/>
      <c r="NZZ88" s="587" t="n"/>
      <c r="OAA88" s="587" t="n"/>
      <c r="OAB88" s="587" t="n"/>
      <c r="OAC88" s="587" t="n"/>
      <c r="OAD88" s="587" t="n"/>
      <c r="OAE88" s="587" t="n"/>
      <c r="OAF88" s="587" t="n"/>
      <c r="OAG88" s="587" t="n"/>
      <c r="OAH88" s="587" t="n"/>
      <c r="OAI88" s="587" t="n"/>
      <c r="OAJ88" s="587" t="n"/>
      <c r="OAK88" s="587" t="n"/>
      <c r="OAL88" s="587" t="n"/>
      <c r="OAM88" s="587" t="n"/>
      <c r="OAN88" s="587" t="n"/>
      <c r="OAO88" s="587" t="n"/>
      <c r="OAP88" s="587" t="n"/>
      <c r="OAQ88" s="587" t="n"/>
      <c r="OAR88" s="587" t="n"/>
      <c r="OAS88" s="587" t="n"/>
      <c r="OAT88" s="587" t="n"/>
      <c r="OAU88" s="587" t="n"/>
      <c r="OAV88" s="587" t="n"/>
      <c r="OAW88" s="587" t="n"/>
      <c r="OAX88" s="587" t="n"/>
      <c r="OAY88" s="587" t="n"/>
      <c r="OAZ88" s="587" t="n"/>
      <c r="OBA88" s="587" t="n"/>
      <c r="OBB88" s="587" t="n"/>
      <c r="OBC88" s="587" t="n"/>
      <c r="OBD88" s="587" t="n"/>
      <c r="OBE88" s="587" t="n"/>
      <c r="OBF88" s="587" t="n"/>
      <c r="OBG88" s="587" t="n"/>
      <c r="OBH88" s="587" t="n"/>
      <c r="OBI88" s="587" t="n"/>
      <c r="OBJ88" s="587" t="n"/>
      <c r="OBK88" s="587" t="n"/>
      <c r="OBL88" s="587" t="n"/>
      <c r="OBM88" s="587" t="n"/>
      <c r="OBN88" s="587" t="n"/>
      <c r="OBO88" s="587" t="n"/>
      <c r="OBP88" s="587" t="n"/>
      <c r="OBQ88" s="587" t="n"/>
      <c r="OBR88" s="587" t="n"/>
      <c r="OBS88" s="587" t="n"/>
      <c r="OBT88" s="587" t="n"/>
      <c r="OBU88" s="587" t="n"/>
      <c r="OBV88" s="587" t="n"/>
      <c r="OBW88" s="587" t="n"/>
      <c r="OBX88" s="587" t="n"/>
      <c r="OBY88" s="587" t="n"/>
      <c r="OBZ88" s="587" t="n"/>
      <c r="OCA88" s="587" t="n"/>
      <c r="OCB88" s="587" t="n"/>
      <c r="OCC88" s="587" t="n"/>
      <c r="OCD88" s="587" t="n"/>
      <c r="OCE88" s="587" t="n"/>
      <c r="OCF88" s="587" t="n"/>
      <c r="OCG88" s="587" t="n"/>
      <c r="OCH88" s="587" t="n"/>
      <c r="OCI88" s="587" t="n"/>
      <c r="OCJ88" s="587" t="n"/>
      <c r="OCK88" s="587" t="n"/>
      <c r="OCL88" s="587" t="n"/>
      <c r="OCM88" s="587" t="n"/>
      <c r="OCN88" s="587" t="n"/>
      <c r="OCO88" s="587" t="n"/>
      <c r="OCP88" s="587" t="n"/>
      <c r="OCQ88" s="587" t="n"/>
      <c r="OCR88" s="587" t="n"/>
      <c r="OCS88" s="587" t="n"/>
      <c r="OCT88" s="587" t="n"/>
      <c r="OCU88" s="587" t="n"/>
      <c r="OCV88" s="587" t="n"/>
      <c r="OCW88" s="587" t="n"/>
      <c r="OCX88" s="587" t="n"/>
      <c r="OCY88" s="587" t="n"/>
      <c r="OCZ88" s="587" t="n"/>
      <c r="ODA88" s="587" t="n"/>
      <c r="ODB88" s="587" t="n"/>
      <c r="ODC88" s="587" t="n"/>
      <c r="ODD88" s="587" t="n"/>
      <c r="ODE88" s="587" t="n"/>
      <c r="ODF88" s="587" t="n"/>
      <c r="ODG88" s="587" t="n"/>
      <c r="ODH88" s="587" t="n"/>
      <c r="ODI88" s="587" t="n"/>
      <c r="ODJ88" s="587" t="n"/>
      <c r="ODK88" s="587" t="n"/>
      <c r="ODL88" s="587" t="n"/>
      <c r="ODM88" s="587" t="n"/>
      <c r="ODN88" s="587" t="n"/>
      <c r="ODO88" s="587" t="n"/>
      <c r="ODP88" s="587" t="n"/>
      <c r="ODQ88" s="587" t="n"/>
      <c r="ODR88" s="587" t="n"/>
      <c r="ODS88" s="587" t="n"/>
      <c r="ODT88" s="587" t="n"/>
      <c r="ODU88" s="587" t="n"/>
      <c r="ODV88" s="587" t="n"/>
      <c r="ODW88" s="587" t="n"/>
      <c r="ODX88" s="587" t="n"/>
      <c r="ODY88" s="587" t="n"/>
      <c r="ODZ88" s="587" t="n"/>
      <c r="OEA88" s="587" t="n"/>
      <c r="OEB88" s="587" t="n"/>
      <c r="OEC88" s="587" t="n"/>
      <c r="OED88" s="587" t="n"/>
      <c r="OEE88" s="587" t="n"/>
      <c r="OEF88" s="587" t="n"/>
      <c r="OEG88" s="587" t="n"/>
      <c r="OEH88" s="587" t="n"/>
      <c r="OEI88" s="587" t="n"/>
      <c r="OEJ88" s="587" t="n"/>
      <c r="OEK88" s="587" t="n"/>
      <c r="OEL88" s="587" t="n"/>
      <c r="OEM88" s="587" t="n"/>
      <c r="OEN88" s="587" t="n"/>
      <c r="OEO88" s="587" t="n"/>
      <c r="OEP88" s="587" t="n"/>
      <c r="OEQ88" s="587" t="n"/>
      <c r="OER88" s="587" t="n"/>
      <c r="OES88" s="587" t="n"/>
      <c r="OET88" s="587" t="n"/>
      <c r="OEU88" s="587" t="n"/>
      <c r="OEV88" s="587" t="n"/>
      <c r="OEW88" s="587" t="n"/>
      <c r="OEX88" s="587" t="n"/>
      <c r="OEY88" s="587" t="n"/>
      <c r="OEZ88" s="587" t="n"/>
      <c r="OFA88" s="587" t="n"/>
      <c r="OFB88" s="587" t="n"/>
      <c r="OFC88" s="587" t="n"/>
      <c r="OFD88" s="587" t="n"/>
      <c r="OFE88" s="587" t="n"/>
      <c r="OFF88" s="587" t="n"/>
      <c r="OFG88" s="587" t="n"/>
      <c r="OFH88" s="587" t="n"/>
      <c r="OFI88" s="587" t="n"/>
      <c r="OFJ88" s="587" t="n"/>
      <c r="OFK88" s="587" t="n"/>
      <c r="OFL88" s="587" t="n"/>
      <c r="OFM88" s="587" t="n"/>
      <c r="OFN88" s="587" t="n"/>
      <c r="OFO88" s="587" t="n"/>
      <c r="OFP88" s="587" t="n"/>
      <c r="OFQ88" s="587" t="n"/>
      <c r="OFR88" s="587" t="n"/>
      <c r="OFS88" s="587" t="n"/>
      <c r="OFT88" s="587" t="n"/>
      <c r="OFU88" s="587" t="n"/>
      <c r="OFV88" s="587" t="n"/>
      <c r="OFW88" s="587" t="n"/>
      <c r="OFX88" s="587" t="n"/>
      <c r="OFY88" s="587" t="n"/>
      <c r="OFZ88" s="587" t="n"/>
      <c r="OGA88" s="587" t="n"/>
      <c r="OGB88" s="587" t="n"/>
      <c r="OGC88" s="587" t="n"/>
      <c r="OGD88" s="587" t="n"/>
      <c r="OGE88" s="587" t="n"/>
      <c r="OGF88" s="587" t="n"/>
      <c r="OGG88" s="587" t="n"/>
      <c r="OGH88" s="587" t="n"/>
      <c r="OGI88" s="587" t="n"/>
      <c r="OGJ88" s="587" t="n"/>
      <c r="OGK88" s="587" t="n"/>
      <c r="OGL88" s="587" t="n"/>
      <c r="OGM88" s="587" t="n"/>
      <c r="OGN88" s="587" t="n"/>
      <c r="OGO88" s="587" t="n"/>
      <c r="OGP88" s="587" t="n"/>
      <c r="OGQ88" s="587" t="n"/>
      <c r="OGR88" s="587" t="n"/>
      <c r="OGS88" s="587" t="n"/>
      <c r="OGT88" s="587" t="n"/>
      <c r="OGU88" s="587" t="n"/>
      <c r="OGV88" s="587" t="n"/>
      <c r="OGW88" s="587" t="n"/>
      <c r="OGX88" s="587" t="n"/>
      <c r="OGY88" s="587" t="n"/>
      <c r="OGZ88" s="587" t="n"/>
      <c r="OHA88" s="587" t="n"/>
      <c r="OHB88" s="587" t="n"/>
      <c r="OHC88" s="587" t="n"/>
      <c r="OHD88" s="587" t="n"/>
      <c r="OHE88" s="587" t="n"/>
      <c r="OHF88" s="587" t="n"/>
      <c r="OHG88" s="587" t="n"/>
      <c r="OHH88" s="587" t="n"/>
      <c r="OHI88" s="587" t="n"/>
      <c r="OHJ88" s="587" t="n"/>
      <c r="OHK88" s="587" t="n"/>
      <c r="OHL88" s="587" t="n"/>
      <c r="OHM88" s="587" t="n"/>
      <c r="OHN88" s="587" t="n"/>
      <c r="OHO88" s="587" t="n"/>
      <c r="OHP88" s="587" t="n"/>
      <c r="OHQ88" s="587" t="n"/>
      <c r="OHR88" s="587" t="n"/>
      <c r="OHS88" s="587" t="n"/>
      <c r="OHT88" s="587" t="n"/>
      <c r="OHU88" s="587" t="n"/>
      <c r="OHV88" s="587" t="n"/>
      <c r="OHW88" s="587" t="n"/>
      <c r="OHX88" s="587" t="n"/>
      <c r="OHY88" s="587" t="n"/>
      <c r="OHZ88" s="587" t="n"/>
      <c r="OIA88" s="587" t="n"/>
      <c r="OIB88" s="587" t="n"/>
      <c r="OIC88" s="587" t="n"/>
      <c r="OID88" s="587" t="n"/>
      <c r="OIE88" s="587" t="n"/>
      <c r="OIF88" s="587" t="n"/>
      <c r="OIG88" s="587" t="n"/>
      <c r="OIH88" s="587" t="n"/>
      <c r="OII88" s="587" t="n"/>
      <c r="OIJ88" s="587" t="n"/>
      <c r="OIK88" s="587" t="n"/>
      <c r="OIL88" s="587" t="n"/>
      <c r="OIM88" s="587" t="n"/>
      <c r="OIN88" s="587" t="n"/>
      <c r="OIO88" s="587" t="n"/>
      <c r="OIP88" s="587" t="n"/>
      <c r="OIQ88" s="587" t="n"/>
      <c r="OIR88" s="587" t="n"/>
      <c r="OIS88" s="587" t="n"/>
      <c r="OIT88" s="587" t="n"/>
      <c r="OIU88" s="587" t="n"/>
      <c r="OIV88" s="587" t="n"/>
      <c r="OIW88" s="587" t="n"/>
      <c r="OIX88" s="587" t="n"/>
      <c r="OIY88" s="587" t="n"/>
      <c r="OIZ88" s="587" t="n"/>
      <c r="OJA88" s="587" t="n"/>
      <c r="OJB88" s="587" t="n"/>
      <c r="OJC88" s="587" t="n"/>
      <c r="OJD88" s="587" t="n"/>
      <c r="OJE88" s="587" t="n"/>
      <c r="OJF88" s="587" t="n"/>
      <c r="OJG88" s="587" t="n"/>
      <c r="OJH88" s="587" t="n"/>
      <c r="OJI88" s="587" t="n"/>
      <c r="OJJ88" s="587" t="n"/>
      <c r="OJK88" s="587" t="n"/>
      <c r="OJL88" s="587" t="n"/>
      <c r="OJM88" s="587" t="n"/>
      <c r="OJN88" s="587" t="n"/>
      <c r="OJO88" s="587" t="n"/>
      <c r="OJP88" s="587" t="n"/>
      <c r="OJQ88" s="587" t="n"/>
      <c r="OJR88" s="587" t="n"/>
      <c r="OJS88" s="587" t="n"/>
      <c r="OJT88" s="587" t="n"/>
      <c r="OJU88" s="587" t="n"/>
      <c r="OJV88" s="587" t="n"/>
      <c r="OJW88" s="587" t="n"/>
      <c r="OJX88" s="587" t="n"/>
      <c r="OJY88" s="587" t="n"/>
      <c r="OJZ88" s="587" t="n"/>
      <c r="OKA88" s="587" t="n"/>
      <c r="OKB88" s="587" t="n"/>
      <c r="OKC88" s="587" t="n"/>
      <c r="OKD88" s="587" t="n"/>
      <c r="OKE88" s="587" t="n"/>
      <c r="OKF88" s="587" t="n"/>
      <c r="OKG88" s="587" t="n"/>
      <c r="OKH88" s="587" t="n"/>
      <c r="OKI88" s="587" t="n"/>
      <c r="OKJ88" s="587" t="n"/>
      <c r="OKK88" s="587" t="n"/>
      <c r="OKL88" s="587" t="n"/>
      <c r="OKM88" s="587" t="n"/>
      <c r="OKN88" s="587" t="n"/>
      <c r="OKO88" s="587" t="n"/>
      <c r="OKP88" s="587" t="n"/>
      <c r="OKQ88" s="587" t="n"/>
      <c r="OKR88" s="587" t="n"/>
      <c r="OKS88" s="587" t="n"/>
      <c r="OKT88" s="587" t="n"/>
      <c r="OKU88" s="587" t="n"/>
      <c r="OKV88" s="587" t="n"/>
      <c r="OKW88" s="587" t="n"/>
      <c r="OKX88" s="587" t="n"/>
      <c r="OKY88" s="587" t="n"/>
      <c r="OKZ88" s="587" t="n"/>
      <c r="OLA88" s="587" t="n"/>
      <c r="OLB88" s="587" t="n"/>
      <c r="OLC88" s="587" t="n"/>
      <c r="OLD88" s="587" t="n"/>
      <c r="OLE88" s="587" t="n"/>
      <c r="OLF88" s="587" t="n"/>
      <c r="OLG88" s="587" t="n"/>
      <c r="OLH88" s="587" t="n"/>
      <c r="OLI88" s="587" t="n"/>
      <c r="OLJ88" s="587" t="n"/>
      <c r="OLK88" s="587" t="n"/>
      <c r="OLL88" s="587" t="n"/>
      <c r="OLM88" s="587" t="n"/>
      <c r="OLN88" s="587" t="n"/>
      <c r="OLO88" s="587" t="n"/>
      <c r="OLP88" s="587" t="n"/>
      <c r="OLQ88" s="587" t="n"/>
      <c r="OLR88" s="587" t="n"/>
      <c r="OLS88" s="587" t="n"/>
      <c r="OLT88" s="587" t="n"/>
      <c r="OLU88" s="587" t="n"/>
      <c r="OLV88" s="587" t="n"/>
      <c r="OLW88" s="587" t="n"/>
      <c r="OLX88" s="587" t="n"/>
      <c r="OLY88" s="587" t="n"/>
      <c r="OLZ88" s="587" t="n"/>
      <c r="OMA88" s="587" t="n"/>
      <c r="OMB88" s="587" t="n"/>
      <c r="OMC88" s="587" t="n"/>
      <c r="OMD88" s="587" t="n"/>
      <c r="OME88" s="587" t="n"/>
      <c r="OMF88" s="587" t="n"/>
      <c r="OMG88" s="587" t="n"/>
      <c r="OMH88" s="587" t="n"/>
      <c r="OMI88" s="587" t="n"/>
      <c r="OMJ88" s="587" t="n"/>
      <c r="OMK88" s="587" t="n"/>
      <c r="OML88" s="587" t="n"/>
      <c r="OMM88" s="587" t="n"/>
      <c r="OMN88" s="587" t="n"/>
      <c r="OMO88" s="587" t="n"/>
      <c r="OMP88" s="587" t="n"/>
      <c r="OMQ88" s="587" t="n"/>
      <c r="OMR88" s="587" t="n"/>
      <c r="OMS88" s="587" t="n"/>
      <c r="OMT88" s="587" t="n"/>
      <c r="OMU88" s="587" t="n"/>
      <c r="OMV88" s="587" t="n"/>
      <c r="OMW88" s="587" t="n"/>
      <c r="OMX88" s="587" t="n"/>
      <c r="OMY88" s="587" t="n"/>
      <c r="OMZ88" s="587" t="n"/>
      <c r="ONA88" s="587" t="n"/>
      <c r="ONB88" s="587" t="n"/>
      <c r="ONC88" s="587" t="n"/>
      <c r="OND88" s="587" t="n"/>
      <c r="ONE88" s="587" t="n"/>
      <c r="ONF88" s="587" t="n"/>
      <c r="ONG88" s="587" t="n"/>
      <c r="ONH88" s="587" t="n"/>
      <c r="ONI88" s="587" t="n"/>
      <c r="ONJ88" s="587" t="n"/>
      <c r="ONK88" s="587" t="n"/>
      <c r="ONL88" s="587" t="n"/>
      <c r="ONM88" s="587" t="n"/>
      <c r="ONN88" s="587" t="n"/>
      <c r="ONO88" s="587" t="n"/>
      <c r="ONP88" s="587" t="n"/>
      <c r="ONQ88" s="587" t="n"/>
      <c r="ONR88" s="587" t="n"/>
      <c r="ONS88" s="587" t="n"/>
      <c r="ONT88" s="587" t="n"/>
      <c r="ONU88" s="587" t="n"/>
      <c r="ONV88" s="587" t="n"/>
      <c r="ONW88" s="587" t="n"/>
      <c r="ONX88" s="587" t="n"/>
      <c r="ONY88" s="587" t="n"/>
      <c r="ONZ88" s="587" t="n"/>
      <c r="OOA88" s="587" t="n"/>
      <c r="OOB88" s="587" t="n"/>
      <c r="OOC88" s="587" t="n"/>
      <c r="OOD88" s="587" t="n"/>
      <c r="OOE88" s="587" t="n"/>
      <c r="OOF88" s="587" t="n"/>
      <c r="OOG88" s="587" t="n"/>
      <c r="OOH88" s="587" t="n"/>
      <c r="OOI88" s="587" t="n"/>
      <c r="OOJ88" s="587" t="n"/>
      <c r="OOK88" s="587" t="n"/>
      <c r="OOL88" s="587" t="n"/>
      <c r="OOM88" s="587" t="n"/>
      <c r="OON88" s="587" t="n"/>
      <c r="OOO88" s="587" t="n"/>
      <c r="OOP88" s="587" t="n"/>
      <c r="OOQ88" s="587" t="n"/>
      <c r="OOR88" s="587" t="n"/>
      <c r="OOS88" s="587" t="n"/>
      <c r="OOT88" s="587" t="n"/>
      <c r="OOU88" s="587" t="n"/>
      <c r="OOV88" s="587" t="n"/>
      <c r="OOW88" s="587" t="n"/>
      <c r="OOX88" s="587" t="n"/>
      <c r="OOY88" s="587" t="n"/>
      <c r="OOZ88" s="587" t="n"/>
      <c r="OPA88" s="587" t="n"/>
      <c r="OPB88" s="587" t="n"/>
      <c r="OPC88" s="587" t="n"/>
      <c r="OPD88" s="587" t="n"/>
      <c r="OPE88" s="587" t="n"/>
      <c r="OPF88" s="587" t="n"/>
      <c r="OPG88" s="587" t="n"/>
      <c r="OPH88" s="587" t="n"/>
      <c r="OPI88" s="587" t="n"/>
      <c r="OPJ88" s="587" t="n"/>
      <c r="OPK88" s="587" t="n"/>
      <c r="OPL88" s="587" t="n"/>
      <c r="OPM88" s="587" t="n"/>
      <c r="OPN88" s="587" t="n"/>
      <c r="OPO88" s="587" t="n"/>
      <c r="OPP88" s="587" t="n"/>
      <c r="OPQ88" s="587" t="n"/>
      <c r="OPR88" s="587" t="n"/>
      <c r="OPS88" s="587" t="n"/>
      <c r="OPT88" s="587" t="n"/>
      <c r="OPU88" s="587" t="n"/>
      <c r="OPV88" s="587" t="n"/>
      <c r="OPW88" s="587" t="n"/>
      <c r="OPX88" s="587" t="n"/>
      <c r="OPY88" s="587" t="n"/>
      <c r="OPZ88" s="587" t="n"/>
      <c r="OQA88" s="587" t="n"/>
      <c r="OQB88" s="587" t="n"/>
      <c r="OQC88" s="587" t="n"/>
      <c r="OQD88" s="587" t="n"/>
      <c r="OQE88" s="587" t="n"/>
      <c r="OQF88" s="587" t="n"/>
      <c r="OQG88" s="587" t="n"/>
      <c r="OQH88" s="587" t="n"/>
      <c r="OQI88" s="587" t="n"/>
      <c r="OQJ88" s="587" t="n"/>
      <c r="OQK88" s="587" t="n"/>
      <c r="OQL88" s="587" t="n"/>
      <c r="OQM88" s="587" t="n"/>
      <c r="OQN88" s="587" t="n"/>
      <c r="OQO88" s="587" t="n"/>
      <c r="OQP88" s="587" t="n"/>
      <c r="OQQ88" s="587" t="n"/>
      <c r="OQR88" s="587" t="n"/>
      <c r="OQS88" s="587" t="n"/>
      <c r="OQT88" s="587" t="n"/>
      <c r="OQU88" s="587" t="n"/>
      <c r="OQV88" s="587" t="n"/>
      <c r="OQW88" s="587" t="n"/>
      <c r="OQX88" s="587" t="n"/>
      <c r="OQY88" s="587" t="n"/>
      <c r="OQZ88" s="587" t="n"/>
      <c r="ORA88" s="587" t="n"/>
      <c r="ORB88" s="587" t="n"/>
      <c r="ORC88" s="587" t="n"/>
      <c r="ORD88" s="587" t="n"/>
      <c r="ORE88" s="587" t="n"/>
      <c r="ORF88" s="587" t="n"/>
      <c r="ORG88" s="587" t="n"/>
      <c r="ORH88" s="587" t="n"/>
      <c r="ORI88" s="587" t="n"/>
      <c r="ORJ88" s="587" t="n"/>
      <c r="ORK88" s="587" t="n"/>
      <c r="ORL88" s="587" t="n"/>
      <c r="ORM88" s="587" t="n"/>
      <c r="ORN88" s="587" t="n"/>
      <c r="ORO88" s="587" t="n"/>
      <c r="ORP88" s="587" t="n"/>
      <c r="ORQ88" s="587" t="n"/>
      <c r="ORR88" s="587" t="n"/>
      <c r="ORS88" s="587" t="n"/>
      <c r="ORT88" s="587" t="n"/>
      <c r="ORU88" s="587" t="n"/>
      <c r="ORV88" s="587" t="n"/>
      <c r="ORW88" s="587" t="n"/>
      <c r="ORX88" s="587" t="n"/>
      <c r="ORY88" s="587" t="n"/>
      <c r="ORZ88" s="587" t="n"/>
      <c r="OSA88" s="587" t="n"/>
      <c r="OSB88" s="587" t="n"/>
      <c r="OSC88" s="587" t="n"/>
      <c r="OSD88" s="587" t="n"/>
      <c r="OSE88" s="587" t="n"/>
      <c r="OSF88" s="587" t="n"/>
      <c r="OSG88" s="587" t="n"/>
      <c r="OSH88" s="587" t="n"/>
      <c r="OSI88" s="587" t="n"/>
      <c r="OSJ88" s="587" t="n"/>
      <c r="OSK88" s="587" t="n"/>
      <c r="OSL88" s="587" t="n"/>
      <c r="OSM88" s="587" t="n"/>
      <c r="OSN88" s="587" t="n"/>
      <c r="OSO88" s="587" t="n"/>
      <c r="OSP88" s="587" t="n"/>
      <c r="OSQ88" s="587" t="n"/>
      <c r="OSR88" s="587" t="n"/>
      <c r="OSS88" s="587" t="n"/>
      <c r="OST88" s="587" t="n"/>
      <c r="OSU88" s="587" t="n"/>
      <c r="OSV88" s="587" t="n"/>
      <c r="OSW88" s="587" t="n"/>
      <c r="OSX88" s="587" t="n"/>
      <c r="OSY88" s="587" t="n"/>
      <c r="OSZ88" s="587" t="n"/>
      <c r="OTA88" s="587" t="n"/>
      <c r="OTB88" s="587" t="n"/>
      <c r="OTC88" s="587" t="n"/>
      <c r="OTD88" s="587" t="n"/>
      <c r="OTE88" s="587" t="n"/>
      <c r="OTF88" s="587" t="n"/>
      <c r="OTG88" s="587" t="n"/>
      <c r="OTH88" s="587" t="n"/>
      <c r="OTI88" s="587" t="n"/>
      <c r="OTJ88" s="587" t="n"/>
      <c r="OTK88" s="587" t="n"/>
      <c r="OTL88" s="587" t="n"/>
      <c r="OTM88" s="587" t="n"/>
      <c r="OTN88" s="587" t="n"/>
      <c r="OTO88" s="587" t="n"/>
      <c r="OTP88" s="587" t="n"/>
      <c r="OTQ88" s="587" t="n"/>
      <c r="OTR88" s="587" t="n"/>
      <c r="OTS88" s="587" t="n"/>
      <c r="OTT88" s="587" t="n"/>
      <c r="OTU88" s="587" t="n"/>
      <c r="OTV88" s="587" t="n"/>
      <c r="OTW88" s="587" t="n"/>
      <c r="OTX88" s="587" t="n"/>
      <c r="OTY88" s="587" t="n"/>
      <c r="OTZ88" s="587" t="n"/>
      <c r="OUA88" s="587" t="n"/>
      <c r="OUB88" s="587" t="n"/>
      <c r="OUC88" s="587" t="n"/>
      <c r="OUD88" s="587" t="n"/>
      <c r="OUE88" s="587" t="n"/>
      <c r="OUF88" s="587" t="n"/>
      <c r="OUG88" s="587" t="n"/>
      <c r="OUH88" s="587" t="n"/>
      <c r="OUI88" s="587" t="n"/>
      <c r="OUJ88" s="587" t="n"/>
      <c r="OUK88" s="587" t="n"/>
      <c r="OUL88" s="587" t="n"/>
      <c r="OUM88" s="587" t="n"/>
      <c r="OUN88" s="587" t="n"/>
      <c r="OUO88" s="587" t="n"/>
      <c r="OUP88" s="587" t="n"/>
      <c r="OUQ88" s="587" t="n"/>
      <c r="OUR88" s="587" t="n"/>
      <c r="OUS88" s="587" t="n"/>
      <c r="OUT88" s="587" t="n"/>
      <c r="OUU88" s="587" t="n"/>
      <c r="OUV88" s="587" t="n"/>
      <c r="OUW88" s="587" t="n"/>
      <c r="OUX88" s="587" t="n"/>
      <c r="OUY88" s="587" t="n"/>
      <c r="OUZ88" s="587" t="n"/>
      <c r="OVA88" s="587" t="n"/>
      <c r="OVB88" s="587" t="n"/>
      <c r="OVC88" s="587" t="n"/>
      <c r="OVD88" s="587" t="n"/>
      <c r="OVE88" s="587" t="n"/>
      <c r="OVF88" s="587" t="n"/>
      <c r="OVG88" s="587" t="n"/>
      <c r="OVH88" s="587" t="n"/>
      <c r="OVI88" s="587" t="n"/>
      <c r="OVJ88" s="587" t="n"/>
      <c r="OVK88" s="587" t="n"/>
      <c r="OVL88" s="587" t="n"/>
      <c r="OVM88" s="587" t="n"/>
      <c r="OVN88" s="587" t="n"/>
      <c r="OVO88" s="587" t="n"/>
      <c r="OVP88" s="587" t="n"/>
      <c r="OVQ88" s="587" t="n"/>
      <c r="OVR88" s="587" t="n"/>
      <c r="OVS88" s="587" t="n"/>
      <c r="OVT88" s="587" t="n"/>
      <c r="OVU88" s="587" t="n"/>
      <c r="OVV88" s="587" t="n"/>
      <c r="OVW88" s="587" t="n"/>
      <c r="OVX88" s="587" t="n"/>
      <c r="OVY88" s="587" t="n"/>
      <c r="OVZ88" s="587" t="n"/>
      <c r="OWA88" s="587" t="n"/>
      <c r="OWB88" s="587" t="n"/>
      <c r="OWC88" s="587" t="n"/>
      <c r="OWD88" s="587" t="n"/>
      <c r="OWE88" s="587" t="n"/>
      <c r="OWF88" s="587" t="n"/>
      <c r="OWG88" s="587" t="n"/>
      <c r="OWH88" s="587" t="n"/>
      <c r="OWI88" s="587" t="n"/>
      <c r="OWJ88" s="587" t="n"/>
      <c r="OWK88" s="587" t="n"/>
      <c r="OWL88" s="587" t="n"/>
      <c r="OWM88" s="587" t="n"/>
      <c r="OWN88" s="587" t="n"/>
      <c r="OWO88" s="587" t="n"/>
      <c r="OWP88" s="587" t="n"/>
      <c r="OWQ88" s="587" t="n"/>
      <c r="OWR88" s="587" t="n"/>
      <c r="OWS88" s="587" t="n"/>
      <c r="OWT88" s="587" t="n"/>
      <c r="OWU88" s="587" t="n"/>
      <c r="OWV88" s="587" t="n"/>
      <c r="OWW88" s="587" t="n"/>
      <c r="OWX88" s="587" t="n"/>
      <c r="OWY88" s="587" t="n"/>
      <c r="OWZ88" s="587" t="n"/>
      <c r="OXA88" s="587" t="n"/>
      <c r="OXB88" s="587" t="n"/>
      <c r="OXC88" s="587" t="n"/>
      <c r="OXD88" s="587" t="n"/>
      <c r="OXE88" s="587" t="n"/>
      <c r="OXF88" s="587" t="n"/>
      <c r="OXG88" s="587" t="n"/>
      <c r="OXH88" s="587" t="n"/>
      <c r="OXI88" s="587" t="n"/>
      <c r="OXJ88" s="587" t="n"/>
      <c r="OXK88" s="587" t="n"/>
      <c r="OXL88" s="587" t="n"/>
      <c r="OXM88" s="587" t="n"/>
      <c r="OXN88" s="587" t="n"/>
      <c r="OXO88" s="587" t="n"/>
      <c r="OXP88" s="587" t="n"/>
      <c r="OXQ88" s="587" t="n"/>
      <c r="OXR88" s="587" t="n"/>
      <c r="OXS88" s="587" t="n"/>
      <c r="OXT88" s="587" t="n"/>
      <c r="OXU88" s="587" t="n"/>
      <c r="OXV88" s="587" t="n"/>
      <c r="OXW88" s="587" t="n"/>
      <c r="OXX88" s="587" t="n"/>
      <c r="OXY88" s="587" t="n"/>
      <c r="OXZ88" s="587" t="n"/>
      <c r="OYA88" s="587" t="n"/>
      <c r="OYB88" s="587" t="n"/>
      <c r="OYC88" s="587" t="n"/>
      <c r="OYD88" s="587" t="n"/>
      <c r="OYE88" s="587" t="n"/>
      <c r="OYF88" s="587" t="n"/>
      <c r="OYG88" s="587" t="n"/>
      <c r="OYH88" s="587" t="n"/>
      <c r="OYI88" s="587" t="n"/>
      <c r="OYJ88" s="587" t="n"/>
      <c r="OYK88" s="587" t="n"/>
      <c r="OYL88" s="587" t="n"/>
      <c r="OYM88" s="587" t="n"/>
      <c r="OYN88" s="587" t="n"/>
      <c r="OYO88" s="587" t="n"/>
      <c r="OYP88" s="587" t="n"/>
      <c r="OYQ88" s="587" t="n"/>
      <c r="OYR88" s="587" t="n"/>
      <c r="OYS88" s="587" t="n"/>
      <c r="OYT88" s="587" t="n"/>
      <c r="OYU88" s="587" t="n"/>
      <c r="OYV88" s="587" t="n"/>
      <c r="OYW88" s="587" t="n"/>
      <c r="OYX88" s="587" t="n"/>
      <c r="OYY88" s="587" t="n"/>
      <c r="OYZ88" s="587" t="n"/>
      <c r="OZA88" s="587" t="n"/>
      <c r="OZB88" s="587" t="n"/>
      <c r="OZC88" s="587" t="n"/>
      <c r="OZD88" s="587" t="n"/>
      <c r="OZE88" s="587" t="n"/>
      <c r="OZF88" s="587" t="n"/>
      <c r="OZG88" s="587" t="n"/>
      <c r="OZH88" s="587" t="n"/>
      <c r="OZI88" s="587" t="n"/>
      <c r="OZJ88" s="587" t="n"/>
      <c r="OZK88" s="587" t="n"/>
      <c r="OZL88" s="587" t="n"/>
      <c r="OZM88" s="587" t="n"/>
      <c r="OZN88" s="587" t="n"/>
      <c r="OZO88" s="587" t="n"/>
      <c r="OZP88" s="587" t="n"/>
      <c r="OZQ88" s="587" t="n"/>
      <c r="OZR88" s="587" t="n"/>
      <c r="OZS88" s="587" t="n"/>
      <c r="OZT88" s="587" t="n"/>
      <c r="OZU88" s="587" t="n"/>
      <c r="OZV88" s="587" t="n"/>
      <c r="OZW88" s="587" t="n"/>
      <c r="OZX88" s="587" t="n"/>
      <c r="OZY88" s="587" t="n"/>
      <c r="OZZ88" s="587" t="n"/>
      <c r="PAA88" s="587" t="n"/>
      <c r="PAB88" s="587" t="n"/>
      <c r="PAC88" s="587" t="n"/>
      <c r="PAD88" s="587" t="n"/>
      <c r="PAE88" s="587" t="n"/>
      <c r="PAF88" s="587" t="n"/>
      <c r="PAG88" s="587" t="n"/>
      <c r="PAH88" s="587" t="n"/>
      <c r="PAI88" s="587" t="n"/>
      <c r="PAJ88" s="587" t="n"/>
      <c r="PAK88" s="587" t="n"/>
      <c r="PAL88" s="587" t="n"/>
      <c r="PAM88" s="587" t="n"/>
      <c r="PAN88" s="587" t="n"/>
      <c r="PAO88" s="587" t="n"/>
      <c r="PAP88" s="587" t="n"/>
      <c r="PAQ88" s="587" t="n"/>
      <c r="PAR88" s="587" t="n"/>
      <c r="PAS88" s="587" t="n"/>
      <c r="PAT88" s="587" t="n"/>
      <c r="PAU88" s="587" t="n"/>
      <c r="PAV88" s="587" t="n"/>
      <c r="PAW88" s="587" t="n"/>
      <c r="PAX88" s="587" t="n"/>
      <c r="PAY88" s="587" t="n"/>
      <c r="PAZ88" s="587" t="n"/>
      <c r="PBA88" s="587" t="n"/>
      <c r="PBB88" s="587" t="n"/>
      <c r="PBC88" s="587" t="n"/>
      <c r="PBD88" s="587" t="n"/>
      <c r="PBE88" s="587" t="n"/>
      <c r="PBF88" s="587" t="n"/>
      <c r="PBG88" s="587" t="n"/>
      <c r="PBH88" s="587" t="n"/>
      <c r="PBI88" s="587" t="n"/>
      <c r="PBJ88" s="587" t="n"/>
      <c r="PBK88" s="587" t="n"/>
      <c r="PBL88" s="587" t="n"/>
      <c r="PBM88" s="587" t="n"/>
      <c r="PBN88" s="587" t="n"/>
      <c r="PBO88" s="587" t="n"/>
      <c r="PBP88" s="587" t="n"/>
      <c r="PBQ88" s="587" t="n"/>
      <c r="PBR88" s="587" t="n"/>
      <c r="PBS88" s="587" t="n"/>
      <c r="PBT88" s="587" t="n"/>
      <c r="PBU88" s="587" t="n"/>
      <c r="PBV88" s="587" t="n"/>
      <c r="PBW88" s="587" t="n"/>
      <c r="PBX88" s="587" t="n"/>
      <c r="PBY88" s="587" t="n"/>
      <c r="PBZ88" s="587" t="n"/>
      <c r="PCA88" s="587" t="n"/>
      <c r="PCB88" s="587" t="n"/>
      <c r="PCC88" s="587" t="n"/>
      <c r="PCD88" s="587" t="n"/>
      <c r="PCE88" s="587" t="n"/>
      <c r="PCF88" s="587" t="n"/>
      <c r="PCG88" s="587" t="n"/>
      <c r="PCH88" s="587" t="n"/>
      <c r="PCI88" s="587" t="n"/>
      <c r="PCJ88" s="587" t="n"/>
      <c r="PCK88" s="587" t="n"/>
      <c r="PCL88" s="587" t="n"/>
      <c r="PCM88" s="587" t="n"/>
      <c r="PCN88" s="587" t="n"/>
      <c r="PCO88" s="587" t="n"/>
      <c r="PCP88" s="587" t="n"/>
      <c r="PCQ88" s="587" t="n"/>
      <c r="PCR88" s="587" t="n"/>
      <c r="PCS88" s="587" t="n"/>
      <c r="PCT88" s="587" t="n"/>
      <c r="PCU88" s="587" t="n"/>
      <c r="PCV88" s="587" t="n"/>
      <c r="PCW88" s="587" t="n"/>
      <c r="PCX88" s="587" t="n"/>
      <c r="PCY88" s="587" t="n"/>
      <c r="PCZ88" s="587" t="n"/>
      <c r="PDA88" s="587" t="n"/>
      <c r="PDB88" s="587" t="n"/>
      <c r="PDC88" s="587" t="n"/>
      <c r="PDD88" s="587" t="n"/>
      <c r="PDE88" s="587" t="n"/>
      <c r="PDF88" s="587" t="n"/>
      <c r="PDG88" s="587" t="n"/>
      <c r="PDH88" s="587" t="n"/>
      <c r="PDI88" s="587" t="n"/>
      <c r="PDJ88" s="587" t="n"/>
      <c r="PDK88" s="587" t="n"/>
      <c r="PDL88" s="587" t="n"/>
      <c r="PDM88" s="587" t="n"/>
      <c r="PDN88" s="587" t="n"/>
      <c r="PDO88" s="587" t="n"/>
      <c r="PDP88" s="587" t="n"/>
      <c r="PDQ88" s="587" t="n"/>
      <c r="PDR88" s="587" t="n"/>
      <c r="PDS88" s="587" t="n"/>
      <c r="PDT88" s="587" t="n"/>
      <c r="PDU88" s="587" t="n"/>
      <c r="PDV88" s="587" t="n"/>
      <c r="PDW88" s="587" t="n"/>
      <c r="PDX88" s="587" t="n"/>
      <c r="PDY88" s="587" t="n"/>
      <c r="PDZ88" s="587" t="n"/>
      <c r="PEA88" s="587" t="n"/>
      <c r="PEB88" s="587" t="n"/>
      <c r="PEC88" s="587" t="n"/>
      <c r="PED88" s="587" t="n"/>
      <c r="PEE88" s="587" t="n"/>
      <c r="PEF88" s="587" t="n"/>
      <c r="PEG88" s="587" t="n"/>
      <c r="PEH88" s="587" t="n"/>
      <c r="PEI88" s="587" t="n"/>
      <c r="PEJ88" s="587" t="n"/>
      <c r="PEK88" s="587" t="n"/>
      <c r="PEL88" s="587" t="n"/>
      <c r="PEM88" s="587" t="n"/>
      <c r="PEN88" s="587" t="n"/>
      <c r="PEO88" s="587" t="n"/>
      <c r="PEP88" s="587" t="n"/>
      <c r="PEQ88" s="587" t="n"/>
      <c r="PER88" s="587" t="n"/>
      <c r="PES88" s="587" t="n"/>
      <c r="PET88" s="587" t="n"/>
      <c r="PEU88" s="587" t="n"/>
      <c r="PEV88" s="587" t="n"/>
      <c r="PEW88" s="587" t="n"/>
      <c r="PEX88" s="587" t="n"/>
      <c r="PEY88" s="587" t="n"/>
      <c r="PEZ88" s="587" t="n"/>
      <c r="PFA88" s="587" t="n"/>
      <c r="PFB88" s="587" t="n"/>
      <c r="PFC88" s="587" t="n"/>
      <c r="PFD88" s="587" t="n"/>
      <c r="PFE88" s="587" t="n"/>
      <c r="PFF88" s="587" t="n"/>
      <c r="PFG88" s="587" t="n"/>
      <c r="PFH88" s="587" t="n"/>
      <c r="PFI88" s="587" t="n"/>
      <c r="PFJ88" s="587" t="n"/>
      <c r="PFK88" s="587" t="n"/>
      <c r="PFL88" s="587" t="n"/>
      <c r="PFM88" s="587" t="n"/>
      <c r="PFN88" s="587" t="n"/>
      <c r="PFO88" s="587" t="n"/>
      <c r="PFP88" s="587" t="n"/>
      <c r="PFQ88" s="587" t="n"/>
      <c r="PFR88" s="587" t="n"/>
      <c r="PFS88" s="587" t="n"/>
      <c r="PFT88" s="587" t="n"/>
      <c r="PFU88" s="587" t="n"/>
      <c r="PFV88" s="587" t="n"/>
      <c r="PFW88" s="587" t="n"/>
      <c r="PFX88" s="587" t="n"/>
      <c r="PFY88" s="587" t="n"/>
      <c r="PFZ88" s="587" t="n"/>
      <c r="PGA88" s="587" t="n"/>
      <c r="PGB88" s="587" t="n"/>
      <c r="PGC88" s="587" t="n"/>
      <c r="PGD88" s="587" t="n"/>
      <c r="PGE88" s="587" t="n"/>
      <c r="PGF88" s="587" t="n"/>
      <c r="PGG88" s="587" t="n"/>
      <c r="PGH88" s="587" t="n"/>
      <c r="PGI88" s="587" t="n"/>
      <c r="PGJ88" s="587" t="n"/>
      <c r="PGK88" s="587" t="n"/>
      <c r="PGL88" s="587" t="n"/>
      <c r="PGM88" s="587" t="n"/>
      <c r="PGN88" s="587" t="n"/>
      <c r="PGO88" s="587" t="n"/>
      <c r="PGP88" s="587" t="n"/>
      <c r="PGQ88" s="587" t="n"/>
      <c r="PGR88" s="587" t="n"/>
      <c r="PGS88" s="587" t="n"/>
      <c r="PGT88" s="587" t="n"/>
      <c r="PGU88" s="587" t="n"/>
      <c r="PGV88" s="587" t="n"/>
      <c r="PGW88" s="587" t="n"/>
      <c r="PGX88" s="587" t="n"/>
      <c r="PGY88" s="587" t="n"/>
      <c r="PGZ88" s="587" t="n"/>
      <c r="PHA88" s="587" t="n"/>
      <c r="PHB88" s="587" t="n"/>
      <c r="PHC88" s="587" t="n"/>
      <c r="PHD88" s="587" t="n"/>
      <c r="PHE88" s="587" t="n"/>
      <c r="PHF88" s="587" t="n"/>
      <c r="PHG88" s="587" t="n"/>
      <c r="PHH88" s="587" t="n"/>
      <c r="PHI88" s="587" t="n"/>
      <c r="PHJ88" s="587" t="n"/>
      <c r="PHK88" s="587" t="n"/>
      <c r="PHL88" s="587" t="n"/>
      <c r="PHM88" s="587" t="n"/>
      <c r="PHN88" s="587" t="n"/>
      <c r="PHO88" s="587" t="n"/>
      <c r="PHP88" s="587" t="n"/>
      <c r="PHQ88" s="587" t="n"/>
      <c r="PHR88" s="587" t="n"/>
      <c r="PHS88" s="587" t="n"/>
      <c r="PHT88" s="587" t="n"/>
      <c r="PHU88" s="587" t="n"/>
      <c r="PHV88" s="587" t="n"/>
      <c r="PHW88" s="587" t="n"/>
      <c r="PHX88" s="587" t="n"/>
      <c r="PHY88" s="587" t="n"/>
      <c r="PHZ88" s="587" t="n"/>
      <c r="PIA88" s="587" t="n"/>
      <c r="PIB88" s="587" t="n"/>
      <c r="PIC88" s="587" t="n"/>
      <c r="PID88" s="587" t="n"/>
      <c r="PIE88" s="587" t="n"/>
      <c r="PIF88" s="587" t="n"/>
      <c r="PIG88" s="587" t="n"/>
      <c r="PIH88" s="587" t="n"/>
      <c r="PII88" s="587" t="n"/>
      <c r="PIJ88" s="587" t="n"/>
      <c r="PIK88" s="587" t="n"/>
      <c r="PIL88" s="587" t="n"/>
      <c r="PIM88" s="587" t="n"/>
      <c r="PIN88" s="587" t="n"/>
      <c r="PIO88" s="587" t="n"/>
      <c r="PIP88" s="587" t="n"/>
      <c r="PIQ88" s="587" t="n"/>
      <c r="PIR88" s="587" t="n"/>
      <c r="PIS88" s="587" t="n"/>
      <c r="PIT88" s="587" t="n"/>
      <c r="PIU88" s="587" t="n"/>
      <c r="PIV88" s="587" t="n"/>
      <c r="PIW88" s="587" t="n"/>
      <c r="PIX88" s="587" t="n"/>
      <c r="PIY88" s="587" t="n"/>
      <c r="PIZ88" s="587" t="n"/>
      <c r="PJA88" s="587" t="n"/>
      <c r="PJB88" s="587" t="n"/>
      <c r="PJC88" s="587" t="n"/>
      <c r="PJD88" s="587" t="n"/>
      <c r="PJE88" s="587" t="n"/>
      <c r="PJF88" s="587" t="n"/>
      <c r="PJG88" s="587" t="n"/>
      <c r="PJH88" s="587" t="n"/>
      <c r="PJI88" s="587" t="n"/>
      <c r="PJJ88" s="587" t="n"/>
      <c r="PJK88" s="587" t="n"/>
      <c r="PJL88" s="587" t="n"/>
      <c r="PJM88" s="587" t="n"/>
      <c r="PJN88" s="587" t="n"/>
      <c r="PJO88" s="587" t="n"/>
      <c r="PJP88" s="587" t="n"/>
      <c r="PJQ88" s="587" t="n"/>
      <c r="PJR88" s="587" t="n"/>
      <c r="PJS88" s="587" t="n"/>
      <c r="PJT88" s="587" t="n"/>
      <c r="PJU88" s="587" t="n"/>
      <c r="PJV88" s="587" t="n"/>
      <c r="PJW88" s="587" t="n"/>
      <c r="PJX88" s="587" t="n"/>
      <c r="PJY88" s="587" t="n"/>
      <c r="PJZ88" s="587" t="n"/>
      <c r="PKA88" s="587" t="n"/>
      <c r="PKB88" s="587" t="n"/>
      <c r="PKC88" s="587" t="n"/>
      <c r="PKD88" s="587" t="n"/>
      <c r="PKE88" s="587" t="n"/>
      <c r="PKF88" s="587" t="n"/>
      <c r="PKG88" s="587" t="n"/>
      <c r="PKH88" s="587" t="n"/>
      <c r="PKI88" s="587" t="n"/>
      <c r="PKJ88" s="587" t="n"/>
      <c r="PKK88" s="587" t="n"/>
      <c r="PKL88" s="587" t="n"/>
      <c r="PKM88" s="587" t="n"/>
      <c r="PKN88" s="587" t="n"/>
      <c r="PKO88" s="587" t="n"/>
      <c r="PKP88" s="587" t="n"/>
      <c r="PKQ88" s="587" t="n"/>
      <c r="PKR88" s="587" t="n"/>
      <c r="PKS88" s="587" t="n"/>
      <c r="PKT88" s="587" t="n"/>
      <c r="PKU88" s="587" t="n"/>
      <c r="PKV88" s="587" t="n"/>
      <c r="PKW88" s="587" t="n"/>
      <c r="PKX88" s="587" t="n"/>
      <c r="PKY88" s="587" t="n"/>
      <c r="PKZ88" s="587" t="n"/>
      <c r="PLA88" s="587" t="n"/>
      <c r="PLB88" s="587" t="n"/>
      <c r="PLC88" s="587" t="n"/>
      <c r="PLD88" s="587" t="n"/>
      <c r="PLE88" s="587" t="n"/>
      <c r="PLF88" s="587" t="n"/>
      <c r="PLG88" s="587" t="n"/>
      <c r="PLH88" s="587" t="n"/>
      <c r="PLI88" s="587" t="n"/>
      <c r="PLJ88" s="587" t="n"/>
      <c r="PLK88" s="587" t="n"/>
      <c r="PLL88" s="587" t="n"/>
      <c r="PLM88" s="587" t="n"/>
      <c r="PLN88" s="587" t="n"/>
      <c r="PLO88" s="587" t="n"/>
      <c r="PLP88" s="587" t="n"/>
      <c r="PLQ88" s="587" t="n"/>
      <c r="PLR88" s="587" t="n"/>
      <c r="PLS88" s="587" t="n"/>
      <c r="PLT88" s="587" t="n"/>
      <c r="PLU88" s="587" t="n"/>
      <c r="PLV88" s="587" t="n"/>
      <c r="PLW88" s="587" t="n"/>
      <c r="PLX88" s="587" t="n"/>
      <c r="PLY88" s="587" t="n"/>
      <c r="PLZ88" s="587" t="n"/>
      <c r="PMA88" s="587" t="n"/>
      <c r="PMB88" s="587" t="n"/>
      <c r="PMC88" s="587" t="n"/>
      <c r="PMD88" s="587" t="n"/>
      <c r="PME88" s="587" t="n"/>
      <c r="PMF88" s="587" t="n"/>
      <c r="PMG88" s="587" t="n"/>
      <c r="PMH88" s="587" t="n"/>
      <c r="PMI88" s="587" t="n"/>
      <c r="PMJ88" s="587" t="n"/>
      <c r="PMK88" s="587" t="n"/>
      <c r="PML88" s="587" t="n"/>
      <c r="PMM88" s="587" t="n"/>
      <c r="PMN88" s="587" t="n"/>
      <c r="PMO88" s="587" t="n"/>
      <c r="PMP88" s="587" t="n"/>
      <c r="PMQ88" s="587" t="n"/>
      <c r="PMR88" s="587" t="n"/>
      <c r="PMS88" s="587" t="n"/>
      <c r="PMT88" s="587" t="n"/>
      <c r="PMU88" s="587" t="n"/>
      <c r="PMV88" s="587" t="n"/>
      <c r="PMW88" s="587" t="n"/>
      <c r="PMX88" s="587" t="n"/>
      <c r="PMY88" s="587" t="n"/>
      <c r="PMZ88" s="587" t="n"/>
      <c r="PNA88" s="587" t="n"/>
      <c r="PNB88" s="587" t="n"/>
      <c r="PNC88" s="587" t="n"/>
      <c r="PND88" s="587" t="n"/>
      <c r="PNE88" s="587" t="n"/>
      <c r="PNF88" s="587" t="n"/>
      <c r="PNG88" s="587" t="n"/>
      <c r="PNH88" s="587" t="n"/>
      <c r="PNI88" s="587" t="n"/>
      <c r="PNJ88" s="587" t="n"/>
      <c r="PNK88" s="587" t="n"/>
      <c r="PNL88" s="587" t="n"/>
      <c r="PNM88" s="587" t="n"/>
      <c r="PNN88" s="587" t="n"/>
      <c r="PNO88" s="587" t="n"/>
      <c r="PNP88" s="587" t="n"/>
      <c r="PNQ88" s="587" t="n"/>
      <c r="PNR88" s="587" t="n"/>
      <c r="PNS88" s="587" t="n"/>
      <c r="PNT88" s="587" t="n"/>
      <c r="PNU88" s="587" t="n"/>
      <c r="PNV88" s="587" t="n"/>
      <c r="PNW88" s="587" t="n"/>
      <c r="PNX88" s="587" t="n"/>
      <c r="PNY88" s="587" t="n"/>
      <c r="PNZ88" s="587" t="n"/>
      <c r="POA88" s="587" t="n"/>
      <c r="POB88" s="587" t="n"/>
      <c r="POC88" s="587" t="n"/>
      <c r="POD88" s="587" t="n"/>
      <c r="POE88" s="587" t="n"/>
      <c r="POF88" s="587" t="n"/>
      <c r="POG88" s="587" t="n"/>
      <c r="POH88" s="587" t="n"/>
      <c r="POI88" s="587" t="n"/>
      <c r="POJ88" s="587" t="n"/>
      <c r="POK88" s="587" t="n"/>
      <c r="POL88" s="587" t="n"/>
      <c r="POM88" s="587" t="n"/>
      <c r="PON88" s="587" t="n"/>
      <c r="POO88" s="587" t="n"/>
      <c r="POP88" s="587" t="n"/>
      <c r="POQ88" s="587" t="n"/>
      <c r="POR88" s="587" t="n"/>
      <c r="POS88" s="587" t="n"/>
      <c r="POT88" s="587" t="n"/>
      <c r="POU88" s="587" t="n"/>
      <c r="POV88" s="587" t="n"/>
      <c r="POW88" s="587" t="n"/>
      <c r="POX88" s="587" t="n"/>
      <c r="POY88" s="587" t="n"/>
      <c r="POZ88" s="587" t="n"/>
      <c r="PPA88" s="587" t="n"/>
      <c r="PPB88" s="587" t="n"/>
      <c r="PPC88" s="587" t="n"/>
      <c r="PPD88" s="587" t="n"/>
      <c r="PPE88" s="587" t="n"/>
      <c r="PPF88" s="587" t="n"/>
      <c r="PPG88" s="587" t="n"/>
      <c r="PPH88" s="587" t="n"/>
      <c r="PPI88" s="587" t="n"/>
      <c r="PPJ88" s="587" t="n"/>
      <c r="PPK88" s="587" t="n"/>
      <c r="PPL88" s="587" t="n"/>
      <c r="PPM88" s="587" t="n"/>
      <c r="PPN88" s="587" t="n"/>
      <c r="PPO88" s="587" t="n"/>
      <c r="PPP88" s="587" t="n"/>
      <c r="PPQ88" s="587" t="n"/>
      <c r="PPR88" s="587" t="n"/>
      <c r="PPS88" s="587" t="n"/>
      <c r="PPT88" s="587" t="n"/>
      <c r="PPU88" s="587" t="n"/>
      <c r="PPV88" s="587" t="n"/>
      <c r="PPW88" s="587" t="n"/>
      <c r="PPX88" s="587" t="n"/>
      <c r="PPY88" s="587" t="n"/>
      <c r="PPZ88" s="587" t="n"/>
      <c r="PQA88" s="587" t="n"/>
      <c r="PQB88" s="587" t="n"/>
      <c r="PQC88" s="587" t="n"/>
      <c r="PQD88" s="587" t="n"/>
      <c r="PQE88" s="587" t="n"/>
      <c r="PQF88" s="587" t="n"/>
      <c r="PQG88" s="587" t="n"/>
      <c r="PQH88" s="587" t="n"/>
      <c r="PQI88" s="587" t="n"/>
      <c r="PQJ88" s="587" t="n"/>
      <c r="PQK88" s="587" t="n"/>
      <c r="PQL88" s="587" t="n"/>
      <c r="PQM88" s="587" t="n"/>
      <c r="PQN88" s="587" t="n"/>
      <c r="PQO88" s="587" t="n"/>
      <c r="PQP88" s="587" t="n"/>
      <c r="PQQ88" s="587" t="n"/>
      <c r="PQR88" s="587" t="n"/>
      <c r="PQS88" s="587" t="n"/>
      <c r="PQT88" s="587" t="n"/>
      <c r="PQU88" s="587" t="n"/>
      <c r="PQV88" s="587" t="n"/>
      <c r="PQW88" s="587" t="n"/>
      <c r="PQX88" s="587" t="n"/>
      <c r="PQY88" s="587" t="n"/>
      <c r="PQZ88" s="587" t="n"/>
      <c r="PRA88" s="587" t="n"/>
      <c r="PRB88" s="587" t="n"/>
      <c r="PRC88" s="587" t="n"/>
      <c r="PRD88" s="587" t="n"/>
      <c r="PRE88" s="587" t="n"/>
      <c r="PRF88" s="587" t="n"/>
      <c r="PRG88" s="587" t="n"/>
      <c r="PRH88" s="587" t="n"/>
      <c r="PRI88" s="587" t="n"/>
      <c r="PRJ88" s="587" t="n"/>
      <c r="PRK88" s="587" t="n"/>
      <c r="PRL88" s="587" t="n"/>
      <c r="PRM88" s="587" t="n"/>
      <c r="PRN88" s="587" t="n"/>
      <c r="PRO88" s="587" t="n"/>
      <c r="PRP88" s="587" t="n"/>
      <c r="PRQ88" s="587" t="n"/>
      <c r="PRR88" s="587" t="n"/>
      <c r="PRS88" s="587" t="n"/>
      <c r="PRT88" s="587" t="n"/>
      <c r="PRU88" s="587" t="n"/>
      <c r="PRV88" s="587" t="n"/>
      <c r="PRW88" s="587" t="n"/>
      <c r="PRX88" s="587" t="n"/>
      <c r="PRY88" s="587" t="n"/>
      <c r="PRZ88" s="587" t="n"/>
      <c r="PSA88" s="587" t="n"/>
      <c r="PSB88" s="587" t="n"/>
      <c r="PSC88" s="587" t="n"/>
      <c r="PSD88" s="587" t="n"/>
      <c r="PSE88" s="587" t="n"/>
      <c r="PSF88" s="587" t="n"/>
      <c r="PSG88" s="587" t="n"/>
      <c r="PSH88" s="587" t="n"/>
      <c r="PSI88" s="587" t="n"/>
      <c r="PSJ88" s="587" t="n"/>
      <c r="PSK88" s="587" t="n"/>
      <c r="PSL88" s="587" t="n"/>
      <c r="PSM88" s="587" t="n"/>
      <c r="PSN88" s="587" t="n"/>
      <c r="PSO88" s="587" t="n"/>
      <c r="PSP88" s="587" t="n"/>
      <c r="PSQ88" s="587" t="n"/>
      <c r="PSR88" s="587" t="n"/>
      <c r="PSS88" s="587" t="n"/>
      <c r="PST88" s="587" t="n"/>
      <c r="PSU88" s="587" t="n"/>
      <c r="PSV88" s="587" t="n"/>
      <c r="PSW88" s="587" t="n"/>
      <c r="PSX88" s="587" t="n"/>
      <c r="PSY88" s="587" t="n"/>
      <c r="PSZ88" s="587" t="n"/>
      <c r="PTA88" s="587" t="n"/>
      <c r="PTB88" s="587" t="n"/>
      <c r="PTC88" s="587" t="n"/>
      <c r="PTD88" s="587" t="n"/>
      <c r="PTE88" s="587" t="n"/>
      <c r="PTF88" s="587" t="n"/>
      <c r="PTG88" s="587" t="n"/>
      <c r="PTH88" s="587" t="n"/>
      <c r="PTI88" s="587" t="n"/>
      <c r="PTJ88" s="587" t="n"/>
      <c r="PTK88" s="587" t="n"/>
      <c r="PTL88" s="587" t="n"/>
      <c r="PTM88" s="587" t="n"/>
      <c r="PTN88" s="587" t="n"/>
      <c r="PTO88" s="587" t="n"/>
      <c r="PTP88" s="587" t="n"/>
      <c r="PTQ88" s="587" t="n"/>
      <c r="PTR88" s="587" t="n"/>
      <c r="PTS88" s="587" t="n"/>
      <c r="PTT88" s="587" t="n"/>
      <c r="PTU88" s="587" t="n"/>
      <c r="PTV88" s="587" t="n"/>
      <c r="PTW88" s="587" t="n"/>
      <c r="PTX88" s="587" t="n"/>
      <c r="PTY88" s="587" t="n"/>
      <c r="PTZ88" s="587" t="n"/>
      <c r="PUA88" s="587" t="n"/>
      <c r="PUB88" s="587" t="n"/>
      <c r="PUC88" s="587" t="n"/>
      <c r="PUD88" s="587" t="n"/>
      <c r="PUE88" s="587" t="n"/>
      <c r="PUF88" s="587" t="n"/>
      <c r="PUG88" s="587" t="n"/>
      <c r="PUH88" s="587" t="n"/>
      <c r="PUI88" s="587" t="n"/>
      <c r="PUJ88" s="587" t="n"/>
      <c r="PUK88" s="587" t="n"/>
      <c r="PUL88" s="587" t="n"/>
      <c r="PUM88" s="587" t="n"/>
      <c r="PUN88" s="587" t="n"/>
      <c r="PUO88" s="587" t="n"/>
      <c r="PUP88" s="587" t="n"/>
      <c r="PUQ88" s="587" t="n"/>
      <c r="PUR88" s="587" t="n"/>
      <c r="PUS88" s="587" t="n"/>
      <c r="PUT88" s="587" t="n"/>
      <c r="PUU88" s="587" t="n"/>
      <c r="PUV88" s="587" t="n"/>
      <c r="PUW88" s="587" t="n"/>
      <c r="PUX88" s="587" t="n"/>
      <c r="PUY88" s="587" t="n"/>
      <c r="PUZ88" s="587" t="n"/>
      <c r="PVA88" s="587" t="n"/>
      <c r="PVB88" s="587" t="n"/>
      <c r="PVC88" s="587" t="n"/>
      <c r="PVD88" s="587" t="n"/>
      <c r="PVE88" s="587" t="n"/>
      <c r="PVF88" s="587" t="n"/>
      <c r="PVG88" s="587" t="n"/>
      <c r="PVH88" s="587" t="n"/>
      <c r="PVI88" s="587" t="n"/>
      <c r="PVJ88" s="587" t="n"/>
      <c r="PVK88" s="587" t="n"/>
      <c r="PVL88" s="587" t="n"/>
      <c r="PVM88" s="587" t="n"/>
      <c r="PVN88" s="587" t="n"/>
      <c r="PVO88" s="587" t="n"/>
      <c r="PVP88" s="587" t="n"/>
      <c r="PVQ88" s="587" t="n"/>
      <c r="PVR88" s="587" t="n"/>
      <c r="PVS88" s="587" t="n"/>
      <c r="PVT88" s="587" t="n"/>
      <c r="PVU88" s="587" t="n"/>
      <c r="PVV88" s="587" t="n"/>
      <c r="PVW88" s="587" t="n"/>
      <c r="PVX88" s="587" t="n"/>
      <c r="PVY88" s="587" t="n"/>
      <c r="PVZ88" s="587" t="n"/>
      <c r="PWA88" s="587" t="n"/>
      <c r="PWB88" s="587" t="n"/>
      <c r="PWC88" s="587" t="n"/>
      <c r="PWD88" s="587" t="n"/>
      <c r="PWE88" s="587" t="n"/>
      <c r="PWF88" s="587" t="n"/>
      <c r="PWG88" s="587" t="n"/>
      <c r="PWH88" s="587" t="n"/>
      <c r="PWI88" s="587" t="n"/>
      <c r="PWJ88" s="587" t="n"/>
      <c r="PWK88" s="587" t="n"/>
      <c r="PWL88" s="587" t="n"/>
      <c r="PWM88" s="587" t="n"/>
      <c r="PWN88" s="587" t="n"/>
      <c r="PWO88" s="587" t="n"/>
      <c r="PWP88" s="587" t="n"/>
      <c r="PWQ88" s="587" t="n"/>
      <c r="PWR88" s="587" t="n"/>
      <c r="PWS88" s="587" t="n"/>
      <c r="PWT88" s="587" t="n"/>
      <c r="PWU88" s="587" t="n"/>
      <c r="PWV88" s="587" t="n"/>
      <c r="PWW88" s="587" t="n"/>
      <c r="PWX88" s="587" t="n"/>
      <c r="PWY88" s="587" t="n"/>
      <c r="PWZ88" s="587" t="n"/>
      <c r="PXA88" s="587" t="n"/>
      <c r="PXB88" s="587" t="n"/>
      <c r="PXC88" s="587" t="n"/>
      <c r="PXD88" s="587" t="n"/>
      <c r="PXE88" s="587" t="n"/>
      <c r="PXF88" s="587" t="n"/>
      <c r="PXG88" s="587" t="n"/>
      <c r="PXH88" s="587" t="n"/>
      <c r="PXI88" s="587" t="n"/>
      <c r="PXJ88" s="587" t="n"/>
      <c r="PXK88" s="587" t="n"/>
      <c r="PXL88" s="587" t="n"/>
      <c r="PXM88" s="587" t="n"/>
      <c r="PXN88" s="587" t="n"/>
      <c r="PXO88" s="587" t="n"/>
      <c r="PXP88" s="587" t="n"/>
      <c r="PXQ88" s="587" t="n"/>
      <c r="PXR88" s="587" t="n"/>
      <c r="PXS88" s="587" t="n"/>
      <c r="PXT88" s="587" t="n"/>
      <c r="PXU88" s="587" t="n"/>
      <c r="PXV88" s="587" t="n"/>
      <c r="PXW88" s="587" t="n"/>
      <c r="PXX88" s="587" t="n"/>
      <c r="PXY88" s="587" t="n"/>
      <c r="PXZ88" s="587" t="n"/>
      <c r="PYA88" s="587" t="n"/>
      <c r="PYB88" s="587" t="n"/>
      <c r="PYC88" s="587" t="n"/>
      <c r="PYD88" s="587" t="n"/>
      <c r="PYE88" s="587" t="n"/>
      <c r="PYF88" s="587" t="n"/>
      <c r="PYG88" s="587" t="n"/>
      <c r="PYH88" s="587" t="n"/>
      <c r="PYI88" s="587" t="n"/>
      <c r="PYJ88" s="587" t="n"/>
      <c r="PYK88" s="587" t="n"/>
      <c r="PYL88" s="587" t="n"/>
      <c r="PYM88" s="587" t="n"/>
      <c r="PYN88" s="587" t="n"/>
      <c r="PYO88" s="587" t="n"/>
      <c r="PYP88" s="587" t="n"/>
      <c r="PYQ88" s="587" t="n"/>
      <c r="PYR88" s="587" t="n"/>
      <c r="PYS88" s="587" t="n"/>
      <c r="PYT88" s="587" t="n"/>
      <c r="PYU88" s="587" t="n"/>
      <c r="PYV88" s="587" t="n"/>
      <c r="PYW88" s="587" t="n"/>
      <c r="PYX88" s="587" t="n"/>
      <c r="PYY88" s="587" t="n"/>
      <c r="PYZ88" s="587" t="n"/>
      <c r="PZA88" s="587" t="n"/>
      <c r="PZB88" s="587" t="n"/>
      <c r="PZC88" s="587" t="n"/>
      <c r="PZD88" s="587" t="n"/>
      <c r="PZE88" s="587" t="n"/>
      <c r="PZF88" s="587" t="n"/>
      <c r="PZG88" s="587" t="n"/>
      <c r="PZH88" s="587" t="n"/>
      <c r="PZI88" s="587" t="n"/>
      <c r="PZJ88" s="587" t="n"/>
      <c r="PZK88" s="587" t="n"/>
      <c r="PZL88" s="587" t="n"/>
      <c r="PZM88" s="587" t="n"/>
      <c r="PZN88" s="587" t="n"/>
      <c r="PZO88" s="587" t="n"/>
      <c r="PZP88" s="587" t="n"/>
      <c r="PZQ88" s="587" t="n"/>
      <c r="PZR88" s="587" t="n"/>
      <c r="PZS88" s="587" t="n"/>
      <c r="PZT88" s="587" t="n"/>
      <c r="PZU88" s="587" t="n"/>
      <c r="PZV88" s="587" t="n"/>
      <c r="PZW88" s="587" t="n"/>
      <c r="PZX88" s="587" t="n"/>
      <c r="PZY88" s="587" t="n"/>
      <c r="PZZ88" s="587" t="n"/>
      <c r="QAA88" s="587" t="n"/>
      <c r="QAB88" s="587" t="n"/>
      <c r="QAC88" s="587" t="n"/>
      <c r="QAD88" s="587" t="n"/>
      <c r="QAE88" s="587" t="n"/>
      <c r="QAF88" s="587" t="n"/>
      <c r="QAG88" s="587" t="n"/>
      <c r="QAH88" s="587" t="n"/>
      <c r="QAI88" s="587" t="n"/>
      <c r="QAJ88" s="587" t="n"/>
      <c r="QAK88" s="587" t="n"/>
      <c r="QAL88" s="587" t="n"/>
      <c r="QAM88" s="587" t="n"/>
      <c r="QAN88" s="587" t="n"/>
      <c r="QAO88" s="587" t="n"/>
      <c r="QAP88" s="587" t="n"/>
      <c r="QAQ88" s="587" t="n"/>
      <c r="QAR88" s="587" t="n"/>
      <c r="QAS88" s="587" t="n"/>
      <c r="QAT88" s="587" t="n"/>
      <c r="QAU88" s="587" t="n"/>
      <c r="QAV88" s="587" t="n"/>
      <c r="QAW88" s="587" t="n"/>
      <c r="QAX88" s="587" t="n"/>
      <c r="QAY88" s="587" t="n"/>
      <c r="QAZ88" s="587" t="n"/>
      <c r="QBA88" s="587" t="n"/>
      <c r="QBB88" s="587" t="n"/>
      <c r="QBC88" s="587" t="n"/>
      <c r="QBD88" s="587" t="n"/>
      <c r="QBE88" s="587" t="n"/>
      <c r="QBF88" s="587" t="n"/>
      <c r="QBG88" s="587" t="n"/>
      <c r="QBH88" s="587" t="n"/>
      <c r="QBI88" s="587" t="n"/>
      <c r="QBJ88" s="587" t="n"/>
      <c r="QBK88" s="587" t="n"/>
      <c r="QBL88" s="587" t="n"/>
      <c r="QBM88" s="587" t="n"/>
      <c r="QBN88" s="587" t="n"/>
      <c r="QBO88" s="587" t="n"/>
      <c r="QBP88" s="587" t="n"/>
      <c r="QBQ88" s="587" t="n"/>
      <c r="QBR88" s="587" t="n"/>
      <c r="QBS88" s="587" t="n"/>
      <c r="QBT88" s="587" t="n"/>
      <c r="QBU88" s="587" t="n"/>
      <c r="QBV88" s="587" t="n"/>
      <c r="QBW88" s="587" t="n"/>
      <c r="QBX88" s="587" t="n"/>
      <c r="QBY88" s="587" t="n"/>
      <c r="QBZ88" s="587" t="n"/>
      <c r="QCA88" s="587" t="n"/>
      <c r="QCB88" s="587" t="n"/>
      <c r="QCC88" s="587" t="n"/>
      <c r="QCD88" s="587" t="n"/>
      <c r="QCE88" s="587" t="n"/>
      <c r="QCF88" s="587" t="n"/>
      <c r="QCG88" s="587" t="n"/>
      <c r="QCH88" s="587" t="n"/>
      <c r="QCI88" s="587" t="n"/>
      <c r="QCJ88" s="587" t="n"/>
      <c r="QCK88" s="587" t="n"/>
      <c r="QCL88" s="587" t="n"/>
      <c r="QCM88" s="587" t="n"/>
      <c r="QCN88" s="587" t="n"/>
      <c r="QCO88" s="587" t="n"/>
      <c r="QCP88" s="587" t="n"/>
      <c r="QCQ88" s="587" t="n"/>
      <c r="QCR88" s="587" t="n"/>
      <c r="QCS88" s="587" t="n"/>
      <c r="QCT88" s="587" t="n"/>
      <c r="QCU88" s="587" t="n"/>
      <c r="QCV88" s="587" t="n"/>
      <c r="QCW88" s="587" t="n"/>
      <c r="QCX88" s="587" t="n"/>
      <c r="QCY88" s="587" t="n"/>
      <c r="QCZ88" s="587" t="n"/>
      <c r="QDA88" s="587" t="n"/>
      <c r="QDB88" s="587" t="n"/>
      <c r="QDC88" s="587" t="n"/>
      <c r="QDD88" s="587" t="n"/>
      <c r="QDE88" s="587" t="n"/>
      <c r="QDF88" s="587" t="n"/>
      <c r="QDG88" s="587" t="n"/>
      <c r="QDH88" s="587" t="n"/>
      <c r="QDI88" s="587" t="n"/>
      <c r="QDJ88" s="587" t="n"/>
      <c r="QDK88" s="587" t="n"/>
      <c r="QDL88" s="587" t="n"/>
      <c r="QDM88" s="587" t="n"/>
      <c r="QDN88" s="587" t="n"/>
      <c r="QDO88" s="587" t="n"/>
      <c r="QDP88" s="587" t="n"/>
      <c r="QDQ88" s="587" t="n"/>
      <c r="QDR88" s="587" t="n"/>
      <c r="QDS88" s="587" t="n"/>
      <c r="QDT88" s="587" t="n"/>
      <c r="QDU88" s="587" t="n"/>
      <c r="QDV88" s="587" t="n"/>
      <c r="QDW88" s="587" t="n"/>
      <c r="QDX88" s="587" t="n"/>
      <c r="QDY88" s="587" t="n"/>
      <c r="QDZ88" s="587" t="n"/>
      <c r="QEA88" s="587" t="n"/>
      <c r="QEB88" s="587" t="n"/>
      <c r="QEC88" s="587" t="n"/>
      <c r="QED88" s="587" t="n"/>
      <c r="QEE88" s="587" t="n"/>
      <c r="QEF88" s="587" t="n"/>
      <c r="QEG88" s="587" t="n"/>
      <c r="QEH88" s="587" t="n"/>
      <c r="QEI88" s="587" t="n"/>
      <c r="QEJ88" s="587" t="n"/>
      <c r="QEK88" s="587" t="n"/>
      <c r="QEL88" s="587" t="n"/>
      <c r="QEM88" s="587" t="n"/>
      <c r="QEN88" s="587" t="n"/>
      <c r="QEO88" s="587" t="n"/>
      <c r="QEP88" s="587" t="n"/>
      <c r="QEQ88" s="587" t="n"/>
      <c r="QER88" s="587" t="n"/>
      <c r="QES88" s="587" t="n"/>
      <c r="QET88" s="587" t="n"/>
      <c r="QEU88" s="587" t="n"/>
      <c r="QEV88" s="587" t="n"/>
      <c r="QEW88" s="587" t="n"/>
      <c r="QEX88" s="587" t="n"/>
      <c r="QEY88" s="587" t="n"/>
      <c r="QEZ88" s="587" t="n"/>
      <c r="QFA88" s="587" t="n"/>
      <c r="QFB88" s="587" t="n"/>
      <c r="QFC88" s="587" t="n"/>
      <c r="QFD88" s="587" t="n"/>
      <c r="QFE88" s="587" t="n"/>
      <c r="QFF88" s="587" t="n"/>
      <c r="QFG88" s="587" t="n"/>
      <c r="QFH88" s="587" t="n"/>
      <c r="QFI88" s="587" t="n"/>
      <c r="QFJ88" s="587" t="n"/>
      <c r="QFK88" s="587" t="n"/>
      <c r="QFL88" s="587" t="n"/>
      <c r="QFM88" s="587" t="n"/>
      <c r="QFN88" s="587" t="n"/>
      <c r="QFO88" s="587" t="n"/>
      <c r="QFP88" s="587" t="n"/>
      <c r="QFQ88" s="587" t="n"/>
      <c r="QFR88" s="587" t="n"/>
      <c r="QFS88" s="587" t="n"/>
      <c r="QFT88" s="587" t="n"/>
      <c r="QFU88" s="587" t="n"/>
      <c r="QFV88" s="587" t="n"/>
      <c r="QFW88" s="587" t="n"/>
      <c r="QFX88" s="587" t="n"/>
      <c r="QFY88" s="587" t="n"/>
      <c r="QFZ88" s="587" t="n"/>
      <c r="QGA88" s="587" t="n"/>
      <c r="QGB88" s="587" t="n"/>
      <c r="QGC88" s="587" t="n"/>
      <c r="QGD88" s="587" t="n"/>
      <c r="QGE88" s="587" t="n"/>
      <c r="QGF88" s="587" t="n"/>
      <c r="QGG88" s="587" t="n"/>
      <c r="QGH88" s="587" t="n"/>
      <c r="QGI88" s="587" t="n"/>
      <c r="QGJ88" s="587" t="n"/>
      <c r="QGK88" s="587" t="n"/>
      <c r="QGL88" s="587" t="n"/>
      <c r="QGM88" s="587" t="n"/>
      <c r="QGN88" s="587" t="n"/>
      <c r="QGO88" s="587" t="n"/>
      <c r="QGP88" s="587" t="n"/>
      <c r="QGQ88" s="587" t="n"/>
      <c r="QGR88" s="587" t="n"/>
      <c r="QGS88" s="587" t="n"/>
      <c r="QGT88" s="587" t="n"/>
      <c r="QGU88" s="587" t="n"/>
      <c r="QGV88" s="587" t="n"/>
      <c r="QGW88" s="587" t="n"/>
      <c r="QGX88" s="587" t="n"/>
      <c r="QGY88" s="587" t="n"/>
      <c r="QGZ88" s="587" t="n"/>
      <c r="QHA88" s="587" t="n"/>
      <c r="QHB88" s="587" t="n"/>
      <c r="QHC88" s="587" t="n"/>
      <c r="QHD88" s="587" t="n"/>
      <c r="QHE88" s="587" t="n"/>
      <c r="QHF88" s="587" t="n"/>
      <c r="QHG88" s="587" t="n"/>
      <c r="QHH88" s="587" t="n"/>
      <c r="QHI88" s="587" t="n"/>
      <c r="QHJ88" s="587" t="n"/>
      <c r="QHK88" s="587" t="n"/>
      <c r="QHL88" s="587" t="n"/>
      <c r="QHM88" s="587" t="n"/>
      <c r="QHN88" s="587" t="n"/>
      <c r="QHO88" s="587" t="n"/>
      <c r="QHP88" s="587" t="n"/>
      <c r="QHQ88" s="587" t="n"/>
      <c r="QHR88" s="587" t="n"/>
      <c r="QHS88" s="587" t="n"/>
      <c r="QHT88" s="587" t="n"/>
      <c r="QHU88" s="587" t="n"/>
      <c r="QHV88" s="587" t="n"/>
      <c r="QHW88" s="587" t="n"/>
      <c r="QHX88" s="587" t="n"/>
      <c r="QHY88" s="587" t="n"/>
      <c r="QHZ88" s="587" t="n"/>
      <c r="QIA88" s="587" t="n"/>
      <c r="QIB88" s="587" t="n"/>
      <c r="QIC88" s="587" t="n"/>
      <c r="QID88" s="587" t="n"/>
      <c r="QIE88" s="587" t="n"/>
      <c r="QIF88" s="587" t="n"/>
      <c r="QIG88" s="587" t="n"/>
      <c r="QIH88" s="587" t="n"/>
      <c r="QII88" s="587" t="n"/>
      <c r="QIJ88" s="587" t="n"/>
      <c r="QIK88" s="587" t="n"/>
      <c r="QIL88" s="587" t="n"/>
      <c r="QIM88" s="587" t="n"/>
      <c r="QIN88" s="587" t="n"/>
      <c r="QIO88" s="587" t="n"/>
      <c r="QIP88" s="587" t="n"/>
      <c r="QIQ88" s="587" t="n"/>
      <c r="QIR88" s="587" t="n"/>
      <c r="QIS88" s="587" t="n"/>
      <c r="QIT88" s="587" t="n"/>
      <c r="QIU88" s="587" t="n"/>
      <c r="QIV88" s="587" t="n"/>
      <c r="QIW88" s="587" t="n"/>
      <c r="QIX88" s="587" t="n"/>
      <c r="QIY88" s="587" t="n"/>
      <c r="QIZ88" s="587" t="n"/>
      <c r="QJA88" s="587" t="n"/>
      <c r="QJB88" s="587" t="n"/>
      <c r="QJC88" s="587" t="n"/>
      <c r="QJD88" s="587" t="n"/>
      <c r="QJE88" s="587" t="n"/>
      <c r="QJF88" s="587" t="n"/>
      <c r="QJG88" s="587" t="n"/>
      <c r="QJH88" s="587" t="n"/>
      <c r="QJI88" s="587" t="n"/>
      <c r="QJJ88" s="587" t="n"/>
      <c r="QJK88" s="587" t="n"/>
      <c r="QJL88" s="587" t="n"/>
      <c r="QJM88" s="587" t="n"/>
      <c r="QJN88" s="587" t="n"/>
      <c r="QJO88" s="587" t="n"/>
      <c r="QJP88" s="587" t="n"/>
      <c r="QJQ88" s="587" t="n"/>
      <c r="QJR88" s="587" t="n"/>
      <c r="QJS88" s="587" t="n"/>
      <c r="QJT88" s="587" t="n"/>
      <c r="QJU88" s="587" t="n"/>
      <c r="QJV88" s="587" t="n"/>
      <c r="QJW88" s="587" t="n"/>
      <c r="QJX88" s="587" t="n"/>
      <c r="QJY88" s="587" t="n"/>
      <c r="QJZ88" s="587" t="n"/>
      <c r="QKA88" s="587" t="n"/>
      <c r="QKB88" s="587" t="n"/>
      <c r="QKC88" s="587" t="n"/>
      <c r="QKD88" s="587" t="n"/>
      <c r="QKE88" s="587" t="n"/>
      <c r="QKF88" s="587" t="n"/>
      <c r="QKG88" s="587" t="n"/>
      <c r="QKH88" s="587" t="n"/>
      <c r="QKI88" s="587" t="n"/>
      <c r="QKJ88" s="587" t="n"/>
      <c r="QKK88" s="587" t="n"/>
      <c r="QKL88" s="587" t="n"/>
      <c r="QKM88" s="587" t="n"/>
      <c r="QKN88" s="587" t="n"/>
      <c r="QKO88" s="587" t="n"/>
      <c r="QKP88" s="587" t="n"/>
      <c r="QKQ88" s="587" t="n"/>
      <c r="QKR88" s="587" t="n"/>
      <c r="QKS88" s="587" t="n"/>
      <c r="QKT88" s="587" t="n"/>
      <c r="QKU88" s="587" t="n"/>
      <c r="QKV88" s="587" t="n"/>
      <c r="QKW88" s="587" t="n"/>
      <c r="QKX88" s="587" t="n"/>
      <c r="QKY88" s="587" t="n"/>
      <c r="QKZ88" s="587" t="n"/>
      <c r="QLA88" s="587" t="n"/>
      <c r="QLB88" s="587" t="n"/>
      <c r="QLC88" s="587" t="n"/>
      <c r="QLD88" s="587" t="n"/>
      <c r="QLE88" s="587" t="n"/>
      <c r="QLF88" s="587" t="n"/>
      <c r="QLG88" s="587" t="n"/>
      <c r="QLH88" s="587" t="n"/>
      <c r="QLI88" s="587" t="n"/>
      <c r="QLJ88" s="587" t="n"/>
      <c r="QLK88" s="587" t="n"/>
      <c r="QLL88" s="587" t="n"/>
      <c r="QLM88" s="587" t="n"/>
      <c r="QLN88" s="587" t="n"/>
      <c r="QLO88" s="587" t="n"/>
      <c r="QLP88" s="587" t="n"/>
      <c r="QLQ88" s="587" t="n"/>
      <c r="QLR88" s="587" t="n"/>
      <c r="QLS88" s="587" t="n"/>
      <c r="QLT88" s="587" t="n"/>
      <c r="QLU88" s="587" t="n"/>
      <c r="QLV88" s="587" t="n"/>
      <c r="QLW88" s="587" t="n"/>
      <c r="QLX88" s="587" t="n"/>
      <c r="QLY88" s="587" t="n"/>
      <c r="QLZ88" s="587" t="n"/>
      <c r="QMA88" s="587" t="n"/>
      <c r="QMB88" s="587" t="n"/>
      <c r="QMC88" s="587" t="n"/>
      <c r="QMD88" s="587" t="n"/>
      <c r="QME88" s="587" t="n"/>
      <c r="QMF88" s="587" t="n"/>
      <c r="QMG88" s="587" t="n"/>
      <c r="QMH88" s="587" t="n"/>
      <c r="QMI88" s="587" t="n"/>
      <c r="QMJ88" s="587" t="n"/>
      <c r="QMK88" s="587" t="n"/>
      <c r="QML88" s="587" t="n"/>
      <c r="QMM88" s="587" t="n"/>
      <c r="QMN88" s="587" t="n"/>
      <c r="QMO88" s="587" t="n"/>
      <c r="QMP88" s="587" t="n"/>
      <c r="QMQ88" s="587" t="n"/>
      <c r="QMR88" s="587" t="n"/>
      <c r="QMS88" s="587" t="n"/>
      <c r="QMT88" s="587" t="n"/>
      <c r="QMU88" s="587" t="n"/>
      <c r="QMV88" s="587" t="n"/>
      <c r="QMW88" s="587" t="n"/>
      <c r="QMX88" s="587" t="n"/>
      <c r="QMY88" s="587" t="n"/>
      <c r="QMZ88" s="587" t="n"/>
      <c r="QNA88" s="587" t="n"/>
      <c r="QNB88" s="587" t="n"/>
      <c r="QNC88" s="587" t="n"/>
      <c r="QND88" s="587" t="n"/>
      <c r="QNE88" s="587" t="n"/>
      <c r="QNF88" s="587" t="n"/>
      <c r="QNG88" s="587" t="n"/>
      <c r="QNH88" s="587" t="n"/>
      <c r="QNI88" s="587" t="n"/>
      <c r="QNJ88" s="587" t="n"/>
      <c r="QNK88" s="587" t="n"/>
      <c r="QNL88" s="587" t="n"/>
      <c r="QNM88" s="587" t="n"/>
      <c r="QNN88" s="587" t="n"/>
      <c r="QNO88" s="587" t="n"/>
      <c r="QNP88" s="587" t="n"/>
      <c r="QNQ88" s="587" t="n"/>
      <c r="QNR88" s="587" t="n"/>
      <c r="QNS88" s="587" t="n"/>
      <c r="QNT88" s="587" t="n"/>
      <c r="QNU88" s="587" t="n"/>
      <c r="QNV88" s="587" t="n"/>
      <c r="QNW88" s="587" t="n"/>
      <c r="QNX88" s="587" t="n"/>
      <c r="QNY88" s="587" t="n"/>
      <c r="QNZ88" s="587" t="n"/>
      <c r="QOA88" s="587" t="n"/>
      <c r="QOB88" s="587" t="n"/>
      <c r="QOC88" s="587" t="n"/>
      <c r="QOD88" s="587" t="n"/>
      <c r="QOE88" s="587" t="n"/>
      <c r="QOF88" s="587" t="n"/>
      <c r="QOG88" s="587" t="n"/>
      <c r="QOH88" s="587" t="n"/>
      <c r="QOI88" s="587" t="n"/>
      <c r="QOJ88" s="587" t="n"/>
      <c r="QOK88" s="587" t="n"/>
      <c r="QOL88" s="587" t="n"/>
      <c r="QOM88" s="587" t="n"/>
      <c r="QON88" s="587" t="n"/>
      <c r="QOO88" s="587" t="n"/>
      <c r="QOP88" s="587" t="n"/>
      <c r="QOQ88" s="587" t="n"/>
      <c r="QOR88" s="587" t="n"/>
      <c r="QOS88" s="587" t="n"/>
      <c r="QOT88" s="587" t="n"/>
      <c r="QOU88" s="587" t="n"/>
      <c r="QOV88" s="587" t="n"/>
      <c r="QOW88" s="587" t="n"/>
      <c r="QOX88" s="587" t="n"/>
      <c r="QOY88" s="587" t="n"/>
      <c r="QOZ88" s="587" t="n"/>
      <c r="QPA88" s="587" t="n"/>
      <c r="QPB88" s="587" t="n"/>
      <c r="QPC88" s="587" t="n"/>
      <c r="QPD88" s="587" t="n"/>
      <c r="QPE88" s="587" t="n"/>
      <c r="QPF88" s="587" t="n"/>
      <c r="QPG88" s="587" t="n"/>
      <c r="QPH88" s="587" t="n"/>
      <c r="QPI88" s="587" t="n"/>
      <c r="QPJ88" s="587" t="n"/>
      <c r="QPK88" s="587" t="n"/>
      <c r="QPL88" s="587" t="n"/>
      <c r="QPM88" s="587" t="n"/>
      <c r="QPN88" s="587" t="n"/>
      <c r="QPO88" s="587" t="n"/>
      <c r="QPP88" s="587" t="n"/>
      <c r="QPQ88" s="587" t="n"/>
      <c r="QPR88" s="587" t="n"/>
      <c r="QPS88" s="587" t="n"/>
      <c r="QPT88" s="587" t="n"/>
      <c r="QPU88" s="587" t="n"/>
      <c r="QPV88" s="587" t="n"/>
      <c r="QPW88" s="587" t="n"/>
      <c r="QPX88" s="587" t="n"/>
      <c r="QPY88" s="587" t="n"/>
      <c r="QPZ88" s="587" t="n"/>
      <c r="QQA88" s="587" t="n"/>
      <c r="QQB88" s="587" t="n"/>
      <c r="QQC88" s="587" t="n"/>
      <c r="QQD88" s="587" t="n"/>
      <c r="QQE88" s="587" t="n"/>
      <c r="QQF88" s="587" t="n"/>
      <c r="QQG88" s="587" t="n"/>
      <c r="QQH88" s="587" t="n"/>
      <c r="QQI88" s="587" t="n"/>
      <c r="QQJ88" s="587" t="n"/>
      <c r="QQK88" s="587" t="n"/>
      <c r="QQL88" s="587" t="n"/>
      <c r="QQM88" s="587" t="n"/>
      <c r="QQN88" s="587" t="n"/>
      <c r="QQO88" s="587" t="n"/>
      <c r="QQP88" s="587" t="n"/>
      <c r="QQQ88" s="587" t="n"/>
      <c r="QQR88" s="587" t="n"/>
      <c r="QQS88" s="587" t="n"/>
      <c r="QQT88" s="587" t="n"/>
      <c r="QQU88" s="587" t="n"/>
      <c r="QQV88" s="587" t="n"/>
      <c r="QQW88" s="587" t="n"/>
      <c r="QQX88" s="587" t="n"/>
      <c r="QQY88" s="587" t="n"/>
      <c r="QQZ88" s="587" t="n"/>
      <c r="QRA88" s="587" t="n"/>
      <c r="QRB88" s="587" t="n"/>
      <c r="QRC88" s="587" t="n"/>
      <c r="QRD88" s="587" t="n"/>
      <c r="QRE88" s="587" t="n"/>
      <c r="QRF88" s="587" t="n"/>
      <c r="QRG88" s="587" t="n"/>
      <c r="QRH88" s="587" t="n"/>
      <c r="QRI88" s="587" t="n"/>
      <c r="QRJ88" s="587" t="n"/>
      <c r="QRK88" s="587" t="n"/>
      <c r="QRL88" s="587" t="n"/>
      <c r="QRM88" s="587" t="n"/>
      <c r="QRN88" s="587" t="n"/>
      <c r="QRO88" s="587" t="n"/>
      <c r="QRP88" s="587" t="n"/>
      <c r="QRQ88" s="587" t="n"/>
      <c r="QRR88" s="587" t="n"/>
      <c r="QRS88" s="587" t="n"/>
      <c r="QRT88" s="587" t="n"/>
      <c r="QRU88" s="587" t="n"/>
      <c r="QRV88" s="587" t="n"/>
      <c r="QRW88" s="587" t="n"/>
      <c r="QRX88" s="587" t="n"/>
      <c r="QRY88" s="587" t="n"/>
      <c r="QRZ88" s="587" t="n"/>
      <c r="QSA88" s="587" t="n"/>
      <c r="QSB88" s="587" t="n"/>
      <c r="QSC88" s="587" t="n"/>
      <c r="QSD88" s="587" t="n"/>
      <c r="QSE88" s="587" t="n"/>
      <c r="QSF88" s="587" t="n"/>
      <c r="QSG88" s="587" t="n"/>
      <c r="QSH88" s="587" t="n"/>
      <c r="QSI88" s="587" t="n"/>
      <c r="QSJ88" s="587" t="n"/>
      <c r="QSK88" s="587" t="n"/>
      <c r="QSL88" s="587" t="n"/>
      <c r="QSM88" s="587" t="n"/>
      <c r="QSN88" s="587" t="n"/>
      <c r="QSO88" s="587" t="n"/>
      <c r="QSP88" s="587" t="n"/>
      <c r="QSQ88" s="587" t="n"/>
      <c r="QSR88" s="587" t="n"/>
      <c r="QSS88" s="587" t="n"/>
      <c r="QST88" s="587" t="n"/>
      <c r="QSU88" s="587" t="n"/>
      <c r="QSV88" s="587" t="n"/>
      <c r="QSW88" s="587" t="n"/>
      <c r="QSX88" s="587" t="n"/>
      <c r="QSY88" s="587" t="n"/>
      <c r="QSZ88" s="587" t="n"/>
      <c r="QTA88" s="587" t="n"/>
      <c r="QTB88" s="587" t="n"/>
      <c r="QTC88" s="587" t="n"/>
      <c r="QTD88" s="587" t="n"/>
      <c r="QTE88" s="587" t="n"/>
      <c r="QTF88" s="587" t="n"/>
      <c r="QTG88" s="587" t="n"/>
      <c r="QTH88" s="587" t="n"/>
      <c r="QTI88" s="587" t="n"/>
      <c r="QTJ88" s="587" t="n"/>
      <c r="QTK88" s="587" t="n"/>
      <c r="QTL88" s="587" t="n"/>
      <c r="QTM88" s="587" t="n"/>
      <c r="QTN88" s="587" t="n"/>
      <c r="QTO88" s="587" t="n"/>
      <c r="QTP88" s="587" t="n"/>
      <c r="QTQ88" s="587" t="n"/>
      <c r="QTR88" s="587" t="n"/>
      <c r="QTS88" s="587" t="n"/>
      <c r="QTT88" s="587" t="n"/>
      <c r="QTU88" s="587" t="n"/>
      <c r="QTV88" s="587" t="n"/>
      <c r="QTW88" s="587" t="n"/>
      <c r="QTX88" s="587" t="n"/>
      <c r="QTY88" s="587" t="n"/>
      <c r="QTZ88" s="587" t="n"/>
      <c r="QUA88" s="587" t="n"/>
      <c r="QUB88" s="587" t="n"/>
      <c r="QUC88" s="587" t="n"/>
      <c r="QUD88" s="587" t="n"/>
      <c r="QUE88" s="587" t="n"/>
      <c r="QUF88" s="587" t="n"/>
      <c r="QUG88" s="587" t="n"/>
      <c r="QUH88" s="587" t="n"/>
      <c r="QUI88" s="587" t="n"/>
      <c r="QUJ88" s="587" t="n"/>
      <c r="QUK88" s="587" t="n"/>
      <c r="QUL88" s="587" t="n"/>
      <c r="QUM88" s="587" t="n"/>
      <c r="QUN88" s="587" t="n"/>
      <c r="QUO88" s="587" t="n"/>
      <c r="QUP88" s="587" t="n"/>
      <c r="QUQ88" s="587" t="n"/>
      <c r="QUR88" s="587" t="n"/>
      <c r="QUS88" s="587" t="n"/>
      <c r="QUT88" s="587" t="n"/>
      <c r="QUU88" s="587" t="n"/>
      <c r="QUV88" s="587" t="n"/>
      <c r="QUW88" s="587" t="n"/>
      <c r="QUX88" s="587" t="n"/>
      <c r="QUY88" s="587" t="n"/>
      <c r="QUZ88" s="587" t="n"/>
      <c r="QVA88" s="587" t="n"/>
      <c r="QVB88" s="587" t="n"/>
      <c r="QVC88" s="587" t="n"/>
      <c r="QVD88" s="587" t="n"/>
      <c r="QVE88" s="587" t="n"/>
      <c r="QVF88" s="587" t="n"/>
      <c r="QVG88" s="587" t="n"/>
      <c r="QVH88" s="587" t="n"/>
      <c r="QVI88" s="587" t="n"/>
      <c r="QVJ88" s="587" t="n"/>
      <c r="QVK88" s="587" t="n"/>
      <c r="QVL88" s="587" t="n"/>
      <c r="QVM88" s="587" t="n"/>
      <c r="QVN88" s="587" t="n"/>
      <c r="QVO88" s="587" t="n"/>
      <c r="QVP88" s="587" t="n"/>
      <c r="QVQ88" s="587" t="n"/>
      <c r="QVR88" s="587" t="n"/>
      <c r="QVS88" s="587" t="n"/>
      <c r="QVT88" s="587" t="n"/>
      <c r="QVU88" s="587" t="n"/>
      <c r="QVV88" s="587" t="n"/>
      <c r="QVW88" s="587" t="n"/>
      <c r="QVX88" s="587" t="n"/>
      <c r="QVY88" s="587" t="n"/>
      <c r="QVZ88" s="587" t="n"/>
      <c r="QWA88" s="587" t="n"/>
      <c r="QWB88" s="587" t="n"/>
      <c r="QWC88" s="587" t="n"/>
      <c r="QWD88" s="587" t="n"/>
      <c r="QWE88" s="587" t="n"/>
      <c r="QWF88" s="587" t="n"/>
      <c r="QWG88" s="587" t="n"/>
      <c r="QWH88" s="587" t="n"/>
      <c r="QWI88" s="587" t="n"/>
      <c r="QWJ88" s="587" t="n"/>
      <c r="QWK88" s="587" t="n"/>
      <c r="QWL88" s="587" t="n"/>
      <c r="QWM88" s="587" t="n"/>
      <c r="QWN88" s="587" t="n"/>
      <c r="QWO88" s="587" t="n"/>
      <c r="QWP88" s="587" t="n"/>
      <c r="QWQ88" s="587" t="n"/>
      <c r="QWR88" s="587" t="n"/>
      <c r="QWS88" s="587" t="n"/>
      <c r="QWT88" s="587" t="n"/>
      <c r="QWU88" s="587" t="n"/>
      <c r="QWV88" s="587" t="n"/>
      <c r="QWW88" s="587" t="n"/>
      <c r="QWX88" s="587" t="n"/>
      <c r="QWY88" s="587" t="n"/>
      <c r="QWZ88" s="587" t="n"/>
      <c r="QXA88" s="587" t="n"/>
      <c r="QXB88" s="587" t="n"/>
      <c r="QXC88" s="587" t="n"/>
      <c r="QXD88" s="587" t="n"/>
      <c r="QXE88" s="587" t="n"/>
      <c r="QXF88" s="587" t="n"/>
      <c r="QXG88" s="587" t="n"/>
      <c r="QXH88" s="587" t="n"/>
      <c r="QXI88" s="587" t="n"/>
      <c r="QXJ88" s="587" t="n"/>
      <c r="QXK88" s="587" t="n"/>
      <c r="QXL88" s="587" t="n"/>
      <c r="QXM88" s="587" t="n"/>
      <c r="QXN88" s="587" t="n"/>
      <c r="QXO88" s="587" t="n"/>
      <c r="QXP88" s="587" t="n"/>
      <c r="QXQ88" s="587" t="n"/>
      <c r="QXR88" s="587" t="n"/>
      <c r="QXS88" s="587" t="n"/>
      <c r="QXT88" s="587" t="n"/>
      <c r="QXU88" s="587" t="n"/>
      <c r="QXV88" s="587" t="n"/>
      <c r="QXW88" s="587" t="n"/>
      <c r="QXX88" s="587" t="n"/>
      <c r="QXY88" s="587" t="n"/>
      <c r="QXZ88" s="587" t="n"/>
      <c r="QYA88" s="587" t="n"/>
      <c r="QYB88" s="587" t="n"/>
      <c r="QYC88" s="587" t="n"/>
      <c r="QYD88" s="587" t="n"/>
      <c r="QYE88" s="587" t="n"/>
      <c r="QYF88" s="587" t="n"/>
      <c r="QYG88" s="587" t="n"/>
      <c r="QYH88" s="587" t="n"/>
      <c r="QYI88" s="587" t="n"/>
      <c r="QYJ88" s="587" t="n"/>
      <c r="QYK88" s="587" t="n"/>
      <c r="QYL88" s="587" t="n"/>
      <c r="QYM88" s="587" t="n"/>
      <c r="QYN88" s="587" t="n"/>
      <c r="QYO88" s="587" t="n"/>
      <c r="QYP88" s="587" t="n"/>
      <c r="QYQ88" s="587" t="n"/>
      <c r="QYR88" s="587" t="n"/>
      <c r="QYS88" s="587" t="n"/>
      <c r="QYT88" s="587" t="n"/>
      <c r="QYU88" s="587" t="n"/>
      <c r="QYV88" s="587" t="n"/>
      <c r="QYW88" s="587" t="n"/>
      <c r="QYX88" s="587" t="n"/>
      <c r="QYY88" s="587" t="n"/>
      <c r="QYZ88" s="587" t="n"/>
      <c r="QZA88" s="587" t="n"/>
      <c r="QZB88" s="587" t="n"/>
      <c r="QZC88" s="587" t="n"/>
      <c r="QZD88" s="587" t="n"/>
      <c r="QZE88" s="587" t="n"/>
      <c r="QZF88" s="587" t="n"/>
      <c r="QZG88" s="587" t="n"/>
      <c r="QZH88" s="587" t="n"/>
      <c r="QZI88" s="587" t="n"/>
      <c r="QZJ88" s="587" t="n"/>
      <c r="QZK88" s="587" t="n"/>
      <c r="QZL88" s="587" t="n"/>
      <c r="QZM88" s="587" t="n"/>
      <c r="QZN88" s="587" t="n"/>
      <c r="QZO88" s="587" t="n"/>
      <c r="QZP88" s="587" t="n"/>
      <c r="QZQ88" s="587" t="n"/>
      <c r="QZR88" s="587" t="n"/>
      <c r="QZS88" s="587" t="n"/>
      <c r="QZT88" s="587" t="n"/>
      <c r="QZU88" s="587" t="n"/>
      <c r="QZV88" s="587" t="n"/>
      <c r="QZW88" s="587" t="n"/>
      <c r="QZX88" s="587" t="n"/>
      <c r="QZY88" s="587" t="n"/>
      <c r="QZZ88" s="587" t="n"/>
      <c r="RAA88" s="587" t="n"/>
      <c r="RAB88" s="587" t="n"/>
      <c r="RAC88" s="587" t="n"/>
      <c r="RAD88" s="587" t="n"/>
      <c r="RAE88" s="587" t="n"/>
      <c r="RAF88" s="587" t="n"/>
      <c r="RAG88" s="587" t="n"/>
      <c r="RAH88" s="587" t="n"/>
      <c r="RAI88" s="587" t="n"/>
      <c r="RAJ88" s="587" t="n"/>
      <c r="RAK88" s="587" t="n"/>
      <c r="RAL88" s="587" t="n"/>
      <c r="RAM88" s="587" t="n"/>
      <c r="RAN88" s="587" t="n"/>
      <c r="RAO88" s="587" t="n"/>
      <c r="RAP88" s="587" t="n"/>
      <c r="RAQ88" s="587" t="n"/>
      <c r="RAR88" s="587" t="n"/>
      <c r="RAS88" s="587" t="n"/>
      <c r="RAT88" s="587" t="n"/>
      <c r="RAU88" s="587" t="n"/>
      <c r="RAV88" s="587" t="n"/>
      <c r="RAW88" s="587" t="n"/>
      <c r="RAX88" s="587" t="n"/>
      <c r="RAY88" s="587" t="n"/>
      <c r="RAZ88" s="587" t="n"/>
      <c r="RBA88" s="587" t="n"/>
      <c r="RBB88" s="587" t="n"/>
      <c r="RBC88" s="587" t="n"/>
      <c r="RBD88" s="587" t="n"/>
      <c r="RBE88" s="587" t="n"/>
      <c r="RBF88" s="587" t="n"/>
      <c r="RBG88" s="587" t="n"/>
      <c r="RBH88" s="587" t="n"/>
      <c r="RBI88" s="587" t="n"/>
      <c r="RBJ88" s="587" t="n"/>
      <c r="RBK88" s="587" t="n"/>
      <c r="RBL88" s="587" t="n"/>
      <c r="RBM88" s="587" t="n"/>
      <c r="RBN88" s="587" t="n"/>
      <c r="RBO88" s="587" t="n"/>
      <c r="RBP88" s="587" t="n"/>
      <c r="RBQ88" s="587" t="n"/>
      <c r="RBR88" s="587" t="n"/>
      <c r="RBS88" s="587" t="n"/>
      <c r="RBT88" s="587" t="n"/>
      <c r="RBU88" s="587" t="n"/>
      <c r="RBV88" s="587" t="n"/>
      <c r="RBW88" s="587" t="n"/>
      <c r="RBX88" s="587" t="n"/>
      <c r="RBY88" s="587" t="n"/>
      <c r="RBZ88" s="587" t="n"/>
      <c r="RCA88" s="587" t="n"/>
      <c r="RCB88" s="587" t="n"/>
      <c r="RCC88" s="587" t="n"/>
      <c r="RCD88" s="587" t="n"/>
      <c r="RCE88" s="587" t="n"/>
      <c r="RCF88" s="587" t="n"/>
      <c r="RCG88" s="587" t="n"/>
      <c r="RCH88" s="587" t="n"/>
      <c r="RCI88" s="587" t="n"/>
      <c r="RCJ88" s="587" t="n"/>
      <c r="RCK88" s="587" t="n"/>
      <c r="RCL88" s="587" t="n"/>
      <c r="RCM88" s="587" t="n"/>
      <c r="RCN88" s="587" t="n"/>
      <c r="RCO88" s="587" t="n"/>
      <c r="RCP88" s="587" t="n"/>
      <c r="RCQ88" s="587" t="n"/>
      <c r="RCR88" s="587" t="n"/>
      <c r="RCS88" s="587" t="n"/>
      <c r="RCT88" s="587" t="n"/>
      <c r="RCU88" s="587" t="n"/>
      <c r="RCV88" s="587" t="n"/>
      <c r="RCW88" s="587" t="n"/>
      <c r="RCX88" s="587" t="n"/>
      <c r="RCY88" s="587" t="n"/>
      <c r="RCZ88" s="587" t="n"/>
      <c r="RDA88" s="587" t="n"/>
      <c r="RDB88" s="587" t="n"/>
      <c r="RDC88" s="587" t="n"/>
      <c r="RDD88" s="587" t="n"/>
      <c r="RDE88" s="587" t="n"/>
      <c r="RDF88" s="587" t="n"/>
      <c r="RDG88" s="587" t="n"/>
      <c r="RDH88" s="587" t="n"/>
      <c r="RDI88" s="587" t="n"/>
      <c r="RDJ88" s="587" t="n"/>
      <c r="RDK88" s="587" t="n"/>
      <c r="RDL88" s="587" t="n"/>
      <c r="RDM88" s="587" t="n"/>
      <c r="RDN88" s="587" t="n"/>
      <c r="RDO88" s="587" t="n"/>
      <c r="RDP88" s="587" t="n"/>
      <c r="RDQ88" s="587" t="n"/>
      <c r="RDR88" s="587" t="n"/>
      <c r="RDS88" s="587" t="n"/>
      <c r="RDT88" s="587" t="n"/>
      <c r="RDU88" s="587" t="n"/>
      <c r="RDV88" s="587" t="n"/>
      <c r="RDW88" s="587" t="n"/>
      <c r="RDX88" s="587" t="n"/>
      <c r="RDY88" s="587" t="n"/>
      <c r="RDZ88" s="587" t="n"/>
      <c r="REA88" s="587" t="n"/>
      <c r="REB88" s="587" t="n"/>
      <c r="REC88" s="587" t="n"/>
      <c r="RED88" s="587" t="n"/>
      <c r="REE88" s="587" t="n"/>
      <c r="REF88" s="587" t="n"/>
      <c r="REG88" s="587" t="n"/>
      <c r="REH88" s="587" t="n"/>
      <c r="REI88" s="587" t="n"/>
      <c r="REJ88" s="587" t="n"/>
      <c r="REK88" s="587" t="n"/>
      <c r="REL88" s="587" t="n"/>
      <c r="REM88" s="587" t="n"/>
      <c r="REN88" s="587" t="n"/>
      <c r="REO88" s="587" t="n"/>
      <c r="REP88" s="587" t="n"/>
      <c r="REQ88" s="587" t="n"/>
      <c r="RER88" s="587" t="n"/>
      <c r="RES88" s="587" t="n"/>
      <c r="RET88" s="587" t="n"/>
      <c r="REU88" s="587" t="n"/>
      <c r="REV88" s="587" t="n"/>
      <c r="REW88" s="587" t="n"/>
      <c r="REX88" s="587" t="n"/>
      <c r="REY88" s="587" t="n"/>
      <c r="REZ88" s="587" t="n"/>
      <c r="RFA88" s="587" t="n"/>
      <c r="RFB88" s="587" t="n"/>
      <c r="RFC88" s="587" t="n"/>
      <c r="RFD88" s="587" t="n"/>
      <c r="RFE88" s="587" t="n"/>
      <c r="RFF88" s="587" t="n"/>
      <c r="RFG88" s="587" t="n"/>
      <c r="RFH88" s="587" t="n"/>
      <c r="RFI88" s="587" t="n"/>
      <c r="RFJ88" s="587" t="n"/>
      <c r="RFK88" s="587" t="n"/>
      <c r="RFL88" s="587" t="n"/>
      <c r="RFM88" s="587" t="n"/>
      <c r="RFN88" s="587" t="n"/>
      <c r="RFO88" s="587" t="n"/>
      <c r="RFP88" s="587" t="n"/>
      <c r="RFQ88" s="587" t="n"/>
      <c r="RFR88" s="587" t="n"/>
      <c r="RFS88" s="587" t="n"/>
      <c r="RFT88" s="587" t="n"/>
      <c r="RFU88" s="587" t="n"/>
      <c r="RFV88" s="587" t="n"/>
      <c r="RFW88" s="587" t="n"/>
      <c r="RFX88" s="587" t="n"/>
      <c r="RFY88" s="587" t="n"/>
      <c r="RFZ88" s="587" t="n"/>
      <c r="RGA88" s="587" t="n"/>
      <c r="RGB88" s="587" t="n"/>
      <c r="RGC88" s="587" t="n"/>
      <c r="RGD88" s="587" t="n"/>
      <c r="RGE88" s="587" t="n"/>
      <c r="RGF88" s="587" t="n"/>
      <c r="RGG88" s="587" t="n"/>
      <c r="RGH88" s="587" t="n"/>
      <c r="RGI88" s="587" t="n"/>
      <c r="RGJ88" s="587" t="n"/>
      <c r="RGK88" s="587" t="n"/>
      <c r="RGL88" s="587" t="n"/>
      <c r="RGM88" s="587" t="n"/>
      <c r="RGN88" s="587" t="n"/>
      <c r="RGO88" s="587" t="n"/>
      <c r="RGP88" s="587" t="n"/>
      <c r="RGQ88" s="587" t="n"/>
      <c r="RGR88" s="587" t="n"/>
      <c r="RGS88" s="587" t="n"/>
      <c r="RGT88" s="587" t="n"/>
      <c r="RGU88" s="587" t="n"/>
      <c r="RGV88" s="587" t="n"/>
      <c r="RGW88" s="587" t="n"/>
      <c r="RGX88" s="587" t="n"/>
      <c r="RGY88" s="587" t="n"/>
      <c r="RGZ88" s="587" t="n"/>
      <c r="RHA88" s="587" t="n"/>
      <c r="RHB88" s="587" t="n"/>
      <c r="RHC88" s="587" t="n"/>
      <c r="RHD88" s="587" t="n"/>
      <c r="RHE88" s="587" t="n"/>
      <c r="RHF88" s="587" t="n"/>
      <c r="RHG88" s="587" t="n"/>
      <c r="RHH88" s="587" t="n"/>
      <c r="RHI88" s="587" t="n"/>
      <c r="RHJ88" s="587" t="n"/>
      <c r="RHK88" s="587" t="n"/>
      <c r="RHL88" s="587" t="n"/>
      <c r="RHM88" s="587" t="n"/>
      <c r="RHN88" s="587" t="n"/>
      <c r="RHO88" s="587" t="n"/>
      <c r="RHP88" s="587" t="n"/>
      <c r="RHQ88" s="587" t="n"/>
      <c r="RHR88" s="587" t="n"/>
      <c r="RHS88" s="587" t="n"/>
      <c r="RHT88" s="587" t="n"/>
      <c r="RHU88" s="587" t="n"/>
      <c r="RHV88" s="587" t="n"/>
      <c r="RHW88" s="587" t="n"/>
      <c r="RHX88" s="587" t="n"/>
      <c r="RHY88" s="587" t="n"/>
      <c r="RHZ88" s="587" t="n"/>
      <c r="RIA88" s="587" t="n"/>
      <c r="RIB88" s="587" t="n"/>
      <c r="RIC88" s="587" t="n"/>
      <c r="RID88" s="587" t="n"/>
      <c r="RIE88" s="587" t="n"/>
      <c r="RIF88" s="587" t="n"/>
      <c r="RIG88" s="587" t="n"/>
      <c r="RIH88" s="587" t="n"/>
      <c r="RII88" s="587" t="n"/>
      <c r="RIJ88" s="587" t="n"/>
      <c r="RIK88" s="587" t="n"/>
      <c r="RIL88" s="587" t="n"/>
      <c r="RIM88" s="587" t="n"/>
      <c r="RIN88" s="587" t="n"/>
      <c r="RIO88" s="587" t="n"/>
      <c r="RIP88" s="587" t="n"/>
      <c r="RIQ88" s="587" t="n"/>
      <c r="RIR88" s="587" t="n"/>
      <c r="RIS88" s="587" t="n"/>
      <c r="RIT88" s="587" t="n"/>
      <c r="RIU88" s="587" t="n"/>
      <c r="RIV88" s="587" t="n"/>
      <c r="RIW88" s="587" t="n"/>
      <c r="RIX88" s="587" t="n"/>
      <c r="RIY88" s="587" t="n"/>
      <c r="RIZ88" s="587" t="n"/>
      <c r="RJA88" s="587" t="n"/>
      <c r="RJB88" s="587" t="n"/>
      <c r="RJC88" s="587" t="n"/>
      <c r="RJD88" s="587" t="n"/>
      <c r="RJE88" s="587" t="n"/>
      <c r="RJF88" s="587" t="n"/>
      <c r="RJG88" s="587" t="n"/>
      <c r="RJH88" s="587" t="n"/>
      <c r="RJI88" s="587" t="n"/>
      <c r="RJJ88" s="587" t="n"/>
      <c r="RJK88" s="587" t="n"/>
      <c r="RJL88" s="587" t="n"/>
      <c r="RJM88" s="587" t="n"/>
      <c r="RJN88" s="587" t="n"/>
      <c r="RJO88" s="587" t="n"/>
      <c r="RJP88" s="587" t="n"/>
      <c r="RJQ88" s="587" t="n"/>
      <c r="RJR88" s="587" t="n"/>
      <c r="RJS88" s="587" t="n"/>
      <c r="RJT88" s="587" t="n"/>
      <c r="RJU88" s="587" t="n"/>
      <c r="RJV88" s="587" t="n"/>
      <c r="RJW88" s="587" t="n"/>
      <c r="RJX88" s="587" t="n"/>
      <c r="RJY88" s="587" t="n"/>
      <c r="RJZ88" s="587" t="n"/>
      <c r="RKA88" s="587" t="n"/>
      <c r="RKB88" s="587" t="n"/>
      <c r="RKC88" s="587" t="n"/>
      <c r="RKD88" s="587" t="n"/>
      <c r="RKE88" s="587" t="n"/>
      <c r="RKF88" s="587" t="n"/>
      <c r="RKG88" s="587" t="n"/>
      <c r="RKH88" s="587" t="n"/>
      <c r="RKI88" s="587" t="n"/>
      <c r="RKJ88" s="587" t="n"/>
      <c r="RKK88" s="587" t="n"/>
      <c r="RKL88" s="587" t="n"/>
      <c r="RKM88" s="587" t="n"/>
      <c r="RKN88" s="587" t="n"/>
      <c r="RKO88" s="587" t="n"/>
      <c r="RKP88" s="587" t="n"/>
      <c r="RKQ88" s="587" t="n"/>
      <c r="RKR88" s="587" t="n"/>
      <c r="RKS88" s="587" t="n"/>
      <c r="RKT88" s="587" t="n"/>
      <c r="RKU88" s="587" t="n"/>
      <c r="RKV88" s="587" t="n"/>
      <c r="RKW88" s="587" t="n"/>
      <c r="RKX88" s="587" t="n"/>
      <c r="RKY88" s="587" t="n"/>
      <c r="RKZ88" s="587" t="n"/>
      <c r="RLA88" s="587" t="n"/>
      <c r="RLB88" s="587" t="n"/>
      <c r="RLC88" s="587" t="n"/>
      <c r="RLD88" s="587" t="n"/>
      <c r="RLE88" s="587" t="n"/>
      <c r="RLF88" s="587" t="n"/>
      <c r="RLG88" s="587" t="n"/>
      <c r="RLH88" s="587" t="n"/>
      <c r="RLI88" s="587" t="n"/>
      <c r="RLJ88" s="587" t="n"/>
      <c r="RLK88" s="587" t="n"/>
      <c r="RLL88" s="587" t="n"/>
      <c r="RLM88" s="587" t="n"/>
      <c r="RLN88" s="587" t="n"/>
      <c r="RLO88" s="587" t="n"/>
      <c r="RLP88" s="587" t="n"/>
      <c r="RLQ88" s="587" t="n"/>
      <c r="RLR88" s="587" t="n"/>
      <c r="RLS88" s="587" t="n"/>
      <c r="RLT88" s="587" t="n"/>
      <c r="RLU88" s="587" t="n"/>
      <c r="RLV88" s="587" t="n"/>
      <c r="RLW88" s="587" t="n"/>
      <c r="RLX88" s="587" t="n"/>
      <c r="RLY88" s="587" t="n"/>
      <c r="RLZ88" s="587" t="n"/>
      <c r="RMA88" s="587" t="n"/>
      <c r="RMB88" s="587" t="n"/>
      <c r="RMC88" s="587" t="n"/>
      <c r="RMD88" s="587" t="n"/>
      <c r="RME88" s="587" t="n"/>
      <c r="RMF88" s="587" t="n"/>
      <c r="RMG88" s="587" t="n"/>
      <c r="RMH88" s="587" t="n"/>
      <c r="RMI88" s="587" t="n"/>
      <c r="RMJ88" s="587" t="n"/>
      <c r="RMK88" s="587" t="n"/>
      <c r="RML88" s="587" t="n"/>
      <c r="RMM88" s="587" t="n"/>
      <c r="RMN88" s="587" t="n"/>
      <c r="RMO88" s="587" t="n"/>
      <c r="RMP88" s="587" t="n"/>
      <c r="RMQ88" s="587" t="n"/>
      <c r="RMR88" s="587" t="n"/>
      <c r="RMS88" s="587" t="n"/>
      <c r="RMT88" s="587" t="n"/>
      <c r="RMU88" s="587" t="n"/>
      <c r="RMV88" s="587" t="n"/>
      <c r="RMW88" s="587" t="n"/>
      <c r="RMX88" s="587" t="n"/>
      <c r="RMY88" s="587" t="n"/>
      <c r="RMZ88" s="587" t="n"/>
      <c r="RNA88" s="587" t="n"/>
      <c r="RNB88" s="587" t="n"/>
      <c r="RNC88" s="587" t="n"/>
      <c r="RND88" s="587" t="n"/>
      <c r="RNE88" s="587" t="n"/>
      <c r="RNF88" s="587" t="n"/>
      <c r="RNG88" s="587" t="n"/>
      <c r="RNH88" s="587" t="n"/>
      <c r="RNI88" s="587" t="n"/>
      <c r="RNJ88" s="587" t="n"/>
      <c r="RNK88" s="587" t="n"/>
      <c r="RNL88" s="587" t="n"/>
      <c r="RNM88" s="587" t="n"/>
      <c r="RNN88" s="587" t="n"/>
      <c r="RNO88" s="587" t="n"/>
      <c r="RNP88" s="587" t="n"/>
      <c r="RNQ88" s="587" t="n"/>
      <c r="RNR88" s="587" t="n"/>
      <c r="RNS88" s="587" t="n"/>
      <c r="RNT88" s="587" t="n"/>
      <c r="RNU88" s="587" t="n"/>
      <c r="RNV88" s="587" t="n"/>
      <c r="RNW88" s="587" t="n"/>
      <c r="RNX88" s="587" t="n"/>
      <c r="RNY88" s="587" t="n"/>
      <c r="RNZ88" s="587" t="n"/>
      <c r="ROA88" s="587" t="n"/>
      <c r="ROB88" s="587" t="n"/>
      <c r="ROC88" s="587" t="n"/>
      <c r="ROD88" s="587" t="n"/>
      <c r="ROE88" s="587" t="n"/>
      <c r="ROF88" s="587" t="n"/>
      <c r="ROG88" s="587" t="n"/>
      <c r="ROH88" s="587" t="n"/>
      <c r="ROI88" s="587" t="n"/>
      <c r="ROJ88" s="587" t="n"/>
      <c r="ROK88" s="587" t="n"/>
      <c r="ROL88" s="587" t="n"/>
      <c r="ROM88" s="587" t="n"/>
      <c r="RON88" s="587" t="n"/>
      <c r="ROO88" s="587" t="n"/>
      <c r="ROP88" s="587" t="n"/>
      <c r="ROQ88" s="587" t="n"/>
      <c r="ROR88" s="587" t="n"/>
      <c r="ROS88" s="587" t="n"/>
      <c r="ROT88" s="587" t="n"/>
      <c r="ROU88" s="587" t="n"/>
      <c r="ROV88" s="587" t="n"/>
      <c r="ROW88" s="587" t="n"/>
      <c r="ROX88" s="587" t="n"/>
      <c r="ROY88" s="587" t="n"/>
      <c r="ROZ88" s="587" t="n"/>
      <c r="RPA88" s="587" t="n"/>
      <c r="RPB88" s="587" t="n"/>
      <c r="RPC88" s="587" t="n"/>
      <c r="RPD88" s="587" t="n"/>
      <c r="RPE88" s="587" t="n"/>
      <c r="RPF88" s="587" t="n"/>
      <c r="RPG88" s="587" t="n"/>
      <c r="RPH88" s="587" t="n"/>
      <c r="RPI88" s="587" t="n"/>
      <c r="RPJ88" s="587" t="n"/>
      <c r="RPK88" s="587" t="n"/>
      <c r="RPL88" s="587" t="n"/>
      <c r="RPM88" s="587" t="n"/>
      <c r="RPN88" s="587" t="n"/>
      <c r="RPO88" s="587" t="n"/>
      <c r="RPP88" s="587" t="n"/>
      <c r="RPQ88" s="587" t="n"/>
      <c r="RPR88" s="587" t="n"/>
      <c r="RPS88" s="587" t="n"/>
      <c r="RPT88" s="587" t="n"/>
      <c r="RPU88" s="587" t="n"/>
      <c r="RPV88" s="587" t="n"/>
      <c r="RPW88" s="587" t="n"/>
      <c r="RPX88" s="587" t="n"/>
      <c r="RPY88" s="587" t="n"/>
      <c r="RPZ88" s="587" t="n"/>
      <c r="RQA88" s="587" t="n"/>
      <c r="RQB88" s="587" t="n"/>
      <c r="RQC88" s="587" t="n"/>
      <c r="RQD88" s="587" t="n"/>
      <c r="RQE88" s="587" t="n"/>
      <c r="RQF88" s="587" t="n"/>
      <c r="RQG88" s="587" t="n"/>
      <c r="RQH88" s="587" t="n"/>
      <c r="RQI88" s="587" t="n"/>
      <c r="RQJ88" s="587" t="n"/>
      <c r="RQK88" s="587" t="n"/>
      <c r="RQL88" s="587" t="n"/>
      <c r="RQM88" s="587" t="n"/>
      <c r="RQN88" s="587" t="n"/>
      <c r="RQO88" s="587" t="n"/>
      <c r="RQP88" s="587" t="n"/>
      <c r="RQQ88" s="587" t="n"/>
      <c r="RQR88" s="587" t="n"/>
      <c r="RQS88" s="587" t="n"/>
      <c r="RQT88" s="587" t="n"/>
      <c r="RQU88" s="587" t="n"/>
      <c r="RQV88" s="587" t="n"/>
      <c r="RQW88" s="587" t="n"/>
      <c r="RQX88" s="587" t="n"/>
      <c r="RQY88" s="587" t="n"/>
      <c r="RQZ88" s="587" t="n"/>
      <c r="RRA88" s="587" t="n"/>
      <c r="RRB88" s="587" t="n"/>
      <c r="RRC88" s="587" t="n"/>
      <c r="RRD88" s="587" t="n"/>
      <c r="RRE88" s="587" t="n"/>
      <c r="RRF88" s="587" t="n"/>
      <c r="RRG88" s="587" t="n"/>
      <c r="RRH88" s="587" t="n"/>
      <c r="RRI88" s="587" t="n"/>
      <c r="RRJ88" s="587" t="n"/>
      <c r="RRK88" s="587" t="n"/>
      <c r="RRL88" s="587" t="n"/>
      <c r="RRM88" s="587" t="n"/>
      <c r="RRN88" s="587" t="n"/>
      <c r="RRO88" s="587" t="n"/>
      <c r="RRP88" s="587" t="n"/>
      <c r="RRQ88" s="587" t="n"/>
      <c r="RRR88" s="587" t="n"/>
      <c r="RRS88" s="587" t="n"/>
      <c r="RRT88" s="587" t="n"/>
      <c r="RRU88" s="587" t="n"/>
      <c r="RRV88" s="587" t="n"/>
      <c r="RRW88" s="587" t="n"/>
      <c r="RRX88" s="587" t="n"/>
      <c r="RRY88" s="587" t="n"/>
      <c r="RRZ88" s="587" t="n"/>
      <c r="RSA88" s="587" t="n"/>
      <c r="RSB88" s="587" t="n"/>
      <c r="RSC88" s="587" t="n"/>
      <c r="RSD88" s="587" t="n"/>
      <c r="RSE88" s="587" t="n"/>
      <c r="RSF88" s="587" t="n"/>
      <c r="RSG88" s="587" t="n"/>
      <c r="RSH88" s="587" t="n"/>
      <c r="RSI88" s="587" t="n"/>
      <c r="RSJ88" s="587" t="n"/>
      <c r="RSK88" s="587" t="n"/>
      <c r="RSL88" s="587" t="n"/>
      <c r="RSM88" s="587" t="n"/>
      <c r="RSN88" s="587" t="n"/>
      <c r="RSO88" s="587" t="n"/>
      <c r="RSP88" s="587" t="n"/>
      <c r="RSQ88" s="587" t="n"/>
      <c r="RSR88" s="587" t="n"/>
      <c r="RSS88" s="587" t="n"/>
      <c r="RST88" s="587" t="n"/>
      <c r="RSU88" s="587" t="n"/>
      <c r="RSV88" s="587" t="n"/>
      <c r="RSW88" s="587" t="n"/>
      <c r="RSX88" s="587" t="n"/>
      <c r="RSY88" s="587" t="n"/>
      <c r="RSZ88" s="587" t="n"/>
      <c r="RTA88" s="587" t="n"/>
      <c r="RTB88" s="587" t="n"/>
      <c r="RTC88" s="587" t="n"/>
      <c r="RTD88" s="587" t="n"/>
      <c r="RTE88" s="587" t="n"/>
      <c r="RTF88" s="587" t="n"/>
      <c r="RTG88" s="587" t="n"/>
      <c r="RTH88" s="587" t="n"/>
      <c r="RTI88" s="587" t="n"/>
      <c r="RTJ88" s="587" t="n"/>
      <c r="RTK88" s="587" t="n"/>
      <c r="RTL88" s="587" t="n"/>
      <c r="RTM88" s="587" t="n"/>
      <c r="RTN88" s="587" t="n"/>
      <c r="RTO88" s="587" t="n"/>
      <c r="RTP88" s="587" t="n"/>
      <c r="RTQ88" s="587" t="n"/>
      <c r="RTR88" s="587" t="n"/>
      <c r="RTS88" s="587" t="n"/>
      <c r="RTT88" s="587" t="n"/>
      <c r="RTU88" s="587" t="n"/>
      <c r="RTV88" s="587" t="n"/>
      <c r="RTW88" s="587" t="n"/>
      <c r="RTX88" s="587" t="n"/>
      <c r="RTY88" s="587" t="n"/>
      <c r="RTZ88" s="587" t="n"/>
      <c r="RUA88" s="587" t="n"/>
      <c r="RUB88" s="587" t="n"/>
      <c r="RUC88" s="587" t="n"/>
      <c r="RUD88" s="587" t="n"/>
      <c r="RUE88" s="587" t="n"/>
      <c r="RUF88" s="587" t="n"/>
      <c r="RUG88" s="587" t="n"/>
      <c r="RUH88" s="587" t="n"/>
      <c r="RUI88" s="587" t="n"/>
      <c r="RUJ88" s="587" t="n"/>
      <c r="RUK88" s="587" t="n"/>
      <c r="RUL88" s="587" t="n"/>
      <c r="RUM88" s="587" t="n"/>
      <c r="RUN88" s="587" t="n"/>
      <c r="RUO88" s="587" t="n"/>
      <c r="RUP88" s="587" t="n"/>
      <c r="RUQ88" s="587" t="n"/>
      <c r="RUR88" s="587" t="n"/>
      <c r="RUS88" s="587" t="n"/>
      <c r="RUT88" s="587" t="n"/>
      <c r="RUU88" s="587" t="n"/>
      <c r="RUV88" s="587" t="n"/>
      <c r="RUW88" s="587" t="n"/>
      <c r="RUX88" s="587" t="n"/>
      <c r="RUY88" s="587" t="n"/>
      <c r="RUZ88" s="587" t="n"/>
      <c r="RVA88" s="587" t="n"/>
      <c r="RVB88" s="587" t="n"/>
      <c r="RVC88" s="587" t="n"/>
      <c r="RVD88" s="587" t="n"/>
      <c r="RVE88" s="587" t="n"/>
      <c r="RVF88" s="587" t="n"/>
      <c r="RVG88" s="587" t="n"/>
      <c r="RVH88" s="587" t="n"/>
      <c r="RVI88" s="587" t="n"/>
      <c r="RVJ88" s="587" t="n"/>
      <c r="RVK88" s="587" t="n"/>
      <c r="RVL88" s="587" t="n"/>
      <c r="RVM88" s="587" t="n"/>
      <c r="RVN88" s="587" t="n"/>
      <c r="RVO88" s="587" t="n"/>
      <c r="RVP88" s="587" t="n"/>
      <c r="RVQ88" s="587" t="n"/>
      <c r="RVR88" s="587" t="n"/>
      <c r="RVS88" s="587" t="n"/>
      <c r="RVT88" s="587" t="n"/>
      <c r="RVU88" s="587" t="n"/>
      <c r="RVV88" s="587" t="n"/>
      <c r="RVW88" s="587" t="n"/>
      <c r="RVX88" s="587" t="n"/>
      <c r="RVY88" s="587" t="n"/>
      <c r="RVZ88" s="587" t="n"/>
      <c r="RWA88" s="587" t="n"/>
      <c r="RWB88" s="587" t="n"/>
      <c r="RWC88" s="587" t="n"/>
      <c r="RWD88" s="587" t="n"/>
      <c r="RWE88" s="587" t="n"/>
      <c r="RWF88" s="587" t="n"/>
      <c r="RWG88" s="587" t="n"/>
      <c r="RWH88" s="587" t="n"/>
      <c r="RWI88" s="587" t="n"/>
      <c r="RWJ88" s="587" t="n"/>
      <c r="RWK88" s="587" t="n"/>
      <c r="RWL88" s="587" t="n"/>
      <c r="RWM88" s="587" t="n"/>
      <c r="RWN88" s="587" t="n"/>
      <c r="RWO88" s="587" t="n"/>
      <c r="RWP88" s="587" t="n"/>
      <c r="RWQ88" s="587" t="n"/>
      <c r="RWR88" s="587" t="n"/>
      <c r="RWS88" s="587" t="n"/>
      <c r="RWT88" s="587" t="n"/>
      <c r="RWU88" s="587" t="n"/>
      <c r="RWV88" s="587" t="n"/>
      <c r="RWW88" s="587" t="n"/>
      <c r="RWX88" s="587" t="n"/>
      <c r="RWY88" s="587" t="n"/>
      <c r="RWZ88" s="587" t="n"/>
      <c r="RXA88" s="587" t="n"/>
      <c r="RXB88" s="587" t="n"/>
      <c r="RXC88" s="587" t="n"/>
      <c r="RXD88" s="587" t="n"/>
      <c r="RXE88" s="587" t="n"/>
      <c r="RXF88" s="587" t="n"/>
      <c r="RXG88" s="587" t="n"/>
      <c r="RXH88" s="587" t="n"/>
      <c r="RXI88" s="587" t="n"/>
      <c r="RXJ88" s="587" t="n"/>
      <c r="RXK88" s="587" t="n"/>
      <c r="RXL88" s="587" t="n"/>
      <c r="RXM88" s="587" t="n"/>
      <c r="RXN88" s="587" t="n"/>
      <c r="RXO88" s="587" t="n"/>
      <c r="RXP88" s="587" t="n"/>
      <c r="RXQ88" s="587" t="n"/>
      <c r="RXR88" s="587" t="n"/>
      <c r="RXS88" s="587" t="n"/>
      <c r="RXT88" s="587" t="n"/>
      <c r="RXU88" s="587" t="n"/>
      <c r="RXV88" s="587" t="n"/>
      <c r="RXW88" s="587" t="n"/>
      <c r="RXX88" s="587" t="n"/>
      <c r="RXY88" s="587" t="n"/>
      <c r="RXZ88" s="587" t="n"/>
      <c r="RYA88" s="587" t="n"/>
      <c r="RYB88" s="587" t="n"/>
      <c r="RYC88" s="587" t="n"/>
      <c r="RYD88" s="587" t="n"/>
      <c r="RYE88" s="587" t="n"/>
      <c r="RYF88" s="587" t="n"/>
      <c r="RYG88" s="587" t="n"/>
      <c r="RYH88" s="587" t="n"/>
      <c r="RYI88" s="587" t="n"/>
      <c r="RYJ88" s="587" t="n"/>
      <c r="RYK88" s="587" t="n"/>
      <c r="RYL88" s="587" t="n"/>
      <c r="RYM88" s="587" t="n"/>
      <c r="RYN88" s="587" t="n"/>
      <c r="RYO88" s="587" t="n"/>
      <c r="RYP88" s="587" t="n"/>
      <c r="RYQ88" s="587" t="n"/>
      <c r="RYR88" s="587" t="n"/>
      <c r="RYS88" s="587" t="n"/>
      <c r="RYT88" s="587" t="n"/>
      <c r="RYU88" s="587" t="n"/>
      <c r="RYV88" s="587" t="n"/>
      <c r="RYW88" s="587" t="n"/>
      <c r="RYX88" s="587" t="n"/>
      <c r="RYY88" s="587" t="n"/>
      <c r="RYZ88" s="587" t="n"/>
      <c r="RZA88" s="587" t="n"/>
      <c r="RZB88" s="587" t="n"/>
      <c r="RZC88" s="587" t="n"/>
      <c r="RZD88" s="587" t="n"/>
      <c r="RZE88" s="587" t="n"/>
      <c r="RZF88" s="587" t="n"/>
      <c r="RZG88" s="587" t="n"/>
      <c r="RZH88" s="587" t="n"/>
      <c r="RZI88" s="587" t="n"/>
      <c r="RZJ88" s="587" t="n"/>
      <c r="RZK88" s="587" t="n"/>
      <c r="RZL88" s="587" t="n"/>
      <c r="RZM88" s="587" t="n"/>
      <c r="RZN88" s="587" t="n"/>
      <c r="RZO88" s="587" t="n"/>
      <c r="RZP88" s="587" t="n"/>
      <c r="RZQ88" s="587" t="n"/>
      <c r="RZR88" s="587" t="n"/>
      <c r="RZS88" s="587" t="n"/>
      <c r="RZT88" s="587" t="n"/>
      <c r="RZU88" s="587" t="n"/>
      <c r="RZV88" s="587" t="n"/>
      <c r="RZW88" s="587" t="n"/>
      <c r="RZX88" s="587" t="n"/>
      <c r="RZY88" s="587" t="n"/>
      <c r="RZZ88" s="587" t="n"/>
      <c r="SAA88" s="587" t="n"/>
      <c r="SAB88" s="587" t="n"/>
      <c r="SAC88" s="587" t="n"/>
      <c r="SAD88" s="587" t="n"/>
      <c r="SAE88" s="587" t="n"/>
      <c r="SAF88" s="587" t="n"/>
      <c r="SAG88" s="587" t="n"/>
      <c r="SAH88" s="587" t="n"/>
      <c r="SAI88" s="587" t="n"/>
      <c r="SAJ88" s="587" t="n"/>
      <c r="SAK88" s="587" t="n"/>
      <c r="SAL88" s="587" t="n"/>
      <c r="SAM88" s="587" t="n"/>
      <c r="SAN88" s="587" t="n"/>
      <c r="SAO88" s="587" t="n"/>
      <c r="SAP88" s="587" t="n"/>
      <c r="SAQ88" s="587" t="n"/>
      <c r="SAR88" s="587" t="n"/>
      <c r="SAS88" s="587" t="n"/>
      <c r="SAT88" s="587" t="n"/>
      <c r="SAU88" s="587" t="n"/>
      <c r="SAV88" s="587" t="n"/>
      <c r="SAW88" s="587" t="n"/>
      <c r="SAX88" s="587" t="n"/>
      <c r="SAY88" s="587" t="n"/>
      <c r="SAZ88" s="587" t="n"/>
      <c r="SBA88" s="587" t="n"/>
      <c r="SBB88" s="587" t="n"/>
      <c r="SBC88" s="587" t="n"/>
      <c r="SBD88" s="587" t="n"/>
      <c r="SBE88" s="587" t="n"/>
      <c r="SBF88" s="587" t="n"/>
      <c r="SBG88" s="587" t="n"/>
      <c r="SBH88" s="587" t="n"/>
      <c r="SBI88" s="587" t="n"/>
      <c r="SBJ88" s="587" t="n"/>
      <c r="SBK88" s="587" t="n"/>
      <c r="SBL88" s="587" t="n"/>
      <c r="SBM88" s="587" t="n"/>
      <c r="SBN88" s="587" t="n"/>
      <c r="SBO88" s="587" t="n"/>
      <c r="SBP88" s="587" t="n"/>
      <c r="SBQ88" s="587" t="n"/>
      <c r="SBR88" s="587" t="n"/>
      <c r="SBS88" s="587" t="n"/>
      <c r="SBT88" s="587" t="n"/>
      <c r="SBU88" s="587" t="n"/>
      <c r="SBV88" s="587" t="n"/>
      <c r="SBW88" s="587" t="n"/>
      <c r="SBX88" s="587" t="n"/>
      <c r="SBY88" s="587" t="n"/>
      <c r="SBZ88" s="587" t="n"/>
      <c r="SCA88" s="587" t="n"/>
      <c r="SCB88" s="587" t="n"/>
      <c r="SCC88" s="587" t="n"/>
      <c r="SCD88" s="587" t="n"/>
      <c r="SCE88" s="587" t="n"/>
      <c r="SCF88" s="587" t="n"/>
      <c r="SCG88" s="587" t="n"/>
      <c r="SCH88" s="587" t="n"/>
      <c r="SCI88" s="587" t="n"/>
      <c r="SCJ88" s="587" t="n"/>
      <c r="SCK88" s="587" t="n"/>
      <c r="SCL88" s="587" t="n"/>
      <c r="SCM88" s="587" t="n"/>
      <c r="SCN88" s="587" t="n"/>
      <c r="SCO88" s="587" t="n"/>
      <c r="SCP88" s="587" t="n"/>
      <c r="SCQ88" s="587" t="n"/>
      <c r="SCR88" s="587" t="n"/>
      <c r="SCS88" s="587" t="n"/>
      <c r="SCT88" s="587" t="n"/>
      <c r="SCU88" s="587" t="n"/>
      <c r="SCV88" s="587" t="n"/>
      <c r="SCW88" s="587" t="n"/>
      <c r="SCX88" s="587" t="n"/>
      <c r="SCY88" s="587" t="n"/>
      <c r="SCZ88" s="587" t="n"/>
      <c r="SDA88" s="587" t="n"/>
      <c r="SDB88" s="587" t="n"/>
      <c r="SDC88" s="587" t="n"/>
      <c r="SDD88" s="587" t="n"/>
      <c r="SDE88" s="587" t="n"/>
      <c r="SDF88" s="587" t="n"/>
      <c r="SDG88" s="587" t="n"/>
      <c r="SDH88" s="587" t="n"/>
      <c r="SDI88" s="587" t="n"/>
      <c r="SDJ88" s="587" t="n"/>
      <c r="SDK88" s="587" t="n"/>
      <c r="SDL88" s="587" t="n"/>
      <c r="SDM88" s="587" t="n"/>
      <c r="SDN88" s="587" t="n"/>
      <c r="SDO88" s="587" t="n"/>
      <c r="SDP88" s="587" t="n"/>
      <c r="SDQ88" s="587" t="n"/>
      <c r="SDR88" s="587" t="n"/>
      <c r="SDS88" s="587" t="n"/>
      <c r="SDT88" s="587" t="n"/>
      <c r="SDU88" s="587" t="n"/>
      <c r="SDV88" s="587" t="n"/>
      <c r="SDW88" s="587" t="n"/>
      <c r="SDX88" s="587" t="n"/>
      <c r="SDY88" s="587" t="n"/>
      <c r="SDZ88" s="587" t="n"/>
      <c r="SEA88" s="587" t="n"/>
      <c r="SEB88" s="587" t="n"/>
      <c r="SEC88" s="587" t="n"/>
      <c r="SED88" s="587" t="n"/>
      <c r="SEE88" s="587" t="n"/>
      <c r="SEF88" s="587" t="n"/>
      <c r="SEG88" s="587" t="n"/>
      <c r="SEH88" s="587" t="n"/>
      <c r="SEI88" s="587" t="n"/>
      <c r="SEJ88" s="587" t="n"/>
      <c r="SEK88" s="587" t="n"/>
      <c r="SEL88" s="587" t="n"/>
      <c r="SEM88" s="587" t="n"/>
      <c r="SEN88" s="587" t="n"/>
      <c r="SEO88" s="587" t="n"/>
      <c r="SEP88" s="587" t="n"/>
      <c r="SEQ88" s="587" t="n"/>
      <c r="SER88" s="587" t="n"/>
      <c r="SES88" s="587" t="n"/>
      <c r="SET88" s="587" t="n"/>
      <c r="SEU88" s="587" t="n"/>
      <c r="SEV88" s="587" t="n"/>
      <c r="SEW88" s="587" t="n"/>
      <c r="SEX88" s="587" t="n"/>
      <c r="SEY88" s="587" t="n"/>
      <c r="SEZ88" s="587" t="n"/>
      <c r="SFA88" s="587" t="n"/>
      <c r="SFB88" s="587" t="n"/>
      <c r="SFC88" s="587" t="n"/>
      <c r="SFD88" s="587" t="n"/>
      <c r="SFE88" s="587" t="n"/>
      <c r="SFF88" s="587" t="n"/>
      <c r="SFG88" s="587" t="n"/>
      <c r="SFH88" s="587" t="n"/>
      <c r="SFI88" s="587" t="n"/>
      <c r="SFJ88" s="587" t="n"/>
      <c r="SFK88" s="587" t="n"/>
      <c r="SFL88" s="587" t="n"/>
      <c r="SFM88" s="587" t="n"/>
      <c r="SFN88" s="587" t="n"/>
      <c r="SFO88" s="587" t="n"/>
      <c r="SFP88" s="587" t="n"/>
      <c r="SFQ88" s="587" t="n"/>
      <c r="SFR88" s="587" t="n"/>
      <c r="SFS88" s="587" t="n"/>
      <c r="SFT88" s="587" t="n"/>
      <c r="SFU88" s="587" t="n"/>
      <c r="SFV88" s="587" t="n"/>
      <c r="SFW88" s="587" t="n"/>
      <c r="SFX88" s="587" t="n"/>
      <c r="SFY88" s="587" t="n"/>
      <c r="SFZ88" s="587" t="n"/>
      <c r="SGA88" s="587" t="n"/>
      <c r="SGB88" s="587" t="n"/>
      <c r="SGC88" s="587" t="n"/>
      <c r="SGD88" s="587" t="n"/>
      <c r="SGE88" s="587" t="n"/>
      <c r="SGF88" s="587" t="n"/>
      <c r="SGG88" s="587" t="n"/>
      <c r="SGH88" s="587" t="n"/>
      <c r="SGI88" s="587" t="n"/>
      <c r="SGJ88" s="587" t="n"/>
      <c r="SGK88" s="587" t="n"/>
      <c r="SGL88" s="587" t="n"/>
      <c r="SGM88" s="587" t="n"/>
      <c r="SGN88" s="587" t="n"/>
      <c r="SGO88" s="587" t="n"/>
      <c r="SGP88" s="587" t="n"/>
      <c r="SGQ88" s="587" t="n"/>
      <c r="SGR88" s="587" t="n"/>
      <c r="SGS88" s="587" t="n"/>
      <c r="SGT88" s="587" t="n"/>
      <c r="SGU88" s="587" t="n"/>
      <c r="SGV88" s="587" t="n"/>
      <c r="SGW88" s="587" t="n"/>
      <c r="SGX88" s="587" t="n"/>
      <c r="SGY88" s="587" t="n"/>
      <c r="SGZ88" s="587" t="n"/>
      <c r="SHA88" s="587" t="n"/>
      <c r="SHB88" s="587" t="n"/>
      <c r="SHC88" s="587" t="n"/>
      <c r="SHD88" s="587" t="n"/>
      <c r="SHE88" s="587" t="n"/>
      <c r="SHF88" s="587" t="n"/>
      <c r="SHG88" s="587" t="n"/>
      <c r="SHH88" s="587" t="n"/>
      <c r="SHI88" s="587" t="n"/>
      <c r="SHJ88" s="587" t="n"/>
      <c r="SHK88" s="587" t="n"/>
      <c r="SHL88" s="587" t="n"/>
      <c r="SHM88" s="587" t="n"/>
      <c r="SHN88" s="587" t="n"/>
      <c r="SHO88" s="587" t="n"/>
      <c r="SHP88" s="587" t="n"/>
      <c r="SHQ88" s="587" t="n"/>
      <c r="SHR88" s="587" t="n"/>
      <c r="SHS88" s="587" t="n"/>
      <c r="SHT88" s="587" t="n"/>
      <c r="SHU88" s="587" t="n"/>
      <c r="SHV88" s="587" t="n"/>
      <c r="SHW88" s="587" t="n"/>
      <c r="SHX88" s="587" t="n"/>
      <c r="SHY88" s="587" t="n"/>
      <c r="SHZ88" s="587" t="n"/>
      <c r="SIA88" s="587" t="n"/>
      <c r="SIB88" s="587" t="n"/>
      <c r="SIC88" s="587" t="n"/>
      <c r="SID88" s="587" t="n"/>
      <c r="SIE88" s="587" t="n"/>
      <c r="SIF88" s="587" t="n"/>
      <c r="SIG88" s="587" t="n"/>
      <c r="SIH88" s="587" t="n"/>
      <c r="SII88" s="587" t="n"/>
      <c r="SIJ88" s="587" t="n"/>
      <c r="SIK88" s="587" t="n"/>
      <c r="SIL88" s="587" t="n"/>
      <c r="SIM88" s="587" t="n"/>
      <c r="SIN88" s="587" t="n"/>
      <c r="SIO88" s="587" t="n"/>
      <c r="SIP88" s="587" t="n"/>
      <c r="SIQ88" s="587" t="n"/>
      <c r="SIR88" s="587" t="n"/>
      <c r="SIS88" s="587" t="n"/>
      <c r="SIT88" s="587" t="n"/>
      <c r="SIU88" s="587" t="n"/>
      <c r="SIV88" s="587" t="n"/>
      <c r="SIW88" s="587" t="n"/>
      <c r="SIX88" s="587" t="n"/>
      <c r="SIY88" s="587" t="n"/>
      <c r="SIZ88" s="587" t="n"/>
      <c r="SJA88" s="587" t="n"/>
      <c r="SJB88" s="587" t="n"/>
      <c r="SJC88" s="587" t="n"/>
      <c r="SJD88" s="587" t="n"/>
      <c r="SJE88" s="587" t="n"/>
      <c r="SJF88" s="587" t="n"/>
      <c r="SJG88" s="587" t="n"/>
      <c r="SJH88" s="587" t="n"/>
      <c r="SJI88" s="587" t="n"/>
      <c r="SJJ88" s="587" t="n"/>
      <c r="SJK88" s="587" t="n"/>
      <c r="SJL88" s="587" t="n"/>
      <c r="SJM88" s="587" t="n"/>
      <c r="SJN88" s="587" t="n"/>
      <c r="SJO88" s="587" t="n"/>
      <c r="SJP88" s="587" t="n"/>
      <c r="SJQ88" s="587" t="n"/>
      <c r="SJR88" s="587" t="n"/>
      <c r="SJS88" s="587" t="n"/>
      <c r="SJT88" s="587" t="n"/>
      <c r="SJU88" s="587" t="n"/>
      <c r="SJV88" s="587" t="n"/>
      <c r="SJW88" s="587" t="n"/>
      <c r="SJX88" s="587" t="n"/>
      <c r="SJY88" s="587" t="n"/>
      <c r="SJZ88" s="587" t="n"/>
      <c r="SKA88" s="587" t="n"/>
      <c r="SKB88" s="587" t="n"/>
      <c r="SKC88" s="587" t="n"/>
      <c r="SKD88" s="587" t="n"/>
      <c r="SKE88" s="587" t="n"/>
      <c r="SKF88" s="587" t="n"/>
      <c r="SKG88" s="587" t="n"/>
      <c r="SKH88" s="587" t="n"/>
      <c r="SKI88" s="587" t="n"/>
      <c r="SKJ88" s="587" t="n"/>
      <c r="SKK88" s="587" t="n"/>
      <c r="SKL88" s="587" t="n"/>
      <c r="SKM88" s="587" t="n"/>
      <c r="SKN88" s="587" t="n"/>
      <c r="SKO88" s="587" t="n"/>
      <c r="SKP88" s="587" t="n"/>
      <c r="SKQ88" s="587" t="n"/>
      <c r="SKR88" s="587" t="n"/>
      <c r="SKS88" s="587" t="n"/>
      <c r="SKT88" s="587" t="n"/>
      <c r="SKU88" s="587" t="n"/>
      <c r="SKV88" s="587" t="n"/>
      <c r="SKW88" s="587" t="n"/>
      <c r="SKX88" s="587" t="n"/>
      <c r="SKY88" s="587" t="n"/>
      <c r="SKZ88" s="587" t="n"/>
      <c r="SLA88" s="587" t="n"/>
      <c r="SLB88" s="587" t="n"/>
      <c r="SLC88" s="587" t="n"/>
      <c r="SLD88" s="587" t="n"/>
      <c r="SLE88" s="587" t="n"/>
      <c r="SLF88" s="587" t="n"/>
      <c r="SLG88" s="587" t="n"/>
      <c r="SLH88" s="587" t="n"/>
      <c r="SLI88" s="587" t="n"/>
      <c r="SLJ88" s="587" t="n"/>
      <c r="SLK88" s="587" t="n"/>
      <c r="SLL88" s="587" t="n"/>
      <c r="SLM88" s="587" t="n"/>
      <c r="SLN88" s="587" t="n"/>
      <c r="SLO88" s="587" t="n"/>
      <c r="SLP88" s="587" t="n"/>
      <c r="SLQ88" s="587" t="n"/>
      <c r="SLR88" s="587" t="n"/>
      <c r="SLS88" s="587" t="n"/>
      <c r="SLT88" s="587" t="n"/>
      <c r="SLU88" s="587" t="n"/>
      <c r="SLV88" s="587" t="n"/>
      <c r="SLW88" s="587" t="n"/>
      <c r="SLX88" s="587" t="n"/>
      <c r="SLY88" s="587" t="n"/>
      <c r="SLZ88" s="587" t="n"/>
      <c r="SMA88" s="587" t="n"/>
      <c r="SMB88" s="587" t="n"/>
      <c r="SMC88" s="587" t="n"/>
      <c r="SMD88" s="587" t="n"/>
      <c r="SME88" s="587" t="n"/>
      <c r="SMF88" s="587" t="n"/>
      <c r="SMG88" s="587" t="n"/>
      <c r="SMH88" s="587" t="n"/>
      <c r="SMI88" s="587" t="n"/>
      <c r="SMJ88" s="587" t="n"/>
      <c r="SMK88" s="587" t="n"/>
      <c r="SML88" s="587" t="n"/>
      <c r="SMM88" s="587" t="n"/>
      <c r="SMN88" s="587" t="n"/>
      <c r="SMO88" s="587" t="n"/>
      <c r="SMP88" s="587" t="n"/>
      <c r="SMQ88" s="587" t="n"/>
      <c r="SMR88" s="587" t="n"/>
      <c r="SMS88" s="587" t="n"/>
      <c r="SMT88" s="587" t="n"/>
      <c r="SMU88" s="587" t="n"/>
      <c r="SMV88" s="587" t="n"/>
      <c r="SMW88" s="587" t="n"/>
      <c r="SMX88" s="587" t="n"/>
      <c r="SMY88" s="587" t="n"/>
      <c r="SMZ88" s="587" t="n"/>
      <c r="SNA88" s="587" t="n"/>
      <c r="SNB88" s="587" t="n"/>
      <c r="SNC88" s="587" t="n"/>
      <c r="SND88" s="587" t="n"/>
      <c r="SNE88" s="587" t="n"/>
      <c r="SNF88" s="587" t="n"/>
      <c r="SNG88" s="587" t="n"/>
      <c r="SNH88" s="587" t="n"/>
      <c r="SNI88" s="587" t="n"/>
      <c r="SNJ88" s="587" t="n"/>
      <c r="SNK88" s="587" t="n"/>
      <c r="SNL88" s="587" t="n"/>
      <c r="SNM88" s="587" t="n"/>
      <c r="SNN88" s="587" t="n"/>
      <c r="SNO88" s="587" t="n"/>
      <c r="SNP88" s="587" t="n"/>
      <c r="SNQ88" s="587" t="n"/>
      <c r="SNR88" s="587" t="n"/>
      <c r="SNS88" s="587" t="n"/>
      <c r="SNT88" s="587" t="n"/>
      <c r="SNU88" s="587" t="n"/>
      <c r="SNV88" s="587" t="n"/>
      <c r="SNW88" s="587" t="n"/>
      <c r="SNX88" s="587" t="n"/>
      <c r="SNY88" s="587" t="n"/>
      <c r="SNZ88" s="587" t="n"/>
      <c r="SOA88" s="587" t="n"/>
      <c r="SOB88" s="587" t="n"/>
      <c r="SOC88" s="587" t="n"/>
      <c r="SOD88" s="587" t="n"/>
      <c r="SOE88" s="587" t="n"/>
      <c r="SOF88" s="587" t="n"/>
      <c r="SOG88" s="587" t="n"/>
      <c r="SOH88" s="587" t="n"/>
      <c r="SOI88" s="587" t="n"/>
      <c r="SOJ88" s="587" t="n"/>
      <c r="SOK88" s="587" t="n"/>
      <c r="SOL88" s="587" t="n"/>
      <c r="SOM88" s="587" t="n"/>
      <c r="SON88" s="587" t="n"/>
      <c r="SOO88" s="587" t="n"/>
      <c r="SOP88" s="587" t="n"/>
      <c r="SOQ88" s="587" t="n"/>
      <c r="SOR88" s="587" t="n"/>
      <c r="SOS88" s="587" t="n"/>
      <c r="SOT88" s="587" t="n"/>
      <c r="SOU88" s="587" t="n"/>
      <c r="SOV88" s="587" t="n"/>
      <c r="SOW88" s="587" t="n"/>
      <c r="SOX88" s="587" t="n"/>
      <c r="SOY88" s="587" t="n"/>
      <c r="SOZ88" s="587" t="n"/>
      <c r="SPA88" s="587" t="n"/>
      <c r="SPB88" s="587" t="n"/>
      <c r="SPC88" s="587" t="n"/>
      <c r="SPD88" s="587" t="n"/>
      <c r="SPE88" s="587" t="n"/>
      <c r="SPF88" s="587" t="n"/>
      <c r="SPG88" s="587" t="n"/>
      <c r="SPH88" s="587" t="n"/>
      <c r="SPI88" s="587" t="n"/>
      <c r="SPJ88" s="587" t="n"/>
      <c r="SPK88" s="587" t="n"/>
      <c r="SPL88" s="587" t="n"/>
      <c r="SPM88" s="587" t="n"/>
      <c r="SPN88" s="587" t="n"/>
      <c r="SPO88" s="587" t="n"/>
      <c r="SPP88" s="587" t="n"/>
      <c r="SPQ88" s="587" t="n"/>
      <c r="SPR88" s="587" t="n"/>
      <c r="SPS88" s="587" t="n"/>
      <c r="SPT88" s="587" t="n"/>
      <c r="SPU88" s="587" t="n"/>
      <c r="SPV88" s="587" t="n"/>
      <c r="SPW88" s="587" t="n"/>
      <c r="SPX88" s="587" t="n"/>
      <c r="SPY88" s="587" t="n"/>
      <c r="SPZ88" s="587" t="n"/>
      <c r="SQA88" s="587" t="n"/>
      <c r="SQB88" s="587" t="n"/>
      <c r="SQC88" s="587" t="n"/>
      <c r="SQD88" s="587" t="n"/>
      <c r="SQE88" s="587" t="n"/>
      <c r="SQF88" s="587" t="n"/>
      <c r="SQG88" s="587" t="n"/>
      <c r="SQH88" s="587" t="n"/>
      <c r="SQI88" s="587" t="n"/>
      <c r="SQJ88" s="587" t="n"/>
      <c r="SQK88" s="587" t="n"/>
      <c r="SQL88" s="587" t="n"/>
      <c r="SQM88" s="587" t="n"/>
      <c r="SQN88" s="587" t="n"/>
      <c r="SQO88" s="587" t="n"/>
      <c r="SQP88" s="587" t="n"/>
      <c r="SQQ88" s="587" t="n"/>
      <c r="SQR88" s="587" t="n"/>
      <c r="SQS88" s="587" t="n"/>
      <c r="SQT88" s="587" t="n"/>
      <c r="SQU88" s="587" t="n"/>
      <c r="SQV88" s="587" t="n"/>
      <c r="SQW88" s="587" t="n"/>
      <c r="SQX88" s="587" t="n"/>
      <c r="SQY88" s="587" t="n"/>
      <c r="SQZ88" s="587" t="n"/>
      <c r="SRA88" s="587" t="n"/>
      <c r="SRB88" s="587" t="n"/>
      <c r="SRC88" s="587" t="n"/>
      <c r="SRD88" s="587" t="n"/>
      <c r="SRE88" s="587" t="n"/>
      <c r="SRF88" s="587" t="n"/>
      <c r="SRG88" s="587" t="n"/>
      <c r="SRH88" s="587" t="n"/>
      <c r="SRI88" s="587" t="n"/>
      <c r="SRJ88" s="587" t="n"/>
      <c r="SRK88" s="587" t="n"/>
      <c r="SRL88" s="587" t="n"/>
      <c r="SRM88" s="587" t="n"/>
      <c r="SRN88" s="587" t="n"/>
      <c r="SRO88" s="587" t="n"/>
      <c r="SRP88" s="587" t="n"/>
      <c r="SRQ88" s="587" t="n"/>
      <c r="SRR88" s="587" t="n"/>
      <c r="SRS88" s="587" t="n"/>
      <c r="SRT88" s="587" t="n"/>
      <c r="SRU88" s="587" t="n"/>
      <c r="SRV88" s="587" t="n"/>
      <c r="SRW88" s="587" t="n"/>
      <c r="SRX88" s="587" t="n"/>
      <c r="SRY88" s="587" t="n"/>
      <c r="SRZ88" s="587" t="n"/>
      <c r="SSA88" s="587" t="n"/>
      <c r="SSB88" s="587" t="n"/>
      <c r="SSC88" s="587" t="n"/>
      <c r="SSD88" s="587" t="n"/>
      <c r="SSE88" s="587" t="n"/>
      <c r="SSF88" s="587" t="n"/>
      <c r="SSG88" s="587" t="n"/>
      <c r="SSH88" s="587" t="n"/>
      <c r="SSI88" s="587" t="n"/>
      <c r="SSJ88" s="587" t="n"/>
      <c r="SSK88" s="587" t="n"/>
      <c r="SSL88" s="587" t="n"/>
      <c r="SSM88" s="587" t="n"/>
      <c r="SSN88" s="587" t="n"/>
      <c r="SSO88" s="587" t="n"/>
      <c r="SSP88" s="587" t="n"/>
      <c r="SSQ88" s="587" t="n"/>
      <c r="SSR88" s="587" t="n"/>
      <c r="SSS88" s="587" t="n"/>
      <c r="SST88" s="587" t="n"/>
      <c r="SSU88" s="587" t="n"/>
      <c r="SSV88" s="587" t="n"/>
      <c r="SSW88" s="587" t="n"/>
      <c r="SSX88" s="587" t="n"/>
      <c r="SSY88" s="587" t="n"/>
      <c r="SSZ88" s="587" t="n"/>
      <c r="STA88" s="587" t="n"/>
      <c r="STB88" s="587" t="n"/>
      <c r="STC88" s="587" t="n"/>
      <c r="STD88" s="587" t="n"/>
      <c r="STE88" s="587" t="n"/>
      <c r="STF88" s="587" t="n"/>
      <c r="STG88" s="587" t="n"/>
      <c r="STH88" s="587" t="n"/>
      <c r="STI88" s="587" t="n"/>
      <c r="STJ88" s="587" t="n"/>
      <c r="STK88" s="587" t="n"/>
      <c r="STL88" s="587" t="n"/>
      <c r="STM88" s="587" t="n"/>
      <c r="STN88" s="587" t="n"/>
      <c r="STO88" s="587" t="n"/>
      <c r="STP88" s="587" t="n"/>
      <c r="STQ88" s="587" t="n"/>
      <c r="STR88" s="587" t="n"/>
      <c r="STS88" s="587" t="n"/>
      <c r="STT88" s="587" t="n"/>
      <c r="STU88" s="587" t="n"/>
      <c r="STV88" s="587" t="n"/>
      <c r="STW88" s="587" t="n"/>
      <c r="STX88" s="587" t="n"/>
      <c r="STY88" s="587" t="n"/>
      <c r="STZ88" s="587" t="n"/>
      <c r="SUA88" s="587" t="n"/>
      <c r="SUB88" s="587" t="n"/>
      <c r="SUC88" s="587" t="n"/>
      <c r="SUD88" s="587" t="n"/>
      <c r="SUE88" s="587" t="n"/>
      <c r="SUF88" s="587" t="n"/>
      <c r="SUG88" s="587" t="n"/>
      <c r="SUH88" s="587" t="n"/>
      <c r="SUI88" s="587" t="n"/>
      <c r="SUJ88" s="587" t="n"/>
      <c r="SUK88" s="587" t="n"/>
      <c r="SUL88" s="587" t="n"/>
      <c r="SUM88" s="587" t="n"/>
      <c r="SUN88" s="587" t="n"/>
      <c r="SUO88" s="587" t="n"/>
      <c r="SUP88" s="587" t="n"/>
      <c r="SUQ88" s="587" t="n"/>
      <c r="SUR88" s="587" t="n"/>
      <c r="SUS88" s="587" t="n"/>
      <c r="SUT88" s="587" t="n"/>
      <c r="SUU88" s="587" t="n"/>
      <c r="SUV88" s="587" t="n"/>
      <c r="SUW88" s="587" t="n"/>
      <c r="SUX88" s="587" t="n"/>
      <c r="SUY88" s="587" t="n"/>
      <c r="SUZ88" s="587" t="n"/>
      <c r="SVA88" s="587" t="n"/>
      <c r="SVB88" s="587" t="n"/>
      <c r="SVC88" s="587" t="n"/>
      <c r="SVD88" s="587" t="n"/>
      <c r="SVE88" s="587" t="n"/>
      <c r="SVF88" s="587" t="n"/>
      <c r="SVG88" s="587" t="n"/>
      <c r="SVH88" s="587" t="n"/>
      <c r="SVI88" s="587" t="n"/>
      <c r="SVJ88" s="587" t="n"/>
      <c r="SVK88" s="587" t="n"/>
      <c r="SVL88" s="587" t="n"/>
      <c r="SVM88" s="587" t="n"/>
      <c r="SVN88" s="587" t="n"/>
      <c r="SVO88" s="587" t="n"/>
      <c r="SVP88" s="587" t="n"/>
      <c r="SVQ88" s="587" t="n"/>
      <c r="SVR88" s="587" t="n"/>
      <c r="SVS88" s="587" t="n"/>
      <c r="SVT88" s="587" t="n"/>
      <c r="SVU88" s="587" t="n"/>
      <c r="SVV88" s="587" t="n"/>
      <c r="SVW88" s="587" t="n"/>
      <c r="SVX88" s="587" t="n"/>
      <c r="SVY88" s="587" t="n"/>
      <c r="SVZ88" s="587" t="n"/>
      <c r="SWA88" s="587" t="n"/>
      <c r="SWB88" s="587" t="n"/>
      <c r="SWC88" s="587" t="n"/>
      <c r="SWD88" s="587" t="n"/>
      <c r="SWE88" s="587" t="n"/>
      <c r="SWF88" s="587" t="n"/>
      <c r="SWG88" s="587" t="n"/>
      <c r="SWH88" s="587" t="n"/>
      <c r="SWI88" s="587" t="n"/>
      <c r="SWJ88" s="587" t="n"/>
      <c r="SWK88" s="587" t="n"/>
      <c r="SWL88" s="587" t="n"/>
      <c r="SWM88" s="587" t="n"/>
      <c r="SWN88" s="587" t="n"/>
      <c r="SWO88" s="587" t="n"/>
      <c r="SWP88" s="587" t="n"/>
      <c r="SWQ88" s="587" t="n"/>
      <c r="SWR88" s="587" t="n"/>
      <c r="SWS88" s="587" t="n"/>
      <c r="SWT88" s="587" t="n"/>
      <c r="SWU88" s="587" t="n"/>
      <c r="SWV88" s="587" t="n"/>
      <c r="SWW88" s="587" t="n"/>
      <c r="SWX88" s="587" t="n"/>
      <c r="SWY88" s="587" t="n"/>
      <c r="SWZ88" s="587" t="n"/>
      <c r="SXA88" s="587" t="n"/>
      <c r="SXB88" s="587" t="n"/>
      <c r="SXC88" s="587" t="n"/>
      <c r="SXD88" s="587" t="n"/>
      <c r="SXE88" s="587" t="n"/>
      <c r="SXF88" s="587" t="n"/>
      <c r="SXG88" s="587" t="n"/>
      <c r="SXH88" s="587" t="n"/>
      <c r="SXI88" s="587" t="n"/>
      <c r="SXJ88" s="587" t="n"/>
      <c r="SXK88" s="587" t="n"/>
      <c r="SXL88" s="587" t="n"/>
      <c r="SXM88" s="587" t="n"/>
      <c r="SXN88" s="587" t="n"/>
      <c r="SXO88" s="587" t="n"/>
      <c r="SXP88" s="587" t="n"/>
      <c r="SXQ88" s="587" t="n"/>
      <c r="SXR88" s="587" t="n"/>
      <c r="SXS88" s="587" t="n"/>
      <c r="SXT88" s="587" t="n"/>
      <c r="SXU88" s="587" t="n"/>
      <c r="SXV88" s="587" t="n"/>
      <c r="SXW88" s="587" t="n"/>
      <c r="SXX88" s="587" t="n"/>
      <c r="SXY88" s="587" t="n"/>
      <c r="SXZ88" s="587" t="n"/>
      <c r="SYA88" s="587" t="n"/>
      <c r="SYB88" s="587" t="n"/>
      <c r="SYC88" s="587" t="n"/>
      <c r="SYD88" s="587" t="n"/>
      <c r="SYE88" s="587" t="n"/>
      <c r="SYF88" s="587" t="n"/>
      <c r="SYG88" s="587" t="n"/>
      <c r="SYH88" s="587" t="n"/>
      <c r="SYI88" s="587" t="n"/>
      <c r="SYJ88" s="587" t="n"/>
      <c r="SYK88" s="587" t="n"/>
      <c r="SYL88" s="587" t="n"/>
      <c r="SYM88" s="587" t="n"/>
      <c r="SYN88" s="587" t="n"/>
      <c r="SYO88" s="587" t="n"/>
      <c r="SYP88" s="587" t="n"/>
      <c r="SYQ88" s="587" t="n"/>
      <c r="SYR88" s="587" t="n"/>
      <c r="SYS88" s="587" t="n"/>
      <c r="SYT88" s="587" t="n"/>
      <c r="SYU88" s="587" t="n"/>
      <c r="SYV88" s="587" t="n"/>
      <c r="SYW88" s="587" t="n"/>
      <c r="SYX88" s="587" t="n"/>
      <c r="SYY88" s="587" t="n"/>
      <c r="SYZ88" s="587" t="n"/>
      <c r="SZA88" s="587" t="n"/>
      <c r="SZB88" s="587" t="n"/>
      <c r="SZC88" s="587" t="n"/>
      <c r="SZD88" s="587" t="n"/>
      <c r="SZE88" s="587" t="n"/>
      <c r="SZF88" s="587" t="n"/>
      <c r="SZG88" s="587" t="n"/>
      <c r="SZH88" s="587" t="n"/>
      <c r="SZI88" s="587" t="n"/>
      <c r="SZJ88" s="587" t="n"/>
      <c r="SZK88" s="587" t="n"/>
      <c r="SZL88" s="587" t="n"/>
      <c r="SZM88" s="587" t="n"/>
      <c r="SZN88" s="587" t="n"/>
      <c r="SZO88" s="587" t="n"/>
      <c r="SZP88" s="587" t="n"/>
      <c r="SZQ88" s="587" t="n"/>
      <c r="SZR88" s="587" t="n"/>
      <c r="SZS88" s="587" t="n"/>
      <c r="SZT88" s="587" t="n"/>
      <c r="SZU88" s="587" t="n"/>
      <c r="SZV88" s="587" t="n"/>
      <c r="SZW88" s="587" t="n"/>
      <c r="SZX88" s="587" t="n"/>
      <c r="SZY88" s="587" t="n"/>
      <c r="SZZ88" s="587" t="n"/>
      <c r="TAA88" s="587" t="n"/>
      <c r="TAB88" s="587" t="n"/>
      <c r="TAC88" s="587" t="n"/>
      <c r="TAD88" s="587" t="n"/>
      <c r="TAE88" s="587" t="n"/>
      <c r="TAF88" s="587" t="n"/>
      <c r="TAG88" s="587" t="n"/>
      <c r="TAH88" s="587" t="n"/>
      <c r="TAI88" s="587" t="n"/>
      <c r="TAJ88" s="587" t="n"/>
      <c r="TAK88" s="587" t="n"/>
      <c r="TAL88" s="587" t="n"/>
      <c r="TAM88" s="587" t="n"/>
      <c r="TAN88" s="587" t="n"/>
      <c r="TAO88" s="587" t="n"/>
      <c r="TAP88" s="587" t="n"/>
      <c r="TAQ88" s="587" t="n"/>
      <c r="TAR88" s="587" t="n"/>
      <c r="TAS88" s="587" t="n"/>
      <c r="TAT88" s="587" t="n"/>
      <c r="TAU88" s="587" t="n"/>
      <c r="TAV88" s="587" t="n"/>
      <c r="TAW88" s="587" t="n"/>
      <c r="TAX88" s="587" t="n"/>
      <c r="TAY88" s="587" t="n"/>
      <c r="TAZ88" s="587" t="n"/>
      <c r="TBA88" s="587" t="n"/>
      <c r="TBB88" s="587" t="n"/>
      <c r="TBC88" s="587" t="n"/>
      <c r="TBD88" s="587" t="n"/>
      <c r="TBE88" s="587" t="n"/>
      <c r="TBF88" s="587" t="n"/>
      <c r="TBG88" s="587" t="n"/>
      <c r="TBH88" s="587" t="n"/>
      <c r="TBI88" s="587" t="n"/>
      <c r="TBJ88" s="587" t="n"/>
      <c r="TBK88" s="587" t="n"/>
      <c r="TBL88" s="587" t="n"/>
      <c r="TBM88" s="587" t="n"/>
      <c r="TBN88" s="587" t="n"/>
      <c r="TBO88" s="587" t="n"/>
      <c r="TBP88" s="587" t="n"/>
      <c r="TBQ88" s="587" t="n"/>
      <c r="TBR88" s="587" t="n"/>
      <c r="TBS88" s="587" t="n"/>
      <c r="TBT88" s="587" t="n"/>
      <c r="TBU88" s="587" t="n"/>
      <c r="TBV88" s="587" t="n"/>
      <c r="TBW88" s="587" t="n"/>
      <c r="TBX88" s="587" t="n"/>
      <c r="TBY88" s="587" t="n"/>
      <c r="TBZ88" s="587" t="n"/>
      <c r="TCA88" s="587" t="n"/>
      <c r="TCB88" s="587" t="n"/>
      <c r="TCC88" s="587" t="n"/>
      <c r="TCD88" s="587" t="n"/>
      <c r="TCE88" s="587" t="n"/>
      <c r="TCF88" s="587" t="n"/>
      <c r="TCG88" s="587" t="n"/>
      <c r="TCH88" s="587" t="n"/>
      <c r="TCI88" s="587" t="n"/>
      <c r="TCJ88" s="587" t="n"/>
      <c r="TCK88" s="587" t="n"/>
      <c r="TCL88" s="587" t="n"/>
      <c r="TCM88" s="587" t="n"/>
      <c r="TCN88" s="587" t="n"/>
      <c r="TCO88" s="587" t="n"/>
      <c r="TCP88" s="587" t="n"/>
      <c r="TCQ88" s="587" t="n"/>
      <c r="TCR88" s="587" t="n"/>
      <c r="TCS88" s="587" t="n"/>
      <c r="TCT88" s="587" t="n"/>
      <c r="TCU88" s="587" t="n"/>
      <c r="TCV88" s="587" t="n"/>
      <c r="TCW88" s="587" t="n"/>
      <c r="TCX88" s="587" t="n"/>
      <c r="TCY88" s="587" t="n"/>
      <c r="TCZ88" s="587" t="n"/>
      <c r="TDA88" s="587" t="n"/>
      <c r="TDB88" s="587" t="n"/>
      <c r="TDC88" s="587" t="n"/>
      <c r="TDD88" s="587" t="n"/>
      <c r="TDE88" s="587" t="n"/>
      <c r="TDF88" s="587" t="n"/>
      <c r="TDG88" s="587" t="n"/>
      <c r="TDH88" s="587" t="n"/>
      <c r="TDI88" s="587" t="n"/>
      <c r="TDJ88" s="587" t="n"/>
      <c r="TDK88" s="587" t="n"/>
      <c r="TDL88" s="587" t="n"/>
      <c r="TDM88" s="587" t="n"/>
      <c r="TDN88" s="587" t="n"/>
      <c r="TDO88" s="587" t="n"/>
      <c r="TDP88" s="587" t="n"/>
      <c r="TDQ88" s="587" t="n"/>
      <c r="TDR88" s="587" t="n"/>
      <c r="TDS88" s="587" t="n"/>
      <c r="TDT88" s="587" t="n"/>
      <c r="TDU88" s="587" t="n"/>
      <c r="TDV88" s="587" t="n"/>
      <c r="TDW88" s="587" t="n"/>
      <c r="TDX88" s="587" t="n"/>
      <c r="TDY88" s="587" t="n"/>
      <c r="TDZ88" s="587" t="n"/>
      <c r="TEA88" s="587" t="n"/>
      <c r="TEB88" s="587" t="n"/>
      <c r="TEC88" s="587" t="n"/>
      <c r="TED88" s="587" t="n"/>
      <c r="TEE88" s="587" t="n"/>
      <c r="TEF88" s="587" t="n"/>
      <c r="TEG88" s="587" t="n"/>
      <c r="TEH88" s="587" t="n"/>
      <c r="TEI88" s="587" t="n"/>
      <c r="TEJ88" s="587" t="n"/>
      <c r="TEK88" s="587" t="n"/>
      <c r="TEL88" s="587" t="n"/>
      <c r="TEM88" s="587" t="n"/>
      <c r="TEN88" s="587" t="n"/>
      <c r="TEO88" s="587" t="n"/>
      <c r="TEP88" s="587" t="n"/>
      <c r="TEQ88" s="587" t="n"/>
      <c r="TER88" s="587" t="n"/>
      <c r="TES88" s="587" t="n"/>
      <c r="TET88" s="587" t="n"/>
      <c r="TEU88" s="587" t="n"/>
      <c r="TEV88" s="587" t="n"/>
      <c r="TEW88" s="587" t="n"/>
      <c r="TEX88" s="587" t="n"/>
      <c r="TEY88" s="587" t="n"/>
      <c r="TEZ88" s="587" t="n"/>
      <c r="TFA88" s="587" t="n"/>
      <c r="TFB88" s="587" t="n"/>
      <c r="TFC88" s="587" t="n"/>
      <c r="TFD88" s="587" t="n"/>
      <c r="TFE88" s="587" t="n"/>
      <c r="TFF88" s="587" t="n"/>
      <c r="TFG88" s="587" t="n"/>
      <c r="TFH88" s="587" t="n"/>
      <c r="TFI88" s="587" t="n"/>
      <c r="TFJ88" s="587" t="n"/>
      <c r="TFK88" s="587" t="n"/>
      <c r="TFL88" s="587" t="n"/>
      <c r="TFM88" s="587" t="n"/>
      <c r="TFN88" s="587" t="n"/>
      <c r="TFO88" s="587" t="n"/>
      <c r="TFP88" s="587" t="n"/>
      <c r="TFQ88" s="587" t="n"/>
      <c r="TFR88" s="587" t="n"/>
      <c r="TFS88" s="587" t="n"/>
      <c r="TFT88" s="587" t="n"/>
      <c r="TFU88" s="587" t="n"/>
      <c r="TFV88" s="587" t="n"/>
      <c r="TFW88" s="587" t="n"/>
      <c r="TFX88" s="587" t="n"/>
      <c r="TFY88" s="587" t="n"/>
      <c r="TFZ88" s="587" t="n"/>
      <c r="TGA88" s="587" t="n"/>
      <c r="TGB88" s="587" t="n"/>
      <c r="TGC88" s="587" t="n"/>
      <c r="TGD88" s="587" t="n"/>
      <c r="TGE88" s="587" t="n"/>
      <c r="TGF88" s="587" t="n"/>
      <c r="TGG88" s="587" t="n"/>
      <c r="TGH88" s="587" t="n"/>
      <c r="TGI88" s="587" t="n"/>
      <c r="TGJ88" s="587" t="n"/>
      <c r="TGK88" s="587" t="n"/>
      <c r="TGL88" s="587" t="n"/>
      <c r="TGM88" s="587" t="n"/>
      <c r="TGN88" s="587" t="n"/>
      <c r="TGO88" s="587" t="n"/>
      <c r="TGP88" s="587" t="n"/>
      <c r="TGQ88" s="587" t="n"/>
      <c r="TGR88" s="587" t="n"/>
      <c r="TGS88" s="587" t="n"/>
      <c r="TGT88" s="587" t="n"/>
      <c r="TGU88" s="587" t="n"/>
      <c r="TGV88" s="587" t="n"/>
      <c r="TGW88" s="587" t="n"/>
      <c r="TGX88" s="587" t="n"/>
      <c r="TGY88" s="587" t="n"/>
      <c r="TGZ88" s="587" t="n"/>
      <c r="THA88" s="587" t="n"/>
      <c r="THB88" s="587" t="n"/>
      <c r="THC88" s="587" t="n"/>
      <c r="THD88" s="587" t="n"/>
      <c r="THE88" s="587" t="n"/>
      <c r="THF88" s="587" t="n"/>
      <c r="THG88" s="587" t="n"/>
      <c r="THH88" s="587" t="n"/>
      <c r="THI88" s="587" t="n"/>
      <c r="THJ88" s="587" t="n"/>
      <c r="THK88" s="587" t="n"/>
      <c r="THL88" s="587" t="n"/>
      <c r="THM88" s="587" t="n"/>
      <c r="THN88" s="587" t="n"/>
      <c r="THO88" s="587" t="n"/>
      <c r="THP88" s="587" t="n"/>
      <c r="THQ88" s="587" t="n"/>
      <c r="THR88" s="587" t="n"/>
      <c r="THS88" s="587" t="n"/>
      <c r="THT88" s="587" t="n"/>
      <c r="THU88" s="587" t="n"/>
      <c r="THV88" s="587" t="n"/>
      <c r="THW88" s="587" t="n"/>
      <c r="THX88" s="587" t="n"/>
      <c r="THY88" s="587" t="n"/>
      <c r="THZ88" s="587" t="n"/>
      <c r="TIA88" s="587" t="n"/>
      <c r="TIB88" s="587" t="n"/>
      <c r="TIC88" s="587" t="n"/>
      <c r="TID88" s="587" t="n"/>
      <c r="TIE88" s="587" t="n"/>
      <c r="TIF88" s="587" t="n"/>
      <c r="TIG88" s="587" t="n"/>
      <c r="TIH88" s="587" t="n"/>
      <c r="TII88" s="587" t="n"/>
      <c r="TIJ88" s="587" t="n"/>
      <c r="TIK88" s="587" t="n"/>
      <c r="TIL88" s="587" t="n"/>
      <c r="TIM88" s="587" t="n"/>
      <c r="TIN88" s="587" t="n"/>
      <c r="TIO88" s="587" t="n"/>
      <c r="TIP88" s="587" t="n"/>
      <c r="TIQ88" s="587" t="n"/>
      <c r="TIR88" s="587" t="n"/>
      <c r="TIS88" s="587" t="n"/>
      <c r="TIT88" s="587" t="n"/>
      <c r="TIU88" s="587" t="n"/>
      <c r="TIV88" s="587" t="n"/>
      <c r="TIW88" s="587" t="n"/>
      <c r="TIX88" s="587" t="n"/>
      <c r="TIY88" s="587" t="n"/>
      <c r="TIZ88" s="587" t="n"/>
      <c r="TJA88" s="587" t="n"/>
      <c r="TJB88" s="587" t="n"/>
      <c r="TJC88" s="587" t="n"/>
      <c r="TJD88" s="587" t="n"/>
      <c r="TJE88" s="587" t="n"/>
      <c r="TJF88" s="587" t="n"/>
      <c r="TJG88" s="587" t="n"/>
      <c r="TJH88" s="587" t="n"/>
      <c r="TJI88" s="587" t="n"/>
      <c r="TJJ88" s="587" t="n"/>
      <c r="TJK88" s="587" t="n"/>
      <c r="TJL88" s="587" t="n"/>
      <c r="TJM88" s="587" t="n"/>
      <c r="TJN88" s="587" t="n"/>
      <c r="TJO88" s="587" t="n"/>
      <c r="TJP88" s="587" t="n"/>
      <c r="TJQ88" s="587" t="n"/>
      <c r="TJR88" s="587" t="n"/>
      <c r="TJS88" s="587" t="n"/>
      <c r="TJT88" s="587" t="n"/>
      <c r="TJU88" s="587" t="n"/>
      <c r="TJV88" s="587" t="n"/>
      <c r="TJW88" s="587" t="n"/>
      <c r="TJX88" s="587" t="n"/>
      <c r="TJY88" s="587" t="n"/>
      <c r="TJZ88" s="587" t="n"/>
      <c r="TKA88" s="587" t="n"/>
      <c r="TKB88" s="587" t="n"/>
      <c r="TKC88" s="587" t="n"/>
      <c r="TKD88" s="587" t="n"/>
      <c r="TKE88" s="587" t="n"/>
      <c r="TKF88" s="587" t="n"/>
      <c r="TKG88" s="587" t="n"/>
      <c r="TKH88" s="587" t="n"/>
      <c r="TKI88" s="587" t="n"/>
      <c r="TKJ88" s="587" t="n"/>
      <c r="TKK88" s="587" t="n"/>
      <c r="TKL88" s="587" t="n"/>
      <c r="TKM88" s="587" t="n"/>
      <c r="TKN88" s="587" t="n"/>
      <c r="TKO88" s="587" t="n"/>
      <c r="TKP88" s="587" t="n"/>
      <c r="TKQ88" s="587" t="n"/>
      <c r="TKR88" s="587" t="n"/>
      <c r="TKS88" s="587" t="n"/>
      <c r="TKT88" s="587" t="n"/>
      <c r="TKU88" s="587" t="n"/>
      <c r="TKV88" s="587" t="n"/>
      <c r="TKW88" s="587" t="n"/>
      <c r="TKX88" s="587" t="n"/>
      <c r="TKY88" s="587" t="n"/>
      <c r="TKZ88" s="587" t="n"/>
      <c r="TLA88" s="587" t="n"/>
      <c r="TLB88" s="587" t="n"/>
      <c r="TLC88" s="587" t="n"/>
      <c r="TLD88" s="587" t="n"/>
      <c r="TLE88" s="587" t="n"/>
      <c r="TLF88" s="587" t="n"/>
      <c r="TLG88" s="587" t="n"/>
      <c r="TLH88" s="587" t="n"/>
      <c r="TLI88" s="587" t="n"/>
      <c r="TLJ88" s="587" t="n"/>
      <c r="TLK88" s="587" t="n"/>
      <c r="TLL88" s="587" t="n"/>
      <c r="TLM88" s="587" t="n"/>
      <c r="TLN88" s="587" t="n"/>
      <c r="TLO88" s="587" t="n"/>
      <c r="TLP88" s="587" t="n"/>
      <c r="TLQ88" s="587" t="n"/>
      <c r="TLR88" s="587" t="n"/>
      <c r="TLS88" s="587" t="n"/>
      <c r="TLT88" s="587" t="n"/>
      <c r="TLU88" s="587" t="n"/>
      <c r="TLV88" s="587" t="n"/>
      <c r="TLW88" s="587" t="n"/>
      <c r="TLX88" s="587" t="n"/>
      <c r="TLY88" s="587" t="n"/>
      <c r="TLZ88" s="587" t="n"/>
      <c r="TMA88" s="587" t="n"/>
      <c r="TMB88" s="587" t="n"/>
      <c r="TMC88" s="587" t="n"/>
      <c r="TMD88" s="587" t="n"/>
      <c r="TME88" s="587" t="n"/>
      <c r="TMF88" s="587" t="n"/>
      <c r="TMG88" s="587" t="n"/>
      <c r="TMH88" s="587" t="n"/>
      <c r="TMI88" s="587" t="n"/>
      <c r="TMJ88" s="587" t="n"/>
      <c r="TMK88" s="587" t="n"/>
      <c r="TML88" s="587" t="n"/>
      <c r="TMM88" s="587" t="n"/>
      <c r="TMN88" s="587" t="n"/>
      <c r="TMO88" s="587" t="n"/>
      <c r="TMP88" s="587" t="n"/>
      <c r="TMQ88" s="587" t="n"/>
      <c r="TMR88" s="587" t="n"/>
      <c r="TMS88" s="587" t="n"/>
      <c r="TMT88" s="587" t="n"/>
      <c r="TMU88" s="587" t="n"/>
      <c r="TMV88" s="587" t="n"/>
      <c r="TMW88" s="587" t="n"/>
      <c r="TMX88" s="587" t="n"/>
      <c r="TMY88" s="587" t="n"/>
      <c r="TMZ88" s="587" t="n"/>
      <c r="TNA88" s="587" t="n"/>
      <c r="TNB88" s="587" t="n"/>
      <c r="TNC88" s="587" t="n"/>
      <c r="TND88" s="587" t="n"/>
      <c r="TNE88" s="587" t="n"/>
      <c r="TNF88" s="587" t="n"/>
      <c r="TNG88" s="587" t="n"/>
      <c r="TNH88" s="587" t="n"/>
      <c r="TNI88" s="587" t="n"/>
      <c r="TNJ88" s="587" t="n"/>
      <c r="TNK88" s="587" t="n"/>
      <c r="TNL88" s="587" t="n"/>
      <c r="TNM88" s="587" t="n"/>
      <c r="TNN88" s="587" t="n"/>
      <c r="TNO88" s="587" t="n"/>
      <c r="TNP88" s="587" t="n"/>
      <c r="TNQ88" s="587" t="n"/>
      <c r="TNR88" s="587" t="n"/>
      <c r="TNS88" s="587" t="n"/>
      <c r="TNT88" s="587" t="n"/>
      <c r="TNU88" s="587" t="n"/>
      <c r="TNV88" s="587" t="n"/>
      <c r="TNW88" s="587" t="n"/>
      <c r="TNX88" s="587" t="n"/>
      <c r="TNY88" s="587" t="n"/>
      <c r="TNZ88" s="587" t="n"/>
      <c r="TOA88" s="587" t="n"/>
      <c r="TOB88" s="587" t="n"/>
      <c r="TOC88" s="587" t="n"/>
      <c r="TOD88" s="587" t="n"/>
      <c r="TOE88" s="587" t="n"/>
      <c r="TOF88" s="587" t="n"/>
      <c r="TOG88" s="587" t="n"/>
      <c r="TOH88" s="587" t="n"/>
      <c r="TOI88" s="587" t="n"/>
      <c r="TOJ88" s="587" t="n"/>
      <c r="TOK88" s="587" t="n"/>
      <c r="TOL88" s="587" t="n"/>
      <c r="TOM88" s="587" t="n"/>
      <c r="TON88" s="587" t="n"/>
      <c r="TOO88" s="587" t="n"/>
      <c r="TOP88" s="587" t="n"/>
      <c r="TOQ88" s="587" t="n"/>
      <c r="TOR88" s="587" t="n"/>
      <c r="TOS88" s="587" t="n"/>
      <c r="TOT88" s="587" t="n"/>
      <c r="TOU88" s="587" t="n"/>
      <c r="TOV88" s="587" t="n"/>
      <c r="TOW88" s="587" t="n"/>
      <c r="TOX88" s="587" t="n"/>
      <c r="TOY88" s="587" t="n"/>
      <c r="TOZ88" s="587" t="n"/>
      <c r="TPA88" s="587" t="n"/>
      <c r="TPB88" s="587" t="n"/>
      <c r="TPC88" s="587" t="n"/>
      <c r="TPD88" s="587" t="n"/>
      <c r="TPE88" s="587" t="n"/>
      <c r="TPF88" s="587" t="n"/>
      <c r="TPG88" s="587" t="n"/>
      <c r="TPH88" s="587" t="n"/>
      <c r="TPI88" s="587" t="n"/>
      <c r="TPJ88" s="587" t="n"/>
      <c r="TPK88" s="587" t="n"/>
      <c r="TPL88" s="587" t="n"/>
      <c r="TPM88" s="587" t="n"/>
      <c r="TPN88" s="587" t="n"/>
      <c r="TPO88" s="587" t="n"/>
      <c r="TPP88" s="587" t="n"/>
      <c r="TPQ88" s="587" t="n"/>
      <c r="TPR88" s="587" t="n"/>
      <c r="TPS88" s="587" t="n"/>
      <c r="TPT88" s="587" t="n"/>
      <c r="TPU88" s="587" t="n"/>
      <c r="TPV88" s="587" t="n"/>
      <c r="TPW88" s="587" t="n"/>
      <c r="TPX88" s="587" t="n"/>
      <c r="TPY88" s="587" t="n"/>
      <c r="TPZ88" s="587" t="n"/>
      <c r="TQA88" s="587" t="n"/>
      <c r="TQB88" s="587" t="n"/>
      <c r="TQC88" s="587" t="n"/>
      <c r="TQD88" s="587" t="n"/>
      <c r="TQE88" s="587" t="n"/>
      <c r="TQF88" s="587" t="n"/>
      <c r="TQG88" s="587" t="n"/>
      <c r="TQH88" s="587" t="n"/>
      <c r="TQI88" s="587" t="n"/>
      <c r="TQJ88" s="587" t="n"/>
      <c r="TQK88" s="587" t="n"/>
      <c r="TQL88" s="587" t="n"/>
      <c r="TQM88" s="587" t="n"/>
      <c r="TQN88" s="587" t="n"/>
      <c r="TQO88" s="587" t="n"/>
      <c r="TQP88" s="587" t="n"/>
      <c r="TQQ88" s="587" t="n"/>
      <c r="TQR88" s="587" t="n"/>
      <c r="TQS88" s="587" t="n"/>
      <c r="TQT88" s="587" t="n"/>
      <c r="TQU88" s="587" t="n"/>
      <c r="TQV88" s="587" t="n"/>
      <c r="TQW88" s="587" t="n"/>
      <c r="TQX88" s="587" t="n"/>
      <c r="TQY88" s="587" t="n"/>
      <c r="TQZ88" s="587" t="n"/>
      <c r="TRA88" s="587" t="n"/>
      <c r="TRB88" s="587" t="n"/>
      <c r="TRC88" s="587" t="n"/>
      <c r="TRD88" s="587" t="n"/>
      <c r="TRE88" s="587" t="n"/>
      <c r="TRF88" s="587" t="n"/>
      <c r="TRG88" s="587" t="n"/>
      <c r="TRH88" s="587" t="n"/>
      <c r="TRI88" s="587" t="n"/>
      <c r="TRJ88" s="587" t="n"/>
      <c r="TRK88" s="587" t="n"/>
      <c r="TRL88" s="587" t="n"/>
      <c r="TRM88" s="587" t="n"/>
      <c r="TRN88" s="587" t="n"/>
      <c r="TRO88" s="587" t="n"/>
      <c r="TRP88" s="587" t="n"/>
      <c r="TRQ88" s="587" t="n"/>
      <c r="TRR88" s="587" t="n"/>
      <c r="TRS88" s="587" t="n"/>
      <c r="TRT88" s="587" t="n"/>
      <c r="TRU88" s="587" t="n"/>
      <c r="TRV88" s="587" t="n"/>
      <c r="TRW88" s="587" t="n"/>
      <c r="TRX88" s="587" t="n"/>
      <c r="TRY88" s="587" t="n"/>
      <c r="TRZ88" s="587" t="n"/>
      <c r="TSA88" s="587" t="n"/>
      <c r="TSB88" s="587" t="n"/>
      <c r="TSC88" s="587" t="n"/>
      <c r="TSD88" s="587" t="n"/>
      <c r="TSE88" s="587" t="n"/>
      <c r="TSF88" s="587" t="n"/>
      <c r="TSG88" s="587" t="n"/>
      <c r="TSH88" s="587" t="n"/>
      <c r="TSI88" s="587" t="n"/>
      <c r="TSJ88" s="587" t="n"/>
      <c r="TSK88" s="587" t="n"/>
      <c r="TSL88" s="587" t="n"/>
      <c r="TSM88" s="587" t="n"/>
      <c r="TSN88" s="587" t="n"/>
      <c r="TSO88" s="587" t="n"/>
      <c r="TSP88" s="587" t="n"/>
      <c r="TSQ88" s="587" t="n"/>
      <c r="TSR88" s="587" t="n"/>
      <c r="TSS88" s="587" t="n"/>
      <c r="TST88" s="587" t="n"/>
      <c r="TSU88" s="587" t="n"/>
      <c r="TSV88" s="587" t="n"/>
      <c r="TSW88" s="587" t="n"/>
      <c r="TSX88" s="587" t="n"/>
      <c r="TSY88" s="587" t="n"/>
      <c r="TSZ88" s="587" t="n"/>
      <c r="TTA88" s="587" t="n"/>
      <c r="TTB88" s="587" t="n"/>
      <c r="TTC88" s="587" t="n"/>
      <c r="TTD88" s="587" t="n"/>
      <c r="TTE88" s="587" t="n"/>
      <c r="TTF88" s="587" t="n"/>
      <c r="TTG88" s="587" t="n"/>
      <c r="TTH88" s="587" t="n"/>
      <c r="TTI88" s="587" t="n"/>
      <c r="TTJ88" s="587" t="n"/>
      <c r="TTK88" s="587" t="n"/>
      <c r="TTL88" s="587" t="n"/>
      <c r="TTM88" s="587" t="n"/>
      <c r="TTN88" s="587" t="n"/>
      <c r="TTO88" s="587" t="n"/>
      <c r="TTP88" s="587" t="n"/>
      <c r="TTQ88" s="587" t="n"/>
      <c r="TTR88" s="587" t="n"/>
      <c r="TTS88" s="587" t="n"/>
      <c r="TTT88" s="587" t="n"/>
      <c r="TTU88" s="587" t="n"/>
      <c r="TTV88" s="587" t="n"/>
      <c r="TTW88" s="587" t="n"/>
      <c r="TTX88" s="587" t="n"/>
      <c r="TTY88" s="587" t="n"/>
      <c r="TTZ88" s="587" t="n"/>
      <c r="TUA88" s="587" t="n"/>
      <c r="TUB88" s="587" t="n"/>
      <c r="TUC88" s="587" t="n"/>
      <c r="TUD88" s="587" t="n"/>
      <c r="TUE88" s="587" t="n"/>
      <c r="TUF88" s="587" t="n"/>
      <c r="TUG88" s="587" t="n"/>
      <c r="TUH88" s="587" t="n"/>
      <c r="TUI88" s="587" t="n"/>
      <c r="TUJ88" s="587" t="n"/>
      <c r="TUK88" s="587" t="n"/>
      <c r="TUL88" s="587" t="n"/>
      <c r="TUM88" s="587" t="n"/>
      <c r="TUN88" s="587" t="n"/>
      <c r="TUO88" s="587" t="n"/>
      <c r="TUP88" s="587" t="n"/>
      <c r="TUQ88" s="587" t="n"/>
      <c r="TUR88" s="587" t="n"/>
      <c r="TUS88" s="587" t="n"/>
      <c r="TUT88" s="587" t="n"/>
      <c r="TUU88" s="587" t="n"/>
      <c r="TUV88" s="587" t="n"/>
      <c r="TUW88" s="587" t="n"/>
      <c r="TUX88" s="587" t="n"/>
      <c r="TUY88" s="587" t="n"/>
      <c r="TUZ88" s="587" t="n"/>
      <c r="TVA88" s="587" t="n"/>
      <c r="TVB88" s="587" t="n"/>
      <c r="TVC88" s="587" t="n"/>
      <c r="TVD88" s="587" t="n"/>
      <c r="TVE88" s="587" t="n"/>
      <c r="TVF88" s="587" t="n"/>
      <c r="TVG88" s="587" t="n"/>
      <c r="TVH88" s="587" t="n"/>
      <c r="TVI88" s="587" t="n"/>
      <c r="TVJ88" s="587" t="n"/>
      <c r="TVK88" s="587" t="n"/>
      <c r="TVL88" s="587" t="n"/>
      <c r="TVM88" s="587" t="n"/>
      <c r="TVN88" s="587" t="n"/>
      <c r="TVO88" s="587" t="n"/>
      <c r="TVP88" s="587" t="n"/>
      <c r="TVQ88" s="587" t="n"/>
      <c r="TVR88" s="587" t="n"/>
      <c r="TVS88" s="587" t="n"/>
      <c r="TVT88" s="587" t="n"/>
      <c r="TVU88" s="587" t="n"/>
      <c r="TVV88" s="587" t="n"/>
      <c r="TVW88" s="587" t="n"/>
      <c r="TVX88" s="587" t="n"/>
      <c r="TVY88" s="587" t="n"/>
      <c r="TVZ88" s="587" t="n"/>
      <c r="TWA88" s="587" t="n"/>
      <c r="TWB88" s="587" t="n"/>
      <c r="TWC88" s="587" t="n"/>
      <c r="TWD88" s="587" t="n"/>
      <c r="TWE88" s="587" t="n"/>
      <c r="TWF88" s="587" t="n"/>
      <c r="TWG88" s="587" t="n"/>
      <c r="TWH88" s="587" t="n"/>
      <c r="TWI88" s="587" t="n"/>
      <c r="TWJ88" s="587" t="n"/>
      <c r="TWK88" s="587" t="n"/>
      <c r="TWL88" s="587" t="n"/>
      <c r="TWM88" s="587" t="n"/>
      <c r="TWN88" s="587" t="n"/>
      <c r="TWO88" s="587" t="n"/>
      <c r="TWP88" s="587" t="n"/>
      <c r="TWQ88" s="587" t="n"/>
      <c r="TWR88" s="587" t="n"/>
      <c r="TWS88" s="587" t="n"/>
      <c r="TWT88" s="587" t="n"/>
      <c r="TWU88" s="587" t="n"/>
      <c r="TWV88" s="587" t="n"/>
      <c r="TWW88" s="587" t="n"/>
      <c r="TWX88" s="587" t="n"/>
      <c r="TWY88" s="587" t="n"/>
      <c r="TWZ88" s="587" t="n"/>
      <c r="TXA88" s="587" t="n"/>
      <c r="TXB88" s="587" t="n"/>
      <c r="TXC88" s="587" t="n"/>
      <c r="TXD88" s="587" t="n"/>
      <c r="TXE88" s="587" t="n"/>
      <c r="TXF88" s="587" t="n"/>
      <c r="TXG88" s="587" t="n"/>
      <c r="TXH88" s="587" t="n"/>
      <c r="TXI88" s="587" t="n"/>
      <c r="TXJ88" s="587" t="n"/>
      <c r="TXK88" s="587" t="n"/>
      <c r="TXL88" s="587" t="n"/>
      <c r="TXM88" s="587" t="n"/>
      <c r="TXN88" s="587" t="n"/>
      <c r="TXO88" s="587" t="n"/>
      <c r="TXP88" s="587" t="n"/>
      <c r="TXQ88" s="587" t="n"/>
      <c r="TXR88" s="587" t="n"/>
      <c r="TXS88" s="587" t="n"/>
      <c r="TXT88" s="587" t="n"/>
      <c r="TXU88" s="587" t="n"/>
      <c r="TXV88" s="587" t="n"/>
      <c r="TXW88" s="587" t="n"/>
      <c r="TXX88" s="587" t="n"/>
      <c r="TXY88" s="587" t="n"/>
      <c r="TXZ88" s="587" t="n"/>
      <c r="TYA88" s="587" t="n"/>
      <c r="TYB88" s="587" t="n"/>
      <c r="TYC88" s="587" t="n"/>
      <c r="TYD88" s="587" t="n"/>
      <c r="TYE88" s="587" t="n"/>
      <c r="TYF88" s="587" t="n"/>
      <c r="TYG88" s="587" t="n"/>
      <c r="TYH88" s="587" t="n"/>
      <c r="TYI88" s="587" t="n"/>
      <c r="TYJ88" s="587" t="n"/>
      <c r="TYK88" s="587" t="n"/>
      <c r="TYL88" s="587" t="n"/>
      <c r="TYM88" s="587" t="n"/>
      <c r="TYN88" s="587" t="n"/>
      <c r="TYO88" s="587" t="n"/>
      <c r="TYP88" s="587" t="n"/>
      <c r="TYQ88" s="587" t="n"/>
      <c r="TYR88" s="587" t="n"/>
      <c r="TYS88" s="587" t="n"/>
      <c r="TYT88" s="587" t="n"/>
      <c r="TYU88" s="587" t="n"/>
      <c r="TYV88" s="587" t="n"/>
      <c r="TYW88" s="587" t="n"/>
      <c r="TYX88" s="587" t="n"/>
      <c r="TYY88" s="587" t="n"/>
      <c r="TYZ88" s="587" t="n"/>
      <c r="TZA88" s="587" t="n"/>
      <c r="TZB88" s="587" t="n"/>
      <c r="TZC88" s="587" t="n"/>
      <c r="TZD88" s="587" t="n"/>
      <c r="TZE88" s="587" t="n"/>
      <c r="TZF88" s="587" t="n"/>
      <c r="TZG88" s="587" t="n"/>
      <c r="TZH88" s="587" t="n"/>
      <c r="TZI88" s="587" t="n"/>
      <c r="TZJ88" s="587" t="n"/>
      <c r="TZK88" s="587" t="n"/>
      <c r="TZL88" s="587" t="n"/>
      <c r="TZM88" s="587" t="n"/>
      <c r="TZN88" s="587" t="n"/>
      <c r="TZO88" s="587" t="n"/>
      <c r="TZP88" s="587" t="n"/>
      <c r="TZQ88" s="587" t="n"/>
      <c r="TZR88" s="587" t="n"/>
      <c r="TZS88" s="587" t="n"/>
      <c r="TZT88" s="587" t="n"/>
      <c r="TZU88" s="587" t="n"/>
      <c r="TZV88" s="587" t="n"/>
      <c r="TZW88" s="587" t="n"/>
      <c r="TZX88" s="587" t="n"/>
      <c r="TZY88" s="587" t="n"/>
      <c r="TZZ88" s="587" t="n"/>
      <c r="UAA88" s="587" t="n"/>
      <c r="UAB88" s="587" t="n"/>
      <c r="UAC88" s="587" t="n"/>
      <c r="UAD88" s="587" t="n"/>
      <c r="UAE88" s="587" t="n"/>
      <c r="UAF88" s="587" t="n"/>
      <c r="UAG88" s="587" t="n"/>
      <c r="UAH88" s="587" t="n"/>
      <c r="UAI88" s="587" t="n"/>
      <c r="UAJ88" s="587" t="n"/>
      <c r="UAK88" s="587" t="n"/>
      <c r="UAL88" s="587" t="n"/>
      <c r="UAM88" s="587" t="n"/>
      <c r="UAN88" s="587" t="n"/>
      <c r="UAO88" s="587" t="n"/>
      <c r="UAP88" s="587" t="n"/>
      <c r="UAQ88" s="587" t="n"/>
      <c r="UAR88" s="587" t="n"/>
      <c r="UAS88" s="587" t="n"/>
      <c r="UAT88" s="587" t="n"/>
      <c r="UAU88" s="587" t="n"/>
      <c r="UAV88" s="587" t="n"/>
      <c r="UAW88" s="587" t="n"/>
      <c r="UAX88" s="587" t="n"/>
      <c r="UAY88" s="587" t="n"/>
      <c r="UAZ88" s="587" t="n"/>
      <c r="UBA88" s="587" t="n"/>
      <c r="UBB88" s="587" t="n"/>
      <c r="UBC88" s="587" t="n"/>
      <c r="UBD88" s="587" t="n"/>
      <c r="UBE88" s="587" t="n"/>
      <c r="UBF88" s="587" t="n"/>
      <c r="UBG88" s="587" t="n"/>
      <c r="UBH88" s="587" t="n"/>
      <c r="UBI88" s="587" t="n"/>
      <c r="UBJ88" s="587" t="n"/>
      <c r="UBK88" s="587" t="n"/>
      <c r="UBL88" s="587" t="n"/>
      <c r="UBM88" s="587" t="n"/>
      <c r="UBN88" s="587" t="n"/>
      <c r="UBO88" s="587" t="n"/>
      <c r="UBP88" s="587" t="n"/>
      <c r="UBQ88" s="587" t="n"/>
      <c r="UBR88" s="587" t="n"/>
      <c r="UBS88" s="587" t="n"/>
      <c r="UBT88" s="587" t="n"/>
      <c r="UBU88" s="587" t="n"/>
      <c r="UBV88" s="587" t="n"/>
      <c r="UBW88" s="587" t="n"/>
      <c r="UBX88" s="587" t="n"/>
      <c r="UBY88" s="587" t="n"/>
      <c r="UBZ88" s="587" t="n"/>
      <c r="UCA88" s="587" t="n"/>
      <c r="UCB88" s="587" t="n"/>
      <c r="UCC88" s="587" t="n"/>
      <c r="UCD88" s="587" t="n"/>
      <c r="UCE88" s="587" t="n"/>
      <c r="UCF88" s="587" t="n"/>
      <c r="UCG88" s="587" t="n"/>
      <c r="UCH88" s="587" t="n"/>
      <c r="UCI88" s="587" t="n"/>
      <c r="UCJ88" s="587" t="n"/>
      <c r="UCK88" s="587" t="n"/>
      <c r="UCL88" s="587" t="n"/>
      <c r="UCM88" s="587" t="n"/>
      <c r="UCN88" s="587" t="n"/>
      <c r="UCO88" s="587" t="n"/>
      <c r="UCP88" s="587" t="n"/>
      <c r="UCQ88" s="587" t="n"/>
      <c r="UCR88" s="587" t="n"/>
      <c r="UCS88" s="587" t="n"/>
      <c r="UCT88" s="587" t="n"/>
      <c r="UCU88" s="587" t="n"/>
      <c r="UCV88" s="587" t="n"/>
      <c r="UCW88" s="587" t="n"/>
      <c r="UCX88" s="587" t="n"/>
      <c r="UCY88" s="587" t="n"/>
      <c r="UCZ88" s="587" t="n"/>
      <c r="UDA88" s="587" t="n"/>
      <c r="UDB88" s="587" t="n"/>
      <c r="UDC88" s="587" t="n"/>
      <c r="UDD88" s="587" t="n"/>
      <c r="UDE88" s="587" t="n"/>
      <c r="UDF88" s="587" t="n"/>
      <c r="UDG88" s="587" t="n"/>
      <c r="UDH88" s="587" t="n"/>
      <c r="UDI88" s="587" t="n"/>
      <c r="UDJ88" s="587" t="n"/>
      <c r="UDK88" s="587" t="n"/>
      <c r="UDL88" s="587" t="n"/>
      <c r="UDM88" s="587" t="n"/>
      <c r="UDN88" s="587" t="n"/>
      <c r="UDO88" s="587" t="n"/>
      <c r="UDP88" s="587" t="n"/>
      <c r="UDQ88" s="587" t="n"/>
      <c r="UDR88" s="587" t="n"/>
      <c r="UDS88" s="587" t="n"/>
      <c r="UDT88" s="587" t="n"/>
      <c r="UDU88" s="587" t="n"/>
      <c r="UDV88" s="587" t="n"/>
      <c r="UDW88" s="587" t="n"/>
      <c r="UDX88" s="587" t="n"/>
      <c r="UDY88" s="587" t="n"/>
      <c r="UDZ88" s="587" t="n"/>
      <c r="UEA88" s="587" t="n"/>
      <c r="UEB88" s="587" t="n"/>
      <c r="UEC88" s="587" t="n"/>
      <c r="UED88" s="587" t="n"/>
      <c r="UEE88" s="587" t="n"/>
      <c r="UEF88" s="587" t="n"/>
      <c r="UEG88" s="587" t="n"/>
      <c r="UEH88" s="587" t="n"/>
      <c r="UEI88" s="587" t="n"/>
      <c r="UEJ88" s="587" t="n"/>
      <c r="UEK88" s="587" t="n"/>
      <c r="UEL88" s="587" t="n"/>
      <c r="UEM88" s="587" t="n"/>
      <c r="UEN88" s="587" t="n"/>
      <c r="UEO88" s="587" t="n"/>
      <c r="UEP88" s="587" t="n"/>
      <c r="UEQ88" s="587" t="n"/>
      <c r="UER88" s="587" t="n"/>
      <c r="UES88" s="587" t="n"/>
      <c r="UET88" s="587" t="n"/>
      <c r="UEU88" s="587" t="n"/>
      <c r="UEV88" s="587" t="n"/>
      <c r="UEW88" s="587" t="n"/>
      <c r="UEX88" s="587" t="n"/>
      <c r="UEY88" s="587" t="n"/>
      <c r="UEZ88" s="587" t="n"/>
      <c r="UFA88" s="587" t="n"/>
      <c r="UFB88" s="587" t="n"/>
      <c r="UFC88" s="587" t="n"/>
      <c r="UFD88" s="587" t="n"/>
      <c r="UFE88" s="587" t="n"/>
      <c r="UFF88" s="587" t="n"/>
      <c r="UFG88" s="587" t="n"/>
      <c r="UFH88" s="587" t="n"/>
      <c r="UFI88" s="587" t="n"/>
      <c r="UFJ88" s="587" t="n"/>
      <c r="UFK88" s="587" t="n"/>
      <c r="UFL88" s="587" t="n"/>
      <c r="UFM88" s="587" t="n"/>
      <c r="UFN88" s="587" t="n"/>
      <c r="UFO88" s="587" t="n"/>
      <c r="UFP88" s="587" t="n"/>
      <c r="UFQ88" s="587" t="n"/>
      <c r="UFR88" s="587" t="n"/>
      <c r="UFS88" s="587" t="n"/>
      <c r="UFT88" s="587" t="n"/>
      <c r="UFU88" s="587" t="n"/>
      <c r="UFV88" s="587" t="n"/>
      <c r="UFW88" s="587" t="n"/>
      <c r="UFX88" s="587" t="n"/>
      <c r="UFY88" s="587" t="n"/>
      <c r="UFZ88" s="587" t="n"/>
      <c r="UGA88" s="587" t="n"/>
      <c r="UGB88" s="587" t="n"/>
      <c r="UGC88" s="587" t="n"/>
      <c r="UGD88" s="587" t="n"/>
      <c r="UGE88" s="587" t="n"/>
      <c r="UGF88" s="587" t="n"/>
      <c r="UGG88" s="587" t="n"/>
      <c r="UGH88" s="587" t="n"/>
      <c r="UGI88" s="587" t="n"/>
      <c r="UGJ88" s="587" t="n"/>
      <c r="UGK88" s="587" t="n"/>
      <c r="UGL88" s="587" t="n"/>
      <c r="UGM88" s="587" t="n"/>
      <c r="UGN88" s="587" t="n"/>
      <c r="UGO88" s="587" t="n"/>
      <c r="UGP88" s="587" t="n"/>
      <c r="UGQ88" s="587" t="n"/>
      <c r="UGR88" s="587" t="n"/>
      <c r="UGS88" s="587" t="n"/>
      <c r="UGT88" s="587" t="n"/>
      <c r="UGU88" s="587" t="n"/>
      <c r="UGV88" s="587" t="n"/>
      <c r="UGW88" s="587" t="n"/>
      <c r="UGX88" s="587" t="n"/>
      <c r="UGY88" s="587" t="n"/>
      <c r="UGZ88" s="587" t="n"/>
      <c r="UHA88" s="587" t="n"/>
      <c r="UHB88" s="587" t="n"/>
      <c r="UHC88" s="587" t="n"/>
      <c r="UHD88" s="587" t="n"/>
      <c r="UHE88" s="587" t="n"/>
      <c r="UHF88" s="587" t="n"/>
      <c r="UHG88" s="587" t="n"/>
      <c r="UHH88" s="587" t="n"/>
      <c r="UHI88" s="587" t="n"/>
      <c r="UHJ88" s="587" t="n"/>
      <c r="UHK88" s="587" t="n"/>
      <c r="UHL88" s="587" t="n"/>
      <c r="UHM88" s="587" t="n"/>
      <c r="UHN88" s="587" t="n"/>
      <c r="UHO88" s="587" t="n"/>
      <c r="UHP88" s="587" t="n"/>
      <c r="UHQ88" s="587" t="n"/>
      <c r="UHR88" s="587" t="n"/>
      <c r="UHS88" s="587" t="n"/>
      <c r="UHT88" s="587" t="n"/>
      <c r="UHU88" s="587" t="n"/>
      <c r="UHV88" s="587" t="n"/>
      <c r="UHW88" s="587" t="n"/>
      <c r="UHX88" s="587" t="n"/>
      <c r="UHY88" s="587" t="n"/>
      <c r="UHZ88" s="587" t="n"/>
      <c r="UIA88" s="587" t="n"/>
      <c r="UIB88" s="587" t="n"/>
      <c r="UIC88" s="587" t="n"/>
      <c r="UID88" s="587" t="n"/>
      <c r="UIE88" s="587" t="n"/>
      <c r="UIF88" s="587" t="n"/>
      <c r="UIG88" s="587" t="n"/>
      <c r="UIH88" s="587" t="n"/>
      <c r="UII88" s="587" t="n"/>
      <c r="UIJ88" s="587" t="n"/>
      <c r="UIK88" s="587" t="n"/>
      <c r="UIL88" s="587" t="n"/>
      <c r="UIM88" s="587" t="n"/>
      <c r="UIN88" s="587" t="n"/>
      <c r="UIO88" s="587" t="n"/>
      <c r="UIP88" s="587" t="n"/>
      <c r="UIQ88" s="587" t="n"/>
      <c r="UIR88" s="587" t="n"/>
      <c r="UIS88" s="587" t="n"/>
      <c r="UIT88" s="587" t="n"/>
      <c r="UIU88" s="587" t="n"/>
      <c r="UIV88" s="587" t="n"/>
      <c r="UIW88" s="587" t="n"/>
      <c r="UIX88" s="587" t="n"/>
      <c r="UIY88" s="587" t="n"/>
      <c r="UIZ88" s="587" t="n"/>
      <c r="UJA88" s="587" t="n"/>
      <c r="UJB88" s="587" t="n"/>
      <c r="UJC88" s="587" t="n"/>
      <c r="UJD88" s="587" t="n"/>
      <c r="UJE88" s="587" t="n"/>
      <c r="UJF88" s="587" t="n"/>
      <c r="UJG88" s="587" t="n"/>
      <c r="UJH88" s="587" t="n"/>
      <c r="UJI88" s="587" t="n"/>
      <c r="UJJ88" s="587" t="n"/>
      <c r="UJK88" s="587" t="n"/>
      <c r="UJL88" s="587" t="n"/>
      <c r="UJM88" s="587" t="n"/>
      <c r="UJN88" s="587" t="n"/>
      <c r="UJO88" s="587" t="n"/>
      <c r="UJP88" s="587" t="n"/>
      <c r="UJQ88" s="587" t="n"/>
      <c r="UJR88" s="587" t="n"/>
      <c r="UJS88" s="587" t="n"/>
      <c r="UJT88" s="587" t="n"/>
      <c r="UJU88" s="587" t="n"/>
      <c r="UJV88" s="587" t="n"/>
      <c r="UJW88" s="587" t="n"/>
      <c r="UJX88" s="587" t="n"/>
      <c r="UJY88" s="587" t="n"/>
      <c r="UJZ88" s="587" t="n"/>
      <c r="UKA88" s="587" t="n"/>
      <c r="UKB88" s="587" t="n"/>
      <c r="UKC88" s="587" t="n"/>
      <c r="UKD88" s="587" t="n"/>
      <c r="UKE88" s="587" t="n"/>
      <c r="UKF88" s="587" t="n"/>
      <c r="UKG88" s="587" t="n"/>
      <c r="UKH88" s="587" t="n"/>
      <c r="UKI88" s="587" t="n"/>
      <c r="UKJ88" s="587" t="n"/>
      <c r="UKK88" s="587" t="n"/>
      <c r="UKL88" s="587" t="n"/>
      <c r="UKM88" s="587" t="n"/>
      <c r="UKN88" s="587" t="n"/>
      <c r="UKO88" s="587" t="n"/>
      <c r="UKP88" s="587" t="n"/>
      <c r="UKQ88" s="587" t="n"/>
      <c r="UKR88" s="587" t="n"/>
      <c r="UKS88" s="587" t="n"/>
      <c r="UKT88" s="587" t="n"/>
      <c r="UKU88" s="587" t="n"/>
      <c r="UKV88" s="587" t="n"/>
      <c r="UKW88" s="587" t="n"/>
      <c r="UKX88" s="587" t="n"/>
      <c r="UKY88" s="587" t="n"/>
      <c r="UKZ88" s="587" t="n"/>
      <c r="ULA88" s="587" t="n"/>
      <c r="ULB88" s="587" t="n"/>
      <c r="ULC88" s="587" t="n"/>
      <c r="ULD88" s="587" t="n"/>
      <c r="ULE88" s="587" t="n"/>
      <c r="ULF88" s="587" t="n"/>
      <c r="ULG88" s="587" t="n"/>
      <c r="ULH88" s="587" t="n"/>
      <c r="ULI88" s="587" t="n"/>
      <c r="ULJ88" s="587" t="n"/>
      <c r="ULK88" s="587" t="n"/>
      <c r="ULL88" s="587" t="n"/>
      <c r="ULM88" s="587" t="n"/>
      <c r="ULN88" s="587" t="n"/>
      <c r="ULO88" s="587" t="n"/>
      <c r="ULP88" s="587" t="n"/>
      <c r="ULQ88" s="587" t="n"/>
      <c r="ULR88" s="587" t="n"/>
      <c r="ULS88" s="587" t="n"/>
      <c r="ULT88" s="587" t="n"/>
      <c r="ULU88" s="587" t="n"/>
      <c r="ULV88" s="587" t="n"/>
      <c r="ULW88" s="587" t="n"/>
      <c r="ULX88" s="587" t="n"/>
      <c r="ULY88" s="587" t="n"/>
      <c r="ULZ88" s="587" t="n"/>
      <c r="UMA88" s="587" t="n"/>
      <c r="UMB88" s="587" t="n"/>
      <c r="UMC88" s="587" t="n"/>
      <c r="UMD88" s="587" t="n"/>
      <c r="UME88" s="587" t="n"/>
      <c r="UMF88" s="587" t="n"/>
      <c r="UMG88" s="587" t="n"/>
      <c r="UMH88" s="587" t="n"/>
      <c r="UMI88" s="587" t="n"/>
      <c r="UMJ88" s="587" t="n"/>
      <c r="UMK88" s="587" t="n"/>
      <c r="UML88" s="587" t="n"/>
      <c r="UMM88" s="587" t="n"/>
      <c r="UMN88" s="587" t="n"/>
      <c r="UMO88" s="587" t="n"/>
      <c r="UMP88" s="587" t="n"/>
      <c r="UMQ88" s="587" t="n"/>
      <c r="UMR88" s="587" t="n"/>
      <c r="UMS88" s="587" t="n"/>
      <c r="UMT88" s="587" t="n"/>
      <c r="UMU88" s="587" t="n"/>
      <c r="UMV88" s="587" t="n"/>
      <c r="UMW88" s="587" t="n"/>
      <c r="UMX88" s="587" t="n"/>
      <c r="UMY88" s="587" t="n"/>
      <c r="UMZ88" s="587" t="n"/>
      <c r="UNA88" s="587" t="n"/>
      <c r="UNB88" s="587" t="n"/>
      <c r="UNC88" s="587" t="n"/>
      <c r="UND88" s="587" t="n"/>
      <c r="UNE88" s="587" t="n"/>
      <c r="UNF88" s="587" t="n"/>
      <c r="UNG88" s="587" t="n"/>
      <c r="UNH88" s="587" t="n"/>
      <c r="UNI88" s="587" t="n"/>
      <c r="UNJ88" s="587" t="n"/>
      <c r="UNK88" s="587" t="n"/>
      <c r="UNL88" s="587" t="n"/>
      <c r="UNM88" s="587" t="n"/>
      <c r="UNN88" s="587" t="n"/>
      <c r="UNO88" s="587" t="n"/>
      <c r="UNP88" s="587" t="n"/>
      <c r="UNQ88" s="587" t="n"/>
      <c r="UNR88" s="587" t="n"/>
      <c r="UNS88" s="587" t="n"/>
      <c r="UNT88" s="587" t="n"/>
      <c r="UNU88" s="587" t="n"/>
      <c r="UNV88" s="587" t="n"/>
      <c r="UNW88" s="587" t="n"/>
      <c r="UNX88" s="587" t="n"/>
      <c r="UNY88" s="587" t="n"/>
      <c r="UNZ88" s="587" t="n"/>
      <c r="UOA88" s="587" t="n"/>
      <c r="UOB88" s="587" t="n"/>
      <c r="UOC88" s="587" t="n"/>
      <c r="UOD88" s="587" t="n"/>
      <c r="UOE88" s="587" t="n"/>
      <c r="UOF88" s="587" t="n"/>
      <c r="UOG88" s="587" t="n"/>
      <c r="UOH88" s="587" t="n"/>
      <c r="UOI88" s="587" t="n"/>
      <c r="UOJ88" s="587" t="n"/>
      <c r="UOK88" s="587" t="n"/>
      <c r="UOL88" s="587" t="n"/>
      <c r="UOM88" s="587" t="n"/>
      <c r="UON88" s="587" t="n"/>
      <c r="UOO88" s="587" t="n"/>
      <c r="UOP88" s="587" t="n"/>
      <c r="UOQ88" s="587" t="n"/>
      <c r="UOR88" s="587" t="n"/>
      <c r="UOS88" s="587" t="n"/>
      <c r="UOT88" s="587" t="n"/>
      <c r="UOU88" s="587" t="n"/>
      <c r="UOV88" s="587" t="n"/>
      <c r="UOW88" s="587" t="n"/>
      <c r="UOX88" s="587" t="n"/>
      <c r="UOY88" s="587" t="n"/>
      <c r="UOZ88" s="587" t="n"/>
      <c r="UPA88" s="587" t="n"/>
      <c r="UPB88" s="587" t="n"/>
      <c r="UPC88" s="587" t="n"/>
      <c r="UPD88" s="587" t="n"/>
      <c r="UPE88" s="587" t="n"/>
      <c r="UPF88" s="587" t="n"/>
      <c r="UPG88" s="587" t="n"/>
      <c r="UPH88" s="587" t="n"/>
      <c r="UPI88" s="587" t="n"/>
      <c r="UPJ88" s="587" t="n"/>
      <c r="UPK88" s="587" t="n"/>
      <c r="UPL88" s="587" t="n"/>
      <c r="UPM88" s="587" t="n"/>
      <c r="UPN88" s="587" t="n"/>
      <c r="UPO88" s="587" t="n"/>
      <c r="UPP88" s="587" t="n"/>
      <c r="UPQ88" s="587" t="n"/>
      <c r="UPR88" s="587" t="n"/>
      <c r="UPS88" s="587" t="n"/>
      <c r="UPT88" s="587" t="n"/>
      <c r="UPU88" s="587" t="n"/>
      <c r="UPV88" s="587" t="n"/>
      <c r="UPW88" s="587" t="n"/>
      <c r="UPX88" s="587" t="n"/>
      <c r="UPY88" s="587" t="n"/>
      <c r="UPZ88" s="587" t="n"/>
      <c r="UQA88" s="587" t="n"/>
      <c r="UQB88" s="587" t="n"/>
      <c r="UQC88" s="587" t="n"/>
      <c r="UQD88" s="587" t="n"/>
      <c r="UQE88" s="587" t="n"/>
      <c r="UQF88" s="587" t="n"/>
      <c r="UQG88" s="587" t="n"/>
      <c r="UQH88" s="587" t="n"/>
      <c r="UQI88" s="587" t="n"/>
      <c r="UQJ88" s="587" t="n"/>
      <c r="UQK88" s="587" t="n"/>
      <c r="UQL88" s="587" t="n"/>
      <c r="UQM88" s="587" t="n"/>
      <c r="UQN88" s="587" t="n"/>
      <c r="UQO88" s="587" t="n"/>
      <c r="UQP88" s="587" t="n"/>
      <c r="UQQ88" s="587" t="n"/>
      <c r="UQR88" s="587" t="n"/>
      <c r="UQS88" s="587" t="n"/>
      <c r="UQT88" s="587" t="n"/>
      <c r="UQU88" s="587" t="n"/>
      <c r="UQV88" s="587" t="n"/>
      <c r="UQW88" s="587" t="n"/>
      <c r="UQX88" s="587" t="n"/>
      <c r="UQY88" s="587" t="n"/>
      <c r="UQZ88" s="587" t="n"/>
      <c r="URA88" s="587" t="n"/>
      <c r="URB88" s="587" t="n"/>
      <c r="URC88" s="587" t="n"/>
      <c r="URD88" s="587" t="n"/>
      <c r="URE88" s="587" t="n"/>
      <c r="URF88" s="587" t="n"/>
      <c r="URG88" s="587" t="n"/>
      <c r="URH88" s="587" t="n"/>
      <c r="URI88" s="587" t="n"/>
      <c r="URJ88" s="587" t="n"/>
      <c r="URK88" s="587" t="n"/>
      <c r="URL88" s="587" t="n"/>
      <c r="URM88" s="587" t="n"/>
      <c r="URN88" s="587" t="n"/>
      <c r="URO88" s="587" t="n"/>
      <c r="URP88" s="587" t="n"/>
      <c r="URQ88" s="587" t="n"/>
      <c r="URR88" s="587" t="n"/>
      <c r="URS88" s="587" t="n"/>
      <c r="URT88" s="587" t="n"/>
      <c r="URU88" s="587" t="n"/>
      <c r="URV88" s="587" t="n"/>
      <c r="URW88" s="587" t="n"/>
      <c r="URX88" s="587" t="n"/>
      <c r="URY88" s="587" t="n"/>
      <c r="URZ88" s="587" t="n"/>
      <c r="USA88" s="587" t="n"/>
      <c r="USB88" s="587" t="n"/>
      <c r="USC88" s="587" t="n"/>
      <c r="USD88" s="587" t="n"/>
      <c r="USE88" s="587" t="n"/>
      <c r="USF88" s="587" t="n"/>
      <c r="USG88" s="587" t="n"/>
      <c r="USH88" s="587" t="n"/>
      <c r="USI88" s="587" t="n"/>
      <c r="USJ88" s="587" t="n"/>
      <c r="USK88" s="587" t="n"/>
      <c r="USL88" s="587" t="n"/>
      <c r="USM88" s="587" t="n"/>
      <c r="USN88" s="587" t="n"/>
      <c r="USO88" s="587" t="n"/>
      <c r="USP88" s="587" t="n"/>
      <c r="USQ88" s="587" t="n"/>
      <c r="USR88" s="587" t="n"/>
      <c r="USS88" s="587" t="n"/>
      <c r="UST88" s="587" t="n"/>
      <c r="USU88" s="587" t="n"/>
      <c r="USV88" s="587" t="n"/>
      <c r="USW88" s="587" t="n"/>
      <c r="USX88" s="587" t="n"/>
      <c r="USY88" s="587" t="n"/>
      <c r="USZ88" s="587" t="n"/>
      <c r="UTA88" s="587" t="n"/>
      <c r="UTB88" s="587" t="n"/>
      <c r="UTC88" s="587" t="n"/>
      <c r="UTD88" s="587" t="n"/>
      <c r="UTE88" s="587" t="n"/>
      <c r="UTF88" s="587" t="n"/>
      <c r="UTG88" s="587" t="n"/>
      <c r="UTH88" s="587" t="n"/>
      <c r="UTI88" s="587" t="n"/>
      <c r="UTJ88" s="587" t="n"/>
      <c r="UTK88" s="587" t="n"/>
      <c r="UTL88" s="587" t="n"/>
      <c r="UTM88" s="587" t="n"/>
      <c r="UTN88" s="587" t="n"/>
      <c r="UTO88" s="587" t="n"/>
      <c r="UTP88" s="587" t="n"/>
      <c r="UTQ88" s="587" t="n"/>
      <c r="UTR88" s="587" t="n"/>
      <c r="UTS88" s="587" t="n"/>
      <c r="UTT88" s="587" t="n"/>
      <c r="UTU88" s="587" t="n"/>
      <c r="UTV88" s="587" t="n"/>
      <c r="UTW88" s="587" t="n"/>
      <c r="UTX88" s="587" t="n"/>
      <c r="UTY88" s="587" t="n"/>
      <c r="UTZ88" s="587" t="n"/>
      <c r="UUA88" s="587" t="n"/>
      <c r="UUB88" s="587" t="n"/>
      <c r="UUC88" s="587" t="n"/>
      <c r="UUD88" s="587" t="n"/>
      <c r="UUE88" s="587" t="n"/>
      <c r="UUF88" s="587" t="n"/>
      <c r="UUG88" s="587" t="n"/>
      <c r="UUH88" s="587" t="n"/>
      <c r="UUI88" s="587" t="n"/>
      <c r="UUJ88" s="587" t="n"/>
      <c r="UUK88" s="587" t="n"/>
      <c r="UUL88" s="587" t="n"/>
      <c r="UUM88" s="587" t="n"/>
      <c r="UUN88" s="587" t="n"/>
      <c r="UUO88" s="587" t="n"/>
      <c r="UUP88" s="587" t="n"/>
      <c r="UUQ88" s="587" t="n"/>
      <c r="UUR88" s="587" t="n"/>
      <c r="UUS88" s="587" t="n"/>
      <c r="UUT88" s="587" t="n"/>
      <c r="UUU88" s="587" t="n"/>
      <c r="UUV88" s="587" t="n"/>
      <c r="UUW88" s="587" t="n"/>
      <c r="UUX88" s="587" t="n"/>
      <c r="UUY88" s="587" t="n"/>
      <c r="UUZ88" s="587" t="n"/>
      <c r="UVA88" s="587" t="n"/>
      <c r="UVB88" s="587" t="n"/>
      <c r="UVC88" s="587" t="n"/>
      <c r="UVD88" s="587" t="n"/>
      <c r="UVE88" s="587" t="n"/>
      <c r="UVF88" s="587" t="n"/>
      <c r="UVG88" s="587" t="n"/>
      <c r="UVH88" s="587" t="n"/>
      <c r="UVI88" s="587" t="n"/>
      <c r="UVJ88" s="587" t="n"/>
      <c r="UVK88" s="587" t="n"/>
      <c r="UVL88" s="587" t="n"/>
      <c r="UVM88" s="587" t="n"/>
      <c r="UVN88" s="587" t="n"/>
      <c r="UVO88" s="587" t="n"/>
      <c r="UVP88" s="587" t="n"/>
      <c r="UVQ88" s="587" t="n"/>
      <c r="UVR88" s="587" t="n"/>
      <c r="UVS88" s="587" t="n"/>
      <c r="UVT88" s="587" t="n"/>
      <c r="UVU88" s="587" t="n"/>
      <c r="UVV88" s="587" t="n"/>
      <c r="UVW88" s="587" t="n"/>
      <c r="UVX88" s="587" t="n"/>
      <c r="UVY88" s="587" t="n"/>
      <c r="UVZ88" s="587" t="n"/>
      <c r="UWA88" s="587" t="n"/>
      <c r="UWB88" s="587" t="n"/>
      <c r="UWC88" s="587" t="n"/>
      <c r="UWD88" s="587" t="n"/>
      <c r="UWE88" s="587" t="n"/>
      <c r="UWF88" s="587" t="n"/>
      <c r="UWG88" s="587" t="n"/>
      <c r="UWH88" s="587" t="n"/>
      <c r="UWI88" s="587" t="n"/>
      <c r="UWJ88" s="587" t="n"/>
      <c r="UWK88" s="587" t="n"/>
      <c r="UWL88" s="587" t="n"/>
      <c r="UWM88" s="587" t="n"/>
      <c r="UWN88" s="587" t="n"/>
      <c r="UWO88" s="587" t="n"/>
      <c r="UWP88" s="587" t="n"/>
      <c r="UWQ88" s="587" t="n"/>
      <c r="UWR88" s="587" t="n"/>
      <c r="UWS88" s="587" t="n"/>
      <c r="UWT88" s="587" t="n"/>
      <c r="UWU88" s="587" t="n"/>
      <c r="UWV88" s="587" t="n"/>
      <c r="UWW88" s="587" t="n"/>
      <c r="UWX88" s="587" t="n"/>
      <c r="UWY88" s="587" t="n"/>
      <c r="UWZ88" s="587" t="n"/>
      <c r="UXA88" s="587" t="n"/>
      <c r="UXB88" s="587" t="n"/>
      <c r="UXC88" s="587" t="n"/>
      <c r="UXD88" s="587" t="n"/>
      <c r="UXE88" s="587" t="n"/>
      <c r="UXF88" s="587" t="n"/>
      <c r="UXG88" s="587" t="n"/>
      <c r="UXH88" s="587" t="n"/>
      <c r="UXI88" s="587" t="n"/>
      <c r="UXJ88" s="587" t="n"/>
      <c r="UXK88" s="587" t="n"/>
      <c r="UXL88" s="587" t="n"/>
      <c r="UXM88" s="587" t="n"/>
      <c r="UXN88" s="587" t="n"/>
      <c r="UXO88" s="587" t="n"/>
      <c r="UXP88" s="587" t="n"/>
      <c r="UXQ88" s="587" t="n"/>
      <c r="UXR88" s="587" t="n"/>
      <c r="UXS88" s="587" t="n"/>
      <c r="UXT88" s="587" t="n"/>
      <c r="UXU88" s="587" t="n"/>
      <c r="UXV88" s="587" t="n"/>
      <c r="UXW88" s="587" t="n"/>
      <c r="UXX88" s="587" t="n"/>
      <c r="UXY88" s="587" t="n"/>
      <c r="UXZ88" s="587" t="n"/>
      <c r="UYA88" s="587" t="n"/>
      <c r="UYB88" s="587" t="n"/>
      <c r="UYC88" s="587" t="n"/>
      <c r="UYD88" s="587" t="n"/>
      <c r="UYE88" s="587" t="n"/>
      <c r="UYF88" s="587" t="n"/>
      <c r="UYG88" s="587" t="n"/>
      <c r="UYH88" s="587" t="n"/>
      <c r="UYI88" s="587" t="n"/>
      <c r="UYJ88" s="587" t="n"/>
      <c r="UYK88" s="587" t="n"/>
      <c r="UYL88" s="587" t="n"/>
      <c r="UYM88" s="587" t="n"/>
      <c r="UYN88" s="587" t="n"/>
      <c r="UYO88" s="587" t="n"/>
      <c r="UYP88" s="587" t="n"/>
      <c r="UYQ88" s="587" t="n"/>
      <c r="UYR88" s="587" t="n"/>
      <c r="UYS88" s="587" t="n"/>
      <c r="UYT88" s="587" t="n"/>
      <c r="UYU88" s="587" t="n"/>
      <c r="UYV88" s="587" t="n"/>
      <c r="UYW88" s="587" t="n"/>
      <c r="UYX88" s="587" t="n"/>
      <c r="UYY88" s="587" t="n"/>
      <c r="UYZ88" s="587" t="n"/>
      <c r="UZA88" s="587" t="n"/>
      <c r="UZB88" s="587" t="n"/>
      <c r="UZC88" s="587" t="n"/>
      <c r="UZD88" s="587" t="n"/>
      <c r="UZE88" s="587" t="n"/>
      <c r="UZF88" s="587" t="n"/>
      <c r="UZG88" s="587" t="n"/>
      <c r="UZH88" s="587" t="n"/>
      <c r="UZI88" s="587" t="n"/>
      <c r="UZJ88" s="587" t="n"/>
      <c r="UZK88" s="587" t="n"/>
      <c r="UZL88" s="587" t="n"/>
      <c r="UZM88" s="587" t="n"/>
      <c r="UZN88" s="587" t="n"/>
      <c r="UZO88" s="587" t="n"/>
      <c r="UZP88" s="587" t="n"/>
      <c r="UZQ88" s="587" t="n"/>
      <c r="UZR88" s="587" t="n"/>
      <c r="UZS88" s="587" t="n"/>
      <c r="UZT88" s="587" t="n"/>
      <c r="UZU88" s="587" t="n"/>
      <c r="UZV88" s="587" t="n"/>
      <c r="UZW88" s="587" t="n"/>
      <c r="UZX88" s="587" t="n"/>
      <c r="UZY88" s="587" t="n"/>
      <c r="UZZ88" s="587" t="n"/>
      <c r="VAA88" s="587" t="n"/>
      <c r="VAB88" s="587" t="n"/>
      <c r="VAC88" s="587" t="n"/>
      <c r="VAD88" s="587" t="n"/>
      <c r="VAE88" s="587" t="n"/>
      <c r="VAF88" s="587" t="n"/>
      <c r="VAG88" s="587" t="n"/>
      <c r="VAH88" s="587" t="n"/>
      <c r="VAI88" s="587" t="n"/>
      <c r="VAJ88" s="587" t="n"/>
      <c r="VAK88" s="587" t="n"/>
      <c r="VAL88" s="587" t="n"/>
      <c r="VAM88" s="587" t="n"/>
      <c r="VAN88" s="587" t="n"/>
      <c r="VAO88" s="587" t="n"/>
      <c r="VAP88" s="587" t="n"/>
      <c r="VAQ88" s="587" t="n"/>
      <c r="VAR88" s="587" t="n"/>
      <c r="VAS88" s="587" t="n"/>
      <c r="VAT88" s="587" t="n"/>
      <c r="VAU88" s="587" t="n"/>
      <c r="VAV88" s="587" t="n"/>
      <c r="VAW88" s="587" t="n"/>
      <c r="VAX88" s="587" t="n"/>
      <c r="VAY88" s="587" t="n"/>
      <c r="VAZ88" s="587" t="n"/>
      <c r="VBA88" s="587" t="n"/>
      <c r="VBB88" s="587" t="n"/>
      <c r="VBC88" s="587" t="n"/>
      <c r="VBD88" s="587" t="n"/>
      <c r="VBE88" s="587" t="n"/>
      <c r="VBF88" s="587" t="n"/>
      <c r="VBG88" s="587" t="n"/>
      <c r="VBH88" s="587" t="n"/>
      <c r="VBI88" s="587" t="n"/>
      <c r="VBJ88" s="587" t="n"/>
      <c r="VBK88" s="587" t="n"/>
      <c r="VBL88" s="587" t="n"/>
      <c r="VBM88" s="587" t="n"/>
      <c r="VBN88" s="587" t="n"/>
      <c r="VBO88" s="587" t="n"/>
      <c r="VBP88" s="587" t="n"/>
      <c r="VBQ88" s="587" t="n"/>
      <c r="VBR88" s="587" t="n"/>
      <c r="VBS88" s="587" t="n"/>
      <c r="VBT88" s="587" t="n"/>
      <c r="VBU88" s="587" t="n"/>
      <c r="VBV88" s="587" t="n"/>
      <c r="VBW88" s="587" t="n"/>
      <c r="VBX88" s="587" t="n"/>
      <c r="VBY88" s="587" t="n"/>
      <c r="VBZ88" s="587" t="n"/>
      <c r="VCA88" s="587" t="n"/>
      <c r="VCB88" s="587" t="n"/>
      <c r="VCC88" s="587" t="n"/>
      <c r="VCD88" s="587" t="n"/>
      <c r="VCE88" s="587" t="n"/>
      <c r="VCF88" s="587" t="n"/>
      <c r="VCG88" s="587" t="n"/>
      <c r="VCH88" s="587" t="n"/>
      <c r="VCI88" s="587" t="n"/>
      <c r="VCJ88" s="587" t="n"/>
      <c r="VCK88" s="587" t="n"/>
      <c r="VCL88" s="587" t="n"/>
      <c r="VCM88" s="587" t="n"/>
      <c r="VCN88" s="587" t="n"/>
      <c r="VCO88" s="587" t="n"/>
      <c r="VCP88" s="587" t="n"/>
      <c r="VCQ88" s="587" t="n"/>
      <c r="VCR88" s="587" t="n"/>
      <c r="VCS88" s="587" t="n"/>
      <c r="VCT88" s="587" t="n"/>
      <c r="VCU88" s="587" t="n"/>
      <c r="VCV88" s="587" t="n"/>
      <c r="VCW88" s="587" t="n"/>
      <c r="VCX88" s="587" t="n"/>
      <c r="VCY88" s="587" t="n"/>
      <c r="VCZ88" s="587" t="n"/>
      <c r="VDA88" s="587" t="n"/>
      <c r="VDB88" s="587" t="n"/>
      <c r="VDC88" s="587" t="n"/>
      <c r="VDD88" s="587" t="n"/>
      <c r="VDE88" s="587" t="n"/>
      <c r="VDF88" s="587" t="n"/>
      <c r="VDG88" s="587" t="n"/>
      <c r="VDH88" s="587" t="n"/>
      <c r="VDI88" s="587" t="n"/>
      <c r="VDJ88" s="587" t="n"/>
      <c r="VDK88" s="587" t="n"/>
      <c r="VDL88" s="587" t="n"/>
      <c r="VDM88" s="587" t="n"/>
      <c r="VDN88" s="587" t="n"/>
      <c r="VDO88" s="587" t="n"/>
      <c r="VDP88" s="587" t="n"/>
      <c r="VDQ88" s="587" t="n"/>
      <c r="VDR88" s="587" t="n"/>
      <c r="VDS88" s="587" t="n"/>
      <c r="VDT88" s="587" t="n"/>
      <c r="VDU88" s="587" t="n"/>
      <c r="VDV88" s="587" t="n"/>
      <c r="VDW88" s="587" t="n"/>
      <c r="VDX88" s="587" t="n"/>
      <c r="VDY88" s="587" t="n"/>
      <c r="VDZ88" s="587" t="n"/>
      <c r="VEA88" s="587" t="n"/>
      <c r="VEB88" s="587" t="n"/>
      <c r="VEC88" s="587" t="n"/>
      <c r="VED88" s="587" t="n"/>
      <c r="VEE88" s="587" t="n"/>
      <c r="VEF88" s="587" t="n"/>
      <c r="VEG88" s="587" t="n"/>
      <c r="VEH88" s="587" t="n"/>
      <c r="VEI88" s="587" t="n"/>
      <c r="VEJ88" s="587" t="n"/>
      <c r="VEK88" s="587" t="n"/>
      <c r="VEL88" s="587" t="n"/>
      <c r="VEM88" s="587" t="n"/>
      <c r="VEN88" s="587" t="n"/>
      <c r="VEO88" s="587" t="n"/>
      <c r="VEP88" s="587" t="n"/>
      <c r="VEQ88" s="587" t="n"/>
      <c r="VER88" s="587" t="n"/>
      <c r="VES88" s="587" t="n"/>
      <c r="VET88" s="587" t="n"/>
      <c r="VEU88" s="587" t="n"/>
      <c r="VEV88" s="587" t="n"/>
      <c r="VEW88" s="587" t="n"/>
      <c r="VEX88" s="587" t="n"/>
      <c r="VEY88" s="587" t="n"/>
      <c r="VEZ88" s="587" t="n"/>
      <c r="VFA88" s="587" t="n"/>
      <c r="VFB88" s="587" t="n"/>
      <c r="VFC88" s="587" t="n"/>
      <c r="VFD88" s="587" t="n"/>
      <c r="VFE88" s="587" t="n"/>
      <c r="VFF88" s="587" t="n"/>
      <c r="VFG88" s="587" t="n"/>
      <c r="VFH88" s="587" t="n"/>
      <c r="VFI88" s="587" t="n"/>
      <c r="VFJ88" s="587" t="n"/>
      <c r="VFK88" s="587" t="n"/>
      <c r="VFL88" s="587" t="n"/>
      <c r="VFM88" s="587" t="n"/>
      <c r="VFN88" s="587" t="n"/>
      <c r="VFO88" s="587" t="n"/>
      <c r="VFP88" s="587" t="n"/>
      <c r="VFQ88" s="587" t="n"/>
      <c r="VFR88" s="587" t="n"/>
      <c r="VFS88" s="587" t="n"/>
      <c r="VFT88" s="587" t="n"/>
      <c r="VFU88" s="587" t="n"/>
      <c r="VFV88" s="587" t="n"/>
      <c r="VFW88" s="587" t="n"/>
      <c r="VFX88" s="587" t="n"/>
      <c r="VFY88" s="587" t="n"/>
      <c r="VFZ88" s="587" t="n"/>
      <c r="VGA88" s="587" t="n"/>
      <c r="VGB88" s="587" t="n"/>
      <c r="VGC88" s="587" t="n"/>
      <c r="VGD88" s="587" t="n"/>
      <c r="VGE88" s="587" t="n"/>
      <c r="VGF88" s="587" t="n"/>
      <c r="VGG88" s="587" t="n"/>
      <c r="VGH88" s="587" t="n"/>
      <c r="VGI88" s="587" t="n"/>
      <c r="VGJ88" s="587" t="n"/>
      <c r="VGK88" s="587" t="n"/>
      <c r="VGL88" s="587" t="n"/>
      <c r="VGM88" s="587" t="n"/>
      <c r="VGN88" s="587" t="n"/>
      <c r="VGO88" s="587" t="n"/>
      <c r="VGP88" s="587" t="n"/>
      <c r="VGQ88" s="587" t="n"/>
      <c r="VGR88" s="587" t="n"/>
      <c r="VGS88" s="587" t="n"/>
      <c r="VGT88" s="587" t="n"/>
      <c r="VGU88" s="587" t="n"/>
      <c r="VGV88" s="587" t="n"/>
      <c r="VGW88" s="587" t="n"/>
      <c r="VGX88" s="587" t="n"/>
      <c r="VGY88" s="587" t="n"/>
      <c r="VGZ88" s="587" t="n"/>
      <c r="VHA88" s="587" t="n"/>
      <c r="VHB88" s="587" t="n"/>
      <c r="VHC88" s="587" t="n"/>
      <c r="VHD88" s="587" t="n"/>
      <c r="VHE88" s="587" t="n"/>
      <c r="VHF88" s="587" t="n"/>
      <c r="VHG88" s="587" t="n"/>
      <c r="VHH88" s="587" t="n"/>
      <c r="VHI88" s="587" t="n"/>
      <c r="VHJ88" s="587" t="n"/>
      <c r="VHK88" s="587" t="n"/>
      <c r="VHL88" s="587" t="n"/>
      <c r="VHM88" s="587" t="n"/>
      <c r="VHN88" s="587" t="n"/>
      <c r="VHO88" s="587" t="n"/>
      <c r="VHP88" s="587" t="n"/>
      <c r="VHQ88" s="587" t="n"/>
      <c r="VHR88" s="587" t="n"/>
      <c r="VHS88" s="587" t="n"/>
      <c r="VHT88" s="587" t="n"/>
      <c r="VHU88" s="587" t="n"/>
      <c r="VHV88" s="587" t="n"/>
      <c r="VHW88" s="587" t="n"/>
      <c r="VHX88" s="587" t="n"/>
      <c r="VHY88" s="587" t="n"/>
      <c r="VHZ88" s="587" t="n"/>
      <c r="VIA88" s="587" t="n"/>
      <c r="VIB88" s="587" t="n"/>
      <c r="VIC88" s="587" t="n"/>
      <c r="VID88" s="587" t="n"/>
      <c r="VIE88" s="587" t="n"/>
      <c r="VIF88" s="587" t="n"/>
      <c r="VIG88" s="587" t="n"/>
      <c r="VIH88" s="587" t="n"/>
      <c r="VII88" s="587" t="n"/>
      <c r="VIJ88" s="587" t="n"/>
      <c r="VIK88" s="587" t="n"/>
      <c r="VIL88" s="587" t="n"/>
      <c r="VIM88" s="587" t="n"/>
      <c r="VIN88" s="587" t="n"/>
      <c r="VIO88" s="587" t="n"/>
      <c r="VIP88" s="587" t="n"/>
      <c r="VIQ88" s="587" t="n"/>
      <c r="VIR88" s="587" t="n"/>
      <c r="VIS88" s="587" t="n"/>
      <c r="VIT88" s="587" t="n"/>
      <c r="VIU88" s="587" t="n"/>
      <c r="VIV88" s="587" t="n"/>
      <c r="VIW88" s="587" t="n"/>
      <c r="VIX88" s="587" t="n"/>
      <c r="VIY88" s="587" t="n"/>
      <c r="VIZ88" s="587" t="n"/>
      <c r="VJA88" s="587" t="n"/>
      <c r="VJB88" s="587" t="n"/>
      <c r="VJC88" s="587" t="n"/>
      <c r="VJD88" s="587" t="n"/>
      <c r="VJE88" s="587" t="n"/>
      <c r="VJF88" s="587" t="n"/>
      <c r="VJG88" s="587" t="n"/>
      <c r="VJH88" s="587" t="n"/>
      <c r="VJI88" s="587" t="n"/>
      <c r="VJJ88" s="587" t="n"/>
      <c r="VJK88" s="587" t="n"/>
      <c r="VJL88" s="587" t="n"/>
      <c r="VJM88" s="587" t="n"/>
      <c r="VJN88" s="587" t="n"/>
      <c r="VJO88" s="587" t="n"/>
      <c r="VJP88" s="587" t="n"/>
      <c r="VJQ88" s="587" t="n"/>
      <c r="VJR88" s="587" t="n"/>
      <c r="VJS88" s="587" t="n"/>
      <c r="VJT88" s="587" t="n"/>
      <c r="VJU88" s="587" t="n"/>
      <c r="VJV88" s="587" t="n"/>
      <c r="VJW88" s="587" t="n"/>
      <c r="VJX88" s="587" t="n"/>
      <c r="VJY88" s="587" t="n"/>
      <c r="VJZ88" s="587" t="n"/>
      <c r="VKA88" s="587" t="n"/>
      <c r="VKB88" s="587" t="n"/>
      <c r="VKC88" s="587" t="n"/>
      <c r="VKD88" s="587" t="n"/>
      <c r="VKE88" s="587" t="n"/>
      <c r="VKF88" s="587" t="n"/>
      <c r="VKG88" s="587" t="n"/>
      <c r="VKH88" s="587" t="n"/>
      <c r="VKI88" s="587" t="n"/>
      <c r="VKJ88" s="587" t="n"/>
      <c r="VKK88" s="587" t="n"/>
      <c r="VKL88" s="587" t="n"/>
      <c r="VKM88" s="587" t="n"/>
      <c r="VKN88" s="587" t="n"/>
      <c r="VKO88" s="587" t="n"/>
      <c r="VKP88" s="587" t="n"/>
      <c r="VKQ88" s="587" t="n"/>
      <c r="VKR88" s="587" t="n"/>
      <c r="VKS88" s="587" t="n"/>
      <c r="VKT88" s="587" t="n"/>
      <c r="VKU88" s="587" t="n"/>
      <c r="VKV88" s="587" t="n"/>
      <c r="VKW88" s="587" t="n"/>
      <c r="VKX88" s="587" t="n"/>
      <c r="VKY88" s="587" t="n"/>
      <c r="VKZ88" s="587" t="n"/>
      <c r="VLA88" s="587" t="n"/>
      <c r="VLB88" s="587" t="n"/>
      <c r="VLC88" s="587" t="n"/>
      <c r="VLD88" s="587" t="n"/>
      <c r="VLE88" s="587" t="n"/>
      <c r="VLF88" s="587" t="n"/>
      <c r="VLG88" s="587" t="n"/>
      <c r="VLH88" s="587" t="n"/>
      <c r="VLI88" s="587" t="n"/>
      <c r="VLJ88" s="587" t="n"/>
      <c r="VLK88" s="587" t="n"/>
      <c r="VLL88" s="587" t="n"/>
      <c r="VLM88" s="587" t="n"/>
      <c r="VLN88" s="587" t="n"/>
      <c r="VLO88" s="587" t="n"/>
      <c r="VLP88" s="587" t="n"/>
      <c r="VLQ88" s="587" t="n"/>
      <c r="VLR88" s="587" t="n"/>
      <c r="VLS88" s="587" t="n"/>
      <c r="VLT88" s="587" t="n"/>
      <c r="VLU88" s="587" t="n"/>
      <c r="VLV88" s="587" t="n"/>
      <c r="VLW88" s="587" t="n"/>
      <c r="VLX88" s="587" t="n"/>
      <c r="VLY88" s="587" t="n"/>
      <c r="VLZ88" s="587" t="n"/>
      <c r="VMA88" s="587" t="n"/>
      <c r="VMB88" s="587" t="n"/>
      <c r="VMC88" s="587" t="n"/>
      <c r="VMD88" s="587" t="n"/>
      <c r="VME88" s="587" t="n"/>
      <c r="VMF88" s="587" t="n"/>
      <c r="VMG88" s="587" t="n"/>
      <c r="VMH88" s="587" t="n"/>
      <c r="VMI88" s="587" t="n"/>
      <c r="VMJ88" s="587" t="n"/>
      <c r="VMK88" s="587" t="n"/>
      <c r="VML88" s="587" t="n"/>
      <c r="VMM88" s="587" t="n"/>
      <c r="VMN88" s="587" t="n"/>
      <c r="VMO88" s="587" t="n"/>
      <c r="VMP88" s="587" t="n"/>
      <c r="VMQ88" s="587" t="n"/>
      <c r="VMR88" s="587" t="n"/>
      <c r="VMS88" s="587" t="n"/>
      <c r="VMT88" s="587" t="n"/>
      <c r="VMU88" s="587" t="n"/>
      <c r="VMV88" s="587" t="n"/>
      <c r="VMW88" s="587" t="n"/>
      <c r="VMX88" s="587" t="n"/>
      <c r="VMY88" s="587" t="n"/>
      <c r="VMZ88" s="587" t="n"/>
      <c r="VNA88" s="587" t="n"/>
      <c r="VNB88" s="587" t="n"/>
      <c r="VNC88" s="587" t="n"/>
      <c r="VND88" s="587" t="n"/>
      <c r="VNE88" s="587" t="n"/>
      <c r="VNF88" s="587" t="n"/>
      <c r="VNG88" s="587" t="n"/>
      <c r="VNH88" s="587" t="n"/>
      <c r="VNI88" s="587" t="n"/>
      <c r="VNJ88" s="587" t="n"/>
      <c r="VNK88" s="587" t="n"/>
      <c r="VNL88" s="587" t="n"/>
      <c r="VNM88" s="587" t="n"/>
      <c r="VNN88" s="587" t="n"/>
      <c r="VNO88" s="587" t="n"/>
      <c r="VNP88" s="587" t="n"/>
      <c r="VNQ88" s="587" t="n"/>
      <c r="VNR88" s="587" t="n"/>
      <c r="VNS88" s="587" t="n"/>
      <c r="VNT88" s="587" t="n"/>
      <c r="VNU88" s="587" t="n"/>
      <c r="VNV88" s="587" t="n"/>
      <c r="VNW88" s="587" t="n"/>
      <c r="VNX88" s="587" t="n"/>
      <c r="VNY88" s="587" t="n"/>
      <c r="VNZ88" s="587" t="n"/>
      <c r="VOA88" s="587" t="n"/>
      <c r="VOB88" s="587" t="n"/>
      <c r="VOC88" s="587" t="n"/>
      <c r="VOD88" s="587" t="n"/>
      <c r="VOE88" s="587" t="n"/>
      <c r="VOF88" s="587" t="n"/>
      <c r="VOG88" s="587" t="n"/>
      <c r="VOH88" s="587" t="n"/>
      <c r="VOI88" s="587" t="n"/>
      <c r="VOJ88" s="587" t="n"/>
      <c r="VOK88" s="587" t="n"/>
      <c r="VOL88" s="587" t="n"/>
      <c r="VOM88" s="587" t="n"/>
      <c r="VON88" s="587" t="n"/>
      <c r="VOO88" s="587" t="n"/>
      <c r="VOP88" s="587" t="n"/>
      <c r="VOQ88" s="587" t="n"/>
      <c r="VOR88" s="587" t="n"/>
      <c r="VOS88" s="587" t="n"/>
      <c r="VOT88" s="587" t="n"/>
      <c r="VOU88" s="587" t="n"/>
      <c r="VOV88" s="587" t="n"/>
      <c r="VOW88" s="587" t="n"/>
      <c r="VOX88" s="587" t="n"/>
      <c r="VOY88" s="587" t="n"/>
      <c r="VOZ88" s="587" t="n"/>
      <c r="VPA88" s="587" t="n"/>
      <c r="VPB88" s="587" t="n"/>
      <c r="VPC88" s="587" t="n"/>
      <c r="VPD88" s="587" t="n"/>
      <c r="VPE88" s="587" t="n"/>
      <c r="VPF88" s="587" t="n"/>
      <c r="VPG88" s="587" t="n"/>
      <c r="VPH88" s="587" t="n"/>
      <c r="VPI88" s="587" t="n"/>
      <c r="VPJ88" s="587" t="n"/>
      <c r="VPK88" s="587" t="n"/>
      <c r="VPL88" s="587" t="n"/>
      <c r="VPM88" s="587" t="n"/>
      <c r="VPN88" s="587" t="n"/>
      <c r="VPO88" s="587" t="n"/>
      <c r="VPP88" s="587" t="n"/>
      <c r="VPQ88" s="587" t="n"/>
      <c r="VPR88" s="587" t="n"/>
      <c r="VPS88" s="587" t="n"/>
      <c r="VPT88" s="587" t="n"/>
      <c r="VPU88" s="587" t="n"/>
      <c r="VPV88" s="587" t="n"/>
      <c r="VPW88" s="587" t="n"/>
      <c r="VPX88" s="587" t="n"/>
      <c r="VPY88" s="587" t="n"/>
      <c r="VPZ88" s="587" t="n"/>
      <c r="VQA88" s="587" t="n"/>
      <c r="VQB88" s="587" t="n"/>
      <c r="VQC88" s="587" t="n"/>
      <c r="VQD88" s="587" t="n"/>
      <c r="VQE88" s="587" t="n"/>
      <c r="VQF88" s="587" t="n"/>
      <c r="VQG88" s="587" t="n"/>
      <c r="VQH88" s="587" t="n"/>
      <c r="VQI88" s="587" t="n"/>
      <c r="VQJ88" s="587" t="n"/>
      <c r="VQK88" s="587" t="n"/>
      <c r="VQL88" s="587" t="n"/>
      <c r="VQM88" s="587" t="n"/>
      <c r="VQN88" s="587" t="n"/>
      <c r="VQO88" s="587" t="n"/>
      <c r="VQP88" s="587" t="n"/>
      <c r="VQQ88" s="587" t="n"/>
      <c r="VQR88" s="587" t="n"/>
      <c r="VQS88" s="587" t="n"/>
      <c r="VQT88" s="587" t="n"/>
      <c r="VQU88" s="587" t="n"/>
      <c r="VQV88" s="587" t="n"/>
      <c r="VQW88" s="587" t="n"/>
      <c r="VQX88" s="587" t="n"/>
      <c r="VQY88" s="587" t="n"/>
      <c r="VQZ88" s="587" t="n"/>
      <c r="VRA88" s="587" t="n"/>
      <c r="VRB88" s="587" t="n"/>
      <c r="VRC88" s="587" t="n"/>
      <c r="VRD88" s="587" t="n"/>
      <c r="VRE88" s="587" t="n"/>
      <c r="VRF88" s="587" t="n"/>
      <c r="VRG88" s="587" t="n"/>
      <c r="VRH88" s="587" t="n"/>
      <c r="VRI88" s="587" t="n"/>
      <c r="VRJ88" s="587" t="n"/>
      <c r="VRK88" s="587" t="n"/>
      <c r="VRL88" s="587" t="n"/>
      <c r="VRM88" s="587" t="n"/>
      <c r="VRN88" s="587" t="n"/>
      <c r="VRO88" s="587" t="n"/>
      <c r="VRP88" s="587" t="n"/>
      <c r="VRQ88" s="587" t="n"/>
      <c r="VRR88" s="587" t="n"/>
      <c r="VRS88" s="587" t="n"/>
      <c r="VRT88" s="587" t="n"/>
      <c r="VRU88" s="587" t="n"/>
      <c r="VRV88" s="587" t="n"/>
      <c r="VRW88" s="587" t="n"/>
      <c r="VRX88" s="587" t="n"/>
      <c r="VRY88" s="587" t="n"/>
      <c r="VRZ88" s="587" t="n"/>
      <c r="VSA88" s="587" t="n"/>
      <c r="VSB88" s="587" t="n"/>
      <c r="VSC88" s="587" t="n"/>
      <c r="VSD88" s="587" t="n"/>
      <c r="VSE88" s="587" t="n"/>
      <c r="VSF88" s="587" t="n"/>
      <c r="VSG88" s="587" t="n"/>
      <c r="VSH88" s="587" t="n"/>
      <c r="VSI88" s="587" t="n"/>
      <c r="VSJ88" s="587" t="n"/>
      <c r="VSK88" s="587" t="n"/>
      <c r="VSL88" s="587" t="n"/>
      <c r="VSM88" s="587" t="n"/>
      <c r="VSN88" s="587" t="n"/>
      <c r="VSO88" s="587" t="n"/>
      <c r="VSP88" s="587" t="n"/>
      <c r="VSQ88" s="587" t="n"/>
      <c r="VSR88" s="587" t="n"/>
      <c r="VSS88" s="587" t="n"/>
      <c r="VST88" s="587" t="n"/>
      <c r="VSU88" s="587" t="n"/>
      <c r="VSV88" s="587" t="n"/>
      <c r="VSW88" s="587" t="n"/>
      <c r="VSX88" s="587" t="n"/>
      <c r="VSY88" s="587" t="n"/>
      <c r="VSZ88" s="587" t="n"/>
      <c r="VTA88" s="587" t="n"/>
      <c r="VTB88" s="587" t="n"/>
      <c r="VTC88" s="587" t="n"/>
      <c r="VTD88" s="587" t="n"/>
      <c r="VTE88" s="587" t="n"/>
      <c r="VTF88" s="587" t="n"/>
      <c r="VTG88" s="587" t="n"/>
      <c r="VTH88" s="587" t="n"/>
      <c r="VTI88" s="587" t="n"/>
      <c r="VTJ88" s="587" t="n"/>
      <c r="VTK88" s="587" t="n"/>
      <c r="VTL88" s="587" t="n"/>
      <c r="VTM88" s="587" t="n"/>
      <c r="VTN88" s="587" t="n"/>
      <c r="VTO88" s="587" t="n"/>
      <c r="VTP88" s="587" t="n"/>
      <c r="VTQ88" s="587" t="n"/>
      <c r="VTR88" s="587" t="n"/>
      <c r="VTS88" s="587" t="n"/>
      <c r="VTT88" s="587" t="n"/>
      <c r="VTU88" s="587" t="n"/>
      <c r="VTV88" s="587" t="n"/>
      <c r="VTW88" s="587" t="n"/>
      <c r="VTX88" s="587" t="n"/>
      <c r="VTY88" s="587" t="n"/>
      <c r="VTZ88" s="587" t="n"/>
      <c r="VUA88" s="587" t="n"/>
      <c r="VUB88" s="587" t="n"/>
      <c r="VUC88" s="587" t="n"/>
      <c r="VUD88" s="587" t="n"/>
      <c r="VUE88" s="587" t="n"/>
      <c r="VUF88" s="587" t="n"/>
      <c r="VUG88" s="587" t="n"/>
      <c r="VUH88" s="587" t="n"/>
      <c r="VUI88" s="587" t="n"/>
      <c r="VUJ88" s="587" t="n"/>
      <c r="VUK88" s="587" t="n"/>
      <c r="VUL88" s="587" t="n"/>
      <c r="VUM88" s="587" t="n"/>
      <c r="VUN88" s="587" t="n"/>
      <c r="VUO88" s="587" t="n"/>
      <c r="VUP88" s="587" t="n"/>
      <c r="VUQ88" s="587" t="n"/>
      <c r="VUR88" s="587" t="n"/>
      <c r="VUS88" s="587" t="n"/>
      <c r="VUT88" s="587" t="n"/>
      <c r="VUU88" s="587" t="n"/>
      <c r="VUV88" s="587" t="n"/>
      <c r="VUW88" s="587" t="n"/>
      <c r="VUX88" s="587" t="n"/>
      <c r="VUY88" s="587" t="n"/>
      <c r="VUZ88" s="587" t="n"/>
      <c r="VVA88" s="587" t="n"/>
      <c r="VVB88" s="587" t="n"/>
      <c r="VVC88" s="587" t="n"/>
      <c r="VVD88" s="587" t="n"/>
      <c r="VVE88" s="587" t="n"/>
      <c r="VVF88" s="587" t="n"/>
      <c r="VVG88" s="587" t="n"/>
      <c r="VVH88" s="587" t="n"/>
      <c r="VVI88" s="587" t="n"/>
      <c r="VVJ88" s="587" t="n"/>
      <c r="VVK88" s="587" t="n"/>
      <c r="VVL88" s="587" t="n"/>
      <c r="VVM88" s="587" t="n"/>
      <c r="VVN88" s="587" t="n"/>
      <c r="VVO88" s="587" t="n"/>
      <c r="VVP88" s="587" t="n"/>
      <c r="VVQ88" s="587" t="n"/>
      <c r="VVR88" s="587" t="n"/>
      <c r="VVS88" s="587" t="n"/>
      <c r="VVT88" s="587" t="n"/>
      <c r="VVU88" s="587" t="n"/>
      <c r="VVV88" s="587" t="n"/>
      <c r="VVW88" s="587" t="n"/>
      <c r="VVX88" s="587" t="n"/>
      <c r="VVY88" s="587" t="n"/>
      <c r="VVZ88" s="587" t="n"/>
      <c r="VWA88" s="587" t="n"/>
      <c r="VWB88" s="587" t="n"/>
      <c r="VWC88" s="587" t="n"/>
      <c r="VWD88" s="587" t="n"/>
      <c r="VWE88" s="587" t="n"/>
      <c r="VWF88" s="587" t="n"/>
      <c r="VWG88" s="587" t="n"/>
      <c r="VWH88" s="587" t="n"/>
      <c r="VWI88" s="587" t="n"/>
      <c r="VWJ88" s="587" t="n"/>
      <c r="VWK88" s="587" t="n"/>
      <c r="VWL88" s="587" t="n"/>
      <c r="VWM88" s="587" t="n"/>
      <c r="VWN88" s="587" t="n"/>
      <c r="VWO88" s="587" t="n"/>
      <c r="VWP88" s="587" t="n"/>
      <c r="VWQ88" s="587" t="n"/>
      <c r="VWR88" s="587" t="n"/>
      <c r="VWS88" s="587" t="n"/>
      <c r="VWT88" s="587" t="n"/>
      <c r="VWU88" s="587" t="n"/>
      <c r="VWV88" s="587" t="n"/>
      <c r="VWW88" s="587" t="n"/>
      <c r="VWX88" s="587" t="n"/>
      <c r="VWY88" s="587" t="n"/>
      <c r="VWZ88" s="587" t="n"/>
      <c r="VXA88" s="587" t="n"/>
      <c r="VXB88" s="587" t="n"/>
      <c r="VXC88" s="587" t="n"/>
      <c r="VXD88" s="587" t="n"/>
      <c r="VXE88" s="587" t="n"/>
      <c r="VXF88" s="587" t="n"/>
      <c r="VXG88" s="587" t="n"/>
      <c r="VXH88" s="587" t="n"/>
      <c r="VXI88" s="587" t="n"/>
      <c r="VXJ88" s="587" t="n"/>
      <c r="VXK88" s="587" t="n"/>
      <c r="VXL88" s="587" t="n"/>
      <c r="VXM88" s="587" t="n"/>
      <c r="VXN88" s="587" t="n"/>
      <c r="VXO88" s="587" t="n"/>
      <c r="VXP88" s="587" t="n"/>
      <c r="VXQ88" s="587" t="n"/>
      <c r="VXR88" s="587" t="n"/>
      <c r="VXS88" s="587" t="n"/>
      <c r="VXT88" s="587" t="n"/>
      <c r="VXU88" s="587" t="n"/>
      <c r="VXV88" s="587" t="n"/>
      <c r="VXW88" s="587" t="n"/>
      <c r="VXX88" s="587" t="n"/>
      <c r="VXY88" s="587" t="n"/>
      <c r="VXZ88" s="587" t="n"/>
      <c r="VYA88" s="587" t="n"/>
      <c r="VYB88" s="587" t="n"/>
      <c r="VYC88" s="587" t="n"/>
      <c r="VYD88" s="587" t="n"/>
      <c r="VYE88" s="587" t="n"/>
      <c r="VYF88" s="587" t="n"/>
      <c r="VYG88" s="587" t="n"/>
      <c r="VYH88" s="587" t="n"/>
      <c r="VYI88" s="587" t="n"/>
      <c r="VYJ88" s="587" t="n"/>
      <c r="VYK88" s="587" t="n"/>
      <c r="VYL88" s="587" t="n"/>
      <c r="VYM88" s="587" t="n"/>
      <c r="VYN88" s="587" t="n"/>
      <c r="VYO88" s="587" t="n"/>
      <c r="VYP88" s="587" t="n"/>
      <c r="VYQ88" s="587" t="n"/>
      <c r="VYR88" s="587" t="n"/>
      <c r="VYS88" s="587" t="n"/>
      <c r="VYT88" s="587" t="n"/>
      <c r="VYU88" s="587" t="n"/>
      <c r="VYV88" s="587" t="n"/>
      <c r="VYW88" s="587" t="n"/>
      <c r="VYX88" s="587" t="n"/>
      <c r="VYY88" s="587" t="n"/>
      <c r="VYZ88" s="587" t="n"/>
      <c r="VZA88" s="587" t="n"/>
      <c r="VZB88" s="587" t="n"/>
      <c r="VZC88" s="587" t="n"/>
      <c r="VZD88" s="587" t="n"/>
      <c r="VZE88" s="587" t="n"/>
      <c r="VZF88" s="587" t="n"/>
      <c r="VZG88" s="587" t="n"/>
      <c r="VZH88" s="587" t="n"/>
      <c r="VZI88" s="587" t="n"/>
      <c r="VZJ88" s="587" t="n"/>
      <c r="VZK88" s="587" t="n"/>
      <c r="VZL88" s="587" t="n"/>
      <c r="VZM88" s="587" t="n"/>
      <c r="VZN88" s="587" t="n"/>
      <c r="VZO88" s="587" t="n"/>
      <c r="VZP88" s="587" t="n"/>
      <c r="VZQ88" s="587" t="n"/>
      <c r="VZR88" s="587" t="n"/>
      <c r="VZS88" s="587" t="n"/>
      <c r="VZT88" s="587" t="n"/>
      <c r="VZU88" s="587" t="n"/>
      <c r="VZV88" s="587" t="n"/>
      <c r="VZW88" s="587" t="n"/>
      <c r="VZX88" s="587" t="n"/>
      <c r="VZY88" s="587" t="n"/>
      <c r="VZZ88" s="587" t="n"/>
      <c r="WAA88" s="587" t="n"/>
      <c r="WAB88" s="587" t="n"/>
      <c r="WAC88" s="587" t="n"/>
      <c r="WAD88" s="587" t="n"/>
      <c r="WAE88" s="587" t="n"/>
      <c r="WAF88" s="587" t="n"/>
      <c r="WAG88" s="587" t="n"/>
      <c r="WAH88" s="587" t="n"/>
      <c r="WAI88" s="587" t="n"/>
      <c r="WAJ88" s="587" t="n"/>
      <c r="WAK88" s="587" t="n"/>
      <c r="WAL88" s="587" t="n"/>
      <c r="WAM88" s="587" t="n"/>
      <c r="WAN88" s="587" t="n"/>
      <c r="WAO88" s="587" t="n"/>
      <c r="WAP88" s="587" t="n"/>
      <c r="WAQ88" s="587" t="n"/>
      <c r="WAR88" s="587" t="n"/>
      <c r="WAS88" s="587" t="n"/>
      <c r="WAT88" s="587" t="n"/>
      <c r="WAU88" s="587" t="n"/>
      <c r="WAV88" s="587" t="n"/>
      <c r="WAW88" s="587" t="n"/>
      <c r="WAX88" s="587" t="n"/>
      <c r="WAY88" s="587" t="n"/>
      <c r="WAZ88" s="587" t="n"/>
      <c r="WBA88" s="587" t="n"/>
      <c r="WBB88" s="587" t="n"/>
      <c r="WBC88" s="587" t="n"/>
      <c r="WBD88" s="587" t="n"/>
      <c r="WBE88" s="587" t="n"/>
      <c r="WBF88" s="587" t="n"/>
      <c r="WBG88" s="587" t="n"/>
      <c r="WBH88" s="587" t="n"/>
      <c r="WBI88" s="587" t="n"/>
      <c r="WBJ88" s="587" t="n"/>
      <c r="WBK88" s="587" t="n"/>
      <c r="WBL88" s="587" t="n"/>
      <c r="WBM88" s="587" t="n"/>
      <c r="WBN88" s="587" t="n"/>
      <c r="WBO88" s="587" t="n"/>
      <c r="WBP88" s="587" t="n"/>
      <c r="WBQ88" s="587" t="n"/>
      <c r="WBR88" s="587" t="n"/>
      <c r="WBS88" s="587" t="n"/>
      <c r="WBT88" s="587" t="n"/>
      <c r="WBU88" s="587" t="n"/>
      <c r="WBV88" s="587" t="n"/>
      <c r="WBW88" s="587" t="n"/>
      <c r="WBX88" s="587" t="n"/>
      <c r="WBY88" s="587" t="n"/>
      <c r="WBZ88" s="587" t="n"/>
      <c r="WCA88" s="587" t="n"/>
      <c r="WCB88" s="587" t="n"/>
      <c r="WCC88" s="587" t="n"/>
      <c r="WCD88" s="587" t="n"/>
      <c r="WCE88" s="587" t="n"/>
      <c r="WCF88" s="587" t="n"/>
      <c r="WCG88" s="587" t="n"/>
      <c r="WCH88" s="587" t="n"/>
      <c r="WCI88" s="587" t="n"/>
      <c r="WCJ88" s="587" t="n"/>
      <c r="WCK88" s="587" t="n"/>
      <c r="WCL88" s="587" t="n"/>
      <c r="WCM88" s="587" t="n"/>
      <c r="WCN88" s="587" t="n"/>
      <c r="WCO88" s="587" t="n"/>
      <c r="WCP88" s="587" t="n"/>
      <c r="WCQ88" s="587" t="n"/>
      <c r="WCR88" s="587" t="n"/>
      <c r="WCS88" s="587" t="n"/>
      <c r="WCT88" s="587" t="n"/>
      <c r="WCU88" s="587" t="n"/>
      <c r="WCV88" s="587" t="n"/>
      <c r="WCW88" s="587" t="n"/>
      <c r="WCX88" s="587" t="n"/>
      <c r="WCY88" s="587" t="n"/>
      <c r="WCZ88" s="587" t="n"/>
      <c r="WDA88" s="587" t="n"/>
      <c r="WDB88" s="587" t="n"/>
      <c r="WDC88" s="587" t="n"/>
      <c r="WDD88" s="587" t="n"/>
      <c r="WDE88" s="587" t="n"/>
      <c r="WDF88" s="587" t="n"/>
      <c r="WDG88" s="587" t="n"/>
      <c r="WDH88" s="587" t="n"/>
      <c r="WDI88" s="587" t="n"/>
      <c r="WDJ88" s="587" t="n"/>
      <c r="WDK88" s="587" t="n"/>
      <c r="WDL88" s="587" t="n"/>
      <c r="WDM88" s="587" t="n"/>
      <c r="WDN88" s="587" t="n"/>
      <c r="WDO88" s="587" t="n"/>
      <c r="WDP88" s="587" t="n"/>
      <c r="WDQ88" s="587" t="n"/>
      <c r="WDR88" s="587" t="n"/>
      <c r="WDS88" s="587" t="n"/>
      <c r="WDT88" s="587" t="n"/>
      <c r="WDU88" s="587" t="n"/>
      <c r="WDV88" s="587" t="n"/>
      <c r="WDW88" s="587" t="n"/>
      <c r="WDX88" s="587" t="n"/>
      <c r="WDY88" s="587" t="n"/>
      <c r="WDZ88" s="587" t="n"/>
      <c r="WEA88" s="587" t="n"/>
      <c r="WEB88" s="587" t="n"/>
      <c r="WEC88" s="587" t="n"/>
      <c r="WED88" s="587" t="n"/>
      <c r="WEE88" s="587" t="n"/>
      <c r="WEF88" s="587" t="n"/>
      <c r="WEG88" s="587" t="n"/>
      <c r="WEH88" s="587" t="n"/>
      <c r="WEI88" s="587" t="n"/>
      <c r="WEJ88" s="587" t="n"/>
      <c r="WEK88" s="587" t="n"/>
      <c r="WEL88" s="587" t="n"/>
      <c r="WEM88" s="587" t="n"/>
      <c r="WEN88" s="587" t="n"/>
      <c r="WEO88" s="587" t="n"/>
      <c r="WEP88" s="587" t="n"/>
      <c r="WEQ88" s="587" t="n"/>
      <c r="WER88" s="587" t="n"/>
      <c r="WES88" s="587" t="n"/>
      <c r="WET88" s="587" t="n"/>
      <c r="WEU88" s="587" t="n"/>
      <c r="WEV88" s="587" t="n"/>
      <c r="WEW88" s="587" t="n"/>
      <c r="WEX88" s="587" t="n"/>
      <c r="WEY88" s="587" t="n"/>
      <c r="WEZ88" s="587" t="n"/>
      <c r="WFA88" s="587" t="n"/>
      <c r="WFB88" s="587" t="n"/>
      <c r="WFC88" s="587" t="n"/>
      <c r="WFD88" s="587" t="n"/>
      <c r="WFE88" s="587" t="n"/>
      <c r="WFF88" s="587" t="n"/>
      <c r="WFG88" s="587" t="n"/>
      <c r="WFH88" s="587" t="n"/>
      <c r="WFI88" s="587" t="n"/>
      <c r="WFJ88" s="587" t="n"/>
      <c r="WFK88" s="587" t="n"/>
      <c r="WFL88" s="587" t="n"/>
      <c r="WFM88" s="587" t="n"/>
      <c r="WFN88" s="587" t="n"/>
      <c r="WFO88" s="587" t="n"/>
      <c r="WFP88" s="587" t="n"/>
      <c r="WFQ88" s="587" t="n"/>
      <c r="WFR88" s="587" t="n"/>
      <c r="WFS88" s="587" t="n"/>
      <c r="WFT88" s="587" t="n"/>
      <c r="WFU88" s="587" t="n"/>
      <c r="WFV88" s="587" t="n"/>
      <c r="WFW88" s="587" t="n"/>
      <c r="WFX88" s="587" t="n"/>
      <c r="WFY88" s="587" t="n"/>
      <c r="WFZ88" s="587" t="n"/>
      <c r="WGA88" s="587" t="n"/>
      <c r="WGB88" s="587" t="n"/>
      <c r="WGC88" s="587" t="n"/>
      <c r="WGD88" s="587" t="n"/>
      <c r="WGE88" s="587" t="n"/>
      <c r="WGF88" s="587" t="n"/>
      <c r="WGG88" s="587" t="n"/>
      <c r="WGH88" s="587" t="n"/>
      <c r="WGI88" s="587" t="n"/>
      <c r="WGJ88" s="587" t="n"/>
      <c r="WGK88" s="587" t="n"/>
      <c r="WGL88" s="587" t="n"/>
      <c r="WGM88" s="587" t="n"/>
      <c r="WGN88" s="587" t="n"/>
      <c r="WGO88" s="587" t="n"/>
      <c r="WGP88" s="587" t="n"/>
      <c r="WGQ88" s="587" t="n"/>
      <c r="WGR88" s="587" t="n"/>
      <c r="WGS88" s="587" t="n"/>
      <c r="WGT88" s="587" t="n"/>
      <c r="WGU88" s="587" t="n"/>
      <c r="WGV88" s="587" t="n"/>
      <c r="WGW88" s="587" t="n"/>
      <c r="WGX88" s="587" t="n"/>
      <c r="WGY88" s="587" t="n"/>
      <c r="WGZ88" s="587" t="n"/>
      <c r="WHA88" s="587" t="n"/>
      <c r="WHB88" s="587" t="n"/>
      <c r="WHC88" s="587" t="n"/>
      <c r="WHD88" s="587" t="n"/>
      <c r="WHE88" s="587" t="n"/>
      <c r="WHF88" s="587" t="n"/>
      <c r="WHG88" s="587" t="n"/>
      <c r="WHH88" s="587" t="n"/>
      <c r="WHI88" s="587" t="n"/>
      <c r="WHJ88" s="587" t="n"/>
      <c r="WHK88" s="587" t="n"/>
      <c r="WHL88" s="587" t="n"/>
      <c r="WHM88" s="587" t="n"/>
      <c r="WHN88" s="587" t="n"/>
      <c r="WHO88" s="587" t="n"/>
      <c r="WHP88" s="587" t="n"/>
      <c r="WHQ88" s="587" t="n"/>
      <c r="WHR88" s="587" t="n"/>
      <c r="WHS88" s="587" t="n"/>
      <c r="WHT88" s="587" t="n"/>
      <c r="WHU88" s="587" t="n"/>
      <c r="WHV88" s="587" t="n"/>
      <c r="WHW88" s="587" t="n"/>
      <c r="WHX88" s="587" t="n"/>
      <c r="WHY88" s="587" t="n"/>
      <c r="WHZ88" s="587" t="n"/>
      <c r="WIA88" s="587" t="n"/>
      <c r="WIB88" s="587" t="n"/>
      <c r="WIC88" s="587" t="n"/>
      <c r="WID88" s="587" t="n"/>
      <c r="WIE88" s="587" t="n"/>
      <c r="WIF88" s="587" t="n"/>
      <c r="WIG88" s="587" t="n"/>
      <c r="WIH88" s="587" t="n"/>
      <c r="WII88" s="587" t="n"/>
      <c r="WIJ88" s="587" t="n"/>
      <c r="WIK88" s="587" t="n"/>
      <c r="WIL88" s="587" t="n"/>
      <c r="WIM88" s="587" t="n"/>
      <c r="WIN88" s="587" t="n"/>
      <c r="WIO88" s="587" t="n"/>
      <c r="WIP88" s="587" t="n"/>
      <c r="WIQ88" s="587" t="n"/>
      <c r="WIR88" s="587" t="n"/>
      <c r="WIS88" s="587" t="n"/>
      <c r="WIT88" s="587" t="n"/>
      <c r="WIU88" s="587" t="n"/>
      <c r="WIV88" s="587" t="n"/>
      <c r="WIW88" s="587" t="n"/>
      <c r="WIX88" s="587" t="n"/>
      <c r="WIY88" s="587" t="n"/>
      <c r="WIZ88" s="587" t="n"/>
      <c r="WJA88" s="587" t="n"/>
      <c r="WJB88" s="587" t="n"/>
      <c r="WJC88" s="587" t="n"/>
      <c r="WJD88" s="587" t="n"/>
      <c r="WJE88" s="587" t="n"/>
      <c r="WJF88" s="587" t="n"/>
      <c r="WJG88" s="587" t="n"/>
      <c r="WJH88" s="587" t="n"/>
      <c r="WJI88" s="587" t="n"/>
      <c r="WJJ88" s="587" t="n"/>
      <c r="WJK88" s="587" t="n"/>
      <c r="WJL88" s="587" t="n"/>
      <c r="WJM88" s="587" t="n"/>
      <c r="WJN88" s="587" t="n"/>
      <c r="WJO88" s="587" t="n"/>
      <c r="WJP88" s="587" t="n"/>
      <c r="WJQ88" s="587" t="n"/>
      <c r="WJR88" s="587" t="n"/>
      <c r="WJS88" s="587" t="n"/>
      <c r="WJT88" s="587" t="n"/>
      <c r="WJU88" s="587" t="n"/>
      <c r="WJV88" s="587" t="n"/>
      <c r="WJW88" s="587" t="n"/>
      <c r="WJX88" s="587" t="n"/>
      <c r="WJY88" s="587" t="n"/>
      <c r="WJZ88" s="587" t="n"/>
      <c r="WKA88" s="587" t="n"/>
      <c r="WKB88" s="587" t="n"/>
      <c r="WKC88" s="587" t="n"/>
      <c r="WKD88" s="587" t="n"/>
      <c r="WKE88" s="587" t="n"/>
      <c r="WKF88" s="587" t="n"/>
      <c r="WKG88" s="587" t="n"/>
      <c r="WKH88" s="587" t="n"/>
      <c r="WKI88" s="587" t="n"/>
      <c r="WKJ88" s="587" t="n"/>
      <c r="WKK88" s="587" t="n"/>
      <c r="WKL88" s="587" t="n"/>
      <c r="WKM88" s="587" t="n"/>
      <c r="WKN88" s="587" t="n"/>
      <c r="WKO88" s="587" t="n"/>
      <c r="WKP88" s="587" t="n"/>
      <c r="WKQ88" s="587" t="n"/>
      <c r="WKR88" s="587" t="n"/>
      <c r="WKS88" s="587" t="n"/>
      <c r="WKT88" s="587" t="n"/>
      <c r="WKU88" s="587" t="n"/>
      <c r="WKV88" s="587" t="n"/>
      <c r="WKW88" s="587" t="n"/>
      <c r="WKX88" s="587" t="n"/>
      <c r="WKY88" s="587" t="n"/>
      <c r="WKZ88" s="587" t="n"/>
      <c r="WLA88" s="587" t="n"/>
      <c r="WLB88" s="587" t="n"/>
      <c r="WLC88" s="587" t="n"/>
      <c r="WLD88" s="587" t="n"/>
      <c r="WLE88" s="587" t="n"/>
      <c r="WLF88" s="587" t="n"/>
      <c r="WLG88" s="587" t="n"/>
      <c r="WLH88" s="587" t="n"/>
      <c r="WLI88" s="587" t="n"/>
      <c r="WLJ88" s="587" t="n"/>
      <c r="WLK88" s="587" t="n"/>
      <c r="WLL88" s="587" t="n"/>
      <c r="WLM88" s="587" t="n"/>
      <c r="WLN88" s="587" t="n"/>
      <c r="WLO88" s="587" t="n"/>
      <c r="WLP88" s="587" t="n"/>
      <c r="WLQ88" s="587" t="n"/>
      <c r="WLR88" s="587" t="n"/>
      <c r="WLS88" s="587" t="n"/>
      <c r="WLT88" s="587" t="n"/>
      <c r="WLU88" s="587" t="n"/>
      <c r="WLV88" s="587" t="n"/>
      <c r="WLW88" s="587" t="n"/>
      <c r="WLX88" s="587" t="n"/>
      <c r="WLY88" s="587" t="n"/>
      <c r="WLZ88" s="587" t="n"/>
      <c r="WMA88" s="587" t="n"/>
      <c r="WMB88" s="587" t="n"/>
      <c r="WMC88" s="587" t="n"/>
      <c r="WMD88" s="587" t="n"/>
      <c r="WME88" s="587" t="n"/>
      <c r="WMF88" s="587" t="n"/>
      <c r="WMG88" s="587" t="n"/>
      <c r="WMH88" s="587" t="n"/>
      <c r="WMI88" s="587" t="n"/>
      <c r="WMJ88" s="587" t="n"/>
      <c r="WMK88" s="587" t="n"/>
      <c r="WML88" s="587" t="n"/>
      <c r="WMM88" s="587" t="n"/>
      <c r="WMN88" s="587" t="n"/>
      <c r="WMO88" s="587" t="n"/>
      <c r="WMP88" s="587" t="n"/>
      <c r="WMQ88" s="587" t="n"/>
      <c r="WMR88" s="587" t="n"/>
      <c r="WMS88" s="587" t="n"/>
      <c r="WMT88" s="587" t="n"/>
      <c r="WMU88" s="587" t="n"/>
      <c r="WMV88" s="587" t="n"/>
      <c r="WMW88" s="587" t="n"/>
      <c r="WMX88" s="587" t="n"/>
      <c r="WMY88" s="587" t="n"/>
      <c r="WMZ88" s="587" t="n"/>
      <c r="WNA88" s="587" t="n"/>
      <c r="WNB88" s="587" t="n"/>
      <c r="WNC88" s="587" t="n"/>
      <c r="WND88" s="587" t="n"/>
      <c r="WNE88" s="587" t="n"/>
      <c r="WNF88" s="587" t="n"/>
      <c r="WNG88" s="587" t="n"/>
      <c r="WNH88" s="587" t="n"/>
      <c r="WNI88" s="587" t="n"/>
      <c r="WNJ88" s="587" t="n"/>
      <c r="WNK88" s="587" t="n"/>
      <c r="WNL88" s="587" t="n"/>
      <c r="WNM88" s="587" t="n"/>
      <c r="WNN88" s="587" t="n"/>
      <c r="WNO88" s="587" t="n"/>
      <c r="WNP88" s="587" t="n"/>
      <c r="WNQ88" s="587" t="n"/>
      <c r="WNR88" s="587" t="n"/>
      <c r="WNS88" s="587" t="n"/>
      <c r="WNT88" s="587" t="n"/>
      <c r="WNU88" s="587" t="n"/>
      <c r="WNV88" s="587" t="n"/>
      <c r="WNW88" s="587" t="n"/>
      <c r="WNX88" s="587" t="n"/>
      <c r="WNY88" s="587" t="n"/>
      <c r="WNZ88" s="587" t="n"/>
      <c r="WOA88" s="587" t="n"/>
      <c r="WOB88" s="587" t="n"/>
      <c r="WOC88" s="587" t="n"/>
      <c r="WOD88" s="587" t="n"/>
      <c r="WOE88" s="587" t="n"/>
      <c r="WOF88" s="587" t="n"/>
      <c r="WOG88" s="587" t="n"/>
      <c r="WOH88" s="587" t="n"/>
      <c r="WOI88" s="587" t="n"/>
      <c r="WOJ88" s="587" t="n"/>
      <c r="WOK88" s="587" t="n"/>
      <c r="WOL88" s="587" t="n"/>
      <c r="WOM88" s="587" t="n"/>
      <c r="WON88" s="587" t="n"/>
      <c r="WOO88" s="587" t="n"/>
      <c r="WOP88" s="587" t="n"/>
      <c r="WOQ88" s="587" t="n"/>
      <c r="WOR88" s="587" t="n"/>
      <c r="WOS88" s="587" t="n"/>
      <c r="WOT88" s="587" t="n"/>
      <c r="WOU88" s="587" t="n"/>
      <c r="WOV88" s="587" t="n"/>
      <c r="WOW88" s="587" t="n"/>
      <c r="WOX88" s="587" t="n"/>
      <c r="WOY88" s="587" t="n"/>
      <c r="WOZ88" s="587" t="n"/>
      <c r="WPA88" s="587" t="n"/>
      <c r="WPB88" s="587" t="n"/>
      <c r="WPC88" s="587" t="n"/>
      <c r="WPD88" s="587" t="n"/>
      <c r="WPE88" s="587" t="n"/>
      <c r="WPF88" s="587" t="n"/>
      <c r="WPG88" s="587" t="n"/>
      <c r="WPH88" s="587" t="n"/>
      <c r="WPI88" s="587" t="n"/>
      <c r="WPJ88" s="587" t="n"/>
      <c r="WPK88" s="587" t="n"/>
      <c r="WPL88" s="587" t="n"/>
      <c r="WPM88" s="587" t="n"/>
      <c r="WPN88" s="587" t="n"/>
      <c r="WPO88" s="587" t="n"/>
      <c r="WPP88" s="587" t="n"/>
      <c r="WPQ88" s="587" t="n"/>
      <c r="WPR88" s="587" t="n"/>
      <c r="WPS88" s="587" t="n"/>
      <c r="WPT88" s="587" t="n"/>
      <c r="WPU88" s="587" t="n"/>
      <c r="WPV88" s="587" t="n"/>
      <c r="WPW88" s="587" t="n"/>
      <c r="WPX88" s="587" t="n"/>
      <c r="WPY88" s="587" t="n"/>
      <c r="WPZ88" s="587" t="n"/>
      <c r="WQA88" s="587" t="n"/>
      <c r="WQB88" s="587" t="n"/>
      <c r="WQC88" s="587" t="n"/>
      <c r="WQD88" s="587" t="n"/>
      <c r="WQE88" s="587" t="n"/>
      <c r="WQF88" s="587" t="n"/>
      <c r="WQG88" s="587" t="n"/>
      <c r="WQH88" s="587" t="n"/>
      <c r="WQI88" s="587" t="n"/>
      <c r="WQJ88" s="587" t="n"/>
      <c r="WQK88" s="587" t="n"/>
      <c r="WQL88" s="587" t="n"/>
      <c r="WQM88" s="587" t="n"/>
      <c r="WQN88" s="587" t="n"/>
      <c r="WQO88" s="587" t="n"/>
      <c r="WQP88" s="587" t="n"/>
      <c r="WQQ88" s="587" t="n"/>
      <c r="WQR88" s="587" t="n"/>
      <c r="WQS88" s="587" t="n"/>
      <c r="WQT88" s="587" t="n"/>
      <c r="WQU88" s="587" t="n"/>
      <c r="WQV88" s="587" t="n"/>
      <c r="WQW88" s="587" t="n"/>
      <c r="WQX88" s="587" t="n"/>
      <c r="WQY88" s="587" t="n"/>
      <c r="WQZ88" s="587" t="n"/>
      <c r="WRA88" s="587" t="n"/>
      <c r="WRB88" s="587" t="n"/>
      <c r="WRC88" s="587" t="n"/>
      <c r="WRD88" s="587" t="n"/>
      <c r="WRE88" s="587" t="n"/>
      <c r="WRF88" s="587" t="n"/>
      <c r="WRG88" s="587" t="n"/>
      <c r="WRH88" s="587" t="n"/>
      <c r="WRI88" s="587" t="n"/>
      <c r="WRJ88" s="587" t="n"/>
      <c r="WRK88" s="587" t="n"/>
      <c r="WRL88" s="587" t="n"/>
      <c r="WRM88" s="587" t="n"/>
      <c r="WRN88" s="587" t="n"/>
      <c r="WRO88" s="587" t="n"/>
      <c r="WRP88" s="587" t="n"/>
      <c r="WRQ88" s="587" t="n"/>
      <c r="WRR88" s="587" t="n"/>
      <c r="WRS88" s="587" t="n"/>
      <c r="WRT88" s="587" t="n"/>
      <c r="WRU88" s="587" t="n"/>
      <c r="WRV88" s="587" t="n"/>
      <c r="WRW88" s="587" t="n"/>
      <c r="WRX88" s="587" t="n"/>
      <c r="WRY88" s="587" t="n"/>
      <c r="WRZ88" s="587" t="n"/>
      <c r="WSA88" s="587" t="n"/>
      <c r="WSB88" s="587" t="n"/>
      <c r="WSC88" s="587" t="n"/>
      <c r="WSD88" s="587" t="n"/>
      <c r="WSE88" s="587" t="n"/>
      <c r="WSF88" s="587" t="n"/>
      <c r="WSG88" s="587" t="n"/>
      <c r="WSH88" s="587" t="n"/>
      <c r="WSI88" s="587" t="n"/>
      <c r="WSJ88" s="587" t="n"/>
      <c r="WSK88" s="587" t="n"/>
      <c r="WSL88" s="587" t="n"/>
      <c r="WSM88" s="587" t="n"/>
      <c r="WSN88" s="587" t="n"/>
      <c r="WSO88" s="587" t="n"/>
      <c r="WSP88" s="587" t="n"/>
      <c r="WSQ88" s="587" t="n"/>
      <c r="WSR88" s="587" t="n"/>
      <c r="WSS88" s="587" t="n"/>
      <c r="WST88" s="587" t="n"/>
      <c r="WSU88" s="587" t="n"/>
      <c r="WSV88" s="587" t="n"/>
      <c r="WSW88" s="587" t="n"/>
      <c r="WSX88" s="587" t="n"/>
      <c r="WSY88" s="587" t="n"/>
      <c r="WSZ88" s="587" t="n"/>
      <c r="WTA88" s="587" t="n"/>
      <c r="WTB88" s="587" t="n"/>
      <c r="WTC88" s="587" t="n"/>
      <c r="WTD88" s="587" t="n"/>
      <c r="WTE88" s="587" t="n"/>
      <c r="WTF88" s="587" t="n"/>
      <c r="WTG88" s="587" t="n"/>
      <c r="WTH88" s="587" t="n"/>
      <c r="WTI88" s="587" t="n"/>
      <c r="WTJ88" s="587" t="n"/>
      <c r="WTK88" s="587" t="n"/>
      <c r="WTL88" s="587" t="n"/>
      <c r="WTM88" s="587" t="n"/>
      <c r="WTN88" s="587" t="n"/>
      <c r="WTO88" s="587" t="n"/>
      <c r="WTP88" s="587" t="n"/>
      <c r="WTQ88" s="587" t="n"/>
      <c r="WTR88" s="587" t="n"/>
      <c r="WTS88" s="587" t="n"/>
      <c r="WTT88" s="587" t="n"/>
      <c r="WTU88" s="587" t="n"/>
      <c r="WTV88" s="587" t="n"/>
      <c r="WTW88" s="587" t="n"/>
      <c r="WTX88" s="587" t="n"/>
      <c r="WTY88" s="587" t="n"/>
      <c r="WTZ88" s="587" t="n"/>
      <c r="WUA88" s="587" t="n"/>
      <c r="WUB88" s="587" t="n"/>
      <c r="WUC88" s="587" t="n"/>
      <c r="WUD88" s="587" t="n"/>
      <c r="WUE88" s="587" t="n"/>
      <c r="WUF88" s="587" t="n"/>
      <c r="WUG88" s="587" t="n"/>
      <c r="WUH88" s="587" t="n"/>
      <c r="WUI88" s="587" t="n"/>
      <c r="WUJ88" s="587" t="n"/>
      <c r="WUK88" s="587" t="n"/>
      <c r="WUL88" s="587" t="n"/>
      <c r="WUM88" s="587" t="n"/>
      <c r="WUN88" s="587" t="n"/>
      <c r="WUO88" s="587" t="n"/>
      <c r="WUP88" s="587" t="n"/>
      <c r="WUQ88" s="587" t="n"/>
      <c r="WUR88" s="587" t="n"/>
      <c r="WUS88" s="587" t="n"/>
      <c r="WUT88" s="587" t="n"/>
      <c r="WUU88" s="587" t="n"/>
      <c r="WUV88" s="587" t="n"/>
      <c r="WUW88" s="587" t="n"/>
      <c r="WUX88" s="587" t="n"/>
      <c r="WUY88" s="587" t="n"/>
      <c r="WUZ88" s="587" t="n"/>
      <c r="WVA88" s="587" t="n"/>
      <c r="WVB88" s="587" t="n"/>
      <c r="WVC88" s="587" t="n"/>
      <c r="WVD88" s="587" t="n"/>
      <c r="WVE88" s="587" t="n"/>
      <c r="WVF88" s="587" t="n"/>
      <c r="WVG88" s="587" t="n"/>
      <c r="WVH88" s="587" t="n"/>
      <c r="WVI88" s="587" t="n"/>
      <c r="WVJ88" s="587" t="n"/>
      <c r="WVK88" s="587" t="n"/>
      <c r="WVL88" s="587" t="n"/>
      <c r="WVM88" s="587" t="n"/>
      <c r="WVN88" s="587" t="n"/>
      <c r="WVO88" s="587" t="n"/>
      <c r="WVP88" s="587" t="n"/>
      <c r="WVQ88" s="587" t="n"/>
      <c r="WVR88" s="587" t="n"/>
      <c r="WVS88" s="587" t="n"/>
      <c r="WVT88" s="587" t="n"/>
      <c r="WVU88" s="587" t="n"/>
      <c r="WVV88" s="587" t="n"/>
      <c r="WVW88" s="587" t="n"/>
      <c r="WVX88" s="587" t="n"/>
      <c r="WVY88" s="587" t="n"/>
      <c r="WVZ88" s="587" t="n"/>
      <c r="WWA88" s="587" t="n"/>
      <c r="WWB88" s="587" t="n"/>
      <c r="WWC88" s="587" t="n"/>
      <c r="WWD88" s="587" t="n"/>
      <c r="WWE88" s="587" t="n"/>
      <c r="WWF88" s="587" t="n"/>
      <c r="WWG88" s="587" t="n"/>
      <c r="WWH88" s="587" t="n"/>
      <c r="WWI88" s="587" t="n"/>
      <c r="WWJ88" s="587" t="n"/>
      <c r="WWK88" s="587" t="n"/>
      <c r="WWL88" s="587" t="n"/>
      <c r="WWM88" s="587" t="n"/>
      <c r="WWN88" s="587" t="n"/>
      <c r="WWO88" s="587" t="n"/>
      <c r="WWP88" s="587" t="n"/>
      <c r="WWQ88" s="587" t="n"/>
      <c r="WWR88" s="587" t="n"/>
      <c r="WWS88" s="587" t="n"/>
      <c r="WWT88" s="587" t="n"/>
      <c r="WWU88" s="587" t="n"/>
      <c r="WWV88" s="587" t="n"/>
      <c r="WWW88" s="587" t="n"/>
      <c r="WWX88" s="587" t="n"/>
      <c r="WWY88" s="587" t="n"/>
      <c r="WWZ88" s="587" t="n"/>
      <c r="WXA88" s="587" t="n"/>
      <c r="WXB88" s="587" t="n"/>
      <c r="WXC88" s="587" t="n"/>
      <c r="WXD88" s="587" t="n"/>
      <c r="WXE88" s="587" t="n"/>
      <c r="WXF88" s="587" t="n"/>
      <c r="WXG88" s="587" t="n"/>
      <c r="WXH88" s="587" t="n"/>
      <c r="WXI88" s="587" t="n"/>
      <c r="WXJ88" s="587" t="n"/>
      <c r="WXK88" s="587" t="n"/>
      <c r="WXL88" s="587" t="n"/>
      <c r="WXM88" s="587" t="n"/>
      <c r="WXN88" s="587" t="n"/>
      <c r="WXO88" s="587" t="n"/>
      <c r="WXP88" s="587" t="n"/>
      <c r="WXQ88" s="587" t="n"/>
      <c r="WXR88" s="587" t="n"/>
      <c r="WXS88" s="587" t="n"/>
      <c r="WXT88" s="587" t="n"/>
      <c r="WXU88" s="587" t="n"/>
      <c r="WXV88" s="587" t="n"/>
      <c r="WXW88" s="587" t="n"/>
      <c r="WXX88" s="587" t="n"/>
      <c r="WXY88" s="587" t="n"/>
      <c r="WXZ88" s="587" t="n"/>
      <c r="WYA88" s="587" t="n"/>
      <c r="WYB88" s="587" t="n"/>
      <c r="WYC88" s="587" t="n"/>
      <c r="WYD88" s="587" t="n"/>
      <c r="WYE88" s="587" t="n"/>
      <c r="WYF88" s="587" t="n"/>
      <c r="WYG88" s="587" t="n"/>
      <c r="WYH88" s="587" t="n"/>
      <c r="WYI88" s="587" t="n"/>
      <c r="WYJ88" s="587" t="n"/>
      <c r="WYK88" s="587" t="n"/>
      <c r="WYL88" s="587" t="n"/>
      <c r="WYM88" s="587" t="n"/>
      <c r="WYN88" s="587" t="n"/>
      <c r="WYO88" s="587" t="n"/>
      <c r="WYP88" s="587" t="n"/>
      <c r="WYQ88" s="587" t="n"/>
      <c r="WYR88" s="587" t="n"/>
      <c r="WYS88" s="587" t="n"/>
      <c r="WYT88" s="587" t="n"/>
      <c r="WYU88" s="587" t="n"/>
      <c r="WYV88" s="587" t="n"/>
      <c r="WYW88" s="587" t="n"/>
      <c r="WYX88" s="587" t="n"/>
      <c r="WYY88" s="587" t="n"/>
      <c r="WYZ88" s="587" t="n"/>
      <c r="WZA88" s="587" t="n"/>
      <c r="WZB88" s="587" t="n"/>
      <c r="WZC88" s="587" t="n"/>
      <c r="WZD88" s="587" t="n"/>
      <c r="WZE88" s="587" t="n"/>
      <c r="WZF88" s="587" t="n"/>
      <c r="WZG88" s="587" t="n"/>
      <c r="WZH88" s="587" t="n"/>
      <c r="WZI88" s="587" t="n"/>
      <c r="WZJ88" s="587" t="n"/>
      <c r="WZK88" s="587" t="n"/>
      <c r="WZL88" s="587" t="n"/>
      <c r="WZM88" s="587" t="n"/>
      <c r="WZN88" s="587" t="n"/>
      <c r="WZO88" s="587" t="n"/>
      <c r="WZP88" s="587" t="n"/>
      <c r="WZQ88" s="587" t="n"/>
      <c r="WZR88" s="587" t="n"/>
      <c r="WZS88" s="587" t="n"/>
      <c r="WZT88" s="587" t="n"/>
      <c r="WZU88" s="587" t="n"/>
      <c r="WZV88" s="587" t="n"/>
      <c r="WZW88" s="587" t="n"/>
      <c r="WZX88" s="587" t="n"/>
      <c r="WZY88" s="587" t="n"/>
      <c r="WZZ88" s="587" t="n"/>
      <c r="XAA88" s="587" t="n"/>
      <c r="XAB88" s="587" t="n"/>
      <c r="XAC88" s="587" t="n"/>
      <c r="XAD88" s="587" t="n"/>
      <c r="XAE88" s="587" t="n"/>
      <c r="XAF88" s="587" t="n"/>
      <c r="XAG88" s="587" t="n"/>
      <c r="XAH88" s="587" t="n"/>
      <c r="XAI88" s="587" t="n"/>
      <c r="XAJ88" s="587" t="n"/>
      <c r="XAK88" s="587" t="n"/>
      <c r="XAL88" s="587" t="n"/>
      <c r="XAM88" s="587" t="n"/>
      <c r="XAN88" s="587" t="n"/>
      <c r="XAO88" s="587" t="n"/>
      <c r="XAP88" s="587" t="n"/>
      <c r="XAQ88" s="587" t="n"/>
      <c r="XAR88" s="587" t="n"/>
      <c r="XAS88" s="587" t="n"/>
      <c r="XAT88" s="587" t="n"/>
      <c r="XAU88" s="587" t="n"/>
      <c r="XAV88" s="587" t="n"/>
      <c r="XAW88" s="587" t="n"/>
      <c r="XAX88" s="587" t="n"/>
      <c r="XAY88" s="587" t="n"/>
      <c r="XAZ88" s="587" t="n"/>
      <c r="XBA88" s="587" t="n"/>
      <c r="XBB88" s="587" t="n"/>
      <c r="XBC88" s="587" t="n"/>
      <c r="XBD88" s="587" t="n"/>
      <c r="XBE88" s="587" t="n"/>
      <c r="XBF88" s="587" t="n"/>
      <c r="XBG88" s="587" t="n"/>
      <c r="XBH88" s="587" t="n"/>
      <c r="XBI88" s="587" t="n"/>
      <c r="XBJ88" s="587" t="n"/>
      <c r="XBK88" s="587" t="n"/>
      <c r="XBL88" s="587" t="n"/>
      <c r="XBM88" s="587" t="n"/>
      <c r="XBN88" s="587" t="n"/>
      <c r="XBO88" s="587" t="n"/>
      <c r="XBP88" s="587" t="n"/>
      <c r="XBQ88" s="587" t="n"/>
      <c r="XBR88" s="587" t="n"/>
      <c r="XBS88" s="587" t="n"/>
      <c r="XBT88" s="587" t="n"/>
      <c r="XBU88" s="587" t="n"/>
      <c r="XBV88" s="587" t="n"/>
      <c r="XBW88" s="587" t="n"/>
      <c r="XBX88" s="587" t="n"/>
      <c r="XBY88" s="587" t="n"/>
      <c r="XBZ88" s="587" t="n"/>
      <c r="XCA88" s="587" t="n"/>
      <c r="XCB88" s="587" t="n"/>
      <c r="XCC88" s="587" t="n"/>
      <c r="XCD88" s="587" t="n"/>
      <c r="XCE88" s="587" t="n"/>
      <c r="XCF88" s="587" t="n"/>
      <c r="XCG88" s="587" t="n"/>
      <c r="XCH88" s="587" t="n"/>
      <c r="XCI88" s="587" t="n"/>
      <c r="XCJ88" s="587" t="n"/>
      <c r="XCK88" s="587" t="n"/>
      <c r="XCL88" s="587" t="n"/>
      <c r="XCM88" s="587" t="n"/>
      <c r="XCN88" s="587" t="n"/>
      <c r="XCO88" s="587" t="n"/>
      <c r="XCP88" s="587" t="n"/>
      <c r="XCQ88" s="587" t="n"/>
      <c r="XCR88" s="587" t="n"/>
      <c r="XCS88" s="587" t="n"/>
      <c r="XCT88" s="587" t="n"/>
      <c r="XCU88" s="587" t="n"/>
      <c r="XCV88" s="587" t="n"/>
      <c r="XCW88" s="587" t="n"/>
      <c r="XCX88" s="587" t="n"/>
      <c r="XCY88" s="587" t="n"/>
      <c r="XCZ88" s="587" t="n"/>
      <c r="XDA88" s="587" t="n"/>
      <c r="XDB88" s="587" t="n"/>
      <c r="XDC88" s="587" t="n"/>
      <c r="XDD88" s="587" t="n"/>
      <c r="XDE88" s="587" t="n"/>
      <c r="XDF88" s="587" t="n"/>
      <c r="XDG88" s="587" t="n"/>
      <c r="XDH88" s="587" t="n"/>
      <c r="XDI88" s="587" t="n"/>
      <c r="XDJ88" s="587" t="n"/>
      <c r="XDK88" s="587" t="n"/>
      <c r="XDL88" s="587" t="n"/>
      <c r="XDM88" s="587" t="n"/>
      <c r="XDN88" s="587" t="n"/>
      <c r="XDO88" s="587" t="n"/>
      <c r="XDP88" s="587" t="n"/>
      <c r="XDQ88" s="587" t="n"/>
      <c r="XDR88" s="587" t="n"/>
      <c r="XDS88" s="587" t="n"/>
      <c r="XDT88" s="587" t="n"/>
      <c r="XDU88" s="587" t="n"/>
      <c r="XDV88" s="587" t="n"/>
      <c r="XDW88" s="587" t="n"/>
      <c r="XDX88" s="587" t="n"/>
      <c r="XDY88" s="587" t="n"/>
      <c r="XDZ88" s="587" t="n"/>
      <c r="XEA88" s="587" t="n"/>
      <c r="XEB88" s="587" t="n"/>
      <c r="XEC88" s="587" t="n"/>
      <c r="XED88" s="587" t="n"/>
      <c r="XEE88" s="587" t="n"/>
      <c r="XEF88" s="587" t="n"/>
      <c r="XEG88" s="587" t="n"/>
      <c r="XEH88" s="587" t="n"/>
      <c r="XEI88" s="587" t="n"/>
      <c r="XEJ88" s="587" t="n"/>
      <c r="XEK88" s="587" t="n"/>
      <c r="XEL88" s="587" t="n"/>
      <c r="XEM88" s="587" t="n"/>
      <c r="XEN88" s="587" t="n"/>
      <c r="XEO88" s="587" t="n"/>
      <c r="XEP88" s="587" t="n"/>
      <c r="XEQ88" s="587" t="n"/>
      <c r="XER88" s="587" t="n"/>
      <c r="XES88" s="587" t="n"/>
      <c r="XET88" s="587" t="n"/>
      <c r="XEU88" s="587" t="n"/>
      <c r="XEV88" s="587" t="n"/>
      <c r="XEW88" s="587" t="n"/>
      <c r="XEX88" s="587" t="n"/>
      <c r="XEY88" s="587" t="n"/>
      <c r="XEZ88" s="587" t="n"/>
    </row>
    <row r="89" ht="204" customFormat="1" customHeight="1" s="704">
      <c r="A89" s="350">
        <f>A88+1</f>
        <v/>
      </c>
      <c r="B89" s="583" t="inlineStr">
        <is>
          <t>o_Income_total_amount_conf</t>
        </is>
      </c>
      <c r="C89" s="583" t="inlineStr">
        <is>
          <t>o_Income_total_amount_conf</t>
        </is>
      </c>
      <c r="D89" s="358" t="inlineStr">
        <is>
          <t>Can you confirm the amount of household income you just stated of {o_Income_total_amount} MMK for the past month is correct? 
[OPERATOR: IF YES, SELECT "NEXT". IF NO, GO BACK TO THE PREVIOUS QUESTION AND CORRECT THE ANSWER.  PROBE  IF THE TOTAL AMOUNT EARNED OVER THE PAST 1 MONTH IS  OVER 350000 or LESS THAN 25,000]
1)NEXT</t>
        </is>
      </c>
      <c r="E89" s="624">
        <f>LEN(D89)</f>
        <v/>
      </c>
      <c r="F89" s="582" t="inlineStr">
        <is>
          <t>ပြီးခဲ့သောလအတွက် သင်ဖော်ပြထားသော {o_Income_total_amount} MMK ၏ အိမ်ထောင်စုဝင်ငွေပမာဏကို အတည်ပြုနိုင်ပါသလား။
[အော်ပရေတာ- ဟုတ်ပါက၊ "နောက်တစ်ခု" ကို ရွေးပါ။ မဟုတ်ပါက၊ ယခင်မေးခွန်းသို့ ပြန်သွားပြီး အဖြေကို ပြင်ပါ။ ပြီးခဲ့သော 1 လအတွင်း ရရှိသော စုစုပေါင်းပမာဏ 350,000 ကျော် သို့မဟုတ် 25,000 ထက်နည်းပါက စုံစမ်းစစ်ဆေးပါ]
1) ဆက်ရန်</t>
        </is>
      </c>
      <c r="G89" s="624">
        <f>LEN(F89)</f>
        <v/>
      </c>
      <c r="H89" s="361" t="inlineStr">
        <is>
          <t>Single Choice</t>
        </is>
      </c>
      <c r="I89" s="624" t="inlineStr">
        <is>
          <t>NA</t>
        </is>
      </c>
      <c r="J89" s="624" t="inlineStr">
        <is>
          <t>NA</t>
        </is>
      </c>
      <c r="K89" s="354" t="inlineStr">
        <is>
          <t>Form Type - Buttons</t>
        </is>
      </c>
      <c r="L89" s="624" t="inlineStr">
        <is>
          <t>NA</t>
        </is>
      </c>
      <c r="M89" s="360" t="inlineStr">
        <is>
          <t>1 = o_Income_total_comp</t>
        </is>
      </c>
      <c r="N89" s="588" t="inlineStr">
        <is>
          <t xml:space="preserve">6/30/2023. Added validation check for operator to confirm value was entered properly/correctly and respondent is clear on timeframe
</t>
        </is>
      </c>
      <c r="O89" s="199" t="n"/>
      <c r="P89" s="199" t="n"/>
      <c r="Q89" s="148" t="n"/>
      <c r="R89" s="149" t="n"/>
      <c r="S89" s="127" t="n"/>
      <c r="T89" s="123">
        <f>1</f>
        <v/>
      </c>
      <c r="U89" s="127">
        <f>S89*T89</f>
        <v/>
      </c>
      <c r="V89" s="59" t="n"/>
      <c r="X89" s="63" t="n"/>
      <c r="Y89" s="680" t="n"/>
      <c r="AB89" s="64" t="n"/>
    </row>
    <row r="90" ht="289.5" customFormat="1" customHeight="1" s="704">
      <c r="A90" s="350">
        <f>A89+1</f>
        <v/>
      </c>
      <c r="B90" s="583" t="inlineStr">
        <is>
          <t>o_Income_total_comp</t>
        </is>
      </c>
      <c r="C90" s="583" t="inlineStr">
        <is>
          <t>o_Income_total_comp</t>
        </is>
      </c>
      <c r="D90" s="358" t="inlineStr">
        <is>
          <t xml:space="preserve">Thinking about your household’s total income of {o_Income_total_amount} MMK in the last one month, how has it changed compared to the same period one year ago?  
[OPERATOR: SINGLE RESPONSE] 
1)A lot more [increased by more than 50%] 
2)More 
3)Same 
4)Less 
5)A lot less [less than half as much] 
6)DON'T KNOW 
7)REFUSED </t>
        </is>
      </c>
      <c r="E90" s="624">
        <f>LEN(D90)</f>
        <v/>
      </c>
      <c r="F90" s="625" t="inlineStr">
        <is>
          <t xml:space="preserve">ပြီးခဲ့သောတစ်လအတွင်း သင့်အိမ်ထောင်စု၏ {o_Income_total_amount} MMK စုစုပေါင်းဝင်ငွေကို တွေးကြည့်ပါ၊ လွန်ခဲ့သော နှစ်၏ တူညီသောကာလနှင့် နှိုင်းယှဉ်ပါက မည်သို့ပြောင်းလဲသွားသနည်း။
[အော်ပရေတာ- တုံ့ပြန်မှုတစ်ခုသာ] 
1)အလွန်တိုးလာသည် [50% အထက် တိုးလာသည်] 
2)တိုးလာသည် 
3)တူညီသည် 
4)ပို၍နည်းသည် 
5)အလွန်နည်းသည် [ထက်ဝက်စာမျှ နည်းသည်] 
6)မသိပါ 
7)ဖြေဆိုရန် ငြင်းဆန်သည် </t>
        </is>
      </c>
      <c r="G90" s="624">
        <f>LEN(F90)</f>
        <v/>
      </c>
      <c r="H90" s="361" t="inlineStr">
        <is>
          <t>Single Choice</t>
        </is>
      </c>
      <c r="I90" s="624" t="inlineStr">
        <is>
          <t>NA</t>
        </is>
      </c>
      <c r="J90" s="624" t="inlineStr">
        <is>
          <t>NA</t>
        </is>
      </c>
      <c r="K90" s="354" t="inlineStr">
        <is>
          <t>Form Type - Buttons</t>
        </is>
      </c>
      <c r="L90" s="624" t="inlineStr">
        <is>
          <t>NA</t>
        </is>
      </c>
      <c r="M90" s="360" t="inlineStr">
        <is>
          <t>1-7 = o_HHExpTotal30d</t>
        </is>
      </c>
      <c r="N90" s="588" t="inlineStr">
        <is>
          <t xml:space="preserve">6/30/2023. Added reference of income amount. </t>
        </is>
      </c>
      <c r="O90" s="199" t="n"/>
      <c r="P90" s="199" t="n"/>
      <c r="Q90" s="148" t="n"/>
      <c r="R90" s="149" t="n"/>
      <c r="S90" s="127" t="n"/>
      <c r="T90" s="123" t="n"/>
      <c r="U90" s="127" t="n"/>
      <c r="V90" s="59" t="n"/>
      <c r="X90" s="63" t="n"/>
      <c r="Y90" s="680" t="n"/>
      <c r="AB90" s="64" t="n"/>
    </row>
    <row r="91" ht="231.75" customFormat="1" customHeight="1" s="704">
      <c r="A91" s="350">
        <f>A90+1</f>
        <v/>
      </c>
      <c r="B91" s="365" t="inlineStr">
        <is>
          <t>o_HHExpTotal30d</t>
        </is>
      </c>
      <c r="C91" s="365" t="inlineStr">
        <is>
          <t>o_HHExpTotal30d</t>
        </is>
      </c>
      <c r="D91" s="623" t="inlineStr">
        <is>
          <t>How much was your family’s total expenditure in the last 30 days (in MMK)?
[OPERATOR: TOTAL HOUSEHOLD INCOME IS {o_Income_total_amount}. PROBE IF THE TOTAL EXPENDITURE IS MORE THAN THE TOTAL HOUSEHOLD INCOME TO ENSURE AMOUNTS ARE CORRECT.  RECORD THE AMOUNT GIVEN. ENTER 8888888 FOR DON'T KNOW &amp; 9999999 FOR REFUSED]</t>
        </is>
      </c>
      <c r="E91" s="624">
        <f>LEN(D91)</f>
        <v/>
      </c>
      <c r="F91" s="625" t="inlineStr">
        <is>
          <t>လွန်ခဲ့သောရက် 30 အတွင်း လူကြီးမင်းမိသားစု၏ စုစုပေါင်းအသုံးစရိတ် ဘယ်လောက်ရှိပါသလဲ (MMK ဖြင့်)။
[အော်ပရေတာ- အော်ပရေတာ- စုစုပေါင်းအိမ်ထောင်စုဝင်ငွေသည် {o_Income_total_amount} ဖြစ်သည်။  အိမ်ထောင်စု၏ အသုံးစရိတ်သည် အိမ်ထောင်စု ၀င်ငွေထက် ပိုများနေပါက  ပမာဏ မှန်ကန်ကြောင်းသေချာစေရန် စုံစမ်းစစ်ဆေးပါ။ ဖြေဆိုသော ပမာဏကို မှတ်သားပါ။ မသိပါဟု ဖြေဆိုပါက 8888888 ဟု ဖြည့်သွင်းပြီး ဖြေဆိုရန် ငြင်းဆန်သည်ကို ရွေးချယ်ပါက 9999999 ဟု ဖြည့်သွင်းပါ]</t>
        </is>
      </c>
      <c r="G91" s="624">
        <f>LEN(F91)</f>
        <v/>
      </c>
      <c r="H91" s="361" t="inlineStr">
        <is>
          <t>Range</t>
        </is>
      </c>
      <c r="I91" s="624" t="inlineStr">
        <is>
          <t>NA</t>
        </is>
      </c>
      <c r="J91" s="624" t="inlineStr">
        <is>
          <t>NA</t>
        </is>
      </c>
      <c r="K91" s="624" t="inlineStr">
        <is>
          <t>Form Type - TextBox</t>
        </is>
      </c>
      <c r="L91" s="624" t="inlineStr">
        <is>
          <t>NA</t>
        </is>
      </c>
      <c r="M91" s="572" t="inlineStr">
        <is>
          <t>0 = o_ExpenseFood30d
1000-8000000 = o_ExpenseFood30d
8888888-8888888 = o_ExpenseFood30d
9999999-9999999 = o_ExpenseFood30d</t>
        </is>
      </c>
      <c r="N91" s="579" t="inlineStr">
        <is>
          <t xml:space="preserve">6/30/2023. Added suggested notes to aid operators in identifying potential outliers for further probing if needed. </t>
        </is>
      </c>
      <c r="O91" s="199" t="n"/>
      <c r="P91" s="199" t="n"/>
      <c r="Q91" s="148" t="n"/>
      <c r="R91" s="149" t="n"/>
      <c r="S91" s="127" t="n"/>
      <c r="T91" s="123" t="n"/>
      <c r="U91" s="127" t="n"/>
      <c r="V91" s="59" t="n"/>
      <c r="X91" s="63" t="n"/>
      <c r="Y91" s="680" t="n"/>
      <c r="AB91" s="64" t="n"/>
    </row>
    <row r="92" ht="362.25" customFormat="1" customHeight="1" s="704">
      <c r="A92" s="350">
        <f>A91+1</f>
        <v/>
      </c>
      <c r="B92" s="365" t="inlineStr">
        <is>
          <t>o_ExpenseFood30d</t>
        </is>
      </c>
      <c r="C92" s="365" t="inlineStr">
        <is>
          <t>o_ExpenseFood30d</t>
        </is>
      </c>
      <c r="D92" s="623" t="inlineStr">
        <is>
          <t>What percentage of your household's expenditure did you spend on food in the last 30 days?
[OPERATOR: SINGLE RESPONSE]
1)0%-10%
2)11%-20%
3)21%-30%
4)31%- 40%
5)41 % - 50%
6)51% - 60%
7)61%-70%
8)71%-80%
9)81%-90%
10)91%-100%
11)DON'T KNOW
12)REFUSED</t>
        </is>
      </c>
      <c r="E92" s="624">
        <f>LEN(D92)</f>
        <v/>
      </c>
      <c r="F92" s="360" t="inlineStr">
        <is>
          <t>လွန်ခဲ့သည့်ရက်ပေါင်း 30 အတွင်း အိမ်ထောင်စု စုစု ပေါင်း အသုံးစရိတ်မှ အစားအစာအတွက် အသုံးစရိတ်ကို  မည်မျှသုံးစွဲခဲ့ပါသလဲ။
[အော်ပရေတာ- တုံ့ပြန်မှုတစ်ခုသာ]
1)0%-10%
2)11%-20%
3)21%-30%
4)31%- 40%
5)41 % - 50%
6)51% - 60%
7)61%-70%
8)71%-80%
9)81%-90%
10)91%-100%
11)မသိပါ
12)ဖြေဆိုရန် ငြင်းဆန်သည်</t>
        </is>
      </c>
      <c r="G92" s="624">
        <f>LEN(F92)</f>
        <v/>
      </c>
      <c r="H92" s="361" t="inlineStr">
        <is>
          <t>Single Choice</t>
        </is>
      </c>
      <c r="I92" s="624" t="inlineStr">
        <is>
          <t>NA</t>
        </is>
      </c>
      <c r="J92" s="624" t="inlineStr">
        <is>
          <t>NA</t>
        </is>
      </c>
      <c r="K92" s="354" t="inlineStr">
        <is>
          <t>Form Type - Buttons</t>
        </is>
      </c>
      <c r="L92" s="624" t="inlineStr">
        <is>
          <t>NA</t>
        </is>
      </c>
      <c r="M92" s="360" t="inlineStr">
        <is>
          <t>1-12 = HHDebt_yn</t>
        </is>
      </c>
      <c r="N92" s="588" t="n"/>
      <c r="O92" s="199" t="n"/>
      <c r="P92" s="199" t="n"/>
      <c r="Q92" s="148" t="n"/>
      <c r="R92" s="149" t="n"/>
      <c r="S92" s="127" t="n"/>
      <c r="T92" s="123" t="n"/>
      <c r="U92" s="127" t="n"/>
      <c r="V92" s="59" t="n"/>
      <c r="X92" s="63" t="n"/>
      <c r="Y92" s="680" t="n"/>
      <c r="AB92" s="64" t="n"/>
    </row>
    <row r="93" ht="200.25" customFormat="1" customHeight="1" s="704">
      <c r="A93" s="350">
        <f>A92+1</f>
        <v/>
      </c>
      <c r="B93" s="365" t="inlineStr">
        <is>
          <t>HHDebt_yn</t>
        </is>
      </c>
      <c r="C93" s="365" t="inlineStr">
        <is>
          <t>HHDebt_yn</t>
        </is>
      </c>
      <c r="D93" s="623" t="inlineStr">
        <is>
          <t>Do you or someone in your household currently have any debt that was incurred in the last one year? 
[OPERATOR: SINGLE RESPONSE]
1)YES
2)NO
3)DON'T KNOW
4)REFUSED</t>
        </is>
      </c>
      <c r="E93" s="624">
        <f>LEN(D93)</f>
        <v/>
      </c>
      <c r="F93" s="360" t="inlineStr">
        <is>
          <t>ယခု သင် သို့မဟုတ် သင့်အိမ်ထောင်စုဝင် တစ်ယောက် တွင် လွန်ခဲ့သောနှစ် ကတည်းက ချေးယူထားသောအကြွေး  ရှိနေပါသလား။
[အော်ပရေတာ- တုံ့ပြန်မှုတစ်ခုသာ]
1) ရှိသည်။
2) မရှိပါ။
3)မသိပါ။
4) ငြင်းဆိုသည်။</t>
        </is>
      </c>
      <c r="G93" s="624">
        <f>LEN(F93)</f>
        <v/>
      </c>
      <c r="H93" s="361" t="inlineStr">
        <is>
          <t>Single Choice</t>
        </is>
      </c>
      <c r="I93" s="624" t="inlineStr">
        <is>
          <t>NA</t>
        </is>
      </c>
      <c r="J93" s="624" t="inlineStr">
        <is>
          <t>NA</t>
        </is>
      </c>
      <c r="K93" s="354" t="inlineStr">
        <is>
          <t>Form Type - Buttons</t>
        </is>
      </c>
      <c r="L93" s="624" t="inlineStr">
        <is>
          <t>NA</t>
        </is>
      </c>
      <c r="M93" s="360" t="inlineStr">
        <is>
          <t>1 = HHDebt_BorrowFrom
2-4 = shock</t>
        </is>
      </c>
      <c r="N93" s="223" t="n"/>
      <c r="O93" s="199" t="n"/>
      <c r="P93" s="199" t="n"/>
      <c r="Q93" s="148" t="n"/>
      <c r="R93" s="149" t="n"/>
      <c r="S93" s="127" t="n"/>
      <c r="T93" s="123" t="n"/>
      <c r="U93" s="127" t="n"/>
      <c r="V93" s="59" t="n"/>
      <c r="X93" s="63" t="n"/>
      <c r="Y93" s="680" t="n"/>
      <c r="AB93" s="64" t="n"/>
    </row>
    <row r="94" ht="279.95" customFormat="1" customHeight="1" s="704">
      <c r="A94" s="350">
        <f>A93+1</f>
        <v/>
      </c>
      <c r="B94" s="365" t="inlineStr">
        <is>
          <t>HHDebt_BorrowFrom</t>
        </is>
      </c>
      <c r="C94" s="365" t="inlineStr">
        <is>
          <t>HHDebt_BorrowFrom</t>
        </is>
      </c>
      <c r="D94" s="623" t="inlineStr">
        <is>
          <t>From whom have you mainly borrowed this money (or contracted this debt) in the past year?
[OPERATOR: SINGLE RESPONSE]
1)Relatives [excluding  remittances]
2)Relatives living outside the country
3)Traders/shopkeepers
4)Bank/Credit institution/Government/Micro-credit project
5)Money lender
6)Landlord [more than 1 month behind in rent]
7)Informal savings group
8)Employer
9)Other [specify]</t>
        </is>
      </c>
      <c r="E94" s="624">
        <f>LEN(D94)</f>
        <v/>
      </c>
      <c r="F94" s="342" t="inlineStr">
        <is>
          <t>လွန်ခဲသောနှစ် တွင်  ငွေချေးယူခြင်းကို အဓိကအာဖြင့် မည်သူ့ထံမှ ချေးယူခဲသနည်း။
[အော်ပရေတာ- တုံ့ပြန်မှုတစ်ခုသာ]
1)ဆွေမျိုး [လွဲပို့ငွေများ မပါဝင်ပါ]
2)ဆွေမျိုး [နိုင်ငံပြင်ပနေထိုင်သူ]
3)ကုန်သည်၊ ဈေးဆိုင်
4)ဘဏ်၊ ချေးငွေလုပ်ငန်း၊ အစိုး ရ ချေးငွေ၊အသေးစား ချေးငွေအဖွဲ့
5)ငွေချေးသူ
6)အိမ်ရှင် [အိမ်ငှားခ ၁ လကျော်အကြွေးတင်]
7)ရပ်ကွက်၊ ကျေးရွာ အတွင်းမှ ငွေစုအဖွဲ့ [စုကြေးလိုက်အဖွဲ့]
8)အလုပ်ရှင်
9)အခြား [သတ်မှတ်ရန်]</t>
        </is>
      </c>
      <c r="G94" s="624">
        <f>LEN(F94)</f>
        <v/>
      </c>
      <c r="H94" s="361" t="inlineStr">
        <is>
          <t>Open Ended-Single Choice</t>
        </is>
      </c>
      <c r="I94" s="624" t="inlineStr">
        <is>
          <t>NA</t>
        </is>
      </c>
      <c r="J94" s="624" t="inlineStr">
        <is>
          <t>NA</t>
        </is>
      </c>
      <c r="K94" s="354" t="inlineStr">
        <is>
          <t>Form Type - RadioList</t>
        </is>
      </c>
      <c r="L94" s="624" t="inlineStr">
        <is>
          <t>NA</t>
        </is>
      </c>
      <c r="M94" s="360" t="inlineStr">
        <is>
          <t>1-9 = HHDebt_more</t>
        </is>
      </c>
      <c r="N94" s="199" t="n"/>
      <c r="O94" s="199" t="n"/>
      <c r="P94" s="199" t="n"/>
      <c r="Q94" s="148" t="n"/>
      <c r="R94" s="149" t="n"/>
      <c r="S94" s="127" t="n"/>
      <c r="T94" s="123" t="n"/>
      <c r="U94" s="127" t="n"/>
      <c r="V94" s="59" t="n"/>
      <c r="X94" s="419" t="n"/>
      <c r="Y94" s="680" t="n"/>
      <c r="AB94" s="64" t="n"/>
    </row>
    <row r="95" ht="168.75" customFormat="1" customHeight="1" s="704">
      <c r="A95" s="350">
        <f>A94+1</f>
        <v/>
      </c>
      <c r="B95" s="365" t="inlineStr">
        <is>
          <t>HHDebt_more</t>
        </is>
      </c>
      <c r="C95" s="365" t="inlineStr">
        <is>
          <t>HHDebt_more</t>
        </is>
      </c>
      <c r="D95" s="623" t="inlineStr">
        <is>
          <t>Given your current situation, do you expect to need to borrow additional money in the coming 6 months? 
[OPERATOR: SINGLE RESPONSE]
1)YES
2)NO 
3)DON'T KNOW
4)REFUSED</t>
        </is>
      </c>
      <c r="E95" s="624">
        <f>LEN(D95)</f>
        <v/>
      </c>
      <c r="F95" s="360" t="inlineStr">
        <is>
          <t>သင့်လက်ရှိအခြေအနေအရ လာမည့် 6 လအတွင်း နောက်ထပ်ငွေချေးရ မည်ဟုထင်ထားပါသလား။
[အော်ပရေတာ- တုံ့ပြန်မှုတစ်ခုသာ]
1)ချေးရမည်။
2)မချေးရပါ။
3)မသိပါ။
4)ငြင်းဆိုသည်။</t>
        </is>
      </c>
      <c r="G95" s="624">
        <f>LEN(F95)</f>
        <v/>
      </c>
      <c r="H95" s="361" t="inlineStr">
        <is>
          <t>Single Choice</t>
        </is>
      </c>
      <c r="I95" s="624" t="inlineStr">
        <is>
          <t>NA</t>
        </is>
      </c>
      <c r="J95" s="624" t="inlineStr">
        <is>
          <t>NA</t>
        </is>
      </c>
      <c r="K95" s="354" t="inlineStr">
        <is>
          <t>Form Type - Buttons</t>
        </is>
      </c>
      <c r="L95" s="624" t="inlineStr">
        <is>
          <t>NA</t>
        </is>
      </c>
      <c r="M95" s="360" t="inlineStr">
        <is>
          <t>1-4 = shock</t>
        </is>
      </c>
      <c r="N95" s="223" t="n"/>
      <c r="O95" s="199" t="n"/>
      <c r="P95" s="199" t="n"/>
      <c r="Q95" s="148" t="n"/>
      <c r="R95" s="149" t="n"/>
      <c r="S95" s="127" t="n"/>
      <c r="T95" s="123" t="n"/>
      <c r="U95" s="127" t="n"/>
      <c r="V95" s="59" t="n"/>
      <c r="X95" s="63" t="n"/>
      <c r="Y95" s="680" t="n"/>
      <c r="AB95" s="64" t="n"/>
    </row>
    <row r="96" ht="409.5" customFormat="1" customHeight="1" s="704" thickBot="1">
      <c r="A96" s="350">
        <f>A95+1</f>
        <v/>
      </c>
      <c r="B96" s="351" t="inlineStr">
        <is>
          <t>shock</t>
        </is>
      </c>
      <c r="C96" s="352"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6" s="589"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NOTE: RESPONDENT REPORTED {o_cyclaffected} TO CYCLONE MOCHA IMPACTS.]
1)No shock
2)Sickness or accident or death of household member[s] [sickness of breadwinner / unusually high medical expenditure / funeral expenses / death of breadwinner]
3)Lost employment or working opportunities [not due to illness/accident]
4)Other intra household shock
5)Unusually high food prices
6)Unusually high fuel prices or transport prices 
7)Population movement restrictions [e.g. due to epidemic or infrastructure damage]
8)Other economic shock 
9)Pest outbreak
10)Plant disease
11)Animal disease [affecting many animals] or death of animals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6" s="354">
        <f>LEN(D96)</f>
        <v/>
      </c>
      <c r="F96" s="625" t="inlineStr">
        <is>
          <t>လွန်ခဲ့သော 3 လအတွင်း လူကြီးမင်း၏ပတ်ဝန်းကျင် သို့မဟုတ် အိမ်ထောင်စုကို ထိခိုက်စေပြီး လူကြီးမင်း၏ဝင်ငွေမြှင့်တင်မှုနှင့်/သို့မဟုတ် ကိုယ်တိုင်စားသုံးရန်အတွက်ထုတ်လုပ်မှုကို ထိခိုက်စေသော ဘေးအန္တရာယ် သို့မဟုတ် အကျပ်အတည်းနှင့် ကြုံတွေ့ဖူးပါသလား။ 
[အော်ပရေတာ- အိမ်ထောင်စုတွေ့ကြုံခဲ့ရသော သက်ဆိုင်သည့် သက်ရောက်မှုများကို ရွေးချယ်ပါ။ အဖြေအများအပြား ရှိနိုင်သည်။ စီးပွားရေးပိုင်းဆိုင်ရာ သက်ရောက်မှုများ၊ ကောက်ပဲသီးနှံနှင့်မွေးမြူရေးပိုင်းဆိုင်ရာ သက်ရောက်မှုများ၊ အိမ်ထောင်စုအတွင်း သက်ရောက်မှုများ၊ သဘာဝဘေးအန္တရာယ်နှင့် လူလုပ်အန္တရာယ်သက်ရောက်မှုများကို ရည်ညွှန်းသည်။ မှတ်ချက်- ဖြေဆိုသူသည် ဆိုင်ကလုန်း မိုခါ သက်ရောက်မှုများနဲ့ပတ်သက်ပြီး {o_cyclaffected} ဟု ဖြေဆိုခဲ့သည်။]
1)ရုတ်တရတ်ကြုံတွေ့ရသော ဘေးအန္တရာယ် မရှိပါ
2)အိမ်ထောင်စုဝင်[များ] ဖျားနာခြင်း [သို့မဟုတ်] သေဆုံးခြင်း [တစ်အိမ်သားလုံးကို လုပ်ကိုင်ကျွေးမွေးသူ ဖျားနာခြင်း / ပုံမှန်မဟုတ်သည့် မြင့်မားသောဆေးကုသမှုကုန်ကျစရိတ်များ / အသုဘကုန်ကျစရိတ်များ / တစ်အိမ်သားလုံးကို လုပ်ကိုင်ကျွေးမွေးသူ သေဆုံးခြင်း]
3)အလုပ်လက်မဲ့ဖြစ်ခြင်း သို့မဟုတ် အလုပ်အကိုင်အခွင့်အလမ်းများ ဆုံးရှုံးခြင်း[ရောဂါ/ မတော်တဆမှုကြောင့်မဟုတ်ပါ]
4)အခြားသော အိမ်တွင်းပဋိပက္ခ
5)ပုံမှန်အစားအစာဈေးနှုန်းများထက် ဈေးနှုန်း ပိုမိုမြင့်မားခြင်း
6)ပုံမှန်လောင်စာဆီစျေးနှုန်းထက် ဈေးနှုန်းအလွန်မြင့်မားခြင်း
7)အလုပ် သို့မဟုတ် လုပ်ငန်း ဆက်လက်လုပ်ကိုင်မှုကို အနှောင့်အယှက်ဖြစ်စေသည့် ပြင်ပဖြစ်စဉ်များ - စျေးကွက်များကို ပိတ်သိမ်းခြင်း / စီးပွားရေးလုပ်ငန်းများကို ပိတ်သိမ်းခြင်း / ဈေးများဆီသို့ လမ်းပန်းဆက်သွယ်ရေးအခြေခံအဆောက်အအုံများကို ဖြိုဖျက်ခြင်း / စသော ဥပဒေများ 
8)အခြားသော စီးပွားရေးသက်ရောက်မှု 
9)ပိုးမွှားအန္တရာယ်ကျရောက်မှု
10)အပင်ရောဂါ
11)တိရိစ္ဆာန်များကို ထိခိုက်စေသည့် တိရိစ္ဆာန်ရောဂါ
12) စားကျက်သို့ သွားရောက်နိုင်ရန် အခက်အခဲရှိခြင်း
13)အခြားသီးနှံများနှင့် မွေးမြူရေးသက်ရောက်မှု
14)အေးစက်သော အပူချိန် သို့မဟုတ် မိုးသီးကြွေခြင်း
15)ရေလွှမ်းမိုးခြင်း
16)ဟာရီကိန်း / ဆိုင်ကလုန်း 
17)မိုးခေါင်ခြင်း
18)ငလျင်လှုပ်ခြင်း
19)မြေပြိုခြင်း
20)သဘာဝဘေးအန္တရာယ်ကြောင့် ဖြစ်ပွားသော မီးလောင်မှု
21)အခြားသော သဘာဝဘေးအန္တရာယ်
22)အကြမ်းဖက်မှုနှင့် မလုံခြုံမှု / ပဋိပက္ခ
23)ထုတ်လုပ်ရေး ပစ္စည်းများ [လယ်ယာ/ မွေးမြူရေးတိရစ္ဆာန်များ/ ကိရိယာများ / စသည်] ကို ခိုးယူခြင်း
24)လူတို့၏ပရောဂကြောင့်လောင်သော မီးဘေး
25)အခြားသော လူတို့၏ပရောဂကြောင့် ဖြစ်ပွားသော ဘေးအန္တရာယ်
26)မသိပါ
27)ဖြေဆိုရန် ငြင်းဆန်သည်</t>
        </is>
      </c>
      <c r="G96" s="354">
        <f>LEN(F96)</f>
        <v/>
      </c>
      <c r="H96" s="363" t="inlineStr">
        <is>
          <t>Select All That Apply</t>
        </is>
      </c>
      <c r="I96" s="354" t="inlineStr">
        <is>
          <t>NA</t>
        </is>
      </c>
      <c r="J96" s="354" t="inlineStr">
        <is>
          <t>NA</t>
        </is>
      </c>
      <c r="K96" s="354" t="inlineStr">
        <is>
          <t>Form Type - Checklist
1, 26, 27 = IsNone</t>
        </is>
      </c>
      <c r="L96" s="362" t="inlineStr">
        <is>
          <t>1) shock_noshock
2) shock_sicknessordeathofhh
3) shock_lostemplorwork
4) shock_otherintrahhshock
5) shock_higherfoodprices
6) shock_higherfuelprices
7) shock_cantworkordobusiness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
25) shock_othermanmadehazard
26) shock_dk
27) shock_ref</t>
        </is>
      </c>
      <c r="M96" s="362" t="inlineStr">
        <is>
          <t>1-27 = crp_intro</t>
        </is>
      </c>
      <c r="N96" s="585" t="n"/>
      <c r="O96" s="198" t="inlineStr">
        <is>
          <t>if shock = 1-27, go to covid</t>
        </is>
      </c>
      <c r="P96" s="199" t="n"/>
      <c r="Q96" s="148" t="inlineStr">
        <is>
          <t>resp_age = 18-100
hh_agricactivity = 1 | 2 | 3 | 4
quotareached = 2</t>
        </is>
      </c>
      <c r="R96" s="149" t="n"/>
      <c r="S96" s="172" t="n">
        <v>46.24752807617188</v>
      </c>
      <c r="T96" s="173">
        <f>1</f>
        <v/>
      </c>
      <c r="U96" s="172">
        <f>S96*T96</f>
        <v/>
      </c>
      <c r="V96" s="59" t="n"/>
      <c r="X96" s="419" t="inlineStr">
        <is>
          <t>yes</t>
        </is>
      </c>
      <c r="Y96" s="680" t="n"/>
      <c r="AB96" s="64" t="inlineStr">
        <is>
          <t>Changes in options #2, 6, 11, 15, 16, 17
Change in skip pattern</t>
        </is>
      </c>
    </row>
    <row r="97" ht="19.5" customFormat="1" customHeight="1" s="704" thickBot="1">
      <c r="A97" s="688" t="inlineStr">
        <is>
          <t>D. CROP PRODUCTION</t>
        </is>
      </c>
      <c r="B97" s="720" t="n"/>
      <c r="C97" s="720" t="n"/>
      <c r="D97" s="720" t="n"/>
      <c r="E97" s="720" t="n"/>
      <c r="F97" s="720" t="n"/>
      <c r="G97" s="720" t="n"/>
      <c r="H97" s="720" t="n"/>
      <c r="I97" s="720" t="n"/>
      <c r="J97" s="720" t="n"/>
      <c r="K97" s="720" t="n"/>
      <c r="L97" s="720" t="n"/>
      <c r="M97" s="720" t="n"/>
      <c r="N97" s="720" t="n"/>
      <c r="O97" s="720" t="n"/>
      <c r="P97" s="720" t="n"/>
      <c r="Q97" s="720" t="n"/>
      <c r="R97" s="721" t="n"/>
      <c r="S97" s="127" t="n"/>
      <c r="T97" s="123" t="n"/>
      <c r="U97" s="127" t="n"/>
      <c r="V97" s="59" t="n"/>
      <c r="X97" s="63" t="n"/>
      <c r="Y97" s="680" t="n"/>
      <c r="AB97" s="61" t="n"/>
    </row>
    <row r="98" ht="254.45" customFormat="1" customHeight="1" s="704">
      <c r="A98" s="326" t="n">
        <v>77</v>
      </c>
      <c r="B98" s="136" t="inlineStr">
        <is>
          <t>crp_intro</t>
        </is>
      </c>
      <c r="C98" s="136" t="inlineStr">
        <is>
          <t>crp_intro</t>
        </is>
      </c>
      <c r="D98" s="200" t="inlineStr">
        <is>
          <t>We will now ask you some questions about crop production which apply to you and anyone in your household that is involved in crop production or sales. All questions refer to the crops grown during Last monsoon season.
1)CONTINUE</t>
        </is>
      </c>
      <c r="E98" s="631">
        <f>LEN(D98)</f>
        <v/>
      </c>
      <c r="F98" s="129" t="inlineStr">
        <is>
          <t>ယခု ကျွန်ုပ်တို့သည် သင်နှင့် သင့်အိမ်ထောင်စုရှိ သီးနှံစိုက်ပျိုးထုတ်လုပ်ရောင်းချမှုတွင် ပါဝင်ပတ်သက်နေသည့် မည်သူနှင့်မဆို သက်ဆိုင်သည့် သီးနှံစိုက်ပျိုးထုတ်လုပ်မှုဆိုင်ရာ မေးခွန်းအချို့ကို သင့်အား ယခုမေးမြန်းပါမည်။ မေးခွန်းအားလုံးသည် မိုးရာသီတွင် စိုက်ပျိုးသောသီးနှံများကို ရည်ညွှန်းပါသည်။
1) ဆက်ရန်</t>
        </is>
      </c>
      <c r="G98" s="631">
        <f>LEN(F98)</f>
        <v/>
      </c>
      <c r="H98" s="698" t="inlineStr">
        <is>
          <t>Single Choice</t>
        </is>
      </c>
      <c r="I98" s="631" t="inlineStr">
        <is>
          <t>NA</t>
        </is>
      </c>
      <c r="J98" s="631" t="inlineStr">
        <is>
          <t>Send if "hh_agricactivity" "Equals" "Yes - crop production" Or "hh_agricactivity" "Equals" "Yes - both crop and livestock production" Or "income_main_cropcheck" "Equals" "YES" Or "income_sec_cropcheck" "Equals" "YES" Or "income_third_cropcheck" "Equals" "YES" if not satisfied go to "crp_salesmain"</t>
        </is>
      </c>
      <c r="K98" s="630" t="inlineStr">
        <is>
          <t>Form Type - Buttons</t>
        </is>
      </c>
      <c r="L98" s="632" t="inlineStr">
        <is>
          <t>NA</t>
        </is>
      </c>
      <c r="M98" s="471" t="inlineStr">
        <is>
          <t>1 = crp_landsize_num</t>
        </is>
      </c>
      <c r="N98" s="591" t="n"/>
      <c r="O98" s="196"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98" s="195" t="n"/>
      <c r="Q98" s="148" t="inlineStr">
        <is>
          <t>resp_age = 18-100
(hh_agricactivity = 1 | 3) | (income_main_cropcheck = 1) | (income_sec_cropcheck = 1) | (income_third_cropcheck = 1) 
quotareached = 2</t>
        </is>
      </c>
      <c r="R98" s="590" t="n"/>
      <c r="S98" s="172" t="n">
        <v>7.5</v>
      </c>
      <c r="T98" s="123">
        <f>'Additional information'!$D$17</f>
        <v/>
      </c>
      <c r="U98" s="172">
        <f>S98*T98</f>
        <v/>
      </c>
      <c r="V98" s="59" t="n"/>
      <c r="X98" s="63" t="inlineStr">
        <is>
          <t>yes</t>
        </is>
      </c>
      <c r="Y98" s="680" t="n"/>
      <c r="AB98" s="64" t="inlineStr">
        <is>
          <t xml:space="preserve">New question + change in conditional for this section </t>
        </is>
      </c>
    </row>
    <row r="99" ht="144.6" customFormat="1" customHeight="1" s="75">
      <c r="A99" s="327">
        <f>A98+1</f>
        <v/>
      </c>
      <c r="B99" s="630" t="inlineStr">
        <is>
          <t>crp_landsize_num</t>
        </is>
      </c>
      <c r="C99" s="630" t="inlineStr">
        <is>
          <t>crp_landsize_num</t>
        </is>
      </c>
      <c r="D99" s="197" t="inlineStr">
        <is>
          <t>What is the total size of the land you can cultivate?
[OPERATOR: RECORD THE TOTAL LAND SIZE PROVIDED BY THE RESPONDENT. WRITE 8888888 FOR DON'T KNOW AND 9999999 FOR REFUSED. MEASUREMENT UNIT WILL BE SPECIFIED IN THE FOLLOWING QUESTION.]</t>
        </is>
      </c>
      <c r="E99" s="630">
        <f>LEN(D99)</f>
        <v/>
      </c>
      <c r="F99" s="129" t="inlineStr">
        <is>
          <t>စိုက်ပျိုးနိုင်တဲ့မြေအကျယ်အဝန်း စုစုပေါင်း ဘယ်လောက်ရှိလဲ။
[အော်ပရေတာ- ဖြေကြားသူမှ ပံ့ပိုးပေးထားသည့် စုစုပေါင်းမြေ အကျယ်အဝန်းပမာဏကို မှတ်သားပါ။ မသိသည့်အတွက် 8888888 နှင့် 9999999 ကို ငြင်းဆိုရန် ရေးပါ။ အောက်ပါမေးခွန်းတွင် တိုင်းတာမှုယူနစ်ကို သတ်မှတ်ပေးပါမည်။]</t>
        </is>
      </c>
      <c r="G99" s="630">
        <f>LEN(F99)</f>
        <v/>
      </c>
      <c r="H99" s="189" t="inlineStr">
        <is>
          <t>Range</t>
        </is>
      </c>
      <c r="I99" s="630" t="inlineStr">
        <is>
          <t>NA</t>
        </is>
      </c>
      <c r="J99" s="630" t="inlineStr">
        <is>
          <t>NA</t>
        </is>
      </c>
      <c r="K99" s="630" t="inlineStr">
        <is>
          <t>Form Type - TextBox</t>
        </is>
      </c>
      <c r="L99" s="225" t="inlineStr">
        <is>
          <t>NA</t>
        </is>
      </c>
      <c r="M99" s="198" t="inlineStr">
        <is>
          <t>0-1000000 = crp_landsize_unit
8888888-8888888 = crp_main
9999999-9999999 = crp_main</t>
        </is>
      </c>
      <c r="N99" s="215" t="n"/>
      <c r="O99" s="196" t="inlineStr">
        <is>
          <t>For any response, go to crp_landsize_unit. Range is between 0 and 1000000. For "Don't know" and "Refused", go to crp_main.</t>
        </is>
      </c>
      <c r="P99" s="201" t="n"/>
      <c r="Q99" s="148" t="inlineStr">
        <is>
          <t>resp_age = 18-100
(hh_agricactivity = 1 | 3) | (income_main_cropcheck = 1) | (income_sec_cropcheck = 1) | (income_third_cropcheck = 1) 
quotareached = 2</t>
        </is>
      </c>
      <c r="R99" s="202" t="n"/>
      <c r="S99" s="172" t="n">
        <v>17</v>
      </c>
      <c r="T99" s="123">
        <f>'Additional information'!$D$17</f>
        <v/>
      </c>
      <c r="U99" s="172">
        <f>S99*T99</f>
        <v/>
      </c>
      <c r="V99" s="59" t="n"/>
      <c r="X99" s="63" t="inlineStr">
        <is>
          <t>yes</t>
        </is>
      </c>
      <c r="Y99" s="680" t="n"/>
      <c r="AB99" s="64" t="inlineStr">
        <is>
          <t>New question</t>
        </is>
      </c>
    </row>
    <row r="100" ht="222.6" customFormat="1" customHeight="1" s="704">
      <c r="A100" s="327">
        <f>A99+1</f>
        <v/>
      </c>
      <c r="B100" s="630" t="inlineStr">
        <is>
          <t>crp_landsize_unit</t>
        </is>
      </c>
      <c r="C100" s="630" t="inlineStr">
        <is>
          <t>crp_landsize_unit</t>
        </is>
      </c>
      <c r="D100" s="197" t="inlineStr">
        <is>
          <t>Unit of measurement for land size: 
[OPERATOR: DO NOT READ. SINGLE RESPONSE.]
1)Acres
2)Hectares
3)Square meters
4)Square feet
5)Nan</t>
        </is>
      </c>
      <c r="E100" s="630">
        <f>LEN(D100)</f>
        <v/>
      </c>
      <c r="F100" s="129" t="inlineStr">
        <is>
          <t>မြေအကျယ်အဝန်း တိုင်းတာခြင်းယူနစ်
[အော်ပရေတာ- ဖတ်ပြရန်မလိုပါ။ အဖြေတစ်ခုသာ ရွေးချယ်ရန်။]
1)ဧက
2) ဟက်တာ
3) စတုရန်းမီတာ
4) စတုရန်းပေ
5)နမ်</t>
        </is>
      </c>
      <c r="G100" s="630">
        <f>LEN(F100)</f>
        <v/>
      </c>
      <c r="H100" s="189" t="inlineStr">
        <is>
          <t>Single Choice</t>
        </is>
      </c>
      <c r="I100" s="630" t="inlineStr">
        <is>
          <t>NA</t>
        </is>
      </c>
      <c r="J100" s="630" t="inlineStr">
        <is>
          <t>NA</t>
        </is>
      </c>
      <c r="K100" s="630" t="inlineStr">
        <is>
          <t>Form Type - Buttons</t>
        </is>
      </c>
      <c r="L100" s="225" t="inlineStr">
        <is>
          <t>NA</t>
        </is>
      </c>
      <c r="M100" s="198" t="inlineStr">
        <is>
          <t>1-5 = crp_main</t>
        </is>
      </c>
      <c r="N100" s="462" t="inlineStr">
        <is>
          <t xml:space="preserve">6/30/2023: In the validation questionnaire option 5 is "Arces, square meter". We have changed option 5 back to the wording we had in Round 6 given the validated questionnaire version option 5 was repetitive. </t>
        </is>
      </c>
      <c r="O100" s="196" t="inlineStr">
        <is>
          <t>if crp_landsize_unit = 1-5, go to crp_main</t>
        </is>
      </c>
      <c r="P100" s="195" t="n"/>
      <c r="Q100" s="148" t="inlineStr">
        <is>
          <t>resp_age = 18-100
(hh_agricactivity = 1 | 3) | (income_main_cropcheck = 1) | (income_sec_cropcheck = 1) | (income_third_cropcheck = 1) 
quotareached = 2</t>
        </is>
      </c>
      <c r="R100" s="451" t="n"/>
      <c r="S100" s="172" t="n">
        <v>0</v>
      </c>
      <c r="T100" s="123">
        <f>'Additional information'!$D$17</f>
        <v/>
      </c>
      <c r="U100" s="172">
        <f>S100*T100</f>
        <v/>
      </c>
      <c r="V100" s="59" t="n"/>
      <c r="X100" s="419" t="inlineStr">
        <is>
          <t>yes</t>
        </is>
      </c>
      <c r="Y100" s="680" t="n"/>
      <c r="AB100" s="64" t="inlineStr">
        <is>
          <t>New question</t>
        </is>
      </c>
    </row>
    <row r="101" ht="409.5" customFormat="1" customHeight="1" s="704">
      <c r="A101" s="350">
        <f>A100+1</f>
        <v/>
      </c>
      <c r="B101" s="351" t="inlineStr">
        <is>
          <t>crp_main</t>
        </is>
      </c>
      <c r="C101" s="352" t="inlineStr">
        <is>
          <t>crp_main</t>
        </is>
      </c>
      <c r="D101" s="589" t="inlineStr">
        <is>
          <t>What has been the main crop that your household has grown for food and income generation in monsoon season, if any?
OPERATOR: SINGLE RESPONSE. "NO CROP PRODUCTION" IS IN LAST OPTIONS AT THE END.]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91)No crop production
92)DON'T KNOW
93)REFUSED</t>
        </is>
      </c>
      <c r="E101" s="354">
        <f>LEN(D101)</f>
        <v/>
      </c>
      <c r="F101" s="360" t="inlineStr">
        <is>
          <t>မိုးရာသီတွင် သင့်အိမ်ထောင်စုသည် အစားအစာနှင့် ဝင်ငွေရရှိရန် စိုက်ပျိုးထားသည့် အဓိကသီးနှံကို ဖော်ပြပါ။
 [အော်ပရေတာ- တစ်ကိုယ်ရေ တုံ့ပြန်မှု။ "သီးနှံထုတ်လုပ်မှုမရှိ" သည် အဆုံးတွင် နောက်ဆုံးရွေးချယ်စရာများဖြစ်သည်။]
1) စပါး
2) ဂျုံ
3) ပြောင်း
4) အာလူး
5) ပဲအမျိုးမျိုး
6) ကြက်သွန်နီ
7) မြေပဲ/မြေပဲ
8) နှမ်း
9) ကြံ
10) ဆေးရွက်ကြီး
11) ပြောင်းဆန်
12) လူး
13) မုယောစပါး
14) အခြားနှံစားသီးနှံများ
15) ပီလောပီနံ
16) ကန်စွန်းဥ
17) ဝဉ
18) မုန်လာဥနီ
19) ကိုကိုယမ်
20) အခြားဉ အမျိုးမျိုး
21) ပဲစေ့အသေးမျိုး အမျိုးမျိုး
22) ပဲစေ့
23) ပဲပိစပ်
24) ကုလားပဲ
25) Fava ပဲများ
26) ပဲအမျိုးမျိုး
27) အခြားပဲမျိုးစုံ
28) ဂေါ်ဖီထုပ်
29) ပန်းဂေါ်ဖီ
30) ဆလတ်ရွက်
31) ဟင်းနုနွယ်ရွက်
32) ပီလောပီနံရွက်
33) အာလူးရွက်
34) ဒန့်သလွန်
35) ချဉ်ပေါင်
36) အစိမ်းရောင်သုပ်ဟင်းသီးဟင်းရွက်များ [စမုန်ဖြူ၊ နံနံပင်၊ mint၊ rocca၊ အခြား]
37) အခြားသော အရွက်များ ဟင်းသီးဟင်းရွက်များ
38) ခရမ်းချဉ်သီး
39) ပဲစိမ်း၊
40) ပဲစိမ်းပွသီး 
41) သခွားသီး
42) ရွှေဖရုံသီး
43) ခရမ်းသီး / ခရမ်းသီး
44) ဇူကီနီ/ဖရုံသခွား
45) ရုံးပတီသီး
46) ငရုတ်ပွ
47) ဘိုစားပဲ
48) အရွက်မဟုတ်သော အခြားဟင်းသီးဟင်းရွက်များ
49) လိမ္မော်ရောင်
50) သံပုရာ
51) ဂရိတ်ဖရုသီး
52) လိမ္မော်သီး အသေး
53) အခြားလိမ္မော်သီး
54) ငှက်ပျောမွှေး
55) သဖန်း
56) စပျစ်သီး
57) သံလွင်သီး
58) ပန်းသိး
59) မက်မွန်သီး
60) ချယ်ရီသီး
61) မက်မန်းသီး
62) စတော်ဘယ်ရီသီး
63) ဖရဲသီး [Cantaloupe]
64)အစိမ်းချက်စားနိုင်သော ငှက်ပျောသီး 
65) သင်္ဘောသီး
66) သရက်သီး
67) မာလကာ၊
68) နာနတ်သီး
69) ထောပတ်သီး
70) ဖရဲသီး
71)  စွံပလွံသီး
72) အခြားအသီးအနှံ
73) အုန်းသီး
74) သီဟိုဠ်စေ့
75) ကိုလာစေ့
76) ဘန်ဘာရာစေ့
77) ဗာဒံစေ့
78) သစ်ကြားသီး
79) အခြားအခွံမာသီး
80) ကိုကိုး
81) ကော်ဖီ
82) လက်ဖက်ရည်
83) နေကြာ
84) အခြားငွေဖြစ်လွယ်သောသီးနှံများ
85) ချည်
86) ရော်ဘာ
87) ဂုန်လျော်
88) အစာ
89) ကွမ်းရွက်ကဲ့သို့စားရသော အရွက်တမျိုး
90) အခြားအစာမဟုတ်သော ငွေသားသီးနှံ
91) သီးနှံစိုက်ပျိုးထုတ်လုပ်မှု မရှိပါ။
92) မသိပါ။
93) ငြင်းဆိုခဲ့သည်။</t>
        </is>
      </c>
      <c r="G101" s="354">
        <f>LEN(F101)</f>
        <v/>
      </c>
      <c r="H101" s="363" t="inlineStr">
        <is>
          <t>Single Choice</t>
        </is>
      </c>
      <c r="I101" s="354" t="inlineStr">
        <is>
          <t>NA</t>
        </is>
      </c>
      <c r="J101" s="354" t="inlineStr">
        <is>
          <t>Send if "hh_agricactivity" "Equals" "Yes - crop production" Or "hh_agricactivity" "Equals" "Yes - both crop and livestock production" Or "income_main_cropcheck" "Equals" "YES" Or "income_sec_cropcheck" "Equals" "YES" Or "income_third_cropcheck" "Equals" "YES" if not satisfied go to "crp_salesmain"</t>
        </is>
      </c>
      <c r="K101" s="352" t="inlineStr">
        <is>
          <t>Form Type - Dropdown
IsDemographic</t>
        </is>
      </c>
      <c r="L101" s="452" t="inlineStr">
        <is>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91)777
92)888
93)999</t>
        </is>
      </c>
      <c r="M101" s="230" t="inlineStr">
        <is>
          <t>1-90 = o_mocha_damage
91 = crp_main_check
92-93 = crp_salesmain</t>
        </is>
      </c>
      <c r="N101" s="230" t="n"/>
      <c r="O101" s="230" t="inlineStr">
        <is>
          <t>if crp_main = any type of crop, go to crp_irrigation;
if crp_main = "No crop production", go to crp_main_check
if crp_main = "Don't know" or "Refused", go to crp_salesmain</t>
        </is>
      </c>
      <c r="P101" s="607" t="n"/>
      <c r="Q101" s="148" t="inlineStr">
        <is>
          <t>resp_age = 18-100
(hh_agricactivity = 1 | 3) | (income_main_cropcheck = 1) | (income_sec_cropcheck = 1) | (income_third_cropcheck = 1) 
quotareached = 2</t>
        </is>
      </c>
      <c r="R101" s="138" t="n"/>
      <c r="S101" s="172" t="n">
        <v>27.05755233764648</v>
      </c>
      <c r="T101" s="123">
        <f>'Additional information'!$D$17</f>
        <v/>
      </c>
      <c r="U101" s="172">
        <f>S101*T101</f>
        <v/>
      </c>
      <c r="V101" s="59" t="n"/>
      <c r="X101" s="419" t="inlineStr">
        <is>
          <t>yes</t>
        </is>
      </c>
      <c r="Y101" s="680" t="n"/>
      <c r="AB101" s="61" t="inlineStr">
        <is>
          <t>Change in column H, J &amp; D</t>
        </is>
      </c>
    </row>
    <row r="102" ht="168.6" customFormat="1" customHeight="1" s="704">
      <c r="A102" s="327">
        <f>A101+1</f>
        <v/>
      </c>
      <c r="B102" s="128" t="inlineStr">
        <is>
          <t>crp_main_check</t>
        </is>
      </c>
      <c r="C102" s="128" t="inlineStr">
        <is>
          <t>crp_main_check</t>
        </is>
      </c>
      <c r="D102" s="200" t="inlineStr">
        <is>
          <t>Why did you not produce any crops in monsoon season ?
[OPERATOR: SINGLE RESPONSE.]
1)Don’t usually produce during this season 
2)Wasn't able to produce [e.g. due to difficulties]</t>
        </is>
      </c>
      <c r="E102" s="631">
        <f>LEN(D102)</f>
        <v/>
      </c>
      <c r="F102" s="625" t="inlineStr">
        <is>
          <t>ယခုနှစ်မုတ်သုံရာသီ တွင် သီးနှံ ဘာ​ကြောင့် မထုတ်လုပ်နိုင်သလဲ
[အော်ပရေတာ- တုံ့ပြန်မှုတစ်ခုသာ]
1)ဒီရာသီတွင် ပုံမှန် မထုတ်လုပ်ဘူး
2)မထုတ်လုပ်နိုင်တာ ( ဥပမာ အခက်အခဲ များ​ကြောင့်)</t>
        </is>
      </c>
      <c r="G102" s="631">
        <f>LEN(F102)</f>
        <v/>
      </c>
      <c r="H102" s="698" t="inlineStr">
        <is>
          <t>Single Choice</t>
        </is>
      </c>
      <c r="I102" s="631" t="inlineStr">
        <is>
          <t>NA</t>
        </is>
      </c>
      <c r="J102" s="631" t="inlineStr">
        <is>
          <t>NA</t>
        </is>
      </c>
      <c r="K102" s="136" t="inlineStr">
        <is>
          <t>Form Type - Buttons</t>
        </is>
      </c>
      <c r="L102" s="608" t="inlineStr">
        <is>
          <t>NA</t>
        </is>
      </c>
      <c r="M102" s="230" t="inlineStr">
        <is>
          <t>1 = crp_salesmain
2 = crp_proddif_1</t>
        </is>
      </c>
      <c r="N102" s="609" t="n"/>
      <c r="O102" s="230" t="inlineStr">
        <is>
          <t>if crp_main_check = 1, go to crp_salesmain
if crp_main_check = 2, go to crp_proddif_1</t>
        </is>
      </c>
      <c r="P102" s="607" t="n"/>
      <c r="Q102" s="148" t="inlineStr">
        <is>
          <t>resp_age = 18-100
(hh_agricactivity = 1 | 3) | (income_main_cropcheck = 1) | (income_sec_cropcheck = 1) | (income_third_cropcheck = 1) 
quotareached = 2
crp_main = 91</t>
        </is>
      </c>
      <c r="R102" s="138" t="n"/>
      <c r="S102" s="172" t="n">
        <v>0</v>
      </c>
      <c r="T102" s="123">
        <f>'Additional information'!$D$17</f>
        <v/>
      </c>
      <c r="U102" s="172">
        <f>S102*T102</f>
        <v/>
      </c>
      <c r="V102" s="59" t="n"/>
      <c r="X102" s="419" t="inlineStr">
        <is>
          <t>yes</t>
        </is>
      </c>
      <c r="Y102" s="680" t="n"/>
      <c r="AB102" s="61" t="n"/>
    </row>
    <row r="103" ht="220.5" customFormat="1" customHeight="1" s="704">
      <c r="A103" s="327" t="n">
        <v>82</v>
      </c>
      <c r="B103" s="128" t="inlineStr">
        <is>
          <t>o_mocha_damage</t>
        </is>
      </c>
      <c r="C103" s="128" t="inlineStr">
        <is>
          <t>o_mocha_damage</t>
        </is>
      </c>
      <c r="D103" s="200" t="inlineStr">
        <is>
          <t>Do the damages from cyclone Mocha have an impact on the area already planted or what you will be able to plant for {crp_main}?
[OPERATOR: SINGLE RESPONSE.]
1)Yes - a lot of impact [more than 50% of the area planted]
2)Yes - a slight impact
3)No - there was  no impact on the area planted
4)DON'T KNOW</t>
        </is>
      </c>
      <c r="E103" s="631">
        <f>LEN(D103)</f>
        <v/>
      </c>
      <c r="F103" s="360" t="inlineStr">
        <is>
          <t>ဆိုင်ကလုန်း Mocha ၏ ပျက်စီးမှုများသည် စိုက်ပျိုးပြီးသော ဧရိယာအပေါ် သက်ရောက်မှုရှိမည်လား သို့မဟုတ် သင် {crp_main} အတွက် စိုက်ပျိုးနိုင်မည့် အရာများ ရှိပါသလား။
[အော်ပရေတာ- တုံ့ပြန်မှုတစ်ခုသာ။]
1) ဟုတ်ကဲ့ - အများကြီးအကျိုးသက်ရောက်မှု [စိုက်ဧရိယာ၏ 50% ကျော်]
2) ဟုတ်ကဲ့ - အနည်းငယ်အကျိုးသက်ရောက်မှု
3) စိုက်ပျိုးသည့်ဧရိယာအပေါ် ထိခိုက်မှုမရှိပါ။
4)မသိပါ</t>
        </is>
      </c>
      <c r="G103" s="631">
        <f>LEN(F103)</f>
        <v/>
      </c>
      <c r="H103" s="698" t="inlineStr">
        <is>
          <t>Single Choice</t>
        </is>
      </c>
      <c r="I103" s="631" t="inlineStr">
        <is>
          <t>NA</t>
        </is>
      </c>
      <c r="J103" s="631" t="inlineStr">
        <is>
          <t>Send if "o_cyclaffected" "Equals" "YES" if not satisfied go to "crp_irrig_source"</t>
        </is>
      </c>
      <c r="K103" s="136" t="inlineStr">
        <is>
          <t>Form Type - Buttons</t>
        </is>
      </c>
      <c r="L103" s="610" t="inlineStr">
        <is>
          <t>NA</t>
        </is>
      </c>
      <c r="M103" s="362" t="inlineStr">
        <is>
          <t>1-4 = O_crp_assets</t>
        </is>
      </c>
      <c r="N103" s="611" t="n"/>
      <c r="O103" s="612" t="n"/>
      <c r="P103" s="607" t="n"/>
      <c r="Q103" s="148" t="n"/>
      <c r="R103" s="138" t="n"/>
      <c r="S103" s="172" t="n"/>
      <c r="T103" s="123" t="n"/>
      <c r="U103" s="172" t="n"/>
      <c r="V103" s="59" t="n"/>
      <c r="X103" s="419" t="n"/>
      <c r="Y103" s="680" t="n"/>
      <c r="AB103" s="61" t="n"/>
    </row>
    <row r="104" ht="325.5" customFormat="1" customHeight="1" s="704">
      <c r="A104" s="327" t="n">
        <v>83</v>
      </c>
      <c r="B104" s="128" t="inlineStr">
        <is>
          <t>O_crp_assets</t>
        </is>
      </c>
      <c r="C104" s="128" t="inlineStr">
        <is>
          <t>O_crp_assets</t>
        </is>
      </c>
      <c r="D104" s="200" t="inlineStr">
        <is>
          <t>Have you lost the majority of the following tools/assets?
[OPERATOR: MULTIPLE RESPONSE]
1)Hand tools
2)Agricultural machines
3)Seeds stock
4)Inputs [fertilizer and pesticides] stock
5)Irrigation tools [pumps/ parts…]
6)Farmland due to saltwater intrusion/ debris/ sediments…
7)Drying equipment
8)Store equipment [plastic bags/ tarpaulin/ plastic sheets…]
9)Other
10)No - the majority of tools/assets were not lost
11)DON’T KNOW
12)REFUSED</t>
        </is>
      </c>
      <c r="E104" s="631">
        <f>LEN(D104)</f>
        <v/>
      </c>
      <c r="F104" s="360" t="inlineStr">
        <is>
          <t>အောက်ပါကိရိယာများ/ပိုင်ဆိုင်မှုအများစုကို သင်ဆုံးရှုံးခဲ့ပါသလား။
[အော်ပရေတာ- တုံ့ပြန်မှုအားလုံးကိုရွေးပါ။]
1)လယ်ယာ လက်သုံးကိရိယာများ
2)စိုက်ပျိုးရေးစက်များ
3)သိုလှောင်ထားသောမျိုးစေ့များ
4)သိုလှောင်ထားသော သွင်းအားစုများ [မြေသြဇာနှင့် ပိုးသတ်ဆေး]
5)ရေသွင်းကိရိယာများ [ရေစုပ်စက်နှင့်အခြားအစိတ်အပိုင်းများ…]
6)ရေငန်ဝင်ရောက်မှုနှင့်သဲနှုံးအနည်အနှစ်များကြောင့် လယ်ယာမြေ ပျက်စီးမှု၊
7)အခြောက်ခံကိရိယာများ
8)သိူလှောင်ရာတွင် အသုံးပြုသော ပစ္စည်းများ [ပလပ်စတစ်အိတ်၊ တာပေါ်လင်၊ ပလပ်စတစ်အခင်းများ…]
9)အခြား
10) အဓိကအသုံးပြုနေသော စက်ပစ္စည်းနှင့် အခြားကိရိယာများ ပျက်စီးမှုမရှိပါ
11)မသိပါ။
12)ငြင်းဆိုပါ။</t>
        </is>
      </c>
      <c r="G104" s="631">
        <f>LEN(F104)</f>
        <v/>
      </c>
      <c r="H104" s="698" t="inlineStr">
        <is>
          <t>Select All That Apply</t>
        </is>
      </c>
      <c r="I104" s="631" t="inlineStr">
        <is>
          <t>NA</t>
        </is>
      </c>
      <c r="J104" s="631" t="inlineStr">
        <is>
          <t>NA</t>
        </is>
      </c>
      <c r="K104" s="136" t="inlineStr">
        <is>
          <t>Form Type - Checklist
10,11, 12 = IsNone</t>
        </is>
      </c>
      <c r="L104" s="610" t="inlineStr">
        <is>
          <t>1)Farm_assets_tools
2)Farm_assets_tools _machine
3)Farm_assets_tools _seeds
4)Farm_assets_tools inputs
5)Farm_assets_tools _irr
6)Farm_assets_land
7)Farm_assets_dryingequip
8)Farm_assets_storingequip
9)Farm_assets_tools _other
10)Farm_assets_tools_NO
11)Farm_assets_tools _DTK
12)Farm_assets_tools _REF</t>
        </is>
      </c>
      <c r="M104" s="362" t="inlineStr">
        <is>
          <t>1-12 = crp_irrig_source</t>
        </is>
      </c>
      <c r="N104" s="611" t="n"/>
      <c r="O104" s="612" t="n"/>
      <c r="P104" s="607" t="n"/>
      <c r="Q104" s="148" t="n"/>
      <c r="R104" s="138" t="n"/>
      <c r="S104" s="172" t="n"/>
      <c r="T104" s="123" t="n"/>
      <c r="U104" s="172" t="n"/>
      <c r="V104" s="59" t="n"/>
      <c r="X104" s="419" t="n"/>
      <c r="Y104" s="680" t="n"/>
      <c r="AB104" s="61" t="n"/>
    </row>
    <row r="105" ht="270.6" customFormat="1" customHeight="1" s="704">
      <c r="A105" s="327" t="n">
        <v>84</v>
      </c>
      <c r="B105" s="630" t="inlineStr">
        <is>
          <t>crp_irrig_source</t>
        </is>
      </c>
      <c r="C105" s="630" t="inlineStr">
        <is>
          <t>crp_irrig_source</t>
        </is>
      </c>
      <c r="D105" s="197"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630">
        <f>LEN(D105)</f>
        <v/>
      </c>
      <c r="F105" s="360" t="inlineStr">
        <is>
          <t>​{crp_main} အတွက် စိုက်ပျိူးရန်  လို​အပ်​သော ​ရေကို ပုံမှန် မည်ကဲ့သို့ ရရှိသနည်း
[အော်ပရေတာ- တုံ့ပြန်မှုတစ်ခုသာ]
1)မိုး​ရေ [ရေသွင်းစနစ်မရှိ]
2)တူးမြောင်းရေသွင်းခြင်း [syphon ကိုသုံး၍]
​3)ရေဖြန်းခြင်း သို့ အစက်ချခြင်း [မျက်နှာ ပြင်​ရေ၊ ​မြေ​အောက်​ရေ၊ ဘုံဘိုင်​ခေါင်း]
4)သီးသန့် ​ရေသွယ်ခြင်း [မျက်နှာ ပြင်​ရေ၊ ​မြေ​အောက်​ရေ၊ ဘုံဘိုင်​ခေါင်း]
​5)ရေလွမ်းခြင်းဖြင့်ရရှိခြင်း [ကမ္ဘာ​မြေကြီးဆွဲအားဖြင့်]
6)အခြား [​ဖော်ပြပါ]
7)မသိပါ။
8)ငြင်းဆိုသည်။</t>
        </is>
      </c>
      <c r="G105" s="630">
        <f>LEN(F105)</f>
        <v/>
      </c>
      <c r="H105" s="189" t="inlineStr">
        <is>
          <t>Open Ended-Single Choice</t>
        </is>
      </c>
      <c r="I105" s="630" t="inlineStr">
        <is>
          <t>NA</t>
        </is>
      </c>
      <c r="J105" s="630" t="inlineStr">
        <is>
          <t>NA</t>
        </is>
      </c>
      <c r="K105" s="630" t="inlineStr">
        <is>
          <t>Form Type - RadioList</t>
        </is>
      </c>
      <c r="L105" s="225" t="inlineStr">
        <is>
          <t>NA</t>
        </is>
      </c>
      <c r="M105" s="609" t="inlineStr">
        <is>
          <t>1-8 = o_irr_dam</t>
        </is>
      </c>
      <c r="N105" s="564" t="n"/>
      <c r="O105" s="565" t="inlineStr">
        <is>
          <t>if crp_irrigation = 1-8, go to [crp_area_change or crp_seed_supply]</t>
        </is>
      </c>
      <c r="P105" s="453" t="n"/>
      <c r="Q105" s="148" t="inlineStr">
        <is>
          <t>resp_age = 18-100
(hh_agricactivity = 1 | 3) | (income_main_cropcheck = 1) | (income_sec_cropcheck = 1) | (income_third_cropcheck = 1) 
quotareached = 2
crp_main = 1-90</t>
        </is>
      </c>
      <c r="R105" s="149" t="n"/>
      <c r="S105" s="172" t="n">
        <v>15.95429515838623</v>
      </c>
      <c r="T105" s="123">
        <f>'Additional information'!$D$17</f>
        <v/>
      </c>
      <c r="U105" s="172">
        <f>S105*T105</f>
        <v/>
      </c>
      <c r="V105" s="59" t="n"/>
      <c r="X105" s="419" t="inlineStr">
        <is>
          <t>yes</t>
        </is>
      </c>
      <c r="Y105" s="680" t="n"/>
      <c r="AB105" s="64" t="inlineStr">
        <is>
          <t>Made mandatory
Change options #1-6</t>
        </is>
      </c>
    </row>
    <row r="106" ht="177" customFormat="1" customHeight="1" s="704">
      <c r="A106" s="327" t="n">
        <v>85</v>
      </c>
      <c r="B106" s="354" t="inlineStr">
        <is>
          <t>o_irr_dam</t>
        </is>
      </c>
      <c r="C106" s="354" t="inlineStr">
        <is>
          <t>o_irr_dam</t>
        </is>
      </c>
      <c r="D106" s="356" t="inlineStr">
        <is>
          <t>Was the irrigation infrastructure damaged due to the cyclone and flooding?
[OPERATOR: SINGLE RESPONSE.]
1)YES
2)NO
3)DON’T KNOW
4)REFUSED</t>
        </is>
      </c>
      <c r="E106" s="354">
        <f>LEN(D106)</f>
        <v/>
      </c>
      <c r="F106" s="360" t="inlineStr">
        <is>
          <t>ဆည်နှင့် ရေသွင်းရေနှုတ်မြောင်းများ စသည်တို့ ပျက်စီးခဲ့ပါသလား
[အော်ပရေတာ- ရွေးချယ်မှုတစ်ခုသာ။]
1)ထိခိုက်ပျက်စီးပါသည်
2)မပျက်စီးပါ
3)မသိပါ
4)ငြင်းဆိုသည်</t>
        </is>
      </c>
      <c r="G106" s="354">
        <f>LEN(F106)</f>
        <v/>
      </c>
      <c r="H106" s="352" t="inlineStr">
        <is>
          <t>Single Choice</t>
        </is>
      </c>
      <c r="I106" s="354" t="inlineStr">
        <is>
          <t>NA</t>
        </is>
      </c>
      <c r="J106" s="354" t="inlineStr">
        <is>
          <t>Send if "o_cyclaffected" "Equals"  "YES" if not satisfied go to "crp_area_change"</t>
        </is>
      </c>
      <c r="K106" s="354" t="inlineStr">
        <is>
          <t>Form Type - Buttons</t>
        </is>
      </c>
      <c r="L106" s="225" t="inlineStr">
        <is>
          <t>NA</t>
        </is>
      </c>
      <c r="M106" s="198" t="inlineStr">
        <is>
          <t>1-4 = crp_area_change</t>
        </is>
      </c>
      <c r="N106" s="362" t="n"/>
      <c r="O106" s="362" t="n"/>
      <c r="P106" s="613" t="n"/>
      <c r="Q106" s="148" t="n"/>
      <c r="R106" s="149" t="n"/>
      <c r="S106" s="172" t="n"/>
      <c r="T106" s="123" t="n"/>
      <c r="U106" s="172" t="n"/>
      <c r="V106" s="59" t="n"/>
      <c r="X106" s="419" t="n"/>
      <c r="Y106" s="680" t="n"/>
      <c r="AB106" s="64" t="n"/>
    </row>
    <row r="107" ht="252" customFormat="1" customHeight="1" s="704">
      <c r="A107" s="327" t="n">
        <v>86</v>
      </c>
      <c r="B107" s="203" t="inlineStr">
        <is>
          <t>crp_area_change</t>
        </is>
      </c>
      <c r="C107" s="203" t="inlineStr">
        <is>
          <t>crp_area_change</t>
        </is>
      </c>
      <c r="D107" s="197" t="inlineStr">
        <is>
          <t>How did the area planted for {crp_main} from monsoon season compare to a normal year?
[OPERATOR: SINGLE RESPONSE.]
1)A lot more [increased by more than 50%]
2)Slightly more
3)Same
4)Slightly less
5)A lot less [less than half as much]
6)DON'T KNOW
7)REFUSED</t>
        </is>
      </c>
      <c r="E107" s="630">
        <f>LEN(D107)</f>
        <v/>
      </c>
      <c r="F107" s="297" t="inlineStr">
        <is>
          <t>ယခုနှစ်မုတ်သုံရာသီတွင် {crp_main} အတွက် စိုက်ပျိုးခဲ့သော ဧရိယာကို ပုံမှန်စိုက်ပျိုးသည့်နှစ်နဲ့ ဘယ်လိုနှိုင်းယှဉ်ရပါမလဲ။
[အော်ပရေတာ- တုံ့ပြန်မှုတစ်ခုသာ။]
1)အလွန်တိုးလာသည် [50% အထက် တိုးလာသည်]
2)တိုးလာသည်
3)တူညီသည်
4)ပို၍နည်းသည်
5)အလွန်နည်းသည် [ထက်ဝက်စာမျှ နည်းသည်]
6)မသိပါ
7)ဖြေဆိုရန် ငြင်းဆန်သည်</t>
        </is>
      </c>
      <c r="G107" s="630">
        <f>LEN(F107)</f>
        <v/>
      </c>
      <c r="H107" s="144" t="inlineStr">
        <is>
          <t>Single Choice</t>
        </is>
      </c>
      <c r="I107" s="630" t="inlineStr">
        <is>
          <t>NA</t>
        </is>
      </c>
      <c r="J107" s="630" t="inlineStr">
        <is>
          <t>NA</t>
        </is>
      </c>
      <c r="K107" s="630" t="inlineStr">
        <is>
          <t>Form Type - Buttons
IsDemographic</t>
        </is>
      </c>
      <c r="L107" s="225" t="inlineStr">
        <is>
          <t>NA</t>
        </is>
      </c>
      <c r="M107" s="198" t="inlineStr">
        <is>
          <t>1-7 = crp_harv_change</t>
        </is>
      </c>
      <c r="N107" s="585" t="n"/>
      <c r="O107" s="198" t="inlineStr">
        <is>
          <t>if crp_area_change = 1-7, go to crp_harv_change</t>
        </is>
      </c>
      <c r="P107" s="199" t="n"/>
      <c r="Q107" s="148" t="inlineStr">
        <is>
          <t>resp_age = 18-100
(hh_agricactivity = 1 | 3) | (income_main_cropcheck = 1) | (income_sec_cropcheck = 1) | (income_third_cropcheck = 1) 
quotareached = 2
crp_main = 1-90</t>
        </is>
      </c>
      <c r="R107" s="149" t="n"/>
      <c r="S107" s="172" t="n">
        <v>25.43687438964844</v>
      </c>
      <c r="T107" s="123">
        <f>'Additional information'!$D$17</f>
        <v/>
      </c>
      <c r="U107" s="172">
        <f>S107*T107</f>
        <v/>
      </c>
      <c r="V107" s="59" t="n"/>
      <c r="X107" s="419" t="inlineStr">
        <is>
          <t>yes</t>
        </is>
      </c>
      <c r="Y107" s="680" t="n"/>
      <c r="AB107" s="64" t="inlineStr">
        <is>
          <t xml:space="preserve">Change question formulation +&amp; in options #2, 4 (col D) </t>
        </is>
      </c>
    </row>
    <row r="108" ht="249" customFormat="1" customHeight="1" s="704">
      <c r="A108" s="327">
        <f>A107+1</f>
        <v/>
      </c>
      <c r="B108" s="630" t="inlineStr">
        <is>
          <t>crp_harv_change</t>
        </is>
      </c>
      <c r="C108" s="630" t="inlineStr">
        <is>
          <t>crp_harv_change</t>
        </is>
      </c>
      <c r="D108" s="197" t="inlineStr">
        <is>
          <t>How does the expected harvest of {crp_main} in the monsoon season  compare to a normal year? 
[OPERATOR: SINGLE RESPONSE.]
1)A lot more [increased by more than 50%]
2)Slightly more
3)Same
4)Slightly less
5)A lot less [less than half as much]
6)DON'T KNOW
7)REFUSED</t>
        </is>
      </c>
      <c r="E108" s="630">
        <f>LEN(D108)</f>
        <v/>
      </c>
      <c r="F108" s="360" t="inlineStr">
        <is>
          <t xml:space="preserve"> ယခုနှစ်မုတ်သုံရာသီအတွင်း {crp_main} ၏ခန့်မှန်းရိတ်သိမ်းရရှိမှုကို ပုံမှန်စိုက်ပျိုးနှစ်နှင့် ဘယ်လိုနှိုင်းယှဉ်ရပါမလဲ။ 
[အော်ပရေတာ- တုံ့ပြန်မှုတစ်ခုသာ။]
1)အလွန်တိုးလာသည် [50% အထက် တိုးလာသည်]
2)တိုးလာသည်
3)တူညီသည်
4)ပို၍နည်းသည်
5)အလွန်နည်းသည် [ထက်ဝက်စာမျှ နည်းသည်]
6)မသိပါ
7)ဖြေဆိုရန် ငြင်းဆန်သည်</t>
        </is>
      </c>
      <c r="G108" s="630">
        <f>LEN(F108)</f>
        <v/>
      </c>
      <c r="H108" s="144" t="inlineStr">
        <is>
          <t>Single Choice</t>
        </is>
      </c>
      <c r="I108" s="630" t="inlineStr">
        <is>
          <t>NA</t>
        </is>
      </c>
      <c r="J108" s="630" t="inlineStr">
        <is>
          <t>NA</t>
        </is>
      </c>
      <c r="K108" s="630" t="inlineStr">
        <is>
          <t>Form Type - Buttons
IsDemographic</t>
        </is>
      </c>
      <c r="L108" s="225" t="inlineStr">
        <is>
          <t>NA</t>
        </is>
      </c>
      <c r="M108" s="237" t="inlineStr">
        <is>
          <t>1-7 = crp_harv_vol</t>
        </is>
      </c>
      <c r="N108" s="617" t="n"/>
      <c r="O108" s="614" t="inlineStr">
        <is>
          <t>if crp_harv_change = 1-7, go to [crp_proddif_1 or crp_harv_vol]</t>
        </is>
      </c>
      <c r="P108" s="615" t="n"/>
      <c r="Q108" s="148" t="inlineStr">
        <is>
          <t>resp_age = 18-100
(hh_agricactivity = 1 | 3) | (income_main_cropcheck = 1) | (income_sec_cropcheck = 1) | (income_third_cropcheck = 1) 
quotareached = 2
crp_main = 1-90</t>
        </is>
      </c>
      <c r="R108" s="706" t="n"/>
      <c r="S108" s="172" t="n">
        <v>19.36494636535645</v>
      </c>
      <c r="T108" s="123">
        <f>'Additional information'!$D$17</f>
        <v/>
      </c>
      <c r="U108" s="172">
        <f>S108*T108</f>
        <v/>
      </c>
      <c r="V108" s="59" t="n"/>
      <c r="X108" s="419" t="inlineStr">
        <is>
          <t>yes</t>
        </is>
      </c>
      <c r="Y108" s="680" t="n"/>
      <c r="AB108" s="64" t="inlineStr">
        <is>
          <t xml:space="preserve">Change in question formulation &amp; options #2, 4 (col D) + col J </t>
        </is>
      </c>
    </row>
    <row r="109" ht="150" customFormat="1" customHeight="1" s="704">
      <c r="A109" s="327">
        <f>A108+1</f>
        <v/>
      </c>
      <c r="B109" s="233" t="inlineStr">
        <is>
          <t>crp_harv_vol</t>
        </is>
      </c>
      <c r="C109" s="233" t="inlineStr">
        <is>
          <t>crp_harv_vol</t>
        </is>
      </c>
      <c r="D109" s="634" t="inlineStr">
        <is>
          <t>How much [threshed] {crp_main} did you harvest this monsoon season?
[OPERATOR: RECORD THE RESPONSE GIVEN. UNIT OF MEASUREMENT TO BE SPECIFIED IN NEXT QUESTION. ENTER 8888888 FOR DON'T KNOW &amp; 9999999 FOR REFUSED, TO BE USED RARELY - PROBE!]</t>
        </is>
      </c>
      <c r="E109" s="637">
        <f>LEN(D109)</f>
        <v/>
      </c>
      <c r="F109" s="360" t="inlineStr">
        <is>
          <t>(ရိတ်သိမ်းမှု){crp_main}  ယခုနှစ်မုတ်သုံရာသီတွင် သင်မည်မျှရိတ်သိမ်းခဲ့သနည်း။
[အော်ပရေတာ- အကြောင်းမဲ့ တုံ့ပြန်မှုကို မှတ်တမ်းတင်ပါ။ နောက်မေးခွန်းအတွက် သတ်မှတ်ရမည့် တိုင်းတာမှုယူနစ်။ မသိသည့်အတွက် 8888888 ကိုရိုက်ထည့်ပါ နှင့် 9999999 ကို ငြင်းဆိုရန် ရှားရှားပါးပါး - စုံစမ်းရန်။]</t>
        </is>
      </c>
      <c r="G109" s="637">
        <f>LEN(F109)</f>
        <v/>
      </c>
      <c r="H109" s="234" t="inlineStr">
        <is>
          <t>Range</t>
        </is>
      </c>
      <c r="I109" s="637" t="inlineStr">
        <is>
          <t>NA</t>
        </is>
      </c>
      <c r="J109" s="637" t="inlineStr">
        <is>
          <t>NA</t>
        </is>
      </c>
      <c r="K109" s="637" t="inlineStr">
        <is>
          <t>Form Type - TextBox</t>
        </is>
      </c>
      <c r="L109" s="222" t="inlineStr">
        <is>
          <t>NA</t>
        </is>
      </c>
      <c r="M109" s="454" t="inlineStr">
        <is>
          <t>1-1000000 = crp_harv_unit
8888888-8888888 =  crp_harv_unit
9999999-9999999 =  crp_harv_unit</t>
        </is>
      </c>
      <c r="N109" s="454" t="n"/>
      <c r="O109" s="616" t="inlineStr">
        <is>
          <t>For any response, go to crp_harv_unit. For "Don't know" or "Refused", go to crp_proddif_1</t>
        </is>
      </c>
      <c r="P109" s="240" t="n"/>
      <c r="Q109" s="148" t="inlineStr">
        <is>
          <t>resp_age = 18-100
(hh_agricactivity = 1 | 3) | (income_main_cropcheck = 1) | (income_sec_cropcheck = 1) | (income_third_cropcheck = 1) 
quotareached = 2
crp_main = 1-90</t>
        </is>
      </c>
      <c r="R109" s="691" t="n"/>
      <c r="S109" s="127" t="n">
        <v>17</v>
      </c>
      <c r="T109" s="123">
        <f>'Additional information'!$D$17</f>
        <v/>
      </c>
      <c r="U109" s="127">
        <f>S109*T109</f>
        <v/>
      </c>
      <c r="V109" s="59" t="n"/>
      <c r="X109" s="419" t="inlineStr">
        <is>
          <t>no</t>
        </is>
      </c>
      <c r="Y109" s="680" t="n"/>
      <c r="AB109" s="64" t="inlineStr">
        <is>
          <t>new question</t>
        </is>
      </c>
    </row>
    <row r="110" ht="294.6" customFormat="1" customHeight="1" s="704">
      <c r="A110" s="327">
        <f>A109+1</f>
        <v/>
      </c>
      <c r="B110" s="233" t="inlineStr">
        <is>
          <t>crp_harv_unit</t>
        </is>
      </c>
      <c r="C110" s="233" t="inlineStr">
        <is>
          <t>crp_harv_unit</t>
        </is>
      </c>
      <c r="D110" s="627" t="inlineStr">
        <is>
          <t>Unit of measurement for harvested {crp_main} :
[OPERATOR: SINGLE SELECTION]
1)Kilograms [kgs]
2)Tonnes
3)Ounces
4)Pounds
5)Bags
6)Boxes
7)Bundles
8)Packets
9)Other [specify]</t>
        </is>
      </c>
      <c r="E110" s="637">
        <f>LEN(D110)</f>
        <v/>
      </c>
      <c r="F110" s="297" t="inlineStr">
        <is>
          <t>{crp_main}: ရိတ်သိမ်းခြင်းအတွက် တိုင်းတာမှုယူနစ်
[အော်ပရေတာ- ရွေးချယ်မှုတစ်ခုတည်းသာ]
1) ကီလိုဂရမ်
2) တန်ချိန်
3) အောင်စ
4) ပေါင်
5) အိတ်များ
6) ဗူးများ
7) အစည်းများ
8) အထုပ်များ
9) အခြား [သတ်မှတ်ရန်]</t>
        </is>
      </c>
      <c r="G110" s="637">
        <f>LEN(F110)</f>
        <v/>
      </c>
      <c r="H110" s="234" t="inlineStr">
        <is>
          <t>Open Ended-Single Choice</t>
        </is>
      </c>
      <c r="I110" s="637" t="inlineStr">
        <is>
          <t>NA</t>
        </is>
      </c>
      <c r="J110" s="637" t="inlineStr">
        <is>
          <t>NA</t>
        </is>
      </c>
      <c r="K110" s="637" t="inlineStr">
        <is>
          <t>Form Type - RadioList
IsDemographic</t>
        </is>
      </c>
      <c r="L110" s="222" t="inlineStr">
        <is>
          <t>NA</t>
        </is>
      </c>
      <c r="M110" s="140" t="inlineStr">
        <is>
          <t>1-4 = crp_harv_lastyr
5-9 = crp_harv_unit_kg</t>
        </is>
      </c>
      <c r="N110" s="454" t="n"/>
      <c r="O110" s="634" t="inlineStr">
        <is>
          <t>If crp_harv_unit = 1-4, go to crp_harv_lastyr
If crp_harv_unit = 5-9, go to crp_harv_unit_kg</t>
        </is>
      </c>
      <c r="P110" s="240" t="n"/>
      <c r="Q110" s="148" t="inlineStr">
        <is>
          <t>resp_age = 18-100
(hh_agricactivity = 1 | 3) | (income_main_cropcheck = 1) | (income_sec_cropcheck = 1) | (income_third_cropcheck = 1) 
quotareached = 2
crp_main = 1-90</t>
        </is>
      </c>
      <c r="R110" s="692" t="n"/>
      <c r="S110" s="127" t="n">
        <v>17</v>
      </c>
      <c r="T110" s="123">
        <f>'Additional information'!$D$17</f>
        <v/>
      </c>
      <c r="U110" s="127">
        <f>S110*T110</f>
        <v/>
      </c>
      <c r="V110" s="59" t="n"/>
      <c r="X110" s="419" t="inlineStr">
        <is>
          <t>no</t>
        </is>
      </c>
      <c r="Y110" s="680" t="n"/>
      <c r="AB110" s="64" t="inlineStr">
        <is>
          <t>new question</t>
        </is>
      </c>
    </row>
    <row r="111" ht="141.75" customFormat="1" customHeight="1" s="704">
      <c r="A111" s="327">
        <f>A110+1</f>
        <v/>
      </c>
      <c r="B111" s="233" t="inlineStr">
        <is>
          <t>crp_harv_unit_kg</t>
        </is>
      </c>
      <c r="C111" s="233" t="inlineStr">
        <is>
          <t>crp_harv_unit_kg</t>
        </is>
      </c>
      <c r="D111" s="627" t="inlineStr">
        <is>
          <t>How many kilograms [kgs] in each unit?
[OPERATOR: RECORD THE AMOUNT GIVEN. ENTER 88888 FOR DON'T KNOW &amp; 99999 FOR REFUSED]</t>
        </is>
      </c>
      <c r="E111" s="637">
        <f>LEN(D111)</f>
        <v/>
      </c>
      <c r="F111" s="265" t="inlineStr">
        <is>
          <t>ယူနစ်တစ်ခုစီတွင် ကီလိုဂရမ်မည်မျှပါပါသလဲ?
[အော်ပရေတာ- အကြောင်းမဲ့ ပမာဏကို မှတ်တမ်းတင်ပါ။ မသိခြင်းအတွက် 88888 နှင့် 99999 ကို ငြင်းပယ်ရန်]</t>
        </is>
      </c>
      <c r="G111" s="637">
        <f>LEN(F111)</f>
        <v/>
      </c>
      <c r="H111" s="234" t="inlineStr">
        <is>
          <t>Range</t>
        </is>
      </c>
      <c r="I111" s="637" t="inlineStr">
        <is>
          <t>NA</t>
        </is>
      </c>
      <c r="J111" s="637" t="inlineStr">
        <is>
          <t>NA</t>
        </is>
      </c>
      <c r="K111" s="637" t="inlineStr">
        <is>
          <t>Form Type - TextBox</t>
        </is>
      </c>
      <c r="L111" s="222" t="inlineStr">
        <is>
          <t>NA</t>
        </is>
      </c>
      <c r="M111" s="140" t="inlineStr">
        <is>
          <t>1-10000 = crp_harv_lastyr
88888-88888 =  crp_harv_lastyr
99999-99999 =  crp_harv_lastyr</t>
        </is>
      </c>
      <c r="N111" s="713" t="n"/>
      <c r="O111" s="235" t="inlineStr">
        <is>
          <t>For any response, go to crp_harv_lastyr</t>
        </is>
      </c>
      <c r="P111" s="236" t="n"/>
      <c r="Q111" s="148" t="inlineStr">
        <is>
          <t>resp_age = 18-100
(hh_agricactivity = 1 | 3) | (income_main_cropcheck = 1) | (income_sec_cropcheck = 1) | (income_third_cropcheck = 1) 
quotareached = 2
crp_main = 1-90
crp_harv_unit = 5-9</t>
        </is>
      </c>
      <c r="R111" s="693" t="n"/>
      <c r="S111" s="127" t="n">
        <v>17</v>
      </c>
      <c r="T111" s="123">
        <f>'Additional information'!$D$17</f>
        <v/>
      </c>
      <c r="U111" s="127">
        <f>S111*T111</f>
        <v/>
      </c>
      <c r="V111" s="59" t="n"/>
      <c r="X111" s="63" t="inlineStr">
        <is>
          <t>no</t>
        </is>
      </c>
      <c r="Y111" s="680" t="n"/>
      <c r="AB111" s="64" t="inlineStr">
        <is>
          <t>new question</t>
        </is>
      </c>
    </row>
    <row r="112" ht="150" customFormat="1" customHeight="1" s="704">
      <c r="A112" s="327">
        <f>A111+1</f>
        <v/>
      </c>
      <c r="B112" s="233" t="inlineStr">
        <is>
          <t>crp_harv_lastyr</t>
        </is>
      </c>
      <c r="C112" s="233" t="inlineStr">
        <is>
          <t>crp_harv_lastyr</t>
        </is>
      </c>
      <c r="D112" s="220" t="inlineStr">
        <is>
          <t>How many {crp_harv_unit} of (threshed) {crp_main} did you harvest last year during the same season?
[OPERATOR: RECORD THE RESPONSE GIVEN. ENTER 8888888 FOR DON'T KNOW &amp; 9999999 FOR REFUSED, TO BE USED RARELY - PROBE!]</t>
        </is>
      </c>
      <c r="E112" s="637">
        <f>LEN(D112)</f>
        <v/>
      </c>
      <c r="F112" s="297" t="inlineStr">
        <is>
          <t>(ခြွေလှေ့ရိတ်သိမ်းခြင်း) #လွန်ခဲ့သောနှစ်က အဓိကစိုက်ပျိုးသီးနှံ {crp_main} ကို ရိတ်သိမ်းသောအခါ ပမာဏ {crp_hav_unit} မည်မျှရိတ်သိမ်းနိုင်ခဲ့ပါသလဲ။
[အော်ပရေတာ- အကြောင်းမဲ့ တုံ့ပြန်မှုကို မှတ်တမ်းတင်ပါ။ မသိသည့်အတွက် 8888888 ကိုရိုက်ထည့်ပါ နှင့် 9999999 ကို ငြင်းဆိုရန် ရှားရှားပါးပါး - စုံစမ်းရန်။]</t>
        </is>
      </c>
      <c r="G112" s="637">
        <f>LEN(F112)</f>
        <v/>
      </c>
      <c r="H112" s="234" t="inlineStr">
        <is>
          <t>Range</t>
        </is>
      </c>
      <c r="I112" s="637" t="inlineStr">
        <is>
          <t>NA</t>
        </is>
      </c>
      <c r="J112" s="637" t="inlineStr">
        <is>
          <t>NA</t>
        </is>
      </c>
      <c r="K112" s="637" t="inlineStr">
        <is>
          <t>Form Type - TextBox</t>
        </is>
      </c>
      <c r="L112" s="222" t="inlineStr">
        <is>
          <t>NA</t>
        </is>
      </c>
      <c r="M112" s="140" t="inlineStr">
        <is>
          <t>1-100000 = crp_proddif_1
8888888-8888888 = crp_proddif_1
9999999-9999999 = crp_proddif_1</t>
        </is>
      </c>
      <c r="N112" s="713" t="n"/>
      <c r="O112" s="235" t="inlineStr">
        <is>
          <t>For any response, go to crp_proddif_1</t>
        </is>
      </c>
      <c r="P112" s="236" t="n"/>
      <c r="Q112" s="148" t="inlineStr">
        <is>
          <t>resp_age = 18-100
(hh_agricactivity = 1 | 3) | (income_main_cropcheck = 1) | (income_sec_cropcheck = 1) | (income_third_cropcheck = 1) 
quotareached = 2
crp_main = 1-66</t>
        </is>
      </c>
      <c r="R112" s="238" t="n"/>
      <c r="S112" s="127" t="n">
        <v>17</v>
      </c>
      <c r="T112" s="123">
        <f>'Additional information'!$D$17</f>
        <v/>
      </c>
      <c r="U112" s="127">
        <f>S112*T112</f>
        <v/>
      </c>
      <c r="V112" s="59" t="n"/>
      <c r="X112" s="63" t="inlineStr">
        <is>
          <t>no</t>
        </is>
      </c>
      <c r="Y112" s="680" t="n"/>
      <c r="AB112" s="64" t="inlineStr">
        <is>
          <t>new question</t>
        </is>
      </c>
    </row>
    <row r="113" ht="360" customFormat="1" customHeight="1" s="704">
      <c r="A113" s="327">
        <f>A112+1</f>
        <v/>
      </c>
      <c r="B113" s="630" t="inlineStr">
        <is>
          <t>crp_proddif_1</t>
        </is>
      </c>
      <c r="C113" s="136" t="inlineStr">
        <is>
          <t>crp_proddif</t>
        </is>
      </c>
      <c r="D113" s="137" t="inlineStr">
        <is>
          <t>Has your household faced any significant difficulty in terms of crop production in monsoon season?
[OPERATOR: SINGLE RESPONSE]
[ NOTE:  THE RESPONDENT REPORTED THE AREA PLANTED FOR  {crp_main} DURING THE CURRENT MONSOON SEASON IS {crp_area_change} WHEN COMPARED TO A NORMAL YEAR AND THE EXPECTED HARVEST IS {crp_harv_change} WHEN COMPARED TO A NORMAL YEAR]
1)YES
2)NO
3)DON'T KNOW
4)REFUSED</t>
        </is>
      </c>
      <c r="E113" s="630">
        <f>LEN(D113)</f>
        <v/>
      </c>
      <c r="F113" s="297" t="inlineStr">
        <is>
          <t>မိုးရာသီတွင် လူကြီးမင်း၏အိမ်ထောင်စုသည် သီးနှံစိုက်ပျိုးထုတ်လုပ်မှုနှင့်ပတ်သက်၍ အခက်အခဲတစ်စုံတစ်ရာ ကြုံဖူးပါသလား။
[အော်ပရေတာ- တုံ့ပြန်မှုတစ်ခုသာ။]
[မှတ်ချက်- ဖြေဆိုသူသည် လက်ရှိ မုတ်သုံရာသီအတွင်း {crp_main} အတွက် စိုက်ပျိုးထားသော ဧရိယာအား ပုံမှန်နှစ်နှင့် နှိုင်းယှဉ်ပါက  {crp_area_change} ဖြစ်သည်ဟု ‌ဖြေဆိုပြီး  ခန့်မှန်းထားသော ရိတ်သိမ်းမှုသည် {crp_harv_change}ဟု ဖြေဆိုခဲ့သည်။]  
1)ဟုတ်
2)မဟုတ်
3)မသိပါ
4)ဖြေဆိုရန် ငြင်းဆန်သည်</t>
        </is>
      </c>
      <c r="G113" s="630">
        <f>LEN(F113)</f>
        <v/>
      </c>
      <c r="H113" s="144" t="inlineStr">
        <is>
          <t>Single Choice</t>
        </is>
      </c>
      <c r="I113" s="630" t="inlineStr">
        <is>
          <t>NA</t>
        </is>
      </c>
      <c r="J113" s="630" t="inlineStr">
        <is>
          <t>NA</t>
        </is>
      </c>
      <c r="K113" s="630" t="inlineStr">
        <is>
          <t>Form Type - Buttons</t>
        </is>
      </c>
      <c r="L113" s="225" t="n"/>
      <c r="M113" s="145" t="inlineStr">
        <is>
          <t>1 = crp_proddif_2
2-4 = crp_salesmain</t>
        </is>
      </c>
      <c r="N113" s="312" t="inlineStr">
        <is>
          <t xml:space="preserve">6/30/2023. Added suggested notes to aid operators in identifying potential outliers for further probing if needed. 
</t>
        </is>
      </c>
      <c r="O113" s="145" t="inlineStr">
        <is>
          <t>if crp_proddif_1 = 1, go to crp_proddif_2 ; 
if crp_proddif_1 = 2-4, go to [crp_salesmain or crp_storage OR crp_all]</t>
        </is>
      </c>
      <c r="P113" s="161" t="n"/>
      <c r="Q113" s="148" t="inlineStr">
        <is>
          <t>resp_age = 18-100
(hh_agricactivity = 1 | 3) | (income_main_cropcheck = 1) | (income_sec_cropcheck = 1) | (income_third_cropcheck = 1) 
quotareached = 2</t>
        </is>
      </c>
      <c r="R113" s="149" t="n"/>
      <c r="S113" s="172" t="n">
        <v>13.45886421203613</v>
      </c>
      <c r="T113" s="123">
        <f>'Additional information'!$D$17</f>
        <v/>
      </c>
      <c r="U113" s="172">
        <f>S113*T113</f>
        <v/>
      </c>
      <c r="V113" s="59" t="n"/>
      <c r="X113" s="419" t="inlineStr">
        <is>
          <t>yes</t>
        </is>
      </c>
      <c r="Y113" s="680" t="n"/>
      <c r="AB113" s="61" t="n"/>
    </row>
    <row r="114" ht="409.5" customFormat="1" customHeight="1" s="704" thickBot="1">
      <c r="A114" s="327">
        <f>A113+1</f>
        <v/>
      </c>
      <c r="B114" s="180" t="inlineStr">
        <is>
          <t>crp_proddif_2</t>
        </is>
      </c>
      <c r="C114" s="189"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4" s="618" t="inlineStr">
        <is>
          <t>Which difficulty has your household faced with crop production in monsoon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[specify]
17)DON'T KNOW
18)REFUSED</t>
        </is>
      </c>
      <c r="E114" s="181">
        <f>LEN(D114)</f>
        <v/>
      </c>
      <c r="F114" s="360" t="inlineStr">
        <is>
          <t>မိုးရာသီတွင် လူကြီးမင်း၏အိမ်ထောင်စုသည် သီးနှံထုတ်လုပ်ရေးနှင့်ပတ်သက်၍ မည်သည့်ခက်အခဲများကြုံတွေ့ခဲ့ရပါသလဲ။
[အော်ပရေတာ - အဖြေအများအပြား ရှိနိုင်သည်။ ဖြေဆိုသူများပေးသော သတင်းအချက်အလက်များနှင့် အကိုက်ညီဆုံး‌အရာ(များ) ကိုရွေးချယ်ပါ။]
1)အပင်ရောဂါ 
2)ပိုးမွှားရောဂါ [ကျေးငှက်များ ဖျက်စီးခြင်းအပါအဝင်]
3)တိရိစ္ဆာန်လွှတ်ကျောင်းခြင်း
4) စိုက်ပျိုးမြေအသုံးချနိုင်မှု/လက်လှမ်းမှီနိုင်မှု
5)ဓာတ်မြေသြဇာ မရရှိနိုင်ခဲ့ပါ [ဈေးကွက်တွင် မရရှိနိုင်ခြင်း သို့မဟုတ် ဈေးနှုန်းအလွန်မြင့်မားခြင်း]
6)အရည်အသွေးကောင်းမျိုးစေ့များ ရရှိနိုင်မှု
7) မျိုးစေ့များအလုံအလောက် မရရှိနိုင်ပါ [ဈေးကွက်တွင်မရရှိနိုင်ခြင်း သို့မဟုတ် ဈေးနှုန်းအလွန်မြင့်မားခြင်း]
8) ပိုးသတ်ဆေးများ မရရှိနိုင်ခဲ့ပါ
9)  လူအင်အား မရရှိနိုင်ခဲ့ပါ
10) မြေပြုပြင်ရန် /လယ်ယာထွန်ယက်ရန် တိရိစ္ဆာန် သို့စက်ပစ္စည်းမရရှိနိုင်ခဲ့ပါ 
11)လောင်စာဆီ သို့မဟုတ် လျှပ်စစ်ဓာတ်အားကို စိုက်ပျိုးရေးသုံးစက်ကိရိယာများအတွက် အသုံးပြု၍ မရနိုင်ခဲ့ပါ
12)မြေဆီလွှာတိုက်စားမှု
13)ဆည်မြောင်းရေ/မိုးရေ မလုံလောက်ပါ 
14) ဆည်မြောင်းရေ/မိုးရေများပြားသောကြောင့် ရေလွှမ်းခြင်း
15) ချေးငွေရရှိနိုင်မှု
16)အခြား [အသေးစိတ်ဖော်ပြပါ]
17)မသိပါ
18)ဖြေဆိုရန် ငြင်းဆန်သည်</t>
        </is>
      </c>
      <c r="G114" s="181">
        <f>LEN(F114)</f>
        <v/>
      </c>
      <c r="H114" s="619" t="inlineStr">
        <is>
          <t>Open Ended-Select All That Apply</t>
        </is>
      </c>
      <c r="I114" s="181" t="inlineStr">
        <is>
          <t>NA</t>
        </is>
      </c>
      <c r="J114" s="181" t="inlineStr">
        <is>
          <t>NA</t>
        </is>
      </c>
      <c r="K114" s="181" t="inlineStr">
        <is>
          <t>Form Type - Checklist
17,18 = IsNone</t>
        </is>
      </c>
      <c r="L114" s="45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4" s="183" t="inlineStr">
        <is>
          <t>1-18 = crp_salesmain</t>
        </is>
      </c>
      <c r="N114" s="183" t="n"/>
      <c r="O114" s="137" t="inlineStr">
        <is>
          <t>if crp_proddif_2 = 1-15, go to [crp_salesmain OR crp_storage OR crp_all]</t>
        </is>
      </c>
      <c r="P114" s="161" t="n"/>
      <c r="Q114" s="148" t="inlineStr">
        <is>
          <t>resp_age = 18-100
(hh_agricactivity = 1 | 3) | (income_main_cropcheck = 1) | (income_sec_cropcheck = 1) | (income_third_cropcheck = 1) 
quotareached = 2
crp_proddif_1 =  1</t>
        </is>
      </c>
      <c r="R114" s="149" t="n"/>
      <c r="S114" s="172" t="n">
        <v>37.52328872680664</v>
      </c>
      <c r="T114" s="123">
        <f>'Additional information'!$D$17</f>
        <v/>
      </c>
      <c r="U114" s="172">
        <f>S114*T114</f>
        <v/>
      </c>
      <c r="V114" s="59" t="n"/>
      <c r="X114" s="419" t="inlineStr">
        <is>
          <t>yes</t>
        </is>
      </c>
      <c r="Y114" s="680" t="n"/>
      <c r="AB114" s="64" t="inlineStr">
        <is>
          <t>Change in options #3, 9
Change skip pattern according to new question</t>
        </is>
      </c>
    </row>
    <row r="115" ht="19.5" customFormat="1" customHeight="1" s="704" thickBot="1">
      <c r="A115" s="688" t="inlineStr">
        <is>
          <t>D. CROP MARKETING</t>
        </is>
      </c>
      <c r="B115" s="720" t="n"/>
      <c r="C115" s="720" t="n"/>
      <c r="D115" s="720" t="n"/>
      <c r="E115" s="720" t="n"/>
      <c r="F115" s="720" t="n"/>
      <c r="G115" s="720" t="n"/>
      <c r="H115" s="720" t="n"/>
      <c r="I115" s="720" t="n"/>
      <c r="J115" s="720" t="n"/>
      <c r="K115" s="720" t="n"/>
      <c r="L115" s="720" t="n"/>
      <c r="M115" s="720" t="n"/>
      <c r="N115" s="720" t="n"/>
      <c r="O115" s="720" t="n"/>
      <c r="P115" s="720" t="n"/>
      <c r="Q115" s="720" t="n"/>
      <c r="R115" s="721" t="n"/>
      <c r="S115" s="127" t="n"/>
      <c r="T115" s="123" t="n"/>
      <c r="U115" s="127" t="n"/>
      <c r="V115" s="59" t="n"/>
      <c r="X115" s="63" t="n"/>
      <c r="Y115" s="680" t="n"/>
      <c r="AB115" s="61" t="n"/>
    </row>
    <row r="116" ht="409.5" customFormat="1" customHeight="1" s="704">
      <c r="A116" s="327">
        <f>A114+1</f>
        <v/>
      </c>
      <c r="B116" s="203" t="inlineStr">
        <is>
          <t>crp_salesmain</t>
        </is>
      </c>
      <c r="C116" s="203" t="inlineStr">
        <is>
          <t>crp_salesmain</t>
        </is>
      </c>
      <c r="D116" s="456" t="inlineStr">
        <is>
          <t>What was the main crop that you sold over the last 3 months?
[OPERATOR: SINGLE RESPONSE.]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 No crop production
92)DON'T  
93)REFUSED</t>
        </is>
      </c>
      <c r="E116" s="631">
        <f>LEN(D116)</f>
        <v/>
      </c>
      <c r="F116" s="360" t="inlineStr">
        <is>
          <t>လွန်ခဲ့​သော ၃လ အတွင်း လူကြီးမင်းတို့ အဓိက ​ရောင်းချ​သော သီးနှံ ကို ​ဖော်ပြပါ
[အော်ပရေတာ- တစ်ခုတည်း တုံ့ပြန်မှု။]
1) စပါး
2) ဂျုံ
3) ပြောင်း
4) အာလူး
5) ပဲအမျိုးမျိုး
6) ကြက်သွန်နီ
7) မြေပဲ/မြေပဲ
8) နှမ်း
9) ကြံ
10) ဆေးရွက်ကြီး
11) ပြောင်းဆန်
12) လူး
13) မုယောစပါး
14) အခြားနှံစားသီးနှံများ
15) ပီလောပီနံ
16) ကန်စွန်းဥ
17) ဝဉ
18) မုန်လာဥနီ
19) ကိုကိုယမ်
20) အခြားဉ အမျိုးမျိုး
21) ပဲစေ့အသေးမျိုး အမျိုးမျိုး
22) ပဲစေ့
23) ပဲပိစပ်
24) ကုလားပဲ
25) Fava ပဲများ
26) ပဲအမျိုးမျိုး
27) အခြားပဲမျိုးစုံ
28) ဂေါ်ဖီထုပ်
29) ပန်းဂေါ်ဖီ
30) ဆလတ်ရွက်
31) ဟင်းနုနွယ်ရွက် - မြုံနီ
32) ပီနံရွက်
33) အာလူးရွက်
34) ဒန့်သလွန်
35) ချဉ်ပေါင်
36) အစိမ်းရောင်သုပ်ဟင်းသီးဟင်းရွက်များ [စမုန်ဖြူ၊ နံနံပင်၊ mint၊ rocca၊ အခြား]
37) အခြားသော အရွက်များ ဟင်းသီးဟင်းရွက်များ
38) ခရမ်းချဉ်သီး
39) ပဲစိမ်း၊
40) ပဲစိမ်းပွသီး 
41) သခွားသီး
42) ရွှေဖရုံသီး
43) ခရမ်းသီး / ခရမ်းသီး
44) ဇူကီနီ/ဖရုံသခွား
45) ရုံးပတီသီး
46) ငရုတ်ပွ
47) ဘိုစားပဲ
48) အရွက်မဟုတ်သော အခြားဟင်းသီးဟင်းရွက်များ
49) လိမ္မော်ရောင်
50) သံပုရာ
51) ဂရိတ်ဖရုသီး
52) လိမ္မော်သီး အသေး
53) အခြားလိမ္မော်သီး
54) ငှက်ပျောမွှေး
55) သဖန်း
56) စပျစ်သီး
57) သံလွင်သီး
58) ပန်းသိး
59) မက်မွန်သီး
60) ချယ်ရီသီး
61) မက်မန်းသီး
62) စတော်ဘယ်ရီသီး
63) ဖရဲသီး [Cantaloupe]
64)အစိမ်းချက်စားနိုင်သော ငှက်ပျောသီး
65) သင်္ဘောသီး
66) သရက်သီး
67) မာလကာ၊
68) နာနတ်သီး
69) ထောပတ်သီး
70) ဖရဲသီး
71) စွံပလွံသီးများ
72) အခြားအသီးအနှံ
73) အုန်းသီး
74) သီဟိုဠ်စေ့
75) ကိုလာစေ့
76) ဘန်ဘာရာစေ့
77) ဗာဒံစေ့
78) သစ်ကြားသီး
79) အခြားအခွံမာသီး
80) ကိုကိုး
81) ကော်ဖီ
82) လက်ဖက်ရည်
83) နေကြာ
84) အခြားငွေဖြစ်လွယ်သောသီးနှံများ
85) ချည်
86) ရော်ဘာ
87) ဂုန်လျော်
88) အစာ
89) ကွမ်းရွက်ကဲ့သို့စားရသော အရွက်တမျိုး
90) အခြားအစာမဟုတ်သော ငွေသားသီးနှံ
91) သီးနှံစိုက်ပျိုးထုတ်လုပ်မှု မရှိပါ။
92) မသိပါ။
93) ငြင်းဆိုခဲ့သည်။</t>
        </is>
      </c>
      <c r="G116" s="631">
        <f>LEN(F116)</f>
        <v/>
      </c>
      <c r="H116" s="698" t="inlineStr">
        <is>
          <t>Single Choice</t>
        </is>
      </c>
      <c r="I116" s="630" t="inlineStr">
        <is>
          <t>NA</t>
        </is>
      </c>
      <c r="J116" s="136"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16" s="631" t="inlineStr">
        <is>
          <t>Form Type - Buttons
IsDemographic</t>
        </is>
      </c>
      <c r="L116" s="452" t="inlineStr">
        <is>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92)888
93)999</t>
        </is>
      </c>
      <c r="M116" s="145" t="inlineStr">
        <is>
          <t>1-90 = crp_salesdif_1
91-93 = ls_intro</t>
        </is>
      </c>
      <c r="N116" s="145" t="n"/>
      <c r="O116" s="14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is>
      </c>
      <c r="P116" s="161" t="n"/>
      <c r="Q116" s="134" t="inlineStr">
        <is>
          <t>resp_age = 18-100
hh_agricactivity = 1 | 2 | 3 | 4
(income_main = 1 | 2 | 3) | (income_sec = 1 | 2 | 3) | (income_third =  1 | 2 | 3) 
quotareached = 2</t>
        </is>
      </c>
      <c r="R116" s="149" t="n"/>
      <c r="S116" s="172" t="n">
        <v>27.1</v>
      </c>
      <c r="T116" s="123">
        <f>'Additional information'!$D$17</f>
        <v/>
      </c>
      <c r="U116" s="172">
        <f>S116*T116</f>
        <v/>
      </c>
      <c r="V116" s="59" t="n"/>
      <c r="X116" s="419" t="inlineStr">
        <is>
          <t>yes</t>
        </is>
      </c>
      <c r="Y116" s="680" t="n"/>
      <c r="AB116" s="64" t="inlineStr">
        <is>
          <t>new question</t>
        </is>
      </c>
      <c r="AC116" s="457" t="n"/>
    </row>
    <row r="117" ht="200.1" customFormat="1" customHeight="1" s="704">
      <c r="A117" s="326">
        <f>A116+1</f>
        <v/>
      </c>
      <c r="B117" s="631" t="inlineStr">
        <is>
          <t>crp_salesdif_1</t>
        </is>
      </c>
      <c r="C117" s="136" t="inlineStr">
        <is>
          <t>crp_salesdif</t>
        </is>
      </c>
      <c r="D117" s="237" t="inlineStr">
        <is>
          <t>Has your household faced any significant difficulty in the last 3 months selling your {crp_salesmain}?
[OPERATOR: SINGLE RESPONSE.]
1)YES
2)NO
3)DON'T KNOW
4)REFUSED</t>
        </is>
      </c>
      <c r="E117" s="631">
        <f>LEN(D117)</f>
        <v/>
      </c>
      <c r="F117" s="641" t="inlineStr">
        <is>
          <t>သင့်အိမ်ထောင်စုသည် လွန်ခဲ့သော ၃ လအတွင်း သင့်ကောက်ပဲသီးနှံများ {crp_salesmain} ကို ရောင်းချရာတွင် အခက်အခဲတစ်စုံတစ်ရာ ကြုံတွေ့ခဲ့ရပါသလား။
[အော်ပရေတာ- တစ်ခုတည်း တုံ့ပြန်မှု။]
1) ဟုတ်တယ်။
2) မဟုတ်ပါ။
3) မသိပါ။
4) ငြင်းဆိုခဲ့သည်။</t>
        </is>
      </c>
      <c r="G117" s="631">
        <f>LEN(F117)</f>
        <v/>
      </c>
      <c r="H117" s="698" t="inlineStr">
        <is>
          <t>Single Choice</t>
        </is>
      </c>
      <c r="I117" s="631" t="inlineStr">
        <is>
          <t>NA</t>
        </is>
      </c>
      <c r="J117" s="136" t="inlineStr">
        <is>
          <t>NA</t>
        </is>
      </c>
      <c r="K117" s="631" t="inlineStr">
        <is>
          <t>Form Type - Buttons</t>
        </is>
      </c>
      <c r="L117" s="632" t="inlineStr">
        <is>
          <t>NA</t>
        </is>
      </c>
      <c r="M117" s="131" t="inlineStr">
        <is>
          <t>1 = crp_salesdif_2
2-4 = crp_salesprice</t>
        </is>
      </c>
      <c r="N117" s="131" t="n"/>
      <c r="O117" s="131" t="inlineStr">
        <is>
          <t>if crp_salesdif_1 = 1, go to crp_salesdif_2 ; 
if crp_salesdif_1 = 2-4, go to crp_salesprice</t>
        </is>
      </c>
      <c r="P117" s="633" t="n"/>
      <c r="Q117" s="134" t="inlineStr">
        <is>
          <t>resp_age = 18-100
hh_agricactivity = 1 | 2 | 3 | 4
(income_main = 1 | 2 | 3) | (income_sec = 1 | 2 | 3) | (income_third =  1 | 2 | 3) 
quotareached = 2
crp_salesmain = 1-90</t>
        </is>
      </c>
      <c r="R117" s="138" t="n"/>
      <c r="S117" s="172" t="n">
        <v>12.68148708343506</v>
      </c>
      <c r="T117" s="123">
        <f>'Additional information'!$D$17</f>
        <v/>
      </c>
      <c r="U117" s="172">
        <f>S117*T117</f>
        <v/>
      </c>
      <c r="V117" s="59" t="n"/>
      <c r="X117" s="419" t="inlineStr">
        <is>
          <t>yes</t>
        </is>
      </c>
      <c r="Y117" s="680" t="n"/>
      <c r="AB117" s="61" t="inlineStr">
        <is>
          <t>col H conditional</t>
        </is>
      </c>
    </row>
    <row r="118" ht="393.75" customFormat="1" customHeight="1" s="704">
      <c r="A118" s="327">
        <f>A117+1</f>
        <v/>
      </c>
      <c r="B118" s="203" t="inlineStr">
        <is>
          <t>crp_salesdif_2</t>
        </is>
      </c>
      <c r="C118" s="136" t="inlineStr">
        <is>
          <t>crp_saledif_
1) crp_saledif_marketing_cost
2) crp_saledif_damage_losses
3) crp_saledif_low_demand
4) crp_saledif_pay_delay
5) crp_saledif_low_price
6) crp_saledif_processing
7) crp_saledif_competition
8) crp_saledif_other
9) crp_saledif_dk
10) crp_saledif_ref</t>
        </is>
      </c>
      <c r="D118" s="137" t="inlineStr">
        <is>
          <t>Which difficulties has your household faced in the last 3 months when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insecurity/poor infrastructure. etc.]
3)Lack of demand from usual traders or buyers
4)Payment delays from traders / buyers
5)Low selling prices [e.g. compared to input prices / inflation]
6)Difficulty processing product [lack of processing inputs / equipment / etc]
7)Market flooded with products
8)Other [specify]
9)DON'T KNOW
10)REFUSED</t>
        </is>
      </c>
      <c r="E118" s="631">
        <f>LEN(D118)</f>
        <v/>
      </c>
      <c r="F118" s="360" t="inlineStr">
        <is>
          <t>လွန်ခဲ့သော 3 လအတွင်း ကောက်ပဲသီးနှံများ {crp_salesmain} ရောင်းချရာတွင် လူကြီးမင်း၏အိမ်ထောင်စုသည် မည်သည့်အခက်အခဲများကြုံတွေ့ခဲ့ရပါသလဲ။
[အော်ပရေတာ- တုံ့ပြန်မှုတစ်ခုထက်ပိုနိုင်သည်။ ဖြေဆိုသူများမှ ပေးဆောင်သော အချက်အလက်နှင့် အကိုက်ညီဆုံး ရွေးချယ်ခွင့်ကို ရွေးချယ်ပါ။]
1)သယ်ယူပို့ဆောင်စရိတ် ကြီးမြင့်ခြင်း သို့မဟုတ်အခြားစျေးကွက်ကုန်ကျစရိတ်
2) သိုလှောင်မှုအခက်အခဲနှင့်/သို့မဟုတ် စျေးကွက်ဝင်ရောက်ရန်အခက်အခဲကြောင့် ပျက်စီးဆုံးရှုံးမှုများ [ဥပမာ။ မလုံခြုံမှု၊ အခြေခံအဆောက်အအုံ ညံ့ဖျင်းမှု စသဖြင့်]
3) ပုံမှန်ကုန်သည်များ သို့မဟုတ် ဝယ်သူများထံမှ ဝယ်လိုအားမရှိခြင်း။
4) ကုန်သည်/ဝယ်သူများထံမှ ငွေပေးချေမှုနှောင့်နှေးခြင်း။
5) စျေးနှုန်းချိုသာစွာ ရောင်းချခြင်း [ဥပမာ။ သွင်းအားစုစျေးနှုန်းများ / ငွေကြေးဖောင်းပွမှုနှိုင်းယှဉ်]
6) ထုတ်ကုန်လုပ်ဆောင်ရာတွင် ခက်ခဲခြင်း [လုပ်ဆောင်ရာတွင် သွင်းအားစုများ/စက်ပစ္စည်းများ ချို့တဲ့ခြင်း/စသဖြင့်]၊
7) ပစ္စည်းထုတ်လုပ်မှုများခြင်း [သို့] ဝယ်လိုအားနည်းခြင်းကြောင့် ‌
ဈေးကွက်တွင် ပစ္စည်းအများအပြားရှိနေသည်။
8) အခြား [သတ်မှတ်ရန်]
9) မသိပါ။
10) ငြင်းဆိုခဲ့သည်။</t>
        </is>
      </c>
      <c r="G118" s="631">
        <f>LEN(F118)</f>
        <v/>
      </c>
      <c r="H118" s="136" t="inlineStr">
        <is>
          <t xml:space="preserve">Open Ended-Select All That Apply </t>
        </is>
      </c>
      <c r="I118" s="630" t="inlineStr">
        <is>
          <t>NA</t>
        </is>
      </c>
      <c r="J118" s="459" t="inlineStr">
        <is>
          <t>NA</t>
        </is>
      </c>
      <c r="K118" s="354" t="inlineStr">
        <is>
          <t>Form Type - Checklist
9,10 = IsNone</t>
        </is>
      </c>
      <c r="L118" s="131" t="inlineStr">
        <is>
          <t>1)crp_saledif_marketing_cost
2)crp_saledif_damage_losses
3)crp_saledif_low_demand
4)crp_saledif_pay_delay
5)crp_saledif_low_price
6)crp_saledif_processing
7)crp_saledif_competition
8)crp_saledif_other
9)crp_saledif_dk
10)crp_saledif_ref</t>
        </is>
      </c>
      <c r="M118" s="145" t="inlineStr">
        <is>
          <t>1-10 = crp_salesprice</t>
        </is>
      </c>
      <c r="N118" s="145" t="n"/>
      <c r="O118" s="145" t="inlineStr">
        <is>
          <t>if crp_salesdif_2 = 1-8, go to crp_salesprice</t>
        </is>
      </c>
      <c r="P118" s="161" t="n"/>
      <c r="Q118" s="148" t="inlineStr">
        <is>
          <t>resp_age = 18-100
hh_agricactivity = 1 | 2 | 3 | 4
(income_main = 1 | 2 | 3) | (income_sec = 1 | 2 | 3) | (income_third =  1 | 2 | 3) 
quotareached = 2
crp_salesmain = 1-90
crp_salesdif = 1</t>
        </is>
      </c>
      <c r="R118" s="149" t="n"/>
      <c r="S118" s="172" t="n">
        <v>22.61360931396484</v>
      </c>
      <c r="T118" s="123">
        <f>'Additional information'!$D$17</f>
        <v/>
      </c>
      <c r="U118" s="172">
        <f>S118*T118</f>
        <v/>
      </c>
      <c r="V118" s="59" t="n"/>
      <c r="X118" s="419" t="inlineStr">
        <is>
          <t>yes</t>
        </is>
      </c>
      <c r="Y118" s="680" t="n"/>
      <c r="AB118" s="64" t="inlineStr">
        <is>
          <t>Change in options #1, 2, 3, 4 (col D)</t>
        </is>
      </c>
    </row>
    <row r="119" ht="279" customFormat="1" customHeight="1" s="704" thickBot="1">
      <c r="A119" s="327">
        <f>A118+1</f>
        <v/>
      </c>
      <c r="B119" s="203" t="inlineStr">
        <is>
          <t>crp_salesprice</t>
        </is>
      </c>
      <c r="C119" s="136" t="inlineStr">
        <is>
          <t>crp_salesprice</t>
        </is>
      </c>
      <c r="D119" s="137" t="inlineStr">
        <is>
          <t>How does the current price of your household's  {crp_salesmain} compare to the average price in the same period of a normal year? 
[OPERATOR: SINGLE RESPONSE. INSIST ON THE MAIN PRODUCT MENTIONED.]
[NOTE: THE RESPONDENT REPORTED  
1)A lot more [increased by more than 50%]
2)Slightly more
3)Same
4)Slightly less
5)A lot less [less than half as much]
6)DON'T KNOW
7)REFUSED</t>
        </is>
      </c>
      <c r="E119" s="630">
        <f>LEN(D119)</f>
        <v/>
      </c>
      <c r="F119" s="297" t="inlineStr">
        <is>
          <t>လူကြီးမင်းအိမ်ထောင်စု၏ အဓိကသီးနှံ {crp_salesmain} ၏ လက်ရှိစျေးနှုန်းကို တူညီသောကာလအတွင်း လွန်ခဲ့သော 1 နှစ်အတွင်း ပျမ်းမျှစျေးနှုန်းနှင့် မည်ကဲ့သို့နှိုင်းယှဉ်နိုင်ပါလဲ။ ...ဟု ပြောနိုင်ပါသလား
[အော်ပရေတာ- တုံ့ပြန်မှုတစ်ခုသာ။ အဓိကထုတ်ကုန်ကို ဖော်ပြရန် တိုက်တွန်းပါ။]
1)အလွန်တိုးလာသည် [50% အထက် တိုးလာသည်]
2)တိုးလာသည်
3)တူညီသည်
4)ပို၍နည်းသည်
5)အလွန်နည်းသည် [ထက်ဝက်စာမျှ နည်းသည်]
6)မသိပါ
7)ဖြေဆိုရန် ငြင်းဆန်သည်</t>
        </is>
      </c>
      <c r="G119" s="630">
        <f>LEN(F119)</f>
        <v/>
      </c>
      <c r="H119" s="144" t="inlineStr">
        <is>
          <t>Single Choice</t>
        </is>
      </c>
      <c r="I119" s="630" t="inlineStr">
        <is>
          <t>NA</t>
        </is>
      </c>
      <c r="J119" s="630" t="inlineStr">
        <is>
          <t>NA</t>
        </is>
      </c>
      <c r="K119" s="630" t="inlineStr">
        <is>
          <t>Form Type - Buttons</t>
        </is>
      </c>
      <c r="L119" s="225" t="inlineStr">
        <is>
          <t>NA</t>
        </is>
      </c>
      <c r="M119" s="198" t="inlineStr">
        <is>
          <t xml:space="preserve">1-7 = ls_intro </t>
        </is>
      </c>
      <c r="N119" s="215" t="n"/>
      <c r="O119" s="196" t="inlineStr">
        <is>
          <t>if crp_salesprice = 1-7, go to ls_intro</t>
        </is>
      </c>
      <c r="P119" s="195" t="n"/>
      <c r="Q119" s="204" t="inlineStr">
        <is>
          <t>resp_age = 18-100
hh_agricactivity = 1 | 2 | 3 | 4
(income_main = 1 | 2 | 3) | (income_sec = 1 | 2 | 3) | (income_third =  1 | 2 | 3) 
quotareached = 2
crp_salesmain = 1-90</t>
        </is>
      </c>
      <c r="R119" s="149" t="n"/>
      <c r="S119" s="172" t="n">
        <v>21.70190811157227</v>
      </c>
      <c r="T119" s="123">
        <f>'Additional information'!$D$17</f>
        <v/>
      </c>
      <c r="U119" s="172">
        <f>S119*T119</f>
        <v/>
      </c>
      <c r="V119" s="59" t="n"/>
      <c r="X119" s="63" t="inlineStr">
        <is>
          <t>yes</t>
        </is>
      </c>
      <c r="Y119" s="680" t="n"/>
      <c r="AB119" s="66" t="inlineStr">
        <is>
          <t xml:space="preserve">Change in options #2, 4 (col D) </t>
        </is>
      </c>
    </row>
    <row r="120" ht="19.5" customFormat="1" customHeight="1" s="704" thickBot="1">
      <c r="A120" s="688" t="inlineStr">
        <is>
          <t>E. LIVESTOCK PRODUCTION</t>
        </is>
      </c>
      <c r="B120" s="720" t="n"/>
      <c r="C120" s="720" t="n"/>
      <c r="D120" s="720" t="n"/>
      <c r="E120" s="720" t="n"/>
      <c r="F120" s="720" t="n"/>
      <c r="G120" s="720" t="n"/>
      <c r="H120" s="720" t="n"/>
      <c r="I120" s="720" t="n"/>
      <c r="J120" s="720" t="n"/>
      <c r="K120" s="720" t="n"/>
      <c r="L120" s="720" t="n"/>
      <c r="M120" s="720" t="n"/>
      <c r="N120" s="720" t="n"/>
      <c r="O120" s="720" t="n"/>
      <c r="P120" s="720" t="n"/>
      <c r="Q120" s="720" t="n"/>
      <c r="R120" s="721" t="n"/>
      <c r="S120" s="127" t="n"/>
      <c r="T120" s="123" t="n"/>
      <c r="U120" s="127" t="n"/>
      <c r="V120" s="59" t="n"/>
      <c r="X120" s="63" t="n"/>
      <c r="Y120" s="680" t="n"/>
      <c r="AB120" s="61" t="n"/>
    </row>
    <row r="121" ht="187.5" customFormat="1" customHeight="1" s="704">
      <c r="A121" s="326">
        <f>A119+1</f>
        <v/>
      </c>
      <c r="B121" s="205" t="inlineStr">
        <is>
          <t>ls_intro</t>
        </is>
      </c>
      <c r="C121" s="205" t="inlineStr">
        <is>
          <t>ls_intro</t>
        </is>
      </c>
      <c r="D121" s="206" t="inlineStr">
        <is>
          <t>We will now ask you some questions about livestock production which apply to you and anyone in your household that is involved in livestock production or sales. 
1)CONTINUE</t>
        </is>
      </c>
      <c r="E121" s="631">
        <f>LEN(D121)</f>
        <v/>
      </c>
      <c r="F121" s="296" t="inlineStr">
        <is>
          <t>သင်နှင့် သင့်အိမ်ထောင်စုရှိ မွေးမြူရေးလုပ်ငန်း သို့မဟုတ် ရောင်းချမှုတွင် ပါဝင်ပတ်သက်နေသည့် တိရစ္ဆာန်မွေးမြူထုတ်လုပ်ခြင်းဆိုင်ရာ မေးခွန်းအချို့ကို သင့်အား ယခုမေးပါမည်။
1) ဆက်ရန်</t>
        </is>
      </c>
      <c r="G121" s="631">
        <f>LEN(F121)</f>
        <v/>
      </c>
      <c r="H121" s="631" t="inlineStr">
        <is>
          <t>Single Choice</t>
        </is>
      </c>
      <c r="I121" s="631" t="inlineStr">
        <is>
          <t>NA</t>
        </is>
      </c>
      <c r="J121" s="631" t="inlineStr">
        <is>
          <t>Send if "hh_agricactivity" "Equals" "Yes - livestock production" Or "hh_agricactivity" "Equals" "Yes - both crop and livestock production" Or "income_main_lscheck" "Equals" "YES" Or "income_sec_lscheck" "Equals" "YES" Or "income_third_lscheck" "Equals" "YES" if not satisfied go to "ls_salesmain"</t>
        </is>
      </c>
      <c r="K121" s="631" t="inlineStr">
        <is>
          <t>Form Type - Buttons</t>
        </is>
      </c>
      <c r="L121" s="632" t="inlineStr">
        <is>
          <t>NA</t>
        </is>
      </c>
      <c r="M121" s="131" t="inlineStr">
        <is>
          <t>1 = ls_main</t>
        </is>
      </c>
      <c r="N121" s="178" t="n"/>
      <c r="O121" s="196"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1" s="195" t="n"/>
      <c r="Q121" s="134" t="inlineStr">
        <is>
          <t>resp_age = 18-100
(hh_agricactivity = 1 | 3) | (income_main_lscheck = 1) | (income_sec_lscheck = 1) | (income_third_lscheck = 1) 
quotareached = 2</t>
        </is>
      </c>
      <c r="R121" s="135" t="n"/>
      <c r="S121" s="172" t="n">
        <v>7.5</v>
      </c>
      <c r="T121" s="173">
        <f>'Additional information'!$D$18</f>
        <v/>
      </c>
      <c r="U121" s="172">
        <f>S121*T121</f>
        <v/>
      </c>
      <c r="V121" s="59" t="n"/>
      <c r="X121" s="63" t="inlineStr">
        <is>
          <t>yes</t>
        </is>
      </c>
      <c r="Y121" s="680" t="n"/>
      <c r="AB121" s="61" t="inlineStr">
        <is>
          <t>new question</t>
        </is>
      </c>
    </row>
    <row r="122" ht="375" customFormat="1" customHeight="1" s="704">
      <c r="A122" s="326">
        <f>A121+1</f>
        <v/>
      </c>
      <c r="B122" s="128" t="inlineStr">
        <is>
          <t>ls_main</t>
        </is>
      </c>
      <c r="C122" s="136" t="inlineStr">
        <is>
          <t>ls_main</t>
        </is>
      </c>
      <c r="D122" s="129" t="inlineStr">
        <is>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[specify]
10)DON'T KNOW
11)REFUSED</t>
        </is>
      </c>
      <c r="E122" s="631">
        <f>LEN(D122)</f>
        <v/>
      </c>
      <c r="F122" s="296" t="inlineStr">
        <is>
          <t>လွန်ခဲ့သော 12 လအတွင်း စားနပ်ရိက္ခာနှင့် ဝင်ငွေရရန်အတွက် လူကြီးမင်း၏အိမ်ထောင်စုသည် မည်သည့်အိမ်မွေးတိရစ္ဆာန်ကို အဓိကမွေးမြူခဲ့ပါသလဲ။
[အော်ပရေတာ- တုံ့ပြန်မှုတစ်ခုသာ။ အရေးအပါဆုံးတိရိစ္ဆာန်အကြောင်းကိုသာ မေးပါ။] [အကြံပြုချက်- စားကျက်မြေတစ်ခုမှ အခြားတစ်ခုသို့ ရွှေ့ပြောင်းသည့် မွေးမြူရေးဖြစ်သော - ရွှေ့ပြောင်းမွေးမြူရေးအကြောင်း မေးမြန်းရန် မမေ့ပါနှင့်။]
1)ကျွဲနွားတိရစ္ဆာန် [နွားမ၊ အမဲသား၊ နွားငယ်သား၊ တိဗက်နွား၊ ကျွဲ]
2)ဆိတ်
3)သိုး
4)ဝက်
5)မြင်းမျိုးနွယ်ဝင် [မြည်း၊ မြင်း / စသည်]
6)အိမ်မြွေးတိရစ္ဆာန် လေးများ [ယုန် / ကုန်းနေ ဖျံ / ပူးကောင် စသည်]
7)မွေးမြူရေးကြက်၊ ငှက် [ကြက် / ရစ်ငှက် / ဘဲ / စသည်]
8)ကုလားအုတ်များ
9)အခြား [အသေးစိတ်ဖော်ပြပါ]
10)မသိပါ
11)ဖြေဆိုရန် ငြင်းဆန်သည်</t>
        </is>
      </c>
      <c r="G122" s="631">
        <f>LEN(F122)</f>
        <v/>
      </c>
      <c r="H122" s="631" t="inlineStr">
        <is>
          <t>Single Choice</t>
        </is>
      </c>
      <c r="I122" s="631" t="inlineStr">
        <is>
          <t>NA</t>
        </is>
      </c>
      <c r="J122" s="631" t="inlineStr">
        <is>
          <t>NA</t>
        </is>
      </c>
      <c r="K122" s="136" t="inlineStr">
        <is>
          <t>Form Type - Buttons
IsDemographic</t>
        </is>
      </c>
      <c r="L122" s="228" t="inlineStr">
        <is>
          <t>NA</t>
        </is>
      </c>
      <c r="M122" s="131" t="inlineStr">
        <is>
          <t>1-9 = ls_num_lastyr
10-11 = ls_proddif_1</t>
        </is>
      </c>
      <c r="N122" s="131" t="n"/>
      <c r="O122" s="196" t="inlineStr">
        <is>
          <t>if ls_main = 1-9, go to ls_num_lastyr ; 
If ls_main = 10-11, go to ls_proddif_1</t>
        </is>
      </c>
      <c r="P122" s="195" t="n"/>
      <c r="Q122" s="134" t="inlineStr">
        <is>
          <t>resp_age = 18-100
(hh_agricactivity = 1 | 3) | (income_main_lscheck = 1) | (income_sec_lscheck = 1) | (income_third_lscheck = 1) 
quotareached = 2</t>
        </is>
      </c>
      <c r="R122" s="138" t="n"/>
      <c r="S122" s="172" t="n">
        <v>20.2944221496582</v>
      </c>
      <c r="T122" s="173">
        <f>'Additional information'!$D$18</f>
        <v/>
      </c>
      <c r="U122" s="172">
        <f>S122*T122</f>
        <v/>
      </c>
      <c r="V122" s="59" t="n"/>
      <c r="X122" s="419" t="inlineStr">
        <is>
          <t>yes</t>
        </is>
      </c>
      <c r="Y122" s="680" t="n"/>
      <c r="AB122" s="61" t="inlineStr">
        <is>
          <t>Change in option #7 (col D)</t>
        </is>
      </c>
    </row>
    <row r="123" ht="131.25" customFormat="1" customHeight="1" s="704">
      <c r="A123" s="327">
        <f>A122+1</f>
        <v/>
      </c>
      <c r="B123" s="203" t="inlineStr">
        <is>
          <t>ls_num_lastyr</t>
        </is>
      </c>
      <c r="C123" s="136" t="inlineStr">
        <is>
          <t>ls_num_lastyr</t>
        </is>
      </c>
      <c r="D123" s="137" t="inlineStr">
        <is>
          <t>How many {ls_main} did you have at the same time last year?
[OPERATOR: RECORD THE NUMBER OF ANIMALS. ENTER 88888 FOR DON'T KNOW AND 99999 FOR REFUSED.]</t>
        </is>
      </c>
      <c r="E123" s="630">
        <f>LEN(D123)</f>
        <v/>
      </c>
      <c r="F123" s="265" t="inlineStr">
        <is>
          <t>လွန်ခဲ့သောနှစ် ယခုလိုအချိန်တွင် {ls_main} ဘယ်နှစ်ကောင်ရှိခဲ့ပါသလဲ။
[အော်ပရေတာ- တိရိစ္ဆာန်အရေအတွက်ကို မှတ်တမ်းတင်ပါ။ မသိပါဟု ဖြေဆိုပါက 8888 ဟု ဖြည့်သွင်းပြီး ဖြေဆိုရန် ငြင်းဆန်သည်ကို ရွေးချယ်ပါက 9999 ဟု ဖြည့်သွင်းပါ။]</t>
        </is>
      </c>
      <c r="G123" s="630">
        <f>LEN(F123)</f>
        <v/>
      </c>
      <c r="H123" s="144" t="inlineStr">
        <is>
          <t>Range</t>
        </is>
      </c>
      <c r="I123" s="630" t="inlineStr">
        <is>
          <t>NA</t>
        </is>
      </c>
      <c r="J123" s="630" t="inlineStr">
        <is>
          <t>NA</t>
        </is>
      </c>
      <c r="K123" s="630" t="inlineStr">
        <is>
          <t>Form Type - TextBox</t>
        </is>
      </c>
      <c r="L123" s="225" t="inlineStr">
        <is>
          <t>NA</t>
        </is>
      </c>
      <c r="M123" s="145" t="inlineStr">
        <is>
          <t>0-10000 = ls_num_now
88888-88888 = ls_num_now
99999-99999 = ls_num_now</t>
        </is>
      </c>
      <c r="N123" s="211" t="n"/>
      <c r="O123" s="145" t="inlineStr">
        <is>
          <t>answers can range from 0-10000; any response goes to ls_num_now</t>
        </is>
      </c>
      <c r="P123" s="633" t="n"/>
      <c r="Q123" s="134" t="inlineStr">
        <is>
          <t>resp_age = 18-100
(hh_agricactivity = 1 | 3) | (income_main_lscheck = 1) | (income_sec_lscheck = 1) | (income_third_lscheck = 1) 
quotareached = 2
ls_main = 1-9</t>
        </is>
      </c>
      <c r="R123" s="149" t="n"/>
      <c r="S123" s="172" t="n">
        <v>18.53907775878906</v>
      </c>
      <c r="T123" s="173">
        <f>'Additional information'!$D$18</f>
        <v/>
      </c>
      <c r="U123" s="172">
        <f>S123*T123</f>
        <v/>
      </c>
      <c r="V123" s="59" t="n"/>
      <c r="X123" s="63" t="inlineStr">
        <is>
          <t>yes</t>
        </is>
      </c>
      <c r="Y123" s="680" t="n"/>
      <c r="AB123" s="61" t="n"/>
    </row>
    <row r="124" ht="131.25" customFormat="1" customHeight="1" s="704">
      <c r="A124" s="327">
        <f>A123+1</f>
        <v/>
      </c>
      <c r="B124" s="203" t="inlineStr">
        <is>
          <t>ls_num_now</t>
        </is>
      </c>
      <c r="C124" s="136" t="inlineStr">
        <is>
          <t>ls_num_now</t>
        </is>
      </c>
      <c r="D124" s="197" t="inlineStr">
        <is>
          <t>How many {ls_main} do you have now?
[OPERATOR: RECORD THE NUMBER OF ANIMALS. ENTER 88888 FOR DON'T KNOW AND 99999 FOR REFUSED.]</t>
        </is>
      </c>
      <c r="E124" s="630">
        <f>LEN(D124)</f>
        <v/>
      </c>
      <c r="F124" s="265" t="inlineStr">
        <is>
          <t>ယခု လူကြီးမင်းတွင် {ls_main} ဘယ်နှကောင်ရှိပါသလဲ။
[အော်ပရေတာ- တိရိစ္ဆာန်အရေအတွက်ကို မှတ်တမ်းတင်ပါ။ မသိပါဟု ဖြေဆိုပါက 8888 ဟု ဖြည့်သွင်းပြီး ဖြေဆိုရန် ငြင်းဆန်သည်ကို ရွေးချယ်ပါက 9999 ဟု ဖြည့်သွင်းပါ။]</t>
        </is>
      </c>
      <c r="G124" s="630">
        <f>LEN(F124)</f>
        <v/>
      </c>
      <c r="H124" s="144" t="inlineStr">
        <is>
          <t>Range</t>
        </is>
      </c>
      <c r="I124" s="630" t="inlineStr">
        <is>
          <t>NA</t>
        </is>
      </c>
      <c r="J124" s="630" t="inlineStr">
        <is>
          <t>NA</t>
        </is>
      </c>
      <c r="K124" s="630" t="inlineStr">
        <is>
          <t>Form Type - TextBox</t>
        </is>
      </c>
      <c r="L124" s="225" t="inlineStr">
        <is>
          <t>NA</t>
        </is>
      </c>
      <c r="M124" s="145" t="inlineStr">
        <is>
          <t>0-10000 = ls_num_change
88888-88888 = ls_num_change
99999-99999 = ls_num_change</t>
        </is>
      </c>
      <c r="N124" s="211" t="n"/>
      <c r="O124" s="145" t="inlineStr">
        <is>
          <t>answers can range from 0-10000; any response goes to ls_num_change</t>
        </is>
      </c>
      <c r="P124" s="633" t="n"/>
      <c r="Q124" s="134" t="inlineStr">
        <is>
          <t>resp_age = 18-100
(hh_agricactivity = 1 | 3) | (income_main_lscheck = 1) | (income_sec_lscheck = 1) | (income_third_lscheck = 1) 
quotareached = 2
ls_main = 1-9</t>
        </is>
      </c>
      <c r="R124" s="149" t="n"/>
      <c r="S124" s="172" t="n">
        <v>8.915891647338867</v>
      </c>
      <c r="T124" s="173">
        <f>'Additional information'!$D$18</f>
        <v/>
      </c>
      <c r="U124" s="172">
        <f>S124*T124</f>
        <v/>
      </c>
      <c r="V124" s="59" t="n"/>
      <c r="X124" s="63" t="inlineStr">
        <is>
          <t>yes</t>
        </is>
      </c>
      <c r="Y124" s="680" t="n"/>
      <c r="AB124" s="61" t="n"/>
    </row>
    <row r="125" ht="408.75" customFormat="1" customHeight="1" s="704">
      <c r="A125" s="327">
        <f>A124+1</f>
        <v/>
      </c>
      <c r="B125" s="203" t="inlineStr">
        <is>
          <t>ls_num_change</t>
        </is>
      </c>
      <c r="C125" s="13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5" s="137" t="inlineStr">
        <is>
          <t>Why did the number of livestock change?
[OPERATOR: MULTIPLE RESPONSES POSSIBLE. NOTE: RESPONDENT REPORTED {ls_num_now} {ls_main} NOW AND  {ls_num_lastyr} {ls_main} AT THE SAME TIME 1 YEAR AGO].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[specify]
13)DON’T KNOW
14)REFUSED</t>
        </is>
      </c>
      <c r="E125" s="630">
        <f>LEN(D125)</f>
        <v/>
      </c>
      <c r="F125" s="360" t="inlineStr">
        <is>
          <t>အဘယ်ကြောင့် မွေးမြူရေး တိရိစ္ဆာန်အရေအတွက် ပြောင်းလဲသွားခဲ့ပါသလဲ။
[အော်ပရေတာ - အဖြေအများအပြား ရှိနိုင်သည်။  အစတွင်တွင် "ပြောင်းလဲခြင်းမရှိ" ဟူသော ရွေးချယ်မှု ပါဝင်သည်။ မှတ်ချက်-  ဖြေဆိုသူသည် ယခု{ls_num_now} {ls_main}  နှင့် လွန်ခဲ့သော 1 နှစ်က အလားတူ အချိန်{ls_num_lastyr} {ls_main} ဟု ဖြေဆိုခဲ့သည်။]
1)မွေးမြူရေး တိရိစ္ဆာန်အရေအတွက် အပြောင်းအလဲမရှိပါ
2)အရေအတွက်အများအပြား မရောင်းချခဲ့ပါ
3)အကောင်ရေအများအပြား ပေါက်သည်
4)ယခုနှစ်တွင် တိရိစ္ဆာန်များ ထပ်မံ0ယ်ယူခဲ့သည် သို့မဟုတ် ဖလှယ်ရောင်းဝယ်ခဲ့သည်
5)တိရစ္ဆာန်များကို အခမဲ့ လက်ခံရရှိခဲ့သည် [ပြန်လည်ဖြည့်တင်းခြင်း / လက်ဆောင်]
6)ကျန်းမာရေးမကောင်းခြင်း / အာဟာရချို့တဲ့မှုသို့မဟုတ် ထိခိုက်ဒဏ်ရာကြောင့် တိရိစ္ဆာန်များ သေဆုံးခဲ့သည်
7) အခြားသော အကြောင်းအရင်းများကြောင့် တိရစ္ဆာန်များ သေဆုံးခြင်း [ဥပမာ။ ရောဂါများ၊ ကပ်ပါးပိုးများ၊ ထိခိုက်ဒဏ်ရာများ]
8)စျေးကောင်းသောကြောင့်၊ ပုံမှန်ထက် အရေအတွက်ပိုမို ရောင်းချခဲ့သည်
9)ရောင်းအားများ ကျဆင်းနေသောကြောင့် ပုံမှန်ထက်ပို၍ ရောင်းချခဲ့သည် [တိရိစ္ဆာန်များကို အစာမကျွေးနိုင်ခြင်း / ရောင်းအားကို ဆက်၍မထိန်းနိုင်လျှင်တောင်မှ အိမ်ထောင်စု၏ အခြေခံလိုအပ်ချက်များအတွက် အရေးတကြီး ငွေလိုအပ်ခြင်း]
10)တိရစ္ဆာန်များ လွတ်မြောက်သွားခြင်း သို့မဟုတ် ပျောက်ဆုံးသွားခြင်း သို့မဟုတ် အခိုးခံရခြင်း
11)အိမ်ထောင်စု စားသောက်ရန် သို့မဟုတ် ပွဲအခမ်းအနားများ [မင်္ဂလာဆောင် / အသုဘများ / စသည်] အတွက် တိရစ္ဆာန်များကို ပုံမှန်ထက်ပို၍ သတ်ဖြတ်ခဲ့သည် သို့မဟုတ် ပေးခဲ့သည်
12)အခြား [အသေးစိတ်ဖော်ပြပါ]
13)မသိပါ
14)ဖြေဆိုရန် ငြင်းဆန်သည်</t>
        </is>
      </c>
      <c r="G125" s="630">
        <f>LEN(F125)</f>
        <v/>
      </c>
      <c r="H125" s="136" t="inlineStr">
        <is>
          <t xml:space="preserve">Open Ended-Select All That Apply </t>
        </is>
      </c>
      <c r="I125" s="354" t="inlineStr">
        <is>
          <t>NA</t>
        </is>
      </c>
      <c r="J125" s="354" t="inlineStr">
        <is>
          <t>NA</t>
        </is>
      </c>
      <c r="K125" s="354" t="inlineStr">
        <is>
          <t>Form Type - Checklist
1,13,14 = IsNone</t>
        </is>
      </c>
      <c r="L125" s="131"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5" s="145" t="inlineStr">
        <is>
          <t>1-14 = ls_feed</t>
        </is>
      </c>
      <c r="N125" s="131" t="inlineStr">
        <is>
          <t xml:space="preserve">6/30/2023. Added suggested notes to aid operators in identifying potential outliers for further probing if needed.
</t>
        </is>
      </c>
      <c r="O125" s="196" t="inlineStr">
        <is>
          <t>If ls_num_change 1-13 = [ls_proddif_1 OR ls_food_supply]</t>
        </is>
      </c>
      <c r="P125" s="195" t="n"/>
      <c r="Q125" s="134" t="inlineStr">
        <is>
          <t>resp_age = 18-100
(hh_agricactivity = 1 | 3) | (income_main_lscheck = 1) | (income_sec_lscheck = 1) | (income_third_lscheck = 1) 
quotareached = 2
ls_main = 1-9</t>
        </is>
      </c>
      <c r="R125" s="149" t="n"/>
      <c r="S125" s="172" t="n">
        <v>25.81001091003418</v>
      </c>
      <c r="T125" s="173">
        <f>'Additional information'!$D$18</f>
        <v/>
      </c>
      <c r="U125" s="172">
        <f>S125*T125</f>
        <v/>
      </c>
      <c r="V125" s="59" t="n"/>
      <c r="X125" s="419" t="inlineStr">
        <is>
          <t>yes</t>
        </is>
      </c>
      <c r="Y125" s="680" t="n"/>
      <c r="AB125" s="64" t="inlineStr">
        <is>
          <t>Check if programming change with GP 
Change in option #1</t>
        </is>
      </c>
    </row>
    <row r="126" ht="285" customFormat="1" customHeight="1" s="704">
      <c r="A126" s="327">
        <f>A125+1</f>
        <v/>
      </c>
      <c r="B126" s="192" t="inlineStr">
        <is>
          <t>ls_feed</t>
        </is>
      </c>
      <c r="C126" s="139" t="inlineStr">
        <is>
          <t>ls_feed
1) ls_feed_open_pasture
2) ls_feed_common_pasture
3) ls_feed_self_produced
4) ls_feed_purchased
5) ls_feed_free_dist
6) ls_feed_other
7) ls_feed_dk
8) ls_feed_ref</t>
        </is>
      </c>
      <c r="D126" s="140" t="inlineStr">
        <is>
          <t>Where do you usually access feed for your {ls_main}?  
[OPERATOR: MULTIPLE RESPONSES POSSIBLE.] 
1)Open pasture
2)Community-managed pasture land
3)Owned or rented field or self-produced fodder
4)Purchase feed or fodder at the market
5)Free distribution
6)Other [specify]
7)DON'T KNOW
8)REFUSED</t>
        </is>
      </c>
      <c r="E126" s="637">
        <f>LEN(D126)</f>
        <v/>
      </c>
      <c r="F126" s="360" t="inlineStr">
        <is>
          <t>သင့် ​မွေး​မြူ​ရေး လုပ်ငန်း {ls_main} အတွက် အစာကို မည်ကဲ့သို ရရှိသနည်း။
[အော်ပရေတာ - အဖြေအများအပြား ရှိနိုင်သည်။ ]
1)စားကျက်​မြေ
2)အများပြည်သူက ထိန်းသိမ်းထား​သော စားကျက်​မြေ
3)ကိုယ်ပိုင်/ငှားရမ်းထား​သော ​စားကျက်​​မြေ သို့ ကိုယ်တိုင် အစာ ထုတ်လုပ်ခြင်း
​4)စျေးကွက်အတွင်းမှ အစာဝယ်ယူခြင်း
5)အစာကို အခမဲ့ဖြန့်ဖြူးမှုမှ ရရှိသည်
6)အခြား [အသေးစိတ်ဖော်ပြပါ]
7)မသိပါ
8)ဖြေဆိုရန် ငြင်းဆန်သည်</t>
        </is>
      </c>
      <c r="G126" s="637">
        <f>LEN(F126)</f>
        <v/>
      </c>
      <c r="H126" s="139" t="inlineStr">
        <is>
          <t xml:space="preserve">Open Ended-Select All That Apply </t>
        </is>
      </c>
      <c r="I126" s="624" t="inlineStr">
        <is>
          <t>NA</t>
        </is>
      </c>
      <c r="J126" s="624" t="inlineStr">
        <is>
          <t>NA</t>
        </is>
      </c>
      <c r="K126" s="624" t="inlineStr">
        <is>
          <t>Form Type - Checklist
7,8 = IsNone</t>
        </is>
      </c>
      <c r="L126" s="633" t="inlineStr">
        <is>
          <t>1)ls_feed_open_pasture
2)ls_feed_common_pasture
3)ls_feed_self_produced
4)ls_feed_purchased
5)ls_feed_free_dist
6)ls_feed_other
7)ls_feed_dk
8)ls_feed_ref</t>
        </is>
      </c>
      <c r="M126" s="161" t="inlineStr">
        <is>
          <t>1-8 = ls_assets</t>
        </is>
      </c>
      <c r="N126" s="633" t="n"/>
      <c r="O126" s="460" t="inlineStr">
        <is>
          <t>For any response, go to ls_proddif_1</t>
        </is>
      </c>
      <c r="P126" s="461" t="n"/>
      <c r="Q126" s="134" t="inlineStr">
        <is>
          <t>resp_age = 18-100
(hh_agricactivity = 1 | 3) | (income_main_lscheck = 1) | (income_sec_lscheck = 1) | (income_third_lscheck = 1) 
quotareached = 2
ls_main = 1-9</t>
        </is>
      </c>
      <c r="R126" s="149" t="n"/>
      <c r="S126" s="127" t="n">
        <v>19.55319786071777</v>
      </c>
      <c r="T126" s="173">
        <f>'Additional information'!$D$18</f>
        <v/>
      </c>
      <c r="U126" s="127">
        <f>S126*T126</f>
        <v/>
      </c>
      <c r="V126" s="59" t="n"/>
      <c r="X126" s="419" t="inlineStr">
        <is>
          <t>no</t>
        </is>
      </c>
      <c r="Y126" s="680" t="n"/>
      <c r="AB126" s="61" t="n"/>
    </row>
    <row r="127" ht="282" customFormat="1" customHeight="1" s="704">
      <c r="A127" s="327" t="n">
        <v>104</v>
      </c>
      <c r="B127" s="357" t="inlineStr">
        <is>
          <t>ls_assets</t>
        </is>
      </c>
      <c r="C127" s="139" t="inlineStr">
        <is>
          <t>ls_assets</t>
        </is>
      </c>
      <c r="D127" s="572" t="inlineStr">
        <is>
          <t>Have you lost the following assets/tools due to the cyclone and flooding?
[OPERATOR: READ OPTIONS. MULTIPLE RESPONSE]
1)Stocked feed/fodder/hay
2)Veterinary drugs
3)Tools
4)Hatches/pen
5)Other
6)No assets/tools lost
7)DON’T KNOW
8)REFUSED</t>
        </is>
      </c>
      <c r="E127" s="624">
        <f>LEN(D127)</f>
        <v/>
      </c>
      <c r="F127" s="360" t="inlineStr">
        <is>
          <t>ိုင်ကလုန်းနဲ့ ရေကြီးမှုကြောင့် အောက်ပါ ပိုင်ဆိုင်မှု/ကိရိယာများ ဆုံးရှုံးသွားပါသလား။
[အော်ပရေတာ- တုံ့ပြန်မှုအားလုံးကိုရွေးပါ။]
1)သိုလှောင်ထားသော အစာ/အစားအစာ/မြက်ခြောက်
2)တိရစ္ဆာန်ဆေးများ
3)ကိရိယာများ
4)တိရိစ္ဆာန်မွေးမြူရေးခြံ/ဝင်း
5)အခြား
6)စက်ပစ္စည်းနှင့် အခြားကိရိယာများ ပျက်စီးမှုမရှိပါ
7)မသိပါ။
8)ငြင်းဆိုပါ။</t>
        </is>
      </c>
      <c r="G127" s="624" t="n">
        <v>314</v>
      </c>
      <c r="H127" s="139" t="inlineStr">
        <is>
          <t>Select All That Apply</t>
        </is>
      </c>
      <c r="I127" s="624" t="inlineStr">
        <is>
          <t>NA</t>
        </is>
      </c>
      <c r="J127" s="624" t="inlineStr">
        <is>
          <t>Send if "o_cyclaffected" "Equals"  "YES" if not satisfied go to "ls_proddif_1"</t>
        </is>
      </c>
      <c r="K127" s="624" t="inlineStr">
        <is>
          <t>Form Type - Checklist
6,7,8 = IsNone</t>
        </is>
      </c>
      <c r="L127" s="133" t="inlineStr">
        <is>
          <t>NA</t>
        </is>
      </c>
      <c r="M127" s="161" t="inlineStr">
        <is>
          <t>1-8 = ls_proddif_1</t>
        </is>
      </c>
      <c r="N127" s="633" t="n"/>
      <c r="O127" s="460" t="n"/>
      <c r="P127" s="461" t="n"/>
      <c r="Q127" s="134" t="n"/>
      <c r="R127" s="149" t="n"/>
      <c r="S127" s="127" t="n"/>
      <c r="T127" s="173" t="n"/>
      <c r="U127" s="127" t="n"/>
      <c r="V127" s="59" t="n"/>
      <c r="X127" s="419" t="n"/>
      <c r="Y127" s="680" t="n"/>
      <c r="AB127" s="61" t="n"/>
    </row>
    <row r="128" ht="237.75" customFormat="1" customHeight="1" s="704">
      <c r="A128" s="327" t="n">
        <v>105</v>
      </c>
      <c r="B128" s="203" t="inlineStr">
        <is>
          <t>ls_proddif_1</t>
        </is>
      </c>
      <c r="C128" s="136" t="inlineStr">
        <is>
          <t>ls_proddif</t>
        </is>
      </c>
      <c r="D128" s="137" t="inlineStr">
        <is>
          <t>Has your household faced any significant difficulty with livestock production over the last 3 months?
[OPERATOR: SINGLE RESPONSE.]
1)YES 
2)NO
3)DON'T KNOW
4)REFUSED</t>
        </is>
      </c>
      <c r="E128" s="630">
        <f>LEN(D128)</f>
        <v/>
      </c>
      <c r="F128" s="360" t="inlineStr">
        <is>
          <t>လွန်ခဲ့သော 3 လအတွင်း လူကြီးမင်း၏အိမ်ထောင်စုသည် မွေးမြူရေးတွင် အခက်အခဲရှိခဲ့ပါသလား။
[အော်ပရေတာ- တုံ့ပြန်မှုတစ်ခုသာ။]
1)ဟုတ် 
2)မဟုတ်
3)မသိပါ
4)ဖြေဆိုရန် ငြင်းဆန်သည်</t>
        </is>
      </c>
      <c r="G128" s="630">
        <f>LEN(F128)</f>
        <v/>
      </c>
      <c r="H128" s="144" t="inlineStr">
        <is>
          <t>Single Choice</t>
        </is>
      </c>
      <c r="I128" s="630" t="inlineStr">
        <is>
          <t>NA</t>
        </is>
      </c>
      <c r="J128" s="630" t="inlineStr">
        <is>
          <t>NA</t>
        </is>
      </c>
      <c r="K128" s="630" t="inlineStr">
        <is>
          <t>Form Type - Buttons</t>
        </is>
      </c>
      <c r="L128" s="225" t="inlineStr">
        <is>
          <t>NA</t>
        </is>
      </c>
      <c r="M128" s="145" t="inlineStr">
        <is>
          <t>1=ls_proddif_2
2-4= ls_salesmain</t>
        </is>
      </c>
      <c r="N128" s="145" t="n"/>
      <c r="O128" s="145" t="inlineStr">
        <is>
          <t>if ls_proddif_1 = 1, go to ls_proddif_2 ; 
if ls_proddif_1 = 2-4, go to [ls_salesmainOR ls_all]</t>
        </is>
      </c>
      <c r="P128" s="633" t="n"/>
      <c r="Q128" s="134" t="inlineStr">
        <is>
          <t>resp_age = 18-100
(hh_agricactivity = 1 | 3) | (income_main_lscheck = 1) | (income_sec_lscheck = 1) | (income_third_lscheck = 1) 
quotareached = 2</t>
        </is>
      </c>
      <c r="R128" s="149" t="n"/>
      <c r="S128" s="172" t="n">
        <v>13.61331653594971</v>
      </c>
      <c r="T128" s="173">
        <f>'Additional information'!$D$18</f>
        <v/>
      </c>
      <c r="U128" s="172">
        <f>S128*T128</f>
        <v/>
      </c>
      <c r="V128" s="59" t="n"/>
      <c r="X128" s="419" t="inlineStr">
        <is>
          <t>yes</t>
        </is>
      </c>
      <c r="Y128" s="680" t="n"/>
      <c r="AB128" s="61" t="n"/>
    </row>
    <row r="129" ht="409.5" customFormat="1" customHeight="1" s="704" thickBot="1">
      <c r="A129" s="327">
        <f>A128+1</f>
        <v/>
      </c>
      <c r="B129" s="180" t="inlineStr">
        <is>
          <t>ls_proddif_2</t>
        </is>
      </c>
      <c r="C129" s="380"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29" s="13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etc]
6)Livestock diseases or injury
7)Livestock theft
8)Access to livestock market to buy young animals
9)Access to credit
10)Access to manpower labour 
11)Other
12)DON'T KNOW
13)REFUSED</t>
        </is>
      </c>
      <c r="E129" s="630">
        <f>LEN(D129)</f>
        <v/>
      </c>
      <c r="F129" s="360" t="inlineStr">
        <is>
          <t>လွန်ခဲ့သော 3 လက လူကြီးမင်း၏အိမ်ထောင်စုသည်မွေးမြူရေးလုပ်ငန်းတွင် မည်သို့သော အခက်အခဲများနှင့် ကြုံတွေ့ခဲ့ရပါသလဲ။
[အော်ပရေတာ - အဖြေအများအပြား ရှိနိုင်သည်။ ဖြေဆိုသူများပေးသော သတင်းအချက်အလက်များနှင့် အကိုက်ညီဆုံး‌အရာ(များ) ကိုရွေးချယ်ပါ။]
1)အစာဝယ်ယူရန် ခက်ခဲခြင်း [စျေးနှုန်းများ သို့မဟုတ်စျေးကွက်သို့ လက်လှမ်းမီမှု]
2)စားကျက်သို့ ဝင်ရောက်ခွင့်ကို ကန့်သတ်ထားခြင်း
3)ရေသုံးစွဲခွင့် အကန့်အသတ်ရှိခြင်း
4)တိရစ္ဆာန်ဆေးကုသရေး 0န်ဆောင်မှုများရယူရန်ခက်ခဲခြင်း
5)တိရစ္ဆာန်ဆေးကုသရေးဆိုင်ရာ သွင်းအားစုများရရှိရန် ခက်ခဲခြင်း [တိရိစ္ဆာန်များအတွက်ဆေး / တိရိစ္ဆာန်ကျန်းမာရေးအတွက်ကိရိယာများ / စသည်]
6)မွေးမြူရေးတိရစ္ဆာန်များတွင် ဖြစ်ပွားတတ်သောရောဂါများ
7)မွေးမြူရေးတိရစ္ဆာန်များအား းခိုးယူမှု သို့မဟုတ် လုံခြုံမှုမရှိခြင်း
8)တိရိစ္ဆာန်ငယ်များကို ဝယ်ယူရန် မွေးမြူရေးစျေးကွက်ကို လက်လှမ်းမမီခြင်း
9)ချေးငွေရယူခွင့်မရှိခြင်း
10)အလုပ်သမားခ ဈေးကြီးလွန်းသဖြင့် သို့မဟုတ် အလုပ်သမားငှားရမ်းရန် ဝင်ငွေမလုံလောက်သောကြောင့် သို့မဟုတ် အလုပ်သမားများ ငှားရမ်း၍မရသောကြောင့်
11)အခြား [အသေးစိတ်ဖော်ပြပါ]
12)မသိပါ
13)ဖြေဆိုရန် ငြင်းဆန်သည်</t>
        </is>
      </c>
      <c r="G129" s="630">
        <f>LEN(F129)</f>
        <v/>
      </c>
      <c r="H129" s="136" t="inlineStr">
        <is>
          <t xml:space="preserve">Select All That Apply </t>
        </is>
      </c>
      <c r="I129" s="354" t="inlineStr">
        <is>
          <t>NA</t>
        </is>
      </c>
      <c r="J129" s="354" t="inlineStr">
        <is>
          <t>NA</t>
        </is>
      </c>
      <c r="K129" s="354" t="inlineStr">
        <is>
          <t>Form Type - Checklist
12,13 = IsNone</t>
        </is>
      </c>
      <c r="L129" s="131"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29" s="137" t="inlineStr">
        <is>
          <t>1-13 = ls_salesmain</t>
        </is>
      </c>
      <c r="N129" s="237" t="n"/>
      <c r="O129" s="137" t="inlineStr">
        <is>
          <t>if ls_proddif_2 = 1-13, go to ls_salesmain OR ls_all</t>
        </is>
      </c>
      <c r="P129" s="161" t="n"/>
      <c r="Q129" s="148" t="inlineStr">
        <is>
          <t>resp_age = 18-100
(hh_agricactivity = 1 | 3) | (income_main_lscheck = 1) | (income_sec_lscheck = 1) | (income_third_lscheck = 1) 
quotareached = 2
ls_proddif = 1</t>
        </is>
      </c>
      <c r="R129" s="149" t="n"/>
      <c r="S129" s="172" t="n">
        <v>27.75464820861816</v>
      </c>
      <c r="T129" s="173">
        <f>'Additional information'!$D$18</f>
        <v/>
      </c>
      <c r="U129" s="172">
        <f>S129*T129</f>
        <v/>
      </c>
      <c r="V129" s="59" t="n"/>
      <c r="X129" s="419" t="inlineStr">
        <is>
          <t>yes</t>
        </is>
      </c>
      <c r="Y129" s="680" t="n"/>
      <c r="AB129" s="61" t="inlineStr">
        <is>
          <t>Change in option #6 (col D)</t>
        </is>
      </c>
    </row>
    <row r="130" ht="19.5" customFormat="1" customHeight="1" s="704" thickBot="1">
      <c r="A130" s="688" t="inlineStr">
        <is>
          <t>E. LIVESTOCK MARKETING</t>
        </is>
      </c>
      <c r="B130" s="720" t="n"/>
      <c r="C130" s="720" t="n"/>
      <c r="D130" s="720" t="n"/>
      <c r="E130" s="720" t="n"/>
      <c r="F130" s="720" t="n"/>
      <c r="G130" s="720" t="n"/>
      <c r="H130" s="720" t="n"/>
      <c r="I130" s="720" t="n"/>
      <c r="J130" s="720" t="n"/>
      <c r="K130" s="720" t="n"/>
      <c r="L130" s="720" t="n"/>
      <c r="M130" s="720" t="n"/>
      <c r="N130" s="720" t="n"/>
      <c r="O130" s="720" t="n"/>
      <c r="P130" s="720" t="n"/>
      <c r="Q130" s="720" t="n"/>
      <c r="R130" s="721" t="n"/>
      <c r="S130" s="127" t="n"/>
      <c r="T130" s="173" t="n"/>
      <c r="U130" s="127" t="n"/>
      <c r="V130" s="59" t="n"/>
      <c r="X130" s="63" t="n"/>
      <c r="Y130" s="680" t="n"/>
      <c r="AB130" s="61" t="n"/>
    </row>
    <row r="131" ht="375" customFormat="1" customHeight="1" s="704">
      <c r="A131" s="326">
        <f>A129+1</f>
        <v/>
      </c>
      <c r="B131" s="128" t="inlineStr">
        <is>
          <t>ls_salesmain</t>
        </is>
      </c>
      <c r="C131" s="136" t="inlineStr">
        <is>
          <t>ls_salesmain</t>
        </is>
      </c>
      <c r="D131" s="200" t="inlineStr">
        <is>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is>
      </c>
      <c r="E131" s="631">
        <f>LEN(D131)</f>
        <v/>
      </c>
      <c r="F131" s="334" t="inlineStr">
        <is>
          <t>လွန်ခဲ့သော 3 လအတွင်း လူကြီးမင်း၏အိမ်ထောင်စု အဓိကရောင်းချသော တိရစ္ဆာန် သို့မဟုတ် တိရစ္ဆာန်ထွက်ထုတ်ကုန်က ဘာပါလဲ။
[အော်ပရေတာ- တုံ့ပြန်မှုတစ်ခုသာ။ အဓိကထုတ်ကုန်ကို ဖြေကြားရန် တိုက်တွန်းပါ။]
1)ကျွဲနွားတိရစ္ဆာန် [နွားမ၊ အမဲသား၊ နွားငယ်သား၊ တိဗက်နွား၊ ကျွဲ]
2)ဆိတ်
3)သိုး
4)ဝက်
5)မြင်းမျိုးနွယ် [မြည်း / မြင်း / စသည်]
6)အိမ်မြွေးတိရစ္ဆာန် လေးများ [ယုန် / ကုန်းနေ ဖျံ / ပူးကောင် စသည်]
7)မွေးမြူရေးကြက်၊ ငှက် [ကြက် / ရစ်ငှက် / ဘဲ / စသည်]
8)ကုလားအုတ်များ
9)ဥများ
10)နို့ သို့မဟုတ် နို့ထွက်ပစ္စည်းများ
11)အရေပြား သို့မဟုတ် သားရေ
12)မသိပါ
13)ဖြေဆိုရန် ငြင်းဆန်သည်</t>
        </is>
      </c>
      <c r="G131" s="631">
        <f>LEN(F131)</f>
        <v/>
      </c>
      <c r="H131" s="698" t="inlineStr">
        <is>
          <t>Single Choice</t>
        </is>
      </c>
      <c r="I131" s="631" t="inlineStr">
        <is>
          <t>NA</t>
        </is>
      </c>
      <c r="J131" s="631"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K131" s="136" t="inlineStr">
        <is>
          <t>Form Type - Buttons
IsDemographic</t>
        </is>
      </c>
      <c r="L131" s="228" t="inlineStr">
        <is>
          <t>NA</t>
        </is>
      </c>
      <c r="M131" s="131" t="inlineStr">
        <is>
          <t>1-11 =ls_salesdif_1
12-13 = fish_intro</t>
        </is>
      </c>
      <c r="N131" s="178" t="n"/>
      <c r="O131" s="131" t="inlineStr">
        <is>
          <t>If either income_main or income_sec or income_third = "Production and sale of livestock and livestock products", then this section will be asked to respondents.
Otherwise, skip to fish_main.
if ls_salesmain = 1-11, go to ls_salesdif_1 ; 
if ls_salesmain = 12-13, go to fish_intro</t>
        </is>
      </c>
      <c r="P131" s="633" t="n"/>
      <c r="Q131" s="134" t="inlineStr">
        <is>
          <t>resp_age = 18-100
hh_agricactivity = 1 | 2 | 3 | 4
(income_main = 4 | income_sec = 4 | income_third = 4)
quotareached = 2</t>
        </is>
      </c>
      <c r="R131" s="135" t="n"/>
      <c r="S131" s="172" t="n">
        <v>13.99939060211182</v>
      </c>
      <c r="T131" s="173">
        <f>'Additional information'!$D$18</f>
        <v/>
      </c>
      <c r="U131" s="172">
        <f>S131*T131</f>
        <v/>
      </c>
      <c r="V131" s="59" t="n"/>
      <c r="X131" s="63" t="inlineStr">
        <is>
          <t>yes</t>
        </is>
      </c>
      <c r="Y131" s="680" t="n"/>
      <c r="AB131" s="61" t="inlineStr">
        <is>
          <t>Col H + col J</t>
        </is>
      </c>
    </row>
    <row r="132" ht="209.25" customFormat="1" customHeight="1" s="704">
      <c r="A132" s="327" t="n">
        <v>108</v>
      </c>
      <c r="B132" s="630" t="inlineStr">
        <is>
          <t>ls_salesdif_1</t>
        </is>
      </c>
      <c r="C132" s="136" t="inlineStr">
        <is>
          <t>ls_salesdif</t>
        </is>
      </c>
      <c r="D132" s="137" t="inlineStr">
        <is>
          <t>Has your household faced any significant difficulty in the last 3 months selling your {ls_salesmain}?
[OPERATOR: SINGLE RESPONSE.]
1)YES
2)NO
3)DON'T KNOW
4)REFUSED</t>
        </is>
      </c>
      <c r="E132" s="630">
        <f>LEN(D132)</f>
        <v/>
      </c>
      <c r="F132" s="641" t="inlineStr">
        <is>
          <t>လူကြီးမင်း၏အိမ်ထောင်စုသည် လွန်ခဲ့သော 3 လအတွင်း {ls_salesmain} ကို ရောင်းရာတွင် အခက်အခဲရှိခဲ့ပါသလား။
[အော်ပရေတာ- တုံ့ပြန်မှုတစ်ခုသာ။]
1)ဟုတ်
2)မဟုတ်
3)မသိပါ
4)ဖြေဆိုရန် ငြင်းဆန်သည်</t>
        </is>
      </c>
      <c r="G132" s="630">
        <f>LEN(F132)</f>
        <v/>
      </c>
      <c r="H132" s="144" t="inlineStr">
        <is>
          <t>Single Choice</t>
        </is>
      </c>
      <c r="I132" s="630" t="inlineStr">
        <is>
          <t>NA</t>
        </is>
      </c>
      <c r="J132" s="630" t="inlineStr">
        <is>
          <t>NA</t>
        </is>
      </c>
      <c r="K132" s="630" t="inlineStr">
        <is>
          <t>Form Type - Buttons</t>
        </is>
      </c>
      <c r="L132" s="225" t="inlineStr">
        <is>
          <t>NA</t>
        </is>
      </c>
      <c r="M132" s="145" t="inlineStr">
        <is>
          <t>1 = ls_salesdif_2
2-4 = ls_salesprice</t>
        </is>
      </c>
      <c r="N132" s="145" t="n"/>
      <c r="O132" s="145" t="inlineStr">
        <is>
          <t>if ls_salesdif_1 = 1, go to ls_salesdif_2 ; 
if ls_salesdif_1 = 2-4, go to ls_salesprice</t>
        </is>
      </c>
      <c r="P132" s="161" t="n"/>
      <c r="Q132" s="148" t="inlineStr">
        <is>
          <t>resp_age = 18-100
hh_agricactivity = 1 | 2 | 3 | 4
(income_main = 4 | income_sec = 4 | income_third = 4)
quotareached = 2
ls_salesmain = 1-11</t>
        </is>
      </c>
      <c r="R132" s="149" t="n"/>
      <c r="S132" s="172" t="n">
        <v>10.25279426574707</v>
      </c>
      <c r="T132" s="173">
        <f>'Additional information'!$D$18</f>
        <v/>
      </c>
      <c r="U132" s="172">
        <f>S132*T132</f>
        <v/>
      </c>
      <c r="V132" s="59" t="n"/>
      <c r="X132" s="419" t="inlineStr">
        <is>
          <t>yes</t>
        </is>
      </c>
      <c r="Y132" s="680" t="n"/>
      <c r="AB132" s="61" t="n"/>
    </row>
    <row r="133" ht="409.5" customFormat="1" customHeight="1" s="704">
      <c r="A133" s="327">
        <f>A132+1</f>
        <v/>
      </c>
      <c r="B133" s="203" t="inlineStr">
        <is>
          <t>ls_salesdif_2</t>
        </is>
      </c>
      <c r="C133" s="13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3" s="463" t="inlineStr">
        <is>
          <t>Which difficulties has your household faced in the last 3 months in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etc]
8)Market flooded with products
9)Other
10)DON'T KNOW
11)REFUSED</t>
        </is>
      </c>
      <c r="E133" s="630">
        <f>LEN(D133)</f>
        <v/>
      </c>
      <c r="F133" s="360" t="inlineStr">
        <is>
          <t>လူကြီးမင်း၏အိမ်ထောင်စုသည် လွန်ခဲ့သော 3 လအတွင်း {ls_salesmain} ကို ရောင်းချရာ၌ မည်သည့်အခက်အခဲများ ကြုံတွေ့ခဲ့ရပါသလဲ။
[အော်ပရေတာ - အဖြေအများအပြား ရှိနိုင်သည်။ ဖြေဆိုသူများပေးသော သတင်းအချက်အလက်များနှင့် အကိုက်ညီဆုံး‌အရာ(များ) ကိုရွေးချယ်ပါ။]
1)စျေးကွက်ကုန်ကျစရိတ် မြင့်မားခြင်း [ဥပမာ - သယ်ယူပို့ဆောင်ရေး]
2) သိုလှောင်မှုအခက်အခဲနှင့်/သို့မဟုတ် စျေးကွက်ဝင်ရောက်ရန်အခက်အခဲကြောင့် ပျက်စီးဆုံးရှုံးမှုများ [ဥပမာ။ မလုံခြုံမှု၊ အခြေခံအဆောက်အအုံ ညံ့ဖျင်းမှု စသဖြင့်]
3)ပုံမှန်ကုန်သည်များ သို့မဟုတ် ဝယ်သူများထံမှ ဝယ်လိုအားမရှိခြင်း။
4)ကုန်သည် / ဝယ်သူများထံမှငွေပေးချေမှုနှောင့်နှေးခြင်း။
5)ရောင်းစျေးအလွန်ကျဆင်းခြင်း [ဥပမာ။ သွင်းအားစုစျေးနှုန်းများ / ငွေကြေးဖောင်းပွမှုနှိုင်းယှဉ်]
6)သားသတ်ရုံများ ပိတ်ခြင်း သို့မဟုတ် သားသတ်ရုံများထံ သွားရောက်ရန် ခက်ခဲခြင်း
7)သားသတ်ရုံများပိတ်ခြင်းမဟုတ်ဘဲ ထုတ်ကုန်များထုတ်လုပ်ရန် အခက်အခဲရှိခြင်း [သွင်းကုန်များ / ကိရိယာ / စသည် မရရှိနိုင်ခြင်း]
8) ပစ္စည်းထုတ်လုပ်မှုများခြင်း [သို့] ဝယ်လိုအားနည်းခြင်းကြောင့် ‌
ဈေးကွက်တွင် ပစ္စည်းအများအပြားရှိနေသည်။
9)အခြား [အသေးစိတ်ဖော်ပြပါ]
10)မသိပါ
11)ဖြေဆိုရန် ငြင်းဆန်သည်</t>
        </is>
      </c>
      <c r="G133" s="630">
        <f>LEN(F133)</f>
        <v/>
      </c>
      <c r="H133" s="136" t="inlineStr">
        <is>
          <t xml:space="preserve">Select All That Apply </t>
        </is>
      </c>
      <c r="I133" s="354" t="inlineStr">
        <is>
          <t>NA</t>
        </is>
      </c>
      <c r="J133" s="354" t="inlineStr">
        <is>
          <t>NA</t>
        </is>
      </c>
      <c r="K133" s="354" t="inlineStr">
        <is>
          <t>Form Type - Checklist
10,11 = IsNone</t>
        </is>
      </c>
      <c r="L133" s="131"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3" s="145" t="inlineStr">
        <is>
          <t>1-11 = ls_salesprice</t>
        </is>
      </c>
      <c r="N133" s="145" t="n"/>
      <c r="O133" s="145" t="inlineStr">
        <is>
          <t>if ls_salesdif_2 = 1-9, go to ls_salesprice</t>
        </is>
      </c>
      <c r="P133" s="161" t="n"/>
      <c r="Q133" s="148" t="inlineStr">
        <is>
          <t>resp_age = 18-100
hh_agricactivity = 1 | 2 | 3 | 4
(income_main = 4 | income_sec = 4 | income_third = 4)
quotareached = 2
ls_salesmain = 1-11
ls_salesdif = 1</t>
        </is>
      </c>
      <c r="R133" s="149" t="n"/>
      <c r="S133" s="172" t="n">
        <v>24.19434356689453</v>
      </c>
      <c r="T133" s="173">
        <f>'Additional information'!$D$18</f>
        <v/>
      </c>
      <c r="U133" s="172">
        <f>S133*T133</f>
        <v/>
      </c>
      <c r="V133" s="59" t="n"/>
      <c r="X133" s="419" t="inlineStr">
        <is>
          <t>yes</t>
        </is>
      </c>
      <c r="Y133" s="680" t="n"/>
      <c r="AB133" s="66" t="inlineStr">
        <is>
          <t>Change in options #1, 2, 3, 4 (col D)</t>
        </is>
      </c>
    </row>
    <row r="134" ht="255.75" customFormat="1" customHeight="1" s="704" thickBot="1">
      <c r="A134" s="327">
        <f>A133+1</f>
        <v/>
      </c>
      <c r="B134" s="203" t="inlineStr">
        <is>
          <t>ls_salesprice</t>
        </is>
      </c>
      <c r="C134" s="136" t="inlineStr">
        <is>
          <t>ls_salesprice</t>
        </is>
      </c>
      <c r="D134" s="137"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34" s="630">
        <f>LEN(D134)</f>
        <v/>
      </c>
      <c r="F134" s="265" t="inlineStr">
        <is>
          <t>လူကြီးမင်းအိမ်ထောင်စု၏ {ls_salesmain} ၏ လက်ရှိစျေးနှုန်းကို  ကာလတူ ပုံမှန် နှစ် တစ်နှစ်မှ ပျမ်းမျှစျေးနှုန်းနှင့် ဘယ်လိုနှိုင်းယှဉ်နိုင်ပါသလဲ။ ...ဟု ပြောနိုင်ပါသလား
[အော်ပရေတာ- တုံ့ပြန်မှုတစ်ခုသာ။ အဓိကထုတ်ကုန်ကို ဖော်ပ]
1)အလွန်တိုးလာသည် [50% အထက် တိုးလာသည်]
2)တိုးလာသည်
3)တူညီသည်
4)ပို၍နည်းသည်
5)အလွန်နည်းသည် [ထက်ဝက်စာမျှ နည်းသည်]
6)မသိပါ
7)ဖြေဆိုရန် ငြင်းဆန်သည်</t>
        </is>
      </c>
      <c r="G134" s="630">
        <f>LEN(F134)</f>
        <v/>
      </c>
      <c r="H134" s="144" t="inlineStr">
        <is>
          <t>Single Choice</t>
        </is>
      </c>
      <c r="I134" s="630" t="inlineStr">
        <is>
          <t>NA</t>
        </is>
      </c>
      <c r="J134" s="630" t="inlineStr">
        <is>
          <t>NA</t>
        </is>
      </c>
      <c r="K134" s="630" t="inlineStr">
        <is>
          <t>Form Type - Buttons</t>
        </is>
      </c>
      <c r="L134" s="225" t="inlineStr">
        <is>
          <t>NA</t>
        </is>
      </c>
      <c r="M134" s="198" t="inlineStr">
        <is>
          <t>1-7 = fish_intro</t>
        </is>
      </c>
      <c r="N134" s="214" t="n"/>
      <c r="O134" s="198" t="inlineStr">
        <is>
          <t>For options #1-7, go to fish_intro</t>
        </is>
      </c>
      <c r="P134" s="199" t="n"/>
      <c r="Q134" s="148" t="inlineStr">
        <is>
          <t>resp_age = 18-100
hh_agricactivity = 1 | 2 | 3 | 4
(income_main = 4 | income_sec = 4 | income_third = 4)
quotareached = 2
ls_salesmain = 1-11</t>
        </is>
      </c>
      <c r="R134" s="149" t="n"/>
      <c r="S134" s="172" t="n">
        <v>19.32173728942871</v>
      </c>
      <c r="T134" s="173">
        <f>'Additional information'!$D$18</f>
        <v/>
      </c>
      <c r="U134" s="172">
        <f>S134*T134</f>
        <v/>
      </c>
      <c r="V134" s="59" t="n"/>
      <c r="X134" s="63" t="inlineStr">
        <is>
          <t>yes</t>
        </is>
      </c>
      <c r="Y134" s="680" t="n"/>
      <c r="AB134" s="66" t="inlineStr">
        <is>
          <t>Change in options #2, 4 (col D) 
+ col J</t>
        </is>
      </c>
    </row>
    <row r="135" ht="19.5" customFormat="1" customHeight="1" s="704" thickBot="1">
      <c r="A135" s="688" t="inlineStr">
        <is>
          <t>F. FISHERIES PRODUCTION</t>
        </is>
      </c>
      <c r="B135" s="720" t="n"/>
      <c r="C135" s="720" t="n"/>
      <c r="D135" s="720" t="n"/>
      <c r="E135" s="720" t="n"/>
      <c r="F135" s="720" t="n"/>
      <c r="G135" s="720" t="n"/>
      <c r="H135" s="720" t="n"/>
      <c r="I135" s="720" t="n"/>
      <c r="J135" s="720" t="n"/>
      <c r="K135" s="720" t="n"/>
      <c r="L135" s="720" t="n"/>
      <c r="M135" s="720" t="n"/>
      <c r="N135" s="720" t="n"/>
      <c r="O135" s="720" t="n"/>
      <c r="P135" s="720" t="n"/>
      <c r="Q135" s="720" t="n"/>
      <c r="R135" s="721" t="n"/>
      <c r="S135" s="127" t="n"/>
      <c r="T135" s="123" t="n"/>
      <c r="U135" s="127" t="n"/>
      <c r="V135" s="59" t="n"/>
      <c r="X135" s="63" t="n"/>
      <c r="Y135" s="680" t="n"/>
      <c r="AB135" s="61" t="n"/>
    </row>
    <row r="136" ht="140.1" customFormat="1" customHeight="1" s="704">
      <c r="A136" s="326">
        <f>A134+1</f>
        <v/>
      </c>
      <c r="B136" s="128" t="inlineStr">
        <is>
          <t>fish_intro</t>
        </is>
      </c>
      <c r="C136" s="136" t="inlineStr">
        <is>
          <t>fish_intro</t>
        </is>
      </c>
      <c r="D136" s="129" t="inlineStr">
        <is>
          <t>We will now ask you some questions about fishing and aquaculture production which apply to you and anyone in your household that is involved in the capture, culture, processing or sales of fish.
1)CONTINUE</t>
        </is>
      </c>
      <c r="E136" s="631">
        <f>LEN(D136)</f>
        <v/>
      </c>
      <c r="F136" s="641" t="inlineStr">
        <is>
          <t>သင်နှင့် သင့်အိမ်ထောင်စုဝင်များ လုပ်ကိုင်နေသော ငါးနှင့် ငါးပုစွန်ထုတ်လုပ်ခြင်းဆိုင်ရာ မေးခွန်းအချို့ကို သင့်အား ယခုမေးမြန်းပါမည်။
1) ဆက်ရန်</t>
        </is>
      </c>
      <c r="G136" s="631">
        <f>LEN(F136)</f>
        <v/>
      </c>
      <c r="H136" s="631" t="inlineStr">
        <is>
          <t>Single Choice</t>
        </is>
      </c>
      <c r="I136" s="631" t="inlineStr">
        <is>
          <t>NA</t>
        </is>
      </c>
      <c r="J136" s="631" t="inlineStr">
        <is>
          <t>Send if "income_main_fishcheck" "Equals" "YES" Or "income_sec_fishcheck" "Equals" "YES" Or "income_third_fishcheck" "Equals" "YES" if not satisfied go to "fies"</t>
        </is>
      </c>
      <c r="K136" s="630" t="inlineStr">
        <is>
          <t>Form Type - Buttons</t>
        </is>
      </c>
      <c r="L136" s="632" t="inlineStr">
        <is>
          <t>NA</t>
        </is>
      </c>
      <c r="M136" s="131" t="inlineStr">
        <is>
          <t>1 = fish_main</t>
        </is>
      </c>
      <c r="N136" s="131" t="n"/>
      <c r="O136" s="196" t="inlineStr">
        <is>
          <t>If the respondent reported production and sales of fish in one of the three main income sources and confirmed that they are involved in production, then this section will be administered to respondents. Otherwise, skip to fies</t>
        </is>
      </c>
      <c r="P136" s="195" t="n"/>
      <c r="Q136" s="134" t="inlineStr">
        <is>
          <t>resp_age = 18-100
hh_agricactivity = 1| 2 | 3 | 4
(income_main_fishcheck = 1) | (income_sec_fishcheck = 1) | (income_third_fishcheck = 1) 
quotareached = 2</t>
        </is>
      </c>
      <c r="R136" s="135" t="n"/>
      <c r="S136" s="172" t="n">
        <v>7.5</v>
      </c>
      <c r="T136" s="173">
        <f>'Additional information'!$D$19</f>
        <v/>
      </c>
      <c r="U136" s="172">
        <f>S136*T136</f>
        <v/>
      </c>
      <c r="V136" s="59" t="n"/>
      <c r="X136" s="419" t="inlineStr">
        <is>
          <t>yes</t>
        </is>
      </c>
      <c r="Y136" s="680" t="n"/>
      <c r="AB136" s="61" t="inlineStr">
        <is>
          <t>new question</t>
        </is>
      </c>
    </row>
    <row r="137" ht="231" customFormat="1" customHeight="1" s="704">
      <c r="A137" s="326">
        <f>A136+1</f>
        <v/>
      </c>
      <c r="B137" s="128" t="inlineStr">
        <is>
          <t>fish_main</t>
        </is>
      </c>
      <c r="C137" s="136" t="inlineStr">
        <is>
          <t>fish_main_
1) fish_main_coastal
2) fish_main_offshore_sea
3) fish_main_freshwater
4) fish_main_aquaculture
5) fish_main_dk
6) fish_main_ref</t>
        </is>
      </c>
      <c r="D137" s="129" t="inlineStr">
        <is>
          <t>What type of fishing activity does your household generally practice?
[OPERATOR: MULTIPLE RESPONSES POSSIBLE.]
1)Near coastal/delta/lagoon fishing
2)Offshore sea fishing
3)Freshwater fishing [in lakes/reservoirs/ponds/rivers or wetlands]
4)Aquaculture
5)DON'T KNOW
6)REFUSED</t>
        </is>
      </c>
      <c r="E137" s="631">
        <f>LEN(D137)</f>
        <v/>
      </c>
      <c r="F137" s="360" t="inlineStr">
        <is>
          <t>လူကြီးမင်း၏အိမ်ထောင်စုသည် ယေဘုယျအားဖြင့် မည်သည့်ငါးဖမ်းလုပ်ငန်းအမျိုးအစားကို လုပ်ကိုင်ပါသလဲ။
[အော်ပရေတာ- အဖြေအများအပြား ရှိနိုင်သည်။]
1)ကမ်းရိုးတန်းတွင် ငါးဖမ်းခြင်း
2)ပင်လယ်ပြင်တွင် ငါးဖမ်းခြင်း
3)ငါးကန်များ [ရေကန်များ / ကန်များ / မြစ်များအတွင်း]
4)ငါး၊ ပုဇွန်မွေးမြူရေးလုပ်ငန်း
5)မသိပါ
6)ဖြေဆိုရန် ငြင်းဆန်သည်</t>
        </is>
      </c>
      <c r="G137" s="631">
        <f>LEN(F137)</f>
        <v/>
      </c>
      <c r="H137" s="136" t="inlineStr">
        <is>
          <t>Select All That Apply</t>
        </is>
      </c>
      <c r="I137" s="631" t="inlineStr">
        <is>
          <t>NA</t>
        </is>
      </c>
      <c r="J137" s="631" t="inlineStr">
        <is>
          <t>NA</t>
        </is>
      </c>
      <c r="K137" s="631" t="inlineStr">
        <is>
          <t>Form Type - Checklist
5,6 = IsNone</t>
        </is>
      </c>
      <c r="L137" s="131" t="inlineStr">
        <is>
          <t>1)fish_main_coastal
2)fish_main_offshore_sea
3)fish_main_freshwater
4)fish_main_aquaculture
5)fish_main_dk
6)fish_main_ref</t>
        </is>
      </c>
      <c r="M137" s="131" t="inlineStr">
        <is>
          <t>1-6 = fish_change</t>
        </is>
      </c>
      <c r="N137" s="131" t="n"/>
      <c r="O137" s="131" t="inlineStr">
        <is>
          <t>if fish_main = 1-6, go to fish_change</t>
        </is>
      </c>
      <c r="P137" s="633" t="n"/>
      <c r="Q137" s="134" t="inlineStr">
        <is>
          <t>resp_age = 18-100
hh_agricactivity = 1| 2 | 3 | 4
(income_main_fishcheck = 1) | (income_sec_fishcheck = 1) | (income_third_fishcheck = 1) 
quotareached = 2</t>
        </is>
      </c>
      <c r="R137" s="138" t="n"/>
      <c r="S137" s="172" t="n">
        <v>19.09011650085449</v>
      </c>
      <c r="T137" s="173">
        <f>'Additional information'!$D$19</f>
        <v/>
      </c>
      <c r="U137" s="172">
        <f>S137*T137</f>
        <v/>
      </c>
      <c r="V137" s="59" t="n"/>
      <c r="X137" s="419" t="inlineStr">
        <is>
          <t>yes</t>
        </is>
      </c>
      <c r="Y137" s="680" t="n"/>
      <c r="AB137" s="64" t="inlineStr">
        <is>
          <t>Change in option #3 (col D)
Change in col. H</t>
        </is>
      </c>
    </row>
    <row r="138" ht="250.5" customHeight="1">
      <c r="A138" s="326">
        <f>A137+1</f>
        <v/>
      </c>
      <c r="B138" s="465" t="inlineStr">
        <is>
          <t>fish_change</t>
        </is>
      </c>
      <c r="C138" s="465" t="inlineStr">
        <is>
          <t>fish_change</t>
        </is>
      </c>
      <c r="D138" s="137"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38" s="631">
        <f>LEN(D138)</f>
        <v/>
      </c>
      <c r="F138" s="641" t="inlineStr">
        <is>
          <t>လွန်ခဲ့သော 3 လအတွင်း လူကြီးမင်း၏ငါးထုတ်လုပ်မှု / ဖမ်းဆီးမှုသည် လွန်ခဲ့သည့်နှစ် ကာလတူအချိန်နှင့်နှိုင်းယှဉ်ပါက ဘယ်လိုရှိပါသလဲ။
[အော်ပရေတာ- တုံ့ပြန်မှုတစ်ခုသာ။]
1)အလွန်တိုးလာသည် [50% အထက် တိုးလာသည်]
2)တိုးလာသည်
3)တူညီသည်
4)ပို၍နည်းသည်
5)အလွန်နည်းသည် [ထက်ဝက်စာမျှ နည်းသည်]
6)မသိပါ
7)ဖြေဆိုရန် ငြင်းဆန်သည်</t>
        </is>
      </c>
      <c r="G138" s="631">
        <f>LEN(F138)</f>
        <v/>
      </c>
      <c r="H138" s="465" t="inlineStr">
        <is>
          <t>Single Choice</t>
        </is>
      </c>
      <c r="I138" s="465" t="inlineStr">
        <is>
          <t>NA</t>
        </is>
      </c>
      <c r="J138" s="465" t="inlineStr">
        <is>
          <t>NA</t>
        </is>
      </c>
      <c r="K138" s="189" t="inlineStr">
        <is>
          <t>Form Type - Buttons
IsDemographic</t>
        </is>
      </c>
      <c r="L138" s="466" t="inlineStr">
        <is>
          <t>NA</t>
        </is>
      </c>
      <c r="M138" s="566" t="inlineStr">
        <is>
          <t xml:space="preserve">1-7 = fish_proddif </t>
        </is>
      </c>
      <c r="N138" s="469" t="n"/>
      <c r="O138" s="467" t="inlineStr">
        <is>
          <t>if fish_change = 1-7, go to fish_proddif_1</t>
        </is>
      </c>
      <c r="P138" s="468" t="n"/>
      <c r="Q138" s="134" t="inlineStr">
        <is>
          <t>resp_age = 18-100
hh_agricactivity = 1| 2 | 3 | 4
(income_main_fishcheck = 1) | (income_sec_fishcheck = 1) | (income_third_fishcheck = 1) 
quotareached = 2</t>
        </is>
      </c>
      <c r="R138" s="149" t="n"/>
      <c r="S138" s="172" t="n">
        <v>17.6569766998291</v>
      </c>
      <c r="T138" s="173">
        <f>'Additional information'!$D$19</f>
        <v/>
      </c>
      <c r="U138" s="172">
        <f>S138*T138</f>
        <v/>
      </c>
      <c r="V138" s="59" t="n"/>
      <c r="X138" s="419" t="inlineStr">
        <is>
          <t>yes</t>
        </is>
      </c>
      <c r="AB138" s="64" t="inlineStr">
        <is>
          <t xml:space="preserve">Change in options 2 and 4 wording (col D) </t>
        </is>
      </c>
    </row>
    <row r="139" ht="279" customFormat="1" customHeight="1" s="704">
      <c r="A139" s="326">
        <f>A138+1</f>
        <v/>
      </c>
      <c r="B139" s="128" t="inlineStr">
        <is>
          <t>fish_proddif</t>
        </is>
      </c>
      <c r="C139" s="136" t="inlineStr">
        <is>
          <t>fish_proddif</t>
        </is>
      </c>
      <c r="D139" s="129" t="inlineStr">
        <is>
          <t>Has your household faced any significant difficulty with fisheries and aquaculture production in the last 3 months?
[OPERATOR: SINGLE RESPONSE.]
[NOTE: THE RESPONDENT REPORTED THEIR FISH CATCH IN THE LAST 3 MONTHS/HARVEST IS {fish_change}  AS THE SAME PERIOD LAST YEAR].
1)YES
2)NO
3)DON'T KNOW
4)REFUSED</t>
        </is>
      </c>
      <c r="E139" s="631">
        <f>LEN(D139)</f>
        <v/>
      </c>
      <c r="F139" s="641" t="inlineStr">
        <is>
          <t>လွန်ခဲ့သော 3 လအတွင်း လူကြီးမင်း၏အိမ်ထောင်စုသည် ငါးလုပ်ငန်း၊ ငါး၊ ပုဇွန်မွေးမြူရေးလုပ်ငန်းနှင့် ပတ်သက်၍ အခက်အခဲရှိခဲ့ပါသလား။
[အော်ပရေတာ- တုံ့ပြန်မှုတစ်ခုသာ။]
[မှတ်ချက်- ဖြေဆိုသူသည် လွန်ခဲ့သော 3 လအတွင်း ၎င်းတို့၏ငါးဖမ်းမှု/ ရိတ်သိမ်းမှုသည်ယခင်နှစ် အလားတူကာလအတိုင်း {fish_change} ဖြစ်သည်ဟု ဖြေဆိုခဲ့သည်။ ]
1)ဟုတ်
2)မဟုတ်
3)မသိပါ
4)ဖြေဆိုရန် ငြင်းဆန်သည်</t>
        </is>
      </c>
      <c r="G139" s="631">
        <f>LEN(F139)</f>
        <v/>
      </c>
      <c r="H139" s="698" t="inlineStr">
        <is>
          <t>Single Choice</t>
        </is>
      </c>
      <c r="I139" s="631" t="inlineStr">
        <is>
          <t>NA</t>
        </is>
      </c>
      <c r="J139" s="631" t="inlineStr">
        <is>
          <t>NA</t>
        </is>
      </c>
      <c r="K139" s="631" t="inlineStr">
        <is>
          <t>Form Type - Buttons</t>
        </is>
      </c>
      <c r="L139" s="632" t="n"/>
      <c r="M139" s="131" t="inlineStr">
        <is>
          <t>1=fish_proddif_2
2-4= fish_inputdif</t>
        </is>
      </c>
      <c r="N139" s="571" t="inlineStr">
        <is>
          <t xml:space="preserve">6/30/2023. Added suggested notes to aid operators in identifying potential outliers for further probing if needed.
</t>
        </is>
      </c>
      <c r="O139" s="145" t="inlineStr">
        <is>
          <t>if fish_proddif_1 = 1, go to fish_proddif_2 ; 
if fish_proddif_1 = 2-4, go to fish_salesmain OR optional question</t>
        </is>
      </c>
      <c r="P139" s="633" t="n"/>
      <c r="Q139" s="134" t="inlineStr">
        <is>
          <t>resp_age = 18-100
hh_agricactivity = 1| 2 | 3 | 4
(income_main_fishcheck = 1) | (income_sec_fishcheck = 1) | (income_third_fishcheck = 1) 
quotareached = 2</t>
        </is>
      </c>
      <c r="R139" s="149" t="n"/>
      <c r="S139" s="172" t="n">
        <v>8.764705657958984</v>
      </c>
      <c r="T139" s="173">
        <f>'Additional information'!$D$19</f>
        <v/>
      </c>
      <c r="U139" s="172">
        <f>S139*T139</f>
        <v/>
      </c>
      <c r="V139" s="59" t="n"/>
      <c r="X139" s="63" t="inlineStr">
        <is>
          <t>yes</t>
        </is>
      </c>
      <c r="Y139" s="680" t="n"/>
      <c r="AB139" s="61" t="n"/>
    </row>
    <row r="140" ht="408.75" customFormat="1" customHeight="1" s="704">
      <c r="A140" s="327">
        <f>A139+1</f>
        <v/>
      </c>
      <c r="B140" s="128" t="inlineStr">
        <is>
          <t>fish_proddif_2</t>
        </is>
      </c>
      <c r="C140" s="13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0" s="470" t="inlineStr">
        <is>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[ponds/cages/ports/landing sites]
8)Damage or destruction of boats or gears
9)Other
10)DON'T KNOW
11)REFUSED</t>
        </is>
      </c>
      <c r="E140" s="630">
        <f>LEN(D140)</f>
        <v/>
      </c>
      <c r="F140" s="360" t="inlineStr">
        <is>
          <t>လွန်ခဲ့သော 3 လအတွင်း လူကြီးမင်း၏အိမ်ထောင်စုသည် ငါးလုပ်ငန်းနှင့်ငါး၊ ပုဇွန်မွေးမြူရေးလုပ်ငန်းင်းလုပ်ငန်းတို့နှင့်ပတ်သက်၍ မည်သည့်အခက်အခဲများကိုကြုံတွေ့ခဲ့ရပါသလဲ။
[အော်ပရေတာ - အဖြေအများအပြား ရှိနိုင်သည်။ ဖြေဆိုသူများပေးသော သတင်းအချက်အလက်များနှင့် အကိုက်ညီဆုံး‌အရာ(များ) ကိုရွေးချယ်ပါ။]
1)ငါးများသည် ကာလတူ ယခင်နှစ်များနှင့် နှိုင်းယှဉ်လျှင် ရှာဖွေရပို၍ခက်ခဲသည်
2) ငါး ပုဇွန်မွေးမြူရေးလုပ်ငန်းတွင် ရောဂါကျရောက်ခြင်း
3)ငါးဖမ်းခြင်း သို့မဟုတ် ငါးပုစွန်ဧရိယာသို့ ဝင်ရောက်ခွင့် [e.g. ရာသီဥတု သို့မဟုတ် လုံခြုံရေးကြောင့်]
4)လောင်စာဆီရရှိရန် ခက်ခဲခြင်း [စျေးနှုန်းမြင့်မားခြင်း သို့မဟုတ် မရရှိနိုင်ခြင်း]
5)ငါးဖမ်းပစ္စည်းနှင့်အခြားသွင်းအားစုများကို ရရှိနိုင်ရန်ခက်ခဲခြင်း [စျေးနှုန်းမြင့်မားခြင်း သို့မဟုတ် မရရှိနိုင်ခြင်း]
6)လုပ်အားခ စျေးကြီးလွန်းခြင်း သို့မဟုတ် အလုပ်သမားခန့်ရန် ဝင်ငွေမလုံလောက်ခြင်း
7)အခြေခံအဆောက်အဦများ [ကန်များ၊ လှောင်အိမ်များ၊ ဆိပ်ကမ်းများ၊ ဆင်းသက်သည့်နေရာများ] ပျက်စီးခြင်း သို့မဟုတ် ပျက်စီးခြင်း၊
8)လှေ သို့မဟုတ် ငါးဖမ်းကိရိယာများ ပျက်စီးခြင်း။
9)အခြား
10)မသိပါ
11)ဖြေဆိုရန် ငြင်းဆန်သည်</t>
        </is>
      </c>
      <c r="G140" s="630">
        <f>LEN(F140)</f>
        <v/>
      </c>
      <c r="H140" s="136" t="inlineStr">
        <is>
          <t xml:space="preserve">Select All That Apply </t>
        </is>
      </c>
      <c r="I140" s="354" t="inlineStr">
        <is>
          <t>NA</t>
        </is>
      </c>
      <c r="J140" s="354" t="inlineStr">
        <is>
          <t>NA</t>
        </is>
      </c>
      <c r="K140" s="354" t="inlineStr">
        <is>
          <t>Form Type - Checklist
10,11 = IsNone</t>
        </is>
      </c>
      <c r="L140" s="131" t="inlineStr">
        <is>
          <t>1)fish_proddif_find_fish
2)fish_proddif_pests
3)fish_proddif_access_area
4)fish_proddif_fuel
5)fish_proddif_input_access
6)fish_proddif_labour
7)fish_proddif_infrastructure
8)fish_proddif_damage_equip
9)fish_proddif_other
10)fish_proddif_dk
11)fish_proddif_ref</t>
        </is>
      </c>
      <c r="M140" s="145" t="inlineStr">
        <is>
          <t>1-11 =fish_inputdif</t>
        </is>
      </c>
      <c r="N140" s="145" t="n"/>
      <c r="O140" s="145" t="inlineStr">
        <is>
          <t>If fish_proddif_1 = 1-8, go to fish_salesmain OR optional question</t>
        </is>
      </c>
      <c r="P140" s="161" t="n"/>
      <c r="Q140" s="148" t="inlineStr">
        <is>
          <t>resp_age = 18-100
hh_agricactivity = 1| 2 | 3 | 4
(income_main_fishcheck = 1) | (income_sec_fishcheck = 1) | (income_third_fishcheck = 1) 
quotareached = 2
fish_proddif_1 = 1</t>
        </is>
      </c>
      <c r="R140" s="149" t="n"/>
      <c r="S140" s="172" t="n">
        <v>27.9538459777832</v>
      </c>
      <c r="T140" s="173">
        <f>'Additional information'!$D$19</f>
        <v/>
      </c>
      <c r="U140" s="172">
        <f>S140*T140</f>
        <v/>
      </c>
      <c r="V140" s="59" t="n"/>
      <c r="X140" s="419" t="inlineStr">
        <is>
          <t>yes</t>
        </is>
      </c>
      <c r="Y140" s="680" t="n"/>
      <c r="AB140" s="61" t="n"/>
    </row>
    <row r="141" ht="338.25" customFormat="1" customHeight="1" s="704" thickBot="1">
      <c r="A141" s="327">
        <f>A140+1</f>
        <v/>
      </c>
      <c r="B141" s="192" t="inlineStr">
        <is>
          <t>fish_inputdif</t>
        </is>
      </c>
      <c r="C141" s="191" t="inlineStr">
        <is>
          <t>fish_inputdif_
1) fish_inputdif_bait_feed
2)fish_inputdif_fingerling
3) fish_inputdif_gear
4) fish_inputdif_ice
5) fish_inputdif_fuel
6) fish_inputdif_repairs
7) fish_inputdif_labour
8) fish_inputdif_other 
9)fish_inputdif_dk
10) fish_inputdif_ref</t>
        </is>
      </c>
      <c r="D141" s="140" t="inlineStr">
        <is>
          <t>Which fishing [culture] input material has your household had difficulties accessing in the last 3 months?
[OPERATOR: MULTIPLE RESPONSE POSSIBLE.]
1)Feed or bait
2) Net
3)Fishing gear [e.g. rods/hooks/nets]
4)Ice
5)Fuel
6)Equipment repairs [including boats] or spare parts
7)Labour
8)Other [specify]
9)DON'T KNOW
10)REFUSED</t>
        </is>
      </c>
      <c r="E141" s="630">
        <f>LEN(D141)</f>
        <v/>
      </c>
      <c r="F141" s="360" t="inlineStr">
        <is>
          <t>လွန်ခဲ့​သော ၃လ အတွင်း သင်အိမ်​ထောင်စု သည် မည့်သည့် ငါးလုပ်ငန်းတွင်လိုအပ်​သော ပစ္စည်း သို့ သွင်းအားစုများ ရရှိနိုင်ရန် အခက်အခဲများ ကြုံရပါသလား
[အော်ပရေတာ - အဖြေအများအပြား ရှိနိုင်သည်။]
1)ငါးစာ
2)ပိုက်ကွန်
3)ငါးဖမ်းကိရိယာ [ကြိုး ငါးဖမ်းချိတ် ငါးဖမ်းပိုက်စသည်ဖြင့်]
4)ရေခဲ
5)လောင်စာဆီ
6)​ငါးဖမ်းကိရိယာများအပါအဝင် လှေနှင့်အခြားဆက်စပ်ပစ္စည်းများ ပြုပြင်ခြင်း
7)လုပ်သား
8)အခြား [အသေးစိတ်ဖော်ပြပါ]
9)မသိပါ
10)ဖြေဆိုရန် ငြင်းဆန်သည်</t>
        </is>
      </c>
      <c r="G141" s="637">
        <f>LEN(F141)</f>
        <v/>
      </c>
      <c r="H141" s="191" t="inlineStr">
        <is>
          <t>Open Ended-Select All That Apply</t>
        </is>
      </c>
      <c r="I141" s="637" t="inlineStr">
        <is>
          <t>NA</t>
        </is>
      </c>
      <c r="J141" s="637" t="inlineStr">
        <is>
          <t>Send if "fish_proddif_2" "Contains" "Access to other fishing or culture inputs [prices higher or not available]" if not satisfied go to "fish_salesmain"</t>
        </is>
      </c>
      <c r="K141" s="637" t="inlineStr">
        <is>
          <t>Form Type - Checklist
9,10 = IsNone</t>
        </is>
      </c>
      <c r="L141" s="199" t="inlineStr">
        <is>
          <t>1)fish_inputdif_bait_feed
2)fish_inputdif_fingerling
3)fish_inputdif_gear
4)fish_inputdif_ice
5)fish_inputdif_fuel
6)fish_inputdif_repairs
7)fish_inputdif_labour
8)fish_inputdif_other 
9)fish_inputdif_dk
10) fish_inputdif_ref</t>
        </is>
      </c>
      <c r="M141" s="161" t="inlineStr">
        <is>
          <t>1-10 = fish_salesmain</t>
        </is>
      </c>
      <c r="N141" s="161" t="n"/>
      <c r="O141" s="161" t="inlineStr">
        <is>
          <t>Asked only to respondents that answered fish_proddif_2 = 4.
if fish_inputdif = 1-9, go to fish_salesmain</t>
        </is>
      </c>
      <c r="P141" s="161" t="n"/>
      <c r="Q141" s="148" t="inlineStr">
        <is>
          <t>resp_age = 18-100
hh_agricactivity = 1| 2 | 3 | 4
(income_main_fishcheck = 1) | (income_sec_fishcheck = 1) | (income_third_fishcheck = 1) 
quotareached = 2
fish_proddif_1 = 1
fish_proddif_2 = 4</t>
        </is>
      </c>
      <c r="R141" s="149" t="n"/>
      <c r="S141" s="127" t="n">
        <v>21.25</v>
      </c>
      <c r="T141" s="173">
        <f>'Additional information'!$D$19</f>
        <v/>
      </c>
      <c r="U141" s="127">
        <f>S141*T141</f>
        <v/>
      </c>
      <c r="V141" s="59" t="n"/>
      <c r="X141" s="419" t="inlineStr">
        <is>
          <t>no</t>
        </is>
      </c>
      <c r="Y141" s="680" t="n"/>
      <c r="AB141" s="61" t="n"/>
    </row>
    <row r="142" ht="19.5" customFormat="1" customHeight="1" s="704" thickBot="1">
      <c r="A142" s="688" t="inlineStr">
        <is>
          <t>F. FISHERIES MARKETING</t>
        </is>
      </c>
      <c r="B142" s="720" t="n"/>
      <c r="C142" s="720" t="n"/>
      <c r="D142" s="720" t="n"/>
      <c r="E142" s="720" t="n"/>
      <c r="F142" s="720" t="n"/>
      <c r="G142" s="720" t="n"/>
      <c r="H142" s="720" t="n"/>
      <c r="I142" s="720" t="n"/>
      <c r="J142" s="720" t="n"/>
      <c r="K142" s="720" t="n"/>
      <c r="L142" s="720" t="n"/>
      <c r="M142" s="720" t="n"/>
      <c r="N142" s="720" t="n"/>
      <c r="O142" s="720" t="n"/>
      <c r="P142" s="720" t="n"/>
      <c r="Q142" s="720" t="n"/>
      <c r="R142" s="721" t="n"/>
      <c r="S142" s="127" t="n"/>
      <c r="T142" s="173" t="n"/>
      <c r="U142" s="127" t="n"/>
      <c r="V142" s="59" t="n"/>
      <c r="X142" s="63" t="n"/>
      <c r="Y142" s="680" t="n"/>
      <c r="AB142" s="61" t="n"/>
    </row>
    <row r="143" ht="261.95" customFormat="1" customHeight="1" s="704">
      <c r="A143" s="326">
        <f>A141+1</f>
        <v/>
      </c>
      <c r="B143" s="128" t="inlineStr">
        <is>
          <t>fish_salesmain</t>
        </is>
      </c>
      <c r="C143" s="136" t="inlineStr">
        <is>
          <t>fish_salesmain</t>
        </is>
      </c>
      <c r="D143" s="200" t="inlineStr">
        <is>
          <t>What was the main fish product sold by your household in the last 3 months?
[OPERATOR: SINGLE RESPONSE.]
1)Fresh fish [any kind - including invertebrates]
2)Preserved fish [including dry fish/smoked fish/fermented fish/salt fish]
3)Frozen fish
4)Canned fish
5)Other [specify]
6)DON'T KNOW
7)REFUSED</t>
        </is>
      </c>
      <c r="E143" s="631">
        <f>LEN(D143)</f>
        <v/>
      </c>
      <c r="F143" s="360" t="inlineStr">
        <is>
          <t>လွန်ခဲ့သော 3 လအတွင်း လူကြီးမင်း၏အိမ်ထောင်စုမှ အဓိကရောင်းချခဲ့သော ငါးထုတ်ကုန်က ဘာပါလဲ။
[အော်ပရေတာ- တုံ့ပြန်မှုတစ်ခုသာ။]
1)လတ်ဆတ်သောငါး [မည်သည့်အမျိုးအစားမဆို]
2)ငါးခြောက် [မည်သည့်အမျိုးအစားမဆို]
3)ငါးကျပ်တိုက်
4)ပင်လယ်စာ [မည်သည့်အမျိုးအစားမဆို]
5)အခြား [အသေးစိတ်ဖော်ပြပါ]
6)မသိပါ
7)ဖြေဆိုရန် ငြင်းဆန်သည်</t>
        </is>
      </c>
      <c r="G143" s="631">
        <f>LEN(F143)</f>
        <v/>
      </c>
      <c r="H143" s="698" t="inlineStr">
        <is>
          <t>Open Ended-Single Choice</t>
        </is>
      </c>
      <c r="I143" s="631" t="inlineStr">
        <is>
          <t>NA</t>
        </is>
      </c>
      <c r="J143" s="631" t="inlineStr">
        <is>
          <t>NA</t>
        </is>
      </c>
      <c r="K143" s="631" t="inlineStr">
        <is>
          <t>Form Type - RadioList
IsDemographic</t>
        </is>
      </c>
      <c r="L143" s="632" t="inlineStr">
        <is>
          <t>NA</t>
        </is>
      </c>
      <c r="M143" s="471" t="inlineStr">
        <is>
          <t>1-5 = fish_salesdif
6-7 = fies</t>
        </is>
      </c>
      <c r="N143" s="471" t="n"/>
      <c r="O143" s="472" t="inlineStr">
        <is>
          <t>if fish_salesmain = 1-5, go to fish_salesdif_1
if fish_salesmain = 6-7, go to fies</t>
        </is>
      </c>
      <c r="P143" s="473" t="n"/>
      <c r="Q143" s="474" t="inlineStr">
        <is>
          <t>resp_age = 18-100
hh_agricactivity = 1 | 2 | 3 | 4
quotareached = 2
(income_main = 5 | income_sec = 5 | income_third = 5)</t>
        </is>
      </c>
      <c r="R143" s="135" t="n"/>
      <c r="S143" s="172" t="n">
        <v>14.38495540618896</v>
      </c>
      <c r="T143" s="173">
        <f>'Additional information'!$D$19</f>
        <v/>
      </c>
      <c r="U143" s="172">
        <f>S143*T143</f>
        <v/>
      </c>
      <c r="V143" s="59" t="n"/>
      <c r="X143" s="419" t="inlineStr">
        <is>
          <t>yes</t>
        </is>
      </c>
      <c r="Y143" s="680" t="n"/>
      <c r="AB143" s="61" t="n"/>
    </row>
    <row r="144" ht="197.45" customFormat="1" customHeight="1" s="704">
      <c r="A144" s="327">
        <f>A143+1</f>
        <v/>
      </c>
      <c r="B144" s="630" t="inlineStr">
        <is>
          <t>fish_salesdif</t>
        </is>
      </c>
      <c r="C144" s="630" t="inlineStr">
        <is>
          <t>fish_salesdif</t>
        </is>
      </c>
      <c r="D144" s="137" t="inlineStr">
        <is>
          <t>Has your household faced any difficulty in the last 3 months in selling your {fish_salesmain}?
[OPERATOR: SINGLE RESPONSE]
1)YES
2)NO
3)DON'T KNOW
4)REFUSED</t>
        </is>
      </c>
      <c r="E144" s="630">
        <f>LEN(D144)</f>
        <v/>
      </c>
      <c r="F144" s="641" t="inlineStr">
        <is>
          <t>လူကြီးမင်း၏အိမ်ထောင်စုသည် လွန်ခဲ့သော 3 လအတွင်း {fish_salesmain} ကို ရောင်းချရန် အခက်အခဲရှိခဲ့ပါသလား။
[အော်ပရေတာ- တုံ့ပြန်မှုတစ်ခုသာ]
1)ဟုတ်
2)မဟုတ်
3)မသိပါ
4)ဖြေဆိုရန် ငြင်းဆန်သည်</t>
        </is>
      </c>
      <c r="G144" s="630">
        <f>LEN(F144)</f>
        <v/>
      </c>
      <c r="H144" s="144" t="inlineStr">
        <is>
          <t>Single Choice</t>
        </is>
      </c>
      <c r="I144" s="630" t="inlineStr">
        <is>
          <t>NA</t>
        </is>
      </c>
      <c r="J144" s="630" t="inlineStr">
        <is>
          <t>NA</t>
        </is>
      </c>
      <c r="K144" s="630" t="inlineStr">
        <is>
          <t>Form Type - Buttons</t>
        </is>
      </c>
      <c r="L144" s="225" t="inlineStr">
        <is>
          <t>NA</t>
        </is>
      </c>
      <c r="M144" s="145" t="inlineStr">
        <is>
          <t>1 = fish_salesdif_2
2-4 = fish_salesprice</t>
        </is>
      </c>
      <c r="N144" s="455" t="n"/>
      <c r="O144" s="239" t="inlineStr">
        <is>
          <t>if fish_salesdif_1 = 1, go to fish_salesdif ;
if fish_salesdif_1 = 2-4, go to fish_salesprice</t>
        </is>
      </c>
      <c r="P144" s="475" t="n"/>
      <c r="Q144" s="474" t="inlineStr">
        <is>
          <t>resp_age = 18-100
hh_agricactivity = 1 | 2 | 3 | 4
quotareached = 2
(income_main = 5 | income_sec = 5 | income_third = 5)</t>
        </is>
      </c>
      <c r="R144" s="149" t="n"/>
      <c r="S144" s="172" t="n">
        <v>9.438053131103516</v>
      </c>
      <c r="T144" s="173">
        <f>'Additional information'!$D$19</f>
        <v/>
      </c>
      <c r="U144" s="172">
        <f>S144*T144</f>
        <v/>
      </c>
      <c r="V144" s="59" t="n"/>
      <c r="X144" s="63" t="inlineStr">
        <is>
          <t>yes</t>
        </is>
      </c>
      <c r="Y144" s="680" t="n"/>
      <c r="AB144" s="61" t="n"/>
    </row>
    <row r="145" ht="409.5" customFormat="1" customHeight="1" s="704">
      <c r="A145" s="327">
        <f>A144+1</f>
        <v/>
      </c>
      <c r="B145" s="203" t="inlineStr">
        <is>
          <t>fish_salesdif_2</t>
        </is>
      </c>
      <c r="C145" s="13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5" s="137" t="inlineStr">
        <is>
          <t>Which difficulties has your household faced in the last 3 months in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5" s="630">
        <f>LEN(D145)</f>
        <v/>
      </c>
      <c r="F145" s="360" t="inlineStr">
        <is>
          <t>လွန်ခဲ့သော 3 လအတွင်း လူကြီးမင်း၏အိမ်ထောင်စုသည် {fish_salesmain} ကို ရောင်းချရန် မည်သည့်အခက်အခဲများနှင့် ကြုံတွေ့ခဲ့ရပါသလဲ။
[အော်ပရေတာ - အဖြေအများအပြား ရှိနိုင်သည်။ ဖြေဆိုသူများပေးသော သတင်းအချက်အလက်များနှင့် အကိုက်ညီဆုံး‌အရာ(များ) ကိုရွေးချယ်ပါ။]
1)စျေးကွက်ကုန်ကျစရိတ် မြင့်မားခြင်း [ဥပမာ - သယ်ယူပို့ဆောင်ရေးစရိတ် / လောင်စာဆီစရိတ် / စသည်]
2)သိုလှောင်မှုအခက်အခဲနှင့်/သို့မဟုတ် စျေးကွက်ဝင်ရောက်ရန်အခက်အခဲကြောင့် ပျက်စီးဆုံးရှုံးမှုများ [ဥပမာ။ မလုံခြုံမှု၊ အခြေခံအဆောက်အအုံ ညံ့ဖျင်းမှု စသဖြင့်]
3)ပုံမှန်ကုန်သည်များ သို့မဟုတ် ဝယ်သူများထံမှ ဝယ်လိုအားမရှိခြင်း။
4)ကုန်သည် / ဝယ်သူများထံမှငွေပေးချေမှုနှောင့်နှေးခြင်း။
5) ရောင်းစျေးအလွန်ကျဆင်းခြင်း [ဥပမာ။ သွင်းအားစုစျေးနှုန်းများ / ငွေကြေးဖောင်းပွမှုနှိုင်းယှဉ်]
6)ကုန်ပစ္စည်းထုတ်လုပ်ရန် အခက်အခဲများ [သွင်းအားစုများ / စက်ကိရိယာများ / စသည် မရရှိနိုင်ခြင်း]
7)ပစ္စည်းထုတ်လုပ်မှုများခြင်း [သို့] ဝယ်လိုအားနည်းခြင်းကြောင့် ‌
ဈေးကွက်တွင် ပစ္စည်းအများအပြားရှိနေသည်။
8)အခြား [အသေးစိတ်ဖော်ပြပါ]
9)မသိပါ
10)ဖြေဆိုရန် ငြင်းဆန်သည်</t>
        </is>
      </c>
      <c r="G145" s="630">
        <f>LEN(F145)</f>
        <v/>
      </c>
      <c r="H145" s="136" t="inlineStr">
        <is>
          <t xml:space="preserve">Select All That Apply </t>
        </is>
      </c>
      <c r="I145" s="476" t="inlineStr">
        <is>
          <t>NA</t>
        </is>
      </c>
      <c r="J145" s="476" t="inlineStr">
        <is>
          <t>NA</t>
        </is>
      </c>
      <c r="K145" s="354" t="inlineStr">
        <is>
          <t>Form Type - Checklist
9,10 = IsNone</t>
        </is>
      </c>
      <c r="L145" s="198" t="inlineStr">
        <is>
          <t>1)fish_saledif_marketing_cost
2)fish_saledif_damage_losses
3)fish_saledif_low_demand
4)fish_saledif_pay_delay
5)fish_saledif_low_prices
6)fish_saledif_processing
7)fish_saledif_competition
8)fish_saledif_other
9)fish_saledif_dk
10)fish_saledif_ref</t>
        </is>
      </c>
      <c r="M145" s="145" t="inlineStr">
        <is>
          <t>1-10 = fish_salesprice</t>
        </is>
      </c>
      <c r="N145" s="183" t="n"/>
      <c r="O145" s="183" t="inlineStr">
        <is>
          <t>if fish_salesdif = 1-8, go to fish_salesprice</t>
        </is>
      </c>
      <c r="P145" s="477" t="n"/>
      <c r="Q145" s="148" t="inlineStr">
        <is>
          <t>resp_age = 18-100
hh_agricactivity = 1 | 2 | 3 | 4
quotareached = 2
(income_main = 5 | income_sec = 5 | income_third = 5)
fish_salesdif_1 = 1</t>
        </is>
      </c>
      <c r="R145" s="149" t="n"/>
      <c r="S145" s="172" t="n">
        <v>27.76699066162109</v>
      </c>
      <c r="T145" s="173">
        <f>'Additional information'!$D$19</f>
        <v/>
      </c>
      <c r="U145" s="172">
        <f>S145*T145</f>
        <v/>
      </c>
      <c r="V145" s="59" t="n"/>
      <c r="X145" s="419" t="inlineStr">
        <is>
          <t>yes</t>
        </is>
      </c>
      <c r="Y145" s="680" t="n"/>
      <c r="AB145" s="61" t="inlineStr">
        <is>
          <t>Change in option 2</t>
        </is>
      </c>
    </row>
    <row r="146" ht="277.5" customFormat="1" customHeight="1" s="704" thickBot="1">
      <c r="A146" s="478">
        <f>A145+1</f>
        <v/>
      </c>
      <c r="B146" s="180" t="inlineStr">
        <is>
          <t>fish_salesprice</t>
        </is>
      </c>
      <c r="C146" s="189" t="inlineStr">
        <is>
          <t>fish_salesprice</t>
        </is>
      </c>
      <c r="D146" s="420"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46" s="181">
        <f>LEN(D146)</f>
        <v/>
      </c>
      <c r="F146" s="360" t="inlineStr">
        <is>
          <t>လူကြီးမင်းအိမ်ထောင်စု၏ {fish_salesmain} လက်ရှိရောင်းဈေးသည် ကာလတူဖြစ်သည့်လွန်ခဲ့သော 5 နှစ်အတွင်း ပျမ်းမျှစျေးနှုန်းနှင့်နှိင်းယှဉ်ပါက ဘယ်လိုရှိပါသလဲ။ ...ဟု ပြောနိုင်ပါသလား
[အော်ပရေတာ- တုံ့ပြန်မှုတစ်ခုသာ။ အဓိကထုတ်ကုန်ကို ဖော်ပြရန် တိုက်တွန်းပါ။]
1)အလွန်တိုးလာသည် [50% အထက် တိုးလာသည်]
2)တိုးလာသည်
3)တူညီသည်
4)ပို၍နည်းသည်
5)အလွန်နည်းသည် [ထက်ဝက်စာမျှ နည်းသည်]
6)မသိပါ
7)ဖြေဆိုရန် ငြင်းဆန်သည်</t>
        </is>
      </c>
      <c r="G146" s="181">
        <f>LEN(F146)</f>
        <v/>
      </c>
      <c r="H146" s="699" t="inlineStr">
        <is>
          <t>Single Choice</t>
        </is>
      </c>
      <c r="I146" s="181" t="inlineStr">
        <is>
          <t>NA</t>
        </is>
      </c>
      <c r="J146" s="181" t="inlineStr">
        <is>
          <t>NA</t>
        </is>
      </c>
      <c r="K146" s="181" t="inlineStr">
        <is>
          <t>Form Type - Buttons</t>
        </is>
      </c>
      <c r="L146" s="226" t="inlineStr">
        <is>
          <t>NA</t>
        </is>
      </c>
      <c r="M146" s="183" t="inlineStr">
        <is>
          <t>1-7 = fies</t>
        </is>
      </c>
      <c r="N146" s="183" t="n"/>
      <c r="O146" s="183" t="inlineStr">
        <is>
          <t>if fish_salesprice = 1-7, go to fies</t>
        </is>
      </c>
      <c r="P146" s="477" t="n"/>
      <c r="Q146" s="474" t="inlineStr">
        <is>
          <t>resp_age = 18-100
hh_agricactivity = 1 | 2 | 3 | 4
quotareached = 2
(income_main = 5 | income_sec = 5 | income_third = 5)</t>
        </is>
      </c>
      <c r="R146" s="149" t="n"/>
      <c r="S146" s="172" t="n">
        <v>13.7057523727417</v>
      </c>
      <c r="T146" s="173">
        <f>'Additional information'!$D$19</f>
        <v/>
      </c>
      <c r="U146" s="172">
        <f>S146*T146</f>
        <v/>
      </c>
      <c r="V146" s="59" t="n"/>
      <c r="X146" s="419" t="inlineStr">
        <is>
          <t>yes</t>
        </is>
      </c>
      <c r="Y146" s="680" t="n"/>
      <c r="AB146" s="64" t="inlineStr">
        <is>
          <t xml:space="preserve">Change in options 2 and 4 wording (col D) </t>
        </is>
      </c>
    </row>
    <row r="147" ht="19.5" customFormat="1" customHeight="1" s="704" thickBot="1">
      <c r="A147" s="694" t="inlineStr">
        <is>
          <t>G. FOOD SECURITY AND CONSUMPTION</t>
        </is>
      </c>
      <c r="B147" s="720" t="n"/>
      <c r="C147" s="720" t="n"/>
      <c r="D147" s="720" t="n"/>
      <c r="E147" s="720" t="n"/>
      <c r="F147" s="720" t="n"/>
      <c r="G147" s="720" t="n"/>
      <c r="H147" s="720" t="n"/>
      <c r="I147" s="720" t="n"/>
      <c r="J147" s="720" t="n"/>
      <c r="K147" s="720" t="n"/>
      <c r="L147" s="720" t="n"/>
      <c r="M147" s="720" t="n"/>
      <c r="N147" s="720" t="n"/>
      <c r="O147" s="720" t="n"/>
      <c r="P147" s="720" t="n"/>
      <c r="Q147" s="720" t="n"/>
      <c r="R147" s="721" t="n"/>
      <c r="S147" s="127" t="n"/>
      <c r="T147" s="123" t="n"/>
      <c r="U147" s="127" t="n"/>
      <c r="V147" s="59" t="n"/>
      <c r="X147" s="63" t="n"/>
      <c r="Y147" s="680" t="n"/>
      <c r="AB147" s="61" t="n"/>
    </row>
    <row r="148" ht="189" customFormat="1" customHeight="1" s="704">
      <c r="A148" s="326">
        <f>A146+1</f>
        <v/>
      </c>
      <c r="B148" s="128" t="inlineStr">
        <is>
          <t>fies</t>
        </is>
      </c>
      <c r="C148" s="136" t="inlineStr">
        <is>
          <t>fies_intro</t>
        </is>
      </c>
      <c r="D148" s="129"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48" s="631">
        <f>LEN(D148)</f>
        <v/>
      </c>
      <c r="F148" s="296" t="inlineStr">
        <is>
          <t>ယခု လူကြီးမင်းတို့ကို အစားအစာစားသုံးမှု၊ အစားအစာအသုံးချမှု၊ ကိုင်တွယ်ဖြေရှင်းခြင်းယန္တရားများနှင့်ပတ်သက်၍ မေးခွန်းအချို့ မေးမြန်းလိုပါသည်။ အဓိကမေးခွန်း 3 ခုရှိပါလိမ့်မည်။ လွန်ခဲ့သော ရက်ပေါင်း 30 အတွင်း ကြုံတွေ့ခဲ့ရသောအတွေ့အကြုံများနှင့်ဆက်စပ်၍ ဤမေးခွန်းများသည်ပထမတွဲဖြစ်ပါသည်။ 
[အော်ပရေတာ- တုံ့ပြန်မှုတစ်ခုသာ]
1)နောက်ထပ်</t>
        </is>
      </c>
      <c r="G148" s="631">
        <f>LEN(F148)</f>
        <v/>
      </c>
      <c r="H148" s="698" t="inlineStr">
        <is>
          <t>Single Choice</t>
        </is>
      </c>
      <c r="I148" s="631" t="inlineStr">
        <is>
          <t>NA</t>
        </is>
      </c>
      <c r="J148" s="631" t="inlineStr">
        <is>
          <t>NA</t>
        </is>
      </c>
      <c r="K148" s="631" t="inlineStr">
        <is>
          <t>Form Type - Buttons</t>
        </is>
      </c>
      <c r="L148" s="632" t="inlineStr">
        <is>
          <t>NA</t>
        </is>
      </c>
      <c r="M148" s="131" t="inlineStr">
        <is>
          <t>1 = fies_worried</t>
        </is>
      </c>
      <c r="N148" s="131" t="n"/>
      <c r="O148" s="131" t="inlineStr">
        <is>
          <t>if fies = 1, go to fies_worried</t>
        </is>
      </c>
      <c r="P148" s="633" t="n"/>
      <c r="Q148" s="134" t="inlineStr">
        <is>
          <t>resp_age = 18-100
hh_agricactivity = 1 | 2 | 3 | 4
quotareached = 2</t>
        </is>
      </c>
      <c r="R148" s="479" t="n"/>
      <c r="S148" s="172" t="n">
        <v>12.77690315246582</v>
      </c>
      <c r="T148" s="173" t="n">
        <v>1</v>
      </c>
      <c r="U148" s="172">
        <f>S148*T148</f>
        <v/>
      </c>
      <c r="V148" s="59" t="n"/>
      <c r="X148" s="419" t="inlineStr">
        <is>
          <t>yes</t>
        </is>
      </c>
      <c r="Y148" s="680" t="n"/>
      <c r="AB148" s="61" t="n"/>
    </row>
    <row r="149" ht="228" customFormat="1" customHeight="1" s="704">
      <c r="A149" s="327">
        <f>A148+1</f>
        <v/>
      </c>
      <c r="B149" s="203" t="inlineStr">
        <is>
          <t>fies_worried</t>
        </is>
      </c>
      <c r="C149" s="136" t="inlineStr">
        <is>
          <t>fies_worried</t>
        </is>
      </c>
      <c r="D149" s="197" t="inlineStr">
        <is>
          <t>During the last 30 days, was there a time when you or others in your household were worried about not having enough food to eat because of lack of money or other resources?
[OPERATOR: SINGLE RESPONSE]
1)YES
2)NO
3)DON'T KNOW
4)REFUSED</t>
        </is>
      </c>
      <c r="E149" s="630">
        <f>LEN(D149)</f>
        <v/>
      </c>
      <c r="F149" s="641" t="inlineStr">
        <is>
          <t>လွန်ခဲ့သောရက်ပေါင်း 30 အတွင်း လူကြီးမင်း သို့မဟုတ် လူကြီးမင်း၏အိမ်ထောင်စုရှိအခြားသူများသည် ငွေကြေး သို့မဟုတ် အခြားသော အရင်းအမြစ်များပြတ်လတ်မှုကြောင့် အစာမလုံလောက်ခြင်းအတွက် စိုးရိမ်ပူပန်ရသည့်အချိန် ရှိခဲ့ပါသလား။
[အော်ပရေတာ- တုံ့ပြန်မှုတစ်ခုသာ]
1)ဟုတ်
2)မဟုတ်
3)မသိပါ
4)ဖြေဆိုရန် ငြင်းဆန်သည်</t>
        </is>
      </c>
      <c r="G149" s="630">
        <f>LEN(F149)</f>
        <v/>
      </c>
      <c r="H149" s="144" t="inlineStr">
        <is>
          <t>Single Choice</t>
        </is>
      </c>
      <c r="I149" s="630" t="inlineStr">
        <is>
          <t>NA</t>
        </is>
      </c>
      <c r="J149" s="630" t="inlineStr">
        <is>
          <t>NA</t>
        </is>
      </c>
      <c r="K149" s="630" t="inlineStr">
        <is>
          <t>Form Type - Buttons</t>
        </is>
      </c>
      <c r="L149" s="225" t="inlineStr">
        <is>
          <t>NA</t>
        </is>
      </c>
      <c r="M149" s="145" t="inlineStr">
        <is>
          <t>1-4 = fies_healthy</t>
        </is>
      </c>
      <c r="N149" s="211" t="n"/>
      <c r="O149" s="232" t="inlineStr">
        <is>
          <t>if fies_worried = 1-4, go to fies_healthy</t>
        </is>
      </c>
      <c r="P149" s="240" t="n"/>
      <c r="Q149" s="148" t="inlineStr">
        <is>
          <t>resp_age = 18-100
hh_agricactivity = 1 | 2 | 3 | 4
quotareached = 2</t>
        </is>
      </c>
      <c r="R149" s="149" t="n"/>
      <c r="S149" s="172" t="n">
        <v>21.39860534667969</v>
      </c>
      <c r="T149" s="173" t="n">
        <v>1</v>
      </c>
      <c r="U149" s="172">
        <f>S149*T149</f>
        <v/>
      </c>
      <c r="V149" s="59" t="n"/>
      <c r="X149" s="63" t="inlineStr">
        <is>
          <t>yes</t>
        </is>
      </c>
      <c r="Y149" s="680" t="n"/>
      <c r="AB149" s="61" t="n"/>
    </row>
    <row r="150" ht="231" customFormat="1" customHeight="1" s="704">
      <c r="A150" s="327">
        <f>A149+1</f>
        <v/>
      </c>
      <c r="B150" s="203" t="inlineStr">
        <is>
          <t>fies_healthy</t>
        </is>
      </c>
      <c r="C150" s="136" t="inlineStr">
        <is>
          <t>fies_healthy</t>
        </is>
      </c>
      <c r="D150" s="197" t="inlineStr">
        <is>
          <t>During the last 30 days, was there a time when you or others in your household were unable to eat healthy and nutritious food because of lack of money or other resources?
[OPERATOR: SINGLE RESPONSE]
1)YES
2)NO
3)DON'T KNOW
4)REFUSED</t>
        </is>
      </c>
      <c r="E150" s="630">
        <f>LEN(D150)</f>
        <v/>
      </c>
      <c r="F150" s="641" t="inlineStr">
        <is>
          <t>လွန်ခဲ့သောရက်ပေါင်း 30 အတွင်း လူကြီးမင်း သို့မဟုတ် လူကြီးမင်း၏အိမ်ထောင်စုမှ အခြားသူများသည် ငွေကြေး သို့မဟုတ် အခြားသော အရင်းအမြစ်များ ပြတ်လတ်မှုကြောင့် ကျန်းမာ၍အာဟာရရှိသောအစာကို မစားနိုင်သည့်အချိန် ရှိခဲ့ပါသလား။
[အော်ပရေတာ- တုံ့ပြန်မှုတစ်ခုသာ]
1)ဟုတ်
2)မဟုတ်
3)မသိပါ
4)ဖြေဆိုရန် ငြင်းဆန်သည်</t>
        </is>
      </c>
      <c r="G150" s="630">
        <f>LEN(F150)</f>
        <v/>
      </c>
      <c r="H150" s="144" t="inlineStr">
        <is>
          <t>Single Choice</t>
        </is>
      </c>
      <c r="I150" s="630" t="inlineStr">
        <is>
          <t>NA</t>
        </is>
      </c>
      <c r="J150" s="630" t="inlineStr">
        <is>
          <t>NA</t>
        </is>
      </c>
      <c r="K150" s="630" t="inlineStr">
        <is>
          <t>Form Type - Buttons</t>
        </is>
      </c>
      <c r="L150" s="225" t="inlineStr">
        <is>
          <t>NA</t>
        </is>
      </c>
      <c r="M150" s="145" t="inlineStr">
        <is>
          <t>1-4 = fies_fewfoods</t>
        </is>
      </c>
      <c r="N150" s="211" t="n"/>
      <c r="O150" s="232" t="inlineStr">
        <is>
          <t>if fies_healthy = 1-4, go to fies_fewfoods</t>
        </is>
      </c>
      <c r="P150" s="240" t="n"/>
      <c r="Q150" s="148" t="inlineStr">
        <is>
          <t>resp_age = 18-100
hh_agricactivity = 1 | 2 | 3 | 4
quotareached = 2</t>
        </is>
      </c>
      <c r="R150" s="149" t="n"/>
      <c r="S150" s="172" t="n">
        <v>14.98074054718018</v>
      </c>
      <c r="T150" s="173" t="n">
        <v>1</v>
      </c>
      <c r="U150" s="172">
        <f>S150*T150</f>
        <v/>
      </c>
      <c r="V150" s="59" t="n"/>
      <c r="X150" s="63" t="inlineStr">
        <is>
          <t>yes</t>
        </is>
      </c>
      <c r="Y150" s="680" t="n"/>
      <c r="AB150" s="61" t="n"/>
    </row>
    <row r="151" ht="232.5" customFormat="1" customHeight="1" s="704">
      <c r="A151" s="327">
        <f>A150+1</f>
        <v/>
      </c>
      <c r="B151" s="203" t="inlineStr">
        <is>
          <t>fies_fewfoods</t>
        </is>
      </c>
      <c r="C151" s="136" t="inlineStr">
        <is>
          <t>fies_fewfoods</t>
        </is>
      </c>
      <c r="D151" s="197" t="inlineStr">
        <is>
          <t>During the last 30 days, was there a time when you or others in your household ate only a few kinds of foods because of lack of money or other resources?
[OPERATOR: SINGLE RESPONSE]
1)YES
2)NO
3)DON'T KNOW
4)REFUSED</t>
        </is>
      </c>
      <c r="E151" s="630">
        <f>LEN(D151)</f>
        <v/>
      </c>
      <c r="F151" s="641" t="inlineStr">
        <is>
          <t>လွန်ခဲ့သောရက်ပေါင်း 30 အတွင်း လူကြီးမင်း သို့မဟုတ် လူကြီးမင်း၏အိမ်ထောင်စုမှ အခြားသူများသည် ငွေကြေး သို့မဟုတ် အခြားသော အရင်းအမြစ်များ ပြတ်လတ်မှုကြောင့် အစားအစာအနည်းငယ်ကိုသာ စားခဲ့ရသည့်အချိန် ရှိခဲ့ပါသလား။
[အော်ပရေတာ- တုံ့ပြန်မှုတစ်ခုသာ]
1)ဟုတ်
2)မဟုတ်
3)မသိပါ
4)ဖြေဆိုရန် ငြင်းဆန်သည်</t>
        </is>
      </c>
      <c r="G151" s="630">
        <f>LEN(F151)</f>
        <v/>
      </c>
      <c r="H151" s="144" t="inlineStr">
        <is>
          <t>Single Choice</t>
        </is>
      </c>
      <c r="I151" s="630" t="inlineStr">
        <is>
          <t>NA</t>
        </is>
      </c>
      <c r="J151" s="630" t="inlineStr">
        <is>
          <t>NA</t>
        </is>
      </c>
      <c r="K151" s="630" t="inlineStr">
        <is>
          <t>Form Type - Buttons</t>
        </is>
      </c>
      <c r="L151" s="225" t="inlineStr">
        <is>
          <t>NA</t>
        </is>
      </c>
      <c r="M151" s="145" t="inlineStr">
        <is>
          <t>1-4 = fies_skipped</t>
        </is>
      </c>
      <c r="N151" s="211" t="n"/>
      <c r="O151" s="232" t="inlineStr">
        <is>
          <t>if fies_fewfoods = 1-4, go to fies_skipped</t>
        </is>
      </c>
      <c r="P151" s="240" t="n"/>
      <c r="Q151" s="148" t="inlineStr">
        <is>
          <t>resp_age = 18-100
hh_agricactivity = 1 | 2 | 3 | 4
quotareached = 2</t>
        </is>
      </c>
      <c r="R151" s="149" t="n"/>
      <c r="S151" s="172" t="n">
        <v>13.72302150726318</v>
      </c>
      <c r="T151" s="173" t="n">
        <v>1</v>
      </c>
      <c r="U151" s="172">
        <f>S151*T151</f>
        <v/>
      </c>
      <c r="V151" s="59" t="n"/>
      <c r="X151" s="63" t="inlineStr">
        <is>
          <t>yes</t>
        </is>
      </c>
      <c r="Y151" s="680" t="n"/>
      <c r="AB151" s="61" t="n"/>
    </row>
    <row r="152" ht="206.25" customFormat="1" customHeight="1" s="704">
      <c r="A152" s="327">
        <f>A151+1</f>
        <v/>
      </c>
      <c r="B152" s="203" t="inlineStr">
        <is>
          <t>fies_skipped</t>
        </is>
      </c>
      <c r="C152" s="136" t="inlineStr">
        <is>
          <t>fies_skipped</t>
        </is>
      </c>
      <c r="D152" s="197" t="inlineStr">
        <is>
          <t>During the last 30 days, was there a time when you or others in your household had to skip a meal because of lack of money or other resources to get food?
[OPERATOR: SINGLE RESPONSE]
1)YES
2)NO
3)DON'T KNOW
4)REFUSED</t>
        </is>
      </c>
      <c r="E152" s="630">
        <f>LEN(D152)</f>
        <v/>
      </c>
      <c r="F152" s="641" t="inlineStr">
        <is>
          <t>လွန်ခဲ့သောရက်ပေါင်း 30 အတွင်း လူကြီးမင်း သို့မဟုတ် လူကြီးမင်း၏အိမ်ထောင်စုမှ အခြားသူများသည် ငွေကြေး သို့မဟုတ် အခြားသော အရင်းအမြစ်များ ပြတ်လတ်မှုကြောင့် အစာမစားရသည့်အချိန် ရှိခဲ့ပါသလား။
[အော်ပရေတာ- တုံ့ပြန်မှုတစ်ခုသာ]
1)ဟုတ်
2)မဟုတ်
3)မသိပါ
4)ဖြေဆိုရန် ငြင်းဆန်သည်</t>
        </is>
      </c>
      <c r="G152" s="630">
        <f>LEN(F152)</f>
        <v/>
      </c>
      <c r="H152" s="144" t="inlineStr">
        <is>
          <t>Single Choice</t>
        </is>
      </c>
      <c r="I152" s="630" t="inlineStr">
        <is>
          <t>NA</t>
        </is>
      </c>
      <c r="J152" s="630" t="inlineStr">
        <is>
          <t>NA</t>
        </is>
      </c>
      <c r="K152" s="630" t="inlineStr">
        <is>
          <t>Form Type - Buttons</t>
        </is>
      </c>
      <c r="L152" s="225" t="inlineStr">
        <is>
          <t>NA</t>
        </is>
      </c>
      <c r="M152" s="145" t="inlineStr">
        <is>
          <t>1-4 = fies_ateless</t>
        </is>
      </c>
      <c r="N152" s="211" t="n"/>
      <c r="O152" s="145" t="inlineStr">
        <is>
          <t>if fies_skipped = 1-4, go to fies_ateless</t>
        </is>
      </c>
      <c r="P152" s="161" t="n"/>
      <c r="Q152" s="148" t="inlineStr">
        <is>
          <t>resp_age = 18-100
hh_agricactivity = 1 | 2 | 3 | 4
quotareached = 2</t>
        </is>
      </c>
      <c r="R152" s="149" t="n"/>
      <c r="S152" s="172" t="n">
        <v>13.06220054626465</v>
      </c>
      <c r="T152" s="173" t="n">
        <v>1</v>
      </c>
      <c r="U152" s="172">
        <f>S152*T152</f>
        <v/>
      </c>
      <c r="V152" s="59" t="n"/>
      <c r="X152" s="63" t="inlineStr">
        <is>
          <t>yes</t>
        </is>
      </c>
      <c r="Y152" s="680" t="n"/>
      <c r="AB152" s="61" t="n"/>
    </row>
    <row r="153" ht="206.25" customFormat="1" customHeight="1" s="704">
      <c r="A153" s="327">
        <f>A152+1</f>
        <v/>
      </c>
      <c r="B153" s="203" t="inlineStr">
        <is>
          <t>fies_ateless</t>
        </is>
      </c>
      <c r="C153" s="136" t="inlineStr">
        <is>
          <t>fies_ateless</t>
        </is>
      </c>
      <c r="D153" s="197" t="inlineStr">
        <is>
          <t>During the last 30 days, was there a time when you or others in your household ate less than you thought you should because of lack of money or other resources?
[OPERATOR: SINGLE RESPONSE]
1)YES
2)NO
3)DON'T KNOW
4)REFUSED</t>
        </is>
      </c>
      <c r="E153" s="630">
        <f>LEN(D153)</f>
        <v/>
      </c>
      <c r="F153" s="641" t="inlineStr">
        <is>
          <t>လွန်ခဲ့သောရက်ပေါင်း 30 အတွင်း လူကြီးမင်း သို့မဟုတ် လူကြီးမင်း၏အိမ်ထောင်စုမှ အခြားသူများသည် ငွေကြေး သို့မဟုတ် အခြားသော အရင်းအမြစ်များ ပြတ်လတ်မှုကြောင့် မျှော်မှန်းသည်ထက်လျော့နည်းစွာ စားရသည့်အချိန် ရှိခဲ့ပါသလား။
[အော်ပရေတာ- တုံ့ပြန်မှုတစ်ခုသာ]
1)ဟုတ်
2)မဟုတ်
3)မသိပါ
4)ဖြေဆိုရန် ငြင်းဆန်သည်</t>
        </is>
      </c>
      <c r="G153" s="630">
        <f>LEN(F153)</f>
        <v/>
      </c>
      <c r="H153" s="144" t="inlineStr">
        <is>
          <t>Single Choice</t>
        </is>
      </c>
      <c r="I153" s="630" t="inlineStr">
        <is>
          <t>NA</t>
        </is>
      </c>
      <c r="J153" s="630" t="inlineStr">
        <is>
          <t>NA</t>
        </is>
      </c>
      <c r="K153" s="630" t="inlineStr">
        <is>
          <t>Form Type - Buttons</t>
        </is>
      </c>
      <c r="L153" s="225" t="inlineStr">
        <is>
          <t>NA</t>
        </is>
      </c>
      <c r="M153" s="145" t="inlineStr">
        <is>
          <t>1-4 = fies_ranout</t>
        </is>
      </c>
      <c r="N153" s="211" t="n"/>
      <c r="O153" s="145" t="inlineStr">
        <is>
          <t>if fies_ateless = 1-4, go to fies_ranout</t>
        </is>
      </c>
      <c r="P153" s="161" t="n"/>
      <c r="Q153" s="148" t="inlineStr">
        <is>
          <t>resp_age = 18-100
hh_agricactivity = 1 | 2 | 3 | 4
quotareached = 2</t>
        </is>
      </c>
      <c r="R153" s="149" t="n"/>
      <c r="S153" s="172" t="n">
        <v>13.09532356262207</v>
      </c>
      <c r="T153" s="173" t="n">
        <v>1</v>
      </c>
      <c r="U153" s="172">
        <f>S153*T153</f>
        <v/>
      </c>
      <c r="V153" s="59" t="n"/>
      <c r="X153" s="63" t="inlineStr">
        <is>
          <t>yes</t>
        </is>
      </c>
      <c r="Y153" s="680" t="n"/>
      <c r="AB153" s="61" t="n"/>
    </row>
    <row r="154" ht="206.25" customFormat="1" customHeight="1" s="704">
      <c r="A154" s="327">
        <f>A153+1</f>
        <v/>
      </c>
      <c r="B154" s="203" t="inlineStr">
        <is>
          <t>fies_ranout</t>
        </is>
      </c>
      <c r="C154" s="203" t="inlineStr">
        <is>
          <t>fies_ranout</t>
        </is>
      </c>
      <c r="D154" s="341" t="inlineStr">
        <is>
          <t>In the past 30 days, was there ever no food to eat of any kind in your house because of lack of resources to get food?
[OPERATOR: SINGLE RESPONSE]
1)YES
2)NO
3)DON'T KNOW
4)REFUSED</t>
        </is>
      </c>
      <c r="E154" s="630">
        <f>LEN(D154)</f>
        <v/>
      </c>
      <c r="F154" s="641" t="inlineStr">
        <is>
          <t>လွန်ခဲ့သောရက်ပေါင်း 30 အတွင်း လူကြီးမင်း သို့မဟုတ် လူကြီးမင်း၏အိမ်ထောင်စုမှ အခြားသူများသည် ငွေကြေး သို့မဟုတ် အခြားသော အရင်းအမြစ်များ ပြတ်လတ်မှုကြောင့် စားစရာကုန်သွားသည့်အချိန် ရှိခဲ့ပါသလား။
[အော်ပရေတာ- တုံ့ပြန်မှုတစ်ခုသာ]
1)ဟုတ်
2)မဟုတ်
3)မသိပါ
4)ဖြေဆိုရန် ငြင်းဆန်သည်</t>
        </is>
      </c>
      <c r="G154" s="630">
        <f>LEN(F154)</f>
        <v/>
      </c>
      <c r="H154" s="144" t="inlineStr">
        <is>
          <t>Single Choice</t>
        </is>
      </c>
      <c r="I154" s="630" t="inlineStr">
        <is>
          <t>NA</t>
        </is>
      </c>
      <c r="J154" s="630" t="inlineStr">
        <is>
          <t>NA</t>
        </is>
      </c>
      <c r="K154" s="630" t="inlineStr">
        <is>
          <t>Form Type - Buttons</t>
        </is>
      </c>
      <c r="L154" s="225" t="inlineStr">
        <is>
          <t>NA</t>
        </is>
      </c>
      <c r="M154" s="145" t="inlineStr">
        <is>
          <t>1=fies_ranout_hhs
2-4 = fies_hungry</t>
        </is>
      </c>
      <c r="N154" s="211" t="n"/>
      <c r="O154" s="232" t="inlineStr">
        <is>
          <t>if fies_ranout = 1, go to fies_ranout_hhs. Otherwise, go to fies_hungry</t>
        </is>
      </c>
      <c r="P154" s="240" t="n"/>
      <c r="Q154" s="148" t="inlineStr">
        <is>
          <t>resp_age = 18-100
hh_agricactivity = 1 | 2 | 3 | 4
quotareached = 2</t>
        </is>
      </c>
      <c r="R154" s="149" t="n"/>
      <c r="S154" s="172" t="n">
        <v>16.10101918465228</v>
      </c>
      <c r="T154" s="173" t="n">
        <v>1</v>
      </c>
      <c r="U154" s="172">
        <f>S154*T154</f>
        <v/>
      </c>
      <c r="V154" s="59" t="n"/>
      <c r="X154" s="63" t="inlineStr">
        <is>
          <t>yes</t>
        </is>
      </c>
      <c r="Y154" s="680" t="n"/>
      <c r="AB154" s="61" t="inlineStr">
        <is>
          <t>Change question text</t>
        </is>
      </c>
    </row>
    <row r="155" ht="209.1" customFormat="1" customHeight="1" s="311">
      <c r="A155" s="327">
        <f>A154+1</f>
        <v/>
      </c>
      <c r="B155" s="203" t="inlineStr">
        <is>
          <t>fies_ranout_hhs</t>
        </is>
      </c>
      <c r="C155" s="203" t="inlineStr">
        <is>
          <t>fies_ranout_hhs</t>
        </is>
      </c>
      <c r="D155" s="343" t="inlineStr">
        <is>
          <t>How often did this happen?
[OPERATOR: SINGLE RESPONSE]
1)Rarely [1-2 times in the past 30 days]
2)Sometimes [3-10 times in the past 30 days]
3)Often [more than 10 times in the last 30 days]
4)DON'T KNOW
5)REFUSED</t>
        </is>
      </c>
      <c r="E155" s="630">
        <f>LEN(D155)</f>
        <v/>
      </c>
      <c r="F155" s="641" t="inlineStr">
        <is>
          <t>ထိုအဖြစ်အပျက်သည် မည်မျှကြာကြာဖြစ်ပျက်ခဲ့ပါသလဲ။
[အော်ပရေတာ- တုံ့ပြန်မှုတစ်ခုသာ]
1)ဖြစ်ခဲသည် [ပြီးခဲ့သော ရက် 30  အတွင်း တစ်ကြိမ် သို့မဟုတ် နှစ်ကြိမ်]
2)တစ်ခါတစ်ရံ [ပြီးခဲ့သောရက် 30  အတွင်း  3ကြိမ် သို့မဟုတ် 10ကြိမ်]
3)မကြာခဏဆိုသလို [ပြီးခဲ့သော ရက် 30 အတွင်း 10 ကြိမ်ထက်ပိုသည်]
4)မသိပါ
5)ဖြေဆိုရန် ငြင်းဆန်သည်</t>
        </is>
      </c>
      <c r="G155" s="630">
        <f>LEN(F155)</f>
        <v/>
      </c>
      <c r="H155" s="144" t="inlineStr">
        <is>
          <t>Single Choice</t>
        </is>
      </c>
      <c r="I155" s="630" t="inlineStr">
        <is>
          <t>NA</t>
        </is>
      </c>
      <c r="J155" s="630" t="inlineStr">
        <is>
          <t>NA</t>
        </is>
      </c>
      <c r="K155" s="630" t="inlineStr">
        <is>
          <t>Form Type - Buttons</t>
        </is>
      </c>
      <c r="L155" s="225" t="inlineStr">
        <is>
          <t>NA</t>
        </is>
      </c>
      <c r="M155" s="145" t="inlineStr">
        <is>
          <t xml:space="preserve">1-5 = fies_hungry </t>
        </is>
      </c>
      <c r="N155" s="312" t="n"/>
      <c r="O155" s="145" t="inlineStr">
        <is>
          <t>if fies_ranout_hhs = 1-5, go to fies_hungry</t>
        </is>
      </c>
      <c r="P155" s="161" t="n"/>
      <c r="Q155" s="148" t="inlineStr">
        <is>
          <t xml:space="preserve">resp_age = 18-100
hh_agricactivity = 1 | 2 | 3 | 4
quotareached = 2
fies_ranout = 1 </t>
        </is>
      </c>
      <c r="R155" s="149" t="n"/>
      <c r="S155" s="172" t="n">
        <v>11.76504325866699</v>
      </c>
      <c r="T155" s="173" t="n">
        <v>1</v>
      </c>
      <c r="U155" s="172">
        <f>S155*T155</f>
        <v/>
      </c>
      <c r="V155" s="59" t="n"/>
      <c r="X155" s="63" t="inlineStr">
        <is>
          <t>yes</t>
        </is>
      </c>
      <c r="Y155" s="680" t="n"/>
      <c r="AB155" s="61" t="inlineStr">
        <is>
          <t>Change options 1-3</t>
        </is>
      </c>
    </row>
    <row r="156" ht="208.5" customFormat="1" customHeight="1" s="704">
      <c r="A156" s="327">
        <f>A155+1</f>
        <v/>
      </c>
      <c r="B156" s="203" t="inlineStr">
        <is>
          <t>fies_hungry</t>
        </is>
      </c>
      <c r="C156" s="136" t="inlineStr">
        <is>
          <t>fies_hungry</t>
        </is>
      </c>
      <c r="D156" s="341" t="inlineStr">
        <is>
          <t>In the past 30 days, did you or any household member ever go to sleep at night hungry because there was not enough food?
[OPERATOR: SINGLE RESPONSE]
1)YES
2)NO
3)DON'T KNOW
4)REFUSED</t>
        </is>
      </c>
      <c r="E156" s="630">
        <f>LEN(D156)</f>
        <v/>
      </c>
      <c r="F156" s="230" t="inlineStr">
        <is>
          <t>လွန်ခဲ့သောရက်ပေါင်း 30 အတွင်း လူကြီးမင်း သို့မဟုတ် လူကြီးမင်း၏အိမ်ထောင်စုမှ အခြားသူများသည် အစာ ပြတ်လတ်မှုကြောင့် ညဘက် အစာ ဆာ သည့် အချိန် ညအိပ်ရခြင်းများ ရှိခဲ့ပါသလား။
[အော်ပရေတာ- တုံ့ပြန်မှုတစ်ခုသာ]
1)ဟုတ်
2)မဟုတ်
3)မသိပါ
4)ဖြေဆိုရန် ငြင်းဆန်သည်</t>
        </is>
      </c>
      <c r="G156" s="630">
        <f>LEN(F156)</f>
        <v/>
      </c>
      <c r="H156" s="144" t="inlineStr">
        <is>
          <t>Single Choice</t>
        </is>
      </c>
      <c r="I156" s="630" t="inlineStr">
        <is>
          <t>NA</t>
        </is>
      </c>
      <c r="J156" s="630" t="inlineStr">
        <is>
          <t>NA</t>
        </is>
      </c>
      <c r="K156" s="630" t="inlineStr">
        <is>
          <t>Form Type - Buttons</t>
        </is>
      </c>
      <c r="L156" s="225" t="inlineStr">
        <is>
          <t>NA</t>
        </is>
      </c>
      <c r="M156" s="145" t="inlineStr">
        <is>
          <t>1=fies_hungry_hhs
2-4 = fies_whlday</t>
        </is>
      </c>
      <c r="N156" s="211" t="n"/>
      <c r="O156" s="232" t="inlineStr">
        <is>
          <t>if fies_hungry = 1, go to fies_hungry_hhs. Otherwise, go to fies_whlday</t>
        </is>
      </c>
      <c r="P156" s="240" t="n"/>
      <c r="Q156" s="148" t="inlineStr">
        <is>
          <t>resp_age = 18-100
hh_agricactivity = 1 | 2 | 3 | 4
quotareached = 2</t>
        </is>
      </c>
      <c r="R156" s="149" t="n"/>
      <c r="S156" s="172" t="n">
        <v>12.43247890472412</v>
      </c>
      <c r="T156" s="173" t="n">
        <v>1</v>
      </c>
      <c r="U156" s="172">
        <f>S156*T156</f>
        <v/>
      </c>
      <c r="V156" s="59" t="n"/>
      <c r="X156" s="63" t="inlineStr">
        <is>
          <t>yes</t>
        </is>
      </c>
      <c r="Y156" s="680" t="n"/>
      <c r="AB156" s="61" t="inlineStr">
        <is>
          <t>Change question text</t>
        </is>
      </c>
    </row>
    <row r="157" ht="192.95" customFormat="1" customHeight="1" s="319">
      <c r="A157" s="327">
        <f>A156+1</f>
        <v/>
      </c>
      <c r="B157" s="203" t="inlineStr">
        <is>
          <t>fies_hungry_hhs</t>
        </is>
      </c>
      <c r="C157" s="203" t="inlineStr">
        <is>
          <t>fies_hungry_hhs</t>
        </is>
      </c>
      <c r="D157" s="343" t="inlineStr">
        <is>
          <t>How often did this happen?
[OPERATOR: SINGLE RESPONSE]
1)Rarely [1-2 times in the past 30 days]
2)Sometimes [3-10 times in the past 30 days]
3)Often [more than 10 times in the last 30 days]
4)DON'T KNOW
5)REFUSED</t>
        </is>
      </c>
      <c r="E157" s="630">
        <f>LEN(D157)</f>
        <v/>
      </c>
      <c r="F157" s="641" t="inlineStr">
        <is>
          <t>ထိုအဖြစ်အပျက်သည် မည်မျှကြာကြာဖြစ်ပျက်ခဲ့ပါသလဲ။
[အော်ပရေတာ- တုံ့ပြန်မှုတစ်ခုသာ]
1)ဖြစ်ခဲသည် [ပြီးခဲ့သော ရက် 30  အတွင်း တစ်ကြိမ် သို့မဟုတ် နှစ်ကြိမ်]
2)တစ်ခါတစ်ရံ [ပြီးခဲ့သောရက် 30  အတွင်း  3ကြိမ် သို့မဟုတ် 10ကြိမ်]
3)မကြာခဏဆိုသလို [ပြီးခဲ့သော ရက် 30 အတွင်း 10 ကြိမ်ထက်ပိုသည်]
4)မသိပါ
5)ဖြေဆိုရန် ငြင်းဆန်သည်</t>
        </is>
      </c>
      <c r="G157" s="630">
        <f>LEN(F157)</f>
        <v/>
      </c>
      <c r="H157" s="144" t="inlineStr">
        <is>
          <t>Single Choice</t>
        </is>
      </c>
      <c r="I157" s="630" t="inlineStr">
        <is>
          <t>NA</t>
        </is>
      </c>
      <c r="J157" s="630" t="inlineStr">
        <is>
          <t>NA</t>
        </is>
      </c>
      <c r="K157" s="630" t="inlineStr">
        <is>
          <t>Form Type - Buttons</t>
        </is>
      </c>
      <c r="L157" s="225" t="inlineStr">
        <is>
          <t>NA</t>
        </is>
      </c>
      <c r="M157" s="145" t="inlineStr">
        <is>
          <t>1-5 = fies_whlday</t>
        </is>
      </c>
      <c r="N157" s="313" t="n"/>
      <c r="O157" s="313" t="inlineStr">
        <is>
          <t>if fies_hungry_hhs = 1-5, go to fies_whlday</t>
        </is>
      </c>
      <c r="P157" s="323" t="n"/>
      <c r="Q157" s="314" t="inlineStr">
        <is>
          <t xml:space="preserve">resp_age = 18-100
hh_agricactivity = 1 | 2 | 3 | 4
quotareached = 2
fies_hungry = 1 </t>
        </is>
      </c>
      <c r="R157" s="315" t="n"/>
      <c r="S157" s="316" t="n">
        <v>8.980183601379395</v>
      </c>
      <c r="T157" s="317" t="n">
        <v>1</v>
      </c>
      <c r="U157" s="316">
        <f>S157*T157</f>
        <v/>
      </c>
      <c r="V157" s="318" t="n"/>
      <c r="X157" s="324" t="inlineStr">
        <is>
          <t>yes</t>
        </is>
      </c>
      <c r="Y157" s="321" t="n"/>
      <c r="AB157" s="322" t="inlineStr">
        <is>
          <t>Change options 1-3</t>
        </is>
      </c>
    </row>
    <row r="158" ht="221.45" customFormat="1" customHeight="1" s="704">
      <c r="A158" s="327">
        <f>A157+1</f>
        <v/>
      </c>
      <c r="B158" s="180" t="inlineStr">
        <is>
          <t>fies_whlday</t>
        </is>
      </c>
      <c r="C158" s="380" t="inlineStr">
        <is>
          <t>fies_whlday</t>
        </is>
      </c>
      <c r="D158" s="384" t="inlineStr">
        <is>
          <t>In the past 30 days, did you or any household member ever go a whole day and night without eating anything at all because there was not enough food?
[OPERATOR: SINGLE RESPONSE]
1)YES
2)NO
3)DON'T KNOW
4)REFUSED</t>
        </is>
      </c>
      <c r="E158" s="181">
        <f>LEN(D158)</f>
        <v/>
      </c>
      <c r="F158" s="385" t="inlineStr">
        <is>
          <t>လွန်ခဲ့သောရက်ပေါင်း 30 အတွင်း လူကြီးမင်း သို့မဟုတ် လူကြီးမင်း၏အိမ်ထောင်စုမှ အခြားသူများသည် ငွေကြေး သို့မဟုတ် အခြားအရင်းအမြစ်များပြတ်လတ်မှုကြောင့် တစ်နေ့လုံးအစာမစားရသည့်အချိန် ရှိခဲ့ပါသလား။
[အော်ပရေတာ- တုံ့ပြန်မှုတစ်ခုသာ]
1)ဟုတ်
2)မဟုတ်
3)မသိပါ
4)ဖြေဆိုရန် ငြင်းဆန်သည်</t>
        </is>
      </c>
      <c r="G158" s="181">
        <f>LEN(F158)</f>
        <v/>
      </c>
      <c r="H158" s="699" t="inlineStr">
        <is>
          <t>Single Choice</t>
        </is>
      </c>
      <c r="I158" s="181" t="inlineStr">
        <is>
          <t>NA</t>
        </is>
      </c>
      <c r="J158" s="181" t="inlineStr">
        <is>
          <t>NA</t>
        </is>
      </c>
      <c r="K158" s="181" t="inlineStr">
        <is>
          <t>Form Type - Buttons</t>
        </is>
      </c>
      <c r="L158" s="226" t="inlineStr">
        <is>
          <t>NA</t>
        </is>
      </c>
      <c r="M158" s="183" t="inlineStr">
        <is>
          <t>1 = fies_whlday_hhs
2-4 = copingstrategies</t>
        </is>
      </c>
      <c r="N158" s="213" t="n"/>
      <c r="O158" s="239" t="inlineStr">
        <is>
          <t>if fies_whlday = 1, go to fies_whlday_hhs. Otherwise, go to copingstrategies OR hdds</t>
        </is>
      </c>
      <c r="P158" s="240" t="n"/>
      <c r="Q158" s="148" t="inlineStr">
        <is>
          <t>resp_age = 18-100
hh_agricactivity = 1 | 2 | 3 | 4
quotareached = 2</t>
        </is>
      </c>
      <c r="R158" s="149" t="n"/>
      <c r="S158" s="172" t="n">
        <v>11.08932876586914</v>
      </c>
      <c r="T158" s="173" t="n">
        <v>1</v>
      </c>
      <c r="U158" s="172">
        <f>S158*T158</f>
        <v/>
      </c>
      <c r="V158" s="59" t="n"/>
      <c r="X158" s="63" t="inlineStr">
        <is>
          <t>yes</t>
        </is>
      </c>
      <c r="Y158" s="680" t="n"/>
      <c r="AB158" s="61" t="inlineStr">
        <is>
          <t>Change question text</t>
        </is>
      </c>
    </row>
    <row r="159" ht="191.45" customFormat="1" customHeight="1" s="319" thickBot="1">
      <c r="A159" s="328">
        <f>A158+1</f>
        <v/>
      </c>
      <c r="B159" s="375" t="inlineStr">
        <is>
          <t>fies_whlday_hhs</t>
        </is>
      </c>
      <c r="C159" s="375" t="inlineStr">
        <is>
          <t>fies_whlday_hhs</t>
        </is>
      </c>
      <c r="D159" s="389" t="inlineStr">
        <is>
          <t>How often did this happen?
[OPERATOR: SINGLE RESPONSE]
1)Rarely [1-2 times in the past 30 days]
2)Sometimes [3-10 times in the past 30 days]
3)Often [more than 10 times in the last 30 days]
4)DON'T KNOW
5)REFUSED</t>
        </is>
      </c>
      <c r="E159" s="164">
        <f>LEN(D159)</f>
        <v/>
      </c>
      <c r="F159" s="390" t="inlineStr">
        <is>
          <t>ထိုအဖြစ်အပျက်သည် မည်မျှကြာကြာဖြစ်ပျက်ခဲ့ပါသလဲ။
[အော်ပရေတာ- တုံ့ပြန်မှုတစ်ခုသာ]
1)ဖြစ်ခဲသည် [ပြီးခဲ့သော ရက် 30  အတွင်း တစ်ကြိမ် သို့မဟုတ် နှစ်ကြိမ်]
2)တစ်ခါတစ်ရံ [ပြီးခဲ့သောရက် 30  အတွင်း  3ကြိမ် သို့မဟုတ် 10ကြိမ်]
3)မကြာခဏဆိုသလို [ပြီးခဲ့သော ရက် 30 အတွင်း 10 ကြိမ်ထက်ပိုသည်]
4)မသိပါ
5)ဖြေဆိုရန် ငြင်းဆန်သည်</t>
        </is>
      </c>
      <c r="G159" s="164">
        <f>LEN(F159)</f>
        <v/>
      </c>
      <c r="H159" s="165" t="inlineStr">
        <is>
          <t>Single Choice</t>
        </is>
      </c>
      <c r="I159" s="164" t="inlineStr">
        <is>
          <t>NA</t>
        </is>
      </c>
      <c r="J159" s="164" t="inlineStr">
        <is>
          <t>NA</t>
        </is>
      </c>
      <c r="K159" s="164" t="inlineStr">
        <is>
          <t>Form Type - Buttons</t>
        </is>
      </c>
      <c r="L159" s="164" t="inlineStr">
        <is>
          <t>NA</t>
        </is>
      </c>
      <c r="M159" s="163" t="inlineStr">
        <is>
          <t>1-5 = copingstrategies</t>
        </is>
      </c>
      <c r="N159" s="391" t="n"/>
      <c r="O159" s="392" t="inlineStr">
        <is>
          <t>if fies_whlday_hhs = 1-5, go to copingstrategies OR hdds</t>
        </is>
      </c>
      <c r="P159" s="393" t="n"/>
      <c r="Q159" s="382" t="inlineStr">
        <is>
          <t xml:space="preserve">resp_age = 18-100
hh_agricactivity = 1 | 2 | 3 | 4
quotareached = 2
fies_whlday = 1 </t>
        </is>
      </c>
      <c r="R159" s="383" t="n"/>
      <c r="S159" s="316" t="n">
        <v>8.06833553314209</v>
      </c>
      <c r="T159" s="317" t="n">
        <v>1</v>
      </c>
      <c r="U159" s="316">
        <f>S159*T159</f>
        <v/>
      </c>
      <c r="V159" s="318" t="n"/>
      <c r="X159" s="320" t="inlineStr">
        <is>
          <t>yes</t>
        </is>
      </c>
      <c r="Y159" s="321" t="n"/>
      <c r="AB159" s="322" t="inlineStr">
        <is>
          <t>Change options 1-3</t>
        </is>
      </c>
    </row>
    <row r="160" ht="137.25" customFormat="1" customHeight="1" s="704" thickBot="1">
      <c r="A160" s="333">
        <f>A159+1</f>
        <v/>
      </c>
      <c r="B160" s="480" t="inlineStr">
        <is>
          <t>copingstrategies</t>
        </is>
      </c>
      <c r="C160" s="386" t="inlineStr">
        <is>
          <t>lcsi_intro</t>
        </is>
      </c>
      <c r="D160" s="481" t="inlineStr">
        <is>
          <t>Now I would like to ask you about another set of questions on coping strategies, referring to the past 30 days.
[OPERATOR: SINGLE RESPONSE]
1)NEXT</t>
        </is>
      </c>
      <c r="E160" s="387">
        <f>LEN(D160)</f>
        <v/>
      </c>
      <c r="F160" s="482" t="inlineStr">
        <is>
          <t>ယခုအခါ လွန်ခဲ့သော ရက်ပေါင်း 30 အတွင်း စီမံခန့်ခွဲခြင်းနည်းဗျူဟာများနှင့်ပတ်သက်သည့် မေးခွန်းဒုတိယတွဲ (2nd set) ကို မေးမြန်းလိုပါသည်။
[အော်ပရေတာ- တုံ့ပြန်မှုတစ်ခုသာ]
1)နောက်ထပ်</t>
        </is>
      </c>
      <c r="G160" s="387">
        <f>LEN(F160)</f>
        <v/>
      </c>
      <c r="H160" s="483" t="inlineStr">
        <is>
          <t>Single Choice</t>
        </is>
      </c>
      <c r="I160" s="387" t="inlineStr">
        <is>
          <t>NA</t>
        </is>
      </c>
      <c r="J160" s="387" t="inlineStr">
        <is>
          <t>NA</t>
        </is>
      </c>
      <c r="K160" s="387" t="inlineStr">
        <is>
          <t>Form Type - Buttons</t>
        </is>
      </c>
      <c r="L160" s="267" t="inlineStr">
        <is>
          <t>NA</t>
        </is>
      </c>
      <c r="M160" s="388" t="inlineStr">
        <is>
          <t>1 = LhCSIDomAsset</t>
        </is>
      </c>
      <c r="N160" s="388" t="n"/>
      <c r="O160" s="484" t="n"/>
      <c r="P160" s="485" t="n"/>
      <c r="Q160" s="271" t="inlineStr">
        <is>
          <t>resp_age = 18-100
hh_agricactivity = 1 | 2 | 3 | 4
quotareached = 2</t>
        </is>
      </c>
      <c r="R160" s="486" t="n"/>
      <c r="S160" s="127" t="n">
        <v>5.711253643035889</v>
      </c>
      <c r="T160" s="123" t="n">
        <v>1</v>
      </c>
      <c r="U160" s="127">
        <f>S160*T160</f>
        <v/>
      </c>
      <c r="V160" s="59" t="n"/>
      <c r="X160" s="419" t="inlineStr">
        <is>
          <t>no</t>
        </is>
      </c>
      <c r="Y160" s="680" t="n"/>
      <c r="AB160" s="61" t="n"/>
    </row>
    <row r="161" ht="262.5" customFormat="1" customHeight="1" s="704">
      <c r="A161" s="326">
        <f>A160+1</f>
        <v/>
      </c>
      <c r="B161" s="139" t="inlineStr">
        <is>
          <t>LhCSIDomAsset</t>
        </is>
      </c>
      <c r="C161" s="139" t="inlineStr">
        <is>
          <t xml:space="preserve"> cs_stress_hh_assets</t>
        </is>
      </c>
      <c r="D161" s="642" t="inlineStr">
        <is>
          <t>During the past 30 days, did anyone in your household have to sell household assets / goods (radio, furniture, television, jewelry, etc.)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1" s="628">
        <f>LEN(D161)</f>
        <v/>
      </c>
      <c r="F161" s="296" t="inlineStr">
        <is>
          <t>လွန်ခဲ့သောရက်ပေါင်း 30 အတွင်း အစားအစာ မရှိခြင်း သို့မဟုတ် အစားအစာဝယ်ရန်ငွေမရှိခြင်းကြောင့် လူကြီးမင်း၏အိမ်ထောင်စုရှိ တစ်စုံတစ်ဦးသည် အိမ်ထောင်စုရှိ ပိုင်ဆိုင်မှုများ / ပစ္စည်းများ (ရေဒီယို၊ ပရိဘောဂ၊ ရုပ်မြင်သံကြား၊ လက်ဝတ်ရတနာများ စသည်)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1" s="628">
        <f>LEN(F161)</f>
        <v/>
      </c>
      <c r="H161" s="381" t="inlineStr">
        <is>
          <t>Single Choice</t>
        </is>
      </c>
      <c r="I161" s="628" t="inlineStr">
        <is>
          <t>NA</t>
        </is>
      </c>
      <c r="J161" s="628" t="inlineStr">
        <is>
          <t>NA</t>
        </is>
      </c>
      <c r="K161" s="628" t="inlineStr">
        <is>
          <t>Form Type - Buttons</t>
        </is>
      </c>
      <c r="L161" s="632" t="inlineStr">
        <is>
          <t>NA</t>
        </is>
      </c>
      <c r="M161" s="633" t="inlineStr">
        <is>
          <t>1-4 = LhCSISaving</t>
        </is>
      </c>
      <c r="N161" s="422" t="n"/>
      <c r="O161" s="422" t="n"/>
      <c r="P161" s="422" t="n"/>
      <c r="Q161" s="134" t="inlineStr">
        <is>
          <t>resp_age = 18-100
hh_agricactivity = 1 | 2 | 3 | 4
quotareached = 2</t>
        </is>
      </c>
      <c r="R161" s="138" t="n"/>
      <c r="S161" s="127" t="n">
        <v>19.85153007507324</v>
      </c>
      <c r="T161" s="123" t="n">
        <v>1</v>
      </c>
      <c r="U161" s="127">
        <f>S161*T161</f>
        <v/>
      </c>
      <c r="V161" s="59" t="n"/>
      <c r="X161" s="419" t="inlineStr">
        <is>
          <t>no</t>
        </is>
      </c>
      <c r="Y161" s="680" t="n"/>
      <c r="AB161" s="61" t="n"/>
    </row>
    <row r="162" ht="225" customFormat="1" customHeight="1" s="704">
      <c r="A162" s="327">
        <f>A161+1</f>
        <v/>
      </c>
      <c r="B162" s="139" t="inlineStr">
        <is>
          <t>LhCSISaving</t>
        </is>
      </c>
      <c r="C162" s="139" t="inlineStr">
        <is>
          <t xml:space="preserve"> cs_stress_spent_savings</t>
        </is>
      </c>
      <c r="D162" s="140" t="inlineStr">
        <is>
          <t>During the past 30 days, did anyone in your household have to spend savings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2" s="637">
        <f>LEN(D162)</f>
        <v/>
      </c>
      <c r="F162" s="297" t="inlineStr">
        <is>
          <t>လွန်ခဲ့သော ရက်ပေါင်း 30 အတွင်း လူကြီးမင်း၏အိမ်ထောင်စုရှိ တစ်ဦးတစ်ယောက်သည် အစားအစာ  မရှိခြင်း သို့မဟုတ် အစားအစာဝယ်ရန်ငွေမရှိခြင်းကို ဖြေရှင်းရန် စုငွေများကိုသုံးခဲ့ရပါသလား။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2" s="637">
        <f>LEN(F162)</f>
        <v/>
      </c>
      <c r="H162" s="487" t="inlineStr">
        <is>
          <t>Single Choice</t>
        </is>
      </c>
      <c r="I162" s="637" t="inlineStr">
        <is>
          <t>NA</t>
        </is>
      </c>
      <c r="J162" s="637" t="inlineStr">
        <is>
          <t>NA</t>
        </is>
      </c>
      <c r="K162" s="637" t="inlineStr">
        <is>
          <t>Form Type - Buttons</t>
        </is>
      </c>
      <c r="L162" s="225" t="inlineStr">
        <is>
          <t>NA</t>
        </is>
      </c>
      <c r="M162" s="161" t="inlineStr">
        <is>
          <t>1-4 = LhCSICrdtFood</t>
        </is>
      </c>
      <c r="N162" s="477" t="n"/>
      <c r="O162" s="477" t="n"/>
      <c r="P162" s="477" t="n"/>
      <c r="Q162" s="148" t="inlineStr">
        <is>
          <t>resp_age = 18-100
hh_agricactivity = 1 | 2 | 3 | 4
quotareached = 2</t>
        </is>
      </c>
      <c r="R162" s="149" t="n"/>
      <c r="S162" s="127" t="n">
        <v>15.43667125701904</v>
      </c>
      <c r="T162" s="123" t="n">
        <v>1</v>
      </c>
      <c r="U162" s="127">
        <f>S162*T162</f>
        <v/>
      </c>
      <c r="V162" s="59" t="n"/>
      <c r="X162" s="419" t="inlineStr">
        <is>
          <t>no</t>
        </is>
      </c>
      <c r="Y162" s="680" t="n"/>
      <c r="AB162" s="61" t="n"/>
    </row>
    <row r="163" ht="251.25" customFormat="1" customHeight="1" s="704">
      <c r="A163" s="327">
        <f>A162+1</f>
        <v/>
      </c>
      <c r="B163" s="139" t="inlineStr">
        <is>
          <t>LhCSICrdtFood</t>
        </is>
      </c>
      <c r="C163" s="139" t="inlineStr">
        <is>
          <t>cs_stress_credit</t>
        </is>
      </c>
      <c r="D163" s="140" t="inlineStr">
        <is>
          <t>During the past 30 days, did anyone in your household have to purchase food on credit or borrowed food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3" s="637">
        <f>LEN(D163)</f>
        <v/>
      </c>
      <c r="F163" s="297" t="inlineStr">
        <is>
          <t>လွန်ခဲ့သော ရက်ပေါင်း 30 အတွင်း လူကြီးမင်း၏အိမ်ထောင်စုရှိ တစ်ဦးတစ်ယောက်သည် အစားအစာ  မရှိခြင်း သို့မဟုတ် အစားအစာ ဝယ်ရန်ငွေမရှိခြင်းကို ဖြေရှင်းရန် အစားအစာကို အကြွေးဖြင့် ဝယ်ယူခဲ့ရပါသလား (သို့မဟုတ်) ချေးယူစားသောက်ခဲ့ရပါသလား။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3" s="637">
        <f>LEN(F163)</f>
        <v/>
      </c>
      <c r="H163" s="487" t="inlineStr">
        <is>
          <t>Single Choice</t>
        </is>
      </c>
      <c r="I163" s="637" t="inlineStr">
        <is>
          <t>NA</t>
        </is>
      </c>
      <c r="J163" s="637" t="inlineStr">
        <is>
          <t>NA</t>
        </is>
      </c>
      <c r="K163" s="637" t="inlineStr">
        <is>
          <t>Form Type - Buttons</t>
        </is>
      </c>
      <c r="L163" s="225" t="inlineStr">
        <is>
          <t>NA</t>
        </is>
      </c>
      <c r="M163" s="161" t="inlineStr">
        <is>
          <t>1-4 = LhCSIBorrowCash</t>
        </is>
      </c>
      <c r="N163" s="477" t="n"/>
      <c r="O163" s="477" t="n"/>
      <c r="P163" s="477" t="n"/>
      <c r="Q163" s="148" t="inlineStr">
        <is>
          <t>resp_age = 18-100
hh_agricactivity = 1 | 2 | 3 | 4
quotareached = 2</t>
        </is>
      </c>
      <c r="R163" s="149" t="n"/>
      <c r="S163" s="127" t="n">
        <v>13.39993858337402</v>
      </c>
      <c r="T163" s="123" t="n">
        <v>1</v>
      </c>
      <c r="U163" s="127">
        <f>S163*T163</f>
        <v/>
      </c>
      <c r="V163" s="59" t="n"/>
      <c r="X163" s="419" t="inlineStr">
        <is>
          <t>no</t>
        </is>
      </c>
      <c r="Y163" s="680" t="n"/>
      <c r="AB163" s="61" t="n"/>
    </row>
    <row r="164" ht="225" customFormat="1" customHeight="1" s="704">
      <c r="A164" s="327">
        <f>A163+1</f>
        <v/>
      </c>
      <c r="B164" s="139" t="inlineStr">
        <is>
          <t>LhCSIBorrowCash</t>
        </is>
      </c>
      <c r="C164" s="139" t="inlineStr">
        <is>
          <t>cs_stress_borrowed_money</t>
        </is>
      </c>
      <c r="D164" s="454" t="inlineStr">
        <is>
          <t>During the past 30 days, did anyone in your household have to borrow money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4" s="222">
        <f>LEN(D164)</f>
        <v/>
      </c>
      <c r="F164" s="297" t="inlineStr">
        <is>
          <t>လွန်ခဲ့သော ရက်ပေါင်း 30 အတွင်း လူကြီးမင်း၏အိမ်ထောင်စုရှိ တစ်ဦးတစ်ယောက်သည် အစားအစာ မရှိခြင်း သို့မဟုတ် အစား‌အစာ ဝယ်ရန်ငွေမရှိခြင်းကို ဖြေရှင်းရန် ငွေချေးခဲ့ကြရပါသလား။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4" s="637">
        <f>LEN(F164)</f>
        <v/>
      </c>
      <c r="H164" s="487" t="inlineStr">
        <is>
          <t>Single Choice</t>
        </is>
      </c>
      <c r="I164" s="637" t="inlineStr">
        <is>
          <t>NA</t>
        </is>
      </c>
      <c r="J164" s="637" t="inlineStr">
        <is>
          <t>NA</t>
        </is>
      </c>
      <c r="K164" s="637" t="inlineStr">
        <is>
          <t>Form Type - Buttons</t>
        </is>
      </c>
      <c r="L164" s="225" t="inlineStr">
        <is>
          <t>NA</t>
        </is>
      </c>
      <c r="M164" s="161" t="inlineStr">
        <is>
          <t>1-4 = LhCSIProdAsset</t>
        </is>
      </c>
      <c r="N164" s="477" t="n"/>
      <c r="O164" s="477" t="n"/>
      <c r="P164" s="477" t="n"/>
      <c r="Q164" s="148" t="inlineStr">
        <is>
          <t>resp_age = 18-100
hh_agricactivity = 1 | 2 | 3 | 4
quotareached = 2</t>
        </is>
      </c>
      <c r="R164" s="149" t="n"/>
      <c r="S164" s="127" t="n">
        <v>14.62593364715576</v>
      </c>
      <c r="T164" s="123" t="n">
        <v>1</v>
      </c>
      <c r="U164" s="127">
        <f>S164*T164</f>
        <v/>
      </c>
      <c r="V164" s="59" t="n"/>
      <c r="X164" s="419" t="inlineStr">
        <is>
          <t>no</t>
        </is>
      </c>
      <c r="Y164" s="680" t="n"/>
      <c r="AB164" s="61" t="n"/>
    </row>
    <row r="165" ht="262.5" customFormat="1" customHeight="1" s="704">
      <c r="A165" s="327">
        <f>A164+1</f>
        <v/>
      </c>
      <c r="B165" s="139" t="inlineStr">
        <is>
          <t>LhCSIProdAsset</t>
        </is>
      </c>
      <c r="C165" s="139" t="inlineStr">
        <is>
          <t>cs_crisis_sold_prod_assets</t>
        </is>
      </c>
      <c r="D165" s="140" t="inlineStr">
        <is>
          <t>During the past 30 days, did anyone in your household have to sell productive assets or means of transport (sewing machine, wheelbarrow, bicycle, car, etc.)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5" s="637">
        <f>LEN(D165)</f>
        <v/>
      </c>
      <c r="F165" s="297" t="inlineStr">
        <is>
          <t>လွန်ခဲ့သော ရက်ပေါင်း 30 အတွင်း လူကြီးမင်း၏အိမ်ထောင်စုရှိ တစ်ဦးတစ်ယောက်သည် အစားအစာ မရှိခြင်း သို့မဟုတ် အစား‌အစာ ဝယ်ရန်ငွေမရှိခြင်းကို ဖြေရှင်းရန် ကုန်ထုတ်လုပ်ရေးပစ္စည်းများ သို့မဟုတ် သယ်ယူပို့ဆောင်ရေးပစ္စည်းများ (အပ်ချုပ်စက်၊ လက်တွန်းလှည်း၊ စက်ဘီး၊ ကား၊ စသည်) 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5" s="637">
        <f>LEN(F165)</f>
        <v/>
      </c>
      <c r="H165" s="487" t="inlineStr">
        <is>
          <t>Single Choice</t>
        </is>
      </c>
      <c r="I165" s="637" t="inlineStr">
        <is>
          <t>NA</t>
        </is>
      </c>
      <c r="J165" s="637" t="inlineStr">
        <is>
          <t>NA</t>
        </is>
      </c>
      <c r="K165" s="637" t="inlineStr">
        <is>
          <t>Form Type - Buttons</t>
        </is>
      </c>
      <c r="L165" s="225" t="inlineStr">
        <is>
          <t>NA</t>
        </is>
      </c>
      <c r="M165" s="161" t="inlineStr">
        <is>
          <t>1-4 = LhCSIReduceNonFood</t>
        </is>
      </c>
      <c r="N165" s="477" t="n"/>
      <c r="O165" s="477" t="n"/>
      <c r="P165" s="477" t="n"/>
      <c r="Q165" s="148" t="inlineStr">
        <is>
          <t>resp_age = 18-100
hh_agricactivity = 1 | 2 | 3 | 4
quotareached = 2</t>
        </is>
      </c>
      <c r="R165" s="149" t="n"/>
      <c r="S165" s="127" t="n">
        <v>11.78780174255371</v>
      </c>
      <c r="T165" s="123" t="n">
        <v>1</v>
      </c>
      <c r="U165" s="127">
        <f>S165*T165</f>
        <v/>
      </c>
      <c r="V165" s="59" t="n"/>
      <c r="X165" s="419" t="inlineStr">
        <is>
          <t>no</t>
        </is>
      </c>
      <c r="Y165" s="680" t="n"/>
      <c r="AB165" s="61" t="n"/>
    </row>
    <row r="166" ht="243.75" customFormat="1" customHeight="1" s="704">
      <c r="A166" s="327">
        <f>A165+1</f>
        <v/>
      </c>
      <c r="B166" s="139" t="inlineStr">
        <is>
          <t>LhCSIReduceNonFood</t>
        </is>
      </c>
      <c r="C166" s="139" t="inlineStr">
        <is>
          <t>cs_crisis_reduced_health_exp</t>
        </is>
      </c>
      <c r="D166" s="140" t="inlineStr">
        <is>
          <t>During the past 30 days, did anyone in your household have to reduce expenses on health (including drugs)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6" s="637">
        <f>LEN(D166)</f>
        <v/>
      </c>
      <c r="F166" s="297" t="inlineStr">
        <is>
          <t>လွန်ခဲ့သောရက်ပေါင်း 30 အတွင်း လူကြီးမင်း၏အိမ်ထောင်စုရှိ တစ်စုံတစ်ဦးသည် အစားအစာမရှိခြင်း သို့မဟုတ် အစားအစာဝယ်ရန်ငွေမရှိခြင်းကြောင့် (ဆေးဝါးများ အပါအဝင်) ကျန်းမာရေးအတွက် ကုန်ကျစရိတ်များကို လျှော့ချခဲ့ရပါသလား။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6" s="637">
        <f>LEN(F166)</f>
        <v/>
      </c>
      <c r="H166" s="487" t="inlineStr">
        <is>
          <t>Single Choice</t>
        </is>
      </c>
      <c r="I166" s="637" t="inlineStr">
        <is>
          <t>NA</t>
        </is>
      </c>
      <c r="J166" s="637" t="inlineStr">
        <is>
          <t>NA</t>
        </is>
      </c>
      <c r="K166" s="637" t="inlineStr">
        <is>
          <t>Form Type - Buttons</t>
        </is>
      </c>
      <c r="L166" s="225" t="inlineStr">
        <is>
          <t>NA</t>
        </is>
      </c>
      <c r="M166" s="161" t="inlineStr">
        <is>
          <t>1-4 = LhCSILabChild</t>
        </is>
      </c>
      <c r="N166" s="477" t="n"/>
      <c r="O166" s="477" t="n"/>
      <c r="P166" s="477" t="n"/>
      <c r="Q166" s="148" t="inlineStr">
        <is>
          <t>resp_age = 18-100
hh_agricactivity = 1 | 2 | 3 | 4
quotareached = 2</t>
        </is>
      </c>
      <c r="R166" s="149" t="n"/>
      <c r="S166" s="127" t="n">
        <v>9.289467811584473</v>
      </c>
      <c r="T166" s="123" t="n">
        <v>1</v>
      </c>
      <c r="U166" s="127">
        <f>S166*T166</f>
        <v/>
      </c>
      <c r="V166" s="59" t="n"/>
      <c r="X166" s="419" t="inlineStr">
        <is>
          <t>no</t>
        </is>
      </c>
      <c r="Y166" s="680" t="n"/>
      <c r="AB166" s="61" t="n"/>
    </row>
    <row r="167" ht="364.5" customFormat="1" customHeight="1" s="704">
      <c r="A167" s="327">
        <f>A166+1</f>
        <v/>
      </c>
      <c r="B167" s="139" t="inlineStr">
        <is>
          <t>LhCSILabChild</t>
        </is>
      </c>
      <c r="C167" s="139" t="inlineStr">
        <is>
          <t>cs_crisis_lab_child</t>
        </is>
      </c>
      <c r="D167" s="673" t="inlineStr">
        <is>
          <t>During the past 30 days, did any children (under 15 years old) worked to contribute to household income (e.g. maid, casual labour) to cope with a lack of food or money to buy it?
[OPERATOR: SINGLE RESPONSE]
[NOTE: THE RESPONDENT REPORTED THERE ARE {oHHSize515} CHILDREN IN THE HOUSEHOLD  BETWEEN 5 AND 15. NOT APPLICABLE SHOULD ONLY BE CODED IF THERE ARE 0 CHILDREN BETWEEN 5 AND 14. PLEASE PROBE!]
1)Yes
2)No - because it wasn't necessary
3)No - because you already sold those assets or did this activity within the last 12 months and you cannot continue to do it
4)Not applicable [don't have these assets]</t>
        </is>
      </c>
      <c r="E167" s="674">
        <f>LEN(D167)</f>
        <v/>
      </c>
      <c r="F167" s="675" t="inlineStr">
        <is>
          <t>လွန်ခဲ့သော ရက်ပေါင်း 30 အတွင်း လူကြီးမင်း၏အိမ်ထောင်စုရှိ အသက် ၁၅ နှစ်အောက်တစ်စုံတစ်ဦးသည် အစားအစာ မရှိခြင်း သို့မဟုတ် အစားအစာဝယ်ရန်ငွေမရှိခြင်းကြောင့် အိမ်ထောင်စု ဝင်ငွေရန် အလုပ်ခဲ့ရပါသလား (အိမ်ဖော်၊ကျပန်းအလုပ် စသည်)။
[အော်ပရေတာ- တုံ့ပြန်မှုတစ်ခုသာ]
[မှတ်ချက်- ဖြေဆိုသူသည် အိမ်ထောင်စုရှိ 5 နှစ်နှင့် 15 နှစ်ကြား ကလေးများ အရေအတွက်ကို {oHHSize515} ဟု ဖြေဆိုခဲ့သည်။ 5 နှစ်နှင့် 15 နှစ်ကြား ကလေးများ အရေအတွက် '၀' ဖြစ်ပါက သက်ဆိုင်ခြင်းမရှိပါကို ရွေးချယ်သင့်ပါသည်။]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7" s="637">
        <f>LEN(F167)</f>
        <v/>
      </c>
      <c r="H167" s="487" t="inlineStr">
        <is>
          <t>Single Choice</t>
        </is>
      </c>
      <c r="I167" s="637" t="inlineStr">
        <is>
          <t>NA</t>
        </is>
      </c>
      <c r="J167" s="637" t="inlineStr">
        <is>
          <t>NA</t>
        </is>
      </c>
      <c r="K167" s="637" t="inlineStr">
        <is>
          <t>Form Type - Buttons</t>
        </is>
      </c>
      <c r="L167" s="225" t="inlineStr">
        <is>
          <t>NA</t>
        </is>
      </c>
      <c r="M167" s="161" t="inlineStr">
        <is>
          <t>1-4 = LhCSIConsSeed</t>
        </is>
      </c>
      <c r="N167" s="477" t="n"/>
      <c r="O167" s="477" t="n"/>
      <c r="P167" s="477" t="n"/>
      <c r="Q167" s="148" t="inlineStr">
        <is>
          <t>resp_age = 18-100
hh_agricactivity = 1 | 2 | 3 | 4
quotareached = 2</t>
        </is>
      </c>
      <c r="R167" s="149" t="n"/>
      <c r="S167" s="127" t="n">
        <v>12</v>
      </c>
      <c r="T167" s="123" t="n">
        <v>1</v>
      </c>
      <c r="U167" s="127">
        <f>S167*T167</f>
        <v/>
      </c>
      <c r="V167" s="59" t="n"/>
      <c r="X167" s="419" t="inlineStr">
        <is>
          <t>no</t>
        </is>
      </c>
      <c r="Y167" s="680" t="n"/>
      <c r="AB167" s="61" t="n"/>
    </row>
    <row r="168" ht="218.25" customFormat="1" customHeight="1" s="704">
      <c r="A168" s="327">
        <f>A167+1</f>
        <v/>
      </c>
      <c r="B168" s="139" t="inlineStr">
        <is>
          <t>LhCSIConsSeed</t>
        </is>
      </c>
      <c r="C168" s="139" t="inlineStr">
        <is>
          <t>cs_crisis_consume_seed_stock</t>
        </is>
      </c>
      <c r="D168" s="454" t="inlineStr">
        <is>
          <t>During the past 30 days, did anyone in your household consume seed stocks that were to be held/saved for the next planting season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8" s="222">
        <f>LEN(D168)</f>
        <v/>
      </c>
      <c r="F168" s="297" t="inlineStr">
        <is>
          <t>လွန်ခဲ့သောရက်ပေါင်း 30 အတွင်း လူကြီးမင်း၏အိမ်ထောင်စုရှိ တစ်ဦးတစ်ယောက်သည် စားစရာ မရှိခြင်း သို့မဟုတ် အစားအစာဝယ်ရန် ငွေမရှိခြင်းကြောင့် လာမည့်စိုက်ပျိုးရာသီအတွက် သိမ်းဆည်းထားခဲ့သည့် မျိုးစေ့များကို စားသုံးခဲ့ပါသလား။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8" s="637">
        <f>LEN(F168)</f>
        <v/>
      </c>
      <c r="H168" s="487" t="inlineStr">
        <is>
          <t>Single Choice</t>
        </is>
      </c>
      <c r="I168" s="637" t="inlineStr">
        <is>
          <t>NA</t>
        </is>
      </c>
      <c r="J168" s="637" t="inlineStr">
        <is>
          <t>NA</t>
        </is>
      </c>
      <c r="K168" s="637" t="inlineStr">
        <is>
          <t>Form Type - Buttons</t>
        </is>
      </c>
      <c r="L168" s="225" t="inlineStr">
        <is>
          <t>NA</t>
        </is>
      </c>
      <c r="M168" s="161" t="inlineStr">
        <is>
          <t>1-4 = LhCSIResAsset</t>
        </is>
      </c>
      <c r="N168" s="477" t="n"/>
      <c r="O168" s="477" t="n"/>
      <c r="P168" s="477" t="n"/>
      <c r="Q168" s="148" t="inlineStr">
        <is>
          <t>resp_age = 18-100
hh_agricactivity = 1 | 2 | 3 | 4
quotareached = 2</t>
        </is>
      </c>
      <c r="R168" s="149" t="n"/>
      <c r="S168" s="127" t="n">
        <v>14.41095890410959</v>
      </c>
      <c r="T168" s="123" t="n">
        <v>1</v>
      </c>
      <c r="U168" s="127">
        <f>S168*T168</f>
        <v/>
      </c>
      <c r="V168" s="59" t="n"/>
      <c r="X168" s="419" t="inlineStr">
        <is>
          <t>no</t>
        </is>
      </c>
      <c r="Y168" s="680" t="n"/>
      <c r="AB168" s="61" t="n"/>
    </row>
    <row r="169" ht="239.45" customFormat="1" customHeight="1" s="704">
      <c r="A169" s="327">
        <f>A168+1</f>
        <v/>
      </c>
      <c r="B169" s="139" t="inlineStr">
        <is>
          <t>LhCSIResAsset</t>
        </is>
      </c>
      <c r="C169" s="139" t="inlineStr">
        <is>
          <t>cs_emergency_sold_house</t>
        </is>
      </c>
      <c r="D169" s="140" t="inlineStr">
        <is>
          <t>During the past 30 days, did anyone in your household have to sell house or land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9" s="637">
        <f>LEN(D169)</f>
        <v/>
      </c>
      <c r="F169" s="297" t="inlineStr">
        <is>
          <t>လွန်ခဲ့သောရက်ပေါင်း 30 အတွင်း လူကြီးမင်း၏အိမ်ထောင်စုရှိ တစ်ဦးတစ်ယောက်သည် စားစရာ မရှိခြင်း သို့မဟုတ် အစားအစာဝယ်ရန်ငွေမရှိခြင်းကြောင့် အိမ် သို့မဟုတ် စိုက်ပျိုးမြေကို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69" s="637">
        <f>LEN(F169)</f>
        <v/>
      </c>
      <c r="H169" s="487" t="inlineStr">
        <is>
          <t>Single Choice</t>
        </is>
      </c>
      <c r="I169" s="637" t="inlineStr">
        <is>
          <t>NA</t>
        </is>
      </c>
      <c r="J169" s="637" t="inlineStr">
        <is>
          <t>NA</t>
        </is>
      </c>
      <c r="K169" s="637" t="inlineStr">
        <is>
          <t>Form Type - Buttons</t>
        </is>
      </c>
      <c r="L169" s="227" t="inlineStr">
        <is>
          <t>NA</t>
        </is>
      </c>
      <c r="M169" s="161" t="inlineStr">
        <is>
          <t>1-4 = LhCSIRiskJobs</t>
        </is>
      </c>
      <c r="N169" s="161" t="n"/>
      <c r="O169" s="140" t="n"/>
      <c r="P169" s="161" t="n"/>
      <c r="Q169" s="148" t="inlineStr">
        <is>
          <t>resp_age = 18-100
hh_agricactivity = 1 | 2 | 3 | 4
quotareached = 2</t>
        </is>
      </c>
      <c r="R169" s="149" t="n"/>
      <c r="S169" s="127" t="n">
        <v>15.40838527679443</v>
      </c>
      <c r="T169" s="123" t="n">
        <v>1</v>
      </c>
      <c r="U169" s="127">
        <f>S169*T169</f>
        <v/>
      </c>
      <c r="V169" s="59" t="n"/>
      <c r="X169" s="419" t="inlineStr">
        <is>
          <t>no</t>
        </is>
      </c>
      <c r="Y169" s="680" t="n"/>
      <c r="AB169" s="61" t="n"/>
    </row>
    <row r="170" ht="244.5" customFormat="1" customHeight="1" s="704">
      <c r="A170" s="327">
        <f>A169+1</f>
        <v/>
      </c>
      <c r="B170" s="139" t="inlineStr">
        <is>
          <t>LhCSIRiskJobs</t>
        </is>
      </c>
      <c r="C170" s="139" t="inlineStr">
        <is>
          <t>cs_emergency_illegal</t>
        </is>
      </c>
      <c r="D170" s="140" t="inlineStr">
        <is>
          <t>During the last 30 days, has your household engaged in high-risk activities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70" s="637">
        <f>LEN(D170)</f>
        <v/>
      </c>
      <c r="F170" s="423" t="inlineStr">
        <is>
          <t>လွန်ခဲ့သော ရက် 30 အတွင်း လူကြီးမင်း၏အိမ်ထောင်စုသည် အစားအစာမရှိခြင်း သို့မဟုတ်  အစားအစာဝယ်ရန် ငွေမရှိခြင်းကြောင့် ငွေရရှိရန်အတွက် အန္တရာယ်များသည့် အလုပ်များ တွင်ပါဝင်ခဲ့ပါသလား။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70" s="637">
        <f>LEN(F170)</f>
        <v/>
      </c>
      <c r="H170" s="487" t="inlineStr">
        <is>
          <t>Single Choice</t>
        </is>
      </c>
      <c r="I170" s="637" t="inlineStr">
        <is>
          <t>NA</t>
        </is>
      </c>
      <c r="J170" s="637" t="inlineStr">
        <is>
          <t>NA</t>
        </is>
      </c>
      <c r="K170" s="637" t="inlineStr">
        <is>
          <t>Form Type - Buttons</t>
        </is>
      </c>
      <c r="L170" s="227" t="inlineStr">
        <is>
          <t>NA</t>
        </is>
      </c>
      <c r="M170" s="161" t="inlineStr">
        <is>
          <t>1-4 = LhCSILastDraught</t>
        </is>
      </c>
      <c r="N170" s="161" t="n"/>
      <c r="O170" s="488" t="n"/>
      <c r="P170" s="489" t="n"/>
      <c r="Q170" s="148" t="inlineStr">
        <is>
          <t>resp_age = 18-100
hh_agricactivity = 1 | 2 | 3 | 4
quotareached = 2</t>
        </is>
      </c>
      <c r="R170" s="149" t="n"/>
      <c r="S170" s="127" t="n">
        <v>15.54398632049561</v>
      </c>
      <c r="T170" s="123" t="n">
        <v>1</v>
      </c>
      <c r="U170" s="127">
        <f>S170*T170</f>
        <v/>
      </c>
      <c r="V170" s="59" t="n"/>
      <c r="X170" s="419" t="inlineStr">
        <is>
          <t>no</t>
        </is>
      </c>
      <c r="Y170" s="680" t="n"/>
      <c r="AB170" s="61" t="n"/>
    </row>
    <row r="171" ht="243.75" customFormat="1" customHeight="1" s="704">
      <c r="A171" s="327">
        <f>A170+1</f>
        <v/>
      </c>
      <c r="B171" s="139" t="inlineStr">
        <is>
          <t>LhCSILastDraught</t>
        </is>
      </c>
      <c r="C171" s="139" t="inlineStr">
        <is>
          <t>cs_emergency_sold_last_draught</t>
        </is>
      </c>
      <c r="D171" s="454" t="inlineStr">
        <is>
          <t>During the past 30 days, did anyone in your household have to sell the last draught animal or power tiller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71" s="222">
        <f>LEN(D171)</f>
        <v/>
      </c>
      <c r="F171" s="297" t="inlineStr">
        <is>
          <t>လွန်ခဲ့သော ရက်ပေါင်း 30 အတွင်း လူကြီးမင်း၏အိမ်ထောင်စုရှိ တစ်ဦးတစ်ယောက်သည် စားစရာ မရှိခြင်း သို့မဟုတ် အစားအစာဝယ်ရန်ငွေမရှိခြင်းကြောင့် နောက်ဆုံးကျန်ရှိသော လယ်ယာသုံး တိရစ္ဆာန် သို့မဟုတ် စက်တပ်ထွန်စက်ကို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71" s="637">
        <f>LEN(F171)</f>
        <v/>
      </c>
      <c r="H171" s="487" t="inlineStr">
        <is>
          <t>Single Choice</t>
        </is>
      </c>
      <c r="I171" s="637" t="inlineStr">
        <is>
          <t>NA</t>
        </is>
      </c>
      <c r="J171" s="637" t="inlineStr">
        <is>
          <t>NA</t>
        </is>
      </c>
      <c r="K171" s="637" t="inlineStr">
        <is>
          <t>Form Type - Buttons</t>
        </is>
      </c>
      <c r="L171" s="227" t="inlineStr">
        <is>
          <t>NA</t>
        </is>
      </c>
      <c r="M171" s="161" t="inlineStr">
        <is>
          <t>1-4 = LhCSIMoved</t>
        </is>
      </c>
      <c r="N171" s="161" t="n"/>
      <c r="O171" s="490" t="n"/>
      <c r="P171" s="491" t="n"/>
      <c r="Q171" s="148" t="inlineStr">
        <is>
          <t>resp_age = 18-100
hh_agricactivity = 1 | 2 | 3 | 4
quotareached = 2</t>
        </is>
      </c>
      <c r="R171" s="149" t="n"/>
      <c r="S171" s="127" t="n">
        <v>12</v>
      </c>
      <c r="T171" s="123" t="n">
        <v>1</v>
      </c>
      <c r="U171" s="127">
        <f>S171*T171</f>
        <v/>
      </c>
      <c r="V171" s="59" t="n"/>
      <c r="X171" s="419" t="inlineStr">
        <is>
          <t>no</t>
        </is>
      </c>
      <c r="Y171" s="680" t="n"/>
      <c r="AB171" s="61" t="n"/>
    </row>
    <row r="172" ht="209.25" customFormat="1" customHeight="1" s="704" thickBot="1">
      <c r="A172" s="328">
        <f>A171+1</f>
        <v/>
      </c>
      <c r="B172" s="394" t="inlineStr">
        <is>
          <t>LhCSIMoved</t>
        </is>
      </c>
      <c r="C172" s="394" t="inlineStr">
        <is>
          <t>cs_emergency_hh_migration</t>
        </is>
      </c>
      <c r="D172" s="494" t="inlineStr">
        <is>
          <t>During the past 30 days, did your entire household have to migrate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72" s="372">
        <f>LEN(D172)</f>
        <v/>
      </c>
      <c r="F172" s="378" t="inlineStr">
        <is>
          <t>လွန်ခဲ့သောရက်ပေါင်း 30 အတွင်း လူကြီးမင်း၏အိမ်ထောင်စုသည် စားစရာမရှိခြင်း သို့မဟုတ် အစားအစာဝယ်ရန်ငွေမရှိခြင်းကြောင့် အိမ်ထောင်စုတစ်စုလုံးကို ပြောင်းရွှေ့သွားခဲ့ရပါသလား။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is>
      </c>
      <c r="G172" s="372">
        <f>LEN(F172)</f>
        <v/>
      </c>
      <c r="H172" s="371" t="inlineStr">
        <is>
          <t>Single Choice</t>
        </is>
      </c>
      <c r="I172" s="372" t="inlineStr">
        <is>
          <t>NA</t>
        </is>
      </c>
      <c r="J172" s="372" t="inlineStr">
        <is>
          <t>NA</t>
        </is>
      </c>
      <c r="K172" s="372" t="inlineStr">
        <is>
          <t>Form Type - Buttons</t>
        </is>
      </c>
      <c r="L172" s="395" t="inlineStr">
        <is>
          <t>NA</t>
        </is>
      </c>
      <c r="M172" s="396" t="inlineStr">
        <is>
          <t>1-4 = o_lostHHassets</t>
        </is>
      </c>
      <c r="N172" s="396" t="n"/>
      <c r="O172" s="492" t="n"/>
      <c r="P172" s="493" t="n"/>
      <c r="Q172" s="168" t="inlineStr">
        <is>
          <t>resp_age = 18-100
hh_agricactivity = 1 | 2 | 3 | 4
quotareached = 2</t>
        </is>
      </c>
      <c r="R172" s="169" t="n"/>
      <c r="S172" s="127" t="n">
        <v>12.99618148803711</v>
      </c>
      <c r="T172" s="123" t="n">
        <v>1</v>
      </c>
      <c r="U172" s="127">
        <f>S172*T172</f>
        <v/>
      </c>
      <c r="V172" s="59" t="n"/>
      <c r="X172" s="419" t="inlineStr">
        <is>
          <t>no</t>
        </is>
      </c>
      <c r="Y172" s="680" t="n"/>
      <c r="AB172" s="61" t="n"/>
    </row>
    <row r="173" ht="300.75" customFormat="1" customHeight="1" s="704" thickBot="1">
      <c r="A173" s="333" t="n">
        <v>146</v>
      </c>
      <c r="B173" s="386" t="inlineStr">
        <is>
          <t>o_lostHHassets</t>
        </is>
      </c>
      <c r="C173" s="386" t="inlineStr">
        <is>
          <t>o_lostHHassets</t>
        </is>
      </c>
      <c r="D173" s="572" t="inlineStr">
        <is>
          <t>Have you lost any of the following assets, due to the cyclone/floods?
[OPERATOR: MULTIPLE RESPONSE]
1)Bicycle
2)Car/motorbike
3)Toke Toke
4)Trailer
5)Non-agricultural tools
6)Stock of merchandise to sell
7)Productive assets/machine [sowing machine/ saws/ etc…]
8)Households supplies
9)Other [specify]
10)No assets lost</t>
        </is>
      </c>
      <c r="E173" s="387">
        <f>LEN(D173)</f>
        <v/>
      </c>
      <c r="F173" s="620" t="inlineStr">
        <is>
          <t>ိုင်ကလုန်း/ရေကြီးမှုကြောင့် အောက်ဖော်ပြပါ ပိုင်ဆိုင်မှုများ ဆုံးရှုံးခဲ့ပါသလား။
[လျှောက်ထားရန်အားလုံးကို ရွေးပါ]
1)စက်ဘီး
2)ကား/ဆိုင်ကယ်
3)တုတ်တုတ်
4)နောက်တွဲယဉ်
5)စိုက်ပျိုးရေးမဟုတ်သောကိရိယာများ
6)ရောင်းရန်စတော့ရှယ်ယာများ
7)ထုတ်ကုန်ပစ္စည်းများ/စက် [မျိုးစေ့ချစက်၊ လွှစသည်]
8)အိမ်သုံးပစ္စည်းများ
9)အခြား - သတ်မှတ်ပေးပါ။
10)မည်သည့်ပစ္စည်းမှပျက်စီးမှုမရှိပါ</t>
        </is>
      </c>
      <c r="G173" s="387" t="n">
        <v>357</v>
      </c>
      <c r="H173" s="483" t="inlineStr">
        <is>
          <t>Open Ended-Select All That Apply</t>
        </is>
      </c>
      <c r="I173" s="387" t="inlineStr">
        <is>
          <t>NA</t>
        </is>
      </c>
      <c r="J173" s="387" t="inlineStr">
        <is>
          <t>Send if "o_cyclaffected" "Equals"  "YES" if not satisfied go to "hh_residencetype"</t>
        </is>
      </c>
      <c r="K173" s="387" t="inlineStr">
        <is>
          <t>Form Type - Checklist
10 = IsNone</t>
        </is>
      </c>
      <c r="L173" s="270" t="inlineStr">
        <is>
          <t>NA</t>
        </is>
      </c>
      <c r="M173" s="388" t="inlineStr">
        <is>
          <t>1-10 = hh_residencetype</t>
        </is>
      </c>
      <c r="N173" s="388" t="n"/>
      <c r="O173" s="485" t="n"/>
      <c r="P173" s="485" t="n"/>
      <c r="Q173" s="271" t="n"/>
      <c r="R173" s="242" t="n"/>
      <c r="S173" s="127" t="n"/>
      <c r="T173" s="123" t="n"/>
      <c r="U173" s="127" t="n"/>
      <c r="V173" s="59" t="n"/>
      <c r="X173" s="419" t="n"/>
      <c r="Y173" s="680" t="n"/>
      <c r="AB173" s="61" t="n"/>
    </row>
    <row r="174" ht="408" customFormat="1" customHeight="1" s="704" thickBot="1">
      <c r="A174" s="331" t="n">
        <v>147</v>
      </c>
      <c r="B174" s="495" t="inlineStr">
        <is>
          <t>hh_residencetype</t>
        </is>
      </c>
      <c r="C174" s="496" t="inlineStr">
        <is>
          <t>hh_residencetype</t>
        </is>
      </c>
      <c r="D174" s="497"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174" s="498">
        <f>LEN(D174)</f>
        <v/>
      </c>
      <c r="F174" s="567" t="inlineStr">
        <is>
          <t>အောက်ဖော်ပြပါ လူနေအိမ်အမျိုးအစားတွင် မည်သည့်အမျိုးအစားမှာ လူကြီးမင်းရဲ့အိမ်ကို အကောင်းဆုံးထင်ဟပ်ဖော်ပြပါသလဲ။
[အော်ပရေတာ- ရွေးချယ်ခွင့်များကို ဖတ်ပြပါ။ တုံ့ပြန်မှုတစ်ခုသာ]
[အရိပ်အမြွက် - ဖြေဆိုသူသည် ခဏတာရာသီပေါ်အလုပ် (&lt;6 လ) သို့မဟုတ် ရွှေ့ပြောင်းစိုက်ပျိုးရေးအတွက် အိမ်ထောင်စုမှ အဝေးတွင်ရောက်နေပါက ၎င်းတို့ အမှန်တကယ်နေထိုင်သောနေရာရှိ အိမ်ထောင်စုကို ဖော်ပြပါစေ‌။]
1)အမြဲတမ်းနေထိုင်သူ - လူကြီးမင်း၏ကျေးရွာ / မြို့တွင် နှစ်နှစ်အထက် နေထိုင်လျက်ရှိပြီး လူကြီးမင်း၏ ပုံမှန်နေထိုင်သည့်နေရာအဖြစ် မှတ်ယူသောနေရာ။
2)အဓမ္မရွှေ့ပြောင်းခိုင်းခြင်းမရှိသော လတ်တလောရွှေ့ပြောင်းနေထိုင်သူ - လက်ရှိနေထိုင်ရာနေရာတွင် နှစ်နှစ်အောက်နေထိုင်ပြီး အဆိုပါနေရာသို့ ပဋိပက္ခ သို့မဟုတ် သဘာဝဘေးအန္တရာယ်တို့ကြောင့်မဟုတ်ဘဲ အလုပ်/မိသားစုအတွက် သို့မဟုတ် အခြားသောအကြောင်းအရာအတွက် ဆန္ဒအလျောက်ရွှေ့ပြောင်းခဲ့သည်
3)ပြန်လာသူ - ထိုနေရာသို့ လွန်ခဲ့သော နှစ်နှစ်အတွင်းက ပဋိပက္ခ သို့မဟုတ် သဘာဝဘေးအန္တရာယ်များမှ ထွက်ပြေးတိမ်းရှောင်ရမှုကြောင့် အခြားနေရာတစ်ခုသို့ အဓမ္မပြောင်းရွှေ့ခံရပြီးနောက် ပြန်လည်ရောက်ရှိလာခဲ့သည် [2 နှစ်ကျော်ဖြစ်ပါက ဖြေဆိုသူကို အမြဲတမ်းနေထိုင်သူအဖြစ် သတ်မှတ်သည်]
4)ပြည်တွင်းရွှေ့ပြောင်းဒုက္ခသည် [IDP] - လူကြီးမင်းသည် ပဋိပက္ခများ၊ သဘာဝဘေးအန္တရာယ်များကြောင့် ရွာ သို့မဟုတ် မြို့မှ ထွက်ပြေးတိမ်းရှောင်ခဲ့ရပြီး လက်ရှိနေထိုင်သည့်နေရာတွင် ပြည်တွင်းရွှေ့ပြောင်းဒုက္ခသည်ဖြစ်နေသည် 
5)ရွှေ့ပြောင်းဒုက္ခသည် - လူကြီးမင်းသည် ပဋိပက္ခများ၊ သဘာဝဘေးအန္တရာယ်များကြောင့် တိုင်းပြည်မှထွက်ပြေးတိမ်းရှောင်ခဲ့ရပြီး လက်ရှိနေထိုင်သည့်နေရာတွင် ရွှေ့ပြောင်းဒုက္ခသည်တစ်ဦး ဖြစ်လာသည်
6)မသိပါ
7)ဖြေဆိုရန် ငြင်းဆန်သည်</t>
        </is>
      </c>
      <c r="G174" s="498">
        <f>LEN(F174)</f>
        <v/>
      </c>
      <c r="H174" s="496" t="inlineStr">
        <is>
          <t>Single Choice</t>
        </is>
      </c>
      <c r="I174" s="498" t="inlineStr">
        <is>
          <t>NA</t>
        </is>
      </c>
      <c r="J174" s="498" t="inlineStr">
        <is>
          <t>NA</t>
        </is>
      </c>
      <c r="K174" s="498" t="inlineStr">
        <is>
          <t>Form Type - Buttons</t>
        </is>
      </c>
      <c r="L174" s="498" t="inlineStr">
        <is>
          <t>NA</t>
        </is>
      </c>
      <c r="M174" s="499" t="inlineStr">
        <is>
          <t>1-7 = fcs_intro</t>
        </is>
      </c>
      <c r="N174" s="501" t="n"/>
      <c r="O174" s="500" t="inlineStr">
        <is>
          <t xml:space="preserve"> </t>
        </is>
      </c>
      <c r="P174" s="500" t="n"/>
      <c r="Q174" s="254" t="inlineStr">
        <is>
          <t>resp_age = 18-100
hh_agricactivity = 1 | 2 | 3 | 4
quotareached = 2</t>
        </is>
      </c>
      <c r="R174" s="255" t="inlineStr">
        <is>
          <t>Question placed after LCSI module</t>
        </is>
      </c>
      <c r="S174" s="127" t="n">
        <v>30.64618873596191</v>
      </c>
      <c r="T174" s="123">
        <f>1</f>
        <v/>
      </c>
      <c r="U174" s="127">
        <f>S174*T174</f>
        <v/>
      </c>
      <c r="V174" s="59" t="n"/>
      <c r="X174" s="419" t="inlineStr">
        <is>
          <t>no</t>
        </is>
      </c>
      <c r="Y174" s="680" t="n"/>
      <c r="AB174" s="61" t="n"/>
    </row>
    <row r="175" ht="112.5" customFormat="1" customHeight="1" s="704">
      <c r="A175" s="326">
        <f>A174+1</f>
        <v/>
      </c>
      <c r="B175" s="626" t="inlineStr">
        <is>
          <t>fcs_intro</t>
        </is>
      </c>
      <c r="C175" s="626" t="inlineStr">
        <is>
          <t>fcs_intro</t>
        </is>
      </c>
      <c r="D175" s="398" t="inlineStr">
        <is>
          <t>Now I would like to ask you about the foods and drinks your household ate or drank in the last 7 days during the day and at night [breakfast, lunch, dinner, snacks]
1)CONTINUE</t>
        </is>
      </c>
      <c r="E175" s="628">
        <f>LEN(D175)</f>
        <v/>
      </c>
      <c r="F175" s="298" t="inlineStr">
        <is>
          <t>ယခုအခါတွင် လွန်ခဲ့သော 7 ရက်အတွင်း နေ့ခင်းဘက်နှင့်ညဘက်၌ လူကြီးမင်းတို့အိမ်ထောင်စု စားသောက်ခဲ့သော အစားအသောက်များအကြောင်း မေးမြန်းလိုပါသည် [မနက်စာ၊ နေ့လည်စာ၊ ညစာ၊ အဆာပြေမုန့်များ]
1)နောက်ထပ်</t>
        </is>
      </c>
      <c r="G175" s="628">
        <f>LEN(F175)</f>
        <v/>
      </c>
      <c r="H175" s="381" t="inlineStr">
        <is>
          <t>Single Choice</t>
        </is>
      </c>
      <c r="I175" s="628" t="inlineStr">
        <is>
          <t>NA</t>
        </is>
      </c>
      <c r="J175" s="628" t="inlineStr">
        <is>
          <t>NA</t>
        </is>
      </c>
      <c r="K175" s="628" t="inlineStr">
        <is>
          <t>Form Type - Buttons</t>
        </is>
      </c>
      <c r="M175" s="633" t="inlineStr">
        <is>
          <t>1 = FCSStap</t>
        </is>
      </c>
      <c r="N175" s="208" t="n"/>
      <c r="O175" s="633" t="inlineStr">
        <is>
          <t>if fcs_intro = 1, go to FCSStap</t>
        </is>
      </c>
      <c r="P175" s="633" t="n"/>
      <c r="Q175" s="134" t="inlineStr">
        <is>
          <t>resp_age = 18-100
hh_agricactivity = 1 | 2 | 3 | 4
quotareached = 2</t>
        </is>
      </c>
      <c r="R175" s="260" t="n"/>
      <c r="S175" s="127" t="n"/>
      <c r="T175" s="123" t="n">
        <v>1</v>
      </c>
      <c r="U175" s="127">
        <f>S175*T175</f>
        <v/>
      </c>
      <c r="V175" s="59" t="n"/>
      <c r="X175" s="63" t="inlineStr">
        <is>
          <t>no</t>
        </is>
      </c>
      <c r="Y175" s="680" t="n"/>
      <c r="AB175" s="61" t="inlineStr">
        <is>
          <t>new question</t>
        </is>
      </c>
    </row>
    <row r="176" ht="145.5" customFormat="1" customHeight="1" s="704">
      <c r="A176" s="327">
        <f>A175+1</f>
        <v/>
      </c>
      <c r="B176" s="261" t="inlineStr">
        <is>
          <t>FCSStap</t>
        </is>
      </c>
      <c r="C176" s="357" t="inlineStr">
        <is>
          <t>fcs_staple_days</t>
        </is>
      </c>
      <c r="D176" s="193"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6" s="637">
        <f>LEN(D176)</f>
        <v/>
      </c>
      <c r="F176" s="641" t="inlineStr">
        <is>
          <t>လွန်ခဲ့သော 7 ရက်အတွင်း လူကြီးမင်း၏အိမ်ထောင်စုဝင် သည် ဆန်၊ ပြောင်း၊ ခေါက်ဆွဲ၊ ပေါင်မုန့်၊ ကောက်နှံ၊ အာလူး၊ လူး၊ ပီလောပီနံ၊ ကန်စွန်းဥအချို စသည့်ကဆီဓာတ်၊ အမြစ်များနှင့် သစ်ဥသစ်ဖုများကို ရက်မည်မျှစားသုံးခဲ့ရသနည်း။
[အော်ပရေတာ- ရက်ပေါင်း 0-7 အထိ နေ့ရက်အရေအတွက်ကိုမှတ်သားပါ]
[အနည်းငယ်သော ပမာဏသာစားပါက ထည့်မတွက်ရပါ]</t>
        </is>
      </c>
      <c r="G176" s="637">
        <f>LEN(F176)</f>
        <v/>
      </c>
      <c r="H176" s="487" t="inlineStr">
        <is>
          <t>Range</t>
        </is>
      </c>
      <c r="I176" s="637" t="inlineStr">
        <is>
          <t>NA</t>
        </is>
      </c>
      <c r="J176" s="637" t="inlineStr">
        <is>
          <t>NA</t>
        </is>
      </c>
      <c r="K176" s="637" t="inlineStr">
        <is>
          <t>Form Type - TextBox</t>
        </is>
      </c>
      <c r="L176" s="227" t="inlineStr">
        <is>
          <t>NA</t>
        </is>
      </c>
      <c r="M176" s="161" t="inlineStr">
        <is>
          <t>0-7 = FCSPulse</t>
        </is>
      </c>
      <c r="N176" s="161" t="n"/>
      <c r="O176" s="161" t="inlineStr">
        <is>
          <t>For any response, go to FCSPulse</t>
        </is>
      </c>
      <c r="P176" s="161" t="n"/>
      <c r="Q176" s="148" t="inlineStr">
        <is>
          <t>resp_age = 18-100
hh_agricactivity = 1 | 2 | 3 | 4
quotareached = 2</t>
        </is>
      </c>
      <c r="R176" s="706" t="n"/>
      <c r="S176" s="127" t="n">
        <v>17</v>
      </c>
      <c r="T176" s="123" t="n">
        <v>1</v>
      </c>
      <c r="U176" s="127">
        <f>S176*T176</f>
        <v/>
      </c>
      <c r="V176" s="59" t="n"/>
      <c r="X176" s="419" t="inlineStr">
        <is>
          <t>no</t>
        </is>
      </c>
      <c r="Y176" s="680" t="n"/>
      <c r="AB176" s="61" t="inlineStr">
        <is>
          <t>new question</t>
        </is>
      </c>
    </row>
    <row r="177" ht="147.6" customFormat="1" customHeight="1" s="704">
      <c r="A177" s="327">
        <f>A176+1</f>
        <v/>
      </c>
      <c r="B177" s="261" t="inlineStr">
        <is>
          <t>FCSPulse</t>
        </is>
      </c>
      <c r="C177" s="357" t="inlineStr">
        <is>
          <t>fcs_pulses_days</t>
        </is>
      </c>
      <c r="D177" s="193"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7" s="637">
        <f>LEN(D177)</f>
        <v/>
      </c>
      <c r="F177" s="641" t="inlineStr">
        <is>
          <t>လွန်ခဲ့သော 7 ရက်အတွင်း လူကြီးမင်း၏အိမ်ထောင်စုဝင် သည် ပဲအမျိုးမျိုး၊ ပဲလေး၊ စားတော်ပဲ၊ ပဲပုပ်၊ ပဲစင်းငုံ၊ မြေပဲနှင့် အခြားအခွံမာသီးများ စသည့်ပဲမျိုးစုံနှင့်အခွံမာသီးများကို ရက်မည်မျှစားသုံးခဲ့ရသနည်း။
[အော်ပရေတာ- ရက်ပေါင်း 0-7 အထိ နေ့ရက်အရေအတွက်ကိုမှတ်သားပါ]
[အနည်းငယ်သော ပမာဏသာစားပါက ထည့်မတွက်ရပါ]</t>
        </is>
      </c>
      <c r="G177" s="637">
        <f>LEN(F177)</f>
        <v/>
      </c>
      <c r="H177" s="487" t="inlineStr">
        <is>
          <t>Range</t>
        </is>
      </c>
      <c r="I177" s="637" t="inlineStr">
        <is>
          <t>NA</t>
        </is>
      </c>
      <c r="J177" s="637" t="inlineStr">
        <is>
          <t>NA</t>
        </is>
      </c>
      <c r="K177" s="637" t="inlineStr">
        <is>
          <t>Form Type - TextBox</t>
        </is>
      </c>
      <c r="L177" s="227" t="inlineStr">
        <is>
          <t>NA</t>
        </is>
      </c>
      <c r="M177" s="161" t="inlineStr">
        <is>
          <t>0-7 = FCSVeg</t>
        </is>
      </c>
      <c r="N177" s="161" t="n"/>
      <c r="O177" s="161" t="inlineStr">
        <is>
          <t>For any response, go to FCSVeg</t>
        </is>
      </c>
      <c r="P177" s="161" t="n"/>
      <c r="Q177" s="148" t="inlineStr">
        <is>
          <t>resp_age = 18-100
hh_agricactivity = 1 | 2 | 3 | 4
quotareached = 2</t>
        </is>
      </c>
      <c r="R177" s="706" t="n"/>
      <c r="S177" s="127" t="n">
        <v>17</v>
      </c>
      <c r="T177" s="123" t="n">
        <v>1</v>
      </c>
      <c r="U177" s="127">
        <f>S177*T177</f>
        <v/>
      </c>
      <c r="V177" s="59" t="n"/>
      <c r="X177" s="419" t="inlineStr">
        <is>
          <t>no</t>
        </is>
      </c>
      <c r="Y177" s="680" t="n"/>
      <c r="AB177" s="61" t="inlineStr">
        <is>
          <t>new question</t>
        </is>
      </c>
    </row>
    <row r="178" ht="161.25" customFormat="1" customHeight="1" s="704">
      <c r="A178" s="327">
        <f>A177+1</f>
        <v/>
      </c>
      <c r="B178" s="261" t="inlineStr">
        <is>
          <t>FCSVeg</t>
        </is>
      </c>
      <c r="C178" s="357" t="inlineStr">
        <is>
          <t>fcs_vegetables_days</t>
        </is>
      </c>
      <c r="D178" s="193" t="inlineStr">
        <is>
          <t>How many days over the last 7 days, did members of your household eat vegetables or leaves such as carrot, red pepper, pumpkin, orange sweet potatoes, spinach and/or other leaves/vegetables?
[OPERATOR: RECORD NUMBER OF DAYS 0 - 7]
[HINT: IF CONSUMED ONLY IN SMALL QUANTITY, DO NOT INCLUDE.]</t>
        </is>
      </c>
      <c r="E178" s="637">
        <f>LEN(D178)</f>
        <v/>
      </c>
      <c r="F178" s="643" t="inlineStr">
        <is>
          <t>လွန်ခဲ့သော 7 ရက်အတွင်း လူကြီးမင်း၏အိမ်ထောင်စုဝင်များသည် မုန်လာဥနီ၊ ငရုတ်ကောင်း၊ ရွှေဖရုံသီး၊ လိမ္မော်ရောင် ကန်စွန်းဥ၊ ဟင်းနုနွယ်ရွက်ကဲ့သို့သော ဟင်းသီးဟင်းရွက်များ သို့မဟုတ် အရွက်များ သို့မဟုတ် အခြားအရွက်များ/ ဟင်းသီးဟင်းရွက်များ  ရက်မည်မျှ စားသုံးခဲ့ရသနည်း။
[အော်ပရေတာ- ရက်ပေါင်း 0-7 အထိ နေ့ရက်အရေအတွက်ကိုမှတ်သားပါ] 
[အနည်းငယ်သော ပမာဏသာစားပါက ထည့်မတွက်ရပါ]</t>
        </is>
      </c>
      <c r="G178" s="637">
        <f>LEN(F178)</f>
        <v/>
      </c>
      <c r="H178" s="487" t="inlineStr">
        <is>
          <t>Range</t>
        </is>
      </c>
      <c r="I178" s="637" t="inlineStr">
        <is>
          <t>NA</t>
        </is>
      </c>
      <c r="J178" s="637" t="inlineStr">
        <is>
          <t>NA</t>
        </is>
      </c>
      <c r="K178" s="637" t="inlineStr">
        <is>
          <t>Form Type - TextBox</t>
        </is>
      </c>
      <c r="L178" s="227" t="inlineStr">
        <is>
          <t>NA</t>
        </is>
      </c>
      <c r="M178" s="161" t="inlineStr">
        <is>
          <t>0-7 = FCSFruit</t>
        </is>
      </c>
      <c r="N178" s="579" t="n"/>
      <c r="O178" s="161" t="inlineStr">
        <is>
          <t>For any response, go to FCSFruit</t>
        </is>
      </c>
      <c r="P178" s="161" t="n"/>
      <c r="Q178" s="148" t="inlineStr">
        <is>
          <t>resp_age = 18-100
hh_agricactivity = 1 | 2 | 3 | 4
quotareached = 2</t>
        </is>
      </c>
      <c r="R178" s="706" t="n"/>
      <c r="S178" s="127" t="n">
        <v>17</v>
      </c>
      <c r="T178" s="123" t="n">
        <v>1</v>
      </c>
      <c r="U178" s="127">
        <f>S178*T178</f>
        <v/>
      </c>
      <c r="V178" s="59" t="n"/>
      <c r="X178" s="63" t="inlineStr">
        <is>
          <t>no</t>
        </is>
      </c>
      <c r="Y178" s="680" t="n"/>
      <c r="AB178" s="61" t="inlineStr">
        <is>
          <t>new question</t>
        </is>
      </c>
    </row>
    <row r="179" ht="139.5" customFormat="1" customHeight="1" s="704">
      <c r="A179" s="327">
        <f>A178+1</f>
        <v/>
      </c>
      <c r="B179" s="261" t="inlineStr">
        <is>
          <t>FCSFruit</t>
        </is>
      </c>
      <c r="C179" s="357" t="inlineStr">
        <is>
          <t>fcs_fruit_days</t>
        </is>
      </c>
      <c r="D179" s="193" t="inlineStr">
        <is>
          <t>How many days over the last 7 days, did members of your household eat fruits such as banana, apple, mango, papaya and/or other fruits?
[OPERATOR: RECORD NUMBER OF DAYS 0 - 7]
[HINT: IF CONSUMED ONLY IN SMALL QUANTITY, DO NOT INCLUDE.]</t>
        </is>
      </c>
      <c r="E179" s="637">
        <f>LEN(D179)</f>
        <v/>
      </c>
      <c r="F179" s="621" t="inlineStr">
        <is>
          <t>လွန်ခဲ့သော 7 ရက်တာကာလအတွင်း လူကြီးမင်း၏အိမ်ထောင်စုဝင်များသည် ငှက်ပျောသီး၊ ပန်းသီး၊ သရက်သီး၊ သင်္ဘောသီးကဲ့သို့သော သစ်သီးများ နှင့်/သို့မဟုတ် အခြားသစ်သီးများကို ရက်မည်မျှစားသုံးခဲ့ရသနည်း။
[အော်ပရေတာ- ရက်ပေါင်း 0-7 အထိ နေ့ရက်အရေအတွက်ကိုမှတ်သားပါ]
[အနည်းငယ်သော ပမာဏသာစားပါက ထည့်မတွက်ရပါ]</t>
        </is>
      </c>
      <c r="G179" s="637">
        <f>LEN(F179)</f>
        <v/>
      </c>
      <c r="H179" s="487" t="inlineStr">
        <is>
          <t>Range</t>
        </is>
      </c>
      <c r="I179" s="637" t="inlineStr">
        <is>
          <t>NA</t>
        </is>
      </c>
      <c r="J179" s="637" t="inlineStr">
        <is>
          <t>NA</t>
        </is>
      </c>
      <c r="K179" s="637" t="inlineStr">
        <is>
          <t>Form Type - TextBox</t>
        </is>
      </c>
      <c r="L179" s="227" t="inlineStr">
        <is>
          <t>NA</t>
        </is>
      </c>
      <c r="M179" s="161" t="inlineStr">
        <is>
          <t>0-7 = FCSPr</t>
        </is>
      </c>
      <c r="N179" s="579" t="n"/>
      <c r="O179" s="161" t="inlineStr">
        <is>
          <t>For any response, go to FCSPr</t>
        </is>
      </c>
      <c r="P179" s="161" t="n"/>
      <c r="Q179" s="148" t="inlineStr">
        <is>
          <t>resp_age = 18-100
hh_agricactivity = 1 | 2 | 3 | 4
quotareached = 2</t>
        </is>
      </c>
      <c r="R179" s="706" t="n"/>
      <c r="S179" s="127" t="n">
        <v>17</v>
      </c>
      <c r="T179" s="123" t="n">
        <v>1</v>
      </c>
      <c r="U179" s="127">
        <f>S179*T179</f>
        <v/>
      </c>
      <c r="V179" s="59" t="n"/>
      <c r="X179" s="63" t="inlineStr">
        <is>
          <t>no</t>
        </is>
      </c>
      <c r="Y179" s="680" t="n"/>
      <c r="AB179" s="61" t="inlineStr">
        <is>
          <t>new question</t>
        </is>
      </c>
    </row>
    <row r="180" ht="132" customFormat="1" customHeight="1" s="319">
      <c r="A180" s="502">
        <f>A179+1</f>
        <v/>
      </c>
      <c r="B180" s="503" t="inlineStr">
        <is>
          <t>FCSPr</t>
        </is>
      </c>
      <c r="C180" s="507" t="inlineStr">
        <is>
          <t>fcs_meat_fish_days</t>
        </is>
      </c>
      <c r="D180" s="23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0" s="432">
        <f>LEN(D180)</f>
        <v/>
      </c>
      <c r="F180" s="294" t="inlineStr">
        <is>
          <t>လွန်ခဲ့သော 7 ရက်အတွင်း လူကြီးမင်း၏အိမ်ထောင်စုဝင် သည် အသား ၊ ဥများ သို့မဟုတ် ငါးများ  (အင်းဆက်များ၊ အခြားငှက်များ၊အသည်း၊ နှလုံးနှင့်/အခြားအသားအင်္ဂါများ၊ [လတ်ဆတ်သောငါး၊နှင့် / သို့မဟုတ် အခြားပင်လယ်စာအပါအဝင်] ကို ရက်မည်မျှစားသုံးခဲ့ရသနည်း။
[အော်ပရေတာ- ရက်ပေါင်း 0-7 အထိ နေ့ရက်အရေအတွက်ကိုမှတ်သားပါ]
[အနည်းငယ်သော ပမာဏသာစားပါက ထည့်မတွက်ရပါ]</t>
        </is>
      </c>
      <c r="G180" s="432">
        <f>LEN(F180)</f>
        <v/>
      </c>
      <c r="H180" s="504" t="inlineStr">
        <is>
          <t>Range</t>
        </is>
      </c>
      <c r="I180" s="432" t="inlineStr">
        <is>
          <t>NA</t>
        </is>
      </c>
      <c r="J180" s="432" t="inlineStr">
        <is>
          <t>NA</t>
        </is>
      </c>
      <c r="K180" s="432" t="inlineStr">
        <is>
          <t>Form Type - TextBox</t>
        </is>
      </c>
      <c r="L180" s="505" t="inlineStr">
        <is>
          <t>NA</t>
        </is>
      </c>
      <c r="M180" s="323" t="inlineStr">
        <is>
          <t>0-7 = FCSDairy</t>
        </is>
      </c>
      <c r="N180" s="323" t="n"/>
      <c r="O180" s="323" t="inlineStr">
        <is>
          <t>For any response, go to FCSDairy</t>
        </is>
      </c>
      <c r="P180" s="323" t="n"/>
      <c r="Q180" s="314" t="inlineStr">
        <is>
          <t>resp_age = 18-100
hh_agricactivity = 1 | 2 | 3 | 4
quotareached = 2</t>
        </is>
      </c>
      <c r="R180" s="506" t="n"/>
      <c r="S180" s="424" t="n">
        <v>17</v>
      </c>
      <c r="T180" s="425" t="n">
        <v>1</v>
      </c>
      <c r="U180" s="424">
        <f>S180*T180</f>
        <v/>
      </c>
      <c r="V180" s="318" t="n"/>
      <c r="X180" s="324" t="inlineStr">
        <is>
          <t>no</t>
        </is>
      </c>
      <c r="Y180" s="321" t="n"/>
      <c r="AB180" s="322" t="inlineStr">
        <is>
          <t>new question</t>
        </is>
      </c>
    </row>
    <row r="181" ht="137.1" customFormat="1" customHeight="1" s="319">
      <c r="A181" s="502">
        <f>A180+1</f>
        <v/>
      </c>
      <c r="B181" s="503" t="inlineStr">
        <is>
          <t>FCSDairy</t>
        </is>
      </c>
      <c r="C181" s="507" t="inlineStr">
        <is>
          <t>fcs_dairy_days</t>
        </is>
      </c>
      <c r="D181" s="23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1" s="432">
        <f>LEN(D181)</f>
        <v/>
      </c>
      <c r="F181" s="298" t="inlineStr">
        <is>
          <t>လွန်ခဲ့သော 7 ရက်အတွင်း လူကြီးမင်း၏အိမ်ထောင်စုဝင် သည် နို့ချို၊ နို့ချဉ်၊ ဒိန်ချဉ်၊ ချိစ်နှင့်အခြားနို့ထွက်ပစ္စည်းများကို ရက်မည်မျှစားသုံးခဲ့ရသနည်း။[ဟင်းရွက်အဆီခဲ/ထောပတ်နှင့် လက်ဖက်ရည်၊ ကော်ဖီအတွက် နို့အနည်းငယ်တို့မပါဝင်ပါ]
[အော်ပရေတာ- ရက်ပေါင်း 0-7 အထိ နေ့ရက်အရေအတွက်ကိုမှတ်သားပါ]
[အနည်းငယ်သော ပမာဏသာစားပါက ထည့်မတွက်ရပါ]</t>
        </is>
      </c>
      <c r="G181" s="432">
        <f>LEN(F181)</f>
        <v/>
      </c>
      <c r="H181" s="504" t="inlineStr">
        <is>
          <t>Range</t>
        </is>
      </c>
      <c r="I181" s="432" t="inlineStr">
        <is>
          <t>NA</t>
        </is>
      </c>
      <c r="J181" s="432" t="inlineStr">
        <is>
          <t>NA</t>
        </is>
      </c>
      <c r="K181" s="432" t="inlineStr">
        <is>
          <t>Form Type - TextBox</t>
        </is>
      </c>
      <c r="L181" s="505" t="inlineStr">
        <is>
          <t>NA</t>
        </is>
      </c>
      <c r="M181" s="323" t="inlineStr">
        <is>
          <t>0-7 = FCSSugar</t>
        </is>
      </c>
      <c r="N181" s="323" t="n"/>
      <c r="O181" s="323" t="inlineStr">
        <is>
          <t>For any response, go to FCSSugar</t>
        </is>
      </c>
      <c r="P181" s="323" t="n"/>
      <c r="Q181" s="314" t="inlineStr">
        <is>
          <t>resp_age = 18-100
hh_agricactivity = 1 | 2 | 3 | 4
quotareached = 2</t>
        </is>
      </c>
      <c r="R181" s="506" t="n"/>
      <c r="S181" s="424" t="n">
        <v>17</v>
      </c>
      <c r="T181" s="425" t="n">
        <v>1</v>
      </c>
      <c r="U181" s="424">
        <f>S181*T181</f>
        <v/>
      </c>
      <c r="V181" s="318" t="n"/>
      <c r="X181" s="324" t="inlineStr">
        <is>
          <t>no</t>
        </is>
      </c>
      <c r="Y181" s="321" t="n"/>
      <c r="AB181" s="322" t="inlineStr">
        <is>
          <t>new question</t>
        </is>
      </c>
    </row>
    <row r="182" ht="116.45" customFormat="1" customHeight="1" s="319">
      <c r="A182" s="502">
        <f>A181+1</f>
        <v/>
      </c>
      <c r="B182" s="503" t="inlineStr">
        <is>
          <t>FCSSugar</t>
        </is>
      </c>
      <c r="C182" s="507" t="inlineStr">
        <is>
          <t>fcs_sugar_days</t>
        </is>
      </c>
      <c r="D182" s="231" t="inlineStr">
        <is>
          <t>How many days over the last 7 days, did members of your household consume sugar or sweet such as sugar, honey, jam, cakes, candy, cookies, pastries, cakes and other sweets and sugary drinks?
[OPERATOR: RECORD NUMBER OF DAYS 0 - 7]
[HINT: IF CONSUMED ONLY IN SMALL QUANTITY, DO NOT INCLUDE.]</t>
        </is>
      </c>
      <c r="E182" s="432">
        <f>LEN(D182)</f>
        <v/>
      </c>
      <c r="F182" s="298" t="inlineStr">
        <is>
          <t>လူကြီးမင်း၏အိမ်ထောင်စုဝင်သည် 7 ရက်အတွင်း သကြား၊ ပျားရည်၊ ပျားရည်၊ ယို၊ ကိတ်မုန့်၊ သကြားလုံး၊ ကွတ်ကီး၊ကိတ်နှင့်အခြားအချိုမုန့်များနှင့်အချိုရည်များစသည့် သကြားနှင့်အချိုများကို ရက်မည်မျှစားသုံးခဲ့ရသနည်း။
[အော်ပရေတာ- ရက်ပေါင်း 0-7 အထိ နေ့ရက်အရေအတွက်ကိုမှတ်သားပါ]
[အနည်းငယ်သော ပမာဏသာစားပါက ထည့်မတွက်ရပါ]</t>
        </is>
      </c>
      <c r="G182" s="432">
        <f>LEN(F182)</f>
        <v/>
      </c>
      <c r="H182" s="504" t="inlineStr">
        <is>
          <t>Range</t>
        </is>
      </c>
      <c r="I182" s="432" t="inlineStr">
        <is>
          <t>NA</t>
        </is>
      </c>
      <c r="J182" s="432" t="inlineStr">
        <is>
          <t>NA</t>
        </is>
      </c>
      <c r="K182" s="432" t="inlineStr">
        <is>
          <t>Form Type - TextBox</t>
        </is>
      </c>
      <c r="L182" s="505" t="inlineStr">
        <is>
          <t>NA</t>
        </is>
      </c>
      <c r="M182" s="323" t="inlineStr">
        <is>
          <t>0-7 = FCSFat</t>
        </is>
      </c>
      <c r="N182" s="323" t="n"/>
      <c r="O182" s="323" t="inlineStr">
        <is>
          <t>For any response, go to FCSFat</t>
        </is>
      </c>
      <c r="P182" s="323" t="n"/>
      <c r="Q182" s="314" t="inlineStr">
        <is>
          <t>resp_age = 18-100
hh_agricactivity = 1 | 2 | 3 | 4
quotareached = 2</t>
        </is>
      </c>
      <c r="R182" s="506" t="n"/>
      <c r="S182" s="424" t="n">
        <v>17</v>
      </c>
      <c r="T182" s="425" t="n">
        <v>1</v>
      </c>
      <c r="U182" s="424">
        <f>S182*T182</f>
        <v/>
      </c>
      <c r="V182" s="318" t="n"/>
      <c r="X182" s="324" t="inlineStr">
        <is>
          <t>no</t>
        </is>
      </c>
      <c r="Y182" s="321" t="n"/>
      <c r="AB182" s="322" t="inlineStr">
        <is>
          <t>new question</t>
        </is>
      </c>
    </row>
    <row r="183" ht="129" customFormat="1" customHeight="1" s="319" thickBot="1">
      <c r="A183" s="515">
        <f>A182+1</f>
        <v/>
      </c>
      <c r="B183" s="508" t="inlineStr">
        <is>
          <t>FCSFat</t>
        </is>
      </c>
      <c r="C183" s="507" t="inlineStr">
        <is>
          <t>fcs_oil_days</t>
        </is>
      </c>
      <c r="D183" s="410" t="inlineStr">
        <is>
          <t>How many days over the last 7 days, did members of your household eat oil/fat/butter such as vegetable oil, palm oil, groundnut oil, margarine, other fats / oil?
[OPERATOR: RECORD NUMBER OF DAYS 0 - 7]
[HINT: IF CONSUMED ONLY IN SMALL QUANTITY, DO NOT INCLUDE.]</t>
        </is>
      </c>
      <c r="E183" s="509">
        <f>LEN(D183)</f>
        <v/>
      </c>
      <c r="F183" s="510" t="inlineStr">
        <is>
          <t>လွန်ခဲ့သော 7 ရက်အတွင်း လူကြီးမင်း၏အိမ်ထောင်စုဝင်သည် ဟင်းရွက်ဆီ၊ အုန်းဆီ၊ မြေပဲဆီ၊ ဟင်းရွက်အဆီခဲ၊ အခြားအဆီများကဲ့သို့သော ဆီ/အဆီ/ထောပတ်များကို ရက်မည်မျှစားသုံးခဲ့ရသနည်း။
[အော်ပရေတာ- ရက်ပေါင်း 0-7 အထိ နေ့ရက်အရေအတွက်ကိုမှတ်သားပါ]
[အနည်းငယ်သော ပမာဏသာစားပါက ထည့်မတွက်ရပါ]</t>
        </is>
      </c>
      <c r="G183" s="509">
        <f>LEN(F183)</f>
        <v/>
      </c>
      <c r="H183" s="511" t="inlineStr">
        <is>
          <t>Range</t>
        </is>
      </c>
      <c r="I183" s="509" t="inlineStr">
        <is>
          <t>NA</t>
        </is>
      </c>
      <c r="J183" s="509" t="inlineStr">
        <is>
          <t>NA</t>
        </is>
      </c>
      <c r="K183" s="509" t="inlineStr">
        <is>
          <t>Form Type - TextBox</t>
        </is>
      </c>
      <c r="L183" s="512" t="inlineStr">
        <is>
          <t>NA</t>
        </is>
      </c>
      <c r="M183" s="513" t="inlineStr">
        <is>
          <t>0-7 = o_meals</t>
        </is>
      </c>
      <c r="N183" s="513" t="n"/>
      <c r="O183" s="513" t="inlineStr">
        <is>
          <t>For any response, go to FCSCond</t>
        </is>
      </c>
      <c r="P183" s="513" t="n"/>
      <c r="Q183" s="382" t="inlineStr">
        <is>
          <t>resp_age = 18-100
hh_agricactivity = 1 | 2 | 3 | 4
quotareached = 2</t>
        </is>
      </c>
      <c r="R183" s="514" t="n"/>
      <c r="S183" s="424" t="n">
        <v>17</v>
      </c>
      <c r="T183" s="425" t="n">
        <v>1</v>
      </c>
      <c r="U183" s="424">
        <f>S183*T183</f>
        <v/>
      </c>
      <c r="V183" s="318" t="n"/>
      <c r="X183" s="324" t="inlineStr">
        <is>
          <t>no</t>
        </is>
      </c>
      <c r="Y183" s="321" t="n"/>
      <c r="AB183" s="322" t="inlineStr">
        <is>
          <t>new question</t>
        </is>
      </c>
    </row>
    <row r="184" ht="231" customFormat="1" customHeight="1" s="704" thickBot="1">
      <c r="A184" s="333">
        <f>A183+1</f>
        <v/>
      </c>
      <c r="B184" s="400" t="inlineStr">
        <is>
          <t>o_meals</t>
        </is>
      </c>
      <c r="C184" s="400" t="inlineStr">
        <is>
          <t>o_meals</t>
        </is>
      </c>
      <c r="D184" s="401" t="inlineStr">
        <is>
          <t>How many meals did your household have yesterday?
[OPERATOR: CHOOSE ONLY ONE OPTION]
1)0 MEALS
2)1 MEAL
3)2 MEALS
4)3 OR MORE MEALS
5)DON'T KNOW
6)REFUSED</t>
        </is>
      </c>
      <c r="E184" s="387">
        <f>LEN(D184)</f>
        <v/>
      </c>
      <c r="F184" s="402" t="inlineStr">
        <is>
          <t>လူကြီးမင်း၏အိမ်ထောင်စု မနေ့က ထမင်းဘယ်နှနပ်စားခဲ့ကြပါသလဲ။
[အော်ပရေတာ- ရွေးချယ်မှုတစ်ခုသာ ရွေးချယ်ပါ]
1)0 နပ်
2)1 နပ်
3)2 နပ်
4)3 နပ် သို့မဟုတ် ထို့ထက်ပို၍
5)မသိပါ
6)ဖြေဆိုရန် ငြင်းဆန်သည်</t>
        </is>
      </c>
      <c r="G184" s="387">
        <f>LEN(F184)</f>
        <v/>
      </c>
      <c r="H184" s="386" t="inlineStr">
        <is>
          <t>Single Choice</t>
        </is>
      </c>
      <c r="I184" s="387" t="inlineStr">
        <is>
          <t>NA</t>
        </is>
      </c>
      <c r="J184" s="387" t="inlineStr">
        <is>
          <t>NA</t>
        </is>
      </c>
      <c r="K184" s="387" t="inlineStr">
        <is>
          <t>Form Type - Buttons</t>
        </is>
      </c>
      <c r="L184" s="270" t="inlineStr">
        <is>
          <t>NA</t>
        </is>
      </c>
      <c r="M184" s="403" t="inlineStr">
        <is>
          <t>1-6 = rcsi</t>
        </is>
      </c>
      <c r="N184" s="404" t="n"/>
      <c r="O184" s="405" t="inlineStr">
        <is>
          <t>1-6 = rcsi_intro</t>
        </is>
      </c>
      <c r="P184" s="388" t="n"/>
      <c r="Q184" s="271" t="n"/>
      <c r="R184" s="406" t="n"/>
      <c r="S184" s="127" t="n"/>
      <c r="T184" s="123" t="n"/>
      <c r="U184" s="127" t="n"/>
      <c r="V184" s="59" t="n"/>
      <c r="X184" s="63" t="n"/>
      <c r="Y184" s="680" t="n"/>
      <c r="AB184" s="61" t="n"/>
    </row>
    <row r="185" ht="135.6" customFormat="1" customHeight="1" s="319">
      <c r="A185" s="429">
        <f>A184+1</f>
        <v/>
      </c>
      <c r="B185" s="517" t="inlineStr">
        <is>
          <t>rcsi</t>
        </is>
      </c>
      <c r="C185" s="517" t="inlineStr">
        <is>
          <t>rcsi_intro</t>
        </is>
      </c>
      <c r="D185" s="398" t="inlineStr">
        <is>
          <t>Now I will ask you about the number of days, in the last 7 days, during which the household has done some of the actions that I will mention to cope with the lack of food or money to buy food.
1)CONTINUE</t>
        </is>
      </c>
      <c r="E185" s="518">
        <f>LEN(D185)</f>
        <v/>
      </c>
      <c r="F185" s="516" t="inlineStr">
        <is>
          <t xml:space="preserve"> လွန်ခဲ့သည် ၇-ရက်အတွင်း သင့်မိသားစုအတွင်း အစားအစာမလုံလောက်မှု (သို့) အစားအစာဝယ်ယူရန်ငွေကြေးမလုံလောက်မှုများ ရှိခဲ့လျှင်အောက်ပါများကိုအသုံးပြု၍ဖြေရှင်းပါသလား။
1)နောက်ထပ်</t>
        </is>
      </c>
      <c r="G185" s="518">
        <f>LEN(F185)</f>
        <v/>
      </c>
      <c r="H185" s="519" t="inlineStr">
        <is>
          <t>Single Choice</t>
        </is>
      </c>
      <c r="I185" s="518" t="inlineStr">
        <is>
          <t>NA</t>
        </is>
      </c>
      <c r="J185" s="518" t="inlineStr">
        <is>
          <t>NA</t>
        </is>
      </c>
      <c r="K185" s="518" t="inlineStr">
        <is>
          <t>Form Type - Buttons</t>
        </is>
      </c>
      <c r="L185" s="520" t="inlineStr">
        <is>
          <t>NA</t>
        </is>
      </c>
      <c r="M185" s="521" t="inlineStr">
        <is>
          <t>1 = rCSILessQlty</t>
        </is>
      </c>
      <c r="N185" s="521" t="n"/>
      <c r="O185" s="521" t="inlineStr">
        <is>
          <t>For any response, go to rCSILessQlty</t>
        </is>
      </c>
      <c r="P185" s="521" t="n"/>
      <c r="Q185" s="445" t="inlineStr">
        <is>
          <t>resp_age = 18-100
hh_agricactivity = 1 | 2 | 3 | 4
quotareached = 2</t>
        </is>
      </c>
      <c r="R185" s="522" t="n"/>
      <c r="S185" s="424" t="n"/>
      <c r="T185" s="425" t="n">
        <v>1</v>
      </c>
      <c r="U185" s="424">
        <f>S185*T185</f>
        <v/>
      </c>
      <c r="V185" s="318" t="n"/>
      <c r="X185" s="324" t="inlineStr">
        <is>
          <t>no</t>
        </is>
      </c>
      <c r="Y185" s="321" t="n"/>
      <c r="AB185" s="322" t="inlineStr">
        <is>
          <t>new question</t>
        </is>
      </c>
    </row>
    <row r="186" ht="111.6" customFormat="1" customHeight="1" s="704">
      <c r="A186" s="327">
        <f>A185+1</f>
        <v/>
      </c>
      <c r="B186" s="261" t="inlineStr">
        <is>
          <t>rCSILessQlty</t>
        </is>
      </c>
      <c r="C186" s="507" t="inlineStr">
        <is>
          <t>rcsi_less_preferred_foods</t>
        </is>
      </c>
      <c r="D186" s="231" t="inlineStr">
        <is>
          <t>In the past 7 days, how many days did your household rely on less preferred or less expensive food due to lack of food/money?  
[OPERATOR: RECORD NUMBER OF DAYS 0 - 7 ]</t>
        </is>
      </c>
      <c r="E186" s="637">
        <f>LEN(D186)</f>
        <v/>
      </c>
      <c r="F186" s="299" t="inlineStr">
        <is>
          <t>လွန်ခဲသော ၇-ရက် အတွင်း မနှစ်သက်သော ၊ စျေးပိုသက်သာသော အစားအစာကို စားသောက်ခြင်း ကို ဘယ်နှစ်ရက် လောက် ပြုလုပ်ခဲ့ရပါသနည်း။
[အော်ပရေတာ- ရက်ပေါင်း 0-7 အထိ နေ့ရက်အရေအတွက်ကိုမှတ်သားပါ]</t>
        </is>
      </c>
      <c r="G186" s="637">
        <f>LEN(F186)</f>
        <v/>
      </c>
      <c r="H186" s="191" t="inlineStr">
        <is>
          <t>Range</t>
        </is>
      </c>
      <c r="I186" s="637" t="inlineStr">
        <is>
          <t>NA</t>
        </is>
      </c>
      <c r="J186" s="637" t="inlineStr">
        <is>
          <t>NA</t>
        </is>
      </c>
      <c r="K186" s="637" t="inlineStr">
        <is>
          <t>Form Type - TextBox</t>
        </is>
      </c>
      <c r="L186" s="227" t="inlineStr">
        <is>
          <t>NA</t>
        </is>
      </c>
      <c r="M186" s="161" t="inlineStr">
        <is>
          <t>0-0 = rCSIBorrow
1-7 = rCSIBorrow</t>
        </is>
      </c>
      <c r="N186" s="221" t="n"/>
      <c r="O186" s="161" t="inlineStr">
        <is>
          <t>For any response, go to rCSIBorrow</t>
        </is>
      </c>
      <c r="P186" s="161" t="n"/>
      <c r="Q186" s="148" t="inlineStr">
        <is>
          <t>resp_age = 18-100
hh_agricactivity = 1 | 2 | 3 | 4
quotareached = 2</t>
        </is>
      </c>
      <c r="R186" s="706" t="n"/>
      <c r="S186" s="127" t="n">
        <v>17</v>
      </c>
      <c r="T186" s="123" t="n">
        <v>1</v>
      </c>
      <c r="U186" s="127">
        <f>S186*T186</f>
        <v/>
      </c>
      <c r="V186" s="59" t="n"/>
      <c r="X186" s="63" t="inlineStr">
        <is>
          <t>no</t>
        </is>
      </c>
      <c r="Y186" s="680" t="n"/>
      <c r="AB186" s="61" t="inlineStr">
        <is>
          <t>new question</t>
        </is>
      </c>
    </row>
    <row r="187" ht="110.1" customFormat="1" customHeight="1" s="704">
      <c r="A187" s="327">
        <f>A186+1</f>
        <v/>
      </c>
      <c r="B187" s="261" t="inlineStr">
        <is>
          <t>rCSIBorrow</t>
        </is>
      </c>
      <c r="C187" s="507" t="inlineStr">
        <is>
          <t>rcsi_borrowed_food</t>
        </is>
      </c>
      <c r="D187" s="231" t="inlineStr">
        <is>
          <t>In the past 7 days, how many days did your household borrow food, or rely on help from a friend or relative due to lack of food or money to buy food? 
[OPERATOR: RECORD NUMBER OF DAYS 0 - 7 ]</t>
        </is>
      </c>
      <c r="E187" s="637">
        <f>LEN(D187)</f>
        <v/>
      </c>
      <c r="F187" s="299" t="inlineStr">
        <is>
          <t>လွန်ခဲသော ၇-ရက် အတွင်း မိတ်ဆွေ ဆွေမျိုးများမှ အစားအစာချေးငှားခြင်း ကို ဘယ်နှစ်ရက် လောက် ပြုလုပ်ခဲ့ရပါသနည်း။
[အော်ပရေတာ- ရက်ပေါင်း 0-7 အထိ နေ့ရက်အရေအတွက်ကိုမှတ်သားပါ]</t>
        </is>
      </c>
      <c r="G187" s="637">
        <f>LEN(F187)</f>
        <v/>
      </c>
      <c r="H187" s="191" t="inlineStr">
        <is>
          <t>Range</t>
        </is>
      </c>
      <c r="I187" s="637" t="inlineStr">
        <is>
          <t>NA</t>
        </is>
      </c>
      <c r="J187" s="637" t="inlineStr">
        <is>
          <t>NA</t>
        </is>
      </c>
      <c r="K187" s="637" t="inlineStr">
        <is>
          <t>Form Type - TextBox</t>
        </is>
      </c>
      <c r="L187" s="227" t="inlineStr">
        <is>
          <t>NA</t>
        </is>
      </c>
      <c r="M187" s="161" t="inlineStr">
        <is>
          <t>0-7 = rCSIMealNb</t>
        </is>
      </c>
      <c r="N187" s="221" t="n"/>
      <c r="O187" s="161" t="inlineStr">
        <is>
          <t>For any response, go to rCSIMealNb</t>
        </is>
      </c>
      <c r="P187" s="161" t="n"/>
      <c r="Q187" s="148" t="inlineStr">
        <is>
          <t>resp_age = 18-100
hh_agricactivity = 1 | 2 | 3 | 4
quotareached = 2</t>
        </is>
      </c>
      <c r="R187" s="706" t="n"/>
      <c r="S187" s="127" t="n">
        <v>17</v>
      </c>
      <c r="T187" s="123" t="n">
        <v>1</v>
      </c>
      <c r="U187" s="127">
        <f>S187*T187</f>
        <v/>
      </c>
      <c r="V187" s="59" t="n"/>
      <c r="X187" s="63" t="inlineStr">
        <is>
          <t>no</t>
        </is>
      </c>
      <c r="Y187" s="680" t="n"/>
      <c r="AB187" s="61" t="inlineStr">
        <is>
          <t>new question</t>
        </is>
      </c>
    </row>
    <row r="188" ht="108.95" customFormat="1" customHeight="1" s="704">
      <c r="A188" s="327">
        <f>A187+1</f>
        <v/>
      </c>
      <c r="B188" s="262" t="inlineStr">
        <is>
          <t>rCSIMealNb</t>
        </is>
      </c>
      <c r="C188" s="523" t="inlineStr">
        <is>
          <t>rcsi_reduce_number_meals</t>
        </is>
      </c>
      <c r="D188" s="231" t="inlineStr">
        <is>
          <t>In the past 7 days, how many days did your household reduce the number of meals eaten in a day due to lack of food or money to buy food?
[OPERATOR: RECORD NUMBER OF DAYS 0 - 7 ]</t>
        </is>
      </c>
      <c r="E188" s="637">
        <f>LEN(D188)</f>
        <v/>
      </c>
      <c r="F188" s="299" t="inlineStr">
        <is>
          <t>လွန်ခဲသော ၇-ရက် အတွင်း အနပ်ရေလျှော့စားခြင်း ကို ဘယ်နှစ်ရက် လောက် ပြုလုပ်ခဲ့ရပါသနည်း။
[အော်ပရေတာ- ရက်ပေါင်း 0-7 အထိ နေ့ရက်အရေအတွက်ကိုမှတ်သားပါ]</t>
        </is>
      </c>
      <c r="G188" s="637">
        <f>LEN(F188)</f>
        <v/>
      </c>
      <c r="H188" s="191" t="inlineStr">
        <is>
          <t>Range</t>
        </is>
      </c>
      <c r="I188" s="637" t="inlineStr">
        <is>
          <t>NA</t>
        </is>
      </c>
      <c r="J188" s="637" t="inlineStr">
        <is>
          <t>NA</t>
        </is>
      </c>
      <c r="K188" s="637" t="inlineStr">
        <is>
          <t>Form Type - TextBox</t>
        </is>
      </c>
      <c r="L188" s="227" t="inlineStr">
        <is>
          <t>NA</t>
        </is>
      </c>
      <c r="M188" s="161" t="inlineStr">
        <is>
          <t>0-7 = rCSIMealSize</t>
        </is>
      </c>
      <c r="N188" s="221" t="n"/>
      <c r="O188" s="161" t="inlineStr">
        <is>
          <t>For any response, go to rCSIMealSize</t>
        </is>
      </c>
      <c r="P188" s="161" t="n"/>
      <c r="Q188" s="148" t="inlineStr">
        <is>
          <t>resp_age = 18-100
hh_agricactivity = 1 | 2 | 3 | 4
quotareached = 2</t>
        </is>
      </c>
      <c r="R188" s="706" t="n"/>
      <c r="S188" s="127" t="n">
        <v>17</v>
      </c>
      <c r="T188" s="123" t="n">
        <v>1</v>
      </c>
      <c r="U188" s="127">
        <f>S188*T188</f>
        <v/>
      </c>
      <c r="V188" s="59" t="n"/>
      <c r="X188" s="63" t="inlineStr">
        <is>
          <t>no</t>
        </is>
      </c>
      <c r="Y188" s="680" t="n"/>
      <c r="AB188" s="61" t="inlineStr">
        <is>
          <t>new question</t>
        </is>
      </c>
    </row>
    <row r="189" ht="106.5" customFormat="1" customHeight="1" s="704">
      <c r="A189" s="327">
        <f>A188+1</f>
        <v/>
      </c>
      <c r="B189" s="261" t="inlineStr">
        <is>
          <t>rCSIMealSize</t>
        </is>
      </c>
      <c r="C189" s="507" t="inlineStr">
        <is>
          <t>rcsi_limit_portions</t>
        </is>
      </c>
      <c r="D189" s="231" t="inlineStr">
        <is>
          <t>In the past 7 days, how many days did your household limit portion sizes at mealtime due to lack of food or money to buy food? 
[OPERATOR: RECORD NUMBER OF DAYS 0 - 7 ]</t>
        </is>
      </c>
      <c r="E189" s="637">
        <f>LEN(D189)</f>
        <v/>
      </c>
      <c r="F189" s="299" t="inlineStr">
        <is>
          <t>လွန်ခဲသော ၇-ရက် အတွင်း ပမာဏလျှော့စားခြင်း ကို ဘယ်နှစ်ရက် လောက် ပြုလုပ်ခဲ့ရပါသနည်း။
[အော်ပရေတာ- ရက်ပေါင်း 0-7 အထိ နေ့ရက်အရေအတွက်ကိုမှတ်သားပါ]</t>
        </is>
      </c>
      <c r="G189" s="637">
        <f>LEN(F189)</f>
        <v/>
      </c>
      <c r="H189" s="191" t="inlineStr">
        <is>
          <t>Range</t>
        </is>
      </c>
      <c r="I189" s="637" t="inlineStr">
        <is>
          <t>NA</t>
        </is>
      </c>
      <c r="J189" s="637" t="inlineStr">
        <is>
          <t>NA</t>
        </is>
      </c>
      <c r="K189" s="637" t="inlineStr">
        <is>
          <t>Form Type - TextBox</t>
        </is>
      </c>
      <c r="L189" s="227" t="inlineStr">
        <is>
          <t>NA</t>
        </is>
      </c>
      <c r="M189" s="161" t="inlineStr">
        <is>
          <t>0-7 = rCSIMealAdult</t>
        </is>
      </c>
      <c r="N189" s="221" t="n"/>
      <c r="O189" s="161" t="inlineStr">
        <is>
          <t>For any response, go to  rCSIMealAdult</t>
        </is>
      </c>
      <c r="P189" s="161" t="n"/>
      <c r="Q189" s="148" t="inlineStr">
        <is>
          <t>resp_age = 18-100
hh_agricactivity = 1 | 2 | 3 | 4
quotareached = 2</t>
        </is>
      </c>
      <c r="R189" s="260" t="n"/>
      <c r="S189" s="127" t="n">
        <v>17</v>
      </c>
      <c r="T189" s="123" t="n">
        <v>1</v>
      </c>
      <c r="U189" s="127">
        <f>S189*T189</f>
        <v/>
      </c>
      <c r="V189" s="59" t="n"/>
      <c r="X189" s="63" t="inlineStr">
        <is>
          <t>no</t>
        </is>
      </c>
      <c r="Y189" s="680" t="n"/>
      <c r="AB189" s="61" t="inlineStr">
        <is>
          <t>new question</t>
        </is>
      </c>
    </row>
    <row r="190" ht="106.5" customFormat="1" customHeight="1" s="704" thickBot="1">
      <c r="A190" s="328">
        <f>A189+1</f>
        <v/>
      </c>
      <c r="B190" s="368" t="inlineStr">
        <is>
          <t>rCSIMealAdult</t>
        </is>
      </c>
      <c r="C190" s="508" t="inlineStr">
        <is>
          <t>rcsi_restrict_adult_consumpt</t>
        </is>
      </c>
      <c r="D190" s="409" t="inlineStr">
        <is>
          <t>In the past 7 days, how many days did your household restrict consumption by adults so children could eat, due to lack of food or money to buy food?
[OPERATOR: RECORD NUMBER OF DAYS 0 - 7 ]</t>
        </is>
      </c>
      <c r="E190" s="372">
        <f>LEN(D190)</f>
        <v/>
      </c>
      <c r="F190" s="410" t="inlineStr">
        <is>
          <t>လွန်ခဲသော ၇-ရက် အတွင်း ကလေးငယ်များ ကိုဦးစားပေး၍ လူကြီးများသည် လျှော့စားခြင်း ကို ဘယ်နှစ်ရက် လောက် ပြုလုပ်ခဲ့ရပါသနည်း။
[အော်ပရေတာ- ရက်ပေါင်း 0-7 အထိ နေ့ရက်အရေအတွက်ကိုမှတ်သားပါ]</t>
        </is>
      </c>
      <c r="G190" s="372">
        <f>LEN(F190)</f>
        <v/>
      </c>
      <c r="H190" s="394" t="inlineStr">
        <is>
          <t>Range</t>
        </is>
      </c>
      <c r="I190" s="372" t="inlineStr">
        <is>
          <t>NA</t>
        </is>
      </c>
      <c r="J190" s="372" t="inlineStr">
        <is>
          <t>NA</t>
        </is>
      </c>
      <c r="K190" s="372" t="inlineStr">
        <is>
          <t>Form Type - TextBox</t>
        </is>
      </c>
      <c r="L190" s="395" t="inlineStr">
        <is>
          <t>NA</t>
        </is>
      </c>
      <c r="M190" s="396" t="inlineStr">
        <is>
          <t>0-7 = o_AccessMarket</t>
        </is>
      </c>
      <c r="N190" s="397" t="n"/>
      <c r="O190" s="396" t="inlineStr">
        <is>
          <t>For any response, go to food_subst</t>
        </is>
      </c>
      <c r="P190" s="409" t="n"/>
      <c r="Q190" s="168" t="inlineStr">
        <is>
          <t>resp_age = 18-100
hh_agricactivity = 1 | 2 | 3 | 4
quotareached = 2</t>
        </is>
      </c>
      <c r="R190" s="411" t="n"/>
      <c r="S190" s="127" t="n">
        <v>17</v>
      </c>
      <c r="T190" s="123" t="n">
        <v>1</v>
      </c>
      <c r="U190" s="127">
        <f>S190*T190</f>
        <v/>
      </c>
      <c r="V190" s="59" t="n"/>
      <c r="X190" s="63" t="inlineStr">
        <is>
          <t>no</t>
        </is>
      </c>
      <c r="Y190" s="680" t="n"/>
      <c r="AB190" s="61" t="inlineStr">
        <is>
          <t>new question</t>
        </is>
      </c>
    </row>
    <row r="191" ht="201.6" customFormat="1" customHeight="1" s="704">
      <c r="A191" s="326">
        <f>A190+1</f>
        <v/>
      </c>
      <c r="B191" s="407" t="inlineStr">
        <is>
          <t>o_AccessMarket</t>
        </is>
      </c>
      <c r="C191" s="407" t="inlineStr">
        <is>
          <t>o_AccessMarket</t>
        </is>
      </c>
      <c r="D191" s="334" t="inlineStr">
        <is>
          <t>Are you able to access a shop/market to buy food for your household? 
[OPERATOR: DO NOT READ THE OPTIONS. SINGLE RESPONSE]
1)YES
2)NO
3)DON'T KNOW
4)REFUSED</t>
        </is>
      </c>
      <c r="E191" s="344">
        <f>LEN(D191)</f>
        <v/>
      </c>
      <c r="F191" s="298" t="inlineStr">
        <is>
          <t>လူကြီးမင်း၏အိမ်ထောင်စုအတွက် အစားအစာဝယ်ရန် ဆိုင်တစ်ဆိုင် သို့မဟုတ် စျေးသို့ သွားလာ၍ရနိုင်ပါသလား။ 
[အော်ပရေတာ- ရွေးချယ်မှုများကိုမဖတ်ပါနှင့်။ တုံ့ပြန်မှုတစ်ခုသာ]
1)ဟုတ်
2)မဟုတ်
3)မသိပါ
4)ဖြေဆိုရန် ငြင်းဆန်သည်</t>
        </is>
      </c>
      <c r="G191" s="344">
        <f>LEN(F191)</f>
        <v/>
      </c>
      <c r="H191" s="139" t="inlineStr">
        <is>
          <t>Single Choice</t>
        </is>
      </c>
      <c r="I191" s="628" t="inlineStr">
        <is>
          <t>NA</t>
        </is>
      </c>
      <c r="J191" s="628" t="inlineStr">
        <is>
          <t>NA</t>
        </is>
      </c>
      <c r="K191" s="628" t="inlineStr">
        <is>
          <t>Form Type - Buttons</t>
        </is>
      </c>
      <c r="L191" s="628" t="inlineStr">
        <is>
          <t>NA</t>
        </is>
      </c>
      <c r="M191" s="642" t="inlineStr">
        <is>
          <t>1 = need
2 = o_AccessMarket_why
3-4 = need</t>
        </is>
      </c>
      <c r="N191" s="399" t="n"/>
      <c r="O191" s="408" t="inlineStr">
        <is>
          <t>1 = need_1
2 = o_AccessMarket_why
3-4 = need_1</t>
        </is>
      </c>
      <c r="P191" s="263" t="n"/>
      <c r="Q191" s="263" t="n"/>
      <c r="R191" s="264" t="n"/>
      <c r="S191" s="127" t="n"/>
      <c r="T191" s="123" t="n"/>
      <c r="U191" s="127" t="n"/>
      <c r="V191" s="59" t="n"/>
      <c r="X191" s="63" t="n"/>
      <c r="Y191" s="680" t="n"/>
      <c r="AB191" s="61" t="n"/>
    </row>
    <row r="192" ht="270" customFormat="1" customHeight="1" s="319" thickBot="1">
      <c r="A192" s="502">
        <f>A191+1</f>
        <v/>
      </c>
      <c r="B192" s="524" t="inlineStr">
        <is>
          <t>o_AccessMarket_why</t>
        </is>
      </c>
      <c r="C192" s="524" t="inlineStr">
        <is>
          <t>o_AccessMarket_why</t>
        </is>
      </c>
      <c r="D192" s="421" t="inlineStr">
        <is>
          <t>If not, what is the main constraint limiting your ability to access the market?
[OPERATOR: SINGLE RESPONSE]
1)Market is too far / too expensive to reach
2)Conflict/Insecurity
3)Market closure
4)Road is damaged / not viable 
5)Other [specify]
6)DON'T KNOW
7)REFUSED</t>
        </is>
      </c>
      <c r="E192" s="525">
        <f>LEN(D192)</f>
        <v/>
      </c>
      <c r="F192" s="298" t="inlineStr">
        <is>
          <t>အစား အစာဝယ်ရန် ဈေးကို လက်လှမ်းမမှီပါက၊ စျေးသို့သွားရောက်နိုင်မှုကိုကန့်သတ်ထားသောအဓိကကန့်သတ်ချက်များ သည် မည်သည် အရာဖြစ်သနည်း။
[အော်ပရေတာ- တုံ့ပြန်မှုတစ်ခုသာ]
1)ဈေးသည် ဝေးလွန်းသည် / ခရီးစရိတ်အလွန်စျေးကြီးသည်။
2)ပဋိပက္ခ/မလုံခြုံမှု
3)စျေးပိတ်ခြင်း။
4)လမ်းပျက်စီး/ အဆင်မပြေ
5)အခြား [သတ်မှတ်ရန်]
6)မသိ
7)ငြင်းဆို</t>
        </is>
      </c>
      <c r="G192" s="525">
        <f>LEN(F192)</f>
        <v/>
      </c>
      <c r="H192" s="528" t="inlineStr">
        <is>
          <t>Open Ended-Single Choice</t>
        </is>
      </c>
      <c r="I192" s="525" t="inlineStr">
        <is>
          <t>NA</t>
        </is>
      </c>
      <c r="J192" s="525" t="inlineStr">
        <is>
          <t>NA</t>
        </is>
      </c>
      <c r="K192" s="525" t="inlineStr">
        <is>
          <t>Form Type - RadioList</t>
        </is>
      </c>
      <c r="L192" s="525" t="inlineStr">
        <is>
          <t>NA</t>
        </is>
      </c>
      <c r="M192" s="436" t="inlineStr">
        <is>
          <t>1-7 = need</t>
        </is>
      </c>
      <c r="N192" s="436" t="n"/>
      <c r="O192" s="421" t="inlineStr">
        <is>
          <t>1-7 = need_1</t>
        </is>
      </c>
      <c r="P192" s="526" t="n"/>
      <c r="Q192" s="526" t="n"/>
      <c r="R192" s="527" t="n"/>
      <c r="S192" s="424" t="n"/>
      <c r="T192" s="425" t="n"/>
      <c r="U192" s="424" t="n"/>
      <c r="V192" s="318" t="n"/>
      <c r="X192" s="324" t="n"/>
      <c r="Y192" s="321" t="n"/>
      <c r="AB192" s="322" t="n"/>
    </row>
    <row r="193" ht="19.5" customFormat="1" customHeight="1" s="704" thickBot="1">
      <c r="A193" s="688" t="inlineStr">
        <is>
          <t>H. NEEDS ASSISTANCE</t>
        </is>
      </c>
      <c r="B193" s="720" t="n"/>
      <c r="C193" s="720" t="n"/>
      <c r="D193" s="720" t="n"/>
      <c r="E193" s="720" t="n"/>
      <c r="F193" s="720" t="n"/>
      <c r="G193" s="720" t="n"/>
      <c r="H193" s="720" t="n"/>
      <c r="I193" s="720" t="n"/>
      <c r="J193" s="720" t="n"/>
      <c r="K193" s="720" t="n"/>
      <c r="L193" s="720" t="n"/>
      <c r="M193" s="720" t="n"/>
      <c r="N193" s="720" t="n"/>
      <c r="O193" s="720" t="n"/>
      <c r="P193" s="720" t="n"/>
      <c r="Q193" s="720" t="n"/>
      <c r="R193" s="721" t="n"/>
      <c r="S193" s="127" t="n"/>
      <c r="T193" s="123" t="n"/>
      <c r="U193" s="127" t="n"/>
      <c r="V193" s="59" t="n"/>
      <c r="X193" s="63" t="n"/>
      <c r="Y193" s="680" t="n"/>
      <c r="AB193" s="61" t="n"/>
    </row>
    <row r="194" ht="296.25" customFormat="1" customHeight="1" s="537">
      <c r="A194" s="529">
        <f>A192+1</f>
        <v/>
      </c>
      <c r="B194" s="530" t="inlineStr">
        <is>
          <t>need</t>
        </is>
      </c>
      <c r="C194" s="427" t="inlineStr">
        <is>
          <t>need</t>
        </is>
      </c>
      <c r="D194" s="464" t="inlineStr">
        <is>
          <t>Does your household need assistance over the next 3 to 6 months?
[OPERATOR: SINGLE RESPONSE.]
1)YES
2)NO
3)DON'T KNOW
4)REFUSED</t>
        </is>
      </c>
      <c r="E194" s="426">
        <f>LEN(D194)</f>
        <v/>
      </c>
      <c r="F194" s="531" t="inlineStr">
        <is>
          <t>လာမည့် 3 လမှ 6 လအတွင်း လူကြီးမင်း၏အိမ်ထောင်စုအတွက် အကူအညီလိုအပ်ပါသလား။
[အော်ပရေတာ- တုံ့ပြန်မှုတစ်ခုသာ။]
1)ဟုတ်
2)မဟုတ်
3)မသိပါ
4)ဖြေဆိုရန် ငြင်းဆန်သည်</t>
        </is>
      </c>
      <c r="G194" s="426">
        <f>LEN(F194)</f>
        <v/>
      </c>
      <c r="H194" s="532" t="inlineStr">
        <is>
          <t>Single Choice</t>
        </is>
      </c>
      <c r="I194" s="426" t="inlineStr">
        <is>
          <t>NA</t>
        </is>
      </c>
      <c r="J194" s="630" t="inlineStr">
        <is>
          <t>Send if "hh_agricactivity" "Equals" "Yes - crop production" Or "hh_agricactivity" "Equals" "Yes - livestock production" Or "hh_agricactivity" "Equals" "Yes - both crop and livestock production" Or "income_main_cropcheck" "Equals" "YES" Or "income_sec_cropcheck" "Equals" "YES" Or "income_third_cropcheck" "Equals" "YES" Or "income_main_lscheck" "Equals" "YES" Or "income_sec_lscheck" "Equals" "YES" Or "income_third_lscheck" "Equals" "YES" Or "income_main_fishcheck" "Equals" "YES" Or "income_sec_fishcheck" "Equals" "YES" Or "income_third_fishcheck" "Equals" "YES" if not satisfied go to "callback"</t>
        </is>
      </c>
      <c r="K194" s="533" t="inlineStr">
        <is>
          <t>Form Type - Buttons</t>
        </is>
      </c>
      <c r="L194" s="428" t="inlineStr">
        <is>
          <t>NA</t>
        </is>
      </c>
      <c r="M194" s="447" t="inlineStr">
        <is>
          <t>1 = need_2
2-4= need_received</t>
        </is>
      </c>
      <c r="N194" s="447" t="n"/>
      <c r="O194" s="447" t="inlineStr">
        <is>
          <t>if need_1 = 1, go to need_2
if need_1 = 2-4, go to need_received</t>
        </is>
      </c>
      <c r="P194" s="521" t="n"/>
      <c r="Q194" s="445" t="inlineStr">
        <is>
          <t>resp_age = 18-100
hh_agricactivity = 1 | 2 | 3 | 4
quotareached = 2</t>
        </is>
      </c>
      <c r="R194" s="534" t="n"/>
      <c r="S194" s="535" t="n">
        <v>19.82824516296387</v>
      </c>
      <c r="T194" s="317" t="n">
        <v>1</v>
      </c>
      <c r="U194" s="316">
        <f>S194*T194</f>
        <v/>
      </c>
      <c r="V194" s="536" t="n"/>
      <c r="X194" s="540" t="inlineStr">
        <is>
          <t>yes</t>
        </is>
      </c>
      <c r="Y194" s="538" t="n"/>
      <c r="AB194" s="539" t="n"/>
    </row>
    <row r="195" ht="409.5" customFormat="1" customHeight="1" s="319">
      <c r="A195" s="502">
        <f>A194+1</f>
        <v/>
      </c>
      <c r="B195" s="530" t="inlineStr">
        <is>
          <t>need_2</t>
        </is>
      </c>
      <c r="C195" s="543"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95" s="458"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 - repair of ponds]
13)Training and technical knowledge/advice for fisheries or aquaculture production
14)Environmental or infrastructure rehabilitation [community-wide]
15)Cold storage
16)Marketing or sales support [e.g. public procurement]
17)Other [specify]
18)DON'T KNOW
19)REFUSED</t>
        </is>
      </c>
      <c r="E195" s="533">
        <f>LEN(D195)</f>
        <v/>
      </c>
      <c r="F195" s="541" t="inlineStr">
        <is>
          <t>နောက် ၃ လမှ ၆ လအတွင်း စိုက်ပျိုးရေးလုပ်ငန်း (သီးနှံ၊ မွေးမြူရေး သို့မဟုတ် ငါးဖမ်းလုပ်ငန်း/ငါးပုစွန်လုပ်ငန်းများအပါအဝင်) စိုက်ပျိုးရေးဆိုင်ရာအကူအညီအတွက် သင့်အိမ်ထောင်စု၏ အကြီးမားဆုံးလိုအပ်ချက်မှာ အဘယ်နည်း။
[အော်ပရေတာ- အများအပြားတုံ့ပြန်မှု။ ရွေးချယ်စရာများကို မဖတ်ပါနှင့်။]
1) အစားအစာ
2) ငွေသား
3) ငွေသားအစားထိုး သွင်းအားစုများဝယ်ယူနိုင်သော ဘောက်ချာများ 
4) သီးနှံနှင့်/သို့မဟုတ် ဟင်းသီးဟင်းရွက် ထုတ်လုပ်မှုအတွက် သွင်းအားစုများ [ဥပမာ။ မျိုးစေ့၊ မြေသြဇာ၊ ကိရိယာများ]
5) သီးနှံနှင့်/သို့မဟုတ် ဟင်းသီးဟင်းရွက်ထုတ်လုပ်မှုအတွက် အခြေခံအဆောက်အအုံများ [ဥပမာ။ ဆည်မြောင်း၊ တူးမြောင်းပြန်လည်မွန်းမံပြုပြင်ရေး၊ ရေစုပ်စက်များ]
6) သီးနှံစိုက်ပျိုးထုတ်လုပ်မှုအတွက် သင်တန်းနှင့် နည်းပညာဆိုင်ရာ အသိပညာ/အကြံဉာဏ်များ
7) မွေးမြူရေးအစာ [အစာ သို့မဟုတ် တိရိစ္ဆာန်အတွက်ဖြည့်စွက်အစာများ]
8) တိရစ္ဆာန်ဆေးကုသရေးဝန်ဆောင်မှုများ [ဥပမာ။ ကာကွယ်ဆေးထိုးခြင်း၊ သန်ျခြင်း၊ ပိုးသတ်ခြင်း]
9) မွေးမြူရေးအတွက် အခြေခံအဆောက်အဦများ [ဥပမာ။ ရေအနိမ့်အမြင့်အမှတ်များ၊ ရာသီအလိုက် တိရိစ္ဆာန်အုပ်များရွေ့ပြောင်းမွေးမြူရာတွင် သုံးရသော တိရစ္ဆာန်သွားလမ်းများ၊ အမိုးအကာများ၊ ကျန်းမာရေးအချက်များ]
10) မွေးမြူရေးဆိုင်ရာ သင်တန်းနှင့် နည်းပညာဆိုင်ရာ အသိပညာ/အကြံဉာဏ်များ
11) ငါးဖမ်းခြင်း သို့မဟုတ် ငါးပုစွန်ထုတ်လုပ်မှုအတွက် သွင်းအားစုများ
12) ငါးဖမ်းလုပ်ငန်း သို့မဟုတ် ငါးပုစွန်ထုတ်လုပ်မှုအတွက် အခြေခံအဆောက်အအုံများ [ဥပမာ။ ဆိပ်ကမ်းပြန်လည်ထူထောင်ရေး၊ ရေကန်များပြုပြင်ခြင်း]
13) ငါးဖမ်းလုပ်ငန်း သို့မဟုတ် ငါးပုစွန်ထုတ်လုပ်မှုအတွက် သင်တန်းနှင့် နည်းပညာဆိုင်ရာ အသိပညာ/အကြံဉာဏ်များ
14) ပတ်ဝန်းကျင် သို့မဟုတ် လူထုအခြေပြုအခြေခံအဆောက်အအုံ ပြန်လည်ထူထောင်ရေး [ရပ်ရွာတစ်ခုလုံးအတွက်အကျုံးဝင်သည်]၊
15) အအေးခန်း
16) စျေးကွက်ရှာဖွေခြင်း သို့မဟုတ် အရောင်းပံ့ပိုးမှု [ဥပမာ။ အများပြည်သူသုံးဝယ်ယူရေးစနစ်]
17) အခြား [သတ်မှတ်ရန်]
18) မသိပါ။
19) ငြင်းဆိုသည်</t>
        </is>
      </c>
      <c r="G195" s="533">
        <f>LEN(F195)</f>
        <v/>
      </c>
      <c r="H195" s="542" t="inlineStr">
        <is>
          <t>Open Ended-Select All That Apply</t>
        </is>
      </c>
      <c r="I195" s="533" t="inlineStr">
        <is>
          <t>NA</t>
        </is>
      </c>
      <c r="J195" s="427" t="inlineStr">
        <is>
          <t>NA</t>
        </is>
      </c>
      <c r="K195" s="533" t="inlineStr">
        <is>
          <t>Form Type - Checklist
18,19 = IsNone</t>
        </is>
      </c>
      <c r="L195" s="447"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M195" s="313" t="inlineStr">
        <is>
          <t>1-19 = need_received</t>
        </is>
      </c>
      <c r="N195" s="447" t="n"/>
      <c r="O195" s="443" t="inlineStr">
        <is>
          <t>if need_2 = 1-25, go to need_received</t>
        </is>
      </c>
      <c r="P195" s="444" t="n"/>
      <c r="Q195" s="445" t="inlineStr">
        <is>
          <t>resp_age = 18-100
hh_agricactivity = 1 | 2 | 3 | 4
quotareached = 2
need = 1</t>
        </is>
      </c>
      <c r="R195" s="315" t="n"/>
      <c r="S195" s="316" t="n">
        <v>49.52969360351562</v>
      </c>
      <c r="T195" s="317" t="n">
        <v>1</v>
      </c>
      <c r="U195" s="316">
        <f>S195*T195</f>
        <v/>
      </c>
      <c r="V195" s="318" t="n"/>
      <c r="X195" s="324" t="inlineStr">
        <is>
          <t>yes</t>
        </is>
      </c>
      <c r="Y195" s="321" t="n"/>
      <c r="AB195" s="322" t="inlineStr">
        <is>
          <t>Answer option #21, 22 (col D)</t>
        </is>
      </c>
    </row>
    <row r="196" ht="310.5" customFormat="1" customHeight="1" s="319" thickBot="1">
      <c r="A196" s="544">
        <f>A195+1</f>
        <v/>
      </c>
      <c r="B196" s="517" t="inlineStr">
        <is>
          <t>need_received</t>
        </is>
      </c>
      <c r="C196" s="427"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6" s="550"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6" s="545">
        <f>LEN(D196)</f>
        <v/>
      </c>
      <c r="F196" s="541" t="inlineStr">
        <is>
          <t>ပြီးခဲ့တဲ့ ၃ လအတွင်းမှာ သင့်အိမ်ထောင်စုက အကူအညီတစ်ခုခုကို လက်ခံရရှိခဲ့ပြီး ဖြစ်တယ်ဆိုရင် ဘယ်လိုမျိုးလဲ။
[အော်ပရေတာ- အများအပြားတုံ့ပြန်မှု ဖြစ်နိုင်သည်။ Options ကိုဖတ်ပါ။]
1) အစားအစာ
2) ငွေသား
3) ငွေသားအစားထိုး သွင်းအားစုများဝယ်ယူနိုင်သော ဘောက်ချာများ 
4) သီးနှံ နှင့်/သို့မဟုတ် ဟင်းသီးဟင်းရွက် ထုတ်လုပ်မှု အကူအညီ
5) မွေးမြူရေးအကူအညီ
6) ငါးလုပ်ငန်းနှင့်/သို့မဟုတ် ငါးပုစွန်အကူအညီ
7) ပတ်ဝန်းကျင် သို့မဟုတ် လူထုအခြေပြုအခြေခံအဆောက်အအုံ ပြန်လည်ထူထောင်ရေး [ရပ်ရွာတစ်ခုလုံးအတွက်အကျုံးဝင်သည်]၊
8) စျေးကွက်ရှာဖွေရေး သို့မဟုတ် အရောင်းပံ့ပိုးမှု [e.g.  အများပြည်သူသုံးဝယ်ယူရေးစနစ်]
9) အခြား [သတ်မှတ်ရန်]
10) အကူအညီမရရှိပါ။
11) မသိပါ။
12) ငြင်းဆိုသည်</t>
        </is>
      </c>
      <c r="G196" s="546">
        <f>LEN(F196)</f>
        <v/>
      </c>
      <c r="H196" s="547" t="inlineStr">
        <is>
          <t>Open Ended-Select All That Apply</t>
        </is>
      </c>
      <c r="I196" s="546" t="inlineStr">
        <is>
          <t>NA</t>
        </is>
      </c>
      <c r="J196" s="546" t="inlineStr">
        <is>
          <t>NA</t>
        </is>
      </c>
      <c r="K196" s="546" t="inlineStr">
        <is>
          <t>Form Type - Checklist
10,11,12 = IsNone</t>
        </is>
      </c>
      <c r="L196" s="551"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6" s="548" t="inlineStr">
        <is>
          <t>1-12 =callback</t>
        </is>
      </c>
      <c r="N196" s="548" t="n"/>
      <c r="O196" s="548" t="inlineStr">
        <is>
          <t>if need_received = 1-9, go to assistance_timeliness</t>
        </is>
      </c>
      <c r="P196" s="548" t="n"/>
      <c r="Q196" s="549" t="inlineStr">
        <is>
          <t>resp_age = 18-100
hh_agricactivity = 1 | 2 | 3 | 4
quotareached = 2</t>
        </is>
      </c>
      <c r="R196" s="315" t="n"/>
      <c r="S196" s="424" t="n">
        <v>22.02975082397461</v>
      </c>
      <c r="T196" s="425" t="n">
        <v>1</v>
      </c>
      <c r="U196" s="424">
        <f>S196*T196</f>
        <v/>
      </c>
      <c r="V196" s="318" t="n"/>
      <c r="X196" s="324" t="inlineStr">
        <is>
          <t>no</t>
        </is>
      </c>
      <c r="Y196" s="321" t="n"/>
      <c r="AB196" s="322" t="n"/>
    </row>
    <row r="197" ht="19.5" customFormat="1" customHeight="1" s="704" thickBot="1">
      <c r="A197" s="688" t="inlineStr">
        <is>
          <t>I. CLOSING</t>
        </is>
      </c>
      <c r="B197" s="720" t="n"/>
      <c r="C197" s="720" t="n"/>
      <c r="D197" s="720" t="n"/>
      <c r="E197" s="720" t="n"/>
      <c r="F197" s="720" t="n"/>
      <c r="G197" s="720" t="n"/>
      <c r="H197" s="720" t="n"/>
      <c r="I197" s="720" t="n"/>
      <c r="J197" s="720" t="n"/>
      <c r="K197" s="720" t="n"/>
      <c r="L197" s="720" t="n"/>
      <c r="M197" s="720" t="n"/>
      <c r="N197" s="720" t="n"/>
      <c r="O197" s="720" t="n"/>
      <c r="P197" s="720" t="n"/>
      <c r="Q197" s="720" t="n"/>
      <c r="R197" s="721" t="n"/>
      <c r="S197" s="127" t="n"/>
      <c r="T197" s="123" t="n"/>
      <c r="U197" s="127" t="n"/>
      <c r="V197" s="59" t="n"/>
      <c r="X197" s="63" t="n"/>
      <c r="Y197" s="680" t="n"/>
      <c r="AB197" s="61" t="n"/>
    </row>
    <row r="198" ht="177" customFormat="1" customHeight="1" s="704">
      <c r="A198" s="326">
        <f>A196+1</f>
        <v/>
      </c>
      <c r="B198" s="128" t="inlineStr">
        <is>
          <t>callback</t>
        </is>
      </c>
      <c r="C198" s="136" t="inlineStr">
        <is>
          <t>callback</t>
        </is>
      </c>
      <c r="D198" s="129" t="inlineStr">
        <is>
          <t>Your answers will help us to understand and respond to your community needs. May we call you back again in a few months?
[OPERATOR: SINGLE RESPONSE.]
1)YES
2)NO</t>
        </is>
      </c>
      <c r="E198" s="631">
        <f>LEN(D198)</f>
        <v/>
      </c>
      <c r="F198" s="641" t="inlineStr">
        <is>
          <t>လူကြီးမင်း၏အဖြေများက ရပ်ရွာလူထု၏ လိုအပ်ချက်များကို နားလည်နိုင်ရန်နှင့် တုံ့ပြန်ဆောင်ရွက်နိုင်ရန် ကူညီပါလိမ့်မည်။ လအနည်းငယ်အတွင်း လူကြီးမင်းကို ပြန်လည်ခေါ်ဆိုခွင့်ပြုနိုင်ပါသလား။
[အော်ပရေတာ- တုံ့ပြန်မှုတစ်ခုသာ။]
1)ဟုတ်
2)မဟုတ်</t>
        </is>
      </c>
      <c r="G198" s="631">
        <f>LEN(F198)</f>
        <v/>
      </c>
      <c r="H198" s="631" t="inlineStr">
        <is>
          <t>Single Choice</t>
        </is>
      </c>
      <c r="I198" s="631" t="inlineStr">
        <is>
          <t>NA</t>
        </is>
      </c>
      <c r="J198" s="631" t="inlineStr">
        <is>
          <t>NA</t>
        </is>
      </c>
      <c r="K198" s="631" t="inlineStr">
        <is>
          <t>Form Type - Buttons</t>
        </is>
      </c>
      <c r="L198" s="632" t="inlineStr">
        <is>
          <t>NA</t>
        </is>
      </c>
      <c r="M198" s="131" t="inlineStr">
        <is>
          <t>1-2 = contact_2</t>
        </is>
      </c>
      <c r="N198" s="178" t="n"/>
      <c r="O198" s="131" t="inlineStr">
        <is>
          <t>if callback = 1
if 2, go to language2</t>
        </is>
      </c>
      <c r="P198" s="633" t="n"/>
      <c r="Q198" s="134" t="inlineStr">
        <is>
          <t>resp_age = 18-100
hh_agricactivity = 1 | 2 | 3 | 4
quotareached = 2</t>
        </is>
      </c>
      <c r="R198" s="135" t="n"/>
      <c r="S198" s="172" t="n">
        <v>36.78304672241211</v>
      </c>
      <c r="T198" s="173" t="n">
        <v>1</v>
      </c>
      <c r="U198" s="172">
        <f>S198*T198</f>
        <v/>
      </c>
      <c r="V198" s="59" t="n"/>
      <c r="X198" s="63" t="inlineStr">
        <is>
          <t>yes</t>
        </is>
      </c>
      <c r="Y198" s="680" t="n"/>
      <c r="AB198" s="61" t="n"/>
    </row>
    <row r="199" ht="210.95" customFormat="1" customHeight="1" s="560">
      <c r="A199" s="330">
        <f>A198+1</f>
        <v/>
      </c>
      <c r="B199" s="309" t="inlineStr">
        <is>
          <t>contact_2</t>
        </is>
      </c>
      <c r="C199" s="309" t="inlineStr">
        <is>
          <t>contact_2</t>
        </is>
      </c>
      <c r="D199" s="292" t="inlineStr">
        <is>
          <t>Can you give me an additonal phone number belonging to a relative or a friend who is not part of your household and who may be interested in participating in this survey?
[OPERATOR: SINGLE RESPONSE.]
1)YES 
2)NO
3)DON'T KNOW
4)REFUSED</t>
        </is>
      </c>
      <c r="E199" s="229">
        <f>LEN(D199)</f>
        <v/>
      </c>
      <c r="F199" s="307" t="inlineStr">
        <is>
          <t>သင့်မိသားစုထဲမှာ မပါဝင်တဲ့ ဆွေမျိုးတစ်ယောက် ဒါမှမဟုတ် မိတ်ဆွေတစ်ယောက်ပိုင်တဲ့ နောက်ထပ်ဖုန်းနံပါတ်ကို ပေးလို့ရမလား။ ဒီစစ်တမ်းမှာ ပါဝင်ချင်တဲ့သူတွေပေါ့။
[အော်ပရေတာ: တုံ့ပြန်မှုတစ်ခုပါ။]
1)၁ 
2)နံပါတ်
3)မသိပါ
4)ငြင်းပယ်</t>
        </is>
      </c>
      <c r="G199" s="229">
        <f>LEN(F199)</f>
        <v/>
      </c>
      <c r="H199" s="229" t="inlineStr">
        <is>
          <t>Single Choice</t>
        </is>
      </c>
      <c r="I199" s="229" t="inlineStr">
        <is>
          <t>NA</t>
        </is>
      </c>
      <c r="J199" s="229" t="inlineStr">
        <is>
          <t>NA</t>
        </is>
      </c>
      <c r="K199" s="229" t="inlineStr">
        <is>
          <t>Form Type - Buttons</t>
        </is>
      </c>
      <c r="L199" s="229" t="inlineStr">
        <is>
          <t>NA</t>
        </is>
      </c>
      <c r="M199" s="237" t="inlineStr">
        <is>
          <t>1 = phone_number_2
2-4 = language2</t>
        </is>
      </c>
      <c r="N199" s="552" t="n"/>
      <c r="O199" s="552" t="n"/>
      <c r="P199" s="553" t="n"/>
      <c r="Q199" s="554" t="n"/>
      <c r="R199" s="555" t="n"/>
      <c r="S199" s="556" t="n"/>
      <c r="T199" s="557" t="n"/>
      <c r="U199" s="558" t="n"/>
      <c r="V199" s="559" t="n"/>
      <c r="X199" s="562" t="n"/>
      <c r="AB199" s="561" t="n"/>
    </row>
    <row r="200" ht="89.45" customFormat="1" customHeight="1" s="560">
      <c r="A200" s="330">
        <f>A199+1</f>
        <v/>
      </c>
      <c r="B200" s="309" t="inlineStr">
        <is>
          <t>phone_number_2</t>
        </is>
      </c>
      <c r="C200" s="309" t="inlineStr">
        <is>
          <t>phone_number_2</t>
        </is>
      </c>
      <c r="D200" s="292" t="inlineStr">
        <is>
          <t>What is the additional phone number?
[OPERATOR: RECORD THE PHONE NUMBER GIVEN]</t>
        </is>
      </c>
      <c r="E200" s="229">
        <f>LEN(D200)</f>
        <v/>
      </c>
      <c r="F200" s="307" t="inlineStr">
        <is>
          <t>နောက်ထပ်ဖုန်းနံပါတ်   က  အဘယ်နည်း။
[အော်ပရေတာ- ဖော်ပြသော ဖုန်းနံပါတ်ကို မှတ်သားပါ]</t>
        </is>
      </c>
      <c r="G200" s="229">
        <f>LEN(F200)</f>
        <v/>
      </c>
      <c r="H200" s="229" t="inlineStr">
        <is>
          <t>Open Ended</t>
        </is>
      </c>
      <c r="I200" s="229" t="inlineStr">
        <is>
          <t>NA</t>
        </is>
      </c>
      <c r="J200" s="229" t="inlineStr">
        <is>
          <t>NA</t>
        </is>
      </c>
      <c r="K200" s="229" t="inlineStr">
        <is>
          <t>Form Type - TextBox</t>
        </is>
      </c>
      <c r="L200" s="229" t="inlineStr">
        <is>
          <t>NA</t>
        </is>
      </c>
      <c r="M200" s="237" t="inlineStr">
        <is>
          <t>Any Response = phone_number_2_Location</t>
        </is>
      </c>
      <c r="N200" s="552" t="n"/>
      <c r="O200" s="552" t="n"/>
      <c r="P200" s="553" t="n"/>
      <c r="Q200" s="554" t="n"/>
      <c r="R200" s="555" t="n"/>
      <c r="S200" s="556" t="n"/>
      <c r="T200" s="557" t="n"/>
      <c r="U200" s="558" t="n"/>
      <c r="V200" s="559" t="n"/>
      <c r="X200" s="562" t="n"/>
      <c r="AB200" s="561" t="n"/>
    </row>
    <row r="201" ht="409.5" customFormat="1" customHeight="1" s="80">
      <c r="A201" s="330">
        <f>A200+1</f>
        <v/>
      </c>
      <c r="B201" s="309" t="inlineStr">
        <is>
          <t>phone_number_2_Location</t>
        </is>
      </c>
      <c r="C201" s="309" t="n"/>
      <c r="D201" s="292" t="inlineStr">
        <is>
          <t xml:space="preserve">What Region/State does the relative/friend currently live in?
[OPERATOR: SINGLE RESPONSE]
1)AYEYARWADY
2)BAGO
3)CHIN
4)KACHIN
5)KAYAH
6)KAYIN
7)MAGWAY
8)MANDALAY
9)MON
10)NAY PYI TAW
11)RAKHINE
12)SAGAING
13)SHAN
14)TANINTHARYI
15)YANGON
16)DON'T KNOW
17)REFUSED </t>
        </is>
      </c>
      <c r="E201" s="229">
        <f>LEN(D201)</f>
        <v/>
      </c>
      <c r="F201" s="298" t="inlineStr">
        <is>
          <t xml:space="preserve">သင့် ဆွေမျိုး/မိတ်ဆွေက လက်ရှိ ဘယ်တိုင်းဒေသကြီး/ပြည်နယ်မှာ နေထိုင်ပါသလဲ။
[အော်ပရေတာ: တုံ့ပြန်မှုတစ်ခုပါ။]
1) ဧရာဝတီ
2) ပဲခူး
3) ချင်း
4) ကချင်
5) ကယား
6) ကရင်
7) မကွေး
8) မန္တလေး
9) မွန်
10) နေပြည်တော်
11) ရခိုင်
12) စစ်ကိုင်း
13) ရှမ်း
14) တနင်္သာရီ
15) ရန်ကုန်
16) မသိပါ
17) ဖြေဆိုရန် ငြင်းဆန်သည် </t>
        </is>
      </c>
      <c r="G201" s="229">
        <f>LEN(F201)</f>
        <v/>
      </c>
      <c r="H201" s="229" t="inlineStr">
        <is>
          <t>Single Choice</t>
        </is>
      </c>
      <c r="I201" s="229" t="inlineStr">
        <is>
          <t>NA</t>
        </is>
      </c>
      <c r="J201" s="229" t="inlineStr">
        <is>
          <t>NA</t>
        </is>
      </c>
      <c r="K201" s="229" t="inlineStr">
        <is>
          <t>Form Type - Dropdown</t>
        </is>
      </c>
      <c r="L201" s="229" t="inlineStr">
        <is>
          <t>NA</t>
        </is>
      </c>
      <c r="M201" s="237" t="inlineStr">
        <is>
          <t>1-17 = contact_3_2</t>
        </is>
      </c>
      <c r="N201" s="287" t="n"/>
      <c r="O201" s="288" t="n"/>
      <c r="P201" s="289" t="n"/>
      <c r="Q201" s="290" t="n"/>
      <c r="R201" s="291" t="n"/>
      <c r="S201" s="243" t="n"/>
      <c r="T201" s="176" t="n"/>
      <c r="U201" s="175" t="n"/>
      <c r="V201" s="79" t="n"/>
      <c r="X201" s="78" t="n"/>
      <c r="AB201" s="103" t="n"/>
    </row>
    <row r="202" ht="198.95" customFormat="1" customHeight="1" s="80">
      <c r="A202" s="330">
        <f>A201+1</f>
        <v/>
      </c>
      <c r="B202" s="283" t="inlineStr">
        <is>
          <t>contact_3_2</t>
        </is>
      </c>
      <c r="C202" s="309" t="inlineStr">
        <is>
          <t>contact_3</t>
        </is>
      </c>
      <c r="D202" s="292" t="inlineStr">
        <is>
          <t>Can you give me another phone number belonging to a relative or a friend who is not part of your household and who may be interested in participating in this survey?
[OPERATOR: SINGLE RESPONSE]
1)YES
2)NO
3)DON'T KNOW
4)REFUSED</t>
        </is>
      </c>
      <c r="E202" s="229">
        <f>LEN(D202)</f>
        <v/>
      </c>
      <c r="F202" s="307" t="inlineStr">
        <is>
          <t>သင့်မိသားစုထဲမှာ မပါဝင်တဲ့ ဆွေမျိုးတစ်ယောက် ဒါမှမဟုတ် မိတ်ဆွေတစ်ယောက်ပိုင်တဲ့ ဖုန်းနံပါတ် နောက်တစ်ခု ပေးနိုင်မလား။
[အော်ပရေတာ: တုံ့ပြန်မှုတစ်ခုပါ။]
1)၁
2)နံပါတ်
3)မသိပါ
4)ငြင်းပယ်</t>
        </is>
      </c>
      <c r="G202" s="229">
        <f>LEN(F202)</f>
        <v/>
      </c>
      <c r="H202" s="229" t="inlineStr">
        <is>
          <t>Single Choice</t>
        </is>
      </c>
      <c r="I202" s="229" t="inlineStr">
        <is>
          <t>NA</t>
        </is>
      </c>
      <c r="J202" s="229" t="inlineStr">
        <is>
          <t>NA</t>
        </is>
      </c>
      <c r="K202" s="229" t="inlineStr">
        <is>
          <t>Form Type - Buttons</t>
        </is>
      </c>
      <c r="L202" s="229" t="inlineStr">
        <is>
          <t>NA</t>
        </is>
      </c>
      <c r="M202" s="237" t="inlineStr">
        <is>
          <t>1 = phone_number_3_2
2-4 = language2</t>
        </is>
      </c>
      <c r="N202" s="412" t="n"/>
      <c r="O202" s="288" t="n"/>
      <c r="P202" s="289" t="n"/>
      <c r="Q202" s="290" t="n"/>
      <c r="R202" s="291" t="n"/>
      <c r="S202" s="243" t="n"/>
      <c r="T202" s="176" t="n"/>
      <c r="U202" s="175" t="n"/>
      <c r="V202" s="79" t="n"/>
      <c r="X202" s="78" t="n"/>
      <c r="AB202" s="103" t="n"/>
    </row>
    <row r="203" ht="123.6" customFormat="1" customHeight="1" s="80">
      <c r="A203" s="330">
        <f>A202+1</f>
        <v/>
      </c>
      <c r="B203" s="283" t="inlineStr">
        <is>
          <t>phone_number_3_2</t>
        </is>
      </c>
      <c r="C203" s="309" t="inlineStr">
        <is>
          <t>phone_number_3</t>
        </is>
      </c>
      <c r="D203" s="292" t="inlineStr">
        <is>
          <t>What is the additional phone number?
[OPERATOR: RECORD THE PHONE NUMBER GIVEN]</t>
        </is>
      </c>
      <c r="E203" s="229">
        <f>LEN(D203)</f>
        <v/>
      </c>
      <c r="F203" s="298" t="inlineStr">
        <is>
          <t>နောက်ထပ်ဖုန်းနံပါတ်   က  အဘယ်နည်း။
[အော်ပရေတာ- ဖော်ပြသော ဖုန်းနံပါတ်ကို မှတ်သားပါ]</t>
        </is>
      </c>
      <c r="G203" s="229">
        <f>LEN(F203)</f>
        <v/>
      </c>
      <c r="H203" s="229" t="inlineStr">
        <is>
          <t>Open Ended</t>
        </is>
      </c>
      <c r="I203" s="229" t="inlineStr">
        <is>
          <t>NA</t>
        </is>
      </c>
      <c r="J203" s="229" t="inlineStr">
        <is>
          <t>NA</t>
        </is>
      </c>
      <c r="K203" s="229" t="inlineStr">
        <is>
          <t>Form Type - TextBox</t>
        </is>
      </c>
      <c r="L203" s="229" t="inlineStr">
        <is>
          <t>NA</t>
        </is>
      </c>
      <c r="M203" s="237" t="inlineStr">
        <is>
          <t>Any Response = phone_number_3_Location</t>
        </is>
      </c>
      <c r="N203" s="287" t="n"/>
      <c r="O203" s="288" t="n"/>
      <c r="P203" s="289" t="n"/>
      <c r="Q203" s="290" t="n"/>
      <c r="R203" s="291" t="n"/>
      <c r="S203" s="243" t="n"/>
      <c r="T203" s="176" t="n"/>
      <c r="U203" s="175" t="n"/>
      <c r="V203" s="79" t="n"/>
      <c r="X203" s="78" t="n"/>
      <c r="AB203" s="103" t="n"/>
    </row>
    <row r="204" ht="409.5" customFormat="1" customHeight="1" s="80">
      <c r="A204" s="330">
        <f>A203+1</f>
        <v/>
      </c>
      <c r="B204" s="309" t="inlineStr">
        <is>
          <t>phone_number_3_Location</t>
        </is>
      </c>
      <c r="C204" s="309" t="n"/>
      <c r="D204" s="292" t="inlineStr">
        <is>
          <t xml:space="preserve">What Region/State does the relative/friend currently live in?
[OPERATOR: SINGLE RESPONSE]
1)AYEYARWADY
2)BAGO
3)CHIN
4)KACHIN
5)KAYAH
6)KAYIN
7)MAGWAY
8)MANDALAY
9)MON
10)NAY PYI TAW
11)RAKHINE
12)SAGAING
13)SHAN
14)TANINTHARYI
15)YANGON
16)DON'T KNOW
17)REFUSED </t>
        </is>
      </c>
      <c r="E204" s="229">
        <f>LEN(D204)</f>
        <v/>
      </c>
      <c r="F204" s="298" t="inlineStr">
        <is>
          <t xml:space="preserve">သင့်ဆွေမျိုး/မိတ်ဆွေက လက်ရှိ ဘယ်တိုင်းဒေသကြီး/ပြည်နယ်မှာ နေထိုင်ပါသလဲ။
[အော်ပရေတာ: တုံ့ပြန်မှုတစ်ခုပါ။]
1) ဧရာဝတီ
2) ပဲခူး
3) ချင်း
4) ကချင်
5) ကယား
6) ကရင်
7) မကွေး
8) မန္တလေး
9) မွန်
10) နေပြည်တော်
11) ရခိုင်
12) စစ်ကိုင်း
13) ရှမ်း
14) တနင်္သာရီ
15) ရန်ကုန်
16) မသိပါ
17) ဖြေဆိုရန် ငြင်းဆန်သည် </t>
        </is>
      </c>
      <c r="G204" s="229">
        <f>LEN(F204)</f>
        <v/>
      </c>
      <c r="H204" s="229" t="inlineStr">
        <is>
          <t>Single Choice</t>
        </is>
      </c>
      <c r="I204" s="229" t="inlineStr">
        <is>
          <t>NA</t>
        </is>
      </c>
      <c r="J204" s="229" t="inlineStr">
        <is>
          <t>NA</t>
        </is>
      </c>
      <c r="K204" s="229" t="inlineStr">
        <is>
          <t>Form Type - Dropdown</t>
        </is>
      </c>
      <c r="L204" s="229" t="inlineStr">
        <is>
          <t>NA</t>
        </is>
      </c>
      <c r="M204" s="237" t="inlineStr">
        <is>
          <t>1-17 = language2</t>
        </is>
      </c>
      <c r="N204" s="287" t="n"/>
      <c r="O204" s="288" t="n"/>
      <c r="P204" s="289" t="n"/>
      <c r="Q204" s="290" t="n"/>
      <c r="R204" s="291" t="n"/>
      <c r="S204" s="243" t="n"/>
      <c r="T204" s="176" t="n"/>
      <c r="U204" s="175" t="n"/>
      <c r="V204" s="79" t="n"/>
      <c r="X204" s="78" t="n"/>
      <c r="AB204" s="103" t="n"/>
    </row>
    <row r="205" ht="163.5" customFormat="1" customHeight="1" s="74" thickBot="1">
      <c r="A205" s="330">
        <f>A204+1</f>
        <v/>
      </c>
      <c r="B205" s="304" t="inlineStr">
        <is>
          <t>language2</t>
        </is>
      </c>
      <c r="C205" s="305" t="inlineStr">
        <is>
          <t>language2</t>
        </is>
      </c>
      <c r="D205" s="310" t="inlineStr">
        <is>
          <t>Select the language that was mostly used to complete the interview.
[OPERATOR: SINGLE RESPONSE.]
1)English
2)Burmese</t>
        </is>
      </c>
      <c r="E205" s="306">
        <f>LEN(D205)</f>
        <v/>
      </c>
      <c r="F205" s="307" t="inlineStr">
        <is>
          <t>အင်တာဗျူး ပြီးမြောက်ရန်အတွက် အများဆုံးအသုံးပြုခဲ့သည့် ဘာသာစကားကို ရွေးချယ်ပါ။
[အော်ပရေတာ- တုံ့ပြန်မှုတစ်ခုသာ။]
1)အင်္ဂလိပ်ဘာသာ
2)ဗမာဘာသာ</t>
        </is>
      </c>
      <c r="G205" s="306">
        <f>LEN(F205)</f>
        <v/>
      </c>
      <c r="H205" s="306" t="inlineStr">
        <is>
          <t>Single Choice</t>
        </is>
      </c>
      <c r="I205" s="306" t="inlineStr">
        <is>
          <t>NA</t>
        </is>
      </c>
      <c r="J205" s="306" t="inlineStr">
        <is>
          <t>NA</t>
        </is>
      </c>
      <c r="K205" s="306" t="inlineStr">
        <is>
          <t>Form Type - Buttons</t>
        </is>
      </c>
      <c r="L205" s="308" t="inlineStr">
        <is>
          <t>NA</t>
        </is>
      </c>
      <c r="M205" s="184" t="inlineStr">
        <is>
          <t>1-2 = closeout</t>
        </is>
      </c>
      <c r="N205" s="207" t="n"/>
      <c r="O205" s="244" t="inlineStr">
        <is>
          <t>NA</t>
        </is>
      </c>
      <c r="P205" s="245" t="n"/>
      <c r="Q205" s="241" t="inlineStr">
        <is>
          <t>resp_age = 18-100
hh_agricactivity = 1 | 2 | 3 | 4
quotareached = 2</t>
        </is>
      </c>
      <c r="R205" s="246" t="n"/>
      <c r="S205" s="172" t="n">
        <v>3</v>
      </c>
      <c r="T205" s="173" t="n">
        <v>1</v>
      </c>
      <c r="U205" s="172">
        <f>S205*T205</f>
        <v/>
      </c>
      <c r="V205" s="59" t="n"/>
      <c r="X205" s="63" t="inlineStr">
        <is>
          <t>yes</t>
        </is>
      </c>
      <c r="Y205" s="680" t="n"/>
      <c r="AB205" s="64" t="n"/>
    </row>
    <row r="206" ht="57" customFormat="1" customHeight="1" s="704" thickBot="1">
      <c r="A206" s="331" t="inlineStr">
        <is>
          <t>NA</t>
        </is>
      </c>
      <c r="B206" s="345" t="inlineStr">
        <is>
          <t>closeout</t>
        </is>
      </c>
      <c r="C206" s="247" t="inlineStr">
        <is>
          <t>closeout</t>
        </is>
      </c>
      <c r="D206" s="248" t="inlineStr">
        <is>
          <t>Thank you for your time. The interview has come to an end. You will receive your #TOPUP# airtime credit on this phone within the next 2 days.</t>
        </is>
      </c>
      <c r="E206" s="249">
        <f>LEN(D206)</f>
        <v/>
      </c>
      <c r="F206" s="300" t="inlineStr">
        <is>
          <t>လူကြီးမင်းရဲ့အချိန်ပေးမှုအတွက် ကျေးဇူးတင်ရှိပါတယ်။ အင်တာဗျူး ပြီးဆုံးသွားပါပြီ။ လူကြီးမင်း၏ #TOPUP#ဖုန်းပြောဆိုခွင့်သည် လာမည့် 2 ရက်အတွင်း ယခုဖုန်းနံပါတ်ထဲသို့ ရောက်ရှိမှာဖြစ်ပါတယ်။</t>
        </is>
      </c>
      <c r="G206" s="249">
        <f>LEN(F206)</f>
        <v/>
      </c>
      <c r="H206" s="249" t="inlineStr">
        <is>
          <t>NA</t>
        </is>
      </c>
      <c r="I206" s="249" t="inlineStr">
        <is>
          <t>NA</t>
        </is>
      </c>
      <c r="J206" s="249" t="inlineStr">
        <is>
          <t>NA</t>
        </is>
      </c>
      <c r="K206" s="249" t="inlineStr">
        <is>
          <t>NA</t>
        </is>
      </c>
      <c r="L206" s="250" t="inlineStr">
        <is>
          <t>NA</t>
        </is>
      </c>
      <c r="M206" s="251" t="inlineStr">
        <is>
          <t>NA</t>
        </is>
      </c>
      <c r="N206" s="252" t="n"/>
      <c r="O206" s="250" t="inlineStr">
        <is>
          <t>NA</t>
        </is>
      </c>
      <c r="P206" s="253" t="n"/>
      <c r="Q206" s="254" t="inlineStr">
        <is>
          <t>resp_age = 18-100
hh_agricactivity = 1 | 2 | 3 | 4
quotareached = 2</t>
        </is>
      </c>
      <c r="R206" s="255" t="n"/>
      <c r="S206" s="256" t="n"/>
      <c r="T206" s="173" t="n">
        <v>1</v>
      </c>
      <c r="U206" s="172">
        <f>S206*T206</f>
        <v/>
      </c>
      <c r="V206" s="680" t="n"/>
      <c r="X206" s="63" t="inlineStr">
        <is>
          <t>no</t>
        </is>
      </c>
      <c r="Y206" s="680" t="n"/>
      <c r="AB206" s="61" t="n"/>
    </row>
    <row r="207" ht="29.1" customFormat="1" customHeight="1" s="704">
      <c r="A207" s="332" t="inlineStr">
        <is>
          <t>NA</t>
        </is>
      </c>
      <c r="B207" s="278" t="inlineStr">
        <is>
          <t>End poll callback</t>
        </is>
      </c>
      <c r="C207" s="278" t="inlineStr">
        <is>
          <t>NA</t>
        </is>
      </c>
      <c r="D207" s="279" t="inlineStr">
        <is>
          <t>Call back set</t>
        </is>
      </c>
      <c r="E207" s="280">
        <f>LEN(D207)</f>
        <v/>
      </c>
      <c r="F207" s="301" t="inlineStr">
        <is>
          <t>Call back set</t>
        </is>
      </c>
      <c r="G207" s="280">
        <f>LEN(F207)</f>
        <v/>
      </c>
      <c r="H207" s="272" t="inlineStr">
        <is>
          <t>NA</t>
        </is>
      </c>
      <c r="I207" s="272" t="inlineStr">
        <is>
          <t>NA</t>
        </is>
      </c>
      <c r="J207" s="272" t="inlineStr">
        <is>
          <t>NA</t>
        </is>
      </c>
      <c r="K207" s="272" t="inlineStr">
        <is>
          <t>NA</t>
        </is>
      </c>
      <c r="L207" s="273" t="inlineStr">
        <is>
          <t>NA</t>
        </is>
      </c>
      <c r="M207" s="274" t="inlineStr">
        <is>
          <t>NA</t>
        </is>
      </c>
      <c r="N207" s="275" t="n"/>
      <c r="O207" s="273" t="inlineStr">
        <is>
          <t>NA</t>
        </is>
      </c>
      <c r="P207" s="276" t="n"/>
      <c r="Q207" s="277" t="inlineStr">
        <is>
          <t>resp_age = 18-100
hh_agricactivity = 1 | 2 | 3 | 4
quotareached = 3</t>
        </is>
      </c>
      <c r="R207" s="135" t="n"/>
      <c r="S207" s="256" t="n"/>
      <c r="T207" s="173" t="n"/>
      <c r="U207" s="172" t="n"/>
      <c r="V207" s="680" t="n"/>
      <c r="X207" s="63" t="n"/>
      <c r="Y207" s="680" t="n"/>
      <c r="AB207" s="61" t="n"/>
    </row>
    <row r="208" ht="39.6" customFormat="1" customHeight="1" s="704">
      <c r="A208" s="327" t="inlineStr">
        <is>
          <t>NA</t>
        </is>
      </c>
      <c r="B208" s="281" t="inlineStr">
        <is>
          <t>CallBack-Introduction</t>
        </is>
      </c>
      <c r="C208" s="281" t="inlineStr">
        <is>
          <t>NA</t>
        </is>
      </c>
      <c r="D208" s="282" t="inlineStr">
        <is>
          <t>Introduction</t>
        </is>
      </c>
      <c r="E208" s="283">
        <f>LEN(D208)</f>
        <v/>
      </c>
      <c r="F208" s="302" t="inlineStr">
        <is>
          <t>Introduction</t>
        </is>
      </c>
      <c r="G208" s="283">
        <f>LEN(F208)</f>
        <v/>
      </c>
      <c r="H208" s="229" t="inlineStr">
        <is>
          <t>NA</t>
        </is>
      </c>
      <c r="I208" s="229" t="inlineStr">
        <is>
          <t>NA</t>
        </is>
      </c>
      <c r="J208" s="229" t="inlineStr">
        <is>
          <t>NA</t>
        </is>
      </c>
      <c r="K208" s="229" t="inlineStr">
        <is>
          <t>NA</t>
        </is>
      </c>
      <c r="L208" s="225" t="inlineStr">
        <is>
          <t>NA</t>
        </is>
      </c>
      <c r="M208" s="198" t="inlineStr">
        <is>
          <t>NA</t>
        </is>
      </c>
      <c r="N208" s="214" t="n"/>
      <c r="O208" s="225" t="inlineStr">
        <is>
          <t>NA</t>
        </is>
      </c>
      <c r="P208" s="227" t="n"/>
      <c r="Q208" s="148" t="inlineStr">
        <is>
          <t>resp_age = 18-100
hh_agricactivity = 1 | 2 | 3 | 4
quotareached = 4</t>
        </is>
      </c>
      <c r="R208" s="149" t="n"/>
      <c r="S208" s="256" t="n"/>
      <c r="T208" s="173" t="n"/>
      <c r="U208" s="172" t="n"/>
      <c r="V208" s="680" t="n"/>
      <c r="X208" s="63" t="n"/>
      <c r="Y208" s="680" t="n"/>
      <c r="AB208" s="61" t="n"/>
    </row>
    <row r="209" ht="36" customFormat="1" customHeight="1" s="704" thickBot="1">
      <c r="A209" s="333" t="inlineStr">
        <is>
          <t>NA</t>
        </is>
      </c>
      <c r="B209" s="284" t="inlineStr">
        <is>
          <t>CallBack-Confirmation</t>
        </is>
      </c>
      <c r="C209" s="284" t="inlineStr">
        <is>
          <t>NA</t>
        </is>
      </c>
      <c r="D209" s="285" t="inlineStr">
        <is>
          <t>Confirmation</t>
        </is>
      </c>
      <c r="E209" s="286">
        <f>LEN(D209)</f>
        <v/>
      </c>
      <c r="F209" s="303" t="inlineStr">
        <is>
          <t>Confirmation</t>
        </is>
      </c>
      <c r="G209" s="286">
        <f>LEN(F209)</f>
        <v/>
      </c>
      <c r="H209" s="266" t="inlineStr">
        <is>
          <t>NA</t>
        </is>
      </c>
      <c r="I209" s="266" t="inlineStr">
        <is>
          <t>NA</t>
        </is>
      </c>
      <c r="J209" s="266" t="inlineStr">
        <is>
          <t>NA</t>
        </is>
      </c>
      <c r="K209" s="266" t="inlineStr">
        <is>
          <t>NA</t>
        </is>
      </c>
      <c r="L209" s="267" t="inlineStr">
        <is>
          <t>NA</t>
        </is>
      </c>
      <c r="M209" s="268" t="inlineStr">
        <is>
          <t>NA</t>
        </is>
      </c>
      <c r="N209" s="269" t="n"/>
      <c r="O209" s="267" t="inlineStr">
        <is>
          <t>NA</t>
        </is>
      </c>
      <c r="P209" s="270" t="n"/>
      <c r="Q209" s="271" t="inlineStr">
        <is>
          <t>resp_age = 18-100
hh_agricactivity = 1 | 2 | 3 | 4
quotareached = 5</t>
        </is>
      </c>
      <c r="R209" s="242" t="n"/>
      <c r="S209" s="256" t="n"/>
      <c r="T209" s="173" t="n"/>
      <c r="U209" s="172" t="n"/>
      <c r="V209" s="680" t="n"/>
      <c r="X209" s="63" t="n"/>
      <c r="Y209" s="680" t="n"/>
      <c r="AB209" s="61" t="n"/>
    </row>
    <row r="210">
      <c r="S210" s="116" t="n"/>
    </row>
    <row r="211" ht="16.9" customHeight="1" thickBot="1"/>
    <row r="212" ht="18" customHeight="1" thickBot="1">
      <c r="D212" s="73" t="inlineStr">
        <is>
          <t xml:space="preserve">AVERAGE ESTIMATED DURATION </t>
        </is>
      </c>
      <c r="E212" s="72" t="n"/>
      <c r="F212" s="414" t="n"/>
      <c r="G212" s="72" t="n"/>
      <c r="H212" s="72" t="n"/>
      <c r="I212" s="72" t="n"/>
      <c r="J212" s="72" t="n"/>
      <c r="K212" s="72" t="n"/>
      <c r="L212" s="72" t="n"/>
      <c r="M212" s="72" t="n"/>
      <c r="N212" s="209" t="n"/>
      <c r="O212" s="72" t="n"/>
      <c r="P212" s="72" t="n"/>
      <c r="Q212" s="72" t="n"/>
      <c r="R212" s="72" t="n"/>
      <c r="S212" s="96" t="n"/>
      <c r="T212" s="95" t="n"/>
      <c r="U212" s="102">
        <f>(SUM(U5:U210))/60</f>
        <v/>
      </c>
    </row>
    <row r="213" ht="18" customHeight="1" thickBot="1">
      <c r="D213" s="101" t="inlineStr">
        <is>
          <t>AVERAGE ESTIMATED DURATION (without fisheries section)</t>
        </is>
      </c>
      <c r="E213" s="100" t="n"/>
      <c r="F213" s="415" t="n"/>
      <c r="G213" s="100" t="n"/>
      <c r="H213" s="100" t="n"/>
      <c r="I213" s="100" t="n"/>
      <c r="J213" s="100" t="n"/>
      <c r="K213" s="100" t="n"/>
      <c r="L213" s="100" t="n"/>
      <c r="M213" s="100" t="n"/>
      <c r="N213" s="210" t="n"/>
      <c r="O213" s="100" t="n"/>
      <c r="P213" s="100" t="n"/>
      <c r="Q213" s="100" t="n"/>
      <c r="R213" s="100" t="n"/>
      <c r="S213" s="99" t="n"/>
      <c r="T213" s="98" t="n"/>
      <c r="U213" s="97">
        <f>(SUM(U6:U134)+SUM(U148:U210))/60</f>
        <v/>
      </c>
    </row>
    <row r="214" ht="18" customHeight="1" thickBot="1">
      <c r="D214" s="73" t="inlineStr">
        <is>
          <t>AVERAGE ESTIMATED DURATION (without fisheries section or panel)</t>
        </is>
      </c>
      <c r="E214" s="72" t="n"/>
      <c r="F214" s="414" t="n"/>
      <c r="G214" s="72" t="n"/>
      <c r="H214" s="72" t="n"/>
      <c r="I214" s="72" t="n"/>
      <c r="J214" s="72" t="n"/>
      <c r="K214" s="72" t="n"/>
      <c r="L214" s="72" t="n"/>
      <c r="M214" s="72" t="n"/>
      <c r="N214" s="209" t="n"/>
      <c r="O214" s="72" t="n"/>
      <c r="P214" s="72" t="n"/>
      <c r="Q214" s="72" t="n"/>
      <c r="R214" s="72" t="n"/>
      <c r="S214" s="96" t="n"/>
      <c r="T214" s="95" t="n"/>
      <c r="U214" s="94">
        <f>(SUM(U6:U21)+SUM(U22:U134)+SUM(U147:U198)+SUM(U205:U210))/60</f>
        <v/>
      </c>
    </row>
  </sheetData>
  <autoFilter ref="A3:XEZ209"/>
  <mergeCells count="25">
    <mergeCell ref="N61:N62"/>
    <mergeCell ref="A60:R60"/>
    <mergeCell ref="N39:N42"/>
    <mergeCell ref="N44:N45"/>
    <mergeCell ref="O22:O36"/>
    <mergeCell ref="P23:P36"/>
    <mergeCell ref="R23:R36"/>
    <mergeCell ref="A46:R46"/>
    <mergeCell ref="R58:R59"/>
    <mergeCell ref="N51:N54"/>
    <mergeCell ref="A193:R193"/>
    <mergeCell ref="A197:R197"/>
    <mergeCell ref="A97:R97"/>
    <mergeCell ref="R109:R111"/>
    <mergeCell ref="A115:R115"/>
    <mergeCell ref="A120:R120"/>
    <mergeCell ref="A130:R130"/>
    <mergeCell ref="A135:R135"/>
    <mergeCell ref="A147:R147"/>
    <mergeCell ref="A142:R142"/>
    <mergeCell ref="A1:R1"/>
    <mergeCell ref="A2:Q2"/>
    <mergeCell ref="R2:R3"/>
    <mergeCell ref="A4:R4"/>
    <mergeCell ref="A19:R19"/>
  </mergeCells>
  <conditionalFormatting sqref="B13:B17">
    <cfRule type="duplicateValues" priority="476" dxfId="0"/>
  </conditionalFormatting>
  <conditionalFormatting sqref="B18">
    <cfRule type="duplicateValues" priority="475" dxfId="0"/>
  </conditionalFormatting>
  <conditionalFormatting sqref="B44">
    <cfRule type="duplicateValues" priority="8" dxfId="0"/>
  </conditionalFormatting>
  <conditionalFormatting sqref="B45">
    <cfRule type="duplicateValues" priority="7" dxfId="0"/>
  </conditionalFormatting>
  <conditionalFormatting sqref="B58">
    <cfRule type="duplicateValues" priority="487" dxfId="0"/>
  </conditionalFormatting>
  <conditionalFormatting sqref="B59">
    <cfRule type="duplicateValues" priority="489" dxfId="0"/>
  </conditionalFormatting>
  <conditionalFormatting sqref="B69">
    <cfRule type="duplicateValues" priority="13" dxfId="0"/>
  </conditionalFormatting>
  <conditionalFormatting sqref="B73:B75">
    <cfRule type="duplicateValues" priority="600" dxfId="0"/>
  </conditionalFormatting>
  <conditionalFormatting sqref="B76:B77">
    <cfRule type="duplicateValues" priority="238" dxfId="0"/>
  </conditionalFormatting>
  <conditionalFormatting sqref="B78">
    <cfRule type="duplicateValues" priority="11" dxfId="0"/>
  </conditionalFormatting>
  <conditionalFormatting sqref="B81:B84">
    <cfRule type="duplicateValues" priority="439" dxfId="0"/>
  </conditionalFormatting>
  <conditionalFormatting sqref="B85">
    <cfRule type="duplicateValues" priority="237" dxfId="0"/>
  </conditionalFormatting>
  <conditionalFormatting sqref="B86">
    <cfRule type="duplicateValues" priority="9" dxfId="0"/>
  </conditionalFormatting>
  <conditionalFormatting sqref="B88">
    <cfRule type="duplicateValues" priority="235" dxfId="0"/>
    <cfRule type="duplicateValues" priority="236" dxfId="0"/>
  </conditionalFormatting>
  <conditionalFormatting sqref="B91:B92">
    <cfRule type="duplicateValues" priority="230" dxfId="0"/>
  </conditionalFormatting>
  <conditionalFormatting sqref="B93:B94">
    <cfRule type="duplicateValues" priority="229" dxfId="0"/>
  </conditionalFormatting>
  <conditionalFormatting sqref="B107:B108">
    <cfRule type="duplicateValues" priority="602" dxfId="0"/>
  </conditionalFormatting>
  <conditionalFormatting sqref="B114">
    <cfRule type="duplicateValues" priority="479" dxfId="0"/>
  </conditionalFormatting>
  <conditionalFormatting sqref="B116">
    <cfRule type="duplicateValues" priority="636" dxfId="0"/>
  </conditionalFormatting>
  <conditionalFormatting sqref="B126:B127">
    <cfRule type="duplicateValues" priority="480" dxfId="0"/>
  </conditionalFormatting>
  <conditionalFormatting sqref="B129">
    <cfRule type="duplicateValues" priority="477" dxfId="0"/>
    <cfRule type="duplicateValues" priority="478" dxfId="0"/>
  </conditionalFormatting>
  <conditionalFormatting sqref="B133">
    <cfRule type="duplicateValues" priority="637" dxfId="0"/>
  </conditionalFormatting>
  <conditionalFormatting sqref="B136">
    <cfRule type="duplicateValues" priority="435" dxfId="0"/>
  </conditionalFormatting>
  <conditionalFormatting sqref="B137">
    <cfRule type="duplicateValues" priority="638" dxfId="0"/>
  </conditionalFormatting>
  <conditionalFormatting sqref="B144:B146">
    <cfRule type="duplicateValues" priority="639" dxfId="0"/>
  </conditionalFormatting>
  <conditionalFormatting sqref="B154">
    <cfRule type="duplicateValues" priority="460" dxfId="0"/>
  </conditionalFormatting>
  <conditionalFormatting sqref="B155">
    <cfRule type="duplicateValues" priority="458" dxfId="0"/>
  </conditionalFormatting>
  <conditionalFormatting sqref="B157">
    <cfRule type="duplicateValues" priority="456" dxfId="0"/>
  </conditionalFormatting>
  <conditionalFormatting sqref="B159">
    <cfRule type="duplicateValues" priority="454" dxfId="0"/>
  </conditionalFormatting>
  <conditionalFormatting sqref="B171:B1048576 B1:B43 B70:B77 B79:B85 B87:B105 B107:B169 B46:B49 B51:B68">
    <cfRule type="duplicateValues" priority="34" dxfId="0"/>
  </conditionalFormatting>
  <conditionalFormatting sqref="B175">
    <cfRule type="duplicateValues" priority="485" dxfId="0"/>
  </conditionalFormatting>
  <conditionalFormatting sqref="B176">
    <cfRule type="duplicateValues" priority="184" dxfId="0"/>
  </conditionalFormatting>
  <conditionalFormatting sqref="B177">
    <cfRule type="duplicateValues" priority="183" dxfId="0"/>
  </conditionalFormatting>
  <conditionalFormatting sqref="B178">
    <cfRule type="duplicateValues" priority="182" dxfId="0"/>
  </conditionalFormatting>
  <conditionalFormatting sqref="B179">
    <cfRule type="duplicateValues" priority="181" dxfId="0"/>
  </conditionalFormatting>
  <conditionalFormatting sqref="B180">
    <cfRule type="duplicateValues" priority="180" dxfId="0"/>
  </conditionalFormatting>
  <conditionalFormatting sqref="B181">
    <cfRule type="duplicateValues" priority="179" dxfId="0"/>
  </conditionalFormatting>
  <conditionalFormatting sqref="B182">
    <cfRule type="duplicateValues" priority="178" dxfId="0"/>
  </conditionalFormatting>
  <conditionalFormatting sqref="B183">
    <cfRule type="duplicateValues" priority="177" dxfId="0"/>
  </conditionalFormatting>
  <conditionalFormatting sqref="B185">
    <cfRule type="duplicateValues" priority="185" dxfId="0"/>
  </conditionalFormatting>
  <conditionalFormatting sqref="B186">
    <cfRule type="duplicateValues" priority="175" dxfId="0"/>
  </conditionalFormatting>
  <conditionalFormatting sqref="B187">
    <cfRule type="duplicateValues" priority="174" dxfId="0"/>
  </conditionalFormatting>
  <conditionalFormatting sqref="B188">
    <cfRule type="duplicateValues" priority="173" dxfId="0"/>
  </conditionalFormatting>
  <conditionalFormatting sqref="B189">
    <cfRule type="duplicateValues" priority="172" dxfId="0"/>
  </conditionalFormatting>
  <conditionalFormatting sqref="B190">
    <cfRule type="duplicateValues" priority="171" dxfId="0"/>
  </conditionalFormatting>
  <conditionalFormatting sqref="B198 B174 B128:B129 B113 B101:B104 B87 B79:B80 B47:B49 B2:B3 B5:B18 B61:B68 B96 B117:B119 B122:B125 B131:B132 B134 B138:B141 B143 B148:B153 B156 B158 B160 B194:B196 B205:B206 B210:B213 B215:B1048576 B20:B43 B70:B72 B51:B57">
    <cfRule type="duplicateValues" priority="482" dxfId="0"/>
  </conditionalFormatting>
  <conditionalFormatting sqref="B214">
    <cfRule type="duplicateValues" priority="250" dxfId="0"/>
  </conditionalFormatting>
  <conditionalFormatting sqref="C38:C45">
    <cfRule type="duplicateValues" priority="597" dxfId="0"/>
  </conditionalFormatting>
  <conditionalFormatting sqref="C48:C49 C51:C55">
    <cfRule type="duplicateValues" priority="216" dxfId="0"/>
  </conditionalFormatting>
  <conditionalFormatting sqref="C56">
    <cfRule type="duplicateValues" priority="215" dxfId="0"/>
  </conditionalFormatting>
  <conditionalFormatting sqref="C58">
    <cfRule type="duplicateValues" priority="486" dxfId="0"/>
  </conditionalFormatting>
  <conditionalFormatting sqref="C59">
    <cfRule type="duplicateValues" priority="488" dxfId="0"/>
  </conditionalFormatting>
  <conditionalFormatting sqref="C61:C62">
    <cfRule type="duplicateValues" priority="710" dxfId="0"/>
  </conditionalFormatting>
  <conditionalFormatting sqref="C64:C66">
    <cfRule type="duplicateValues" priority="443" dxfId="0"/>
  </conditionalFormatting>
  <conditionalFormatting sqref="C67:C69">
    <cfRule type="duplicateValues" priority="213" dxfId="0"/>
  </conditionalFormatting>
  <conditionalFormatting sqref="C71">
    <cfRule type="duplicateValues" priority="212" dxfId="0"/>
  </conditionalFormatting>
  <conditionalFormatting sqref="C73:C75">
    <cfRule type="duplicateValues" priority="601" dxfId="0"/>
  </conditionalFormatting>
  <conditionalFormatting sqref="C76">
    <cfRule type="duplicateValues" priority="218" dxfId="0"/>
  </conditionalFormatting>
  <conditionalFormatting sqref="C77">
    <cfRule type="duplicateValues" priority="217" dxfId="0"/>
  </conditionalFormatting>
  <conditionalFormatting sqref="C78">
    <cfRule type="duplicateValues" priority="12" dxfId="0"/>
  </conditionalFormatting>
  <conditionalFormatting sqref="C81:C83 C85">
    <cfRule type="duplicateValues" priority="438" dxfId="0"/>
  </conditionalFormatting>
  <conditionalFormatting sqref="C84">
    <cfRule type="duplicateValues" priority="211" dxfId="0"/>
  </conditionalFormatting>
  <conditionalFormatting sqref="C86">
    <cfRule type="duplicateValues" priority="10" dxfId="0"/>
  </conditionalFormatting>
  <conditionalFormatting sqref="C88">
    <cfRule type="duplicateValues" priority="431" dxfId="0"/>
  </conditionalFormatting>
  <conditionalFormatting sqref="C91:C92">
    <cfRule type="duplicateValues" priority="210" dxfId="0"/>
  </conditionalFormatting>
  <conditionalFormatting sqref="C93:C94">
    <cfRule type="duplicateValues" priority="209" dxfId="0"/>
  </conditionalFormatting>
  <conditionalFormatting sqref="C102:C104">
    <cfRule type="duplicateValues" priority="207" dxfId="0"/>
  </conditionalFormatting>
  <conditionalFormatting sqref="C107:C108">
    <cfRule type="duplicateValues" priority="604" dxfId="0"/>
  </conditionalFormatting>
  <conditionalFormatting sqref="C116">
    <cfRule type="duplicateValues" priority="527" dxfId="0"/>
  </conditionalFormatting>
  <conditionalFormatting sqref="C144">
    <cfRule type="duplicateValues" priority="461" dxfId="0"/>
  </conditionalFormatting>
  <conditionalFormatting sqref="C154">
    <cfRule type="duplicateValues" priority="459" dxfId="0"/>
  </conditionalFormatting>
  <conditionalFormatting sqref="C155">
    <cfRule type="duplicateValues" priority="457" dxfId="0"/>
  </conditionalFormatting>
  <conditionalFormatting sqref="C157">
    <cfRule type="duplicateValues" priority="455" dxfId="0"/>
  </conditionalFormatting>
  <conditionalFormatting sqref="C159">
    <cfRule type="duplicateValues" priority="453" dxfId="0"/>
  </conditionalFormatting>
  <conditionalFormatting sqref="C175 C185">
    <cfRule type="duplicateValues" priority="481" dxfId="0"/>
  </conditionalFormatting>
  <conditionalFormatting sqref="C176">
    <cfRule type="duplicateValues" priority="22" dxfId="0"/>
  </conditionalFormatting>
  <conditionalFormatting sqref="C177">
    <cfRule type="duplicateValues" priority="21" dxfId="0"/>
  </conditionalFormatting>
  <conditionalFormatting sqref="C178:C183">
    <cfRule type="duplicateValues" priority="20" dxfId="0"/>
  </conditionalFormatting>
  <conditionalFormatting sqref="C186:C187">
    <cfRule type="duplicateValues" priority="16" dxfId="0"/>
  </conditionalFormatting>
  <conditionalFormatting sqref="C188">
    <cfRule type="duplicateValues" priority="19" dxfId="0"/>
  </conditionalFormatting>
  <conditionalFormatting sqref="C189">
    <cfRule type="duplicateValues" priority="17" dxfId="0"/>
  </conditionalFormatting>
  <conditionalFormatting sqref="C190">
    <cfRule type="duplicateValues" priority="18" dxfId="0"/>
  </conditionalFormatting>
  <conditionalFormatting sqref="D47">
    <cfRule type="cellIs" priority="446" operator="notEqual" dxfId="0">
      <formula>$D$47</formula>
    </cfRule>
  </conditionalFormatting>
  <conditionalFormatting sqref="D199:D204">
    <cfRule type="expression" priority="141" dxfId="72" stopIfTrue="1">
      <formula>OR($A199="audio", $A199="video")</formula>
    </cfRule>
    <cfRule type="expression" priority="142" dxfId="71" stopIfTrue="1">
      <formula>OR($A199="audio", $A199="video")</formula>
    </cfRule>
    <cfRule type="expression" priority="143" dxfId="70" stopIfTrue="1">
      <formula>$A199="image"</formula>
    </cfRule>
    <cfRule type="expression" priority="144" dxfId="69" stopIfTrue="1">
      <formula>$A199="image"</formula>
    </cfRule>
    <cfRule type="expression" priority="145" dxfId="68" stopIfTrue="1">
      <formula>OR($A199="date", $A199="datetime")</formula>
    </cfRule>
    <cfRule type="expression" priority="146" dxfId="67" stopIfTrue="1">
      <formula>OR($A199="date", $A199="datetime")</formula>
    </cfRule>
    <cfRule type="expression" priority="147" dxfId="66" stopIfTrue="1">
      <formula>OR($A199="calculate", $A199="calculate_here")</formula>
    </cfRule>
    <cfRule type="expression" priority="148" dxfId="65" stopIfTrue="1">
      <formula>$A199="note"</formula>
    </cfRule>
    <cfRule type="expression" priority="149" dxfId="64" stopIfTrue="1">
      <formula>$A199="note"</formula>
    </cfRule>
    <cfRule type="expression" priority="150" dxfId="63" stopIfTrue="1">
      <formula>$A199="barcode"</formula>
    </cfRule>
    <cfRule type="expression" priority="151" dxfId="62" stopIfTrue="1">
      <formula>$A199="barcode"</formula>
    </cfRule>
    <cfRule type="expression" priority="152" dxfId="61" stopIfTrue="1">
      <formula>$A199="geopoint"</formula>
    </cfRule>
    <cfRule type="expression" priority="153" dxfId="60" stopIfTrue="1">
      <formula>$A199="geopoint"</formula>
    </cfRule>
    <cfRule type="expression" priority="154" dxfId="59" stopIfTrue="1">
      <formula>OR($A199="audio audit", $A199="text audit")</formula>
    </cfRule>
    <cfRule type="expression" priority="155" dxfId="58" stopIfTrue="1">
      <formula>OR($A199="username", $A199="phonenumber", $A199="start", $A199="end", $A199="deviceid", $A199="subscriberid", $A199="simserial")</formula>
    </cfRule>
    <cfRule type="expression" priority="156" dxfId="57" stopIfTrue="1">
      <formula>OR(AND(LEFT($A199, 16)="select_multiple ", LEN($A199)&gt;16, NOT(ISNUMBER(SEARCH(" ", $A199, 17)))), AND(LEFT($A199, 11)="select_one ", LEN($A199)&gt;11, NOT(ISNUMBER(SEARCH(" ", $A199, 12)))))</formula>
    </cfRule>
    <cfRule type="expression" priority="157" dxfId="56" stopIfTrue="1">
      <formula>OR(AND(LEFT($A199, 16)="select_multiple ", LEN($A199)&gt;16, NOT(ISNUMBER(SEARCH(" ", $A199, 17)))), AND(LEFT($A199, 11)="select_one ", LEN($A199)&gt;11, NOT(ISNUMBER(SEARCH(" ", $A199, 12)))))</formula>
    </cfRule>
    <cfRule type="expression" priority="158" dxfId="55" stopIfTrue="1">
      <formula>$A199="decimal"</formula>
    </cfRule>
    <cfRule type="expression" priority="159" dxfId="54" stopIfTrue="1">
      <formula>$A199="decimal"</formula>
    </cfRule>
    <cfRule type="expression" priority="160" dxfId="53" stopIfTrue="1">
      <formula>$A199="integer"</formula>
    </cfRule>
    <cfRule type="expression" priority="161" dxfId="52" stopIfTrue="1">
      <formula>$A199="integer"</formula>
    </cfRule>
    <cfRule type="expression" priority="162" dxfId="51" stopIfTrue="1">
      <formula>$A199="text"</formula>
    </cfRule>
    <cfRule type="expression" priority="163" dxfId="50" stopIfTrue="1">
      <formula>$A199="text"</formula>
    </cfRule>
    <cfRule type="expression" priority="164" dxfId="47" stopIfTrue="1">
      <formula>$A199="end repeat"</formula>
    </cfRule>
    <cfRule type="expression" priority="165" dxfId="48" stopIfTrue="1">
      <formula>$A199="begin repeat"</formula>
    </cfRule>
    <cfRule type="expression" priority="166" dxfId="47" stopIfTrue="1">
      <formula>$A199="begin repeat"</formula>
    </cfRule>
    <cfRule type="expression" priority="167" dxfId="44" stopIfTrue="1">
      <formula>$A199="end group"</formula>
    </cfRule>
    <cfRule type="expression" priority="168" dxfId="45" stopIfTrue="1">
      <formula>$A199="begin group"</formula>
    </cfRule>
    <cfRule type="expression" priority="169" dxfId="44" stopIfTrue="1">
      <formula>$A199="begin group"</formula>
    </cfRule>
  </conditionalFormatting>
  <conditionalFormatting sqref="F6:F11 F47:F48">
    <cfRule type="cellIs" priority="39" operator="equal" dxfId="0">
      <formula>#VALUE!</formula>
    </cfRule>
    <cfRule type="cellIs" priority="40" operator="equal" dxfId="0">
      <formula>#N/A</formula>
    </cfRule>
  </conditionalFormatting>
  <conditionalFormatting sqref="F13:F18">
    <cfRule type="cellIs" priority="37" operator="equal" dxfId="0">
      <formula>#VALUE!</formula>
    </cfRule>
    <cfRule type="cellIs" priority="38" operator="equal" dxfId="0">
      <formula>#N/A</formula>
    </cfRule>
  </conditionalFormatting>
  <conditionalFormatting sqref="F20:F21">
    <cfRule type="cellIs" priority="127" operator="equal" dxfId="0">
      <formula>#VALUE!</formula>
    </cfRule>
    <cfRule type="cellIs" priority="128" operator="equal" dxfId="0">
      <formula>#N/A</formula>
    </cfRule>
  </conditionalFormatting>
  <conditionalFormatting sqref="F51:F54">
    <cfRule type="cellIs" priority="123" operator="equal" dxfId="0">
      <formula>#VALUE!</formula>
    </cfRule>
    <cfRule type="cellIs" priority="124" operator="equal" dxfId="0">
      <formula>#N/A</formula>
    </cfRule>
  </conditionalFormatting>
  <conditionalFormatting sqref="F56">
    <cfRule type="cellIs" priority="119" operator="equal" dxfId="0">
      <formula>#VALUE!</formula>
    </cfRule>
    <cfRule type="cellIs" priority="120" operator="equal" dxfId="0">
      <formula>#N/A</formula>
    </cfRule>
  </conditionalFormatting>
  <conditionalFormatting sqref="F91">
    <cfRule type="cellIs" priority="1" operator="equal" dxfId="6">
      <formula>#VALUE!</formula>
    </cfRule>
    <cfRule type="cellIs" priority="2" operator="equal" dxfId="6">
      <formula>#N/A</formula>
    </cfRule>
  </conditionalFormatting>
  <conditionalFormatting sqref="F92:F93">
    <cfRule type="cellIs" priority="113" operator="equal" dxfId="0">
      <formula>#VALUE!</formula>
    </cfRule>
    <cfRule type="cellIs" priority="114" operator="equal" dxfId="0">
      <formula>#N/A</formula>
    </cfRule>
  </conditionalFormatting>
  <conditionalFormatting sqref="F95">
    <cfRule type="cellIs" priority="111" operator="equal" dxfId="0">
      <formula>#VALUE!</formula>
    </cfRule>
    <cfRule type="cellIs" priority="112" operator="equal" dxfId="0">
      <formula>#N/A</formula>
    </cfRule>
  </conditionalFormatting>
  <conditionalFormatting sqref="F117">
    <cfRule type="cellIs" priority="35" operator="equal" dxfId="0">
      <formula>#VALUE!</formula>
    </cfRule>
    <cfRule type="cellIs" priority="36" operator="equal" dxfId="0">
      <formula>#N/A</formula>
    </cfRule>
  </conditionalFormatting>
  <conditionalFormatting sqref="F132">
    <cfRule type="cellIs" priority="103" operator="equal" dxfId="0">
      <formula>#VALUE!</formula>
    </cfRule>
    <cfRule type="cellIs" priority="104" operator="equal" dxfId="0">
      <formula>#N/A</formula>
    </cfRule>
  </conditionalFormatting>
  <conditionalFormatting sqref="F136">
    <cfRule type="cellIs" priority="101" operator="equal" dxfId="0">
      <formula>#VALUE!</formula>
    </cfRule>
    <cfRule type="cellIs" priority="102" operator="equal" dxfId="0">
      <formula>#N/A</formula>
    </cfRule>
  </conditionalFormatting>
  <conditionalFormatting sqref="F138:F139">
    <cfRule type="cellIs" priority="95" operator="equal" dxfId="0">
      <formula>#VALUE!</formula>
    </cfRule>
    <cfRule type="cellIs" priority="96" operator="equal" dxfId="0">
      <formula>#N/A</formula>
    </cfRule>
  </conditionalFormatting>
  <conditionalFormatting sqref="F144">
    <cfRule type="cellIs" priority="91" operator="equal" dxfId="0">
      <formula>#VALUE!</formula>
    </cfRule>
    <cfRule type="cellIs" priority="92" operator="equal" dxfId="0">
      <formula>#N/A</formula>
    </cfRule>
  </conditionalFormatting>
  <conditionalFormatting sqref="F148:F155">
    <cfRule type="cellIs" priority="28" operator="equal" dxfId="0">
      <formula>#VALUE!</formula>
    </cfRule>
    <cfRule type="cellIs" priority="29" operator="equal" dxfId="0">
      <formula>#N/A</formula>
    </cfRule>
  </conditionalFormatting>
  <conditionalFormatting sqref="F157:F160">
    <cfRule type="cellIs" priority="24" operator="equal" dxfId="0">
      <formula>#VALUE!</formula>
    </cfRule>
    <cfRule type="cellIs" priority="25" operator="equal" dxfId="0">
      <formula>#N/A</formula>
    </cfRule>
  </conditionalFormatting>
  <conditionalFormatting sqref="F170">
    <cfRule type="duplicateValues" priority="77" dxfId="0"/>
    <cfRule type="duplicateValues" priority="78" dxfId="0"/>
  </conditionalFormatting>
  <conditionalFormatting sqref="F172:F173">
    <cfRule type="duplicateValues" priority="75" dxfId="0"/>
    <cfRule type="duplicateValues" priority="76" dxfId="0"/>
  </conditionalFormatting>
  <conditionalFormatting sqref="F175:F177 F180:F185">
    <cfRule type="cellIs" priority="47" operator="equal" dxfId="0">
      <formula>#VALUE!</formula>
    </cfRule>
    <cfRule type="cellIs" priority="48" operator="equal" dxfId="0">
      <formula>#N/A</formula>
    </cfRule>
  </conditionalFormatting>
  <conditionalFormatting sqref="F178:F179">
    <cfRule type="cellIs" priority="3" operator="equal" dxfId="6">
      <formula>#VALUE!</formula>
    </cfRule>
    <cfRule type="cellIs" priority="4" operator="equal" dxfId="6">
      <formula>#N/A</formula>
    </cfRule>
  </conditionalFormatting>
  <conditionalFormatting sqref="F191:F192">
    <cfRule type="cellIs" priority="49" operator="equal" dxfId="0">
      <formula>#VALUE!</formula>
    </cfRule>
    <cfRule type="cellIs" priority="50" operator="equal" dxfId="0">
      <formula>#N/A</formula>
    </cfRule>
  </conditionalFormatting>
  <conditionalFormatting sqref="F198:F206">
    <cfRule type="cellIs" priority="30" operator="equal" dxfId="0">
      <formula>#VALUE!</formula>
    </cfRule>
    <cfRule type="cellIs" priority="31" operator="equal" dxfId="0">
      <formula>#N/A</formula>
    </cfRule>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2578125" defaultRowHeight="15"/>
  <sheetData>
    <row r="1">
      <c r="A1" t="inlineStr">
        <is>
          <t>question</t>
        </is>
      </c>
      <c r="B1" t="inlineStr">
        <is>
          <t>duration</t>
        </is>
      </c>
      <c r="C1" t="inlineStr">
        <is>
          <t>responded %</t>
        </is>
      </c>
      <c r="D1" t="inlineStr">
        <is>
          <t>weighted time</t>
        </is>
      </c>
    </row>
    <row r="2">
      <c r="A2" t="inlineStr">
        <is>
          <t>introduction</t>
        </is>
      </c>
      <c r="B2" s="13" t="n">
        <v>50.82254028320312</v>
      </c>
      <c r="C2" s="14" t="n">
        <v>1</v>
      </c>
      <c r="D2" s="13" t="n">
        <v>50.82254028320312</v>
      </c>
    </row>
    <row r="3">
      <c r="A3" t="inlineStr">
        <is>
          <t>agree</t>
        </is>
      </c>
      <c r="B3" s="13" t="n">
        <v>3.496473789215088</v>
      </c>
      <c r="C3" s="14" t="n">
        <v>0.7969874100719424</v>
      </c>
      <c r="D3" s="13" t="n">
        <v>2.786645589650964</v>
      </c>
    </row>
    <row r="4">
      <c r="A4" t="inlineStr">
        <is>
          <t>resp_age</t>
        </is>
      </c>
      <c r="B4" s="13" t="n">
        <v>13.75307273864746</v>
      </c>
      <c r="C4" s="14" t="n">
        <v>1</v>
      </c>
      <c r="D4" s="13" t="n">
        <v>13.75307273864746</v>
      </c>
    </row>
    <row r="5">
      <c r="A5" t="inlineStr">
        <is>
          <t>resp_gender</t>
        </is>
      </c>
      <c r="B5" s="13" t="n">
        <v>2.117356061935425</v>
      </c>
      <c r="C5" s="14" t="n">
        <v>1</v>
      </c>
      <c r="D5" s="13" t="n">
        <v>2.117356061935425</v>
      </c>
    </row>
    <row r="6">
      <c r="A6" t="inlineStr">
        <is>
          <t>quotareached</t>
        </is>
      </c>
      <c r="B6" s="13" t="n">
        <v>2.284250020980835</v>
      </c>
      <c r="C6" s="14" t="n">
        <v>0.7969874100719424</v>
      </c>
      <c r="D6" s="13" t="n">
        <v>1.820518508178296</v>
      </c>
    </row>
    <row r="7">
      <c r="A7" t="inlineStr">
        <is>
          <t>hh_agricactivity</t>
        </is>
      </c>
      <c r="B7" s="13" t="n">
        <v>31.37237739562988</v>
      </c>
      <c r="C7" s="14" t="n">
        <v>1</v>
      </c>
      <c r="D7" s="13" t="n">
        <v>31.37237739562988</v>
      </c>
    </row>
    <row r="8">
      <c r="A8" t="inlineStr">
        <is>
          <t>hh_milieu</t>
        </is>
      </c>
      <c r="B8" s="13" t="n">
        <v>7.922545433044434</v>
      </c>
      <c r="C8" s="14" t="n">
        <v>0.1519034772182254</v>
      </c>
      <c r="D8" s="13" t="n">
        <v>1.203462199698821</v>
      </c>
    </row>
    <row r="9">
      <c r="A9" t="inlineStr">
        <is>
          <t>hh_gender</t>
        </is>
      </c>
      <c r="B9" s="13" t="n">
        <v>10.08573150634766</v>
      </c>
      <c r="C9" s="14" t="n">
        <v>1</v>
      </c>
      <c r="D9" s="13" t="n">
        <v>10.08573150634766</v>
      </c>
    </row>
    <row r="10">
      <c r="A10" t="inlineStr">
        <is>
          <t>hh_education</t>
        </is>
      </c>
      <c r="B10" s="13" t="n">
        <v>12.89403438568115</v>
      </c>
      <c r="C10" s="14" t="n">
        <v>1</v>
      </c>
      <c r="D10" s="13" t="n">
        <v>12.89403438568115</v>
      </c>
    </row>
    <row r="11">
      <c r="A11" t="inlineStr">
        <is>
          <t>hh_wealth_water</t>
        </is>
      </c>
      <c r="B11" s="13" t="n">
        <v>15.26582908630371</v>
      </c>
      <c r="C11" s="14" t="n">
        <v>0.6379646282973621</v>
      </c>
      <c r="D11" s="13" t="n">
        <v>9.739058978694805</v>
      </c>
    </row>
    <row r="12">
      <c r="A12" t="inlineStr">
        <is>
          <t>hh_wealth_toilet</t>
        </is>
      </c>
      <c r="B12" s="13" t="n">
        <v>15.12371826171875</v>
      </c>
      <c r="C12" s="14" t="n">
        <v>0.5918015587529976</v>
      </c>
      <c r="D12" s="13" t="n">
        <v>8.950240041426332</v>
      </c>
    </row>
    <row r="13">
      <c r="A13" t="inlineStr">
        <is>
          <t>hh_wealthwall</t>
        </is>
      </c>
      <c r="B13" s="13" t="n">
        <v>12.8214111328125</v>
      </c>
      <c r="C13" s="14" t="n">
        <v>0.1519034772182254</v>
      </c>
      <c r="D13" s="13" t="n">
        <v>1.947616933918685</v>
      </c>
    </row>
    <row r="14">
      <c r="A14" t="inlineStr">
        <is>
          <t>hh_size</t>
        </is>
      </c>
      <c r="B14" s="13" t="n">
        <v>15.21184825897217</v>
      </c>
      <c r="C14" s="14" t="n">
        <v>0.5161121103117506</v>
      </c>
      <c r="D14" s="13" t="n">
        <v>7.851019106680256</v>
      </c>
    </row>
    <row r="15">
      <c r="A15" t="inlineStr">
        <is>
          <t>hh_reprwomen</t>
        </is>
      </c>
      <c r="B15" s="13" t="n">
        <v>19.31031036376953</v>
      </c>
      <c r="C15" s="14" t="n">
        <v>0.1519034772182254</v>
      </c>
      <c r="D15" s="13" t="n">
        <v>2.933303290419727</v>
      </c>
    </row>
    <row r="16">
      <c r="A16" t="inlineStr">
        <is>
          <t>income_main</t>
        </is>
      </c>
      <c r="B16" s="13" t="n">
        <v>36.92873382568359</v>
      </c>
      <c r="C16" s="14" t="n">
        <v>1</v>
      </c>
      <c r="D16" s="13" t="n">
        <v>36.92873382568359</v>
      </c>
    </row>
    <row r="17">
      <c r="A17" t="inlineStr">
        <is>
          <t>income_main_amount</t>
        </is>
      </c>
      <c r="B17" s="13" t="n">
        <v>40.04731750488281</v>
      </c>
      <c r="C17" s="14" t="n">
        <v>0.7554706235011991</v>
      </c>
      <c r="D17" s="13" t="n">
        <v>30.2545719249643</v>
      </c>
    </row>
    <row r="18">
      <c r="A18" t="inlineStr">
        <is>
          <t>income_main_amount_conf</t>
        </is>
      </c>
      <c r="B18" s="13" t="n">
        <v>3.687011003494263</v>
      </c>
      <c r="C18" s="14" t="n">
        <v>0.04788669064748202</v>
      </c>
      <c r="D18" s="13" t="n">
        <v>0.176558755338192</v>
      </c>
    </row>
    <row r="19">
      <c r="A19" t="inlineStr">
        <is>
          <t>income_main_comp</t>
        </is>
      </c>
      <c r="B19" s="13" t="n">
        <v>27.24216651916504</v>
      </c>
      <c r="C19" s="14" t="n">
        <v>0.9447691846522782</v>
      </c>
      <c r="D19" s="13" t="n">
        <v>25.73755945047315</v>
      </c>
    </row>
    <row r="20">
      <c r="A20" t="inlineStr">
        <is>
          <t>income_sec</t>
        </is>
      </c>
      <c r="B20" s="13" t="n">
        <v>25.30800437927246</v>
      </c>
      <c r="C20" s="14" t="n">
        <v>0.9447691846522782</v>
      </c>
      <c r="D20" s="13" t="n">
        <v>23.91022266258153</v>
      </c>
    </row>
    <row r="21">
      <c r="A21" t="inlineStr">
        <is>
          <t>income_sec_amount</t>
        </is>
      </c>
      <c r="B21" s="13" t="n">
        <v>30.82847023010254</v>
      </c>
      <c r="C21" s="14" t="n">
        <v>0.3390287769784173</v>
      </c>
      <c r="D21" s="13" t="n">
        <v>10.45173855822721</v>
      </c>
    </row>
    <row r="22">
      <c r="A22" t="inlineStr">
        <is>
          <t>income_sec_amount_conf</t>
        </is>
      </c>
      <c r="B22" s="13" t="n">
        <v>2.29411768913269</v>
      </c>
      <c r="C22" s="14" t="n">
        <v>0.0114658273381295</v>
      </c>
      <c r="D22" s="13" t="n">
        <v>0.02630395731694407</v>
      </c>
    </row>
    <row r="23">
      <c r="A23" t="inlineStr">
        <is>
          <t>income_sec_comp</t>
        </is>
      </c>
      <c r="B23" s="13" t="n">
        <v>21.19325637817383</v>
      </c>
      <c r="C23" s="14" t="n">
        <v>0.431205035971223</v>
      </c>
      <c r="D23" s="13" t="n">
        <v>9.138638878897797</v>
      </c>
    </row>
    <row r="24">
      <c r="A24" t="inlineStr">
        <is>
          <t>income_third</t>
        </is>
      </c>
      <c r="B24" s="13" t="n">
        <v>20.22992706298828</v>
      </c>
      <c r="C24" s="14" t="n">
        <v>0.431205035971223</v>
      </c>
      <c r="D24" s="13" t="n">
        <v>8.72324642689108</v>
      </c>
    </row>
    <row r="25">
      <c r="A25" t="inlineStr">
        <is>
          <t>income_third_amount</t>
        </is>
      </c>
      <c r="B25" s="13" t="n">
        <v>29.42983245849609</v>
      </c>
      <c r="C25" s="14" t="n">
        <v>0.07636390887290168</v>
      </c>
      <c r="D25" s="13" t="n">
        <v>2.24737704400536</v>
      </c>
    </row>
    <row r="26">
      <c r="A26" t="inlineStr">
        <is>
          <t>income_third_amount_conf</t>
        </is>
      </c>
      <c r="B26" s="13" t="n">
        <v>1.555555582046509</v>
      </c>
      <c r="C26" s="14" t="n">
        <v>0.002023381294964029</v>
      </c>
      <c r="D26" s="13" t="n">
        <v>0.003147482067989788</v>
      </c>
    </row>
    <row r="27">
      <c r="A27" t="inlineStr">
        <is>
          <t>income_third_comp</t>
        </is>
      </c>
      <c r="B27" s="13" t="n">
        <v>16.34839630126953</v>
      </c>
      <c r="C27" s="14" t="n">
        <v>0.1144334532374101</v>
      </c>
      <c r="D27" s="13" t="n">
        <v>1.870803443647975</v>
      </c>
    </row>
    <row r="28">
      <c r="A28" t="inlineStr">
        <is>
          <t>covid_policy</t>
        </is>
      </c>
      <c r="B28" s="13" t="n">
        <v>39.025390625</v>
      </c>
      <c r="C28" s="14" t="n">
        <v>0.7969124700239808</v>
      </c>
      <c r="D28" s="13" t="n">
        <v>31.09982043661945</v>
      </c>
    </row>
    <row r="29">
      <c r="A29" t="inlineStr">
        <is>
          <t>wagecompar</t>
        </is>
      </c>
      <c r="B29" s="13" t="n">
        <v>10.04008483886719</v>
      </c>
      <c r="C29" s="14" t="n">
        <v>0.03552158273381295</v>
      </c>
      <c r="D29" s="13" t="n">
        <v>0.3566397042583219</v>
      </c>
    </row>
    <row r="30">
      <c r="A30" t="inlineStr">
        <is>
          <t>hh_explanation</t>
        </is>
      </c>
      <c r="B30" s="13" t="n">
        <v>26.11878204345703</v>
      </c>
      <c r="C30" s="14" t="n">
        <v>0.3570893285371702</v>
      </c>
      <c r="D30" s="13" t="n">
        <v>9.32673834210677</v>
      </c>
    </row>
    <row r="31">
      <c r="A31" t="inlineStr">
        <is>
          <t>crp_main</t>
        </is>
      </c>
      <c r="B31" s="13" t="n">
        <v>27.05755233764648</v>
      </c>
      <c r="C31" s="14" t="n">
        <v>0.5065197841726619</v>
      </c>
      <c r="D31" s="13" t="n">
        <v>13.7051855703052</v>
      </c>
    </row>
    <row r="32">
      <c r="A32" t="inlineStr">
        <is>
          <t>crp_landsize</t>
        </is>
      </c>
      <c r="B32" s="13" t="n">
        <v>15.98350524902344</v>
      </c>
      <c r="C32" s="14" t="n">
        <v>0.3770983213429256</v>
      </c>
      <c r="D32" s="13" t="n">
        <v>6.027352998582579</v>
      </c>
    </row>
    <row r="33">
      <c r="A33" t="inlineStr">
        <is>
          <t>crp_landsmall</t>
        </is>
      </c>
      <c r="B33" s="13" t="n">
        <v>3.411157131195068</v>
      </c>
      <c r="C33" s="14" t="n">
        <v>0.03627098321342925</v>
      </c>
      <c r="D33" s="13" t="n">
        <v>0.1237260230439458</v>
      </c>
    </row>
    <row r="34">
      <c r="A34" t="inlineStr">
        <is>
          <t>crp_landmedium</t>
        </is>
      </c>
      <c r="B34" s="13" t="n">
        <v>5.63265323638916</v>
      </c>
      <c r="C34" s="14" t="n">
        <v>0.003672062350119904</v>
      </c>
      <c r="D34" s="13" t="n">
        <v>0.02068345388062566</v>
      </c>
    </row>
    <row r="35">
      <c r="A35" t="inlineStr">
        <is>
          <t>crp_irrigation</t>
        </is>
      </c>
      <c r="B35" s="13" t="n">
        <v>15.95429515838623</v>
      </c>
      <c r="C35" s="14" t="n">
        <v>0.2590677458033573</v>
      </c>
      <c r="D35" s="13" t="n">
        <v>4.133243282564539</v>
      </c>
    </row>
    <row r="36">
      <c r="A36" t="inlineStr">
        <is>
          <t>crp_seed_supply</t>
        </is>
      </c>
      <c r="B36" s="13" t="n">
        <v>17.92890930175781</v>
      </c>
      <c r="C36" s="14" t="n">
        <v>0.1423111510791367</v>
      </c>
      <c r="D36" s="13" t="n">
        <v>2.551483720326595</v>
      </c>
    </row>
    <row r="37">
      <c r="A37" t="inlineStr">
        <is>
          <t>crp_area_change</t>
        </is>
      </c>
      <c r="B37" s="13" t="n">
        <v>25.43687438964844</v>
      </c>
      <c r="C37" s="14" t="n">
        <v>0.4938549160671463</v>
      </c>
      <c r="D37" s="13" t="n">
        <v>12.56212546671037</v>
      </c>
    </row>
    <row r="38">
      <c r="A38" t="inlineStr">
        <is>
          <t>crp_harv_change</t>
        </is>
      </c>
      <c r="B38" s="13" t="n">
        <v>19.36494636535645</v>
      </c>
      <c r="C38" s="14" t="n">
        <v>0.4938549160671463</v>
      </c>
      <c r="D38" s="13" t="n">
        <v>9.563473961907896</v>
      </c>
    </row>
    <row r="39">
      <c r="A39" t="inlineStr">
        <is>
          <t>crp_proddif_1</t>
        </is>
      </c>
      <c r="B39" s="13" t="n">
        <v>13.45886421203613</v>
      </c>
      <c r="C39" s="14" t="n">
        <v>0.3880395683453237</v>
      </c>
      <c r="D39" s="13" t="n">
        <v>5.222571859256826</v>
      </c>
    </row>
    <row r="40">
      <c r="A40" t="inlineStr">
        <is>
          <t>crp_proddif_2</t>
        </is>
      </c>
      <c r="B40" s="13" t="n">
        <v>37.52328872680664</v>
      </c>
      <c r="C40" s="14" t="n">
        <v>0.3073291366906475</v>
      </c>
      <c r="D40" s="13" t="n">
        <v>11.53199993020339</v>
      </c>
    </row>
    <row r="41">
      <c r="A41" t="inlineStr">
        <is>
          <t>crp_salesdif_1</t>
        </is>
      </c>
      <c r="B41" s="13" t="n">
        <v>12.68148708343506</v>
      </c>
      <c r="C41" s="14" t="n">
        <v>0.2983363309352518</v>
      </c>
      <c r="D41" s="13" t="n">
        <v>3.783348327274803</v>
      </c>
    </row>
    <row r="42">
      <c r="A42" t="inlineStr">
        <is>
          <t>crp_salesdif_2</t>
        </is>
      </c>
      <c r="B42" s="13" t="n">
        <v>22.61360931396484</v>
      </c>
      <c r="C42" s="14" t="n">
        <v>0.1233513189448441</v>
      </c>
      <c r="D42" s="13" t="n">
        <v>2.789418534980975</v>
      </c>
    </row>
    <row r="43">
      <c r="A43" t="inlineStr">
        <is>
          <t>crp_salesprice</t>
        </is>
      </c>
      <c r="B43" s="13" t="n">
        <v>21.70190811157227</v>
      </c>
      <c r="C43" s="14" t="n">
        <v>0.3848920863309352</v>
      </c>
      <c r="D43" s="13" t="n">
        <v>8.352892690425296</v>
      </c>
    </row>
    <row r="44">
      <c r="A44" t="inlineStr">
        <is>
          <t>mrk_inno</t>
        </is>
      </c>
      <c r="B44" s="13" t="n">
        <v>12.12575531005859</v>
      </c>
      <c r="C44" s="14" t="n">
        <v>0.06197541966426859</v>
      </c>
      <c r="D44" s="13" t="n">
        <v>0.7514987740871146</v>
      </c>
    </row>
    <row r="45">
      <c r="A45" t="inlineStr">
        <is>
          <t>crp_proc</t>
        </is>
      </c>
      <c r="B45" s="13" t="n">
        <v>13.56026268005371</v>
      </c>
      <c r="C45" s="14" t="n">
        <v>0.1486061151079137</v>
      </c>
      <c r="D45" s="13" t="n">
        <v>2.015137956725607</v>
      </c>
    </row>
    <row r="46">
      <c r="A46" t="inlineStr">
        <is>
          <t>crp_proc_mach</t>
        </is>
      </c>
      <c r="B46" s="13" t="n">
        <v>14.0656566619873</v>
      </c>
      <c r="C46" s="14" t="n">
        <v>0.01483812949640288</v>
      </c>
      <c r="D46" s="13" t="n">
        <v>0.2087080350025095</v>
      </c>
    </row>
    <row r="47">
      <c r="A47" t="inlineStr">
        <is>
          <t>crp_proc_owner</t>
        </is>
      </c>
      <c r="B47" s="13" t="n">
        <v>11.01092910766602</v>
      </c>
      <c r="C47" s="14" t="n">
        <v>0.01371402877697842</v>
      </c>
      <c r="D47" s="13" t="n">
        <v>0.151004198643801</v>
      </c>
    </row>
    <row r="48">
      <c r="A48" t="inlineStr">
        <is>
          <t>crp_proc_state</t>
        </is>
      </c>
      <c r="B48" s="13" t="n">
        <v>4.896174907684326</v>
      </c>
      <c r="C48" s="14" t="n">
        <v>0.01371402877697842</v>
      </c>
      <c r="D48" s="13" t="n">
        <v>0.06714628358110249</v>
      </c>
    </row>
    <row r="49">
      <c r="A49" t="inlineStr">
        <is>
          <t>ls_main</t>
        </is>
      </c>
      <c r="B49" s="13" t="n">
        <v>20.2944221496582</v>
      </c>
      <c r="C49" s="14" t="n">
        <v>0.4057254196642686</v>
      </c>
      <c r="D49" s="13" t="n">
        <v>8.233962943513902</v>
      </c>
    </row>
    <row r="50">
      <c r="A50" t="inlineStr">
        <is>
          <t>ls_num_lastyr</t>
        </is>
      </c>
      <c r="B50" s="13" t="n">
        <v>18.53907775878906</v>
      </c>
      <c r="C50" s="14" t="n">
        <v>0.4027278177458034</v>
      </c>
      <c r="D50" s="13" t="n">
        <v>7.466202328816878</v>
      </c>
    </row>
    <row r="51">
      <c r="A51" t="inlineStr">
        <is>
          <t>ls_num_now</t>
        </is>
      </c>
      <c r="B51" s="13" t="n">
        <v>8.915891647338867</v>
      </c>
      <c r="C51" s="14" t="n">
        <v>0.4027278177458034</v>
      </c>
      <c r="D51" s="13" t="n">
        <v>3.590677586390818</v>
      </c>
    </row>
    <row r="52">
      <c r="A52" t="inlineStr">
        <is>
          <t>ls_num_change</t>
        </is>
      </c>
      <c r="B52" s="13" t="n">
        <v>25.81001091003418</v>
      </c>
      <c r="C52" s="14" t="n">
        <v>0.4027278177458034</v>
      </c>
      <c r="D52" s="13" t="n">
        <v>10.39440936979344</v>
      </c>
    </row>
    <row r="53">
      <c r="A53" t="inlineStr">
        <is>
          <t>ls_food_supply</t>
        </is>
      </c>
      <c r="B53" s="13" t="n">
        <v>19.55319786071777</v>
      </c>
      <c r="C53" s="14" t="n">
        <v>0.293015587529976</v>
      </c>
      <c r="D53" s="13" t="n">
        <v>5.729391759248089</v>
      </c>
    </row>
    <row r="54">
      <c r="A54" t="inlineStr">
        <is>
          <t>ls_proddif_1</t>
        </is>
      </c>
      <c r="B54" s="13" t="n">
        <v>13.61331653594971</v>
      </c>
      <c r="C54" s="14" t="n">
        <v>0.3038818944844125</v>
      </c>
      <c r="D54" s="13" t="n">
        <v>4.136840419160377</v>
      </c>
    </row>
    <row r="55">
      <c r="A55" t="inlineStr">
        <is>
          <t>ls_proddif_2</t>
        </is>
      </c>
      <c r="B55" s="13" t="n">
        <v>27.75464820861816</v>
      </c>
      <c r="C55" s="14" t="n">
        <v>0.205560551558753</v>
      </c>
      <c r="D55" s="13" t="n">
        <v>5.705260794082705</v>
      </c>
    </row>
    <row r="56">
      <c r="A56" t="inlineStr">
        <is>
          <t>ls_salesmain</t>
        </is>
      </c>
      <c r="B56" s="13" t="n">
        <v>13.99939060211182</v>
      </c>
      <c r="C56" s="14" t="n">
        <v>0.2460281774580336</v>
      </c>
      <c r="D56" s="13" t="n">
        <v>3.444244555360693</v>
      </c>
    </row>
    <row r="57">
      <c r="A57" t="inlineStr">
        <is>
          <t>ls_salesdif_1</t>
        </is>
      </c>
      <c r="B57" s="13" t="n">
        <v>10.25279426574707</v>
      </c>
      <c r="C57" s="14" t="n">
        <v>0.174310551558753</v>
      </c>
      <c r="D57" s="13" t="n">
        <v>1.787170223480792</v>
      </c>
    </row>
    <row r="58">
      <c r="A58" t="inlineStr">
        <is>
          <t>ls_salesdif_2</t>
        </is>
      </c>
      <c r="B58" s="13" t="n">
        <v>24.19434356689453</v>
      </c>
      <c r="C58" s="14" t="n">
        <v>0.1033423261390887</v>
      </c>
      <c r="D58" s="13" t="n">
        <v>2.500299743611178</v>
      </c>
    </row>
    <row r="59">
      <c r="A59" t="inlineStr">
        <is>
          <t>ls_salesprice</t>
        </is>
      </c>
      <c r="B59" s="13" t="n">
        <v>19.32173728942871</v>
      </c>
      <c r="C59" s="14" t="n">
        <v>0.234787170263789</v>
      </c>
      <c r="D59" s="13" t="n">
        <v>4.5364960227653</v>
      </c>
    </row>
    <row r="60">
      <c r="A60" t="inlineStr">
        <is>
          <t>ls_proc_1</t>
        </is>
      </c>
      <c r="B60" s="13" t="n">
        <v>6.094890594482422</v>
      </c>
      <c r="C60" s="14" t="n">
        <v>0.01026678657074341</v>
      </c>
      <c r="D60" s="13" t="n">
        <v>0.06257494090558242</v>
      </c>
    </row>
    <row r="61">
      <c r="A61" t="inlineStr">
        <is>
          <t>ls_proc_2</t>
        </is>
      </c>
      <c r="B61" s="13" t="n">
        <v>17.53424644470215</v>
      </c>
      <c r="C61" s="14" t="n">
        <v>0.01641187050359712</v>
      </c>
      <c r="D61" s="13" t="n">
        <v>0.2877697820286099</v>
      </c>
    </row>
    <row r="62">
      <c r="A62" t="inlineStr">
        <is>
          <t>ls_proc_fac</t>
        </is>
      </c>
      <c r="B62" s="13" t="n">
        <v>31.45833396911621</v>
      </c>
      <c r="C62" s="14" t="n">
        <v>0.001798561151079137</v>
      </c>
      <c r="D62" s="13" t="n">
        <v>0.05657973735452556</v>
      </c>
    </row>
    <row r="63">
      <c r="A63" t="inlineStr">
        <is>
          <t>ls_proc_fac_statedairyprocess</t>
        </is>
      </c>
      <c r="B63" s="13" t="n">
        <v>2.5</v>
      </c>
      <c r="C63" s="14" t="n">
        <v>0.0001498800959232614</v>
      </c>
      <c r="D63" s="13" t="n">
        <v>0.0003747002398081534</v>
      </c>
    </row>
    <row r="64">
      <c r="A64" t="inlineStr">
        <is>
          <t>ls_proc_fac_statecoldtranspor</t>
        </is>
      </c>
      <c r="B64" s="13" t="n">
        <v>5.75</v>
      </c>
      <c r="C64" s="14" t="n">
        <v>0.0002997601918465228</v>
      </c>
      <c r="D64" s="13" t="n">
        <v>0.001723621103117506</v>
      </c>
    </row>
    <row r="65">
      <c r="A65" t="inlineStr">
        <is>
          <t>ls_proc_fac_statedontknow</t>
        </is>
      </c>
      <c r="B65" s="13" t="n">
        <v>4.5</v>
      </c>
      <c r="C65" s="14" t="n">
        <v>0.0001498800959232614</v>
      </c>
      <c r="D65" s="13" t="n">
        <v>0.0006744604316546762</v>
      </c>
    </row>
    <row r="66">
      <c r="A66" t="inlineStr">
        <is>
          <t>cg</t>
        </is>
      </c>
      <c r="B66" s="13" t="n">
        <v>3</v>
      </c>
      <c r="C66" s="14" t="n">
        <v>7.494004796163069e-05</v>
      </c>
      <c r="D66" s="13" t="n">
        <v>0.0002248201438848921</v>
      </c>
    </row>
    <row r="67">
      <c r="A67" t="inlineStr">
        <is>
          <t>ls_proc_fac_statepurchasepriv</t>
        </is>
      </c>
      <c r="B67" s="13" t="n">
        <v>2</v>
      </c>
      <c r="C67" s="14" t="n">
        <v>7.494004796163069e-05</v>
      </c>
      <c r="D67" s="13" t="n">
        <v>0.0001498800959232614</v>
      </c>
    </row>
    <row r="68">
      <c r="A68" t="inlineStr">
        <is>
          <t>fish_main</t>
        </is>
      </c>
      <c r="B68" s="13" t="n">
        <v>19.09011650085449</v>
      </c>
      <c r="C68" s="14" t="n">
        <v>0.02577937649880096</v>
      </c>
      <c r="D68" s="13" t="n">
        <v>0.4921313006815007</v>
      </c>
    </row>
    <row r="69">
      <c r="A69" t="inlineStr">
        <is>
          <t>fish_change</t>
        </is>
      </c>
      <c r="B69" s="13" t="n">
        <v>17.6569766998291</v>
      </c>
      <c r="C69" s="14" t="n">
        <v>0.02577937649880096</v>
      </c>
      <c r="D69" s="13" t="n">
        <v>0.4551858501754504</v>
      </c>
    </row>
    <row r="70">
      <c r="A70" t="inlineStr">
        <is>
          <t>fish_proddif_1</t>
        </is>
      </c>
      <c r="B70" s="13" t="n">
        <v>8.764705657958984</v>
      </c>
      <c r="C70" s="14" t="n">
        <v>0.02420563549160671</v>
      </c>
      <c r="D70" s="13" t="n">
        <v>0.2121552703477782</v>
      </c>
    </row>
    <row r="71">
      <c r="A71" t="inlineStr">
        <is>
          <t>fish_proddif_2</t>
        </is>
      </c>
      <c r="B71" s="13" t="n">
        <v>27.9538459777832</v>
      </c>
      <c r="C71" s="14" t="n">
        <v>0.009742206235011991</v>
      </c>
      <c r="D71" s="13" t="n">
        <v>0.2723321325773244</v>
      </c>
    </row>
    <row r="72">
      <c r="A72" t="inlineStr">
        <is>
          <t>fish_inputdif</t>
        </is>
      </c>
      <c r="B72" s="13" t="n">
        <v>21.25</v>
      </c>
      <c r="C72" s="14" t="n">
        <v>0.001798561151079137</v>
      </c>
      <c r="D72" s="13" t="n">
        <v>0.03821942446043166</v>
      </c>
    </row>
    <row r="73">
      <c r="A73" t="inlineStr">
        <is>
          <t>fish_salesmain</t>
        </is>
      </c>
      <c r="B73" s="13" t="n">
        <v>14.38495540618896</v>
      </c>
      <c r="C73" s="14" t="n">
        <v>0.03387290167865707</v>
      </c>
      <c r="D73" s="13" t="n">
        <v>0.4872601801257053</v>
      </c>
    </row>
    <row r="74">
      <c r="A74" t="inlineStr">
        <is>
          <t>fish_salesdif_1</t>
        </is>
      </c>
      <c r="B74" s="13" t="n">
        <v>9.438053131103516</v>
      </c>
      <c r="C74" s="14" t="n">
        <v>0.03387290167865707</v>
      </c>
      <c r="D74" s="13" t="n">
        <v>0.3196942457478109</v>
      </c>
    </row>
    <row r="75">
      <c r="A75" t="inlineStr">
        <is>
          <t>fish_salesdif</t>
        </is>
      </c>
      <c r="B75" s="13" t="n">
        <v>27.76699066162109</v>
      </c>
      <c r="C75" s="14" t="n">
        <v>0.007718824940047961</v>
      </c>
      <c r="D75" s="13" t="n">
        <v>0.2143285400289997</v>
      </c>
    </row>
    <row r="76">
      <c r="A76" t="inlineStr">
        <is>
          <t>fish_salesprice</t>
        </is>
      </c>
      <c r="B76" s="13" t="n">
        <v>13.7057523727417</v>
      </c>
      <c r="C76" s="14" t="n">
        <v>0.03387290167865707</v>
      </c>
      <c r="D76" s="13" t="n">
        <v>0.4642536025539005</v>
      </c>
    </row>
    <row r="77">
      <c r="A77" t="inlineStr">
        <is>
          <t>fies</t>
        </is>
      </c>
      <c r="B77" s="13" t="n">
        <v>12.77690315246582</v>
      </c>
      <c r="C77" s="14" t="n">
        <v>1</v>
      </c>
      <c r="D77" s="13" t="n">
        <v>12.77690315246582</v>
      </c>
    </row>
    <row r="78">
      <c r="A78" t="inlineStr">
        <is>
          <t>fies_worried</t>
        </is>
      </c>
      <c r="B78" s="13" t="n">
        <v>21.39860534667969</v>
      </c>
      <c r="C78" s="14" t="n">
        <v>1</v>
      </c>
      <c r="D78" s="13" t="n">
        <v>21.39860534667969</v>
      </c>
    </row>
    <row r="79">
      <c r="A79" t="inlineStr">
        <is>
          <t>fies_healthy</t>
        </is>
      </c>
      <c r="B79" s="13" t="n">
        <v>14.98074054718018</v>
      </c>
      <c r="C79" s="14" t="n">
        <v>1</v>
      </c>
      <c r="D79" s="13" t="n">
        <v>14.98074054718018</v>
      </c>
    </row>
    <row r="80">
      <c r="A80" t="inlineStr">
        <is>
          <t>fies_fewfoods</t>
        </is>
      </c>
      <c r="B80" s="13" t="n">
        <v>13.72302150726318</v>
      </c>
      <c r="C80" s="14" t="n">
        <v>1</v>
      </c>
      <c r="D80" s="13" t="n">
        <v>13.72302150726318</v>
      </c>
    </row>
    <row r="81">
      <c r="A81" t="inlineStr">
        <is>
          <t>fies_skipped</t>
        </is>
      </c>
      <c r="B81" s="13" t="n">
        <v>13.06220054626465</v>
      </c>
      <c r="C81" s="14" t="n">
        <v>1</v>
      </c>
      <c r="D81" s="13" t="n">
        <v>13.06220054626465</v>
      </c>
    </row>
    <row r="82">
      <c r="A82" t="inlineStr">
        <is>
          <t>fies_ateless</t>
        </is>
      </c>
      <c r="B82" s="13" t="n">
        <v>13.09532356262207</v>
      </c>
      <c r="C82" s="14" t="n">
        <v>1</v>
      </c>
      <c r="D82" s="13" t="n">
        <v>13.09532356262207</v>
      </c>
    </row>
    <row r="83">
      <c r="A83" t="inlineStr">
        <is>
          <t>fies_ranout</t>
        </is>
      </c>
      <c r="B83" s="13" t="n">
        <v>16.10101918465228</v>
      </c>
      <c r="C83" s="14" t="n">
        <v>1</v>
      </c>
      <c r="D83" s="13" t="n">
        <v>16.10101918465228</v>
      </c>
    </row>
    <row r="84">
      <c r="A84" t="inlineStr">
        <is>
          <t>fies_ranout_hhs</t>
        </is>
      </c>
      <c r="B84" s="13" t="n">
        <v>11.76504325866699</v>
      </c>
      <c r="C84" s="14" t="n">
        <v>0.3262889688249401</v>
      </c>
      <c r="D84" s="13" t="n">
        <v>3.838803833051266</v>
      </c>
    </row>
    <row r="85">
      <c r="A85" t="inlineStr">
        <is>
          <t>fies_hungry</t>
        </is>
      </c>
      <c r="B85" s="13" t="n">
        <v>12.43247890472412</v>
      </c>
      <c r="C85" s="14" t="n">
        <v>1</v>
      </c>
      <c r="D85" s="13" t="n">
        <v>12.43247890472412</v>
      </c>
    </row>
    <row r="86">
      <c r="A86" t="inlineStr">
        <is>
          <t>fies_hungry_hhs</t>
        </is>
      </c>
      <c r="B86" s="13" t="n">
        <v>8.980183601379395</v>
      </c>
      <c r="C86" s="14" t="n">
        <v>0.2533723021582734</v>
      </c>
      <c r="D86" s="13" t="n">
        <v>2.275329792885472</v>
      </c>
    </row>
    <row r="87">
      <c r="A87" t="inlineStr">
        <is>
          <t>fies_whlday</t>
        </is>
      </c>
      <c r="B87" s="13" t="n">
        <v>11.08932876586914</v>
      </c>
      <c r="C87" s="14" t="n">
        <v>1</v>
      </c>
      <c r="D87" s="13" t="n">
        <v>11.08932876586914</v>
      </c>
    </row>
    <row r="88">
      <c r="A88" t="inlineStr">
        <is>
          <t>fies_whlday_hhs</t>
        </is>
      </c>
      <c r="B88" s="13" t="n">
        <v>8.06833553314209</v>
      </c>
      <c r="C88" s="14" t="n">
        <v>0.143660071942446</v>
      </c>
      <c r="D88" s="13" t="n">
        <v>1.159097663146986</v>
      </c>
    </row>
    <row r="89">
      <c r="A89" t="inlineStr">
        <is>
          <t>copingstrategies</t>
        </is>
      </c>
      <c r="B89" s="13" t="n">
        <v>5.711253643035889</v>
      </c>
      <c r="C89" s="14" t="n">
        <v>0.8050809352517986</v>
      </c>
      <c r="D89" s="13" t="n">
        <v>4.598021424395575</v>
      </c>
    </row>
    <row r="90">
      <c r="A90" t="inlineStr">
        <is>
          <t>cs_stress_hh_assets</t>
        </is>
      </c>
      <c r="B90" s="13" t="n">
        <v>19.85153007507324</v>
      </c>
      <c r="C90" s="14" t="n">
        <v>0.3109262589928057</v>
      </c>
      <c r="D90" s="13" t="n">
        <v>6.172361981525695</v>
      </c>
    </row>
    <row r="91">
      <c r="A91" t="inlineStr">
        <is>
          <t>cs_stress_spent_savings</t>
        </is>
      </c>
      <c r="B91" s="13" t="n">
        <v>15.43667125701904</v>
      </c>
      <c r="C91" s="14" t="n">
        <v>0.7969874100719424</v>
      </c>
      <c r="D91" s="13" t="n">
        <v>12.3028326452636</v>
      </c>
    </row>
    <row r="92">
      <c r="A92" t="inlineStr">
        <is>
          <t>cs_stress_credit</t>
        </is>
      </c>
      <c r="B92" s="13" t="n">
        <v>12.4080867767334</v>
      </c>
      <c r="C92" s="14" t="n">
        <v>0.7969874100719424</v>
      </c>
      <c r="D92" s="13" t="n">
        <v>9.889088944136667</v>
      </c>
    </row>
    <row r="93">
      <c r="A93" t="inlineStr">
        <is>
          <t>cs_stress_borrowed_money</t>
        </is>
      </c>
      <c r="B93" s="13" t="n">
        <v>9.289467811584473</v>
      </c>
      <c r="C93" s="14" t="n">
        <v>0.3109262589928057</v>
      </c>
      <c r="D93" s="13" t="n">
        <v>2.888339474690046</v>
      </c>
    </row>
    <row r="94">
      <c r="A94" t="inlineStr">
        <is>
          <t>cs_crisis_sold_productive_asset</t>
        </is>
      </c>
      <c r="B94" s="13" t="n">
        <v>15.05952072143555</v>
      </c>
      <c r="C94" s="14" t="n">
        <v>0.7969874100719424</v>
      </c>
      <c r="D94" s="13" t="n">
        <v>12.00224841670167</v>
      </c>
    </row>
    <row r="95">
      <c r="A95" t="inlineStr">
        <is>
          <t>cs_crisis_reduced_health_exp</t>
        </is>
      </c>
      <c r="B95" s="13" t="n">
        <v>15.54398632049561</v>
      </c>
      <c r="C95" s="14" t="n">
        <v>0.3109262589928057</v>
      </c>
      <c r="D95" s="13" t="n">
        <v>4.833033516467046</v>
      </c>
    </row>
    <row r="96">
      <c r="A96" t="inlineStr">
        <is>
          <t>cs_crisis_consumed_seed_stocks</t>
        </is>
      </c>
      <c r="B96" s="13" t="n">
        <v>12.99618148803711</v>
      </c>
      <c r="C96" s="14" t="n">
        <v>0.7850719424460432</v>
      </c>
      <c r="D96" s="13" t="n">
        <v>10.2029374451946</v>
      </c>
    </row>
    <row r="97">
      <c r="A97" t="inlineStr">
        <is>
          <t>cs_emergency_sold_house</t>
        </is>
      </c>
      <c r="B97" s="13" t="n">
        <v>10.66811275482178</v>
      </c>
      <c r="C97" s="14" t="n">
        <v>0.3109262589928057</v>
      </c>
      <c r="D97" s="13" t="n">
        <v>3.31699638937017</v>
      </c>
    </row>
    <row r="98">
      <c r="A98" t="inlineStr">
        <is>
          <t>cs_emergency_begged</t>
        </is>
      </c>
      <c r="B98" s="13" t="n">
        <v>9.716710090637207</v>
      </c>
      <c r="C98" s="14" t="n">
        <v>0.4327787769784173</v>
      </c>
      <c r="D98" s="13" t="n">
        <v>4.205185909279816</v>
      </c>
    </row>
    <row r="99">
      <c r="A99" t="inlineStr">
        <is>
          <t>cs_emergency_illegal</t>
        </is>
      </c>
      <c r="B99" s="13" t="n">
        <v>10.95336532592773</v>
      </c>
      <c r="C99" s="14" t="n">
        <v>0.6379646282973621</v>
      </c>
      <c r="D99" s="13" t="n">
        <v>6.987859638760701</v>
      </c>
    </row>
    <row r="100">
      <c r="A100" t="inlineStr">
        <is>
          <t>cs_emergency_sold_last_female</t>
        </is>
      </c>
      <c r="B100" s="13" t="n">
        <v>10.11413192749023</v>
      </c>
      <c r="C100" s="14" t="n">
        <v>0.2370353717026379</v>
      </c>
      <c r="D100" s="13" t="n">
        <v>2.397407020882165</v>
      </c>
    </row>
    <row r="101">
      <c r="A101" t="inlineStr">
        <is>
          <t>cs_emergency_sold_till</t>
        </is>
      </c>
      <c r="B101" s="13" t="n">
        <v>3.657512187957764</v>
      </c>
      <c r="C101" s="14" t="n">
        <v>0.0463878896882494</v>
      </c>
      <c r="D101" s="13" t="n">
        <v>0.1696642719084125</v>
      </c>
    </row>
    <row r="102">
      <c r="A102" t="inlineStr">
        <is>
          <t>cs_emergency_hh_migration</t>
        </is>
      </c>
      <c r="B102" s="13" t="n">
        <v>10.86770534515381</v>
      </c>
      <c r="C102" s="14" t="n">
        <v>0.7936151079136691</v>
      </c>
      <c r="D102" s="13" t="n">
        <v>8.624775150268198</v>
      </c>
    </row>
    <row r="103">
      <c r="A103" t="inlineStr">
        <is>
          <t>food_exp</t>
        </is>
      </c>
      <c r="B103" s="13" t="n">
        <v>21.53330039978027</v>
      </c>
      <c r="C103" s="14" t="n">
        <v>0.1519034772182254</v>
      </c>
      <c r="D103" s="13" t="n">
        <v>3.270983206711227</v>
      </c>
    </row>
    <row r="104">
      <c r="A104" t="inlineStr">
        <is>
          <t>hdds</t>
        </is>
      </c>
      <c r="B104" s="13" t="n">
        <v>72.29513549804688</v>
      </c>
      <c r="C104" s="14" t="n">
        <v>0.8409772182254197</v>
      </c>
      <c r="D104" s="13" t="n">
        <v>60.79856194237725</v>
      </c>
    </row>
    <row r="105">
      <c r="A105" t="inlineStr">
        <is>
          <t>hdds_confirmation</t>
        </is>
      </c>
      <c r="B105" s="13" t="n">
        <v>3.705221891403198</v>
      </c>
      <c r="C105" s="14" t="n">
        <v>0.8409772182254197</v>
      </c>
      <c r="D105" s="13" t="n">
        <v>3.11600719914019</v>
      </c>
    </row>
    <row r="106">
      <c r="A106" t="inlineStr">
        <is>
          <t>mdds_w</t>
        </is>
      </c>
      <c r="B106" s="13" t="n">
        <v>2.702905893325806</v>
      </c>
      <c r="C106" s="14" t="n">
        <v>0.1495803357314149</v>
      </c>
      <c r="D106" s="13" t="n">
        <v>0.4043015709740939</v>
      </c>
    </row>
    <row r="107">
      <c r="A107" t="inlineStr">
        <is>
          <t>mdds_w1</t>
        </is>
      </c>
      <c r="B107" s="13" t="n">
        <v>18.14660263061523</v>
      </c>
      <c r="C107" s="14" t="n">
        <v>0.06287470023980815</v>
      </c>
      <c r="D107" s="13" t="n">
        <v>1.140962200770847</v>
      </c>
    </row>
    <row r="108">
      <c r="A108" t="inlineStr">
        <is>
          <t>mdds_w2</t>
        </is>
      </c>
      <c r="B108" s="13" t="n">
        <v>14.3241138458252</v>
      </c>
      <c r="C108" s="14" t="n">
        <v>0.08670563549160672</v>
      </c>
      <c r="D108" s="13" t="n">
        <v>1.241981393856396</v>
      </c>
    </row>
    <row r="109">
      <c r="A109" t="inlineStr">
        <is>
          <t>mdds_w3</t>
        </is>
      </c>
      <c r="B109" s="13" t="n">
        <v>7.969749450683594</v>
      </c>
      <c r="C109" s="14" t="n">
        <v>0.08670563549160672</v>
      </c>
      <c r="D109" s="13" t="n">
        <v>0.6910221908304045</v>
      </c>
    </row>
    <row r="110">
      <c r="A110" t="inlineStr">
        <is>
          <t>mdds_w4</t>
        </is>
      </c>
      <c r="B110" s="13" t="n">
        <v>7.60927152633667</v>
      </c>
      <c r="C110" s="14" t="n">
        <v>0.0339478417266187</v>
      </c>
      <c r="D110" s="13" t="n">
        <v>0.2583183454309436</v>
      </c>
    </row>
    <row r="111">
      <c r="A111" t="inlineStr">
        <is>
          <t>mdds_w5</t>
        </is>
      </c>
      <c r="B111" s="13" t="n">
        <v>7.341614723205566</v>
      </c>
      <c r="C111" s="14" t="n">
        <v>0.01206534772182254</v>
      </c>
      <c r="D111" s="13" t="n">
        <v>0.08857913447512711</v>
      </c>
    </row>
    <row r="112">
      <c r="A112" t="inlineStr">
        <is>
          <t>mdds_w6</t>
        </is>
      </c>
      <c r="B112" s="13" t="n">
        <v>7.516666889190674</v>
      </c>
      <c r="C112" s="14" t="n">
        <v>0.004496402877697842</v>
      </c>
      <c r="D112" s="13" t="n">
        <v>0.03379796263125303</v>
      </c>
    </row>
    <row r="113">
      <c r="A113" t="inlineStr">
        <is>
          <t>mdds_w7</t>
        </is>
      </c>
      <c r="B113" s="13" t="n">
        <v>8.307692527770996</v>
      </c>
      <c r="C113" s="14" t="n">
        <v>0.001948441247002398</v>
      </c>
      <c r="D113" s="13" t="n">
        <v>0.01618705078852262</v>
      </c>
    </row>
    <row r="114">
      <c r="A114" t="inlineStr">
        <is>
          <t>mdds_w8</t>
        </is>
      </c>
      <c r="B114" s="13" t="n">
        <v>7.769230842590332</v>
      </c>
      <c r="C114" s="14" t="n">
        <v>0.0009742206235011991</v>
      </c>
      <c r="D114" s="13" t="n">
        <v>0.0075689449155931</v>
      </c>
    </row>
    <row r="115">
      <c r="A115" t="inlineStr">
        <is>
          <t>mdds_w9</t>
        </is>
      </c>
      <c r="B115" s="13" t="n">
        <v>9.333333015441895</v>
      </c>
      <c r="C115" s="14" t="n">
        <v>0.0004496402877697842</v>
      </c>
      <c r="D115" s="13" t="n">
        <v>0.004196642542914521</v>
      </c>
    </row>
    <row r="116">
      <c r="A116" t="inlineStr">
        <is>
          <t>mdds_w10</t>
        </is>
      </c>
      <c r="B116" s="13" t="n">
        <v>6.199999809265137</v>
      </c>
      <c r="C116" s="14" t="n">
        <v>0.0003747002398081535</v>
      </c>
      <c r="D116" s="13" t="n">
        <v>0.002323141415342153</v>
      </c>
    </row>
    <row r="117">
      <c r="A117" t="inlineStr">
        <is>
          <t>mdds_w11</t>
        </is>
      </c>
      <c r="B117" s="13" t="n">
        <v>15.66666698455811</v>
      </c>
      <c r="C117" s="14" t="n">
        <v>0.0002248201438848921</v>
      </c>
      <c r="D117" s="13" t="n">
        <v>0.003522182325665042</v>
      </c>
    </row>
    <row r="118">
      <c r="A118" t="inlineStr">
        <is>
          <t>need_1</t>
        </is>
      </c>
      <c r="B118" s="13" t="n">
        <v>19.82824516296387</v>
      </c>
      <c r="C118" s="14" t="n">
        <v>0.6309202637889688</v>
      </c>
      <c r="D118" s="13" t="n">
        <v>12.51004166868951</v>
      </c>
    </row>
    <row r="119">
      <c r="A119" t="inlineStr">
        <is>
          <t>need_2</t>
        </is>
      </c>
      <c r="B119" s="13" t="n">
        <v>49.52969360351562</v>
      </c>
      <c r="C119" s="14" t="n">
        <v>0.6738609112709832</v>
      </c>
      <c r="D119" s="13" t="n">
        <v>33.37612446663763</v>
      </c>
    </row>
    <row r="120">
      <c r="A120" t="inlineStr">
        <is>
          <t>info_needs</t>
        </is>
      </c>
      <c r="B120" s="13" t="n">
        <v>10.34935474395752</v>
      </c>
      <c r="C120" s="14" t="n">
        <v>0.06392386091127099</v>
      </c>
      <c r="D120" s="13" t="n">
        <v>0.6615707131741431</v>
      </c>
    </row>
    <row r="121">
      <c r="A121" t="inlineStr">
        <is>
          <t>info_needstype</t>
        </is>
      </c>
      <c r="B121" s="13" t="n">
        <v>9.912161827087402</v>
      </c>
      <c r="C121" s="14" t="n">
        <v>0.02218225419664269</v>
      </c>
      <c r="D121" s="13" t="n">
        <v>0.219874093286711</v>
      </c>
    </row>
    <row r="122">
      <c r="A122" t="inlineStr">
        <is>
          <t>info_needsmedium</t>
        </is>
      </c>
      <c r="B122" s="13" t="n">
        <v>12.81756782531738</v>
      </c>
      <c r="C122" s="14" t="n">
        <v>0.02218225419664269</v>
      </c>
      <c r="D122" s="13" t="n">
        <v>0.2843225476838988</v>
      </c>
    </row>
    <row r="123">
      <c r="A123" t="inlineStr">
        <is>
          <t>need_received</t>
        </is>
      </c>
      <c r="B123" s="13" t="n">
        <v>22.02975082397461</v>
      </c>
      <c r="C123" s="14" t="n">
        <v>1</v>
      </c>
      <c r="D123" s="13" t="n">
        <v>22.02975082397461</v>
      </c>
    </row>
    <row r="124">
      <c r="A124" t="inlineStr">
        <is>
          <t>callback</t>
        </is>
      </c>
      <c r="B124" s="13" t="n">
        <v>36.78304672241211</v>
      </c>
      <c r="C124" s="14" t="n">
        <v>1</v>
      </c>
      <c r="D124" s="13" t="n">
        <v>36.78304672241211</v>
      </c>
    </row>
    <row r="125">
      <c r="A125" t="inlineStr">
        <is>
          <t>hh_wealth_light</t>
        </is>
      </c>
      <c r="B125" s="13" t="n">
        <v>13.76013851165771</v>
      </c>
      <c r="C125" s="14" t="n">
        <v>0.2808752997601918</v>
      </c>
      <c r="D125" s="13" t="n">
        <v>3.86488302920362</v>
      </c>
    </row>
    <row r="126">
      <c r="A126" t="inlineStr">
        <is>
          <t>cs_stress_sold_more_animals</t>
        </is>
      </c>
      <c r="B126" s="13" t="n">
        <v>13.39993858337402</v>
      </c>
      <c r="C126" s="14" t="n">
        <v>0.4860611510791367</v>
      </c>
      <c r="D126" s="13" t="n">
        <v>6.513189572224514</v>
      </c>
    </row>
    <row r="127">
      <c r="A127" t="inlineStr">
        <is>
          <t>cs_stress_eat_elsewhere</t>
        </is>
      </c>
      <c r="B127" s="13" t="n">
        <v>14.62593364715576</v>
      </c>
      <c r="C127" s="14" t="n">
        <v>0.2808752997601918</v>
      </c>
      <c r="D127" s="13" t="n">
        <v>4.10806349741755</v>
      </c>
    </row>
    <row r="128">
      <c r="A128" t="inlineStr">
        <is>
          <t>cs_crisis_decr_agric_input_exp</t>
        </is>
      </c>
      <c r="B128" s="13" t="n">
        <v>14.75238990783691</v>
      </c>
      <c r="C128" s="14" t="n">
        <v>0.4860611510791367</v>
      </c>
      <c r="D128" s="13" t="n">
        <v>7.17056361977145</v>
      </c>
    </row>
    <row r="129">
      <c r="A129" t="inlineStr">
        <is>
          <t>covid_assistance</t>
        </is>
      </c>
      <c r="B129" s="13" t="n">
        <v>14.0825023651123</v>
      </c>
      <c r="C129" s="14" t="n">
        <v>0.1653177458033573</v>
      </c>
      <c r="D129" s="13" t="n">
        <v>2.328087546270814</v>
      </c>
    </row>
    <row r="130">
      <c r="A130" t="inlineStr">
        <is>
          <t>what_covid_assistance</t>
        </is>
      </c>
      <c r="B130" s="13" t="n">
        <v>15.48122882843018</v>
      </c>
      <c r="C130" s="14" t="n">
        <v>0.02195743405275779</v>
      </c>
      <c r="D130" s="13" t="n">
        <v>0.3399280610559084</v>
      </c>
    </row>
    <row r="131">
      <c r="A131" t="inlineStr">
        <is>
          <t>resp_language</t>
        </is>
      </c>
      <c r="B131" s="13" t="n">
        <v>3.062232494354248</v>
      </c>
      <c r="C131" s="14" t="n">
        <v>0.6827787769784173</v>
      </c>
      <c r="D131" s="13" t="n">
        <v>2.090827357318762</v>
      </c>
    </row>
    <row r="132">
      <c r="A132" t="inlineStr">
        <is>
          <t>ruralurban</t>
        </is>
      </c>
      <c r="B132" s="13" t="n">
        <v>10.03063106536865</v>
      </c>
      <c r="C132" s="14" t="n">
        <v>0.1590227817745803</v>
      </c>
      <c r="D132" s="13" t="n">
        <v>1.595098854969446</v>
      </c>
    </row>
    <row r="133">
      <c r="A133" t="inlineStr">
        <is>
          <t>formal_informal</t>
        </is>
      </c>
      <c r="B133" s="13" t="n">
        <v>11.38066482543945</v>
      </c>
      <c r="C133" s="14" t="n">
        <v>0.02480515587529976</v>
      </c>
      <c r="D133" s="13" t="n">
        <v>0.2822991649595668</v>
      </c>
    </row>
    <row r="134">
      <c r="A134" t="inlineStr">
        <is>
          <t>hh_residencetype</t>
        </is>
      </c>
      <c r="B134" s="13" t="n">
        <v>30.64618873596191</v>
      </c>
      <c r="C134" s="14" t="n">
        <v>0.5672212230215827</v>
      </c>
      <c r="D134" s="13" t="n">
        <v>17.38316865576257</v>
      </c>
    </row>
    <row r="135">
      <c r="A135" t="inlineStr">
        <is>
          <t>hhsize04</t>
        </is>
      </c>
      <c r="B135" s="13" t="n">
        <v>10.11262989044189</v>
      </c>
      <c r="C135" s="14" t="n">
        <v>0.1590227817745803</v>
      </c>
      <c r="D135" s="13" t="n">
        <v>1.60813853623484</v>
      </c>
    </row>
    <row r="136">
      <c r="A136" t="inlineStr">
        <is>
          <t>hhdisability</t>
        </is>
      </c>
      <c r="B136" s="13" t="n">
        <v>13.9000940322876</v>
      </c>
      <c r="C136" s="14" t="n">
        <v>0.1590227817745803</v>
      </c>
      <c r="D136" s="13" t="n">
        <v>2.210431619942617</v>
      </c>
    </row>
    <row r="137">
      <c r="A137" t="inlineStr">
        <is>
          <t>hh_age</t>
        </is>
      </c>
      <c r="B137" s="13" t="n">
        <v>8.228806495666504</v>
      </c>
      <c r="C137" s="14" t="n">
        <v>0.3642086330935252</v>
      </c>
      <c r="D137" s="13" t="n">
        <v>2.997002365777818</v>
      </c>
    </row>
    <row r="138">
      <c r="A138" t="inlineStr">
        <is>
          <t>hhincearners</t>
        </is>
      </c>
      <c r="B138" s="13" t="n">
        <v>32.26673126220703</v>
      </c>
      <c r="C138" s="14" t="n">
        <v>0.1590227817745803</v>
      </c>
      <c r="D138" s="13" t="n">
        <v>5.131145364088979</v>
      </c>
    </row>
    <row r="139">
      <c r="A139" t="inlineStr">
        <is>
          <t>incomechangereduced</t>
        </is>
      </c>
      <c r="B139" s="13" t="n">
        <v>11.01242256164551</v>
      </c>
      <c r="C139" s="14" t="n">
        <v>0.0844574340527578</v>
      </c>
      <c r="D139" s="13" t="n">
        <v>0.9300809522612775</v>
      </c>
    </row>
    <row r="140">
      <c r="A140" t="inlineStr">
        <is>
          <t>hhexptotal30d</t>
        </is>
      </c>
      <c r="B140" s="13" t="n">
        <v>59.44533538818359</v>
      </c>
      <c r="C140" s="14" t="n">
        <v>0.1590227817745803</v>
      </c>
      <c r="D140" s="13" t="n">
        <v>9.453162596951858</v>
      </c>
    </row>
    <row r="141">
      <c r="A141" t="inlineStr">
        <is>
          <t>expensefood30d</t>
        </is>
      </c>
      <c r="B141" s="13" t="n">
        <v>31.69651222229004</v>
      </c>
      <c r="C141" s="14" t="n">
        <v>0.1590227817745803</v>
      </c>
      <c r="D141" s="13" t="n">
        <v>5.040467546140547</v>
      </c>
    </row>
    <row r="142">
      <c r="A142" t="inlineStr">
        <is>
          <t>cropdifficultyunrest</t>
        </is>
      </c>
      <c r="B142" s="13" t="n">
        <v>18.78832054138184</v>
      </c>
      <c r="C142" s="14" t="n">
        <v>0.03080035971223022</v>
      </c>
      <c r="D142" s="13" t="n">
        <v>0.5786870310632445</v>
      </c>
    </row>
    <row r="143">
      <c r="A143" t="inlineStr">
        <is>
          <t>cropsalesdifficultyunrest</t>
        </is>
      </c>
      <c r="B143" s="13" t="n">
        <v>14.18000030517578</v>
      </c>
      <c r="C143" s="14" t="n">
        <v>0.0112410071942446</v>
      </c>
      <c r="D143" s="13" t="n">
        <v>0.1593974854448716</v>
      </c>
    </row>
    <row r="144">
      <c r="A144" t="inlineStr">
        <is>
          <t>lsdifficultyunrest</t>
        </is>
      </c>
      <c r="B144" s="13" t="n">
        <v>14.37356281280518</v>
      </c>
      <c r="C144" s="14" t="n">
        <v>0.01303956834532374</v>
      </c>
      <c r="D144" s="13" t="n">
        <v>0.1874250546633769</v>
      </c>
    </row>
    <row r="145">
      <c r="A145" t="inlineStr">
        <is>
          <t>ls_salesdifficultyunrest</t>
        </is>
      </c>
      <c r="B145" s="13" t="n">
        <v>13.63888931274414</v>
      </c>
      <c r="C145" s="14" t="n">
        <v>0.002697841726618705</v>
      </c>
      <c r="D145" s="13" t="n">
        <v>0.03679556469265505</v>
      </c>
    </row>
    <row r="146">
      <c r="A146" t="inlineStr">
        <is>
          <t>cs_crisis_no_school</t>
        </is>
      </c>
      <c r="B146" s="13" t="n">
        <v>15.40838527679443</v>
      </c>
      <c r="C146" s="14" t="n">
        <v>0.1447841726618705</v>
      </c>
      <c r="D146" s="13" t="n">
        <v>2.230890314356028</v>
      </c>
    </row>
    <row r="147">
      <c r="A147" t="inlineStr">
        <is>
          <t>cs_emergency_sold_last_drought</t>
        </is>
      </c>
      <c r="B147" s="13" t="n">
        <v>13.42893505096436</v>
      </c>
      <c r="C147" s="14" t="n">
        <v>0.1471073141486811</v>
      </c>
      <c r="D147" s="13" t="n">
        <v>1.975494567224448</v>
      </c>
    </row>
    <row r="148">
      <c r="A148" t="inlineStr">
        <is>
          <t>cs_emergency_hh_risk</t>
        </is>
      </c>
      <c r="B148" s="13" t="n">
        <v>16.11875534057617</v>
      </c>
      <c r="C148" s="14" t="n">
        <v>0.1590227817745803</v>
      </c>
      <c r="D148" s="13" t="n">
        <v>2.563249313002296</v>
      </c>
    </row>
    <row r="149">
      <c r="A149" t="inlineStr">
        <is>
          <t>wheremigration</t>
        </is>
      </c>
      <c r="B149" s="13" t="n">
        <v>24.20000076293945</v>
      </c>
      <c r="C149" s="14" t="n">
        <v>0.003372302158273381</v>
      </c>
      <c r="D149" s="13" t="n">
        <v>0.08160971480307819</v>
      </c>
    </row>
    <row r="150">
      <c r="A150" t="inlineStr">
        <is>
          <t>meals</t>
        </is>
      </c>
      <c r="B150" s="13" t="n">
        <v>15.13949108123779</v>
      </c>
      <c r="C150" s="14" t="n">
        <v>0.1590227817745803</v>
      </c>
      <c r="D150" s="13" t="n">
        <v>2.407523986389883</v>
      </c>
    </row>
    <row r="151">
      <c r="A151" t="inlineStr">
        <is>
          <t>fcsstap</t>
        </is>
      </c>
      <c r="B151" s="13" t="n">
        <v>17.90150833129883</v>
      </c>
      <c r="C151" s="14" t="n">
        <v>0.1590227817745803</v>
      </c>
      <c r="D151" s="13" t="n">
        <v>2.846747652803966</v>
      </c>
    </row>
    <row r="152">
      <c r="A152" t="inlineStr">
        <is>
          <t>fcspulse</t>
        </is>
      </c>
      <c r="B152" s="13" t="n">
        <v>27.1998119354248</v>
      </c>
      <c r="C152" s="14" t="n">
        <v>0.1590227817745803</v>
      </c>
      <c r="D152" s="13" t="n">
        <v>4.325389757716684</v>
      </c>
    </row>
    <row r="153">
      <c r="A153" t="inlineStr">
        <is>
          <t>fcsdairy</t>
        </is>
      </c>
      <c r="B153" s="13" t="n">
        <v>20.64844512939453</v>
      </c>
      <c r="C153" s="14" t="n">
        <v>0.1590227817745803</v>
      </c>
      <c r="D153" s="13" t="n">
        <v>3.283573183796103</v>
      </c>
    </row>
    <row r="154">
      <c r="A154" t="inlineStr">
        <is>
          <t>fcspr</t>
        </is>
      </c>
      <c r="B154" s="13" t="n">
        <v>55.30207443237305</v>
      </c>
      <c r="C154" s="14" t="n">
        <v>0.1590227817745803</v>
      </c>
      <c r="D154" s="13" t="n">
        <v>8.794289714140858</v>
      </c>
    </row>
    <row r="155">
      <c r="A155" t="inlineStr">
        <is>
          <t>fcsveg</t>
        </is>
      </c>
      <c r="B155" s="13" t="n">
        <v>24.5004711151123</v>
      </c>
      <c r="C155" s="14" t="n">
        <v>0.1590227817745803</v>
      </c>
      <c r="D155" s="13" t="n">
        <v>3.896133071512913</v>
      </c>
    </row>
    <row r="156">
      <c r="A156" t="inlineStr">
        <is>
          <t>fcsfruit</t>
        </is>
      </c>
      <c r="B156" s="13" t="n">
        <v>24.92459869384766</v>
      </c>
      <c r="C156" s="14" t="n">
        <v>0.1590227817745803</v>
      </c>
      <c r="D156" s="13" t="n">
        <v>3.963579018910726</v>
      </c>
    </row>
    <row r="157">
      <c r="A157" t="inlineStr">
        <is>
          <t>fcsfat</t>
        </is>
      </c>
      <c r="B157" s="13" t="n">
        <v>17.52591896057129</v>
      </c>
      <c r="C157" s="14" t="n">
        <v>0.1590227817745803</v>
      </c>
      <c r="D157" s="13" t="n">
        <v>2.787020386265908</v>
      </c>
    </row>
    <row r="158">
      <c r="A158" t="inlineStr">
        <is>
          <t>fcssugar</t>
        </is>
      </c>
      <c r="B158" s="13" t="n">
        <v>28.03440093994141</v>
      </c>
      <c r="C158" s="14" t="n">
        <v>0.1590227817745803</v>
      </c>
      <c r="D158" s="13" t="n">
        <v>4.458108422853392</v>
      </c>
    </row>
    <row r="159">
      <c r="A159" t="inlineStr">
        <is>
          <t>accessmarket</t>
        </is>
      </c>
      <c r="B159" s="13" t="n">
        <v>15.68897247314453</v>
      </c>
      <c r="C159" s="14" t="n">
        <v>0.1590227817745803</v>
      </c>
      <c r="D159" s="13" t="n">
        <v>2.494904045864261</v>
      </c>
    </row>
    <row r="160">
      <c r="A160" t="inlineStr">
        <is>
          <t>sourcewater</t>
        </is>
      </c>
      <c r="B160" s="13" t="n">
        <v>21.18803024291992</v>
      </c>
      <c r="C160" s="14" t="n">
        <v>0.1590227817745803</v>
      </c>
      <c r="D160" s="13" t="n">
        <v>3.369379509553063</v>
      </c>
    </row>
    <row r="161">
      <c r="A161" t="inlineStr">
        <is>
          <t>othersourcewater</t>
        </is>
      </c>
      <c r="B161" s="13" t="n">
        <v>10.56944465637207</v>
      </c>
      <c r="C161" s="14" t="n">
        <v>0.00539568345323741</v>
      </c>
      <c r="D161" s="13" t="n">
        <v>0.05702937764229535</v>
      </c>
    </row>
    <row r="162">
      <c r="A162" t="inlineStr">
        <is>
          <t>language2</t>
        </is>
      </c>
      <c r="B162" s="13" t="n">
        <v>17.50784683227539</v>
      </c>
      <c r="C162" s="14" t="n">
        <v>0.6827787769784173</v>
      </c>
      <c r="D162" s="13" t="n">
        <v>11.95398624766645</v>
      </c>
    </row>
    <row r="163">
      <c r="A163" t="inlineStr">
        <is>
          <t>resp_agree</t>
        </is>
      </c>
      <c r="B163" s="13" t="n">
        <v>4.624076843261719</v>
      </c>
      <c r="C163" s="14" t="n">
        <v>0.2029376498800959</v>
      </c>
      <c r="D163" s="13" t="n">
        <v>0.9383992874365058</v>
      </c>
    </row>
    <row r="164">
      <c r="A164" t="inlineStr">
        <is>
          <t>adm1_name</t>
        </is>
      </c>
      <c r="B164" s="13" t="n">
        <v>10.74381732940674</v>
      </c>
      <c r="C164" s="14" t="n">
        <v>0.2030125899280575</v>
      </c>
      <c r="D164" s="13" t="n">
        <v>2.181130181756808</v>
      </c>
    </row>
    <row r="165">
      <c r="A165" t="inlineStr">
        <is>
          <t>adm2_name</t>
        </is>
      </c>
      <c r="B165" s="13" t="n"/>
      <c r="C165" s="14" t="n">
        <v>0</v>
      </c>
      <c r="D165" s="13" t="n">
        <v>0</v>
      </c>
    </row>
    <row r="166">
      <c r="A166" t="inlineStr">
        <is>
          <t>covid</t>
        </is>
      </c>
      <c r="B166" s="13" t="n">
        <v>56.47102355957031</v>
      </c>
      <c r="C166" s="14" t="n">
        <v>0.2030125899280575</v>
      </c>
      <c r="D166" s="13" t="n">
        <v>11.46432874871672</v>
      </c>
    </row>
    <row r="167">
      <c r="A167" t="inlineStr">
        <is>
          <t>crp_landright</t>
        </is>
      </c>
      <c r="B167" s="13" t="n">
        <v>31</v>
      </c>
      <c r="C167" s="14" t="n">
        <v>0.004046762589928058</v>
      </c>
      <c r="D167" s="13" t="n">
        <v>0.1254496402877698</v>
      </c>
    </row>
    <row r="168">
      <c r="A168" t="inlineStr">
        <is>
          <t>crp_seed</t>
        </is>
      </c>
      <c r="B168" s="13" t="n">
        <v>30.83333396911621</v>
      </c>
      <c r="C168" s="14" t="n">
        <v>0.004046762589928058</v>
      </c>
      <c r="D168" s="13" t="n">
        <v>0.1247751824289775</v>
      </c>
    </row>
    <row r="169">
      <c r="A169" t="inlineStr">
        <is>
          <t>crp_proddif</t>
        </is>
      </c>
      <c r="B169" s="13" t="n">
        <v>16.88298606872559</v>
      </c>
      <c r="C169" s="14" t="n">
        <v>0.1184802158273381</v>
      </c>
      <c r="D169" s="13" t="n">
        <v>2.00029983323255</v>
      </c>
    </row>
    <row r="170">
      <c r="A170" t="inlineStr">
        <is>
          <t>crp_salesdif</t>
        </is>
      </c>
      <c r="B170" s="13" t="n">
        <v>16.82699012756348</v>
      </c>
      <c r="C170" s="14" t="n">
        <v>0.08663069544364509</v>
      </c>
      <c r="D170" s="13" t="n">
        <v>1.457733856974174</v>
      </c>
    </row>
    <row r="171">
      <c r="A171" t="inlineStr">
        <is>
          <t>crp_saledif_2</t>
        </is>
      </c>
      <c r="B171" s="13" t="n">
        <v>39.48687362670898</v>
      </c>
      <c r="C171" s="14" t="n">
        <v>0.03139988009592326</v>
      </c>
      <c r="D171" s="13" t="n">
        <v>1.239883097241537</v>
      </c>
    </row>
    <row r="172">
      <c r="A172" t="inlineStr">
        <is>
          <t>ls_proddif</t>
        </is>
      </c>
      <c r="B172" s="13" t="n">
        <v>15.9380989074707</v>
      </c>
      <c r="C172" s="14" t="n">
        <v>0.1016936450839329</v>
      </c>
      <c r="D172" s="13" t="n">
        <v>1.620803373608944</v>
      </c>
    </row>
    <row r="173">
      <c r="A173" t="inlineStr">
        <is>
          <t>ls_salesdif</t>
        </is>
      </c>
      <c r="B173" s="13" t="n">
        <v>13.33085536956787</v>
      </c>
      <c r="C173" s="14" t="n">
        <v>0.06047661870503597</v>
      </c>
      <c r="D173" s="13" t="n">
        <v>0.8062050571973375</v>
      </c>
    </row>
    <row r="174">
      <c r="A174" t="inlineStr">
        <is>
          <t>ls_proc</t>
        </is>
      </c>
      <c r="B174" s="13" t="n">
        <v>16.43765068054199</v>
      </c>
      <c r="C174" s="14" t="n">
        <v>0.0625</v>
      </c>
      <c r="D174" s="13" t="n">
        <v>1.027353167533875</v>
      </c>
    </row>
    <row r="175">
      <c r="A175" t="inlineStr">
        <is>
          <t>ls_proc_fac_state</t>
        </is>
      </c>
      <c r="B175" s="13" t="n">
        <v>8.666666984558105</v>
      </c>
      <c r="C175" s="14" t="n">
        <v>0.0006744604316546763</v>
      </c>
      <c r="D175" s="13" t="n">
        <v>0.005845323955412392</v>
      </c>
    </row>
    <row r="176">
      <c r="A176" t="inlineStr">
        <is>
          <t>fish_proddif</t>
        </is>
      </c>
      <c r="B176" s="13" t="n">
        <v>12.5238094329834</v>
      </c>
      <c r="C176" s="14" t="n">
        <v>0.001573741007194245</v>
      </c>
      <c r="D176" s="13" t="n">
        <v>0.01970923247097207</v>
      </c>
    </row>
    <row r="177">
      <c r="A177" t="inlineStr">
        <is>
          <t>cs_spentsavings</t>
        </is>
      </c>
      <c r="B177" s="13" t="n">
        <v>22.22018432617188</v>
      </c>
      <c r="C177" s="14" t="n">
        <v>0.008168465227817745</v>
      </c>
      <c r="D177" s="13" t="n">
        <v>0.1815048030240358</v>
      </c>
    </row>
    <row r="178">
      <c r="A178" t="inlineStr">
        <is>
          <t>cs_borrowmoney</t>
        </is>
      </c>
      <c r="B178" s="13" t="n">
        <v>12.88990783691406</v>
      </c>
      <c r="C178" s="14" t="n">
        <v>0.008168465227817745</v>
      </c>
      <c r="D178" s="13" t="n">
        <v>0.105290763955608</v>
      </c>
    </row>
    <row r="179">
      <c r="A179" t="inlineStr">
        <is>
          <t>cs_purchasedfoodcredit</t>
        </is>
      </c>
      <c r="B179" s="13" t="n">
        <v>14.84403705596924</v>
      </c>
      <c r="C179" s="14" t="n">
        <v>0.008168465227817745</v>
      </c>
      <c r="D179" s="13" t="n">
        <v>0.1212530005321228</v>
      </c>
    </row>
    <row r="180">
      <c r="A180" t="inlineStr">
        <is>
          <t>cs_soldhhassetsgoods</t>
        </is>
      </c>
      <c r="B180" s="13" t="n">
        <v>18.51376152038574</v>
      </c>
      <c r="C180" s="14" t="n">
        <v>0.008168465227817745</v>
      </c>
      <c r="D180" s="13" t="n">
        <v>0.1512290172153811</v>
      </c>
    </row>
    <row r="181">
      <c r="A181" t="inlineStr">
        <is>
          <t>cs_soldprodassets</t>
        </is>
      </c>
      <c r="B181" s="13" t="n">
        <v>16.88073348999023</v>
      </c>
      <c r="C181" s="14" t="n">
        <v>0.008168465227817745</v>
      </c>
      <c r="D181" s="13" t="n">
        <v>0.1378896845330437</v>
      </c>
    </row>
    <row r="182">
      <c r="A182" t="inlineStr">
        <is>
          <t>cs_eatplantingseeds</t>
        </is>
      </c>
      <c r="B182" s="13" t="n">
        <v>17.43119239807129</v>
      </c>
      <c r="C182" s="14" t="n">
        <v>0.008168465227817745</v>
      </c>
      <c r="D182" s="13" t="n">
        <v>0.1423860889830463</v>
      </c>
    </row>
    <row r="183">
      <c r="A183" t="inlineStr">
        <is>
          <t>cs_withdrewchild</t>
        </is>
      </c>
      <c r="B183" s="13" t="n">
        <v>14.11009216308594</v>
      </c>
      <c r="C183" s="14" t="n">
        <v>0.008168465227817745</v>
      </c>
      <c r="D183" s="13" t="n">
        <v>0.1152577971954712</v>
      </c>
    </row>
    <row r="184">
      <c r="A184" t="inlineStr">
        <is>
          <t>cs_soldlandhouse</t>
        </is>
      </c>
      <c r="B184" s="13" t="n">
        <v>15.25688076019287</v>
      </c>
      <c r="C184" s="14" t="n">
        <v>0.008168465227817745</v>
      </c>
      <c r="D184" s="13" t="n">
        <v>0.124625299974597</v>
      </c>
    </row>
    <row r="185">
      <c r="A185" t="inlineStr">
        <is>
          <t>cs_begging</t>
        </is>
      </c>
      <c r="B185" s="13" t="n">
        <v>12.28440380096436</v>
      </c>
      <c r="C185" s="14" t="n">
        <v>0.008168465227817745</v>
      </c>
      <c r="D185" s="13" t="n">
        <v>0.1003447252926495</v>
      </c>
    </row>
    <row r="186">
      <c r="A186" t="inlineStr">
        <is>
          <t>cs_soldfemanimals</t>
        </is>
      </c>
      <c r="B186" s="13" t="n">
        <v>12.57798194885254</v>
      </c>
      <c r="C186" s="14" t="n">
        <v>0.008168465227817745</v>
      </c>
      <c r="D186" s="13" t="n">
        <v>0.1027428081853212</v>
      </c>
    </row>
    <row r="187">
      <c r="A187" t="inlineStr">
        <is>
          <t>need</t>
        </is>
      </c>
      <c r="B187" s="13" t="n">
        <v>16.78225135803223</v>
      </c>
      <c r="C187" s="14" t="n">
        <v>0.1638189448441247</v>
      </c>
      <c r="D187" s="13" t="n">
        <v>2.749250709581718</v>
      </c>
    </row>
    <row r="188">
      <c r="A188" t="inlineStr">
        <is>
          <t>cs_stress_borrowed_or_helped</t>
        </is>
      </c>
      <c r="B188" s="13" t="n">
        <v>11.78780174255371</v>
      </c>
      <c r="C188" s="14" t="n">
        <v>0.2051858513189448</v>
      </c>
      <c r="D188" s="13" t="n">
        <v>2.418690135724824</v>
      </c>
    </row>
    <row r="189">
      <c r="A189" t="inlineStr">
        <is>
          <t>shock</t>
        </is>
      </c>
      <c r="B189" s="13" t="n">
        <v>46.24752807617188</v>
      </c>
      <c r="C189" s="14" t="n">
        <v>1</v>
      </c>
      <c r="D189" s="13" t="n">
        <v>46.24752807617188</v>
      </c>
    </row>
    <row r="190">
      <c r="A190" t="inlineStr">
        <is>
          <t>reasonsmigration</t>
        </is>
      </c>
      <c r="B190" s="13" t="n">
        <v>0.1537020355463028</v>
      </c>
      <c r="C190" s="14" t="n">
        <v>1</v>
      </c>
      <c r="D190" s="13" t="n">
        <v>0.1537020355463028</v>
      </c>
    </row>
    <row r="191">
      <c r="A191" t="inlineStr">
        <is>
          <t>need_received_agent</t>
        </is>
      </c>
      <c r="B191" s="13" t="n">
        <v>0.6796312928199768</v>
      </c>
      <c r="C191" s="14" t="n">
        <v>1</v>
      </c>
      <c r="D191" s="13" t="n">
        <v>0.6796312928199768</v>
      </c>
    </row>
    <row r="192">
      <c r="A192" t="inlineStr">
        <is>
          <t>crp_area_change_covid19</t>
        </is>
      </c>
      <c r="B192" s="13" t="n">
        <v>2.892535924911499</v>
      </c>
      <c r="C192" s="14" t="n">
        <v>1</v>
      </c>
      <c r="D192" s="13" t="n">
        <v>2.892535924911499</v>
      </c>
    </row>
    <row r="193">
      <c r="A193" t="inlineStr">
        <is>
          <t>ls_proddif_2_covid19</t>
        </is>
      </c>
      <c r="B193" s="13" t="n">
        <v>3.343824863433838</v>
      </c>
      <c r="C193" s="14" t="n">
        <v>1</v>
      </c>
      <c r="D193" s="13"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H94"/>
  <sheetViews>
    <sheetView topLeftCell="O1" workbookViewId="0">
      <pane ySplit="3" topLeftCell="A75" activePane="bottomLeft" state="frozen"/>
      <selection activeCell="D69" sqref="D69"/>
      <selection pane="bottomLeft" activeCell="C84" sqref="C84"/>
    </sheetView>
  </sheetViews>
  <sheetFormatPr baseColWidth="8" defaultColWidth="10.7109375" defaultRowHeight="15" outlineLevelCol="0"/>
  <cols>
    <col width="10.7109375" customWidth="1" style="1" min="1" max="2"/>
    <col width="15.28515625" customWidth="1" style="2" min="3" max="3"/>
    <col hidden="1" width="10.7109375" customWidth="1" style="86" min="4" max="4"/>
    <col width="10.7109375" customWidth="1" style="86" min="5" max="5"/>
    <col width="41.7109375" customWidth="1" style="1" min="6" max="6"/>
    <col width="10.7109375" customWidth="1" style="1" min="7" max="7"/>
    <col hidden="1" width="10.7109375" customWidth="1" style="1" min="8" max="8"/>
    <col width="10.7109375" customWidth="1" style="1" min="9" max="10"/>
    <col width="10.7109375" customWidth="1" style="1" min="11" max="16384"/>
  </cols>
  <sheetData>
    <row r="2" ht="31.9" customHeight="1">
      <c r="C2" s="4" t="n"/>
      <c r="D2" s="83" t="n"/>
      <c r="E2" s="83" t="n"/>
      <c r="F2" s="5" t="n"/>
      <c r="H2" s="12" t="inlineStr">
        <is>
          <t>Dernier numéro</t>
        </is>
      </c>
    </row>
    <row r="3" ht="31.9" customHeight="1">
      <c r="B3" s="3" t="n"/>
      <c r="C3" s="84" t="inlineStr">
        <is>
          <t xml:space="preserve">Select top 10 crops </t>
        </is>
      </c>
      <c r="D3" s="81" t="inlineStr">
        <is>
          <t>GeoPoll code</t>
        </is>
      </c>
      <c r="E3" s="81" t="inlineStr">
        <is>
          <t>Dataset code</t>
        </is>
      </c>
      <c r="F3" s="81" t="inlineStr">
        <is>
          <t>Label (EN)</t>
        </is>
      </c>
      <c r="H3" s="9">
        <f>MAX(D:D)</f>
        <v/>
      </c>
    </row>
    <row r="4" ht="16.15" customHeight="1">
      <c r="B4" s="3" t="n"/>
      <c r="C4" s="11" t="inlineStr">
        <is>
          <t>x</t>
        </is>
      </c>
      <c r="D4" s="8" t="n">
        <v>1</v>
      </c>
      <c r="E4" s="82" t="inlineStr">
        <is>
          <t>1.1</t>
        </is>
      </c>
      <c r="F4" s="8" t="inlineStr">
        <is>
          <t>Rice</t>
        </is>
      </c>
    </row>
    <row r="5" ht="16.15" customHeight="1">
      <c r="B5" s="3" t="n"/>
      <c r="C5" s="11" t="n"/>
      <c r="D5" s="8" t="n">
        <v>2</v>
      </c>
      <c r="E5" s="82" t="inlineStr">
        <is>
          <t>1.2</t>
        </is>
      </c>
      <c r="F5" s="8" t="inlineStr">
        <is>
          <t>Wheat</t>
        </is>
      </c>
      <c r="H5" s="5" t="n"/>
    </row>
    <row r="6" ht="16.15" customHeight="1">
      <c r="B6" s="3" t="n"/>
      <c r="C6" s="11" t="n"/>
      <c r="D6" s="8" t="n">
        <v>3</v>
      </c>
      <c r="E6" s="82" t="inlineStr">
        <is>
          <t>1.3</t>
        </is>
      </c>
      <c r="F6" s="8" t="inlineStr">
        <is>
          <t>Millet</t>
        </is>
      </c>
    </row>
    <row r="7" ht="16.15" customHeight="1">
      <c r="B7" s="3" t="n"/>
      <c r="C7" s="11" t="n"/>
      <c r="D7" s="8" t="n">
        <v>4</v>
      </c>
      <c r="E7" s="82" t="inlineStr">
        <is>
          <t>1.4</t>
        </is>
      </c>
      <c r="F7" s="8" t="inlineStr">
        <is>
          <t>Sorghum</t>
        </is>
      </c>
    </row>
    <row r="8" ht="16.15" customHeight="1">
      <c r="B8" s="3" t="n"/>
      <c r="C8" s="11" t="inlineStr">
        <is>
          <t>x</t>
        </is>
      </c>
      <c r="D8" s="8" t="n">
        <v>5</v>
      </c>
      <c r="E8" s="82" t="inlineStr">
        <is>
          <t>1.5</t>
        </is>
      </c>
      <c r="F8" s="8" t="inlineStr">
        <is>
          <t>Maize</t>
        </is>
      </c>
    </row>
    <row r="9" ht="16.15" customHeight="1">
      <c r="B9" s="3" t="n"/>
      <c r="C9" s="11" t="n"/>
      <c r="D9" s="8" t="n">
        <v>6</v>
      </c>
      <c r="E9" s="82" t="inlineStr">
        <is>
          <t>1.6</t>
        </is>
      </c>
      <c r="F9" s="8" t="inlineStr">
        <is>
          <t>Barley</t>
        </is>
      </c>
    </row>
    <row r="10" ht="16.15" customHeight="1">
      <c r="B10" s="3" t="n"/>
      <c r="C10" s="105" t="n"/>
      <c r="D10" s="8" t="n">
        <v>7</v>
      </c>
      <c r="E10" s="82" t="inlineStr">
        <is>
          <t>1.99</t>
        </is>
      </c>
      <c r="F10" s="10" t="inlineStr">
        <is>
          <t>Other Cereal</t>
        </is>
      </c>
    </row>
    <row r="11" ht="16.15" customHeight="1">
      <c r="B11" s="3" t="n"/>
      <c r="C11" s="11" t="n"/>
      <c r="D11" s="8" t="n">
        <v>8</v>
      </c>
      <c r="E11" s="82" t="inlineStr">
        <is>
          <t>2.1</t>
        </is>
      </c>
      <c r="F11" s="8" t="inlineStr">
        <is>
          <t>Cassava</t>
        </is>
      </c>
    </row>
    <row r="12" ht="16.15" customHeight="1">
      <c r="B12" s="3" t="n"/>
      <c r="C12" s="11" t="inlineStr">
        <is>
          <t>x</t>
        </is>
      </c>
      <c r="D12" s="8" t="n">
        <v>9</v>
      </c>
      <c r="E12" s="82" t="inlineStr">
        <is>
          <t>2.2</t>
        </is>
      </c>
      <c r="F12" s="8" t="inlineStr">
        <is>
          <t>Potatoe</t>
        </is>
      </c>
    </row>
    <row r="13" ht="16.15" customHeight="1">
      <c r="B13" s="3" t="n"/>
      <c r="C13" s="11" t="n"/>
      <c r="D13" s="8" t="n">
        <v>10</v>
      </c>
      <c r="E13" s="82" t="inlineStr">
        <is>
          <t>2.3</t>
        </is>
      </c>
      <c r="F13" s="8" t="inlineStr">
        <is>
          <t>Sweet Potatoes</t>
        </is>
      </c>
    </row>
    <row r="14" ht="16.15" customHeight="1">
      <c r="B14" s="3" t="n"/>
      <c r="C14" s="11" t="n"/>
      <c r="D14" s="8" t="n">
        <v>11</v>
      </c>
      <c r="E14" s="82" t="inlineStr">
        <is>
          <t>2.4</t>
        </is>
      </c>
      <c r="F14" s="8" t="inlineStr">
        <is>
          <t>Yams</t>
        </is>
      </c>
    </row>
    <row r="15" ht="16.15" customHeight="1">
      <c r="B15" s="3" t="n"/>
      <c r="C15" s="11" t="n"/>
      <c r="D15" s="8" t="n">
        <v>12</v>
      </c>
      <c r="E15" s="82" t="inlineStr">
        <is>
          <t>2.5</t>
        </is>
      </c>
      <c r="F15" s="8" t="inlineStr">
        <is>
          <t>Carrots</t>
        </is>
      </c>
    </row>
    <row r="16" ht="16.15" customHeight="1">
      <c r="B16" s="3" t="n"/>
      <c r="C16" s="11" t="n"/>
      <c r="D16" s="8" t="n">
        <v>13</v>
      </c>
      <c r="E16" s="82" t="inlineStr">
        <is>
          <t>2.6</t>
        </is>
      </c>
      <c r="F16" s="8" t="inlineStr">
        <is>
          <t>Cocoyam</t>
        </is>
      </c>
    </row>
    <row r="17" ht="16.15" customHeight="1">
      <c r="B17" s="3" t="n"/>
      <c r="C17" s="105" t="n"/>
      <c r="D17" s="8" t="n">
        <v>14</v>
      </c>
      <c r="E17" s="82" t="inlineStr">
        <is>
          <t>2.99</t>
        </is>
      </c>
      <c r="F17" s="10" t="inlineStr">
        <is>
          <t>Other tubers</t>
        </is>
      </c>
    </row>
    <row r="18" ht="16.15" customHeight="1">
      <c r="B18" s="3" t="n"/>
      <c r="C18" s="11" t="n"/>
      <c r="D18" s="8" t="n">
        <v>15</v>
      </c>
      <c r="E18" s="82" t="inlineStr">
        <is>
          <t>3.1</t>
        </is>
      </c>
      <c r="F18" s="8" t="inlineStr">
        <is>
          <t>Beans</t>
        </is>
      </c>
    </row>
    <row r="19" ht="16.15" customHeight="1">
      <c r="B19" s="3" t="n"/>
      <c r="C19" s="11" t="n"/>
      <c r="D19" s="8" t="n">
        <v>16</v>
      </c>
      <c r="E19" s="82" t="inlineStr">
        <is>
          <t>3.2</t>
        </is>
      </c>
      <c r="F19" s="8" t="inlineStr">
        <is>
          <t>Lentils</t>
        </is>
      </c>
    </row>
    <row r="20" ht="16.15" customHeight="1">
      <c r="B20" s="3" t="n"/>
      <c r="C20" s="11" t="n"/>
      <c r="D20" s="8" t="n">
        <v>17</v>
      </c>
      <c r="E20" s="82" t="inlineStr">
        <is>
          <t>3.3</t>
        </is>
      </c>
      <c r="F20" s="8" t="inlineStr">
        <is>
          <t>Peas</t>
        </is>
      </c>
    </row>
    <row r="21" ht="16.15" customHeight="1">
      <c r="B21" s="3" t="n"/>
      <c r="C21" s="11" t="n"/>
      <c r="D21" s="8" t="n">
        <v>18</v>
      </c>
      <c r="E21" s="82" t="inlineStr">
        <is>
          <t>3.4</t>
        </is>
      </c>
      <c r="F21" s="8" t="inlineStr">
        <is>
          <t>Soybeans</t>
        </is>
      </c>
    </row>
    <row r="22" ht="16.15" customHeight="1">
      <c r="B22" s="3" t="n"/>
      <c r="C22" s="11" t="n"/>
      <c r="D22" s="8" t="n">
        <v>76</v>
      </c>
      <c r="E22" s="82" t="inlineStr">
        <is>
          <t>3.5</t>
        </is>
      </c>
      <c r="F22" s="8" t="inlineStr">
        <is>
          <t>Chickpeas</t>
        </is>
      </c>
    </row>
    <row r="23" ht="16.15" customHeight="1">
      <c r="B23" s="3" t="n"/>
      <c r="C23" s="11" t="n"/>
      <c r="D23" s="8" t="n">
        <v>77</v>
      </c>
      <c r="E23" s="82" t="inlineStr">
        <is>
          <t>3.6</t>
        </is>
      </c>
      <c r="F23" s="8" t="inlineStr">
        <is>
          <t>Fava beans</t>
        </is>
      </c>
    </row>
    <row r="24" ht="16.15" customHeight="1">
      <c r="B24" s="3" t="n"/>
      <c r="C24" s="11" t="n"/>
      <c r="D24" s="8" t="n">
        <v>78</v>
      </c>
      <c r="E24" s="82" t="inlineStr">
        <is>
          <t>3.7</t>
        </is>
      </c>
      <c r="F24" s="8" t="inlineStr">
        <is>
          <t>Broad beans</t>
        </is>
      </c>
    </row>
    <row r="25" ht="16.15" customHeight="1">
      <c r="B25" s="3" t="n"/>
      <c r="C25" s="105" t="n"/>
      <c r="D25" s="8" t="n">
        <v>19</v>
      </c>
      <c r="E25" s="82" t="inlineStr">
        <is>
          <t>3.99</t>
        </is>
      </c>
      <c r="F25" s="10" t="inlineStr">
        <is>
          <t>Other pulses</t>
        </is>
      </c>
    </row>
    <row r="26" ht="16.15" customHeight="1">
      <c r="B26" s="3" t="n"/>
      <c r="C26" s="11" t="inlineStr">
        <is>
          <t>x</t>
        </is>
      </c>
      <c r="D26" s="8" t="n">
        <v>20</v>
      </c>
      <c r="E26" s="82" t="inlineStr">
        <is>
          <t>4.1</t>
        </is>
      </c>
      <c r="F26" s="8" t="inlineStr">
        <is>
          <t>Cabbage</t>
        </is>
      </c>
    </row>
    <row r="27" ht="16.15" customHeight="1">
      <c r="B27" s="3" t="n"/>
      <c r="C27" s="11" t="n"/>
      <c r="D27" s="8" t="n">
        <v>21</v>
      </c>
      <c r="E27" s="82" t="inlineStr">
        <is>
          <t>4.2</t>
        </is>
      </c>
      <c r="F27" s="8" t="inlineStr">
        <is>
          <t>Lettuce</t>
        </is>
      </c>
    </row>
    <row r="28" ht="16.15" customHeight="1">
      <c r="B28" s="3" t="n"/>
      <c r="C28" s="11" t="n"/>
      <c r="D28" s="8" t="n">
        <v>22</v>
      </c>
      <c r="E28" s="82" t="inlineStr">
        <is>
          <t>4.3</t>
        </is>
      </c>
      <c r="F28" s="8" t="inlineStr">
        <is>
          <t>Spinach-Amaranth</t>
        </is>
      </c>
    </row>
    <row r="29" ht="16.15" customHeight="1">
      <c r="B29" s="3" t="n"/>
      <c r="C29" s="11" t="n"/>
      <c r="D29" s="8" t="n">
        <v>23</v>
      </c>
      <c r="E29" s="82" t="inlineStr">
        <is>
          <t>4.4</t>
        </is>
      </c>
      <c r="F29" s="8" t="inlineStr">
        <is>
          <t>Cassava leaves</t>
        </is>
      </c>
    </row>
    <row r="30" ht="16.15" customHeight="1">
      <c r="B30" s="3" t="n"/>
      <c r="C30" s="11" t="n"/>
      <c r="D30" s="8" t="n">
        <v>24</v>
      </c>
      <c r="E30" s="82" t="inlineStr">
        <is>
          <t>4.5</t>
        </is>
      </c>
      <c r="F30" s="8" t="inlineStr">
        <is>
          <t>Potatoe leaves</t>
        </is>
      </c>
    </row>
    <row r="31" ht="16.15" customHeight="1">
      <c r="B31" s="3" t="n"/>
      <c r="C31" s="11" t="n"/>
      <c r="D31" s="8" t="n">
        <v>25</v>
      </c>
      <c r="E31" s="82" t="inlineStr">
        <is>
          <t>4.6</t>
        </is>
      </c>
      <c r="F31" s="8" t="inlineStr">
        <is>
          <t>Moringa</t>
        </is>
      </c>
    </row>
    <row r="32" ht="16.15" customHeight="1">
      <c r="B32" s="3" t="n"/>
      <c r="C32" s="11" t="n"/>
      <c r="D32" s="8" t="n">
        <v>26</v>
      </c>
      <c r="E32" s="82" t="inlineStr">
        <is>
          <t>4.7</t>
        </is>
      </c>
      <c r="F32" s="8" t="inlineStr">
        <is>
          <t>Sorrel Hibiscus / Rosselle</t>
        </is>
      </c>
    </row>
    <row r="33" ht="16.15" customHeight="1">
      <c r="B33" s="3" t="n"/>
      <c r="C33" s="11" t="n"/>
      <c r="D33" s="8" t="n">
        <v>79</v>
      </c>
      <c r="E33" s="82" t="inlineStr">
        <is>
          <t>4.9</t>
        </is>
      </c>
      <c r="F33" s="8" t="inlineStr">
        <is>
          <t>Green salad herbs (thyme, parsley, mint, rocca, other)</t>
        </is>
      </c>
    </row>
    <row r="34" ht="16.15" customHeight="1">
      <c r="B34" s="3" t="n"/>
      <c r="C34" s="11" t="n"/>
      <c r="D34" s="8" t="n">
        <v>80</v>
      </c>
      <c r="E34" s="82" t="inlineStr">
        <is>
          <t>4.101</t>
        </is>
      </c>
      <c r="F34" s="8" t="inlineStr">
        <is>
          <t>Cauliflower</t>
        </is>
      </c>
    </row>
    <row r="35" ht="16.15" customHeight="1">
      <c r="B35" s="3" t="n"/>
      <c r="C35" s="105" t="n"/>
      <c r="D35" s="8" t="n">
        <v>28</v>
      </c>
      <c r="E35" s="82" t="inlineStr">
        <is>
          <t>4.99</t>
        </is>
      </c>
      <c r="F35" s="10" t="inlineStr">
        <is>
          <t>Other leafy vegetables</t>
        </is>
      </c>
    </row>
    <row r="36" ht="16.15" customHeight="1">
      <c r="B36" s="3" t="n"/>
      <c r="C36" s="11" t="inlineStr">
        <is>
          <t>x</t>
        </is>
      </c>
      <c r="D36" s="8" t="n">
        <v>29</v>
      </c>
      <c r="E36" s="82" t="inlineStr">
        <is>
          <t>5.1</t>
        </is>
      </c>
      <c r="F36" s="8" t="inlineStr">
        <is>
          <t>Tomatoes</t>
        </is>
      </c>
    </row>
    <row r="37" ht="16.15" customHeight="1">
      <c r="B37" s="3" t="n"/>
      <c r="C37" s="11" t="n"/>
      <c r="D37" s="8" t="n">
        <v>30</v>
      </c>
      <c r="E37" s="82" t="inlineStr">
        <is>
          <t>5.2</t>
        </is>
      </c>
      <c r="F37" s="8" t="inlineStr">
        <is>
          <t>Cucumber</t>
        </is>
      </c>
    </row>
    <row r="38" ht="16.15" customHeight="1">
      <c r="B38" s="3" t="n"/>
      <c r="C38" s="11" t="n"/>
      <c r="D38" s="8" t="n">
        <v>31</v>
      </c>
      <c r="E38" s="82" t="inlineStr">
        <is>
          <t>5.3</t>
        </is>
      </c>
      <c r="F38" s="8" t="inlineStr">
        <is>
          <t>Pumpkin</t>
        </is>
      </c>
    </row>
    <row r="39" ht="16.15" customHeight="1">
      <c r="B39" s="3" t="n"/>
      <c r="C39" s="11" t="n"/>
      <c r="D39" s="8" t="n">
        <v>32</v>
      </c>
      <c r="E39" s="82" t="inlineStr">
        <is>
          <t>5.4</t>
        </is>
      </c>
      <c r="F39" s="8" t="inlineStr">
        <is>
          <t>Eggplant/aubergine</t>
        </is>
      </c>
    </row>
    <row r="40" ht="16.15" customHeight="1">
      <c r="B40" s="3" t="n"/>
      <c r="C40" s="11" t="n"/>
      <c r="D40" s="8" t="n">
        <v>33</v>
      </c>
      <c r="E40" s="82" t="inlineStr">
        <is>
          <t>5.5</t>
        </is>
      </c>
      <c r="F40" s="8" t="inlineStr">
        <is>
          <t>Zucchini</t>
        </is>
      </c>
    </row>
    <row r="41" ht="16.15" customHeight="1">
      <c r="B41" s="3" t="n"/>
      <c r="C41" s="11" t="n"/>
      <c r="D41" s="8" t="n">
        <v>34</v>
      </c>
      <c r="E41" s="82" t="inlineStr">
        <is>
          <t>5.6</t>
        </is>
      </c>
      <c r="F41" s="8" t="inlineStr">
        <is>
          <t>Okra</t>
        </is>
      </c>
    </row>
    <row r="42" ht="16.15" customHeight="1">
      <c r="B42" s="3" t="n"/>
      <c r="C42" s="11" t="n"/>
      <c r="D42" s="8" t="n">
        <v>35</v>
      </c>
      <c r="E42" s="82" t="inlineStr">
        <is>
          <t>5.7</t>
        </is>
      </c>
      <c r="F42" s="8" t="inlineStr">
        <is>
          <t>Bell pepper</t>
        </is>
      </c>
    </row>
    <row r="43" ht="16.15" customHeight="1">
      <c r="B43" s="3" t="n"/>
      <c r="C43" s="11" t="n"/>
      <c r="D43" s="8" t="n">
        <v>36</v>
      </c>
      <c r="E43" s="82" t="inlineStr">
        <is>
          <t>5.8</t>
        </is>
      </c>
      <c r="F43" s="8" t="inlineStr">
        <is>
          <t>Onions</t>
        </is>
      </c>
    </row>
    <row r="44" ht="16.15" customHeight="1">
      <c r="B44" s="3" t="n"/>
      <c r="C44" s="11" t="n"/>
      <c r="D44" s="8" t="n">
        <v>81</v>
      </c>
      <c r="E44" s="82" t="inlineStr">
        <is>
          <t>5.9</t>
        </is>
      </c>
      <c r="F44" s="8" t="inlineStr">
        <is>
          <t>Haricot</t>
        </is>
      </c>
    </row>
    <row r="45" ht="16.15" customHeight="1">
      <c r="B45" s="3" t="n"/>
      <c r="C45" s="11" t="n"/>
      <c r="D45" s="8" t="n">
        <v>82</v>
      </c>
      <c r="E45" s="82" t="inlineStr">
        <is>
          <t>5.101</t>
        </is>
      </c>
      <c r="F45" s="8" t="inlineStr">
        <is>
          <t>Green peas</t>
        </is>
      </c>
    </row>
    <row r="46" ht="16.15" customHeight="1">
      <c r="B46" s="3" t="n"/>
      <c r="C46" s="11" t="n"/>
      <c r="D46" s="8" t="n">
        <v>83</v>
      </c>
      <c r="E46" s="82" t="inlineStr">
        <is>
          <t>5.11</t>
        </is>
      </c>
      <c r="F46" s="8" t="inlineStr">
        <is>
          <t>Fava beans green</t>
        </is>
      </c>
    </row>
    <row r="47" ht="16.15" customHeight="1">
      <c r="B47" s="3" t="n"/>
      <c r="C47" s="105" t="n"/>
      <c r="D47" s="8" t="n">
        <v>37</v>
      </c>
      <c r="E47" s="82" t="inlineStr">
        <is>
          <t>5.99</t>
        </is>
      </c>
      <c r="F47" s="10" t="inlineStr">
        <is>
          <t>Other non leafy vegs</t>
        </is>
      </c>
    </row>
    <row r="48" ht="16.15" customHeight="1">
      <c r="B48" s="3" t="n"/>
      <c r="C48" s="11" t="inlineStr">
        <is>
          <t>x</t>
        </is>
      </c>
      <c r="D48" s="8" t="n">
        <v>38</v>
      </c>
      <c r="E48" s="82" t="inlineStr">
        <is>
          <t>6.1</t>
        </is>
      </c>
      <c r="F48" s="8" t="inlineStr">
        <is>
          <t>Orange</t>
        </is>
      </c>
    </row>
    <row r="49" ht="16.15" customHeight="1">
      <c r="B49" s="3" t="n"/>
      <c r="C49" s="11" t="n"/>
      <c r="D49" s="8" t="n">
        <v>39</v>
      </c>
      <c r="E49" s="82" t="inlineStr">
        <is>
          <t>6.2</t>
        </is>
      </c>
      <c r="F49" s="8" t="inlineStr">
        <is>
          <t>Lemon</t>
        </is>
      </c>
    </row>
    <row r="50" ht="16.15" customHeight="1">
      <c r="B50" s="3" t="n"/>
      <c r="C50" s="11" t="n"/>
      <c r="D50" s="8" t="n">
        <v>40</v>
      </c>
      <c r="E50" s="82" t="inlineStr">
        <is>
          <t>6.3</t>
        </is>
      </c>
      <c r="F50" s="8" t="inlineStr">
        <is>
          <t>Grapefruit</t>
        </is>
      </c>
    </row>
    <row r="51" ht="16.15" customHeight="1">
      <c r="B51" s="3" t="n"/>
      <c r="C51" s="11" t="n"/>
      <c r="D51" s="8" t="n">
        <v>84</v>
      </c>
      <c r="E51" s="82" t="inlineStr">
        <is>
          <t>6.4</t>
        </is>
      </c>
      <c r="F51" s="8" t="inlineStr">
        <is>
          <t>Mandarins/clementines</t>
        </is>
      </c>
    </row>
    <row r="52" ht="16.15" customHeight="1">
      <c r="B52" s="3" t="n"/>
      <c r="C52" s="105" t="n"/>
      <c r="D52" s="8" t="n">
        <v>41</v>
      </c>
      <c r="E52" s="82" t="inlineStr">
        <is>
          <t>6.99</t>
        </is>
      </c>
      <c r="F52" s="10" t="inlineStr">
        <is>
          <t>Other citrus fruit</t>
        </is>
      </c>
    </row>
    <row r="53" ht="16.15" customHeight="1">
      <c r="B53" s="3" t="n"/>
      <c r="C53" s="11" t="n"/>
      <c r="D53" s="8" t="n">
        <v>42</v>
      </c>
      <c r="E53" s="82" t="inlineStr">
        <is>
          <t>7.1</t>
        </is>
      </c>
      <c r="F53" s="8" t="inlineStr">
        <is>
          <t>Sweet Banana</t>
        </is>
      </c>
    </row>
    <row r="54" ht="16.15" customHeight="1">
      <c r="B54" s="3" t="n"/>
      <c r="C54" s="11" t="n"/>
      <c r="D54" s="8" t="n">
        <v>43</v>
      </c>
      <c r="E54" s="82" t="inlineStr">
        <is>
          <t>7.2</t>
        </is>
      </c>
      <c r="F54" s="8" t="inlineStr">
        <is>
          <t>Plantains</t>
        </is>
      </c>
    </row>
    <row r="55" ht="16.15" customHeight="1">
      <c r="B55" s="3" t="n"/>
      <c r="C55" s="11" t="n"/>
      <c r="D55" s="8" t="n">
        <v>44</v>
      </c>
      <c r="E55" s="82" t="inlineStr">
        <is>
          <t>7.3</t>
        </is>
      </c>
      <c r="F55" s="8" t="inlineStr">
        <is>
          <t>Papaya</t>
        </is>
      </c>
    </row>
    <row r="56" ht="16.15" customHeight="1">
      <c r="B56" s="3" t="n"/>
      <c r="C56" s="11" t="n"/>
      <c r="D56" s="8" t="n">
        <v>45</v>
      </c>
      <c r="E56" s="82" t="inlineStr">
        <is>
          <t>7.4</t>
        </is>
      </c>
      <c r="F56" s="8" t="inlineStr">
        <is>
          <t>Mango</t>
        </is>
      </c>
    </row>
    <row r="57" ht="16.15" customHeight="1">
      <c r="B57" s="3" t="n"/>
      <c r="C57" s="11" t="n"/>
      <c r="D57" s="8" t="n">
        <v>46</v>
      </c>
      <c r="E57" s="82" t="inlineStr">
        <is>
          <t>7.5</t>
        </is>
      </c>
      <c r="F57" s="8" t="inlineStr">
        <is>
          <t>Guava</t>
        </is>
      </c>
    </row>
    <row r="58" ht="16.15" customHeight="1">
      <c r="B58" s="3" t="n"/>
      <c r="C58" s="11" t="n"/>
      <c r="D58" s="8" t="n">
        <v>47</v>
      </c>
      <c r="E58" s="82" t="inlineStr">
        <is>
          <t>7.6</t>
        </is>
      </c>
      <c r="F58" s="8" t="inlineStr">
        <is>
          <t>Pineapple</t>
        </is>
      </c>
    </row>
    <row r="59" ht="16.15" customHeight="1">
      <c r="B59" s="3" t="n"/>
      <c r="C59" s="11" t="n"/>
      <c r="D59" s="8" t="n">
        <v>48</v>
      </c>
      <c r="E59" s="82" t="inlineStr">
        <is>
          <t>7.7</t>
        </is>
      </c>
      <c r="F59" s="8" t="inlineStr">
        <is>
          <t>Avocado</t>
        </is>
      </c>
    </row>
    <row r="60" ht="16.15" customHeight="1">
      <c r="B60" s="3" t="n"/>
      <c r="C60" s="11" t="n"/>
      <c r="D60" s="8" t="n">
        <v>49</v>
      </c>
      <c r="E60" s="82" t="inlineStr">
        <is>
          <t>7.8</t>
        </is>
      </c>
      <c r="F60" s="8" t="inlineStr">
        <is>
          <t>Water Melon</t>
        </is>
      </c>
    </row>
    <row r="61" ht="16.15" customHeight="1">
      <c r="B61" s="3" t="n"/>
      <c r="C61" s="11" t="n"/>
      <c r="D61" s="8" t="n">
        <v>70</v>
      </c>
      <c r="E61" s="82" t="inlineStr">
        <is>
          <t>7.9</t>
        </is>
      </c>
      <c r="F61" s="8" t="inlineStr">
        <is>
          <t>Dates</t>
        </is>
      </c>
    </row>
    <row r="62" ht="16.15" customHeight="1">
      <c r="B62" s="3" t="n"/>
      <c r="C62" s="11" t="n"/>
      <c r="D62" s="8" t="n">
        <v>71</v>
      </c>
      <c r="E62" s="82" t="inlineStr">
        <is>
          <t>7.101</t>
        </is>
      </c>
      <c r="F62" s="8" t="inlineStr">
        <is>
          <t>Figs</t>
        </is>
      </c>
    </row>
    <row r="63" ht="16.15" customHeight="1">
      <c r="B63" s="3" t="n"/>
      <c r="C63" s="11" t="n"/>
      <c r="D63" s="8" t="n">
        <v>72</v>
      </c>
      <c r="E63" s="82" t="inlineStr">
        <is>
          <t>7.11</t>
        </is>
      </c>
      <c r="F63" s="8" t="inlineStr">
        <is>
          <t>Grapes</t>
        </is>
      </c>
    </row>
    <row r="64" ht="16.15" customHeight="1">
      <c r="B64" s="3" t="n"/>
      <c r="C64" s="11" t="n"/>
      <c r="D64" s="8" t="n">
        <v>73</v>
      </c>
      <c r="E64" s="82" t="inlineStr">
        <is>
          <t>7.12</t>
        </is>
      </c>
      <c r="F64" s="8" t="inlineStr">
        <is>
          <t>Olives</t>
        </is>
      </c>
    </row>
    <row r="65" ht="16.15" customHeight="1">
      <c r="B65" s="3" t="n"/>
      <c r="C65" s="11" t="n"/>
      <c r="D65" s="8" t="n">
        <v>85</v>
      </c>
      <c r="E65" s="82" t="inlineStr">
        <is>
          <t>7.13</t>
        </is>
      </c>
      <c r="F65" s="8" t="inlineStr">
        <is>
          <t>Apple</t>
        </is>
      </c>
    </row>
    <row r="66" ht="16.15" customHeight="1">
      <c r="B66" s="3" t="n"/>
      <c r="C66" s="11" t="n"/>
      <c r="D66" s="8" t="n">
        <v>86</v>
      </c>
      <c r="E66" s="82" t="inlineStr">
        <is>
          <t>7.14</t>
        </is>
      </c>
      <c r="F66" s="8" t="inlineStr">
        <is>
          <t>Apricot</t>
        </is>
      </c>
    </row>
    <row r="67" ht="16.15" customHeight="1">
      <c r="B67" s="3" t="n"/>
      <c r="C67" s="11" t="n"/>
      <c r="D67" s="8" t="n">
        <v>87</v>
      </c>
      <c r="E67" s="82" t="inlineStr">
        <is>
          <t>7.15</t>
        </is>
      </c>
      <c r="F67" s="8" t="inlineStr">
        <is>
          <t>Cherries</t>
        </is>
      </c>
    </row>
    <row r="68" ht="16.15" customHeight="1">
      <c r="B68" s="3" t="n"/>
      <c r="C68" s="11" t="n"/>
      <c r="D68" s="8" t="n">
        <v>88</v>
      </c>
      <c r="E68" s="82" t="inlineStr">
        <is>
          <t>7.16</t>
        </is>
      </c>
      <c r="F68" s="8" t="inlineStr">
        <is>
          <t>Peach/nectarine</t>
        </is>
      </c>
    </row>
    <row r="69" ht="16.15" customHeight="1">
      <c r="B69" s="3" t="n"/>
      <c r="C69" s="11" t="n"/>
      <c r="D69" s="8" t="n">
        <v>89</v>
      </c>
      <c r="E69" s="82" t="inlineStr">
        <is>
          <t>7.17</t>
        </is>
      </c>
      <c r="F69" s="8" t="inlineStr">
        <is>
          <t>Strawberries</t>
        </is>
      </c>
    </row>
    <row r="70" ht="16.15" customHeight="1">
      <c r="B70" s="3" t="n"/>
      <c r="C70" s="11" t="n"/>
      <c r="D70" s="8" t="n">
        <v>90</v>
      </c>
      <c r="E70" s="82" t="inlineStr">
        <is>
          <t>7.18</t>
        </is>
      </c>
      <c r="F70" s="8" t="inlineStr">
        <is>
          <t>Melon (Cantaloupe)</t>
        </is>
      </c>
    </row>
    <row r="71" ht="16.15" customHeight="1">
      <c r="B71" s="3" t="n"/>
      <c r="C71" s="105" t="n"/>
      <c r="D71" s="8" t="n">
        <v>50</v>
      </c>
      <c r="E71" s="82" t="inlineStr">
        <is>
          <t>7.99</t>
        </is>
      </c>
      <c r="F71" s="10" t="inlineStr">
        <is>
          <t>Other fruit</t>
        </is>
      </c>
    </row>
    <row r="72" ht="16.15" customHeight="1">
      <c r="B72" s="3" t="n"/>
      <c r="C72" s="11" t="n"/>
      <c r="D72" s="8" t="n">
        <v>51</v>
      </c>
      <c r="E72" s="82" t="inlineStr">
        <is>
          <t>8.1</t>
        </is>
      </c>
      <c r="F72" s="8" t="inlineStr">
        <is>
          <t>Coconuts</t>
        </is>
      </c>
    </row>
    <row r="73" ht="16.15" customHeight="1">
      <c r="B73" s="3" t="n"/>
      <c r="C73" s="11" t="inlineStr">
        <is>
          <t>x</t>
        </is>
      </c>
      <c r="D73" s="8" t="n">
        <v>52</v>
      </c>
      <c r="E73" s="82" t="inlineStr">
        <is>
          <t>8.2</t>
        </is>
      </c>
      <c r="F73" s="8" t="inlineStr">
        <is>
          <t>Groundnut/peanut</t>
        </is>
      </c>
    </row>
    <row r="74" ht="16.15" customHeight="1">
      <c r="B74" s="3" t="n"/>
      <c r="C74" s="11" t="n"/>
      <c r="D74" s="8" t="n">
        <v>53</v>
      </c>
      <c r="E74" s="82" t="inlineStr">
        <is>
          <t>8.3</t>
        </is>
      </c>
      <c r="F74" s="8" t="inlineStr">
        <is>
          <t>Cashew Nut</t>
        </is>
      </c>
    </row>
    <row r="75" ht="16.15" customHeight="1">
      <c r="B75" s="3" t="n"/>
      <c r="C75" s="11" t="n"/>
      <c r="D75" s="8" t="n">
        <v>54</v>
      </c>
      <c r="E75" s="82" t="inlineStr">
        <is>
          <t>8.4</t>
        </is>
      </c>
      <c r="F75" s="8" t="inlineStr">
        <is>
          <t>Kola Nut</t>
        </is>
      </c>
    </row>
    <row r="76" ht="16.15" customHeight="1">
      <c r="B76" s="3" t="n"/>
      <c r="C76" s="11" t="inlineStr">
        <is>
          <t>x</t>
        </is>
      </c>
      <c r="D76" s="8" t="n">
        <v>55</v>
      </c>
      <c r="E76" s="82" t="inlineStr">
        <is>
          <t>8.5</t>
        </is>
      </c>
      <c r="F76" s="8" t="inlineStr">
        <is>
          <t>Sesame</t>
        </is>
      </c>
    </row>
    <row r="77" ht="16.15" customHeight="1">
      <c r="B77" s="3" t="n"/>
      <c r="C77" s="11" t="n"/>
      <c r="D77" s="8" t="n">
        <v>56</v>
      </c>
      <c r="E77" s="82" t="inlineStr">
        <is>
          <t>8.6</t>
        </is>
      </c>
      <c r="F77" s="8" t="inlineStr">
        <is>
          <t>Bambara nut</t>
        </is>
      </c>
    </row>
    <row r="78" ht="16.15" customHeight="1">
      <c r="B78" s="3" t="n"/>
      <c r="C78" s="11" t="n"/>
      <c r="D78" s="8" t="n">
        <v>91</v>
      </c>
      <c r="E78" s="82" t="inlineStr">
        <is>
          <t>8.7</t>
        </is>
      </c>
      <c r="F78" s="8" t="inlineStr">
        <is>
          <t>Almond</t>
        </is>
      </c>
    </row>
    <row r="79" ht="16.15" customHeight="1">
      <c r="B79" s="3" t="n"/>
      <c r="C79" s="11" t="n"/>
      <c r="D79" s="8" t="n">
        <v>92</v>
      </c>
      <c r="E79" s="82" t="inlineStr">
        <is>
          <t>8.8</t>
        </is>
      </c>
      <c r="F79" s="8" t="inlineStr">
        <is>
          <t>Walnut</t>
        </is>
      </c>
    </row>
    <row r="80" ht="16.15" customHeight="1">
      <c r="B80" s="3" t="n"/>
      <c r="C80" s="105" t="n"/>
      <c r="D80" s="8" t="n">
        <v>57</v>
      </c>
      <c r="E80" s="82" t="inlineStr">
        <is>
          <t>8.99</t>
        </is>
      </c>
      <c r="F80" s="10" t="inlineStr">
        <is>
          <t>Other nuts</t>
        </is>
      </c>
    </row>
    <row r="81" ht="16.15" customHeight="1">
      <c r="B81" s="3" t="n"/>
      <c r="C81" s="11" t="n"/>
      <c r="D81" s="8" t="n">
        <v>58</v>
      </c>
      <c r="E81" s="82" t="inlineStr">
        <is>
          <t>9.1</t>
        </is>
      </c>
      <c r="F81" s="8" t="inlineStr">
        <is>
          <t>Cocoa</t>
        </is>
      </c>
    </row>
    <row r="82" ht="16.15" customHeight="1">
      <c r="B82" s="3" t="n"/>
      <c r="C82" s="11" t="n"/>
      <c r="D82" s="8" t="n">
        <v>59</v>
      </c>
      <c r="E82" s="82" t="inlineStr">
        <is>
          <t>9.2</t>
        </is>
      </c>
      <c r="F82" s="8" t="inlineStr">
        <is>
          <t>Coffee</t>
        </is>
      </c>
    </row>
    <row r="83" ht="16.15" customHeight="1">
      <c r="B83" s="3" t="n"/>
      <c r="C83" s="11" t="inlineStr">
        <is>
          <t>x</t>
        </is>
      </c>
      <c r="D83" s="8" t="n">
        <v>60</v>
      </c>
      <c r="E83" s="82" t="inlineStr">
        <is>
          <t>9.3</t>
        </is>
      </c>
      <c r="F83" s="8" t="inlineStr">
        <is>
          <t>Tea</t>
        </is>
      </c>
    </row>
    <row r="84" ht="16.15" customHeight="1">
      <c r="B84" s="3" t="n"/>
      <c r="C84" s="11" t="inlineStr">
        <is>
          <t>x</t>
        </is>
      </c>
      <c r="D84" s="8" t="n">
        <v>61</v>
      </c>
      <c r="E84" s="82" t="inlineStr">
        <is>
          <t>9.4</t>
        </is>
      </c>
      <c r="F84" s="8" t="inlineStr">
        <is>
          <t>Sugarcane</t>
        </is>
      </c>
    </row>
    <row r="85" ht="16.15" customHeight="1">
      <c r="B85" s="3" t="n"/>
      <c r="C85" s="11" t="n"/>
      <c r="D85" s="8" t="n">
        <v>75</v>
      </c>
      <c r="E85" s="82" t="inlineStr">
        <is>
          <t>9.5</t>
        </is>
      </c>
      <c r="F85" s="8" t="inlineStr">
        <is>
          <t>Sunflower</t>
        </is>
      </c>
    </row>
    <row r="86" ht="16.15" customHeight="1">
      <c r="B86" s="3" t="n"/>
      <c r="C86" s="105" t="n"/>
      <c r="D86" s="8" t="n">
        <v>62</v>
      </c>
      <c r="E86" s="82" t="inlineStr">
        <is>
          <t>9.99</t>
        </is>
      </c>
      <c r="F86" s="10" t="inlineStr">
        <is>
          <t>Other food cash crop</t>
        </is>
      </c>
    </row>
    <row r="87" ht="16.15" customHeight="1">
      <c r="B87" s="3" t="n"/>
      <c r="C87" s="11" t="n"/>
      <c r="D87" s="8" t="n">
        <v>63</v>
      </c>
      <c r="E87" s="82" t="inlineStr">
        <is>
          <t>10.1</t>
        </is>
      </c>
      <c r="F87" s="8" t="inlineStr">
        <is>
          <t>Cotton</t>
        </is>
      </c>
    </row>
    <row r="88" ht="16.15" customHeight="1">
      <c r="B88" s="3" t="n"/>
      <c r="C88" s="11" t="n"/>
      <c r="D88" s="8" t="n">
        <v>64</v>
      </c>
      <c r="E88" s="82" t="inlineStr">
        <is>
          <t>10.2</t>
        </is>
      </c>
      <c r="F88" s="8" t="inlineStr">
        <is>
          <t>Rubber</t>
        </is>
      </c>
    </row>
    <row r="89" ht="16.15" customHeight="1">
      <c r="B89" s="3" t="n"/>
      <c r="C89" s="11" t="n"/>
      <c r="D89" s="8" t="n">
        <v>65</v>
      </c>
      <c r="E89" s="82" t="inlineStr">
        <is>
          <t>10.3</t>
        </is>
      </c>
      <c r="F89" s="8" t="inlineStr">
        <is>
          <t>Jute</t>
        </is>
      </c>
    </row>
    <row r="90" ht="16.15" customHeight="1">
      <c r="B90" s="3" t="n"/>
      <c r="C90" s="11" t="n"/>
      <c r="D90" s="8" t="n">
        <v>74</v>
      </c>
      <c r="E90" s="82" t="inlineStr">
        <is>
          <t>10.4</t>
        </is>
      </c>
      <c r="F90" s="8" t="inlineStr">
        <is>
          <t>Fodder</t>
        </is>
      </c>
    </row>
    <row r="91" ht="16.15" customHeight="1">
      <c r="B91" s="3" t="n"/>
      <c r="C91" s="11" t="n"/>
      <c r="D91" s="8" t="n">
        <v>93</v>
      </c>
      <c r="E91" s="82" t="inlineStr">
        <is>
          <t>10.5</t>
        </is>
      </c>
      <c r="F91" s="8" t="inlineStr">
        <is>
          <t>Tobacco</t>
        </is>
      </c>
    </row>
    <row r="92" ht="16.15" customHeight="1">
      <c r="B92" s="3" t="n"/>
      <c r="C92" s="11" t="n"/>
      <c r="D92" s="8" t="n">
        <v>94</v>
      </c>
      <c r="E92" s="82" t="inlineStr">
        <is>
          <t>10.6</t>
        </is>
      </c>
      <c r="F92" s="8" t="inlineStr">
        <is>
          <t>Qat</t>
        </is>
      </c>
    </row>
    <row r="93" ht="16.15" customHeight="1">
      <c r="B93" s="3" t="n"/>
      <c r="C93" s="105" t="n"/>
      <c r="D93" s="8" t="n">
        <v>66</v>
      </c>
      <c r="E93" s="82" t="inlineStr">
        <is>
          <t>10.99</t>
        </is>
      </c>
      <c r="F93" s="10" t="inlineStr">
        <is>
          <t>Other non-food cash crop</t>
        </is>
      </c>
    </row>
    <row r="94">
      <c r="C94" s="6" t="n"/>
      <c r="D94" s="85" t="n"/>
      <c r="E94" s="85" t="n"/>
      <c r="F94" s="7" t="n"/>
    </row>
  </sheetData>
  <sheetProtection selectLockedCells="1" selectUnlockedCells="0" algorithmName="SHA-512" sheet="1" objects="0" insertRows="1" insertHyperlinks="1" autoFilter="1" scenarios="0" formatColumns="1" deleteColumns="1" insertColumns="1" pivotTables="1" deleteRows="1" formatCells="1" saltValue="fuv9N0ja4q22/D6V8JrvQw==" formatRows="1" sort="1" spinCount="100000" hashValue="KfiCiQf3432InEEI+tH3P+9DaM6JtEaOp63tLMaUUX87jjR2wibxPHxNTWJM/T5BkJyZ7g1/PuDPQSonm1UQdQ=="/>
  <conditionalFormatting sqref="D1:D84 D86:D1048576">
    <cfRule type="duplicateValues" priority="2" dxfId="0"/>
  </conditionalFormatting>
  <conditionalFormatting sqref="D85">
    <cfRule type="duplicateValues" priority="1"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zoomScale="109" zoomScaleNormal="90" workbookViewId="0">
      <selection activeCell="G17" sqref="G17"/>
    </sheetView>
  </sheetViews>
  <sheetFormatPr baseColWidth="8" defaultColWidth="10.7109375" defaultRowHeight="15.75" outlineLevelCol="0"/>
  <cols>
    <col width="10.7109375" customWidth="1" style="15" min="1" max="1"/>
    <col width="8.7109375" customWidth="1" style="15" min="2" max="2"/>
    <col width="27.7109375" customWidth="1" style="15" min="3" max="3"/>
    <col width="28" customWidth="1" style="15" min="4" max="4"/>
    <col width="51.28515625" customWidth="1" style="55" min="5" max="5"/>
    <col width="22.7109375" customWidth="1" style="15" min="6" max="6"/>
    <col width="10.7109375" customWidth="1" style="15" min="7" max="8"/>
    <col width="44" customWidth="1" style="15" min="9" max="9"/>
    <col width="10.7109375" customWidth="1" style="15" min="10" max="11"/>
    <col width="10.7109375" customWidth="1" style="15" min="12" max="16384"/>
  </cols>
  <sheetData>
    <row r="1" ht="40.15" customHeight="1" thickBot="1">
      <c r="C1" s="16" t="n"/>
      <c r="D1" s="16" t="n"/>
      <c r="E1" s="43" t="n"/>
      <c r="F1" s="16" t="n"/>
    </row>
    <row r="2" ht="16.9" customHeight="1" thickBot="1">
      <c r="A2" s="17" t="n"/>
      <c r="B2" s="18" t="n"/>
      <c r="C2" s="19" t="inlineStr">
        <is>
          <t>Original</t>
        </is>
      </c>
      <c r="D2" s="20" t="inlineStr">
        <is>
          <t>Replacement</t>
        </is>
      </c>
      <c r="E2" s="44" t="inlineStr">
        <is>
          <t>Comment</t>
        </is>
      </c>
      <c r="F2" s="21" t="inlineStr">
        <is>
          <t>Examples</t>
        </is>
      </c>
      <c r="G2" s="22" t="n"/>
    </row>
    <row r="3" ht="31.9" customHeight="1">
      <c r="A3" s="17" t="n"/>
      <c r="B3" s="717" t="inlineStr">
        <is>
          <t>FOR CORE QUESTIONS    .
(Mandatory to fill out)    .</t>
        </is>
      </c>
      <c r="C3" s="23" t="inlineStr">
        <is>
          <t>ADMIN1</t>
        </is>
      </c>
      <c r="D3" s="108" t="inlineStr">
        <is>
          <t>State/Region</t>
        </is>
      </c>
      <c r="E3" s="45" t="inlineStr">
        <is>
          <t>The first subdivision of the country, after national level; region; province; governorate; etc.</t>
        </is>
      </c>
      <c r="F3" s="24" t="inlineStr">
        <is>
          <t>region</t>
        </is>
      </c>
      <c r="G3" s="22" t="n"/>
    </row>
    <row r="4" ht="31.9" customHeight="1">
      <c r="A4" s="17" t="n"/>
      <c r="B4" s="692" t="n"/>
      <c r="C4" s="25" t="inlineStr">
        <is>
          <t>ADMIN2</t>
        </is>
      </c>
      <c r="D4" s="109" t="inlineStr">
        <is>
          <t>Township</t>
        </is>
      </c>
      <c r="E4" s="46" t="inlineStr">
        <is>
          <t>The second subdivision of the country; district; municipality; LGA; etc.</t>
        </is>
      </c>
      <c r="F4" s="26" t="inlineStr">
        <is>
          <t>district</t>
        </is>
      </c>
      <c r="G4" s="22" t="n"/>
    </row>
    <row r="5" ht="64.15000000000001" customHeight="1">
      <c r="A5" s="17" t="n"/>
      <c r="B5" s="692" t="n"/>
      <c r="C5" s="25" t="inlineStr">
        <is>
          <t>reference year</t>
        </is>
      </c>
      <c r="D5" s="109" t="inlineStr">
        <is>
          <t>a normal year</t>
        </is>
      </c>
      <c r="E5" s="4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5" s="26" t="inlineStr">
        <is>
          <t>a normal year</t>
        </is>
      </c>
      <c r="G5" s="22" t="n"/>
    </row>
    <row r="6" ht="76.15000000000001" customHeight="1">
      <c r="A6" s="17" t="n"/>
      <c r="B6" s="692" t="n"/>
      <c r="C6" s="25" t="inlineStr">
        <is>
          <t>season</t>
        </is>
      </c>
      <c r="D6" s="109" t="inlineStr">
        <is>
          <t>Last season</t>
        </is>
      </c>
      <c r="E6" s="47" t="inlineStr">
        <is>
          <t>Name the crop season(s) of interest if there are several cropping seasons in the country (e.g. Meher and Belg in Ethiopia, rainy season / flood-recession cropping / irrigated dry season in the Sahel). You can refer to the “last season” or “ongoing season".</t>
        </is>
      </c>
      <c r="F6" s="27" t="inlineStr">
        <is>
          <t>wet season</t>
        </is>
      </c>
      <c r="G6" s="22" t="n"/>
      <c r="H6" s="110" t="n"/>
    </row>
    <row r="7" ht="76.15000000000001" customHeight="1">
      <c r="A7" s="17" t="n"/>
      <c r="B7" s="692" t="n"/>
      <c r="C7" s="25" t="inlineStr">
        <is>
          <t xml:space="preserve">season phase </t>
        </is>
      </c>
      <c r="D7" s="109" t="inlineStr">
        <is>
          <t>Harvesting</t>
        </is>
      </c>
      <c r="E7" s="4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7" s="27" t="inlineStr">
        <is>
          <t>Harvesting</t>
        </is>
      </c>
      <c r="G7" s="22" t="n"/>
    </row>
    <row r="8" ht="76.15000000000001" customHeight="1">
      <c r="A8" s="17" t="n"/>
      <c r="B8" s="692" t="n"/>
      <c r="C8" s="31" t="inlineStr">
        <is>
          <t>local measurement unit</t>
        </is>
      </c>
      <c r="D8" s="109" t="n"/>
      <c r="E8" s="91" t="inlineStr">
        <is>
          <t xml:space="preserve">Specify the local measurement unit for land size, other than acres, hectares, square meters and square feet. If no other unit of measurement is needed, keep this cell blank. </t>
        </is>
      </c>
      <c r="F8" s="27" t="inlineStr">
        <is>
          <t>Jeribs</t>
        </is>
      </c>
      <c r="G8" s="22" t="n"/>
    </row>
    <row r="9" ht="50.25" customHeight="1" thickBot="1">
      <c r="A9" s="17" t="n"/>
      <c r="B9" s="687" t="n"/>
      <c r="C9" s="107" t="inlineStr">
        <is>
          <t>local measurement unit conversion</t>
        </is>
      </c>
      <c r="D9" s="111" t="n"/>
      <c r="E9" s="87" t="inlineStr">
        <is>
          <t xml:space="preserve">Include the conversion of the local measurement unit to hectares. In other words, how many local measurement units are in 1 ha. </t>
        </is>
      </c>
      <c r="F9" s="106" t="n">
        <v>0.2</v>
      </c>
      <c r="G9" s="22" t="n"/>
    </row>
    <row r="10" ht="31.9" customHeight="1">
      <c r="A10" s="17" t="n"/>
      <c r="B10" s="717" t="inlineStr">
        <is>
          <t>FOR OPTIONAL QUESTIONS    .
(Fill out if applicable)    .</t>
        </is>
      </c>
      <c r="C10" s="29" t="inlineStr">
        <is>
          <t>currency</t>
        </is>
      </c>
      <c r="D10" s="112" t="inlineStr">
        <is>
          <t>MMK</t>
        </is>
      </c>
      <c r="E10" s="49" t="inlineStr">
        <is>
          <t xml:space="preserve">The name of the main currency used nationally; USD; Naira; Rial; Pesos; etc. </t>
        </is>
      </c>
      <c r="F10" s="30" t="inlineStr">
        <is>
          <t>Naira</t>
        </is>
      </c>
      <c r="G10" s="22" t="n"/>
    </row>
    <row r="11" ht="94.15000000000001" customHeight="1">
      <c r="A11" s="17" t="n"/>
      <c r="B11" s="692" t="n"/>
      <c r="C11" s="88" t="inlineStr">
        <is>
          <t>MIN AMOUNT</t>
        </is>
      </c>
      <c r="D11" s="56" t="n">
        <v>250000</v>
      </c>
      <c r="E11" s="8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1" s="90" t="n">
        <v>5</v>
      </c>
      <c r="G11" s="22" t="n"/>
      <c r="I11" s="16" t="n"/>
    </row>
    <row r="12" ht="157.9" customHeight="1">
      <c r="A12" s="17" t="n"/>
      <c r="B12" s="692" t="n"/>
      <c r="C12" s="25" t="inlineStr">
        <is>
          <t>MAX AMOUNT</t>
        </is>
      </c>
      <c r="D12" s="113" t="n">
        <v>800000</v>
      </c>
      <c r="E12" s="4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F12" s="57" t="n">
        <v>5000000</v>
      </c>
      <c r="G12" s="22" t="n"/>
      <c r="H12" s="17" t="n"/>
      <c r="I12" s="58" t="n"/>
      <c r="J12" s="22" t="n"/>
    </row>
    <row r="13" ht="116.25" customHeight="1">
      <c r="A13" s="17" t="n"/>
      <c r="B13" s="692" t="n"/>
      <c r="C13" s="88" t="inlineStr">
        <is>
          <t>THRESHOLD</t>
        </is>
      </c>
      <c r="D13" s="56" t="n">
        <v>450000</v>
      </c>
      <c r="E13" s="9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3" s="57" t="n">
        <v>1200000</v>
      </c>
      <c r="G13" s="22" t="n"/>
      <c r="I13" s="42" t="n"/>
    </row>
    <row r="14" ht="50.25" customHeight="1">
      <c r="A14" s="17" t="n"/>
      <c r="B14" s="692" t="n"/>
      <c r="C14" s="31" t="inlineStr">
        <is>
          <t>local vegetables</t>
        </is>
      </c>
      <c r="D14" s="109" t="n"/>
      <c r="E14" s="47" t="inlineStr">
        <is>
          <t>Input some common local vegetables [to be used as examples in the food consumption score indicator].</t>
        </is>
      </c>
      <c r="F14" s="27" t="inlineStr">
        <is>
          <t>eggplants, zucchini, cauliflower</t>
        </is>
      </c>
      <c r="G14" s="22" t="n"/>
    </row>
    <row r="15" ht="50.25" customHeight="1" thickBot="1">
      <c r="A15" s="17" t="n"/>
      <c r="B15" s="687" t="n"/>
      <c r="C15" s="32" t="inlineStr">
        <is>
          <t>local fruits</t>
        </is>
      </c>
      <c r="D15" s="114" t="n"/>
      <c r="E15" s="50" t="inlineStr">
        <is>
          <t>Input some common local fruits [to be used as examples in the food consumption score indicator].</t>
        </is>
      </c>
      <c r="F15" s="28" t="inlineStr">
        <is>
          <t>apples, bananas, oranges</t>
        </is>
      </c>
      <c r="G15" s="22" t="n"/>
    </row>
    <row r="16" ht="5.65" customHeight="1" thickBot="1">
      <c r="A16" s="17" t="n"/>
      <c r="B16" s="33" t="n"/>
      <c r="C16" s="34" t="n"/>
      <c r="D16" s="115" t="n"/>
      <c r="E16" s="48" t="n"/>
      <c r="F16" s="35" t="n"/>
      <c r="G16" s="22" t="n"/>
    </row>
    <row r="17" ht="144" customHeight="1">
      <c r="A17" s="17" t="n"/>
      <c r="B17" s="716" t="inlineStr">
        <is>
          <t>FILL OUT FOR QUESTIONNAIRE DURATION ESTIMATION    .</t>
        </is>
      </c>
      <c r="C17" s="36" t="inlineStr">
        <is>
          <t>Expected percentage of respondents cultivating crops</t>
        </is>
      </c>
      <c r="D17" s="117" t="n">
        <v>0.75</v>
      </c>
      <c r="E17"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7" s="37" t="n">
        <v>0.91</v>
      </c>
      <c r="G17" s="22" t="n"/>
    </row>
    <row r="18" ht="144" customHeight="1">
      <c r="A18" s="17" t="n"/>
      <c r="B18" s="692" t="n"/>
      <c r="C18" s="38" t="inlineStr">
        <is>
          <t>Expected percentage of respondents raising livestock</t>
        </is>
      </c>
      <c r="D18" s="118" t="n">
        <v>0.2</v>
      </c>
      <c r="E18"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8" s="39" t="n">
        <v>0.91</v>
      </c>
      <c r="G18" s="22" t="n"/>
    </row>
    <row r="19" ht="129" customHeight="1" thickBot="1">
      <c r="A19" s="17" t="n"/>
      <c r="B19" s="687" t="n"/>
      <c r="C19" s="40" t="inlineStr">
        <is>
          <t>Expected percentage of respondents involved in fishery</t>
        </is>
      </c>
      <c r="D19" s="119" t="n">
        <v>0.05</v>
      </c>
      <c r="E19"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19" s="41" t="n">
        <v>0.05</v>
      </c>
      <c r="G19" s="22" t="n"/>
    </row>
    <row r="20">
      <c r="B20" s="42" t="n"/>
      <c r="C20" s="42" t="n"/>
      <c r="D20" s="42" t="n"/>
      <c r="E20" s="54" t="n"/>
      <c r="F20" s="42" t="n"/>
    </row>
  </sheetData>
  <sheetProtection selectLockedCells="0" selectUnlockedCells="0" algorithmName="SHA-512" sheet="1" objects="0" insertRows="1" insertHyperlinks="1" autoFilter="1" scenarios="0" formatColumns="1" deleteColumns="1" insertColumns="1" pivotTables="1" deleteRows="1" formatCells="0" saltValue="6tu+YsEtwkDtKQTLaOSjhg==" formatRows="1" sort="1" spinCount="100000" hashValue="8D+KHsrGYJy6LEKChnLKNAht665kvlCVFQP6xuOR+F/RHvzbqmHXZJgPPtl+rAPGJGtRdY8npC1ac52kOvTYxQ=="/>
  <mergeCells count="3">
    <mergeCell ref="B17:B19"/>
    <mergeCell ref="B3:B9"/>
    <mergeCell ref="B10:B15"/>
  </mergeCells>
  <dataValidations count="2">
    <dataValidation sqref="D7" showErrorMessage="1" showInputMessage="1" allowBlank="0" type="list">
      <formula1>"Not yet in season,Land preparation,Planting,Early growing,Growing,Maturing,Harvesting,Recently finished "</formula1>
    </dataValidation>
    <dataValidation sqref="D5" showErrorMessage="1" showInputMessage="1" allowBlank="0" type="list">
      <formula1>"last year, a normal year"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31"/>
  <sheetViews>
    <sheetView workbookViewId="0">
      <selection activeCell="A46" sqref="A46"/>
    </sheetView>
  </sheetViews>
  <sheetFormatPr baseColWidth="8" defaultColWidth="11.5703125" defaultRowHeight="15" outlineLevelCol="0"/>
  <cols>
    <col width="19.7109375" bestFit="1" customWidth="1" min="1" max="1"/>
    <col width="21.7109375" bestFit="1" customWidth="1" min="2" max="2"/>
    <col width="11.28515625" bestFit="1" customWidth="1" min="3" max="3"/>
    <col width="25.7109375" bestFit="1" customWidth="1" min="4" max="4"/>
    <col width="12.28515625" bestFit="1" customWidth="1" min="5" max="5"/>
    <col width="10.42578125" bestFit="1" customWidth="1" min="6" max="6"/>
    <col width="11" bestFit="1" customWidth="1" min="7" max="7"/>
    <col width="10.42578125" bestFit="1" customWidth="1" min="8" max="8"/>
    <col width="9.7109375" bestFit="1" customWidth="1" min="9" max="10"/>
  </cols>
  <sheetData>
    <row r="1">
      <c r="A1" s="121" t="inlineStr">
        <is>
          <t>adm3_name</t>
        </is>
      </c>
      <c r="B1" s="121" t="inlineStr">
        <is>
          <t>adm3_name_local</t>
        </is>
      </c>
      <c r="C1" s="121" t="inlineStr">
        <is>
          <t>adm3_pcode</t>
        </is>
      </c>
      <c r="D1" s="121" t="inlineStr">
        <is>
          <t>adm2_name</t>
        </is>
      </c>
      <c r="E1" s="121" t="inlineStr">
        <is>
          <t>adm2_pcode</t>
        </is>
      </c>
      <c r="F1" s="121" t="inlineStr">
        <is>
          <t>adm1_name</t>
        </is>
      </c>
      <c r="G1" s="121" t="inlineStr">
        <is>
          <t>adm1_pcode</t>
        </is>
      </c>
      <c r="H1" s="121" t="inlineStr">
        <is>
          <t>adm0_name</t>
        </is>
      </c>
      <c r="I1" s="121" t="inlineStr">
        <is>
          <t>adm0_ISO3</t>
        </is>
      </c>
      <c r="J1" s="121" t="inlineStr">
        <is>
          <t>adm0_M49</t>
        </is>
      </c>
    </row>
    <row r="2">
      <c r="A2" s="121" t="inlineStr">
        <is>
          <t>Ramree</t>
        </is>
      </c>
      <c r="B2" s="121" t="inlineStr">
        <is>
          <t>ရမ်းဗြဲ</t>
        </is>
      </c>
      <c r="C2" s="121" t="inlineStr">
        <is>
          <t>MMR012013</t>
        </is>
      </c>
      <c r="D2" s="121" t="inlineStr">
        <is>
          <t>Kyaukpyu</t>
        </is>
      </c>
      <c r="E2" s="121" t="inlineStr">
        <is>
          <t>MMR012D003</t>
        </is>
      </c>
      <c r="F2" s="121" t="inlineStr">
        <is>
          <t>Rakhine</t>
        </is>
      </c>
      <c r="G2" s="121" t="inlineStr">
        <is>
          <t>MMR012</t>
        </is>
      </c>
      <c r="H2" s="121" t="inlineStr">
        <is>
          <t>Myanmar</t>
        </is>
      </c>
      <c r="I2" s="121" t="inlineStr">
        <is>
          <t>MMR</t>
        </is>
      </c>
      <c r="J2" s="121" t="n">
        <v>104</v>
      </c>
    </row>
    <row r="3">
      <c r="A3" s="121" t="inlineStr">
        <is>
          <t>Toungup</t>
        </is>
      </c>
      <c r="B3" s="121" t="inlineStr">
        <is>
          <t>တောင်ကုတ်</t>
        </is>
      </c>
      <c r="C3" s="121" t="inlineStr">
        <is>
          <t>MMR012016</t>
        </is>
      </c>
      <c r="D3" s="121" t="inlineStr">
        <is>
          <t>Thandwe</t>
        </is>
      </c>
      <c r="E3" s="121" t="inlineStr">
        <is>
          <t>MMR012D004</t>
        </is>
      </c>
      <c r="F3" s="121" t="inlineStr">
        <is>
          <t>Rakhine</t>
        </is>
      </c>
      <c r="G3" s="121" t="inlineStr">
        <is>
          <t>MMR012</t>
        </is>
      </c>
      <c r="H3" s="121" t="inlineStr">
        <is>
          <t>Myanmar</t>
        </is>
      </c>
      <c r="I3" s="121" t="inlineStr">
        <is>
          <t>MMR</t>
        </is>
      </c>
      <c r="J3" s="121" t="n">
        <v>104</v>
      </c>
    </row>
    <row r="4">
      <c r="A4" s="121" t="inlineStr">
        <is>
          <t>Kyaukpyu</t>
        </is>
      </c>
      <c r="B4" s="121" t="inlineStr">
        <is>
          <t>ကျောက်ဖြူ</t>
        </is>
      </c>
      <c r="C4" s="121" t="inlineStr">
        <is>
          <t>MMR012011</t>
        </is>
      </c>
      <c r="D4" s="121" t="inlineStr">
        <is>
          <t>Kyaukpyu</t>
        </is>
      </c>
      <c r="E4" s="121" t="inlineStr">
        <is>
          <t>MMR012D003</t>
        </is>
      </c>
      <c r="F4" s="121" t="inlineStr">
        <is>
          <t>Rakhine</t>
        </is>
      </c>
      <c r="G4" s="121" t="inlineStr">
        <is>
          <t>MMR012</t>
        </is>
      </c>
      <c r="H4" s="121" t="inlineStr">
        <is>
          <t>Myanmar</t>
        </is>
      </c>
      <c r="I4" s="121" t="inlineStr">
        <is>
          <t>MMR</t>
        </is>
      </c>
      <c r="J4" s="121" t="n">
        <v>104</v>
      </c>
    </row>
    <row r="5">
      <c r="A5" s="121" t="inlineStr">
        <is>
          <t>Labutta</t>
        </is>
      </c>
      <c r="B5" s="121" t="inlineStr">
        <is>
          <t>လပွတ္တာ</t>
        </is>
      </c>
      <c r="C5" s="121" t="inlineStr">
        <is>
          <t>MMR017016</t>
        </is>
      </c>
      <c r="D5" s="121" t="inlineStr">
        <is>
          <t>Labutta</t>
        </is>
      </c>
      <c r="E5" s="121" t="inlineStr">
        <is>
          <t>MMR017D004</t>
        </is>
      </c>
      <c r="F5" s="121" t="inlineStr">
        <is>
          <t>Ayeyarwady</t>
        </is>
      </c>
      <c r="G5" s="121" t="inlineStr">
        <is>
          <t>MMR017</t>
        </is>
      </c>
      <c r="H5" s="121" t="inlineStr">
        <is>
          <t>Myanmar</t>
        </is>
      </c>
      <c r="I5" s="121" t="inlineStr">
        <is>
          <t>MMR</t>
        </is>
      </c>
      <c r="J5" s="121" t="n">
        <v>104</v>
      </c>
    </row>
    <row r="6">
      <c r="A6" s="121" t="inlineStr">
        <is>
          <t>Ngapudaw</t>
        </is>
      </c>
      <c r="B6" s="121" t="inlineStr">
        <is>
          <t>ငပုတော</t>
        </is>
      </c>
      <c r="C6" s="121" t="inlineStr">
        <is>
          <t>MMR017004</t>
        </is>
      </c>
      <c r="D6" s="121" t="inlineStr">
        <is>
          <t>Pathein</t>
        </is>
      </c>
      <c r="E6" s="121" t="inlineStr">
        <is>
          <t>MMR017D001</t>
        </is>
      </c>
      <c r="F6" s="121" t="inlineStr">
        <is>
          <t>Ayeyarwady</t>
        </is>
      </c>
      <c r="G6" s="121" t="inlineStr">
        <is>
          <t>MMR017</t>
        </is>
      </c>
      <c r="H6" s="121" t="inlineStr">
        <is>
          <t>Myanmar</t>
        </is>
      </c>
      <c r="I6" s="121" t="inlineStr">
        <is>
          <t>MMR</t>
        </is>
      </c>
      <c r="J6" s="121" t="n">
        <v>104</v>
      </c>
    </row>
    <row r="7">
      <c r="A7" s="121" t="inlineStr">
        <is>
          <t>Bogale</t>
        </is>
      </c>
      <c r="B7" s="121" t="inlineStr">
        <is>
          <t>ဘိုကလေး</t>
        </is>
      </c>
      <c r="C7" s="121" t="inlineStr">
        <is>
          <t>MMR017024</t>
        </is>
      </c>
      <c r="D7" s="121" t="inlineStr">
        <is>
          <t>Pyapon</t>
        </is>
      </c>
      <c r="E7" s="121" t="inlineStr">
        <is>
          <t>MMR017D006</t>
        </is>
      </c>
      <c r="F7" s="121" t="inlineStr">
        <is>
          <t>Ayeyarwady</t>
        </is>
      </c>
      <c r="G7" s="121" t="inlineStr">
        <is>
          <t>MMR017</t>
        </is>
      </c>
      <c r="H7" s="121" t="inlineStr">
        <is>
          <t>Myanmar</t>
        </is>
      </c>
      <c r="I7" s="121" t="inlineStr">
        <is>
          <t>MMR</t>
        </is>
      </c>
      <c r="J7" s="121" t="n">
        <v>104</v>
      </c>
    </row>
    <row r="8">
      <c r="A8" s="121" t="inlineStr">
        <is>
          <t>Thandwe</t>
        </is>
      </c>
      <c r="B8" s="121" t="inlineStr">
        <is>
          <t>သံတွဲ</t>
        </is>
      </c>
      <c r="C8" s="121" t="inlineStr">
        <is>
          <t>MMR012015</t>
        </is>
      </c>
      <c r="D8" s="121" t="inlineStr">
        <is>
          <t>Thandwe</t>
        </is>
      </c>
      <c r="E8" s="121" t="inlineStr">
        <is>
          <t>MMR012D004</t>
        </is>
      </c>
      <c r="F8" s="121" t="inlineStr">
        <is>
          <t>Rakhine</t>
        </is>
      </c>
      <c r="G8" s="121" t="inlineStr">
        <is>
          <t>MMR012</t>
        </is>
      </c>
      <c r="H8" s="121" t="inlineStr">
        <is>
          <t>Myanmar</t>
        </is>
      </c>
      <c r="I8" s="121" t="inlineStr">
        <is>
          <t>MMR</t>
        </is>
      </c>
      <c r="J8" s="121" t="n">
        <v>104</v>
      </c>
    </row>
    <row r="9">
      <c r="A9" s="121" t="inlineStr">
        <is>
          <t>Bokpyin</t>
        </is>
      </c>
      <c r="B9" s="121" t="inlineStr">
        <is>
          <t>ဘုတ်ပြင်း</t>
        </is>
      </c>
      <c r="C9" s="121" t="inlineStr">
        <is>
          <t>MMR006010</t>
        </is>
      </c>
      <c r="D9" s="121" t="inlineStr">
        <is>
          <t>Kawthoung</t>
        </is>
      </c>
      <c r="E9" s="121" t="inlineStr">
        <is>
          <t>MMR006D003</t>
        </is>
      </c>
      <c r="F9" s="121" t="inlineStr">
        <is>
          <t>Tanintharyi</t>
        </is>
      </c>
      <c r="G9" s="121" t="inlineStr">
        <is>
          <t>MMR006</t>
        </is>
      </c>
      <c r="H9" s="121" t="inlineStr">
        <is>
          <t>Myanmar</t>
        </is>
      </c>
      <c r="I9" s="121" t="inlineStr">
        <is>
          <t>MMR</t>
        </is>
      </c>
      <c r="J9" s="121" t="n">
        <v>104</v>
      </c>
    </row>
    <row r="10">
      <c r="A10" s="121" t="inlineStr">
        <is>
          <t>Ye</t>
        </is>
      </c>
      <c r="B10" s="121" t="inlineStr">
        <is>
          <t>ရေး</t>
        </is>
      </c>
      <c r="C10" s="121" t="inlineStr">
        <is>
          <t>MMR011006</t>
        </is>
      </c>
      <c r="D10" s="121" t="inlineStr">
        <is>
          <t>Mawlamyine</t>
        </is>
      </c>
      <c r="E10" s="121" t="inlineStr">
        <is>
          <t>MMR011D001</t>
        </is>
      </c>
      <c r="F10" s="121" t="inlineStr">
        <is>
          <t>Mon</t>
        </is>
      </c>
      <c r="G10" s="121" t="inlineStr">
        <is>
          <t>MMR011</t>
        </is>
      </c>
      <c r="H10" s="121" t="inlineStr">
        <is>
          <t>Myanmar</t>
        </is>
      </c>
      <c r="I10" s="121" t="inlineStr">
        <is>
          <t>MMR</t>
        </is>
      </c>
      <c r="J10" s="121" t="n">
        <v>104</v>
      </c>
    </row>
    <row r="11">
      <c r="A11" s="121" t="inlineStr">
        <is>
          <t>Kungyangon</t>
        </is>
      </c>
      <c r="B11" s="121" t="inlineStr">
        <is>
          <t>ကွမ်းခြံကုန်း</t>
        </is>
      </c>
      <c r="C11" s="121" t="inlineStr">
        <is>
          <t>MMR013029</t>
        </is>
      </c>
      <c r="D11" s="121" t="inlineStr">
        <is>
          <t>Yangon (South)</t>
        </is>
      </c>
      <c r="E11" s="121" t="inlineStr">
        <is>
          <t>MMR013D003</t>
        </is>
      </c>
      <c r="F11" s="121" t="inlineStr">
        <is>
          <t>Yangon</t>
        </is>
      </c>
      <c r="G11" s="121" t="inlineStr">
        <is>
          <t>MMR013</t>
        </is>
      </c>
      <c r="H11" s="121" t="inlineStr">
        <is>
          <t>Myanmar</t>
        </is>
      </c>
      <c r="I11" s="121" t="inlineStr">
        <is>
          <t>MMR</t>
        </is>
      </c>
      <c r="J11" s="121" t="n">
        <v>104</v>
      </c>
    </row>
    <row r="12">
      <c r="A12" s="121" t="inlineStr">
        <is>
          <t>Dedaye</t>
        </is>
      </c>
      <c r="B12" s="121" t="inlineStr">
        <is>
          <t>ဒေးဒရဲ</t>
        </is>
      </c>
      <c r="C12" s="121" t="inlineStr">
        <is>
          <t>MMR017026</t>
        </is>
      </c>
      <c r="D12" s="121" t="inlineStr">
        <is>
          <t>Pyapon</t>
        </is>
      </c>
      <c r="E12" s="121" t="inlineStr">
        <is>
          <t>MMR017D006</t>
        </is>
      </c>
      <c r="F12" s="121" t="inlineStr">
        <is>
          <t>Ayeyarwady</t>
        </is>
      </c>
      <c r="G12" s="121" t="inlineStr">
        <is>
          <t>MMR017</t>
        </is>
      </c>
      <c r="H12" s="121" t="inlineStr">
        <is>
          <t>Myanmar</t>
        </is>
      </c>
      <c r="I12" s="121" t="inlineStr">
        <is>
          <t>MMR</t>
        </is>
      </c>
      <c r="J12" s="121" t="n">
        <v>104</v>
      </c>
    </row>
    <row r="13">
      <c r="A13" s="121" t="inlineStr">
        <is>
          <t>Pyapon</t>
        </is>
      </c>
      <c r="B13" s="121" t="inlineStr">
        <is>
          <t>ဖျာပုံ</t>
        </is>
      </c>
      <c r="C13" s="121" t="inlineStr">
        <is>
          <t>MMR017023</t>
        </is>
      </c>
      <c r="D13" s="121" t="inlineStr">
        <is>
          <t>Pyapon</t>
        </is>
      </c>
      <c r="E13" s="121" t="inlineStr">
        <is>
          <t>MMR017D006</t>
        </is>
      </c>
      <c r="F13" s="121" t="inlineStr">
        <is>
          <t>Ayeyarwady</t>
        </is>
      </c>
      <c r="G13" s="121" t="inlineStr">
        <is>
          <t>MMR017</t>
        </is>
      </c>
      <c r="H13" s="121" t="inlineStr">
        <is>
          <t>Myanmar</t>
        </is>
      </c>
      <c r="I13" s="121" t="inlineStr">
        <is>
          <t>MMR</t>
        </is>
      </c>
      <c r="J13" s="121" t="n">
        <v>104</v>
      </c>
    </row>
    <row r="14">
      <c r="A14" s="121" t="inlineStr">
        <is>
          <t>Munaung</t>
        </is>
      </c>
      <c r="B14" s="121" t="inlineStr">
        <is>
          <t>မာန်အောင်</t>
        </is>
      </c>
      <c r="C14" s="121" t="inlineStr">
        <is>
          <t>MMR012012</t>
        </is>
      </c>
      <c r="D14" s="121" t="inlineStr">
        <is>
          <t>Kyaukpyu</t>
        </is>
      </c>
      <c r="E14" s="121" t="inlineStr">
        <is>
          <t>MMR012D003</t>
        </is>
      </c>
      <c r="F14" s="121" t="inlineStr">
        <is>
          <t>Rakhine</t>
        </is>
      </c>
      <c r="G14" s="121" t="inlineStr">
        <is>
          <t>MMR012</t>
        </is>
      </c>
      <c r="H14" s="121" t="inlineStr">
        <is>
          <t>Myanmar</t>
        </is>
      </c>
      <c r="I14" s="121" t="inlineStr">
        <is>
          <t>MMR</t>
        </is>
      </c>
      <c r="J14" s="121" t="n">
        <v>104</v>
      </c>
    </row>
    <row r="15">
      <c r="A15" s="121" t="inlineStr">
        <is>
          <t>Gwa</t>
        </is>
      </c>
      <c r="B15" s="121" t="inlineStr">
        <is>
          <t>ဂွ</t>
        </is>
      </c>
      <c r="C15" s="121" t="inlineStr">
        <is>
          <t>MMR012017</t>
        </is>
      </c>
      <c r="D15" s="121" t="inlineStr">
        <is>
          <t>Thandwe</t>
        </is>
      </c>
      <c r="E15" s="121" t="inlineStr">
        <is>
          <t>MMR012D004</t>
        </is>
      </c>
      <c r="F15" s="121" t="inlineStr">
        <is>
          <t>Rakhine</t>
        </is>
      </c>
      <c r="G15" s="121" t="inlineStr">
        <is>
          <t>MMR012</t>
        </is>
      </c>
      <c r="H15" s="121" t="inlineStr">
        <is>
          <t>Myanmar</t>
        </is>
      </c>
      <c r="I15" s="121" t="inlineStr">
        <is>
          <t>MMR</t>
        </is>
      </c>
      <c r="J15" s="121" t="n">
        <v>104</v>
      </c>
    </row>
    <row r="16">
      <c r="A16" s="121" t="inlineStr">
        <is>
          <t>Kawthoung</t>
        </is>
      </c>
      <c r="B16" s="121" t="inlineStr">
        <is>
          <t>ကော့သောင်း</t>
        </is>
      </c>
      <c r="C16" s="121" t="inlineStr">
        <is>
          <t>MMR006009</t>
        </is>
      </c>
      <c r="D16" s="121" t="inlineStr">
        <is>
          <t>Kawthoung</t>
        </is>
      </c>
      <c r="E16" s="121" t="inlineStr">
        <is>
          <t>MMR006D003</t>
        </is>
      </c>
      <c r="F16" s="121" t="inlineStr">
        <is>
          <t>Tanintharyi</t>
        </is>
      </c>
      <c r="G16" s="121" t="inlineStr">
        <is>
          <t>MMR006</t>
        </is>
      </c>
      <c r="H16" s="121" t="inlineStr">
        <is>
          <t>Myanmar</t>
        </is>
      </c>
      <c r="I16" s="121" t="inlineStr">
        <is>
          <t>MMR</t>
        </is>
      </c>
      <c r="J16" s="121" t="n">
        <v>104</v>
      </c>
    </row>
    <row r="17">
      <c r="A17" s="121" t="inlineStr">
        <is>
          <t>Kyunsu</t>
        </is>
      </c>
      <c r="B17" s="121" t="inlineStr">
        <is>
          <t>ကျွန်းစု</t>
        </is>
      </c>
      <c r="C17" s="121" t="inlineStr">
        <is>
          <t>MMR006006</t>
        </is>
      </c>
      <c r="D17" s="121" t="inlineStr">
        <is>
          <t>Myeik</t>
        </is>
      </c>
      <c r="E17" s="121" t="inlineStr">
        <is>
          <t>MMR006D002</t>
        </is>
      </c>
      <c r="F17" s="121" t="inlineStr">
        <is>
          <t>Tanintharyi</t>
        </is>
      </c>
      <c r="G17" s="121" t="inlineStr">
        <is>
          <t>MMR006</t>
        </is>
      </c>
      <c r="H17" s="121" t="inlineStr">
        <is>
          <t>Myanmar</t>
        </is>
      </c>
      <c r="I17" s="121" t="inlineStr">
        <is>
          <t>MMR</t>
        </is>
      </c>
      <c r="J17" s="121" t="n">
        <v>104</v>
      </c>
    </row>
    <row r="18">
      <c r="A18" s="121" t="inlineStr">
        <is>
          <t>Chaungzon</t>
        </is>
      </c>
      <c r="B18" s="121" t="inlineStr">
        <is>
          <t>ချောင်းဆုံ</t>
        </is>
      </c>
      <c r="C18" s="121" t="inlineStr">
        <is>
          <t>MMR011003</t>
        </is>
      </c>
      <c r="D18" s="121" t="inlineStr">
        <is>
          <t>Mawlamyine</t>
        </is>
      </c>
      <c r="E18" s="121" t="inlineStr">
        <is>
          <t>MMR011D001</t>
        </is>
      </c>
      <c r="F18" s="121" t="inlineStr">
        <is>
          <t>Mon</t>
        </is>
      </c>
      <c r="G18" s="121" t="inlineStr">
        <is>
          <t>MMR011</t>
        </is>
      </c>
      <c r="H18" s="121" t="inlineStr">
        <is>
          <t>Myanmar</t>
        </is>
      </c>
      <c r="I18" s="121" t="inlineStr">
        <is>
          <t>MMR</t>
        </is>
      </c>
      <c r="J18" s="121" t="n">
        <v>104</v>
      </c>
    </row>
    <row r="19">
      <c r="A19" s="121" t="inlineStr">
        <is>
          <t>Palaw</t>
        </is>
      </c>
      <c r="B19" s="121" t="inlineStr">
        <is>
          <t>ပုလော</t>
        </is>
      </c>
      <c r="C19" s="121" t="inlineStr">
        <is>
          <t>MMR006007</t>
        </is>
      </c>
      <c r="D19" s="121" t="inlineStr">
        <is>
          <t>Myeik</t>
        </is>
      </c>
      <c r="E19" s="121" t="inlineStr">
        <is>
          <t>MMR006D002</t>
        </is>
      </c>
      <c r="F19" s="121" t="inlineStr">
        <is>
          <t>Tanintharyi</t>
        </is>
      </c>
      <c r="G19" s="121" t="inlineStr">
        <is>
          <t>MMR006</t>
        </is>
      </c>
      <c r="H19" s="121" t="inlineStr">
        <is>
          <t>Myanmar</t>
        </is>
      </c>
      <c r="I19" s="121" t="inlineStr">
        <is>
          <t>MMR</t>
        </is>
      </c>
      <c r="J19" s="121" t="n">
        <v>104</v>
      </c>
    </row>
    <row r="20">
      <c r="A20" s="121" t="inlineStr">
        <is>
          <t>Yebyu</t>
        </is>
      </c>
      <c r="B20" s="121" t="inlineStr">
        <is>
          <t>ရေဖြူ</t>
        </is>
      </c>
      <c r="C20" s="121" t="inlineStr">
        <is>
          <t>MMR006004</t>
        </is>
      </c>
      <c r="D20" s="121" t="inlineStr">
        <is>
          <t>Dawei</t>
        </is>
      </c>
      <c r="E20" s="121" t="inlineStr">
        <is>
          <t>MMR006D001</t>
        </is>
      </c>
      <c r="F20" s="121" t="inlineStr">
        <is>
          <t>Tanintharyi</t>
        </is>
      </c>
      <c r="G20" s="121" t="inlineStr">
        <is>
          <t>MMR006</t>
        </is>
      </c>
      <c r="H20" s="121" t="inlineStr">
        <is>
          <t>Myanmar</t>
        </is>
      </c>
      <c r="I20" s="121" t="inlineStr">
        <is>
          <t>MMR</t>
        </is>
      </c>
      <c r="J20" s="121" t="n">
        <v>104</v>
      </c>
    </row>
    <row r="21">
      <c r="A21" s="121" t="inlineStr">
        <is>
          <t>Mawlamyine</t>
        </is>
      </c>
      <c r="B21" s="121" t="inlineStr">
        <is>
          <t>မော်လမြိုင်</t>
        </is>
      </c>
      <c r="C21" s="121" t="inlineStr">
        <is>
          <t>MMR011001</t>
        </is>
      </c>
      <c r="D21" s="121" t="inlineStr">
        <is>
          <t>Mawlamyine</t>
        </is>
      </c>
      <c r="E21" s="121" t="inlineStr">
        <is>
          <t>MMR011D001</t>
        </is>
      </c>
      <c r="F21" s="121" t="inlineStr">
        <is>
          <t>Mon</t>
        </is>
      </c>
      <c r="G21" s="121" t="inlineStr">
        <is>
          <t>MMR011</t>
        </is>
      </c>
      <c r="H21" s="121" t="inlineStr">
        <is>
          <t>Myanmar</t>
        </is>
      </c>
      <c r="I21" s="121" t="inlineStr">
        <is>
          <t>MMR</t>
        </is>
      </c>
      <c r="J21" s="121" t="n">
        <v>104</v>
      </c>
    </row>
    <row r="22">
      <c r="A22" s="121" t="inlineStr">
        <is>
          <t>Hpa-An</t>
        </is>
      </c>
      <c r="B22" s="121" t="inlineStr">
        <is>
          <t>ဘားအံ</t>
        </is>
      </c>
      <c r="C22" s="121" t="inlineStr">
        <is>
          <t>MMR003001</t>
        </is>
      </c>
      <c r="D22" s="121" t="inlineStr">
        <is>
          <t>Hpa-An</t>
        </is>
      </c>
      <c r="E22" s="121" t="inlineStr">
        <is>
          <t>MMR003D001</t>
        </is>
      </c>
      <c r="F22" s="121" t="inlineStr">
        <is>
          <t>Kayin</t>
        </is>
      </c>
      <c r="G22" s="121" t="inlineStr">
        <is>
          <t>MMR003</t>
        </is>
      </c>
      <c r="H22" s="121" t="inlineStr">
        <is>
          <t>Myanmar</t>
        </is>
      </c>
      <c r="I22" s="121" t="inlineStr">
        <is>
          <t>MMR</t>
        </is>
      </c>
      <c r="J22" s="121" t="n">
        <v>104</v>
      </c>
    </row>
    <row r="23">
      <c r="A23" s="121" t="inlineStr">
        <is>
          <t>Myebon</t>
        </is>
      </c>
      <c r="B23" s="121" t="inlineStr">
        <is>
          <t>မြေပုံ</t>
        </is>
      </c>
      <c r="C23" s="121" t="inlineStr">
        <is>
          <t>MMR012006</t>
        </is>
      </c>
      <c r="D23" s="121" t="inlineStr">
        <is>
          <t>Mrauk-U</t>
        </is>
      </c>
      <c r="E23" s="121" t="inlineStr">
        <is>
          <t>MMR012D005</t>
        </is>
      </c>
      <c r="F23" s="121" t="inlineStr">
        <is>
          <t>Rakhine</t>
        </is>
      </c>
      <c r="G23" s="121" t="inlineStr">
        <is>
          <t>MMR012</t>
        </is>
      </c>
      <c r="H23" s="121" t="inlineStr">
        <is>
          <t>Myanmar</t>
        </is>
      </c>
      <c r="I23" s="121" t="inlineStr">
        <is>
          <t>MMR</t>
        </is>
      </c>
      <c r="J23" s="121" t="n">
        <v>104</v>
      </c>
    </row>
    <row r="24">
      <c r="A24" s="121" t="inlineStr">
        <is>
          <t>Ann</t>
        </is>
      </c>
      <c r="B24" s="121" t="inlineStr">
        <is>
          <t>အမ်း</t>
        </is>
      </c>
      <c r="C24" s="121" t="inlineStr">
        <is>
          <t>MMR012014</t>
        </is>
      </c>
      <c r="D24" s="121" t="inlineStr">
        <is>
          <t>Kyaukpyu</t>
        </is>
      </c>
      <c r="E24" s="121" t="inlineStr">
        <is>
          <t>MMR012D003</t>
        </is>
      </c>
      <c r="F24" s="121" t="inlineStr">
        <is>
          <t>Rakhine</t>
        </is>
      </c>
      <c r="G24" s="121" t="inlineStr">
        <is>
          <t>MMR012</t>
        </is>
      </c>
      <c r="H24" s="121" t="inlineStr">
        <is>
          <t>Myanmar</t>
        </is>
      </c>
      <c r="I24" s="121" t="inlineStr">
        <is>
          <t>MMR</t>
        </is>
      </c>
      <c r="J24" s="121" t="n">
        <v>104</v>
      </c>
    </row>
    <row r="25">
      <c r="A25" s="121" t="inlineStr">
        <is>
          <t>Pauktaw</t>
        </is>
      </c>
      <c r="B25" s="121" t="inlineStr">
        <is>
          <t>ပေါက်တော</t>
        </is>
      </c>
      <c r="C25" s="121" t="inlineStr">
        <is>
          <t>MMR012007</t>
        </is>
      </c>
      <c r="D25" s="121" t="inlineStr">
        <is>
          <t>Sittwe</t>
        </is>
      </c>
      <c r="E25" s="121" t="inlineStr">
        <is>
          <t>MMR012D001</t>
        </is>
      </c>
      <c r="F25" s="121" t="inlineStr">
        <is>
          <t>Rakhine</t>
        </is>
      </c>
      <c r="G25" s="121" t="inlineStr">
        <is>
          <t>MMR012</t>
        </is>
      </c>
      <c r="H25" s="121" t="inlineStr">
        <is>
          <t>Myanmar</t>
        </is>
      </c>
      <c r="I25" s="121" t="inlineStr">
        <is>
          <t>MMR</t>
        </is>
      </c>
      <c r="J25" s="121" t="n">
        <v>104</v>
      </c>
    </row>
    <row r="26">
      <c r="A26" s="121" t="inlineStr">
        <is>
          <t>Rathedaung</t>
        </is>
      </c>
      <c r="B26" s="121" t="inlineStr">
        <is>
          <t>ရသေ့တောင်</t>
        </is>
      </c>
      <c r="C26" s="121" t="inlineStr">
        <is>
          <t>MMR012008</t>
        </is>
      </c>
      <c r="D26" s="121" t="inlineStr">
        <is>
          <t>Sittwe</t>
        </is>
      </c>
      <c r="E26" s="121" t="inlineStr">
        <is>
          <t>MMR012D001</t>
        </is>
      </c>
      <c r="F26" s="121" t="inlineStr">
        <is>
          <t>Rakhine</t>
        </is>
      </c>
      <c r="G26" s="121" t="inlineStr">
        <is>
          <t>MMR012</t>
        </is>
      </c>
      <c r="H26" s="121" t="inlineStr">
        <is>
          <t>Myanmar</t>
        </is>
      </c>
      <c r="I26" s="121" t="inlineStr">
        <is>
          <t>MMR</t>
        </is>
      </c>
      <c r="J26" s="121" t="n">
        <v>104</v>
      </c>
    </row>
    <row r="27">
      <c r="A27" s="121" t="inlineStr">
        <is>
          <t>Paukkhaung</t>
        </is>
      </c>
      <c r="B27" s="121" t="inlineStr">
        <is>
          <t>ပေါက်ခေါင်း</t>
        </is>
      </c>
      <c r="C27" s="121" t="inlineStr">
        <is>
          <t>MMR008002</t>
        </is>
      </c>
      <c r="D27" s="121" t="inlineStr">
        <is>
          <t>Pyay</t>
        </is>
      </c>
      <c r="E27" s="121" t="inlineStr">
        <is>
          <t>MMR008D001</t>
        </is>
      </c>
      <c r="F27" s="121" t="inlineStr">
        <is>
          <t>Bago</t>
        </is>
      </c>
      <c r="G27" s="121" t="inlineStr">
        <is>
          <t>MMR111</t>
        </is>
      </c>
      <c r="H27" s="121" t="inlineStr">
        <is>
          <t>Myanmar</t>
        </is>
      </c>
      <c r="I27" s="121" t="inlineStr">
        <is>
          <t>MMR</t>
        </is>
      </c>
      <c r="J27" s="121" t="n">
        <v>104</v>
      </c>
    </row>
    <row r="28">
      <c r="A28" s="121" t="inlineStr">
        <is>
          <t>Yedashe</t>
        </is>
      </c>
      <c r="B28" s="121" t="inlineStr">
        <is>
          <t>ရေတာရှည်</t>
        </is>
      </c>
      <c r="C28" s="121" t="inlineStr">
        <is>
          <t>MMR007010</t>
        </is>
      </c>
      <c r="D28" s="121" t="inlineStr">
        <is>
          <t>Taungoo</t>
        </is>
      </c>
      <c r="E28" s="121" t="inlineStr">
        <is>
          <t>MMR007D002</t>
        </is>
      </c>
      <c r="F28" s="121" t="inlineStr">
        <is>
          <t>Bago</t>
        </is>
      </c>
      <c r="G28" s="121" t="inlineStr">
        <is>
          <t>MMR111</t>
        </is>
      </c>
      <c r="H28" s="121" t="inlineStr">
        <is>
          <t>Myanmar</t>
        </is>
      </c>
      <c r="I28" s="121" t="inlineStr">
        <is>
          <t>MMR</t>
        </is>
      </c>
      <c r="J28" s="121" t="n">
        <v>104</v>
      </c>
    </row>
    <row r="29">
      <c r="A29" s="121" t="inlineStr">
        <is>
          <t>Thongwa</t>
        </is>
      </c>
      <c r="B29" s="121" t="inlineStr">
        <is>
          <t>သုံးခွ</t>
        </is>
      </c>
      <c r="C29" s="121" t="inlineStr">
        <is>
          <t>MMR013025</t>
        </is>
      </c>
      <c r="D29" s="121" t="inlineStr">
        <is>
          <t>Yangon (South)</t>
        </is>
      </c>
      <c r="E29" s="121" t="inlineStr">
        <is>
          <t>MMR013D003</t>
        </is>
      </c>
      <c r="F29" s="121" t="inlineStr">
        <is>
          <t>Yangon</t>
        </is>
      </c>
      <c r="G29" s="121" t="inlineStr">
        <is>
          <t>MMR013</t>
        </is>
      </c>
      <c r="H29" s="121" t="inlineStr">
        <is>
          <t>Myanmar</t>
        </is>
      </c>
      <c r="I29" s="121" t="inlineStr">
        <is>
          <t>MMR</t>
        </is>
      </c>
      <c r="J29" s="121" t="n">
        <v>104</v>
      </c>
    </row>
    <row r="30">
      <c r="A30" s="121" t="inlineStr">
        <is>
          <t>Launglon</t>
        </is>
      </c>
      <c r="B30" s="121" t="inlineStr">
        <is>
          <t>လောင်းလုံး</t>
        </is>
      </c>
      <c r="C30" s="121" t="inlineStr">
        <is>
          <t>MMR006002</t>
        </is>
      </c>
      <c r="D30" s="121" t="inlineStr">
        <is>
          <t>Dawei</t>
        </is>
      </c>
      <c r="E30" s="121" t="inlineStr">
        <is>
          <t>MMR006D001</t>
        </is>
      </c>
      <c r="F30" s="121" t="inlineStr">
        <is>
          <t>Tanintharyi</t>
        </is>
      </c>
      <c r="G30" s="121" t="inlineStr">
        <is>
          <t>MMR006</t>
        </is>
      </c>
      <c r="H30" s="121" t="inlineStr">
        <is>
          <t>Myanmar</t>
        </is>
      </c>
      <c r="I30" s="121" t="inlineStr">
        <is>
          <t>MMR</t>
        </is>
      </c>
      <c r="J30" s="121" t="n">
        <v>104</v>
      </c>
    </row>
    <row r="31">
      <c r="A31" s="121" t="inlineStr">
        <is>
          <t>Paung</t>
        </is>
      </c>
      <c r="B31" s="121" t="inlineStr">
        <is>
          <t>ပေါင်</t>
        </is>
      </c>
      <c r="C31" s="121" t="inlineStr">
        <is>
          <t>MMR011008</t>
        </is>
      </c>
      <c r="D31" s="121" t="inlineStr">
        <is>
          <t>Thaton</t>
        </is>
      </c>
      <c r="E31" s="121" t="inlineStr">
        <is>
          <t>MMR011D002</t>
        </is>
      </c>
      <c r="F31" s="121" t="inlineStr">
        <is>
          <t>Mon</t>
        </is>
      </c>
      <c r="G31" s="121" t="inlineStr">
        <is>
          <t>MMR011</t>
        </is>
      </c>
      <c r="H31" s="121" t="inlineStr">
        <is>
          <t>Myanmar</t>
        </is>
      </c>
      <c r="I31" s="121" t="inlineStr">
        <is>
          <t>MMR</t>
        </is>
      </c>
      <c r="J31" s="121" t="n">
        <v>104</v>
      </c>
    </row>
    <row r="32">
      <c r="A32" s="121" t="inlineStr">
        <is>
          <t>Dagon Myothit (East)</t>
        </is>
      </c>
      <c r="B32" s="121" t="inlineStr">
        <is>
          <t>ဒဂုံမြို့သစ် (အရှေ့ပိုင်း)</t>
        </is>
      </c>
      <c r="C32" s="121" t="inlineStr">
        <is>
          <t>MMR013020</t>
        </is>
      </c>
      <c r="D32" s="121" t="inlineStr">
        <is>
          <t>Yangon (East)</t>
        </is>
      </c>
      <c r="E32" s="121" t="inlineStr">
        <is>
          <t>MMR013D002</t>
        </is>
      </c>
      <c r="F32" s="121" t="inlineStr">
        <is>
          <t>Yangon</t>
        </is>
      </c>
      <c r="G32" s="121" t="inlineStr">
        <is>
          <t>MMR013</t>
        </is>
      </c>
      <c r="H32" s="121" t="inlineStr">
        <is>
          <t>Myanmar</t>
        </is>
      </c>
      <c r="I32" s="121" t="inlineStr">
        <is>
          <t>MMR</t>
        </is>
      </c>
      <c r="J32" s="121" t="n">
        <v>104</v>
      </c>
    </row>
    <row r="33">
      <c r="A33" s="121" t="inlineStr">
        <is>
          <t>North Okkalapa</t>
        </is>
      </c>
      <c r="B33" s="121" t="inlineStr">
        <is>
          <t>မြောက်ဥက္ကလာပ</t>
        </is>
      </c>
      <c r="C33" s="121" t="inlineStr">
        <is>
          <t>MMR013012</t>
        </is>
      </c>
      <c r="D33" s="121" t="inlineStr">
        <is>
          <t>Yangon (East)</t>
        </is>
      </c>
      <c r="E33" s="121" t="inlineStr">
        <is>
          <t>MMR013D002</t>
        </is>
      </c>
      <c r="F33" s="121" t="inlineStr">
        <is>
          <t>Yangon</t>
        </is>
      </c>
      <c r="G33" s="121" t="inlineStr">
        <is>
          <t>MMR013</t>
        </is>
      </c>
      <c r="H33" s="121" t="inlineStr">
        <is>
          <t>Myanmar</t>
        </is>
      </c>
      <c r="I33" s="121" t="inlineStr">
        <is>
          <t>MMR</t>
        </is>
      </c>
      <c r="J33" s="121" t="n">
        <v>104</v>
      </c>
    </row>
    <row r="34">
      <c r="A34" s="121" t="inlineStr">
        <is>
          <t>Hmawbi</t>
        </is>
      </c>
      <c r="B34" s="121" t="inlineStr">
        <is>
          <t>မှော်ဘီ</t>
        </is>
      </c>
      <c r="C34" s="121" t="inlineStr">
        <is>
          <t>MMR013003</t>
        </is>
      </c>
      <c r="D34" s="121" t="inlineStr">
        <is>
          <t>Yangon (North)</t>
        </is>
      </c>
      <c r="E34" s="121" t="inlineStr">
        <is>
          <t>MMR013D001</t>
        </is>
      </c>
      <c r="F34" s="121" t="inlineStr">
        <is>
          <t>Yangon</t>
        </is>
      </c>
      <c r="G34" s="121" t="inlineStr">
        <is>
          <t>MMR013</t>
        </is>
      </c>
      <c r="H34" s="121" t="inlineStr">
        <is>
          <t>Myanmar</t>
        </is>
      </c>
      <c r="I34" s="121" t="inlineStr">
        <is>
          <t>MMR</t>
        </is>
      </c>
      <c r="J34" s="121" t="n">
        <v>104</v>
      </c>
    </row>
    <row r="35">
      <c r="A35" s="121" t="inlineStr">
        <is>
          <t>Aunglan</t>
        </is>
      </c>
      <c r="B35" s="121" t="inlineStr">
        <is>
          <t>အောင်လံ</t>
        </is>
      </c>
      <c r="C35" s="121" t="inlineStr">
        <is>
          <t>MMR009016</t>
        </is>
      </c>
      <c r="D35" s="121" t="inlineStr">
        <is>
          <t>Thayet</t>
        </is>
      </c>
      <c r="E35" s="121" t="inlineStr">
        <is>
          <t>MMR009D003</t>
        </is>
      </c>
      <c r="F35" s="121" t="inlineStr">
        <is>
          <t>Magway</t>
        </is>
      </c>
      <c r="G35" s="121" t="inlineStr">
        <is>
          <t>MMR009</t>
        </is>
      </c>
      <c r="H35" s="121" t="inlineStr">
        <is>
          <t>Myanmar</t>
        </is>
      </c>
      <c r="I35" s="121" t="inlineStr">
        <is>
          <t>MMR</t>
        </is>
      </c>
      <c r="J35" s="121" t="n">
        <v>104</v>
      </c>
    </row>
    <row r="36">
      <c r="A36" s="121" t="inlineStr">
        <is>
          <t>Kyaukse</t>
        </is>
      </c>
      <c r="B36" s="121" t="inlineStr">
        <is>
          <t>ကျောက်ဆည်</t>
        </is>
      </c>
      <c r="C36" s="121" t="inlineStr">
        <is>
          <t>MMR010013</t>
        </is>
      </c>
      <c r="D36" s="121" t="inlineStr">
        <is>
          <t>Kyaukse</t>
        </is>
      </c>
      <c r="E36" s="121" t="inlineStr">
        <is>
          <t>MMR010D003</t>
        </is>
      </c>
      <c r="F36" s="121" t="inlineStr">
        <is>
          <t>Mandalay</t>
        </is>
      </c>
      <c r="G36" s="121" t="inlineStr">
        <is>
          <t>MMR010</t>
        </is>
      </c>
      <c r="H36" s="121" t="inlineStr">
        <is>
          <t>Myanmar</t>
        </is>
      </c>
      <c r="I36" s="121" t="inlineStr">
        <is>
          <t>MMR</t>
        </is>
      </c>
      <c r="J36" s="121" t="n">
        <v>104</v>
      </c>
    </row>
    <row r="37">
      <c r="A37" s="121" t="inlineStr">
        <is>
          <t>Nawnghkio</t>
        </is>
      </c>
      <c r="B37" s="121" t="inlineStr">
        <is>
          <t>နောင်ချို</t>
        </is>
      </c>
      <c r="C37" s="121" t="inlineStr">
        <is>
          <t>MMR015013</t>
        </is>
      </c>
      <c r="D37" s="121" t="inlineStr">
        <is>
          <t>Kyaukme</t>
        </is>
      </c>
      <c r="E37" s="121" t="inlineStr">
        <is>
          <t>MMR015D003</t>
        </is>
      </c>
      <c r="F37" s="121" t="inlineStr">
        <is>
          <t>Shan</t>
        </is>
      </c>
      <c r="G37" s="121" t="inlineStr">
        <is>
          <t>MMR222</t>
        </is>
      </c>
      <c r="H37" s="121" t="inlineStr">
        <is>
          <t>Myanmar</t>
        </is>
      </c>
      <c r="I37" s="121" t="inlineStr">
        <is>
          <t>MMR</t>
        </is>
      </c>
      <c r="J37" s="121" t="n">
        <v>104</v>
      </c>
    </row>
    <row r="38">
      <c r="A38" s="121" t="inlineStr">
        <is>
          <t>Kyaukme</t>
        </is>
      </c>
      <c r="B38" s="121" t="inlineStr">
        <is>
          <t>ကျောက်မဲ</t>
        </is>
      </c>
      <c r="C38" s="121" t="inlineStr">
        <is>
          <t>MMR015012</t>
        </is>
      </c>
      <c r="D38" s="121" t="inlineStr">
        <is>
          <t>Kyaukme</t>
        </is>
      </c>
      <c r="E38" s="121" t="inlineStr">
        <is>
          <t>MMR015D003</t>
        </is>
      </c>
      <c r="F38" s="121" t="inlineStr">
        <is>
          <t>Shan</t>
        </is>
      </c>
      <c r="G38" s="121" t="inlineStr">
        <is>
          <t>MMR222</t>
        </is>
      </c>
      <c r="H38" s="121" t="inlineStr">
        <is>
          <t>Myanmar</t>
        </is>
      </c>
      <c r="I38" s="121" t="inlineStr">
        <is>
          <t>MMR</t>
        </is>
      </c>
      <c r="J38" s="121" t="n">
        <v>104</v>
      </c>
    </row>
    <row r="39">
      <c r="A39" s="121" t="inlineStr">
        <is>
          <t>Hlegu</t>
        </is>
      </c>
      <c r="B39" s="121" t="inlineStr">
        <is>
          <t>လှည်းကူး</t>
        </is>
      </c>
      <c r="C39" s="121" t="inlineStr">
        <is>
          <t>MMR013004</t>
        </is>
      </c>
      <c r="D39" s="121" t="inlineStr">
        <is>
          <t>Yangon (North)</t>
        </is>
      </c>
      <c r="E39" s="121" t="inlineStr">
        <is>
          <t>MMR013D001</t>
        </is>
      </c>
      <c r="F39" s="121" t="inlineStr">
        <is>
          <t>Yangon</t>
        </is>
      </c>
      <c r="G39" s="121" t="inlineStr">
        <is>
          <t>MMR013</t>
        </is>
      </c>
      <c r="H39" s="121" t="inlineStr">
        <is>
          <t>Myanmar</t>
        </is>
      </c>
      <c r="I39" s="121" t="inlineStr">
        <is>
          <t>MMR</t>
        </is>
      </c>
      <c r="J39" s="121" t="n">
        <v>104</v>
      </c>
    </row>
    <row r="40">
      <c r="A40" s="121" t="inlineStr">
        <is>
          <t>Padaung</t>
        </is>
      </c>
      <c r="B40" s="121" t="inlineStr">
        <is>
          <t>ပန်းတောင်း</t>
        </is>
      </c>
      <c r="C40" s="121" t="inlineStr">
        <is>
          <t>MMR008003</t>
        </is>
      </c>
      <c r="D40" s="121" t="inlineStr">
        <is>
          <t>Pyay</t>
        </is>
      </c>
      <c r="E40" s="121" t="inlineStr">
        <is>
          <t>MMR008D001</t>
        </is>
      </c>
      <c r="F40" s="121" t="inlineStr">
        <is>
          <t>Bago</t>
        </is>
      </c>
      <c r="G40" s="121" t="inlineStr">
        <is>
          <t>MMR111</t>
        </is>
      </c>
      <c r="H40" s="121" t="inlineStr">
        <is>
          <t>Myanmar</t>
        </is>
      </c>
      <c r="I40" s="121" t="inlineStr">
        <is>
          <t>MMR</t>
        </is>
      </c>
      <c r="J40" s="121" t="n">
        <v>104</v>
      </c>
    </row>
    <row r="41">
      <c r="A41" s="121" t="inlineStr">
        <is>
          <t>Dagon Myothit (North)</t>
        </is>
      </c>
      <c r="B41" s="121" t="inlineStr">
        <is>
          <t>ဒဂုံမြို့သစ် (မြောက်ပိုင်း)</t>
        </is>
      </c>
      <c r="C41" s="121" t="inlineStr">
        <is>
          <t>MMR013019</t>
        </is>
      </c>
      <c r="D41" s="121" t="inlineStr">
        <is>
          <t>Yangon (East)</t>
        </is>
      </c>
      <c r="E41" s="121" t="inlineStr">
        <is>
          <t>MMR013D002</t>
        </is>
      </c>
      <c r="F41" s="121" t="inlineStr">
        <is>
          <t>Yangon</t>
        </is>
      </c>
      <c r="G41" s="121" t="inlineStr">
        <is>
          <t>MMR013</t>
        </is>
      </c>
      <c r="H41" s="121" t="inlineStr">
        <is>
          <t>Myanmar</t>
        </is>
      </c>
      <c r="I41" s="121" t="inlineStr">
        <is>
          <t>MMR</t>
        </is>
      </c>
      <c r="J41" s="121" t="n">
        <v>104</v>
      </c>
    </row>
    <row r="42">
      <c r="A42" s="121" t="inlineStr">
        <is>
          <t>Twantay</t>
        </is>
      </c>
      <c r="B42" s="121" t="inlineStr">
        <is>
          <t>တွံတေး</t>
        </is>
      </c>
      <c r="C42" s="121" t="inlineStr">
        <is>
          <t>MMR013027</t>
        </is>
      </c>
      <c r="D42" s="121" t="inlineStr">
        <is>
          <t>Yangon (South)</t>
        </is>
      </c>
      <c r="E42" s="121" t="inlineStr">
        <is>
          <t>MMR013D003</t>
        </is>
      </c>
      <c r="F42" s="121" t="inlineStr">
        <is>
          <t>Yangon</t>
        </is>
      </c>
      <c r="G42" s="121" t="inlineStr">
        <is>
          <t>MMR013</t>
        </is>
      </c>
      <c r="H42" s="121" t="inlineStr">
        <is>
          <t>Myanmar</t>
        </is>
      </c>
      <c r="I42" s="121" t="inlineStr">
        <is>
          <t>MMR</t>
        </is>
      </c>
      <c r="J42" s="121" t="n">
        <v>104</v>
      </c>
    </row>
    <row r="43">
      <c r="A43" s="121" t="inlineStr">
        <is>
          <t>Mayangone</t>
        </is>
      </c>
      <c r="B43" s="121" t="inlineStr">
        <is>
          <t>မရမ်းကုန်း</t>
        </is>
      </c>
      <c r="C43" s="121" t="inlineStr">
        <is>
          <t>MMR013042</t>
        </is>
      </c>
      <c r="D43" s="121" t="inlineStr">
        <is>
          <t>Yangon (West)</t>
        </is>
      </c>
      <c r="E43" s="121" t="inlineStr">
        <is>
          <t>MMR013D004</t>
        </is>
      </c>
      <c r="F43" s="121" t="inlineStr">
        <is>
          <t>Yangon</t>
        </is>
      </c>
      <c r="G43" s="121" t="inlineStr">
        <is>
          <t>MMR013</t>
        </is>
      </c>
      <c r="H43" s="121" t="inlineStr">
        <is>
          <t>Myanmar</t>
        </is>
      </c>
      <c r="I43" s="121" t="inlineStr">
        <is>
          <t>MMR</t>
        </is>
      </c>
      <c r="J43" s="121" t="n">
        <v>104</v>
      </c>
    </row>
    <row r="44">
      <c r="A44" s="121" t="inlineStr">
        <is>
          <t>Dagon Myothit (Seikkan)</t>
        </is>
      </c>
      <c r="B44" s="121" t="inlineStr">
        <is>
          <t>ဒဂုံမြို့သစ် (ဆိပ်ကမ်း)</t>
        </is>
      </c>
      <c r="C44" s="121" t="inlineStr">
        <is>
          <t>MMR013021</t>
        </is>
      </c>
      <c r="D44" s="121" t="inlineStr">
        <is>
          <t>Yangon (East)</t>
        </is>
      </c>
      <c r="E44" s="121" t="inlineStr">
        <is>
          <t>MMR013D002</t>
        </is>
      </c>
      <c r="F44" s="121" t="inlineStr">
        <is>
          <t>Yangon</t>
        </is>
      </c>
      <c r="G44" s="121" t="inlineStr">
        <is>
          <t>MMR013</t>
        </is>
      </c>
      <c r="H44" s="121" t="inlineStr">
        <is>
          <t>Myanmar</t>
        </is>
      </c>
      <c r="I44" s="121" t="inlineStr">
        <is>
          <t>MMR</t>
        </is>
      </c>
      <c r="J44" s="121" t="n">
        <v>104</v>
      </c>
    </row>
    <row r="45">
      <c r="A45" s="121" t="inlineStr">
        <is>
          <t>Latha</t>
        </is>
      </c>
      <c r="B45" s="121" t="inlineStr">
        <is>
          <t>လသာ</t>
        </is>
      </c>
      <c r="C45" s="121" t="inlineStr">
        <is>
          <t>MMR013036</t>
        </is>
      </c>
      <c r="D45" s="121" t="inlineStr">
        <is>
          <t>Yangon (West)</t>
        </is>
      </c>
      <c r="E45" s="121" t="inlineStr">
        <is>
          <t>MMR013D004</t>
        </is>
      </c>
      <c r="F45" s="121" t="inlineStr">
        <is>
          <t>Yangon</t>
        </is>
      </c>
      <c r="G45" s="121" t="inlineStr">
        <is>
          <t>MMR013</t>
        </is>
      </c>
      <c r="H45" s="121" t="inlineStr">
        <is>
          <t>Myanmar</t>
        </is>
      </c>
      <c r="I45" s="121" t="inlineStr">
        <is>
          <t>MMR</t>
        </is>
      </c>
      <c r="J45" s="121" t="n">
        <v>104</v>
      </c>
    </row>
    <row r="46">
      <c r="A46" s="121" t="inlineStr">
        <is>
          <t>Dawbon</t>
        </is>
      </c>
      <c r="B46" s="121" t="inlineStr">
        <is>
          <t>ဒေါပုံ</t>
        </is>
      </c>
      <c r="C46" s="121" t="inlineStr">
        <is>
          <t>MMR013014</t>
        </is>
      </c>
      <c r="D46" s="121" t="inlineStr">
        <is>
          <t>Yangon (East)</t>
        </is>
      </c>
      <c r="E46" s="121" t="inlineStr">
        <is>
          <t>MMR013D002</t>
        </is>
      </c>
      <c r="F46" s="121" t="inlineStr">
        <is>
          <t>Yangon</t>
        </is>
      </c>
      <c r="G46" s="121" t="inlineStr">
        <is>
          <t>MMR013</t>
        </is>
      </c>
      <c r="H46" s="121" t="inlineStr">
        <is>
          <t>Myanmar</t>
        </is>
      </c>
      <c r="I46" s="121" t="inlineStr">
        <is>
          <t>MMR</t>
        </is>
      </c>
      <c r="J46" s="121" t="n">
        <v>104</v>
      </c>
    </row>
    <row r="47">
      <c r="A47" s="121" t="inlineStr">
        <is>
          <t>Ahlone</t>
        </is>
      </c>
      <c r="B47" s="121" t="inlineStr">
        <is>
          <t>အလုံ</t>
        </is>
      </c>
      <c r="C47" s="121" t="inlineStr">
        <is>
          <t>MMR013037</t>
        </is>
      </c>
      <c r="D47" s="121" t="inlineStr">
        <is>
          <t>Yangon (West)</t>
        </is>
      </c>
      <c r="E47" s="121" t="inlineStr">
        <is>
          <t>MMR013D004</t>
        </is>
      </c>
      <c r="F47" s="121" t="inlineStr">
        <is>
          <t>Yangon</t>
        </is>
      </c>
      <c r="G47" s="121" t="inlineStr">
        <is>
          <t>MMR013</t>
        </is>
      </c>
      <c r="H47" s="121" t="inlineStr">
        <is>
          <t>Myanmar</t>
        </is>
      </c>
      <c r="I47" s="121" t="inlineStr">
        <is>
          <t>MMR</t>
        </is>
      </c>
      <c r="J47" s="121" t="n">
        <v>104</v>
      </c>
    </row>
    <row r="48">
      <c r="A48" s="121" t="inlineStr">
        <is>
          <t>Mingaladon</t>
        </is>
      </c>
      <c r="B48" s="121" t="inlineStr">
        <is>
          <t>မင်္ဂလာဒုံ</t>
        </is>
      </c>
      <c r="C48" s="121" t="inlineStr">
        <is>
          <t>MMR013002</t>
        </is>
      </c>
      <c r="D48" s="121" t="inlineStr">
        <is>
          <t>Yangon (North)</t>
        </is>
      </c>
      <c r="E48" s="121" t="inlineStr">
        <is>
          <t>MMR013D001</t>
        </is>
      </c>
      <c r="F48" s="121" t="inlineStr">
        <is>
          <t>Yangon</t>
        </is>
      </c>
      <c r="G48" s="121" t="inlineStr">
        <is>
          <t>MMR013</t>
        </is>
      </c>
      <c r="H48" s="121" t="inlineStr">
        <is>
          <t>Myanmar</t>
        </is>
      </c>
      <c r="I48" s="121" t="inlineStr">
        <is>
          <t>MMR</t>
        </is>
      </c>
      <c r="J48" s="121" t="n">
        <v>104</v>
      </c>
    </row>
    <row r="49">
      <c r="A49" s="121" t="inlineStr">
        <is>
          <t>Shwepyithar</t>
        </is>
      </c>
      <c r="B49" s="121" t="inlineStr">
        <is>
          <t>ရွှေပြည်သာ</t>
        </is>
      </c>
      <c r="C49" s="121" t="inlineStr">
        <is>
          <t>MMR013007</t>
        </is>
      </c>
      <c r="D49" s="121" t="inlineStr">
        <is>
          <t>Yangon (North)</t>
        </is>
      </c>
      <c r="E49" s="121" t="inlineStr">
        <is>
          <t>MMR013D001</t>
        </is>
      </c>
      <c r="F49" s="121" t="inlineStr">
        <is>
          <t>Yangon</t>
        </is>
      </c>
      <c r="G49" s="121" t="inlineStr">
        <is>
          <t>MMR013</t>
        </is>
      </c>
      <c r="H49" s="121" t="inlineStr">
        <is>
          <t>Myanmar</t>
        </is>
      </c>
      <c r="I49" s="121" t="inlineStr">
        <is>
          <t>MMR</t>
        </is>
      </c>
      <c r="J49" s="121" t="n">
        <v>104</v>
      </c>
    </row>
    <row r="50">
      <c r="A50" s="121" t="inlineStr">
        <is>
          <t>Yankin</t>
        </is>
      </c>
      <c r="B50" s="121" t="inlineStr">
        <is>
          <t>ရန်ကင်း</t>
        </is>
      </c>
      <c r="C50" s="121" t="inlineStr">
        <is>
          <t>MMR013010</t>
        </is>
      </c>
      <c r="D50" s="121" t="inlineStr">
        <is>
          <t>Yangon (East)</t>
        </is>
      </c>
      <c r="E50" s="121" t="inlineStr">
        <is>
          <t>MMR013D002</t>
        </is>
      </c>
      <c r="F50" s="121" t="inlineStr">
        <is>
          <t>Yangon</t>
        </is>
      </c>
      <c r="G50" s="121" t="inlineStr">
        <is>
          <t>MMR013</t>
        </is>
      </c>
      <c r="H50" s="121" t="inlineStr">
        <is>
          <t>Myanmar</t>
        </is>
      </c>
      <c r="I50" s="121" t="inlineStr">
        <is>
          <t>MMR</t>
        </is>
      </c>
      <c r="J50" s="121" t="n">
        <v>104</v>
      </c>
    </row>
    <row r="51">
      <c r="A51" s="121" t="inlineStr">
        <is>
          <t>Kyaunggon</t>
        </is>
      </c>
      <c r="B51" s="121" t="inlineStr">
        <is>
          <t>ကျောင်းကုန်း</t>
        </is>
      </c>
      <c r="C51" s="121" t="inlineStr">
        <is>
          <t>MMR017007</t>
        </is>
      </c>
      <c r="D51" s="121" t="inlineStr">
        <is>
          <t>Pathein</t>
        </is>
      </c>
      <c r="E51" s="121" t="inlineStr">
        <is>
          <t>MMR017D001</t>
        </is>
      </c>
      <c r="F51" s="121" t="inlineStr">
        <is>
          <t>Ayeyarwady</t>
        </is>
      </c>
      <c r="G51" s="121" t="inlineStr">
        <is>
          <t>MMR017</t>
        </is>
      </c>
      <c r="H51" s="121" t="inlineStr">
        <is>
          <t>Myanmar</t>
        </is>
      </c>
      <c r="I51" s="121" t="inlineStr">
        <is>
          <t>MMR</t>
        </is>
      </c>
      <c r="J51" s="121" t="n">
        <v>104</v>
      </c>
    </row>
    <row r="52">
      <c r="A52" s="121" t="inlineStr">
        <is>
          <t>Kyeemyindaing</t>
        </is>
      </c>
      <c r="B52" s="121" t="inlineStr">
        <is>
          <t>ကြည့်မြင်တိုင်</t>
        </is>
      </c>
      <c r="C52" s="121" t="inlineStr">
        <is>
          <t>MMR013038</t>
        </is>
      </c>
      <c r="D52" s="121" t="inlineStr">
        <is>
          <t>Yangon (West)</t>
        </is>
      </c>
      <c r="E52" s="121" t="inlineStr">
        <is>
          <t>MMR013D004</t>
        </is>
      </c>
      <c r="F52" s="121" t="inlineStr">
        <is>
          <t>Yangon</t>
        </is>
      </c>
      <c r="G52" s="121" t="inlineStr">
        <is>
          <t>MMR013</t>
        </is>
      </c>
      <c r="H52" s="121" t="inlineStr">
        <is>
          <t>Myanmar</t>
        </is>
      </c>
      <c r="I52" s="121" t="inlineStr">
        <is>
          <t>MMR</t>
        </is>
      </c>
      <c r="J52" s="121" t="n">
        <v>104</v>
      </c>
    </row>
    <row r="53">
      <c r="A53" s="121" t="inlineStr">
        <is>
          <t>Letpadan</t>
        </is>
      </c>
      <c r="B53" s="121" t="inlineStr">
        <is>
          <t>လက်ပံတန်း</t>
        </is>
      </c>
      <c r="C53" s="121" t="inlineStr">
        <is>
          <t>MMR008008</t>
        </is>
      </c>
      <c r="D53" s="121" t="inlineStr">
        <is>
          <t>Thayarwady</t>
        </is>
      </c>
      <c r="E53" s="121" t="inlineStr">
        <is>
          <t>MMR008D002</t>
        </is>
      </c>
      <c r="F53" s="121" t="inlineStr">
        <is>
          <t>Bago</t>
        </is>
      </c>
      <c r="G53" s="121" t="inlineStr">
        <is>
          <t>MMR111</t>
        </is>
      </c>
      <c r="H53" s="121" t="inlineStr">
        <is>
          <t>Myanmar</t>
        </is>
      </c>
      <c r="I53" s="121" t="inlineStr">
        <is>
          <t>MMR</t>
        </is>
      </c>
      <c r="J53" s="121" t="n">
        <v>104</v>
      </c>
    </row>
    <row r="54">
      <c r="A54" s="121" t="inlineStr">
        <is>
          <t>Ingapu</t>
        </is>
      </c>
      <c r="B54" s="121" t="inlineStr">
        <is>
          <t>အင်္ဂပူ</t>
        </is>
      </c>
      <c r="C54" s="121" t="inlineStr">
        <is>
          <t>MMR017013</t>
        </is>
      </c>
      <c r="D54" s="121" t="inlineStr">
        <is>
          <t>Hinthada</t>
        </is>
      </c>
      <c r="E54" s="121" t="inlineStr">
        <is>
          <t>MMR017D002</t>
        </is>
      </c>
      <c r="F54" s="121" t="inlineStr">
        <is>
          <t>Ayeyarwady</t>
        </is>
      </c>
      <c r="G54" s="121" t="inlineStr">
        <is>
          <t>MMR017</t>
        </is>
      </c>
      <c r="H54" s="121" t="inlineStr">
        <is>
          <t>Myanmar</t>
        </is>
      </c>
      <c r="I54" s="121" t="inlineStr">
        <is>
          <t>MMR</t>
        </is>
      </c>
      <c r="J54" s="121" t="n">
        <v>104</v>
      </c>
    </row>
    <row r="55">
      <c r="A55" s="121" t="inlineStr">
        <is>
          <t>Tamwe</t>
        </is>
      </c>
      <c r="B55" s="121" t="inlineStr">
        <is>
          <t>တာမွေ</t>
        </is>
      </c>
      <c r="C55" s="121" t="inlineStr">
        <is>
          <t>MMR013015</t>
        </is>
      </c>
      <c r="D55" s="121" t="inlineStr">
        <is>
          <t>Yangon (East)</t>
        </is>
      </c>
      <c r="E55" s="121" t="inlineStr">
        <is>
          <t>MMR013D002</t>
        </is>
      </c>
      <c r="F55" s="121" t="inlineStr">
        <is>
          <t>Yangon</t>
        </is>
      </c>
      <c r="G55" s="121" t="inlineStr">
        <is>
          <t>MMR013</t>
        </is>
      </c>
      <c r="H55" s="121" t="inlineStr">
        <is>
          <t>Myanmar</t>
        </is>
      </c>
      <c r="I55" s="121" t="inlineStr">
        <is>
          <t>MMR</t>
        </is>
      </c>
      <c r="J55" s="121" t="n">
        <v>104</v>
      </c>
    </row>
    <row r="56">
      <c r="A56" s="121" t="inlineStr">
        <is>
          <t>Bahan</t>
        </is>
      </c>
      <c r="B56" s="121" t="inlineStr">
        <is>
          <t>ဗဟန်း</t>
        </is>
      </c>
      <c r="C56" s="121" t="inlineStr">
        <is>
          <t>MMR013044</t>
        </is>
      </c>
      <c r="D56" s="121" t="inlineStr">
        <is>
          <t>Yangon (West)</t>
        </is>
      </c>
      <c r="E56" s="121" t="inlineStr">
        <is>
          <t>MMR013D004</t>
        </is>
      </c>
      <c r="F56" s="121" t="inlineStr">
        <is>
          <t>Yangon</t>
        </is>
      </c>
      <c r="G56" s="121" t="inlineStr">
        <is>
          <t>MMR013</t>
        </is>
      </c>
      <c r="H56" s="121" t="inlineStr">
        <is>
          <t>Myanmar</t>
        </is>
      </c>
      <c r="I56" s="121" t="inlineStr">
        <is>
          <t>MMR</t>
        </is>
      </c>
      <c r="J56" s="121" t="n">
        <v>104</v>
      </c>
    </row>
    <row r="57">
      <c r="A57" s="121" t="inlineStr">
        <is>
          <t>Kamaryut</t>
        </is>
      </c>
      <c r="B57" s="121" t="inlineStr">
        <is>
          <t>ကမာရွတ်</t>
        </is>
      </c>
      <c r="C57" s="121" t="inlineStr">
        <is>
          <t>MMR013041</t>
        </is>
      </c>
      <c r="D57" s="121" t="inlineStr">
        <is>
          <t>Yangon (West)</t>
        </is>
      </c>
      <c r="E57" s="121" t="inlineStr">
        <is>
          <t>MMR013D004</t>
        </is>
      </c>
      <c r="F57" s="121" t="inlineStr">
        <is>
          <t>Yangon</t>
        </is>
      </c>
      <c r="G57" s="121" t="inlineStr">
        <is>
          <t>MMR013</t>
        </is>
      </c>
      <c r="H57" s="121" t="inlineStr">
        <is>
          <t>Myanmar</t>
        </is>
      </c>
      <c r="I57" s="121" t="inlineStr">
        <is>
          <t>MMR</t>
        </is>
      </c>
      <c r="J57" s="121" t="n">
        <v>104</v>
      </c>
    </row>
    <row r="58">
      <c r="A58" s="121" t="inlineStr">
        <is>
          <t>Pantanaw</t>
        </is>
      </c>
      <c r="B58" s="121" t="inlineStr">
        <is>
          <t>ပန်းတနော်</t>
        </is>
      </c>
      <c r="C58" s="121" t="inlineStr">
        <is>
          <t>MMR017020</t>
        </is>
      </c>
      <c r="D58" s="121" t="inlineStr">
        <is>
          <t>Maubin</t>
        </is>
      </c>
      <c r="E58" s="121" t="inlineStr">
        <is>
          <t>MMR017D005</t>
        </is>
      </c>
      <c r="F58" s="121" t="inlineStr">
        <is>
          <t>Ayeyarwady</t>
        </is>
      </c>
      <c r="G58" s="121" t="inlineStr">
        <is>
          <t>MMR017</t>
        </is>
      </c>
      <c r="H58" s="121" t="inlineStr">
        <is>
          <t>Myanmar</t>
        </is>
      </c>
      <c r="I58" s="121" t="inlineStr">
        <is>
          <t>MMR</t>
        </is>
      </c>
      <c r="J58" s="121" t="n">
        <v>104</v>
      </c>
    </row>
    <row r="59">
      <c r="A59" s="121" t="inlineStr">
        <is>
          <t>Thaketa</t>
        </is>
      </c>
      <c r="B59" s="121" t="inlineStr">
        <is>
          <t>သာကေတ</t>
        </is>
      </c>
      <c r="C59" s="121" t="inlineStr">
        <is>
          <t>MMR013013</t>
        </is>
      </c>
      <c r="D59" s="121" t="inlineStr">
        <is>
          <t>Yangon (East)</t>
        </is>
      </c>
      <c r="E59" s="121" t="inlineStr">
        <is>
          <t>MMR013D002</t>
        </is>
      </c>
      <c r="F59" s="121" t="inlineStr">
        <is>
          <t>Yangon</t>
        </is>
      </c>
      <c r="G59" s="121" t="inlineStr">
        <is>
          <t>MMR013</t>
        </is>
      </c>
      <c r="H59" s="121" t="inlineStr">
        <is>
          <t>Myanmar</t>
        </is>
      </c>
      <c r="I59" s="121" t="inlineStr">
        <is>
          <t>MMR</t>
        </is>
      </c>
      <c r="J59" s="121" t="n">
        <v>104</v>
      </c>
    </row>
    <row r="60">
      <c r="A60" s="121" t="inlineStr">
        <is>
          <t>Pabedan</t>
        </is>
      </c>
      <c r="B60" s="121" t="inlineStr">
        <is>
          <t>ပန်းဘဲတန်း</t>
        </is>
      </c>
      <c r="C60" s="121" t="inlineStr">
        <is>
          <t>MMR013034</t>
        </is>
      </c>
      <c r="D60" s="121" t="inlineStr">
        <is>
          <t>Yangon (West)</t>
        </is>
      </c>
      <c r="E60" s="121" t="inlineStr">
        <is>
          <t>MMR013D004</t>
        </is>
      </c>
      <c r="F60" s="121" t="inlineStr">
        <is>
          <t>Yangon</t>
        </is>
      </c>
      <c r="G60" s="121" t="inlineStr">
        <is>
          <t>MMR013</t>
        </is>
      </c>
      <c r="H60" s="121" t="inlineStr">
        <is>
          <t>Myanmar</t>
        </is>
      </c>
      <c r="I60" s="121" t="inlineStr">
        <is>
          <t>MMR</t>
        </is>
      </c>
      <c r="J60" s="121" t="n">
        <v>104</v>
      </c>
    </row>
    <row r="61">
      <c r="A61" s="121" t="inlineStr">
        <is>
          <t>Kyauktada</t>
        </is>
      </c>
      <c r="B61" s="121" t="inlineStr">
        <is>
          <t>ကျောက်တံတား</t>
        </is>
      </c>
      <c r="C61" s="121" t="inlineStr">
        <is>
          <t>MMR013033</t>
        </is>
      </c>
      <c r="D61" s="121" t="inlineStr">
        <is>
          <t>Yangon (West)</t>
        </is>
      </c>
      <c r="E61" s="121" t="inlineStr">
        <is>
          <t>MMR013D004</t>
        </is>
      </c>
      <c r="F61" s="121" t="inlineStr">
        <is>
          <t>Yangon</t>
        </is>
      </c>
      <c r="G61" s="121" t="inlineStr">
        <is>
          <t>MMR013</t>
        </is>
      </c>
      <c r="H61" s="121" t="inlineStr">
        <is>
          <t>Myanmar</t>
        </is>
      </c>
      <c r="I61" s="121" t="inlineStr">
        <is>
          <t>MMR</t>
        </is>
      </c>
      <c r="J61" s="121" t="n">
        <v>104</v>
      </c>
    </row>
    <row r="62">
      <c r="A62" s="121" t="inlineStr">
        <is>
          <t>Kyangin</t>
        </is>
      </c>
      <c r="B62" s="121" t="inlineStr">
        <is>
          <t>ကြံခင်း</t>
        </is>
      </c>
      <c r="C62" s="121" t="inlineStr">
        <is>
          <t>MMR017012</t>
        </is>
      </c>
      <c r="D62" s="121" t="inlineStr">
        <is>
          <t>Hinthada</t>
        </is>
      </c>
      <c r="E62" s="121" t="inlineStr">
        <is>
          <t>MMR017D002</t>
        </is>
      </c>
      <c r="F62" s="121" t="inlineStr">
        <is>
          <t>Ayeyarwady</t>
        </is>
      </c>
      <c r="G62" s="121" t="inlineStr">
        <is>
          <t>MMR017</t>
        </is>
      </c>
      <c r="H62" s="121" t="inlineStr">
        <is>
          <t>Myanmar</t>
        </is>
      </c>
      <c r="I62" s="121" t="inlineStr">
        <is>
          <t>MMR</t>
        </is>
      </c>
      <c r="J62" s="121" t="n">
        <v>104</v>
      </c>
    </row>
    <row r="63">
      <c r="A63" s="121" t="inlineStr">
        <is>
          <t>Monyo</t>
        </is>
      </c>
      <c r="B63" s="121" t="inlineStr">
        <is>
          <t>မိုးညို</t>
        </is>
      </c>
      <c r="C63" s="121" t="inlineStr">
        <is>
          <t>MMR008013</t>
        </is>
      </c>
      <c r="D63" s="121" t="inlineStr">
        <is>
          <t>Thayarwady</t>
        </is>
      </c>
      <c r="E63" s="121" t="inlineStr">
        <is>
          <t>MMR008D002</t>
        </is>
      </c>
      <c r="F63" s="121" t="inlineStr">
        <is>
          <t>Bago</t>
        </is>
      </c>
      <c r="G63" s="121" t="inlineStr">
        <is>
          <t>MMR111</t>
        </is>
      </c>
      <c r="H63" s="121" t="inlineStr">
        <is>
          <t>Myanmar</t>
        </is>
      </c>
      <c r="I63" s="121" t="inlineStr">
        <is>
          <t>MMR</t>
        </is>
      </c>
      <c r="J63" s="121" t="n">
        <v>104</v>
      </c>
    </row>
    <row r="64">
      <c r="A64" s="121" t="inlineStr">
        <is>
          <t>Dagon</t>
        </is>
      </c>
      <c r="B64" s="121" t="inlineStr">
        <is>
          <t>ဒဂုံ</t>
        </is>
      </c>
      <c r="C64" s="121" t="inlineStr">
        <is>
          <t>MMR013043</t>
        </is>
      </c>
      <c r="D64" s="121" t="inlineStr">
        <is>
          <t>Yangon (West)</t>
        </is>
      </c>
      <c r="E64" s="121" t="inlineStr">
        <is>
          <t>MMR013D004</t>
        </is>
      </c>
      <c r="F64" s="121" t="inlineStr">
        <is>
          <t>Yangon</t>
        </is>
      </c>
      <c r="G64" s="121" t="inlineStr">
        <is>
          <t>MMR013</t>
        </is>
      </c>
      <c r="H64" s="121" t="inlineStr">
        <is>
          <t>Myanmar</t>
        </is>
      </c>
      <c r="I64" s="121" t="inlineStr">
        <is>
          <t>MMR</t>
        </is>
      </c>
      <c r="J64" s="121" t="n">
        <v>104</v>
      </c>
    </row>
    <row r="65">
      <c r="A65" s="121" t="inlineStr">
        <is>
          <t>Sanchaung</t>
        </is>
      </c>
      <c r="B65" s="121" t="inlineStr">
        <is>
          <t>စမ်းချောင်း</t>
        </is>
      </c>
      <c r="C65" s="121" t="inlineStr">
        <is>
          <t>MMR013039</t>
        </is>
      </c>
      <c r="D65" s="121" t="inlineStr">
        <is>
          <t>Yangon (West)</t>
        </is>
      </c>
      <c r="E65" s="121" t="inlineStr">
        <is>
          <t>MMR013D004</t>
        </is>
      </c>
      <c r="F65" s="121" t="inlineStr">
        <is>
          <t>Yangon</t>
        </is>
      </c>
      <c r="G65" s="121" t="inlineStr">
        <is>
          <t>MMR013</t>
        </is>
      </c>
      <c r="H65" s="121" t="inlineStr">
        <is>
          <t>Myanmar</t>
        </is>
      </c>
      <c r="I65" s="121" t="inlineStr">
        <is>
          <t>MMR</t>
        </is>
      </c>
      <c r="J65" s="121" t="n">
        <v>104</v>
      </c>
    </row>
    <row r="66">
      <c r="A66" s="121" t="inlineStr">
        <is>
          <t>Hinthada</t>
        </is>
      </c>
      <c r="B66" s="121" t="inlineStr">
        <is>
          <t>ဟင်္သာတ</t>
        </is>
      </c>
      <c r="C66" s="121" t="inlineStr">
        <is>
          <t>MMR017008</t>
        </is>
      </c>
      <c r="D66" s="121" t="inlineStr">
        <is>
          <t>Hinthada</t>
        </is>
      </c>
      <c r="E66" s="121" t="inlineStr">
        <is>
          <t>MMR017D002</t>
        </is>
      </c>
      <c r="F66" s="121" t="inlineStr">
        <is>
          <t>Ayeyarwady</t>
        </is>
      </c>
      <c r="G66" s="121" t="inlineStr">
        <is>
          <t>MMR017</t>
        </is>
      </c>
      <c r="H66" s="121" t="inlineStr">
        <is>
          <t>Myanmar</t>
        </is>
      </c>
      <c r="I66" s="121" t="inlineStr">
        <is>
          <t>MMR</t>
        </is>
      </c>
      <c r="J66" s="121" t="n">
        <v>104</v>
      </c>
    </row>
    <row r="67">
      <c r="A67" s="121" t="inlineStr">
        <is>
          <t>Danubyu</t>
        </is>
      </c>
      <c r="B67" s="121" t="inlineStr">
        <is>
          <t>ဓနုဖြူ</t>
        </is>
      </c>
      <c r="C67" s="121" t="inlineStr">
        <is>
          <t>MMR017022</t>
        </is>
      </c>
      <c r="D67" s="121" t="inlineStr">
        <is>
          <t>Maubin</t>
        </is>
      </c>
      <c r="E67" s="121" t="inlineStr">
        <is>
          <t>MMR017D005</t>
        </is>
      </c>
      <c r="F67" s="121" t="inlineStr">
        <is>
          <t>Ayeyarwady</t>
        </is>
      </c>
      <c r="G67" s="121" t="inlineStr">
        <is>
          <t>MMR017</t>
        </is>
      </c>
      <c r="H67" s="121" t="inlineStr">
        <is>
          <t>Myanmar</t>
        </is>
      </c>
      <c r="I67" s="121" t="inlineStr">
        <is>
          <t>MMR</t>
        </is>
      </c>
      <c r="J67" s="121" t="n">
        <v>104</v>
      </c>
    </row>
    <row r="68">
      <c r="A68" s="121" t="inlineStr">
        <is>
          <t>Hlaing</t>
        </is>
      </c>
      <c r="B68" s="121" t="inlineStr">
        <is>
          <t>လှိုင်</t>
        </is>
      </c>
      <c r="C68" s="121" t="inlineStr">
        <is>
          <t>MMR013040</t>
        </is>
      </c>
      <c r="D68" s="121" t="inlineStr">
        <is>
          <t>Yangon (West)</t>
        </is>
      </c>
      <c r="E68" s="121" t="inlineStr">
        <is>
          <t>MMR013D004</t>
        </is>
      </c>
      <c r="F68" s="121" t="inlineStr">
        <is>
          <t>Yangon</t>
        </is>
      </c>
      <c r="G68" s="121" t="inlineStr">
        <is>
          <t>MMR013</t>
        </is>
      </c>
      <c r="H68" s="121" t="inlineStr">
        <is>
          <t>Myanmar</t>
        </is>
      </c>
      <c r="I68" s="121" t="inlineStr">
        <is>
          <t>MMR</t>
        </is>
      </c>
      <c r="J68" s="121" t="n">
        <v>104</v>
      </c>
    </row>
    <row r="69">
      <c r="A69" s="121" t="inlineStr">
        <is>
          <t>Dala</t>
        </is>
      </c>
      <c r="B69" s="121" t="inlineStr">
        <is>
          <t>ဒလ</t>
        </is>
      </c>
      <c r="C69" s="121" t="inlineStr">
        <is>
          <t>MMR013030</t>
        </is>
      </c>
      <c r="D69" s="121" t="inlineStr">
        <is>
          <t>Yangon (South)</t>
        </is>
      </c>
      <c r="E69" s="121" t="inlineStr">
        <is>
          <t>MMR013D003</t>
        </is>
      </c>
      <c r="F69" s="121" t="inlineStr">
        <is>
          <t>Yangon</t>
        </is>
      </c>
      <c r="G69" s="121" t="inlineStr">
        <is>
          <t>MMR013</t>
        </is>
      </c>
      <c r="H69" s="121" t="inlineStr">
        <is>
          <t>Myanmar</t>
        </is>
      </c>
      <c r="I69" s="121" t="inlineStr">
        <is>
          <t>MMR</t>
        </is>
      </c>
      <c r="J69" s="121" t="n">
        <v>104</v>
      </c>
    </row>
    <row r="70">
      <c r="A70" s="121" t="inlineStr">
        <is>
          <t>Nattalin</t>
        </is>
      </c>
      <c r="B70" s="121" t="inlineStr">
        <is>
          <t>နတ်တလင်း</t>
        </is>
      </c>
      <c r="C70" s="121" t="inlineStr">
        <is>
          <t>MMR008012</t>
        </is>
      </c>
      <c r="D70" s="121" t="inlineStr">
        <is>
          <t>Thayarwady</t>
        </is>
      </c>
      <c r="E70" s="121" t="inlineStr">
        <is>
          <t>MMR008D002</t>
        </is>
      </c>
      <c r="F70" s="121" t="inlineStr">
        <is>
          <t>Bago</t>
        </is>
      </c>
      <c r="G70" s="121" t="inlineStr">
        <is>
          <t>MMR111</t>
        </is>
      </c>
      <c r="H70" s="121" t="inlineStr">
        <is>
          <t>Myanmar</t>
        </is>
      </c>
      <c r="I70" s="121" t="inlineStr">
        <is>
          <t>MMR</t>
        </is>
      </c>
      <c r="J70" s="121" t="n">
        <v>104</v>
      </c>
    </row>
    <row r="71">
      <c r="A71" s="121" t="inlineStr">
        <is>
          <t>Thegon</t>
        </is>
      </c>
      <c r="B71" s="121" t="inlineStr">
        <is>
          <t>သဲကုန်း</t>
        </is>
      </c>
      <c r="C71" s="121" t="inlineStr">
        <is>
          <t>MMR008005</t>
        </is>
      </c>
      <c r="D71" s="121" t="inlineStr">
        <is>
          <t>Pyay</t>
        </is>
      </c>
      <c r="E71" s="121" t="inlineStr">
        <is>
          <t>MMR008D001</t>
        </is>
      </c>
      <c r="F71" s="121" t="inlineStr">
        <is>
          <t>Bago</t>
        </is>
      </c>
      <c r="G71" s="121" t="inlineStr">
        <is>
          <t>MMR111</t>
        </is>
      </c>
      <c r="H71" s="121" t="inlineStr">
        <is>
          <t>Myanmar</t>
        </is>
      </c>
      <c r="I71" s="121" t="inlineStr">
        <is>
          <t>MMR</t>
        </is>
      </c>
      <c r="J71" s="121" t="n">
        <v>104</v>
      </c>
    </row>
    <row r="72">
      <c r="A72" s="121" t="inlineStr">
        <is>
          <t>Thanatpin</t>
        </is>
      </c>
      <c r="B72" s="121" t="inlineStr">
        <is>
          <t>သနပ်ပင်</t>
        </is>
      </c>
      <c r="C72" s="121" t="inlineStr">
        <is>
          <t>MMR007002</t>
        </is>
      </c>
      <c r="D72" s="121" t="inlineStr">
        <is>
          <t>Bago</t>
        </is>
      </c>
      <c r="E72" s="121" t="inlineStr">
        <is>
          <t>MMR007D001</t>
        </is>
      </c>
      <c r="F72" s="121" t="inlineStr">
        <is>
          <t>Bago</t>
        </is>
      </c>
      <c r="G72" s="121" t="inlineStr">
        <is>
          <t>MMR111</t>
        </is>
      </c>
      <c r="H72" s="121" t="inlineStr">
        <is>
          <t>Myanmar</t>
        </is>
      </c>
      <c r="I72" s="121" t="inlineStr">
        <is>
          <t>MMR</t>
        </is>
      </c>
      <c r="J72" s="121" t="n">
        <v>104</v>
      </c>
    </row>
    <row r="73">
      <c r="A73" s="121" t="inlineStr">
        <is>
          <t>Kyaikto</t>
        </is>
      </c>
      <c r="B73" s="121" t="inlineStr">
        <is>
          <t>ကျိုက်ထို</t>
        </is>
      </c>
      <c r="C73" s="121" t="inlineStr">
        <is>
          <t>MMR011009</t>
        </is>
      </c>
      <c r="D73" s="121" t="inlineStr">
        <is>
          <t>Thaton</t>
        </is>
      </c>
      <c r="E73" s="121" t="inlineStr">
        <is>
          <t>MMR011D002</t>
        </is>
      </c>
      <c r="F73" s="121" t="inlineStr">
        <is>
          <t>Mon</t>
        </is>
      </c>
      <c r="G73" s="121" t="inlineStr">
        <is>
          <t>MMR011</t>
        </is>
      </c>
      <c r="H73" s="121" t="inlineStr">
        <is>
          <t>Myanmar</t>
        </is>
      </c>
      <c r="I73" s="121" t="inlineStr">
        <is>
          <t>MMR</t>
        </is>
      </c>
      <c r="J73" s="121" t="n">
        <v>104</v>
      </c>
    </row>
    <row r="74">
      <c r="A74" s="121" t="inlineStr">
        <is>
          <t>Thayetchaung</t>
        </is>
      </c>
      <c r="B74" s="121" t="inlineStr">
        <is>
          <t>သရက်ချောင်း</t>
        </is>
      </c>
      <c r="C74" s="121" t="inlineStr">
        <is>
          <t>MMR006003</t>
        </is>
      </c>
      <c r="D74" s="121" t="inlineStr">
        <is>
          <t>Dawei</t>
        </is>
      </c>
      <c r="E74" s="121" t="inlineStr">
        <is>
          <t>MMR006D001</t>
        </is>
      </c>
      <c r="F74" s="121" t="inlineStr">
        <is>
          <t>Tanintharyi</t>
        </is>
      </c>
      <c r="G74" s="121" t="inlineStr">
        <is>
          <t>MMR006</t>
        </is>
      </c>
      <c r="H74" s="121" t="inlineStr">
        <is>
          <t>Myanmar</t>
        </is>
      </c>
      <c r="I74" s="121" t="inlineStr">
        <is>
          <t>MMR</t>
        </is>
      </c>
      <c r="J74" s="121" t="n">
        <v>104</v>
      </c>
    </row>
    <row r="75">
      <c r="A75" s="121" t="inlineStr">
        <is>
          <t>Hpapun</t>
        </is>
      </c>
      <c r="B75" s="121" t="inlineStr">
        <is>
          <t>ဖာပွန်</t>
        </is>
      </c>
      <c r="C75" s="121" t="inlineStr">
        <is>
          <t>MMR003003</t>
        </is>
      </c>
      <c r="D75" s="121" t="inlineStr">
        <is>
          <t>Hpapun</t>
        </is>
      </c>
      <c r="E75" s="121" t="inlineStr">
        <is>
          <t>MMR003D004</t>
        </is>
      </c>
      <c r="F75" s="121" t="inlineStr">
        <is>
          <t>Kayin</t>
        </is>
      </c>
      <c r="G75" s="121" t="inlineStr">
        <is>
          <t>MMR003</t>
        </is>
      </c>
      <c r="H75" s="121" t="inlineStr">
        <is>
          <t>Myanmar</t>
        </is>
      </c>
      <c r="I75" s="121" t="inlineStr">
        <is>
          <t>MMR</t>
        </is>
      </c>
      <c r="J75" s="121" t="n">
        <v>104</v>
      </c>
    </row>
    <row r="76">
      <c r="A76" s="121" t="inlineStr">
        <is>
          <t>Mese</t>
        </is>
      </c>
      <c r="B76" s="121" t="inlineStr">
        <is>
          <t>မယ်စဲ</t>
        </is>
      </c>
      <c r="C76" s="121" t="inlineStr">
        <is>
          <t>MMR002007</t>
        </is>
      </c>
      <c r="D76" s="121" t="inlineStr">
        <is>
          <t>Bawlake</t>
        </is>
      </c>
      <c r="E76" s="121" t="inlineStr">
        <is>
          <t>MMR002D002</t>
        </is>
      </c>
      <c r="F76" s="121" t="inlineStr">
        <is>
          <t>Kayah</t>
        </is>
      </c>
      <c r="G76" s="121" t="inlineStr">
        <is>
          <t>MMR002</t>
        </is>
      </c>
      <c r="H76" s="121" t="inlineStr">
        <is>
          <t>Myanmar</t>
        </is>
      </c>
      <c r="I76" s="121" t="inlineStr">
        <is>
          <t>MMR</t>
        </is>
      </c>
      <c r="J76" s="121" t="n">
        <v>104</v>
      </c>
    </row>
    <row r="77">
      <c r="A77" s="121" t="inlineStr">
        <is>
          <t>Patheingyi</t>
        </is>
      </c>
      <c r="B77" s="121" t="inlineStr">
        <is>
          <t>ပုသိမ်ကြီး</t>
        </is>
      </c>
      <c r="C77" s="121" t="inlineStr">
        <is>
          <t>MMR010007</t>
        </is>
      </c>
      <c r="D77" s="121" t="inlineStr">
        <is>
          <t>Mandalay</t>
        </is>
      </c>
      <c r="E77" s="121" t="inlineStr">
        <is>
          <t>MMR010D001</t>
        </is>
      </c>
      <c r="F77" s="121" t="inlineStr">
        <is>
          <t>Mandalay</t>
        </is>
      </c>
      <c r="G77" s="121" t="inlineStr">
        <is>
          <t>MMR010</t>
        </is>
      </c>
      <c r="H77" s="121" t="inlineStr">
        <is>
          <t>Myanmar</t>
        </is>
      </c>
      <c r="I77" s="121" t="inlineStr">
        <is>
          <t>MMR</t>
        </is>
      </c>
      <c r="J77" s="121" t="n">
        <v>104</v>
      </c>
    </row>
    <row r="78">
      <c r="A78" s="121" t="inlineStr">
        <is>
          <t>Minbya</t>
        </is>
      </c>
      <c r="B78" s="121" t="inlineStr">
        <is>
          <t>မင်းပြား</t>
        </is>
      </c>
      <c r="C78" s="121" t="inlineStr">
        <is>
          <t>MMR012005</t>
        </is>
      </c>
      <c r="D78" s="121" t="inlineStr">
        <is>
          <t>Mrauk-U</t>
        </is>
      </c>
      <c r="E78" s="121" t="inlineStr">
        <is>
          <t>MMR012D005</t>
        </is>
      </c>
      <c r="F78" s="121" t="inlineStr">
        <is>
          <t>Rakhine</t>
        </is>
      </c>
      <c r="G78" s="121" t="inlineStr">
        <is>
          <t>MMR012</t>
        </is>
      </c>
      <c r="H78" s="121" t="inlineStr">
        <is>
          <t>Myanmar</t>
        </is>
      </c>
      <c r="I78" s="121" t="inlineStr">
        <is>
          <t>MMR</t>
        </is>
      </c>
      <c r="J78" s="121" t="n">
        <v>104</v>
      </c>
    </row>
    <row r="79">
      <c r="A79" s="121" t="inlineStr">
        <is>
          <t>Chanayethazan</t>
        </is>
      </c>
      <c r="B79" s="121" t="inlineStr">
        <is>
          <t>ချမ်းအေးသာစံ</t>
        </is>
      </c>
      <c r="C79" s="121" t="inlineStr">
        <is>
          <t>MMR010002</t>
        </is>
      </c>
      <c r="D79" s="121" t="inlineStr">
        <is>
          <t>Mandalay</t>
        </is>
      </c>
      <c r="E79" s="121" t="inlineStr">
        <is>
          <t>MMR010D001</t>
        </is>
      </c>
      <c r="F79" s="121" t="inlineStr">
        <is>
          <t>Mandalay</t>
        </is>
      </c>
      <c r="G79" s="121" t="inlineStr">
        <is>
          <t>MMR010</t>
        </is>
      </c>
      <c r="H79" s="121" t="inlineStr">
        <is>
          <t>Myanmar</t>
        </is>
      </c>
      <c r="I79" s="121" t="inlineStr">
        <is>
          <t>MMR</t>
        </is>
      </c>
      <c r="J79" s="121" t="n">
        <v>104</v>
      </c>
    </row>
    <row r="80">
      <c r="A80" s="121" t="inlineStr">
        <is>
          <t>Aungmyaythazan</t>
        </is>
      </c>
      <c r="B80" s="121" t="inlineStr">
        <is>
          <t>အောင်မြေသာစံ</t>
        </is>
      </c>
      <c r="C80" s="121" t="inlineStr">
        <is>
          <t>MMR010001</t>
        </is>
      </c>
      <c r="D80" s="121" t="inlineStr">
        <is>
          <t>Mandalay</t>
        </is>
      </c>
      <c r="E80" s="121" t="inlineStr">
        <is>
          <t>MMR010D001</t>
        </is>
      </c>
      <c r="F80" s="121" t="inlineStr">
        <is>
          <t>Mandalay</t>
        </is>
      </c>
      <c r="G80" s="121" t="inlineStr">
        <is>
          <t>MMR010</t>
        </is>
      </c>
      <c r="H80" s="121" t="inlineStr">
        <is>
          <t>Myanmar</t>
        </is>
      </c>
      <c r="I80" s="121" t="inlineStr">
        <is>
          <t>MMR</t>
        </is>
      </c>
      <c r="J80" s="121" t="n">
        <v>104</v>
      </c>
    </row>
    <row r="81">
      <c r="A81" s="121" t="inlineStr">
        <is>
          <t>Kalaw</t>
        </is>
      </c>
      <c r="B81" s="121" t="inlineStr">
        <is>
          <t>ကလော</t>
        </is>
      </c>
      <c r="C81" s="121" t="inlineStr">
        <is>
          <t>MMR014005</t>
        </is>
      </c>
      <c r="D81" s="121" t="inlineStr">
        <is>
          <t>Taunggyi</t>
        </is>
      </c>
      <c r="E81" s="121" t="inlineStr">
        <is>
          <t>MMR014D001</t>
        </is>
      </c>
      <c r="F81" s="121" t="inlineStr">
        <is>
          <t>Shan</t>
        </is>
      </c>
      <c r="G81" s="121" t="inlineStr">
        <is>
          <t>MMR222</t>
        </is>
      </c>
      <c r="H81" s="121" t="inlineStr">
        <is>
          <t>Myanmar</t>
        </is>
      </c>
      <c r="I81" s="121" t="inlineStr">
        <is>
          <t>MMR</t>
        </is>
      </c>
      <c r="J81" s="121" t="n">
        <v>104</v>
      </c>
    </row>
    <row r="82">
      <c r="A82" s="121" t="inlineStr">
        <is>
          <t>Yamethin</t>
        </is>
      </c>
      <c r="B82" s="121" t="inlineStr">
        <is>
          <t>ရမည်းသင်း</t>
        </is>
      </c>
      <c r="C82" s="121" t="inlineStr">
        <is>
          <t>MMR010023</t>
        </is>
      </c>
      <c r="D82" s="121" t="inlineStr">
        <is>
          <t>Yamethin</t>
        </is>
      </c>
      <c r="E82" s="121" t="inlineStr">
        <is>
          <t>MMR010D006</t>
        </is>
      </c>
      <c r="F82" s="121" t="inlineStr">
        <is>
          <t>Mandalay</t>
        </is>
      </c>
      <c r="G82" s="121" t="inlineStr">
        <is>
          <t>MMR010</t>
        </is>
      </c>
      <c r="H82" s="121" t="inlineStr">
        <is>
          <t>Myanmar</t>
        </is>
      </c>
      <c r="I82" s="121" t="inlineStr">
        <is>
          <t>MMR</t>
        </is>
      </c>
      <c r="J82" s="121" t="n">
        <v>104</v>
      </c>
    </row>
    <row r="83">
      <c r="A83" s="121" t="inlineStr">
        <is>
          <t>Madaya</t>
        </is>
      </c>
      <c r="B83" s="121" t="inlineStr">
        <is>
          <t>မတ္တရာ</t>
        </is>
      </c>
      <c r="C83" s="121" t="inlineStr">
        <is>
          <t>MMR010009</t>
        </is>
      </c>
      <c r="D83" s="121" t="inlineStr">
        <is>
          <t>Pyinoolwin</t>
        </is>
      </c>
      <c r="E83" s="121" t="inlineStr">
        <is>
          <t>MMR010D002</t>
        </is>
      </c>
      <c r="F83" s="121" t="inlineStr">
        <is>
          <t>Mandalay</t>
        </is>
      </c>
      <c r="G83" s="121" t="inlineStr">
        <is>
          <t>MMR010</t>
        </is>
      </c>
      <c r="H83" s="121" t="inlineStr">
        <is>
          <t>Myanmar</t>
        </is>
      </c>
      <c r="I83" s="121" t="inlineStr">
        <is>
          <t>MMR</t>
        </is>
      </c>
      <c r="J83" s="121" t="n">
        <v>104</v>
      </c>
    </row>
    <row r="84">
      <c r="A84" s="121" t="inlineStr">
        <is>
          <t>Tigyaing</t>
        </is>
      </c>
      <c r="B84" s="121" t="inlineStr">
        <is>
          <t>ထီးချိုင့်</t>
        </is>
      </c>
      <c r="C84" s="121" t="inlineStr">
        <is>
          <t>MMR005022</t>
        </is>
      </c>
      <c r="D84" s="121" t="inlineStr">
        <is>
          <t>Katha</t>
        </is>
      </c>
      <c r="E84" s="121" t="inlineStr">
        <is>
          <t>MMR005D004</t>
        </is>
      </c>
      <c r="F84" s="121" t="inlineStr">
        <is>
          <t>Sagaing</t>
        </is>
      </c>
      <c r="G84" s="121" t="inlineStr">
        <is>
          <t>MMR005</t>
        </is>
      </c>
      <c r="H84" s="121" t="inlineStr">
        <is>
          <t>Myanmar</t>
        </is>
      </c>
      <c r="I84" s="121" t="inlineStr">
        <is>
          <t>MMR</t>
        </is>
      </c>
      <c r="J84" s="121" t="n">
        <v>104</v>
      </c>
    </row>
    <row r="85">
      <c r="A85" s="121" t="inlineStr">
        <is>
          <t>Budalin</t>
        </is>
      </c>
      <c r="B85" s="121" t="inlineStr">
        <is>
          <t>ဘုတလင်</t>
        </is>
      </c>
      <c r="C85" s="121" t="inlineStr">
        <is>
          <t>MMR005013</t>
        </is>
      </c>
      <c r="D85" s="121" t="inlineStr">
        <is>
          <t>Monywa</t>
        </is>
      </c>
      <c r="E85" s="121" t="inlineStr">
        <is>
          <t>MMR005D003</t>
        </is>
      </c>
      <c r="F85" s="121" t="inlineStr">
        <is>
          <t>Sagaing</t>
        </is>
      </c>
      <c r="G85" s="121" t="inlineStr">
        <is>
          <t>MMR005</t>
        </is>
      </c>
      <c r="H85" s="121" t="inlineStr">
        <is>
          <t>Myanmar</t>
        </is>
      </c>
      <c r="I85" s="121" t="inlineStr">
        <is>
          <t>MMR</t>
        </is>
      </c>
      <c r="J85" s="121" t="n">
        <v>104</v>
      </c>
    </row>
    <row r="86">
      <c r="A86" s="121" t="inlineStr">
        <is>
          <t>Wuntho</t>
        </is>
      </c>
      <c r="B86" s="121" t="inlineStr">
        <is>
          <t>ဝန်းသို</t>
        </is>
      </c>
      <c r="C86" s="121" t="inlineStr">
        <is>
          <t>MMR005025</t>
        </is>
      </c>
      <c r="D86" s="121" t="inlineStr">
        <is>
          <t>Kawlin</t>
        </is>
      </c>
      <c r="E86" s="121" t="inlineStr">
        <is>
          <t>MMR005D011</t>
        </is>
      </c>
      <c r="F86" s="121" t="inlineStr">
        <is>
          <t>Sagaing</t>
        </is>
      </c>
      <c r="G86" s="121" t="inlineStr">
        <is>
          <t>MMR005</t>
        </is>
      </c>
      <c r="H86" s="121" t="inlineStr">
        <is>
          <t>Myanmar</t>
        </is>
      </c>
      <c r="I86" s="121" t="inlineStr">
        <is>
          <t>MMR</t>
        </is>
      </c>
      <c r="J86" s="121" t="n">
        <v>104</v>
      </c>
    </row>
    <row r="87">
      <c r="A87" s="121" t="inlineStr">
        <is>
          <t>Thabeikkyin</t>
        </is>
      </c>
      <c r="B87" s="121" t="inlineStr">
        <is>
          <t>သပိတ်ကျင်း</t>
        </is>
      </c>
      <c r="C87" s="121" t="inlineStr">
        <is>
          <t>MMR010012</t>
        </is>
      </c>
      <c r="D87" s="121" t="inlineStr">
        <is>
          <t>Pyinoolwin</t>
        </is>
      </c>
      <c r="E87" s="121" t="inlineStr">
        <is>
          <t>MMR010D002</t>
        </is>
      </c>
      <c r="F87" s="121" t="inlineStr">
        <is>
          <t>Mandalay</t>
        </is>
      </c>
      <c r="G87" s="121" t="inlineStr">
        <is>
          <t>MMR010</t>
        </is>
      </c>
      <c r="H87" s="121" t="inlineStr">
        <is>
          <t>Myanmar</t>
        </is>
      </c>
      <c r="I87" s="121" t="inlineStr">
        <is>
          <t>MMR</t>
        </is>
      </c>
      <c r="J87" s="121" t="n">
        <v>104</v>
      </c>
    </row>
    <row r="88">
      <c r="A88" s="121" t="inlineStr">
        <is>
          <t>Mahaaungmyay</t>
        </is>
      </c>
      <c r="B88" s="121" t="inlineStr">
        <is>
          <t>မဟာအောင်မြေ</t>
        </is>
      </c>
      <c r="C88" s="121" t="inlineStr">
        <is>
          <t>MMR010003</t>
        </is>
      </c>
      <c r="D88" s="121" t="inlineStr">
        <is>
          <t>Mandalay</t>
        </is>
      </c>
      <c r="E88" s="121" t="inlineStr">
        <is>
          <t>MMR010D001</t>
        </is>
      </c>
      <c r="F88" s="121" t="inlineStr">
        <is>
          <t>Mandalay</t>
        </is>
      </c>
      <c r="G88" s="121" t="inlineStr">
        <is>
          <t>MMR010</t>
        </is>
      </c>
      <c r="H88" s="121" t="inlineStr">
        <is>
          <t>Myanmar</t>
        </is>
      </c>
      <c r="I88" s="121" t="inlineStr">
        <is>
          <t>MMR</t>
        </is>
      </c>
      <c r="J88" s="121" t="n">
        <v>104</v>
      </c>
    </row>
    <row r="89">
      <c r="A89" s="121" t="inlineStr">
        <is>
          <t>Hkamti</t>
        </is>
      </c>
      <c r="B89" s="121" t="inlineStr">
        <is>
          <t>ခန္တီး</t>
        </is>
      </c>
      <c r="C89" s="121" t="inlineStr">
        <is>
          <t>MMR005033</t>
        </is>
      </c>
      <c r="D89" s="121" t="inlineStr">
        <is>
          <t>Hkamti</t>
        </is>
      </c>
      <c r="E89" s="121" t="inlineStr">
        <is>
          <t>MMR005D008</t>
        </is>
      </c>
      <c r="F89" s="121" t="inlineStr">
        <is>
          <t>Sagaing</t>
        </is>
      </c>
      <c r="G89" s="121" t="inlineStr">
        <is>
          <t>MMR005</t>
        </is>
      </c>
      <c r="H89" s="121" t="inlineStr">
        <is>
          <t>Myanmar</t>
        </is>
      </c>
      <c r="I89" s="121" t="inlineStr">
        <is>
          <t>MMR</t>
        </is>
      </c>
      <c r="J89" s="121" t="n">
        <v>104</v>
      </c>
    </row>
    <row r="90">
      <c r="A90" s="121" t="inlineStr">
        <is>
          <t>Yinmarbin</t>
        </is>
      </c>
      <c r="B90" s="121" t="inlineStr">
        <is>
          <t>ယင်းမာပင်</t>
        </is>
      </c>
      <c r="C90" s="121" t="inlineStr">
        <is>
          <t>MMR005016</t>
        </is>
      </c>
      <c r="D90" s="121" t="inlineStr">
        <is>
          <t>Yinmarbin</t>
        </is>
      </c>
      <c r="E90" s="121" t="inlineStr">
        <is>
          <t>MMR005D009</t>
        </is>
      </c>
      <c r="F90" s="121" t="inlineStr">
        <is>
          <t>Sagaing</t>
        </is>
      </c>
      <c r="G90" s="121" t="inlineStr">
        <is>
          <t>MMR005</t>
        </is>
      </c>
      <c r="H90" s="121" t="inlineStr">
        <is>
          <t>Myanmar</t>
        </is>
      </c>
      <c r="I90" s="121" t="inlineStr">
        <is>
          <t>MMR</t>
        </is>
      </c>
      <c r="J90" s="121" t="n">
        <v>104</v>
      </c>
    </row>
    <row r="91">
      <c r="A91" s="121" t="inlineStr">
        <is>
          <t>Shwebo</t>
        </is>
      </c>
      <c r="B91" s="121" t="inlineStr">
        <is>
          <t>ရွှေဘို</t>
        </is>
      </c>
      <c r="C91" s="121" t="inlineStr">
        <is>
          <t>MMR005004</t>
        </is>
      </c>
      <c r="D91" s="121" t="inlineStr">
        <is>
          <t>Shwebo</t>
        </is>
      </c>
      <c r="E91" s="121" t="inlineStr">
        <is>
          <t>MMR005D002</t>
        </is>
      </c>
      <c r="F91" s="121" t="inlineStr">
        <is>
          <t>Sagaing</t>
        </is>
      </c>
      <c r="G91" s="121" t="inlineStr">
        <is>
          <t>MMR005</t>
        </is>
      </c>
      <c r="H91" s="121" t="inlineStr">
        <is>
          <t>Myanmar</t>
        </is>
      </c>
      <c r="I91" s="121" t="inlineStr">
        <is>
          <t>MMR</t>
        </is>
      </c>
      <c r="J91" s="121" t="n">
        <v>104</v>
      </c>
    </row>
    <row r="92">
      <c r="A92" s="121" t="inlineStr">
        <is>
          <t>Ye-U</t>
        </is>
      </c>
      <c r="B92" s="121" t="inlineStr">
        <is>
          <t>ရေဦး</t>
        </is>
      </c>
      <c r="C92" s="121" t="inlineStr">
        <is>
          <t>MMR005009</t>
        </is>
      </c>
      <c r="D92" s="121" t="inlineStr">
        <is>
          <t>Shwebo</t>
        </is>
      </c>
      <c r="E92" s="121" t="inlineStr">
        <is>
          <t>MMR005D002</t>
        </is>
      </c>
      <c r="F92" s="121" t="inlineStr">
        <is>
          <t>Sagaing</t>
        </is>
      </c>
      <c r="G92" s="121" t="inlineStr">
        <is>
          <t>MMR005</t>
        </is>
      </c>
      <c r="H92" s="121" t="inlineStr">
        <is>
          <t>Myanmar</t>
        </is>
      </c>
      <c r="I92" s="121" t="inlineStr">
        <is>
          <t>MMR</t>
        </is>
      </c>
      <c r="J92" s="121" t="n">
        <v>104</v>
      </c>
    </row>
    <row r="93">
      <c r="A93" s="121" t="inlineStr">
        <is>
          <t>Lewe</t>
        </is>
      </c>
      <c r="B93" s="121" t="inlineStr">
        <is>
          <t>လယ်ဝေး</t>
        </is>
      </c>
      <c r="C93" s="121" t="inlineStr">
        <is>
          <t>MMR018007</t>
        </is>
      </c>
      <c r="D93" s="121" t="inlineStr">
        <is>
          <t>Det Khi Na</t>
        </is>
      </c>
      <c r="E93" s="121" t="inlineStr">
        <is>
          <t>MMR018D002</t>
        </is>
      </c>
      <c r="F93" s="121" t="inlineStr">
        <is>
          <t>Nay Pyi Taw</t>
        </is>
      </c>
      <c r="G93" s="121" t="inlineStr">
        <is>
          <t>MMR018</t>
        </is>
      </c>
      <c r="H93" s="121" t="inlineStr">
        <is>
          <t>Myanmar</t>
        </is>
      </c>
      <c r="I93" s="121" t="inlineStr">
        <is>
          <t>MMR</t>
        </is>
      </c>
      <c r="J93" s="121" t="n">
        <v>104</v>
      </c>
    </row>
    <row r="94">
      <c r="A94" s="121" t="inlineStr">
        <is>
          <t>Salingyi</t>
        </is>
      </c>
      <c r="B94" s="121" t="inlineStr">
        <is>
          <t>ဆားလင်းကြီး</t>
        </is>
      </c>
      <c r="C94" s="121" t="inlineStr">
        <is>
          <t>MMR005018</t>
        </is>
      </c>
      <c r="D94" s="121" t="inlineStr">
        <is>
          <t>Yinmarbin</t>
        </is>
      </c>
      <c r="E94" s="121" t="inlineStr">
        <is>
          <t>MMR005D009</t>
        </is>
      </c>
      <c r="F94" s="121" t="inlineStr">
        <is>
          <t>Sagaing</t>
        </is>
      </c>
      <c r="G94" s="121" t="inlineStr">
        <is>
          <t>MMR005</t>
        </is>
      </c>
      <c r="H94" s="121" t="inlineStr">
        <is>
          <t>Myanmar</t>
        </is>
      </c>
      <c r="I94" s="121" t="inlineStr">
        <is>
          <t>MMR</t>
        </is>
      </c>
      <c r="J94" s="121" t="n">
        <v>104</v>
      </c>
    </row>
    <row r="95">
      <c r="A95" s="121" t="inlineStr">
        <is>
          <t>Chaung-U</t>
        </is>
      </c>
      <c r="B95" s="121" t="inlineStr">
        <is>
          <t>ချောင်းဦး</t>
        </is>
      </c>
      <c r="C95" s="121" t="inlineStr">
        <is>
          <t>MMR005015</t>
        </is>
      </c>
      <c r="D95" s="121" t="inlineStr">
        <is>
          <t>Monywa</t>
        </is>
      </c>
      <c r="E95" s="121" t="inlineStr">
        <is>
          <t>MMR005D003</t>
        </is>
      </c>
      <c r="F95" s="121" t="inlineStr">
        <is>
          <t>Sagaing</t>
        </is>
      </c>
      <c r="G95" s="121" t="inlineStr">
        <is>
          <t>MMR005</t>
        </is>
      </c>
      <c r="H95" s="121" t="inlineStr">
        <is>
          <t>Myanmar</t>
        </is>
      </c>
      <c r="I95" s="121" t="inlineStr">
        <is>
          <t>MMR</t>
        </is>
      </c>
      <c r="J95" s="121" t="n">
        <v>104</v>
      </c>
    </row>
    <row r="96">
      <c r="A96" s="121" t="inlineStr">
        <is>
          <t>Yesagyo</t>
        </is>
      </c>
      <c r="B96" s="121" t="inlineStr">
        <is>
          <t>ရေစကြို</t>
        </is>
      </c>
      <c r="C96" s="121" t="inlineStr">
        <is>
          <t>MMR009019</t>
        </is>
      </c>
      <c r="D96" s="121" t="inlineStr">
        <is>
          <t>Pakokku</t>
        </is>
      </c>
      <c r="E96" s="121" t="inlineStr">
        <is>
          <t>MMR009D004</t>
        </is>
      </c>
      <c r="F96" s="121" t="inlineStr">
        <is>
          <t>Magway</t>
        </is>
      </c>
      <c r="G96" s="121" t="inlineStr">
        <is>
          <t>MMR009</t>
        </is>
      </c>
      <c r="H96" s="121" t="inlineStr">
        <is>
          <t>Myanmar</t>
        </is>
      </c>
      <c r="I96" s="121" t="inlineStr">
        <is>
          <t>MMR</t>
        </is>
      </c>
      <c r="J96" s="121" t="n">
        <v>104</v>
      </c>
    </row>
    <row r="97">
      <c r="A97" s="121" t="inlineStr">
        <is>
          <t>Amarapura</t>
        </is>
      </c>
      <c r="B97" s="121" t="inlineStr">
        <is>
          <t>အမရပူရ</t>
        </is>
      </c>
      <c r="C97" s="121" t="inlineStr">
        <is>
          <t>MMR010006</t>
        </is>
      </c>
      <c r="D97" s="121" t="inlineStr">
        <is>
          <t>Mandalay</t>
        </is>
      </c>
      <c r="E97" s="121" t="inlineStr">
        <is>
          <t>MMR010D001</t>
        </is>
      </c>
      <c r="F97" s="121" t="inlineStr">
        <is>
          <t>Mandalay</t>
        </is>
      </c>
      <c r="G97" s="121" t="inlineStr">
        <is>
          <t>MMR010</t>
        </is>
      </c>
      <c r="H97" s="121" t="inlineStr">
        <is>
          <t>Myanmar</t>
        </is>
      </c>
      <c r="I97" s="121" t="inlineStr">
        <is>
          <t>MMR</t>
        </is>
      </c>
      <c r="J97" s="121" t="n">
        <v>104</v>
      </c>
    </row>
    <row r="98">
      <c r="A98" s="121" t="inlineStr">
        <is>
          <t>Pyinoolwin</t>
        </is>
      </c>
      <c r="B98" s="121" t="inlineStr">
        <is>
          <t>ပြင်ဦးလွင်</t>
        </is>
      </c>
      <c r="C98" s="121" t="inlineStr">
        <is>
          <t>MMR010008</t>
        </is>
      </c>
      <c r="D98" s="121" t="inlineStr">
        <is>
          <t>Pyinoolwin</t>
        </is>
      </c>
      <c r="E98" s="121" t="inlineStr">
        <is>
          <t>MMR010D002</t>
        </is>
      </c>
      <c r="F98" s="121" t="inlineStr">
        <is>
          <t>Mandalay</t>
        </is>
      </c>
      <c r="G98" s="121" t="inlineStr">
        <is>
          <t>MMR010</t>
        </is>
      </c>
      <c r="H98" s="121" t="inlineStr">
        <is>
          <t>Myanmar</t>
        </is>
      </c>
      <c r="I98" s="121" t="inlineStr">
        <is>
          <t>MMR</t>
        </is>
      </c>
      <c r="J98" s="121" t="n">
        <v>104</v>
      </c>
    </row>
    <row r="99">
      <c r="A99" s="121" t="inlineStr">
        <is>
          <t>Sintgaing</t>
        </is>
      </c>
      <c r="B99" s="121" t="inlineStr">
        <is>
          <t>စဉ့်ကိုင်</t>
        </is>
      </c>
      <c r="C99" s="121" t="inlineStr">
        <is>
          <t>MMR010014</t>
        </is>
      </c>
      <c r="D99" s="121" t="inlineStr">
        <is>
          <t>Kyaukse</t>
        </is>
      </c>
      <c r="E99" s="121" t="inlineStr">
        <is>
          <t>MMR010D003</t>
        </is>
      </c>
      <c r="F99" s="121" t="inlineStr">
        <is>
          <t>Mandalay</t>
        </is>
      </c>
      <c r="G99" s="121" t="inlineStr">
        <is>
          <t>MMR010</t>
        </is>
      </c>
      <c r="H99" s="121" t="inlineStr">
        <is>
          <t>Myanmar</t>
        </is>
      </c>
      <c r="I99" s="121" t="inlineStr">
        <is>
          <t>MMR</t>
        </is>
      </c>
      <c r="J99" s="121" t="n">
        <v>104</v>
      </c>
    </row>
    <row r="100">
      <c r="A100" s="121" t="inlineStr">
        <is>
          <t>Kanbalu</t>
        </is>
      </c>
      <c r="B100" s="121" t="inlineStr">
        <is>
          <t>ကန့်ဘလူ</t>
        </is>
      </c>
      <c r="C100" s="121" t="inlineStr">
        <is>
          <t>MMR005007</t>
        </is>
      </c>
      <c r="D100" s="121" t="inlineStr">
        <is>
          <t>Kanbalu</t>
        </is>
      </c>
      <c r="E100" s="121" t="inlineStr">
        <is>
          <t>MMR005D010</t>
        </is>
      </c>
      <c r="F100" s="121" t="inlineStr">
        <is>
          <t>Sagaing</t>
        </is>
      </c>
      <c r="G100" s="121" t="inlineStr">
        <is>
          <t>MMR005</t>
        </is>
      </c>
      <c r="H100" s="121" t="inlineStr">
        <is>
          <t>Myanmar</t>
        </is>
      </c>
      <c r="I100" s="121" t="inlineStr">
        <is>
          <t>MMR</t>
        </is>
      </c>
      <c r="J100" s="121" t="n">
        <v>104</v>
      </c>
    </row>
    <row r="101">
      <c r="A101" s="121" t="inlineStr">
        <is>
          <t>Chanmyathazi</t>
        </is>
      </c>
      <c r="B101" s="121" t="inlineStr">
        <is>
          <t>ချမ်းမြသာစည်</t>
        </is>
      </c>
      <c r="C101" s="121" t="inlineStr">
        <is>
          <t>MMR010004</t>
        </is>
      </c>
      <c r="D101" s="121" t="inlineStr">
        <is>
          <t>Mandalay</t>
        </is>
      </c>
      <c r="E101" s="121" t="inlineStr">
        <is>
          <t>MMR010D001</t>
        </is>
      </c>
      <c r="F101" s="121" t="inlineStr">
        <is>
          <t>Mandalay</t>
        </is>
      </c>
      <c r="G101" s="121" t="inlineStr">
        <is>
          <t>MMR010</t>
        </is>
      </c>
      <c r="H101" s="121" t="inlineStr">
        <is>
          <t>Myanmar</t>
        </is>
      </c>
      <c r="I101" s="121" t="inlineStr">
        <is>
          <t>MMR</t>
        </is>
      </c>
      <c r="J101" s="121" t="n">
        <v>104</v>
      </c>
    </row>
    <row r="102">
      <c r="A102" s="121" t="inlineStr">
        <is>
          <t>Tatkon</t>
        </is>
      </c>
      <c r="B102" s="121" t="inlineStr">
        <is>
          <t>တပ်ကုန်း</t>
        </is>
      </c>
      <c r="C102" s="121" t="inlineStr">
        <is>
          <t>MMR018003</t>
        </is>
      </c>
      <c r="D102" s="121" t="inlineStr">
        <is>
          <t>Oke Ta Ra</t>
        </is>
      </c>
      <c r="E102" s="121" t="inlineStr">
        <is>
          <t>MMR018D001</t>
        </is>
      </c>
      <c r="F102" s="121" t="inlineStr">
        <is>
          <t>Nay Pyi Taw</t>
        </is>
      </c>
      <c r="G102" s="121" t="inlineStr">
        <is>
          <t>MMR018</t>
        </is>
      </c>
      <c r="H102" s="121" t="inlineStr">
        <is>
          <t>Myanmar</t>
        </is>
      </c>
      <c r="I102" s="121" t="inlineStr">
        <is>
          <t>MMR</t>
        </is>
      </c>
      <c r="J102" s="121" t="n">
        <v>104</v>
      </c>
    </row>
    <row r="103">
      <c r="A103" s="121" t="inlineStr">
        <is>
          <t>Taungdwingyi</t>
        </is>
      </c>
      <c r="B103" s="121" t="inlineStr">
        <is>
          <t>တောင်တွင်းကြီး</t>
        </is>
      </c>
      <c r="C103" s="121" t="inlineStr">
        <is>
          <t>MMR009004</t>
        </is>
      </c>
      <c r="D103" s="121" t="inlineStr">
        <is>
          <t>Magway</t>
        </is>
      </c>
      <c r="E103" s="121" t="inlineStr">
        <is>
          <t>MMR009D001</t>
        </is>
      </c>
      <c r="F103" s="121" t="inlineStr">
        <is>
          <t>Magway</t>
        </is>
      </c>
      <c r="G103" s="121" t="inlineStr">
        <is>
          <t>MMR009</t>
        </is>
      </c>
      <c r="H103" s="121" t="inlineStr">
        <is>
          <t>Myanmar</t>
        </is>
      </c>
      <c r="I103" s="121" t="inlineStr">
        <is>
          <t>MMR</t>
        </is>
      </c>
      <c r="J103" s="121" t="n">
        <v>104</v>
      </c>
    </row>
    <row r="104">
      <c r="A104" s="121" t="inlineStr">
        <is>
          <t>Yenangyaung</t>
        </is>
      </c>
      <c r="B104" s="121" t="inlineStr">
        <is>
          <t>ရေနံချောင်း</t>
        </is>
      </c>
      <c r="C104" s="121" t="inlineStr">
        <is>
          <t>MMR009002</t>
        </is>
      </c>
      <c r="D104" s="121" t="inlineStr">
        <is>
          <t>Magway</t>
        </is>
      </c>
      <c r="E104" s="121" t="inlineStr">
        <is>
          <t>MMR009D001</t>
        </is>
      </c>
      <c r="F104" s="121" t="inlineStr">
        <is>
          <t>Magway</t>
        </is>
      </c>
      <c r="G104" s="121" t="inlineStr">
        <is>
          <t>MMR009</t>
        </is>
      </c>
      <c r="H104" s="121" t="inlineStr">
        <is>
          <t>Myanmar</t>
        </is>
      </c>
      <c r="I104" s="121" t="inlineStr">
        <is>
          <t>MMR</t>
        </is>
      </c>
      <c r="J104" s="121" t="n">
        <v>104</v>
      </c>
    </row>
    <row r="105">
      <c r="A105" s="121" t="inlineStr">
        <is>
          <t>Hsihseng</t>
        </is>
      </c>
      <c r="B105" s="121" t="inlineStr">
        <is>
          <t>ဆီဆိုင်</t>
        </is>
      </c>
      <c r="C105" s="121" t="inlineStr">
        <is>
          <t>MMR014004</t>
        </is>
      </c>
      <c r="D105" s="121" t="inlineStr">
        <is>
          <t>Pa-O Self-Administered Zone</t>
        </is>
      </c>
      <c r="E105" s="121" t="inlineStr">
        <is>
          <t>MMR014S002</t>
        </is>
      </c>
      <c r="F105" s="121" t="inlineStr">
        <is>
          <t>Shan</t>
        </is>
      </c>
      <c r="G105" s="121" t="inlineStr">
        <is>
          <t>MMR222</t>
        </is>
      </c>
      <c r="H105" s="121" t="inlineStr">
        <is>
          <t>Myanmar</t>
        </is>
      </c>
      <c r="I105" s="121" t="inlineStr">
        <is>
          <t>MMR</t>
        </is>
      </c>
      <c r="J105" s="121" t="n">
        <v>104</v>
      </c>
    </row>
    <row r="106">
      <c r="A106" s="121" t="inlineStr">
        <is>
          <t>Kengtung</t>
        </is>
      </c>
      <c r="B106" s="121" t="inlineStr">
        <is>
          <t>ကျိုင်းတုံ</t>
        </is>
      </c>
      <c r="C106" s="121" t="inlineStr">
        <is>
          <t>MMR016001</t>
        </is>
      </c>
      <c r="D106" s="121" t="inlineStr">
        <is>
          <t>Kengtung</t>
        </is>
      </c>
      <c r="E106" s="121" t="inlineStr">
        <is>
          <t>MMR016D001</t>
        </is>
      </c>
      <c r="F106" s="121" t="inlineStr">
        <is>
          <t>Shan</t>
        </is>
      </c>
      <c r="G106" s="121" t="inlineStr">
        <is>
          <t>MMR222</t>
        </is>
      </c>
      <c r="H106" s="121" t="inlineStr">
        <is>
          <t>Myanmar</t>
        </is>
      </c>
      <c r="I106" s="121" t="inlineStr">
        <is>
          <t>MMR</t>
        </is>
      </c>
      <c r="J106" s="121" t="n">
        <v>104</v>
      </c>
    </row>
    <row r="107">
      <c r="A107" s="121" t="inlineStr">
        <is>
          <t>Monghsat</t>
        </is>
      </c>
      <c r="B107" s="121" t="inlineStr">
        <is>
          <t>မိုင်းဆတ်</t>
        </is>
      </c>
      <c r="C107" s="121" t="inlineStr">
        <is>
          <t>MMR016006</t>
        </is>
      </c>
      <c r="D107" s="121" t="inlineStr">
        <is>
          <t>Monghsat</t>
        </is>
      </c>
      <c r="E107" s="121" t="inlineStr">
        <is>
          <t>MMR016D002</t>
        </is>
      </c>
      <c r="F107" s="121" t="inlineStr">
        <is>
          <t>Shan</t>
        </is>
      </c>
      <c r="G107" s="121" t="inlineStr">
        <is>
          <t>MMR222</t>
        </is>
      </c>
      <c r="H107" s="121" t="inlineStr">
        <is>
          <t>Myanmar</t>
        </is>
      </c>
      <c r="I107" s="121" t="inlineStr">
        <is>
          <t>MMR</t>
        </is>
      </c>
      <c r="J107" s="121" t="n">
        <v>104</v>
      </c>
    </row>
    <row r="108">
      <c r="A108" s="121" t="inlineStr">
        <is>
          <t>Loikaw</t>
        </is>
      </c>
      <c r="B108" s="121" t="inlineStr">
        <is>
          <t>လွိုင်ကော်</t>
        </is>
      </c>
      <c r="C108" s="121" t="inlineStr">
        <is>
          <t>MMR002001</t>
        </is>
      </c>
      <c r="D108" s="121" t="inlineStr">
        <is>
          <t>Loikaw</t>
        </is>
      </c>
      <c r="E108" s="121" t="inlineStr">
        <is>
          <t>MMR002D001</t>
        </is>
      </c>
      <c r="F108" s="121" t="inlineStr">
        <is>
          <t>Kayah</t>
        </is>
      </c>
      <c r="G108" s="121" t="inlineStr">
        <is>
          <t>MMR002</t>
        </is>
      </c>
      <c r="H108" s="121" t="inlineStr">
        <is>
          <t>Myanmar</t>
        </is>
      </c>
      <c r="I108" s="121" t="inlineStr">
        <is>
          <t>MMR</t>
        </is>
      </c>
      <c r="J108" s="121" t="n">
        <v>104</v>
      </c>
    </row>
    <row r="109">
      <c r="A109" s="121" t="inlineStr">
        <is>
          <t>Salin</t>
        </is>
      </c>
      <c r="B109" s="121" t="inlineStr">
        <is>
          <t>စလင်း</t>
        </is>
      </c>
      <c r="C109" s="121" t="inlineStr">
        <is>
          <t>MMR009010</t>
        </is>
      </c>
      <c r="D109" s="121" t="inlineStr">
        <is>
          <t>Minbu</t>
        </is>
      </c>
      <c r="E109" s="121" t="inlineStr">
        <is>
          <t>MMR009D002</t>
        </is>
      </c>
      <c r="F109" s="121" t="inlineStr">
        <is>
          <t>Magway</t>
        </is>
      </c>
      <c r="G109" s="121" t="inlineStr">
        <is>
          <t>MMR009</t>
        </is>
      </c>
      <c r="H109" s="121" t="inlineStr">
        <is>
          <t>Myanmar</t>
        </is>
      </c>
      <c r="I109" s="121" t="inlineStr">
        <is>
          <t>MMR</t>
        </is>
      </c>
      <c r="J109" s="121" t="n">
        <v>104</v>
      </c>
    </row>
    <row r="110">
      <c r="A110" s="121" t="inlineStr">
        <is>
          <t>Namhsan</t>
        </is>
      </c>
      <c r="B110" s="121" t="inlineStr">
        <is>
          <t>နမ့်ဆန်</t>
        </is>
      </c>
      <c r="C110" s="121" t="inlineStr">
        <is>
          <t>MMR015016</t>
        </is>
      </c>
      <c r="D110" s="121" t="inlineStr">
        <is>
          <t>Pa Laung Self-Administered Zone</t>
        </is>
      </c>
      <c r="E110" s="121" t="inlineStr">
        <is>
          <t>MMR015S001</t>
        </is>
      </c>
      <c r="F110" s="121" t="inlineStr">
        <is>
          <t>Shan</t>
        </is>
      </c>
      <c r="G110" s="121" t="inlineStr">
        <is>
          <t>MMR222</t>
        </is>
      </c>
      <c r="H110" s="121" t="inlineStr">
        <is>
          <t>Myanmar</t>
        </is>
      </c>
      <c r="I110" s="121" t="inlineStr">
        <is>
          <t>MMR</t>
        </is>
      </c>
      <c r="J110" s="121" t="n">
        <v>104</v>
      </c>
    </row>
    <row r="111">
      <c r="A111" s="121" t="inlineStr">
        <is>
          <t>Pindaya</t>
        </is>
      </c>
      <c r="B111" s="121" t="inlineStr">
        <is>
          <t>ပင်းတယ</t>
        </is>
      </c>
      <c r="C111" s="121" t="inlineStr">
        <is>
          <t>MMR014006</t>
        </is>
      </c>
      <c r="D111" s="121" t="inlineStr">
        <is>
          <t>Danu Self-Administered Zone</t>
        </is>
      </c>
      <c r="E111" s="121" t="inlineStr">
        <is>
          <t>MMR014S001</t>
        </is>
      </c>
      <c r="F111" s="121" t="inlineStr">
        <is>
          <t>Shan</t>
        </is>
      </c>
      <c r="G111" s="121" t="inlineStr">
        <is>
          <t>MMR222</t>
        </is>
      </c>
      <c r="H111" s="121" t="inlineStr">
        <is>
          <t>Myanmar</t>
        </is>
      </c>
      <c r="I111" s="121" t="inlineStr">
        <is>
          <t>MMR</t>
        </is>
      </c>
      <c r="J111" s="121" t="n">
        <v>104</v>
      </c>
    </row>
    <row r="112">
      <c r="A112" s="121" t="inlineStr">
        <is>
          <t>Thazi</t>
        </is>
      </c>
      <c r="B112" s="121" t="inlineStr">
        <is>
          <t>သာစည်</t>
        </is>
      </c>
      <c r="C112" s="121" t="inlineStr">
        <is>
          <t>MMR010030</t>
        </is>
      </c>
      <c r="D112" s="121" t="inlineStr">
        <is>
          <t>Meiktila</t>
        </is>
      </c>
      <c r="E112" s="121" t="inlineStr">
        <is>
          <t>MMR010D007</t>
        </is>
      </c>
      <c r="F112" s="121" t="inlineStr">
        <is>
          <t>Mandalay</t>
        </is>
      </c>
      <c r="G112" s="121" t="inlineStr">
        <is>
          <t>MMR010</t>
        </is>
      </c>
      <c r="H112" s="121" t="inlineStr">
        <is>
          <t>Myanmar</t>
        </is>
      </c>
      <c r="I112" s="121" t="inlineStr">
        <is>
          <t>MMR</t>
        </is>
      </c>
      <c r="J112" s="121" t="n">
        <v>104</v>
      </c>
    </row>
    <row r="113">
      <c r="A113" s="121" t="inlineStr">
        <is>
          <t>Botahtaung</t>
        </is>
      </c>
      <c r="B113" s="121" t="inlineStr">
        <is>
          <t>ဗိုလ်တထောင်</t>
        </is>
      </c>
      <c r="C113" s="121" t="inlineStr">
        <is>
          <t>MMR013017</t>
        </is>
      </c>
      <c r="D113" s="121" t="inlineStr">
        <is>
          <t>Yangon (East)</t>
        </is>
      </c>
      <c r="E113" s="121" t="inlineStr">
        <is>
          <t>MMR013D002</t>
        </is>
      </c>
      <c r="F113" s="121" t="inlineStr">
        <is>
          <t>Yangon</t>
        </is>
      </c>
      <c r="G113" s="121" t="inlineStr">
        <is>
          <t>MMR013</t>
        </is>
      </c>
      <c r="H113" s="121" t="inlineStr">
        <is>
          <t>Myanmar</t>
        </is>
      </c>
      <c r="I113" s="121" t="inlineStr">
        <is>
          <t>MMR</t>
        </is>
      </c>
      <c r="J113" s="121" t="n">
        <v>104</v>
      </c>
    </row>
    <row r="114">
      <c r="A114" s="121" t="inlineStr">
        <is>
          <t>Tada-U</t>
        </is>
      </c>
      <c r="B114" s="121" t="inlineStr">
        <is>
          <t>တံတားဦး</t>
        </is>
      </c>
      <c r="C114" s="121" t="inlineStr">
        <is>
          <t>MMR010016</t>
        </is>
      </c>
      <c r="D114" s="121" t="inlineStr">
        <is>
          <t>Kyaukse</t>
        </is>
      </c>
      <c r="E114" s="121" t="inlineStr">
        <is>
          <t>MMR010D003</t>
        </is>
      </c>
      <c r="F114" s="121" t="inlineStr">
        <is>
          <t>Mandalay</t>
        </is>
      </c>
      <c r="G114" s="121" t="inlineStr">
        <is>
          <t>MMR010</t>
        </is>
      </c>
      <c r="H114" s="121" t="inlineStr">
        <is>
          <t>Myanmar</t>
        </is>
      </c>
      <c r="I114" s="121" t="inlineStr">
        <is>
          <t>MMR</t>
        </is>
      </c>
      <c r="J114" s="121" t="n">
        <v>104</v>
      </c>
    </row>
    <row r="115">
      <c r="A115" s="121" t="inlineStr">
        <is>
          <t>Pakokku</t>
        </is>
      </c>
      <c r="B115" s="121" t="inlineStr">
        <is>
          <t>ပခုက္ကူ</t>
        </is>
      </c>
      <c r="C115" s="121" t="inlineStr">
        <is>
          <t>MMR009018</t>
        </is>
      </c>
      <c r="D115" s="121" t="inlineStr">
        <is>
          <t>Pakokku</t>
        </is>
      </c>
      <c r="E115" s="121" t="inlineStr">
        <is>
          <t>MMR009D004</t>
        </is>
      </c>
      <c r="F115" s="121" t="inlineStr">
        <is>
          <t>Magway</t>
        </is>
      </c>
      <c r="G115" s="121" t="inlineStr">
        <is>
          <t>MMR009</t>
        </is>
      </c>
      <c r="H115" s="121" t="inlineStr">
        <is>
          <t>Myanmar</t>
        </is>
      </c>
      <c r="I115" s="121" t="inlineStr">
        <is>
          <t>MMR</t>
        </is>
      </c>
      <c r="J115" s="121" t="n">
        <v>104</v>
      </c>
    </row>
    <row r="116">
      <c r="A116" s="121" t="inlineStr">
        <is>
          <t>Pazundaung</t>
        </is>
      </c>
      <c r="B116" s="121" t="inlineStr">
        <is>
          <t>ပုဇွန်တောင်</t>
        </is>
      </c>
      <c r="C116" s="121" t="inlineStr">
        <is>
          <t>MMR013016</t>
        </is>
      </c>
      <c r="D116" s="121" t="inlineStr">
        <is>
          <t>Yangon (East)</t>
        </is>
      </c>
      <c r="E116" s="121" t="inlineStr">
        <is>
          <t>MMR013D002</t>
        </is>
      </c>
      <c r="F116" s="121" t="inlineStr">
        <is>
          <t>Yangon</t>
        </is>
      </c>
      <c r="G116" s="121" t="inlineStr">
        <is>
          <t>MMR013</t>
        </is>
      </c>
      <c r="H116" s="121" t="inlineStr">
        <is>
          <t>Myanmar</t>
        </is>
      </c>
      <c r="I116" s="121" t="inlineStr">
        <is>
          <t>MMR</t>
        </is>
      </c>
      <c r="J116" s="121" t="n">
        <v>104</v>
      </c>
    </row>
    <row r="117">
      <c r="A117" s="121" t="inlineStr">
        <is>
          <t>Chauk</t>
        </is>
      </c>
      <c r="B117" s="121" t="inlineStr">
        <is>
          <t>ချောက်</t>
        </is>
      </c>
      <c r="C117" s="121" t="inlineStr">
        <is>
          <t>MMR009003</t>
        </is>
      </c>
      <c r="D117" s="121" t="inlineStr">
        <is>
          <t>Magway</t>
        </is>
      </c>
      <c r="E117" s="121" t="inlineStr">
        <is>
          <t>MMR009D001</t>
        </is>
      </c>
      <c r="F117" s="121" t="inlineStr">
        <is>
          <t>Magway</t>
        </is>
      </c>
      <c r="G117" s="121" t="inlineStr">
        <is>
          <t>MMR009</t>
        </is>
      </c>
      <c r="H117" s="121" t="inlineStr">
        <is>
          <t>Myanmar</t>
        </is>
      </c>
      <c r="I117" s="121" t="inlineStr">
        <is>
          <t>MMR</t>
        </is>
      </c>
      <c r="J117" s="121" t="n">
        <v>104</v>
      </c>
    </row>
    <row r="118">
      <c r="A118" s="121" t="inlineStr">
        <is>
          <t>Det Khi Na Thi Ri</t>
        </is>
      </c>
      <c r="B118" s="121" t="inlineStr">
        <is>
          <t>ဒက္ခိဏသီရိ</t>
        </is>
      </c>
      <c r="C118" s="121" t="inlineStr">
        <is>
          <t>MMR018004</t>
        </is>
      </c>
      <c r="D118" s="121" t="inlineStr">
        <is>
          <t>Det Khi Na</t>
        </is>
      </c>
      <c r="E118" s="121" t="inlineStr">
        <is>
          <t>MMR018D002</t>
        </is>
      </c>
      <c r="F118" s="121" t="inlineStr">
        <is>
          <t>Nay Pyi Taw</t>
        </is>
      </c>
      <c r="G118" s="121" t="inlineStr">
        <is>
          <t>MMR018</t>
        </is>
      </c>
      <c r="H118" s="121" t="inlineStr">
        <is>
          <t>Myanmar</t>
        </is>
      </c>
      <c r="I118" s="121" t="inlineStr">
        <is>
          <t>MMR</t>
        </is>
      </c>
      <c r="J118" s="121" t="n">
        <v>104</v>
      </c>
    </row>
    <row r="119">
      <c r="A119" s="121" t="inlineStr">
        <is>
          <t>Tachileik</t>
        </is>
      </c>
      <c r="B119" s="121" t="inlineStr">
        <is>
          <t>တာချီလိတ်</t>
        </is>
      </c>
      <c r="C119" s="121" t="inlineStr">
        <is>
          <t>MMR016009</t>
        </is>
      </c>
      <c r="D119" s="121" t="inlineStr">
        <is>
          <t>Tachileik</t>
        </is>
      </c>
      <c r="E119" s="121" t="inlineStr">
        <is>
          <t>MMR016D003</t>
        </is>
      </c>
      <c r="F119" s="121" t="inlineStr">
        <is>
          <t>Shan</t>
        </is>
      </c>
      <c r="G119" s="121" t="inlineStr">
        <is>
          <t>MMR222</t>
        </is>
      </c>
      <c r="H119" s="121" t="inlineStr">
        <is>
          <t>Myanmar</t>
        </is>
      </c>
      <c r="I119" s="121" t="inlineStr">
        <is>
          <t>MMR</t>
        </is>
      </c>
      <c r="J119" s="121" t="n">
        <v>104</v>
      </c>
    </row>
    <row r="120">
      <c r="A120" s="121" t="inlineStr">
        <is>
          <t>Laukkaing</t>
        </is>
      </c>
      <c r="B120" s="121" t="inlineStr">
        <is>
          <t>လောက်ကိုင်</t>
        </is>
      </c>
      <c r="C120" s="121" t="inlineStr">
        <is>
          <t>MMR015022</t>
        </is>
      </c>
      <c r="D120" s="121" t="inlineStr">
        <is>
          <t>Kokang Self-Administered Zone</t>
        </is>
      </c>
      <c r="E120" s="121" t="inlineStr">
        <is>
          <t>MMR015S002</t>
        </is>
      </c>
      <c r="F120" s="121" t="inlineStr">
        <is>
          <t>Shan</t>
        </is>
      </c>
      <c r="G120" s="121" t="inlineStr">
        <is>
          <t>MMR222</t>
        </is>
      </c>
      <c r="H120" s="121" t="inlineStr">
        <is>
          <t>Myanmar</t>
        </is>
      </c>
      <c r="I120" s="121" t="inlineStr">
        <is>
          <t>MMR</t>
        </is>
      </c>
      <c r="J120" s="121" t="n">
        <v>104</v>
      </c>
    </row>
    <row r="121">
      <c r="A121" s="121" t="inlineStr">
        <is>
          <t>Wakema</t>
        </is>
      </c>
      <c r="B121" s="121" t="inlineStr">
        <is>
          <t>ဝါးခယ်မ</t>
        </is>
      </c>
      <c r="C121" s="121" t="inlineStr">
        <is>
          <t>MMR017017</t>
        </is>
      </c>
      <c r="D121" s="121" t="inlineStr">
        <is>
          <t>Myaungmya</t>
        </is>
      </c>
      <c r="E121" s="121" t="inlineStr">
        <is>
          <t>MMR017D003</t>
        </is>
      </c>
      <c r="F121" s="121" t="inlineStr">
        <is>
          <t>Ayeyarwady</t>
        </is>
      </c>
      <c r="G121" s="121" t="inlineStr">
        <is>
          <t>MMR017</t>
        </is>
      </c>
      <c r="H121" s="121" t="inlineStr">
        <is>
          <t>Myanmar</t>
        </is>
      </c>
      <c r="I121" s="121" t="inlineStr">
        <is>
          <t>MMR</t>
        </is>
      </c>
      <c r="J121" s="121" t="n">
        <v>104</v>
      </c>
    </row>
    <row r="122">
      <c r="A122" s="121" t="inlineStr">
        <is>
          <t>Myaungmya</t>
        </is>
      </c>
      <c r="B122" s="121" t="inlineStr">
        <is>
          <t>မြောင်းမြ</t>
        </is>
      </c>
      <c r="C122" s="121" t="inlineStr">
        <is>
          <t>MMR017014</t>
        </is>
      </c>
      <c r="D122" s="121" t="inlineStr">
        <is>
          <t>Myaungmya</t>
        </is>
      </c>
      <c r="E122" s="121" t="inlineStr">
        <is>
          <t>MMR017D003</t>
        </is>
      </c>
      <c r="F122" s="121" t="inlineStr">
        <is>
          <t>Ayeyarwady</t>
        </is>
      </c>
      <c r="G122" s="121" t="inlineStr">
        <is>
          <t>MMR017</t>
        </is>
      </c>
      <c r="H122" s="121" t="inlineStr">
        <is>
          <t>Myanmar</t>
        </is>
      </c>
      <c r="I122" s="121" t="inlineStr">
        <is>
          <t>MMR</t>
        </is>
      </c>
      <c r="J122" s="121" t="n">
        <v>104</v>
      </c>
    </row>
    <row r="123">
      <c r="A123" s="121" t="inlineStr">
        <is>
          <t>Thabaung</t>
        </is>
      </c>
      <c r="B123" s="121" t="inlineStr">
        <is>
          <t>သာပေါင်း</t>
        </is>
      </c>
      <c r="C123" s="121" t="inlineStr">
        <is>
          <t>MMR017003</t>
        </is>
      </c>
      <c r="D123" s="121" t="inlineStr">
        <is>
          <t>Pathein</t>
        </is>
      </c>
      <c r="E123" s="121" t="inlineStr">
        <is>
          <t>MMR017D001</t>
        </is>
      </c>
      <c r="F123" s="121" t="inlineStr">
        <is>
          <t>Ayeyarwady</t>
        </is>
      </c>
      <c r="G123" s="121" t="inlineStr">
        <is>
          <t>MMR017</t>
        </is>
      </c>
      <c r="H123" s="121" t="inlineStr">
        <is>
          <t>Myanmar</t>
        </is>
      </c>
      <c r="I123" s="121" t="inlineStr">
        <is>
          <t>MMR</t>
        </is>
      </c>
      <c r="J123" s="121" t="n">
        <v>104</v>
      </c>
    </row>
    <row r="124">
      <c r="A124" s="121" t="inlineStr">
        <is>
          <t>Yegyi</t>
        </is>
      </c>
      <c r="B124" s="121" t="inlineStr">
        <is>
          <t>ရေကြည်</t>
        </is>
      </c>
      <c r="C124" s="121" t="inlineStr">
        <is>
          <t>MMR017006</t>
        </is>
      </c>
      <c r="D124" s="121" t="inlineStr">
        <is>
          <t>Pathein</t>
        </is>
      </c>
      <c r="E124" s="121" t="inlineStr">
        <is>
          <t>MMR017D001</t>
        </is>
      </c>
      <c r="F124" s="121" t="inlineStr">
        <is>
          <t>Ayeyarwady</t>
        </is>
      </c>
      <c r="G124" s="121" t="inlineStr">
        <is>
          <t>MMR017</t>
        </is>
      </c>
      <c r="H124" s="121" t="inlineStr">
        <is>
          <t>Myanmar</t>
        </is>
      </c>
      <c r="I124" s="121" t="inlineStr">
        <is>
          <t>MMR</t>
        </is>
      </c>
      <c r="J124" s="121" t="n">
        <v>104</v>
      </c>
    </row>
    <row r="125">
      <c r="A125" s="121" t="inlineStr">
        <is>
          <t>Kangyidaunt</t>
        </is>
      </c>
      <c r="B125" s="121" t="inlineStr">
        <is>
          <t>ကန်ကြီးထောင့်</t>
        </is>
      </c>
      <c r="C125" s="121" t="inlineStr">
        <is>
          <t>MMR017002</t>
        </is>
      </c>
      <c r="D125" s="121" t="inlineStr">
        <is>
          <t>Pathein</t>
        </is>
      </c>
      <c r="E125" s="121" t="inlineStr">
        <is>
          <t>MMR017D001</t>
        </is>
      </c>
      <c r="F125" s="121" t="inlineStr">
        <is>
          <t>Ayeyarwady</t>
        </is>
      </c>
      <c r="G125" s="121" t="inlineStr">
        <is>
          <t>MMR017</t>
        </is>
      </c>
      <c r="H125" s="121" t="inlineStr">
        <is>
          <t>Myanmar</t>
        </is>
      </c>
      <c r="I125" s="121" t="inlineStr">
        <is>
          <t>MMR</t>
        </is>
      </c>
      <c r="J125" s="121" t="n">
        <v>104</v>
      </c>
    </row>
    <row r="126">
      <c r="A126" s="121" t="inlineStr">
        <is>
          <t>Kyaiklat</t>
        </is>
      </c>
      <c r="B126" s="121" t="inlineStr">
        <is>
          <t>ကျိုက်လတ်</t>
        </is>
      </c>
      <c r="C126" s="121" t="inlineStr">
        <is>
          <t>MMR017025</t>
        </is>
      </c>
      <c r="D126" s="121" t="inlineStr">
        <is>
          <t>Pyapon</t>
        </is>
      </c>
      <c r="E126" s="121" t="inlineStr">
        <is>
          <t>MMR017D006</t>
        </is>
      </c>
      <c r="F126" s="121" t="inlineStr">
        <is>
          <t>Ayeyarwady</t>
        </is>
      </c>
      <c r="G126" s="121" t="inlineStr">
        <is>
          <t>MMR017</t>
        </is>
      </c>
      <c r="H126" s="121" t="inlineStr">
        <is>
          <t>Myanmar</t>
        </is>
      </c>
      <c r="I126" s="121" t="inlineStr">
        <is>
          <t>MMR</t>
        </is>
      </c>
      <c r="J126" s="121" t="n">
        <v>104</v>
      </c>
    </row>
    <row r="127">
      <c r="A127" s="121" t="inlineStr">
        <is>
          <t>Myanaung</t>
        </is>
      </c>
      <c r="B127" s="121" t="inlineStr">
        <is>
          <t>မြန်အောင်</t>
        </is>
      </c>
      <c r="C127" s="121" t="inlineStr">
        <is>
          <t>MMR017011</t>
        </is>
      </c>
      <c r="D127" s="121" t="inlineStr">
        <is>
          <t>Hinthada</t>
        </is>
      </c>
      <c r="E127" s="121" t="inlineStr">
        <is>
          <t>MMR017D002</t>
        </is>
      </c>
      <c r="F127" s="121" t="inlineStr">
        <is>
          <t>Ayeyarwady</t>
        </is>
      </c>
      <c r="G127" s="121" t="inlineStr">
        <is>
          <t>MMR017</t>
        </is>
      </c>
      <c r="H127" s="121" t="inlineStr">
        <is>
          <t>Myanmar</t>
        </is>
      </c>
      <c r="I127" s="121" t="inlineStr">
        <is>
          <t>MMR</t>
        </is>
      </c>
      <c r="J127" s="121" t="n">
        <v>104</v>
      </c>
    </row>
    <row r="128">
      <c r="A128" s="121" t="inlineStr">
        <is>
          <t>Kawhmu</t>
        </is>
      </c>
      <c r="B128" s="121" t="inlineStr">
        <is>
          <t>ကော့မှုး</t>
        </is>
      </c>
      <c r="C128" s="121" t="inlineStr">
        <is>
          <t>MMR013028</t>
        </is>
      </c>
      <c r="D128" s="121" t="inlineStr">
        <is>
          <t>Yangon (South)</t>
        </is>
      </c>
      <c r="E128" s="121" t="inlineStr">
        <is>
          <t>MMR013D003</t>
        </is>
      </c>
      <c r="F128" s="121" t="inlineStr">
        <is>
          <t>Yangon</t>
        </is>
      </c>
      <c r="G128" s="121" t="inlineStr">
        <is>
          <t>MMR013</t>
        </is>
      </c>
      <c r="H128" s="121" t="inlineStr">
        <is>
          <t>Myanmar</t>
        </is>
      </c>
      <c r="I128" s="121" t="inlineStr">
        <is>
          <t>MMR</t>
        </is>
      </c>
      <c r="J128" s="121" t="n">
        <v>104</v>
      </c>
    </row>
    <row r="129">
      <c r="A129" s="121" t="inlineStr">
        <is>
          <t>Dagon Myothit (South)</t>
        </is>
      </c>
      <c r="B129" s="121" t="inlineStr">
        <is>
          <t>ဒဂုံမြို့သစ် (တောင်ပိုင်း)</t>
        </is>
      </c>
      <c r="C129" s="121" t="inlineStr">
        <is>
          <t>MMR013018</t>
        </is>
      </c>
      <c r="D129" s="121" t="inlineStr">
        <is>
          <t>Yangon (East)</t>
        </is>
      </c>
      <c r="E129" s="121" t="inlineStr">
        <is>
          <t>MMR013D002</t>
        </is>
      </c>
      <c r="F129" s="121" t="inlineStr">
        <is>
          <t>Yangon</t>
        </is>
      </c>
      <c r="G129" s="121" t="inlineStr">
        <is>
          <t>MMR013</t>
        </is>
      </c>
      <c r="H129" s="121" t="inlineStr">
        <is>
          <t>Myanmar</t>
        </is>
      </c>
      <c r="I129" s="121" t="inlineStr">
        <is>
          <t>MMR</t>
        </is>
      </c>
      <c r="J129" s="121" t="n">
        <v>104</v>
      </c>
    </row>
    <row r="130">
      <c r="A130" s="121" t="inlineStr">
        <is>
          <t>Taikkyi</t>
        </is>
      </c>
      <c r="B130" s="121" t="inlineStr">
        <is>
          <t>တိုက်ကြီး</t>
        </is>
      </c>
      <c r="C130" s="121" t="inlineStr">
        <is>
          <t>MMR013005</t>
        </is>
      </c>
      <c r="D130" s="121" t="inlineStr">
        <is>
          <t>Yangon (North)</t>
        </is>
      </c>
      <c r="E130" s="121" t="inlineStr">
        <is>
          <t>MMR013D001</t>
        </is>
      </c>
      <c r="F130" s="121" t="inlineStr">
        <is>
          <t>Yangon</t>
        </is>
      </c>
      <c r="G130" s="121" t="inlineStr">
        <is>
          <t>MMR013</t>
        </is>
      </c>
      <c r="H130" s="121" t="inlineStr">
        <is>
          <t>Myanmar</t>
        </is>
      </c>
      <c r="I130" s="121" t="inlineStr">
        <is>
          <t>MMR</t>
        </is>
      </c>
      <c r="J130" s="121" t="n">
        <v>104</v>
      </c>
    </row>
    <row r="131">
      <c r="A131" s="121" t="inlineStr">
        <is>
          <t>Hopang</t>
        </is>
      </c>
      <c r="B131" s="121" t="inlineStr">
        <is>
          <t>ဟိုပန်</t>
        </is>
      </c>
      <c r="C131" s="121" t="inlineStr">
        <is>
          <t>MMR015021</t>
        </is>
      </c>
      <c r="D131" s="121" t="inlineStr">
        <is>
          <t>Hopang</t>
        </is>
      </c>
      <c r="E131" s="121" t="inlineStr">
        <is>
          <t>MMR015D006</t>
        </is>
      </c>
      <c r="F131" s="121" t="inlineStr">
        <is>
          <t>Shan</t>
        </is>
      </c>
      <c r="G131" s="121" t="inlineStr">
        <is>
          <t>MMR222</t>
        </is>
      </c>
      <c r="H131" s="121" t="inlineStr">
        <is>
          <t>Myanmar</t>
        </is>
      </c>
      <c r="I131" s="121" t="inlineStr">
        <is>
          <t>MMR</t>
        </is>
      </c>
      <c r="J131" s="121" t="n">
        <v>104</v>
      </c>
    </row>
    <row r="132">
      <c r="A132" s="121" t="inlineStr">
        <is>
          <t>Mansi</t>
        </is>
      </c>
      <c r="B132" s="121" t="inlineStr">
        <is>
          <t>မံစီ</t>
        </is>
      </c>
      <c r="C132" s="121" t="inlineStr">
        <is>
          <t>MMR001013</t>
        </is>
      </c>
      <c r="D132" s="121" t="inlineStr">
        <is>
          <t>Bhamo</t>
        </is>
      </c>
      <c r="E132" s="121" t="inlineStr">
        <is>
          <t>MMR001D003</t>
        </is>
      </c>
      <c r="F132" s="121" t="inlineStr">
        <is>
          <t>Kachin</t>
        </is>
      </c>
      <c r="G132" s="121" t="inlineStr">
        <is>
          <t>MMR001</t>
        </is>
      </c>
      <c r="H132" s="121" t="inlineStr">
        <is>
          <t>Myanmar</t>
        </is>
      </c>
      <c r="I132" s="121" t="inlineStr">
        <is>
          <t>MMR</t>
        </is>
      </c>
      <c r="J132" s="121" t="n">
        <v>104</v>
      </c>
    </row>
    <row r="133">
      <c r="A133" s="121" t="inlineStr">
        <is>
          <t>Manton</t>
        </is>
      </c>
      <c r="B133" s="121" t="inlineStr">
        <is>
          <t>မန်တုံ</t>
        </is>
      </c>
      <c r="C133" s="121" t="inlineStr">
        <is>
          <t>MMR015019</t>
        </is>
      </c>
      <c r="D133" s="121" t="inlineStr">
        <is>
          <t>Pa Laung Self-Administered Zone</t>
        </is>
      </c>
      <c r="E133" s="121" t="inlineStr">
        <is>
          <t>MMR015S001</t>
        </is>
      </c>
      <c r="F133" s="121" t="inlineStr">
        <is>
          <t>Shan</t>
        </is>
      </c>
      <c r="G133" s="121" t="inlineStr">
        <is>
          <t>MMR222</t>
        </is>
      </c>
      <c r="H133" s="121" t="inlineStr">
        <is>
          <t>Myanmar</t>
        </is>
      </c>
      <c r="I133" s="121" t="inlineStr">
        <is>
          <t>MMR</t>
        </is>
      </c>
      <c r="J133" s="121" t="n">
        <v>104</v>
      </c>
    </row>
    <row r="134">
      <c r="A134" s="121" t="inlineStr">
        <is>
          <t>Mongyawng</t>
        </is>
      </c>
      <c r="B134" s="121" t="inlineStr">
        <is>
          <t>မိုင်းယောင်း</t>
        </is>
      </c>
      <c r="C134" s="121" t="inlineStr">
        <is>
          <t>MMR016011</t>
        </is>
      </c>
      <c r="D134" s="121" t="inlineStr">
        <is>
          <t>Tachileik</t>
        </is>
      </c>
      <c r="E134" s="121" t="inlineStr">
        <is>
          <t>MMR016D003</t>
        </is>
      </c>
      <c r="F134" s="121" t="inlineStr">
        <is>
          <t>Shan</t>
        </is>
      </c>
      <c r="G134" s="121" t="inlineStr">
        <is>
          <t>MMR222</t>
        </is>
      </c>
      <c r="H134" s="121" t="inlineStr">
        <is>
          <t>Myanmar</t>
        </is>
      </c>
      <c r="I134" s="121" t="inlineStr">
        <is>
          <t>MMR</t>
        </is>
      </c>
      <c r="J134" s="121" t="n">
        <v>104</v>
      </c>
    </row>
    <row r="135">
      <c r="A135" s="121" t="inlineStr">
        <is>
          <t>Hlaingtharya (East)</t>
        </is>
      </c>
      <c r="B135" s="121" t="inlineStr">
        <is>
          <t>လှိုင်သာယာ (အရှေ့ပိုင်း)</t>
        </is>
      </c>
      <c r="C135" s="121" t="inlineStr">
        <is>
          <t>MMR013046</t>
        </is>
      </c>
      <c r="D135" s="121" t="inlineStr">
        <is>
          <t>Yangon (North)</t>
        </is>
      </c>
      <c r="E135" s="121" t="inlineStr">
        <is>
          <t>MMR013D001</t>
        </is>
      </c>
      <c r="F135" s="121" t="inlineStr">
        <is>
          <t>Yangon</t>
        </is>
      </c>
      <c r="G135" s="121" t="inlineStr">
        <is>
          <t>MMR013</t>
        </is>
      </c>
      <c r="H135" s="121" t="inlineStr">
        <is>
          <t>Myanmar</t>
        </is>
      </c>
      <c r="I135" s="121" t="inlineStr">
        <is>
          <t>MMR</t>
        </is>
      </c>
      <c r="J135" s="121" t="n">
        <v>104</v>
      </c>
    </row>
    <row r="136">
      <c r="A136" s="121" t="inlineStr">
        <is>
          <t>Mongmit</t>
        </is>
      </c>
      <c r="B136" s="121" t="inlineStr">
        <is>
          <t>မိုးမိတ်</t>
        </is>
      </c>
      <c r="C136" s="121" t="inlineStr">
        <is>
          <t>MMR015017</t>
        </is>
      </c>
      <c r="D136" s="121" t="inlineStr">
        <is>
          <t>Mongmit</t>
        </is>
      </c>
      <c r="E136" s="121" t="inlineStr">
        <is>
          <t>MMR015D008</t>
        </is>
      </c>
      <c r="F136" s="121" t="inlineStr">
        <is>
          <t>Shan</t>
        </is>
      </c>
      <c r="G136" s="121" t="inlineStr">
        <is>
          <t>MMR222</t>
        </is>
      </c>
      <c r="H136" s="121" t="inlineStr">
        <is>
          <t>Myanmar</t>
        </is>
      </c>
      <c r="I136" s="121" t="inlineStr">
        <is>
          <t>MMR</t>
        </is>
      </c>
      <c r="J136" s="121" t="n">
        <v>104</v>
      </c>
    </row>
    <row r="137">
      <c r="A137" s="121" t="inlineStr">
        <is>
          <t>Mogoke</t>
        </is>
      </c>
      <c r="B137" s="121" t="inlineStr">
        <is>
          <t>မိုးကုတ်</t>
        </is>
      </c>
      <c r="C137" s="121" t="inlineStr">
        <is>
          <t>MMR010011</t>
        </is>
      </c>
      <c r="D137" s="121" t="inlineStr">
        <is>
          <t>Pyinoolwin</t>
        </is>
      </c>
      <c r="E137" s="121" t="inlineStr">
        <is>
          <t>MMR010D002</t>
        </is>
      </c>
      <c r="F137" s="121" t="inlineStr">
        <is>
          <t>Mandalay</t>
        </is>
      </c>
      <c r="G137" s="121" t="inlineStr">
        <is>
          <t>MMR010</t>
        </is>
      </c>
      <c r="H137" s="121" t="inlineStr">
        <is>
          <t>Myanmar</t>
        </is>
      </c>
      <c r="I137" s="121" t="inlineStr">
        <is>
          <t>MMR</t>
        </is>
      </c>
      <c r="J137" s="121" t="n">
        <v>104</v>
      </c>
    </row>
    <row r="138">
      <c r="A138" s="121" t="inlineStr">
        <is>
          <t>Hlaingbwe</t>
        </is>
      </c>
      <c r="B138" s="121" t="inlineStr">
        <is>
          <t>လှိုင်းဘွဲ့</t>
        </is>
      </c>
      <c r="C138" s="121" t="inlineStr">
        <is>
          <t>MMR003002</t>
        </is>
      </c>
      <c r="D138" s="121" t="inlineStr">
        <is>
          <t>Hpa-An</t>
        </is>
      </c>
      <c r="E138" s="121" t="inlineStr">
        <is>
          <t>MMR003D001</t>
        </is>
      </c>
      <c r="F138" s="121" t="inlineStr">
        <is>
          <t>Kayin</t>
        </is>
      </c>
      <c r="G138" s="121" t="inlineStr">
        <is>
          <t>MMR003</t>
        </is>
      </c>
      <c r="H138" s="121" t="inlineStr">
        <is>
          <t>Myanmar</t>
        </is>
      </c>
      <c r="I138" s="121" t="inlineStr">
        <is>
          <t>MMR</t>
        </is>
      </c>
      <c r="J138" s="121" t="n">
        <v>104</v>
      </c>
    </row>
    <row r="139">
      <c r="A139" s="121" t="inlineStr">
        <is>
          <t>Bilin</t>
        </is>
      </c>
      <c r="B139" s="121" t="inlineStr">
        <is>
          <t>ဘီးလင်း</t>
        </is>
      </c>
      <c r="C139" s="121" t="inlineStr">
        <is>
          <t>MMR011010</t>
        </is>
      </c>
      <c r="D139" s="121" t="inlineStr">
        <is>
          <t>Thaton</t>
        </is>
      </c>
      <c r="E139" s="121" t="inlineStr">
        <is>
          <t>MMR011D002</t>
        </is>
      </c>
      <c r="F139" s="121" t="inlineStr">
        <is>
          <t>Mon</t>
        </is>
      </c>
      <c r="G139" s="121" t="inlineStr">
        <is>
          <t>MMR011</t>
        </is>
      </c>
      <c r="H139" s="121" t="inlineStr">
        <is>
          <t>Myanmar</t>
        </is>
      </c>
      <c r="I139" s="121" t="inlineStr">
        <is>
          <t>MMR</t>
        </is>
      </c>
      <c r="J139" s="121" t="n">
        <v>104</v>
      </c>
    </row>
    <row r="140">
      <c r="A140" s="121" t="inlineStr">
        <is>
          <t>Dawei</t>
        </is>
      </c>
      <c r="B140" s="121" t="inlineStr">
        <is>
          <t>ထားဝယ်</t>
        </is>
      </c>
      <c r="C140" s="121" t="inlineStr">
        <is>
          <t>MMR006001</t>
        </is>
      </c>
      <c r="D140" s="121" t="inlineStr">
        <is>
          <t>Dawei</t>
        </is>
      </c>
      <c r="E140" s="121" t="inlineStr">
        <is>
          <t>MMR006D001</t>
        </is>
      </c>
      <c r="F140" s="121" t="inlineStr">
        <is>
          <t>Tanintharyi</t>
        </is>
      </c>
      <c r="G140" s="121" t="inlineStr">
        <is>
          <t>MMR006</t>
        </is>
      </c>
      <c r="H140" s="121" t="inlineStr">
        <is>
          <t>Myanmar</t>
        </is>
      </c>
      <c r="I140" s="121" t="inlineStr">
        <is>
          <t>MMR</t>
        </is>
      </c>
      <c r="J140" s="121" t="n">
        <v>104</v>
      </c>
    </row>
    <row r="141">
      <c r="A141" s="121" t="inlineStr">
        <is>
          <t>Kamma</t>
        </is>
      </c>
      <c r="B141" s="121" t="inlineStr">
        <is>
          <t>ကံမ</t>
        </is>
      </c>
      <c r="C141" s="121" t="inlineStr">
        <is>
          <t>MMR009015</t>
        </is>
      </c>
      <c r="D141" s="121" t="inlineStr">
        <is>
          <t>Thayet</t>
        </is>
      </c>
      <c r="E141" s="121" t="inlineStr">
        <is>
          <t>MMR009D003</t>
        </is>
      </c>
      <c r="F141" s="121" t="inlineStr">
        <is>
          <t>Magway</t>
        </is>
      </c>
      <c r="G141" s="121" t="inlineStr">
        <is>
          <t>MMR009</t>
        </is>
      </c>
      <c r="H141" s="121" t="inlineStr">
        <is>
          <t>Myanmar</t>
        </is>
      </c>
      <c r="I141" s="121" t="inlineStr">
        <is>
          <t>MMR</t>
        </is>
      </c>
      <c r="J141" s="121" t="n">
        <v>104</v>
      </c>
    </row>
    <row r="142">
      <c r="A142" s="121" t="inlineStr">
        <is>
          <t>Kayan</t>
        </is>
      </c>
      <c r="B142" s="121" t="inlineStr">
        <is>
          <t>ခရမ်း</t>
        </is>
      </c>
      <c r="C142" s="121" t="inlineStr">
        <is>
          <t>MMR013026</t>
        </is>
      </c>
      <c r="D142" s="121" t="inlineStr">
        <is>
          <t>Yangon (South)</t>
        </is>
      </c>
      <c r="E142" s="121" t="inlineStr">
        <is>
          <t>MMR013D003</t>
        </is>
      </c>
      <c r="F142" s="121" t="inlineStr">
        <is>
          <t>Yangon</t>
        </is>
      </c>
      <c r="G142" s="121" t="inlineStr">
        <is>
          <t>MMR013</t>
        </is>
      </c>
      <c r="H142" s="121" t="inlineStr">
        <is>
          <t>Myanmar</t>
        </is>
      </c>
      <c r="I142" s="121" t="inlineStr">
        <is>
          <t>MMR</t>
        </is>
      </c>
      <c r="J142" s="121" t="n">
        <v>104</v>
      </c>
    </row>
    <row r="143">
      <c r="A143" s="121" t="inlineStr">
        <is>
          <t>Kawa</t>
        </is>
      </c>
      <c r="B143" s="121" t="inlineStr">
        <is>
          <t>ကဝ</t>
        </is>
      </c>
      <c r="C143" s="121" t="inlineStr">
        <is>
          <t>MMR007003</t>
        </is>
      </c>
      <c r="D143" s="121" t="inlineStr">
        <is>
          <t>Bago</t>
        </is>
      </c>
      <c r="E143" s="121" t="inlineStr">
        <is>
          <t>MMR007D001</t>
        </is>
      </c>
      <c r="F143" s="121" t="inlineStr">
        <is>
          <t>Bago</t>
        </is>
      </c>
      <c r="G143" s="121" t="inlineStr">
        <is>
          <t>MMR111</t>
        </is>
      </c>
      <c r="H143" s="121" t="inlineStr">
        <is>
          <t>Myanmar</t>
        </is>
      </c>
      <c r="I143" s="121" t="inlineStr">
        <is>
          <t>MMR</t>
        </is>
      </c>
      <c r="J143" s="121" t="n">
        <v>104</v>
      </c>
    </row>
    <row r="144">
      <c r="A144" s="121" t="inlineStr">
        <is>
          <t>Thanlyin</t>
        </is>
      </c>
      <c r="B144" s="121" t="inlineStr">
        <is>
          <t>သန်လျင်</t>
        </is>
      </c>
      <c r="C144" s="121" t="inlineStr">
        <is>
          <t>MMR013023</t>
        </is>
      </c>
      <c r="D144" s="121" t="inlineStr">
        <is>
          <t>Yangon (South)</t>
        </is>
      </c>
      <c r="E144" s="121" t="inlineStr">
        <is>
          <t>MMR013D003</t>
        </is>
      </c>
      <c r="F144" s="121" t="inlineStr">
        <is>
          <t>Yangon</t>
        </is>
      </c>
      <c r="G144" s="121" t="inlineStr">
        <is>
          <t>MMR013</t>
        </is>
      </c>
      <c r="H144" s="121" t="inlineStr">
        <is>
          <t>Myanmar</t>
        </is>
      </c>
      <c r="I144" s="121" t="inlineStr">
        <is>
          <t>MMR</t>
        </is>
      </c>
      <c r="J144" s="121" t="n">
        <v>104</v>
      </c>
    </row>
    <row r="145">
      <c r="A145" s="121" t="inlineStr">
        <is>
          <t>Tanai</t>
        </is>
      </c>
      <c r="B145" s="121" t="inlineStr">
        <is>
          <t>တနိုင်း</t>
        </is>
      </c>
      <c r="C145" s="121" t="inlineStr">
        <is>
          <t>MMR001004</t>
        </is>
      </c>
      <c r="D145" s="121" t="inlineStr">
        <is>
          <t>Myitkyina</t>
        </is>
      </c>
      <c r="E145" s="121" t="inlineStr">
        <is>
          <t>MMR001D001</t>
        </is>
      </c>
      <c r="F145" s="121" t="inlineStr">
        <is>
          <t>Kachin</t>
        </is>
      </c>
      <c r="G145" s="121" t="inlineStr">
        <is>
          <t>MMR001</t>
        </is>
      </c>
      <c r="H145" s="121" t="inlineStr">
        <is>
          <t>Myanmar</t>
        </is>
      </c>
      <c r="I145" s="121" t="inlineStr">
        <is>
          <t>MMR</t>
        </is>
      </c>
      <c r="J145" s="121" t="n">
        <v>104</v>
      </c>
    </row>
    <row r="146">
      <c r="A146" s="121" t="inlineStr">
        <is>
          <t>Puta-O</t>
        </is>
      </c>
      <c r="B146" s="121" t="inlineStr">
        <is>
          <t>ပူတာအို</t>
        </is>
      </c>
      <c r="C146" s="121" t="inlineStr">
        <is>
          <t>MMR001014</t>
        </is>
      </c>
      <c r="D146" s="121" t="inlineStr">
        <is>
          <t>Puta-O</t>
        </is>
      </c>
      <c r="E146" s="121" t="inlineStr">
        <is>
          <t>MMR001D004</t>
        </is>
      </c>
      <c r="F146" s="121" t="inlineStr">
        <is>
          <t>Kachin</t>
        </is>
      </c>
      <c r="G146" s="121" t="inlineStr">
        <is>
          <t>MMR001</t>
        </is>
      </c>
      <c r="H146" s="121" t="inlineStr">
        <is>
          <t>Myanmar</t>
        </is>
      </c>
      <c r="I146" s="121" t="inlineStr">
        <is>
          <t>MMR</t>
        </is>
      </c>
      <c r="J146" s="121" t="n">
        <v>104</v>
      </c>
    </row>
    <row r="147">
      <c r="A147" s="121" t="inlineStr">
        <is>
          <t>Sumprabum</t>
        </is>
      </c>
      <c r="B147" s="121" t="inlineStr">
        <is>
          <t>ဆွမ်ပရာဘွမ်</t>
        </is>
      </c>
      <c r="C147" s="121" t="inlineStr">
        <is>
          <t>MMR001015</t>
        </is>
      </c>
      <c r="D147" s="121" t="inlineStr">
        <is>
          <t>Puta-O</t>
        </is>
      </c>
      <c r="E147" s="121" t="inlineStr">
        <is>
          <t>MMR001D004</t>
        </is>
      </c>
      <c r="F147" s="121" t="inlineStr">
        <is>
          <t>Kachin</t>
        </is>
      </c>
      <c r="G147" s="121" t="inlineStr">
        <is>
          <t>MMR001</t>
        </is>
      </c>
      <c r="H147" s="121" t="inlineStr">
        <is>
          <t>Myanmar</t>
        </is>
      </c>
      <c r="I147" s="121" t="inlineStr">
        <is>
          <t>MMR</t>
        </is>
      </c>
      <c r="J147" s="121" t="n">
        <v>104</v>
      </c>
    </row>
    <row r="148">
      <c r="A148" s="121" t="inlineStr">
        <is>
          <t>Shwegyin</t>
        </is>
      </c>
      <c r="B148" s="121" t="inlineStr">
        <is>
          <t>ရွှေကျင်</t>
        </is>
      </c>
      <c r="C148" s="121" t="inlineStr">
        <is>
          <t>MMR007008</t>
        </is>
      </c>
      <c r="D148" s="121" t="inlineStr">
        <is>
          <t>Bago</t>
        </is>
      </c>
      <c r="E148" s="121" t="inlineStr">
        <is>
          <t>MMR007D001</t>
        </is>
      </c>
      <c r="F148" s="121" t="inlineStr">
        <is>
          <t>Bago</t>
        </is>
      </c>
      <c r="G148" s="121" t="inlineStr">
        <is>
          <t>MMR111</t>
        </is>
      </c>
      <c r="H148" s="121" t="inlineStr">
        <is>
          <t>Myanmar</t>
        </is>
      </c>
      <c r="I148" s="121" t="inlineStr">
        <is>
          <t>MMR</t>
        </is>
      </c>
      <c r="J148" s="121" t="n">
        <v>104</v>
      </c>
    </row>
    <row r="149">
      <c r="A149" s="121" t="inlineStr">
        <is>
          <t>Nyaunglebin</t>
        </is>
      </c>
      <c r="B149" s="121" t="inlineStr">
        <is>
          <t>ညောင်လေးပင်</t>
        </is>
      </c>
      <c r="C149" s="121" t="inlineStr">
        <is>
          <t>MMR007005</t>
        </is>
      </c>
      <c r="D149" s="121" t="inlineStr">
        <is>
          <t>Bago</t>
        </is>
      </c>
      <c r="E149" s="121" t="inlineStr">
        <is>
          <t>MMR007D001</t>
        </is>
      </c>
      <c r="F149" s="121" t="inlineStr">
        <is>
          <t>Bago</t>
        </is>
      </c>
      <c r="G149" s="121" t="inlineStr">
        <is>
          <t>MMR111</t>
        </is>
      </c>
      <c r="H149" s="121" t="inlineStr">
        <is>
          <t>Myanmar</t>
        </is>
      </c>
      <c r="I149" s="121" t="inlineStr">
        <is>
          <t>MMR</t>
        </is>
      </c>
      <c r="J149" s="121" t="n">
        <v>104</v>
      </c>
    </row>
    <row r="150">
      <c r="A150" s="121" t="inlineStr">
        <is>
          <t>Waw</t>
        </is>
      </c>
      <c r="B150" s="121" t="inlineStr">
        <is>
          <t>ဝေါ</t>
        </is>
      </c>
      <c r="C150" s="121" t="inlineStr">
        <is>
          <t>MMR007004</t>
        </is>
      </c>
      <c r="D150" s="121" t="inlineStr">
        <is>
          <t>Bago</t>
        </is>
      </c>
      <c r="E150" s="121" t="inlineStr">
        <is>
          <t>MMR007D001</t>
        </is>
      </c>
      <c r="F150" s="121" t="inlineStr">
        <is>
          <t>Bago</t>
        </is>
      </c>
      <c r="G150" s="121" t="inlineStr">
        <is>
          <t>MMR111</t>
        </is>
      </c>
      <c r="H150" s="121" t="inlineStr">
        <is>
          <t>Myanmar</t>
        </is>
      </c>
      <c r="I150" s="121" t="inlineStr">
        <is>
          <t>MMR</t>
        </is>
      </c>
      <c r="J150" s="121" t="n">
        <v>104</v>
      </c>
    </row>
    <row r="151">
      <c r="A151" s="121" t="inlineStr">
        <is>
          <t>Daik-U</t>
        </is>
      </c>
      <c r="B151" s="121" t="inlineStr">
        <is>
          <t>ဒိုက်ဦး</t>
        </is>
      </c>
      <c r="C151" s="121" t="inlineStr">
        <is>
          <t>MMR007007</t>
        </is>
      </c>
      <c r="D151" s="121" t="inlineStr">
        <is>
          <t>Bago</t>
        </is>
      </c>
      <c r="E151" s="121" t="inlineStr">
        <is>
          <t>MMR007D001</t>
        </is>
      </c>
      <c r="F151" s="121" t="inlineStr">
        <is>
          <t>Bago</t>
        </is>
      </c>
      <c r="G151" s="121" t="inlineStr">
        <is>
          <t>MMR111</t>
        </is>
      </c>
      <c r="H151" s="121" t="inlineStr">
        <is>
          <t>Myanmar</t>
        </is>
      </c>
      <c r="I151" s="121" t="inlineStr">
        <is>
          <t>MMR</t>
        </is>
      </c>
      <c r="J151" s="121" t="n">
        <v>104</v>
      </c>
    </row>
    <row r="152">
      <c r="A152" s="121" t="inlineStr">
        <is>
          <t>Kyauktaga</t>
        </is>
      </c>
      <c r="B152" s="121" t="inlineStr">
        <is>
          <t>ကျောက်တံခါး</t>
        </is>
      </c>
      <c r="C152" s="121" t="inlineStr">
        <is>
          <t>MMR007006</t>
        </is>
      </c>
      <c r="D152" s="121" t="inlineStr">
        <is>
          <t>Bago</t>
        </is>
      </c>
      <c r="E152" s="121" t="inlineStr">
        <is>
          <t>MMR007D001</t>
        </is>
      </c>
      <c r="F152" s="121" t="inlineStr">
        <is>
          <t>Bago</t>
        </is>
      </c>
      <c r="G152" s="121" t="inlineStr">
        <is>
          <t>MMR111</t>
        </is>
      </c>
      <c r="H152" s="121" t="inlineStr">
        <is>
          <t>Myanmar</t>
        </is>
      </c>
      <c r="I152" s="121" t="inlineStr">
        <is>
          <t>MMR</t>
        </is>
      </c>
      <c r="J152" s="121" t="n">
        <v>104</v>
      </c>
    </row>
    <row r="153">
      <c r="A153" s="121" t="inlineStr">
        <is>
          <t>Mindon</t>
        </is>
      </c>
      <c r="B153" s="121" t="inlineStr">
        <is>
          <t>မင်းတုန်း</t>
        </is>
      </c>
      <c r="C153" s="121" t="inlineStr">
        <is>
          <t>MMR009014</t>
        </is>
      </c>
      <c r="D153" s="121" t="inlineStr">
        <is>
          <t>Thayet</t>
        </is>
      </c>
      <c r="E153" s="121" t="inlineStr">
        <is>
          <t>MMR009D003</t>
        </is>
      </c>
      <c r="F153" s="121" t="inlineStr">
        <is>
          <t>Magway</t>
        </is>
      </c>
      <c r="G153" s="121" t="inlineStr">
        <is>
          <t>MMR009</t>
        </is>
      </c>
      <c r="H153" s="121" t="inlineStr">
        <is>
          <t>Myanmar</t>
        </is>
      </c>
      <c r="I153" s="121" t="inlineStr">
        <is>
          <t>MMR</t>
        </is>
      </c>
      <c r="J153" s="121" t="n">
        <v>104</v>
      </c>
    </row>
    <row r="154">
      <c r="A154" s="121" t="inlineStr">
        <is>
          <t>Zay Yar Thi Ri</t>
        </is>
      </c>
      <c r="B154" s="121" t="inlineStr">
        <is>
          <t>ဇေယျာသီရိ</t>
        </is>
      </c>
      <c r="C154" s="121" t="inlineStr">
        <is>
          <t>MMR018001</t>
        </is>
      </c>
      <c r="D154" s="121" t="inlineStr">
        <is>
          <t>Oke Ta Ra</t>
        </is>
      </c>
      <c r="E154" s="121" t="inlineStr">
        <is>
          <t>MMR018D001</t>
        </is>
      </c>
      <c r="F154" s="121" t="inlineStr">
        <is>
          <t>Nay Pyi Taw</t>
        </is>
      </c>
      <c r="G154" s="121" t="inlineStr">
        <is>
          <t>MMR018</t>
        </is>
      </c>
      <c r="H154" s="121" t="inlineStr">
        <is>
          <t>Myanmar</t>
        </is>
      </c>
      <c r="I154" s="121" t="inlineStr">
        <is>
          <t>MMR</t>
        </is>
      </c>
      <c r="J154" s="121" t="n">
        <v>104</v>
      </c>
    </row>
    <row r="155">
      <c r="A155" s="121" t="inlineStr">
        <is>
          <t>Pinlaung</t>
        </is>
      </c>
      <c r="B155" s="121" t="inlineStr">
        <is>
          <t>ပင်လောင်း</t>
        </is>
      </c>
      <c r="C155" s="121" t="inlineStr">
        <is>
          <t>MMR014009</t>
        </is>
      </c>
      <c r="D155" s="121" t="inlineStr">
        <is>
          <t>Pa-O Self-Administered Zone</t>
        </is>
      </c>
      <c r="E155" s="121" t="inlineStr">
        <is>
          <t>MMR014S002</t>
        </is>
      </c>
      <c r="F155" s="121" t="inlineStr">
        <is>
          <t>Shan</t>
        </is>
      </c>
      <c r="G155" s="121" t="inlineStr">
        <is>
          <t>MMR222</t>
        </is>
      </c>
      <c r="H155" s="121" t="inlineStr">
        <is>
          <t>Myanmar</t>
        </is>
      </c>
      <c r="I155" s="121" t="inlineStr">
        <is>
          <t>MMR</t>
        </is>
      </c>
      <c r="J155" s="121" t="n">
        <v>104</v>
      </c>
    </row>
    <row r="156">
      <c r="A156" s="121" t="inlineStr">
        <is>
          <t>Poke Ba Thi Ri</t>
        </is>
      </c>
      <c r="B156" s="121" t="inlineStr">
        <is>
          <t>ပုဗ္ဗသီရိ</t>
        </is>
      </c>
      <c r="C156" s="121" t="inlineStr">
        <is>
          <t>MMR018005</t>
        </is>
      </c>
      <c r="D156" s="121" t="inlineStr">
        <is>
          <t>Oke Ta Ra</t>
        </is>
      </c>
      <c r="E156" s="121" t="inlineStr">
        <is>
          <t>MMR018D001</t>
        </is>
      </c>
      <c r="F156" s="121" t="inlineStr">
        <is>
          <t>Nay Pyi Taw</t>
        </is>
      </c>
      <c r="G156" s="121" t="inlineStr">
        <is>
          <t>MMR018</t>
        </is>
      </c>
      <c r="H156" s="121" t="inlineStr">
        <is>
          <t>Myanmar</t>
        </is>
      </c>
      <c r="I156" s="121" t="inlineStr">
        <is>
          <t>MMR</t>
        </is>
      </c>
      <c r="J156" s="121" t="n">
        <v>104</v>
      </c>
    </row>
    <row r="157">
      <c r="A157" s="121" t="inlineStr">
        <is>
          <t>Pyinmana</t>
        </is>
      </c>
      <c r="B157" s="121" t="inlineStr">
        <is>
          <t>ပျဉ်းမနား</t>
        </is>
      </c>
      <c r="C157" s="121" t="inlineStr">
        <is>
          <t>MMR018006</t>
        </is>
      </c>
      <c r="D157" s="121" t="inlineStr">
        <is>
          <t>Det Khi Na</t>
        </is>
      </c>
      <c r="E157" s="121" t="inlineStr">
        <is>
          <t>MMR018D002</t>
        </is>
      </c>
      <c r="F157" s="121" t="inlineStr">
        <is>
          <t>Nay Pyi Taw</t>
        </is>
      </c>
      <c r="G157" s="121" t="inlineStr">
        <is>
          <t>MMR018</t>
        </is>
      </c>
      <c r="H157" s="121" t="inlineStr">
        <is>
          <t>Myanmar</t>
        </is>
      </c>
      <c r="I157" s="121" t="inlineStr">
        <is>
          <t>MMR</t>
        </is>
      </c>
      <c r="J157" s="121" t="n">
        <v>104</v>
      </c>
    </row>
    <row r="158">
      <c r="A158" s="121" t="inlineStr">
        <is>
          <t>Pekon</t>
        </is>
      </c>
      <c r="B158" s="121" t="inlineStr">
        <is>
          <t>ဖယ်ခုံ</t>
        </is>
      </c>
      <c r="C158" s="121" t="inlineStr">
        <is>
          <t>MMR014010</t>
        </is>
      </c>
      <c r="D158" s="121" t="inlineStr">
        <is>
          <t>Taunggyi</t>
        </is>
      </c>
      <c r="E158" s="121" t="inlineStr">
        <is>
          <t>MMR014D001</t>
        </is>
      </c>
      <c r="F158" s="121" t="inlineStr">
        <is>
          <t>Shan</t>
        </is>
      </c>
      <c r="G158" s="121" t="inlineStr">
        <is>
          <t>MMR222</t>
        </is>
      </c>
      <c r="H158" s="121" t="inlineStr">
        <is>
          <t>Myanmar</t>
        </is>
      </c>
      <c r="I158" s="121" t="inlineStr">
        <is>
          <t>MMR</t>
        </is>
      </c>
      <c r="J158" s="121" t="n">
        <v>104</v>
      </c>
    </row>
    <row r="159">
      <c r="A159" s="121" t="inlineStr">
        <is>
          <t>Thandaunggyi</t>
        </is>
      </c>
      <c r="B159" s="121" t="inlineStr">
        <is>
          <t>သံတောင်ကြီး</t>
        </is>
      </c>
      <c r="C159" s="121" t="inlineStr">
        <is>
          <t>MMR003004</t>
        </is>
      </c>
      <c r="D159" s="121" t="inlineStr">
        <is>
          <t>Hpa-An</t>
        </is>
      </c>
      <c r="E159" s="121" t="inlineStr">
        <is>
          <t>MMR003D001</t>
        </is>
      </c>
      <c r="F159" s="121" t="inlineStr">
        <is>
          <t>Kayin</t>
        </is>
      </c>
      <c r="G159" s="121" t="inlineStr">
        <is>
          <t>MMR003</t>
        </is>
      </c>
      <c r="H159" s="121" t="inlineStr">
        <is>
          <t>Myanmar</t>
        </is>
      </c>
      <c r="I159" s="121" t="inlineStr">
        <is>
          <t>MMR</t>
        </is>
      </c>
      <c r="J159" s="121" t="n">
        <v>104</v>
      </c>
    </row>
    <row r="160">
      <c r="A160" s="121" t="inlineStr">
        <is>
          <t>Kyauktan</t>
        </is>
      </c>
      <c r="B160" s="121" t="inlineStr">
        <is>
          <t>ကျောက်တန်း</t>
        </is>
      </c>
      <c r="C160" s="121" t="inlineStr">
        <is>
          <t>MMR013024</t>
        </is>
      </c>
      <c r="D160" s="121" t="inlineStr">
        <is>
          <t>Yangon (South)</t>
        </is>
      </c>
      <c r="E160" s="121" t="inlineStr">
        <is>
          <t>MMR013D003</t>
        </is>
      </c>
      <c r="F160" s="121" t="inlineStr">
        <is>
          <t>Yangon</t>
        </is>
      </c>
      <c r="G160" s="121" t="inlineStr">
        <is>
          <t>MMR013</t>
        </is>
      </c>
      <c r="H160" s="121" t="inlineStr">
        <is>
          <t>Myanmar</t>
        </is>
      </c>
      <c r="I160" s="121" t="inlineStr">
        <is>
          <t>MMR</t>
        </is>
      </c>
      <c r="J160" s="121" t="n">
        <v>104</v>
      </c>
    </row>
    <row r="161" ht="302.45" customHeight="1">
      <c r="A161" s="121" t="inlineStr">
        <is>
          <t>Bago</t>
        </is>
      </c>
      <c r="B161" s="121" t="inlineStr">
        <is>
          <t>ပဲခူး</t>
        </is>
      </c>
      <c r="C161" s="121" t="inlineStr">
        <is>
          <t>MMR007001</t>
        </is>
      </c>
      <c r="D161" s="257" t="inlineStr">
        <is>
          <t>During the past 30 days, did anyone in your household consume seed stocks that were to be held/saved for the next planting season to cope with a lack of food or money to buy it?
[OPERATOR: SINGLE RESPONSE]
1)Yes
2)No - because it wasn't necessary
3)No - because you already sold those assets or did this activity within the last 12 months and you cannot continue to do it
4)Not applicable [don't have these assets]</t>
        </is>
      </c>
      <c r="E161" s="121" t="inlineStr">
        <is>
          <t>MMR007D001</t>
        </is>
      </c>
      <c r="F161" s="121" t="inlineStr">
        <is>
          <t>Bago</t>
        </is>
      </c>
      <c r="G161" s="121" t="inlineStr">
        <is>
          <t>MMR111</t>
        </is>
      </c>
      <c r="H161" s="121" t="inlineStr">
        <is>
          <t>Myanmar</t>
        </is>
      </c>
      <c r="I161" s="121" t="inlineStr">
        <is>
          <t>MMR</t>
        </is>
      </c>
      <c r="J161" s="121" t="n">
        <v>104</v>
      </c>
    </row>
    <row r="162">
      <c r="A162" s="121" t="inlineStr">
        <is>
          <t>Bawlake</t>
        </is>
      </c>
      <c r="B162" s="121" t="inlineStr">
        <is>
          <t>ဘောလခဲ</t>
        </is>
      </c>
      <c r="C162" s="121" t="inlineStr">
        <is>
          <t>MMR002005</t>
        </is>
      </c>
      <c r="D162" s="121" t="inlineStr">
        <is>
          <t>Bawlake</t>
        </is>
      </c>
      <c r="E162" s="121" t="inlineStr">
        <is>
          <t>MMR002D002</t>
        </is>
      </c>
      <c r="F162" s="121" t="inlineStr">
        <is>
          <t>Kayah</t>
        </is>
      </c>
      <c r="G162" s="121" t="inlineStr">
        <is>
          <t>MMR002</t>
        </is>
      </c>
      <c r="H162" s="121" t="inlineStr">
        <is>
          <t>Myanmar</t>
        </is>
      </c>
      <c r="I162" s="121" t="inlineStr">
        <is>
          <t>MMR</t>
        </is>
      </c>
      <c r="J162" s="121" t="n">
        <v>104</v>
      </c>
    </row>
    <row r="163">
      <c r="A163" s="121" t="inlineStr">
        <is>
          <t>Hsipaw</t>
        </is>
      </c>
      <c r="B163" s="121" t="inlineStr">
        <is>
          <t>သီပေါ</t>
        </is>
      </c>
      <c r="C163" s="121" t="inlineStr">
        <is>
          <t>MMR015014</t>
        </is>
      </c>
      <c r="D163" s="121" t="inlineStr">
        <is>
          <t>Kyaukme</t>
        </is>
      </c>
      <c r="E163" s="121" t="inlineStr">
        <is>
          <t>MMR015D003</t>
        </is>
      </c>
      <c r="F163" s="121" t="inlineStr">
        <is>
          <t>Shan</t>
        </is>
      </c>
      <c r="G163" s="121" t="inlineStr">
        <is>
          <t>MMR222</t>
        </is>
      </c>
      <c r="H163" s="121" t="inlineStr">
        <is>
          <t>Myanmar</t>
        </is>
      </c>
      <c r="I163" s="121" t="inlineStr">
        <is>
          <t>MMR</t>
        </is>
      </c>
      <c r="J163" s="121" t="n">
        <v>104</v>
      </c>
    </row>
    <row r="164">
      <c r="A164" s="121" t="inlineStr">
        <is>
          <t>Lawksawk</t>
        </is>
      </c>
      <c r="B164" s="121" t="inlineStr">
        <is>
          <t>ရပ်စောက်</t>
        </is>
      </c>
      <c r="C164" s="121" t="inlineStr">
        <is>
          <t>MMR014008</t>
        </is>
      </c>
      <c r="D164" s="121" t="inlineStr">
        <is>
          <t>Taunggyi</t>
        </is>
      </c>
      <c r="E164" s="121" t="inlineStr">
        <is>
          <t>MMR014D001</t>
        </is>
      </c>
      <c r="F164" s="121" t="inlineStr">
        <is>
          <t>Shan</t>
        </is>
      </c>
      <c r="G164" s="121" t="inlineStr">
        <is>
          <t>MMR222</t>
        </is>
      </c>
      <c r="H164" s="121" t="inlineStr">
        <is>
          <t>Myanmar</t>
        </is>
      </c>
      <c r="I164" s="121" t="inlineStr">
        <is>
          <t>MMR</t>
        </is>
      </c>
      <c r="J164" s="121" t="n">
        <v>104</v>
      </c>
    </row>
    <row r="165">
      <c r="A165" s="121" t="inlineStr">
        <is>
          <t>Htantabin</t>
        </is>
      </c>
      <c r="B165" s="121" t="inlineStr">
        <is>
          <t>ထန်းတပင်</t>
        </is>
      </c>
      <c r="C165" s="121" t="inlineStr">
        <is>
          <t>MMR013006</t>
        </is>
      </c>
      <c r="D165" s="121" t="inlineStr">
        <is>
          <t>Yangon (North)</t>
        </is>
      </c>
      <c r="E165" s="121" t="inlineStr">
        <is>
          <t>MMR013D001</t>
        </is>
      </c>
      <c r="F165" s="121" t="inlineStr">
        <is>
          <t>Yangon</t>
        </is>
      </c>
      <c r="G165" s="121" t="inlineStr">
        <is>
          <t>MMR013</t>
        </is>
      </c>
      <c r="H165" s="121" t="inlineStr">
        <is>
          <t>Myanmar</t>
        </is>
      </c>
      <c r="I165" s="121" t="inlineStr">
        <is>
          <t>MMR</t>
        </is>
      </c>
      <c r="J165" s="121" t="n">
        <v>104</v>
      </c>
    </row>
    <row r="166">
      <c r="A166" s="121" t="inlineStr">
        <is>
          <t>Nyaungdon</t>
        </is>
      </c>
      <c r="B166" s="121" t="inlineStr">
        <is>
          <t>ညောင်တုန်း</t>
        </is>
      </c>
      <c r="C166" s="121" t="inlineStr">
        <is>
          <t>MMR017021</t>
        </is>
      </c>
      <c r="D166" s="121" t="inlineStr">
        <is>
          <t>Maubin</t>
        </is>
      </c>
      <c r="E166" s="121" t="inlineStr">
        <is>
          <t>MMR017D005</t>
        </is>
      </c>
      <c r="F166" s="121" t="inlineStr">
        <is>
          <t>Ayeyarwady</t>
        </is>
      </c>
      <c r="G166" s="121" t="inlineStr">
        <is>
          <t>MMR017</t>
        </is>
      </c>
      <c r="H166" s="121" t="inlineStr">
        <is>
          <t>Myanmar</t>
        </is>
      </c>
      <c r="I166" s="121" t="inlineStr">
        <is>
          <t>MMR</t>
        </is>
      </c>
      <c r="J166" s="121" t="n">
        <v>104</v>
      </c>
    </row>
    <row r="167">
      <c r="A167" s="121" t="inlineStr">
        <is>
          <t>Hlaingtharya (West)</t>
        </is>
      </c>
      <c r="B167" s="121" t="inlineStr">
        <is>
          <t>လှိုင်သာယာ (အနောက်ပိုင်း)</t>
        </is>
      </c>
      <c r="C167" s="121" t="inlineStr">
        <is>
          <t>MMR013047</t>
        </is>
      </c>
      <c r="D167" s="121" t="inlineStr">
        <is>
          <t>Yangon (North)</t>
        </is>
      </c>
      <c r="E167" s="121" t="inlineStr">
        <is>
          <t>MMR013D001</t>
        </is>
      </c>
      <c r="F167" s="121" t="inlineStr">
        <is>
          <t>Yangon</t>
        </is>
      </c>
      <c r="G167" s="121" t="inlineStr">
        <is>
          <t>MMR013</t>
        </is>
      </c>
      <c r="H167" s="121" t="inlineStr">
        <is>
          <t>Myanmar</t>
        </is>
      </c>
      <c r="I167" s="121" t="inlineStr">
        <is>
          <t>MMR</t>
        </is>
      </c>
      <c r="J167" s="121" t="n">
        <v>104</v>
      </c>
    </row>
    <row r="168">
      <c r="A168" s="121" t="inlineStr">
        <is>
          <t>Lemyethna</t>
        </is>
      </c>
      <c r="B168" s="121" t="inlineStr">
        <is>
          <t>လေးမျက်နှာ</t>
        </is>
      </c>
      <c r="C168" s="121" t="inlineStr">
        <is>
          <t>MMR017010</t>
        </is>
      </c>
      <c r="D168" s="121" t="inlineStr">
        <is>
          <t>Hinthada</t>
        </is>
      </c>
      <c r="E168" s="121" t="inlineStr">
        <is>
          <t>MMR017D002</t>
        </is>
      </c>
      <c r="F168" s="121" t="inlineStr">
        <is>
          <t>Ayeyarwady</t>
        </is>
      </c>
      <c r="G168" s="121" t="inlineStr">
        <is>
          <t>MMR017</t>
        </is>
      </c>
      <c r="H168" s="121" t="inlineStr">
        <is>
          <t>Myanmar</t>
        </is>
      </c>
      <c r="I168" s="121" t="inlineStr">
        <is>
          <t>MMR</t>
        </is>
      </c>
      <c r="J168" s="121" t="n">
        <v>104</v>
      </c>
    </row>
    <row r="169">
      <c r="A169" s="121" t="inlineStr">
        <is>
          <t>Mawlamyinegyun</t>
        </is>
      </c>
      <c r="B169" s="121" t="inlineStr">
        <is>
          <t>မော်လမြိုင်ကျွန်း</t>
        </is>
      </c>
      <c r="C169" s="121" t="inlineStr">
        <is>
          <t>MMR017018</t>
        </is>
      </c>
      <c r="D169" s="121" t="inlineStr">
        <is>
          <t>Labutta</t>
        </is>
      </c>
      <c r="E169" s="121" t="inlineStr">
        <is>
          <t>MMR017D004</t>
        </is>
      </c>
      <c r="F169" s="121" t="inlineStr">
        <is>
          <t>Ayeyarwady</t>
        </is>
      </c>
      <c r="G169" s="121" t="inlineStr">
        <is>
          <t>MMR017</t>
        </is>
      </c>
      <c r="H169" s="121" t="inlineStr">
        <is>
          <t>Myanmar</t>
        </is>
      </c>
      <c r="I169" s="121" t="inlineStr">
        <is>
          <t>MMR</t>
        </is>
      </c>
      <c r="J169" s="121" t="n">
        <v>104</v>
      </c>
    </row>
    <row r="170">
      <c r="A170" s="121" t="inlineStr">
        <is>
          <t>Einme</t>
        </is>
      </c>
      <c r="B170" s="121" t="inlineStr">
        <is>
          <t>အိမ်မဲ</t>
        </is>
      </c>
      <c r="C170" s="121" t="inlineStr">
        <is>
          <t>MMR017015</t>
        </is>
      </c>
      <c r="D170" s="121" t="inlineStr">
        <is>
          <t>Myaungmya</t>
        </is>
      </c>
      <c r="E170" s="121" t="inlineStr">
        <is>
          <t>MMR017D003</t>
        </is>
      </c>
      <c r="F170" s="121" t="inlineStr">
        <is>
          <t>Ayeyarwady</t>
        </is>
      </c>
      <c r="G170" s="121" t="inlineStr">
        <is>
          <t>MMR017</t>
        </is>
      </c>
      <c r="H170" s="121" t="inlineStr">
        <is>
          <t>Myanmar</t>
        </is>
      </c>
      <c r="I170" s="121" t="inlineStr">
        <is>
          <t>MMR</t>
        </is>
      </c>
      <c r="J170" s="121" t="n">
        <v>104</v>
      </c>
    </row>
    <row r="171">
      <c r="A171" s="121" t="inlineStr">
        <is>
          <t>Pathein</t>
        </is>
      </c>
      <c r="B171" s="121" t="inlineStr">
        <is>
          <t>ပုသိမ်</t>
        </is>
      </c>
      <c r="C171" s="121" t="inlineStr">
        <is>
          <t>MMR017001</t>
        </is>
      </c>
      <c r="D171" s="121" t="inlineStr">
        <is>
          <t>Pathein</t>
        </is>
      </c>
      <c r="E171" s="121" t="inlineStr">
        <is>
          <t>MMR017D001</t>
        </is>
      </c>
      <c r="F171" s="121" t="inlineStr">
        <is>
          <t>Ayeyarwady</t>
        </is>
      </c>
      <c r="G171" s="121" t="inlineStr">
        <is>
          <t>MMR017</t>
        </is>
      </c>
      <c r="H171" s="121" t="inlineStr">
        <is>
          <t>Myanmar</t>
        </is>
      </c>
      <c r="I171" s="121" t="inlineStr">
        <is>
          <t>MMR</t>
        </is>
      </c>
      <c r="J171" s="121" t="n">
        <v>104</v>
      </c>
    </row>
    <row r="172">
      <c r="A172" s="121" t="inlineStr">
        <is>
          <t>Maubin</t>
        </is>
      </c>
      <c r="B172" s="121" t="inlineStr">
        <is>
          <t>မအူပင်</t>
        </is>
      </c>
      <c r="C172" s="121" t="inlineStr">
        <is>
          <t>MMR017019</t>
        </is>
      </c>
      <c r="D172" s="121" t="inlineStr">
        <is>
          <t>Maubin</t>
        </is>
      </c>
      <c r="E172" s="121" t="inlineStr">
        <is>
          <t>MMR017D005</t>
        </is>
      </c>
      <c r="F172" s="121" t="inlineStr">
        <is>
          <t>Ayeyarwady</t>
        </is>
      </c>
      <c r="G172" s="121" t="inlineStr">
        <is>
          <t>MMR017</t>
        </is>
      </c>
      <c r="H172" s="121" t="inlineStr">
        <is>
          <t>Myanmar</t>
        </is>
      </c>
      <c r="I172" s="121" t="inlineStr">
        <is>
          <t>MMR</t>
        </is>
      </c>
      <c r="J172" s="121" t="n">
        <v>104</v>
      </c>
    </row>
    <row r="173">
      <c r="A173" s="121" t="inlineStr">
        <is>
          <t>Seikgyikanaungto</t>
        </is>
      </c>
      <c r="B173" s="121" t="inlineStr">
        <is>
          <t>ဆိပ်ကြီး/ခနောင်တို</t>
        </is>
      </c>
      <c r="C173" s="121" t="inlineStr">
        <is>
          <t>MMR013031</t>
        </is>
      </c>
      <c r="D173" s="121" t="inlineStr">
        <is>
          <t>Yangon (South)</t>
        </is>
      </c>
      <c r="E173" s="121" t="inlineStr">
        <is>
          <t>MMR013D003</t>
        </is>
      </c>
      <c r="F173" s="121" t="inlineStr">
        <is>
          <t>Yangon</t>
        </is>
      </c>
      <c r="G173" s="121" t="inlineStr">
        <is>
          <t>MMR013</t>
        </is>
      </c>
      <c r="H173" s="121" t="inlineStr">
        <is>
          <t>Myanmar</t>
        </is>
      </c>
      <c r="I173" s="121" t="inlineStr">
        <is>
          <t>MMR</t>
        </is>
      </c>
      <c r="J173" s="121" t="n">
        <v>104</v>
      </c>
    </row>
    <row r="174">
      <c r="A174" s="121" t="inlineStr">
        <is>
          <t>Tanintharyi</t>
        </is>
      </c>
      <c r="B174" s="121" t="inlineStr">
        <is>
          <t>တနင်္သာရီ</t>
        </is>
      </c>
      <c r="C174" s="121" t="inlineStr">
        <is>
          <t>MMR006008</t>
        </is>
      </c>
      <c r="D174" s="121" t="inlineStr">
        <is>
          <t>Myeik</t>
        </is>
      </c>
      <c r="E174" s="121" t="inlineStr">
        <is>
          <t>MMR006D002</t>
        </is>
      </c>
      <c r="F174" s="121" t="inlineStr">
        <is>
          <t>Tanintharyi</t>
        </is>
      </c>
      <c r="G174" s="121" t="inlineStr">
        <is>
          <t>MMR006</t>
        </is>
      </c>
      <c r="H174" s="121" t="inlineStr">
        <is>
          <t>Myanmar</t>
        </is>
      </c>
      <c r="I174" s="121" t="inlineStr">
        <is>
          <t>MMR</t>
        </is>
      </c>
      <c r="J174" s="121" t="n">
        <v>104</v>
      </c>
    </row>
    <row r="175">
      <c r="A175" s="121" t="inlineStr">
        <is>
          <t>Thaton</t>
        </is>
      </c>
      <c r="B175" s="121" t="inlineStr">
        <is>
          <t>သထုံ</t>
        </is>
      </c>
      <c r="C175" s="121" t="inlineStr">
        <is>
          <t>MMR011007</t>
        </is>
      </c>
      <c r="D175" s="121" t="inlineStr">
        <is>
          <t>Thaton</t>
        </is>
      </c>
      <c r="E175" s="121" t="inlineStr">
        <is>
          <t>MMR011D002</t>
        </is>
      </c>
      <c r="F175" s="121" t="inlineStr">
        <is>
          <t>Mon</t>
        </is>
      </c>
      <c r="G175" s="121" t="inlineStr">
        <is>
          <t>MMR011</t>
        </is>
      </c>
      <c r="H175" s="121" t="inlineStr">
        <is>
          <t>Myanmar</t>
        </is>
      </c>
      <c r="I175" s="121" t="inlineStr">
        <is>
          <t>MMR</t>
        </is>
      </c>
      <c r="J175" s="121" t="n">
        <v>104</v>
      </c>
    </row>
    <row r="176">
      <c r="A176" s="121" t="inlineStr">
        <is>
          <t>Kyainseikgyi</t>
        </is>
      </c>
      <c r="B176" s="121" t="inlineStr">
        <is>
          <t>ကြာအင်းဆိပ်ကြီး</t>
        </is>
      </c>
      <c r="C176" s="121" t="inlineStr">
        <is>
          <t>MMR003007</t>
        </is>
      </c>
      <c r="D176" s="121" t="inlineStr">
        <is>
          <t>Kawkareik</t>
        </is>
      </c>
      <c r="E176" s="121" t="inlineStr">
        <is>
          <t>MMR003D003</t>
        </is>
      </c>
      <c r="F176" s="121" t="inlineStr">
        <is>
          <t>Kayin</t>
        </is>
      </c>
      <c r="G176" s="121" t="inlineStr">
        <is>
          <t>MMR003</t>
        </is>
      </c>
      <c r="H176" s="121" t="inlineStr">
        <is>
          <t>Myanmar</t>
        </is>
      </c>
      <c r="I176" s="121" t="inlineStr">
        <is>
          <t>MMR</t>
        </is>
      </c>
      <c r="J176" s="121" t="n">
        <v>104</v>
      </c>
    </row>
    <row r="177">
      <c r="A177" s="121" t="inlineStr">
        <is>
          <t>Za Bu Thi Ri</t>
        </is>
      </c>
      <c r="B177" s="121" t="inlineStr">
        <is>
          <t>ဇမ္ဗူသီရိ</t>
        </is>
      </c>
      <c r="C177" s="121" t="inlineStr">
        <is>
          <t>MMR018002</t>
        </is>
      </c>
      <c r="D177" s="121" t="inlineStr">
        <is>
          <t>Det Khi Na</t>
        </is>
      </c>
      <c r="E177" s="121" t="inlineStr">
        <is>
          <t>MMR018D002</t>
        </is>
      </c>
      <c r="F177" s="121" t="inlineStr">
        <is>
          <t>Nay Pyi Taw</t>
        </is>
      </c>
      <c r="G177" s="121" t="inlineStr">
        <is>
          <t>MMR018</t>
        </is>
      </c>
      <c r="H177" s="121" t="inlineStr">
        <is>
          <t>Myanmar</t>
        </is>
      </c>
      <c r="I177" s="121" t="inlineStr">
        <is>
          <t>MMR</t>
        </is>
      </c>
      <c r="J177" s="121" t="n">
        <v>104</v>
      </c>
    </row>
    <row r="178">
      <c r="A178" s="121" t="inlineStr">
        <is>
          <t>Paletwa</t>
        </is>
      </c>
      <c r="B178" s="121" t="inlineStr">
        <is>
          <t>ပလက်ဝ</t>
        </is>
      </c>
      <c r="C178" s="121" t="inlineStr">
        <is>
          <t>MMR004009</t>
        </is>
      </c>
      <c r="D178" s="121" t="inlineStr">
        <is>
          <t>Matupi</t>
        </is>
      </c>
      <c r="E178" s="121" t="inlineStr">
        <is>
          <t>MMR004D004</t>
        </is>
      </c>
      <c r="F178" s="121" t="inlineStr">
        <is>
          <t>Chin</t>
        </is>
      </c>
      <c r="G178" s="121" t="inlineStr">
        <is>
          <t>MMR004</t>
        </is>
      </c>
      <c r="H178" s="121" t="inlineStr">
        <is>
          <t>Myanmar</t>
        </is>
      </c>
      <c r="I178" s="121" t="inlineStr">
        <is>
          <t>MMR</t>
        </is>
      </c>
      <c r="J178" s="121" t="n">
        <v>104</v>
      </c>
    </row>
    <row r="179">
      <c r="A179" s="121" t="inlineStr">
        <is>
          <t>Kanpetlet</t>
        </is>
      </c>
      <c r="B179" s="121" t="inlineStr">
        <is>
          <t>ကန်ပက်လက်</t>
        </is>
      </c>
      <c r="C179" s="121" t="inlineStr">
        <is>
          <t>MMR004008</t>
        </is>
      </c>
      <c r="D179" s="121" t="inlineStr">
        <is>
          <t>Mindat</t>
        </is>
      </c>
      <c r="E179" s="121" t="inlineStr">
        <is>
          <t>MMR004D002</t>
        </is>
      </c>
      <c r="F179" s="121" t="inlineStr">
        <is>
          <t>Chin</t>
        </is>
      </c>
      <c r="G179" s="121" t="inlineStr">
        <is>
          <t>MMR004</t>
        </is>
      </c>
      <c r="H179" s="121" t="inlineStr">
        <is>
          <t>Myanmar</t>
        </is>
      </c>
      <c r="I179" s="121" t="inlineStr">
        <is>
          <t>MMR</t>
        </is>
      </c>
      <c r="J179" s="121" t="n">
        <v>104</v>
      </c>
    </row>
    <row r="180">
      <c r="A180" s="121" t="inlineStr">
        <is>
          <t>Kyauktaw</t>
        </is>
      </c>
      <c r="B180" s="121" t="inlineStr">
        <is>
          <t>ကျောက်တော်</t>
        </is>
      </c>
      <c r="C180" s="121" t="inlineStr">
        <is>
          <t>MMR012004</t>
        </is>
      </c>
      <c r="D180" s="121" t="inlineStr">
        <is>
          <t>Mrauk-U</t>
        </is>
      </c>
      <c r="E180" s="121" t="inlineStr">
        <is>
          <t>MMR012D005</t>
        </is>
      </c>
      <c r="F180" s="121" t="inlineStr">
        <is>
          <t>Rakhine</t>
        </is>
      </c>
      <c r="G180" s="121" t="inlineStr">
        <is>
          <t>MMR012</t>
        </is>
      </c>
      <c r="H180" s="121" t="inlineStr">
        <is>
          <t>Myanmar</t>
        </is>
      </c>
      <c r="I180" s="121" t="inlineStr">
        <is>
          <t>MMR</t>
        </is>
      </c>
      <c r="J180" s="121" t="n">
        <v>104</v>
      </c>
    </row>
    <row r="181">
      <c r="A181" s="121" t="inlineStr">
        <is>
          <t>Mrauk-U</t>
        </is>
      </c>
      <c r="B181" s="121" t="inlineStr">
        <is>
          <t>မြောက်ဦး</t>
        </is>
      </c>
      <c r="C181" s="121" t="inlineStr">
        <is>
          <t>MMR012003</t>
        </is>
      </c>
      <c r="D181" s="121" t="inlineStr">
        <is>
          <t>Mrauk-U</t>
        </is>
      </c>
      <c r="E181" s="121" t="inlineStr">
        <is>
          <t>MMR012D005</t>
        </is>
      </c>
      <c r="F181" s="121" t="inlineStr">
        <is>
          <t>Rakhine</t>
        </is>
      </c>
      <c r="G181" s="121" t="inlineStr">
        <is>
          <t>MMR012</t>
        </is>
      </c>
      <c r="H181" s="121" t="inlineStr">
        <is>
          <t>Myanmar</t>
        </is>
      </c>
      <c r="I181" s="121" t="inlineStr">
        <is>
          <t>MMR</t>
        </is>
      </c>
      <c r="J181" s="121" t="n">
        <v>104</v>
      </c>
    </row>
    <row r="182">
      <c r="A182" s="121" t="inlineStr">
        <is>
          <t>Buthidaung</t>
        </is>
      </c>
      <c r="B182" s="121" t="inlineStr">
        <is>
          <t>ဘူးသီးတောင်</t>
        </is>
      </c>
      <c r="C182" s="121" t="inlineStr">
        <is>
          <t>MMR012010</t>
        </is>
      </c>
      <c r="D182" s="121" t="inlineStr">
        <is>
          <t>Maungdaw</t>
        </is>
      </c>
      <c r="E182" s="121" t="inlineStr">
        <is>
          <t>MMR012D002</t>
        </is>
      </c>
      <c r="F182" s="121" t="inlineStr">
        <is>
          <t>Rakhine</t>
        </is>
      </c>
      <c r="G182" s="121" t="inlineStr">
        <is>
          <t>MMR012</t>
        </is>
      </c>
      <c r="H182" s="121" t="inlineStr">
        <is>
          <t>Myanmar</t>
        </is>
      </c>
      <c r="I182" s="121" t="inlineStr">
        <is>
          <t>MMR</t>
        </is>
      </c>
      <c r="J182" s="121" t="n">
        <v>104</v>
      </c>
    </row>
    <row r="183">
      <c r="A183" s="121" t="inlineStr">
        <is>
          <t>Kawkareik</t>
        </is>
      </c>
      <c r="B183" s="121" t="inlineStr">
        <is>
          <t>ကော့ကရိတ်</t>
        </is>
      </c>
      <c r="C183" s="121" t="inlineStr">
        <is>
          <t>MMR003006</t>
        </is>
      </c>
      <c r="D183" s="121" t="inlineStr">
        <is>
          <t>Kawkareik</t>
        </is>
      </c>
      <c r="E183" s="121" t="inlineStr">
        <is>
          <t>MMR003D003</t>
        </is>
      </c>
      <c r="F183" s="121" t="inlineStr">
        <is>
          <t>Kayin</t>
        </is>
      </c>
      <c r="G183" s="121" t="inlineStr">
        <is>
          <t>MMR003</t>
        </is>
      </c>
      <c r="H183" s="121" t="inlineStr">
        <is>
          <t>Myanmar</t>
        </is>
      </c>
      <c r="I183" s="121" t="inlineStr">
        <is>
          <t>MMR</t>
        </is>
      </c>
      <c r="J183" s="121" t="n">
        <v>104</v>
      </c>
    </row>
    <row r="184">
      <c r="A184" s="121" t="inlineStr">
        <is>
          <t>Kyaikmaraw</t>
        </is>
      </c>
      <c r="B184" s="121" t="inlineStr">
        <is>
          <t>ကျိုက်မရော</t>
        </is>
      </c>
      <c r="C184" s="121" t="inlineStr">
        <is>
          <t>MMR011002</t>
        </is>
      </c>
      <c r="D184" s="121" t="inlineStr">
        <is>
          <t>Mawlamyine</t>
        </is>
      </c>
      <c r="E184" s="121" t="inlineStr">
        <is>
          <t>MMR011D001</t>
        </is>
      </c>
      <c r="F184" s="121" t="inlineStr">
        <is>
          <t>Mon</t>
        </is>
      </c>
      <c r="G184" s="121" t="inlineStr">
        <is>
          <t>MMR011</t>
        </is>
      </c>
      <c r="H184" s="121" t="inlineStr">
        <is>
          <t>Myanmar</t>
        </is>
      </c>
      <c r="I184" s="121" t="inlineStr">
        <is>
          <t>MMR</t>
        </is>
      </c>
      <c r="J184" s="121" t="n">
        <v>104</v>
      </c>
    </row>
    <row r="185">
      <c r="A185" s="121" t="inlineStr">
        <is>
          <t>Maungdaw</t>
        </is>
      </c>
      <c r="B185" s="121" t="inlineStr">
        <is>
          <t>မောင်တော</t>
        </is>
      </c>
      <c r="C185" s="121" t="inlineStr">
        <is>
          <t>MMR012009</t>
        </is>
      </c>
      <c r="D185" s="121" t="inlineStr">
        <is>
          <t>Maungdaw</t>
        </is>
      </c>
      <c r="E185" s="121" t="inlineStr">
        <is>
          <t>MMR012D002</t>
        </is>
      </c>
      <c r="F185" s="121" t="inlineStr">
        <is>
          <t>Rakhine</t>
        </is>
      </c>
      <c r="G185" s="121" t="inlineStr">
        <is>
          <t>MMR012</t>
        </is>
      </c>
      <c r="H185" s="121" t="inlineStr">
        <is>
          <t>Myanmar</t>
        </is>
      </c>
      <c r="I185" s="121" t="inlineStr">
        <is>
          <t>MMR</t>
        </is>
      </c>
      <c r="J185" s="121" t="n">
        <v>104</v>
      </c>
    </row>
    <row r="186">
      <c r="A186" s="121" t="inlineStr">
        <is>
          <t>Myeik</t>
        </is>
      </c>
      <c r="B186" s="121" t="inlineStr">
        <is>
          <t>မြိတ်</t>
        </is>
      </c>
      <c r="C186" s="121" t="inlineStr">
        <is>
          <t>MMR006005</t>
        </is>
      </c>
      <c r="D186" s="121" t="inlineStr">
        <is>
          <t>Myeik</t>
        </is>
      </c>
      <c r="E186" s="121" t="inlineStr">
        <is>
          <t>MMR006D002</t>
        </is>
      </c>
      <c r="F186" s="121" t="inlineStr">
        <is>
          <t>Tanintharyi</t>
        </is>
      </c>
      <c r="G186" s="121" t="inlineStr">
        <is>
          <t>MMR006</t>
        </is>
      </c>
      <c r="H186" s="121" t="inlineStr">
        <is>
          <t>Myanmar</t>
        </is>
      </c>
      <c r="I186" s="121" t="inlineStr">
        <is>
          <t>MMR</t>
        </is>
      </c>
      <c r="J186" s="121" t="n">
        <v>104</v>
      </c>
    </row>
    <row r="187">
      <c r="A187" s="121" t="inlineStr">
        <is>
          <t>Mudon</t>
        </is>
      </c>
      <c r="B187" s="121" t="inlineStr">
        <is>
          <t>မုဒုံ</t>
        </is>
      </c>
      <c r="C187" s="121" t="inlineStr">
        <is>
          <t>MMR011005</t>
        </is>
      </c>
      <c r="D187" s="121" t="inlineStr">
        <is>
          <t>Mawlamyine</t>
        </is>
      </c>
      <c r="E187" s="121" t="inlineStr">
        <is>
          <t>MMR011D001</t>
        </is>
      </c>
      <c r="F187" s="121" t="inlineStr">
        <is>
          <t>Mon</t>
        </is>
      </c>
      <c r="G187" s="121" t="inlineStr">
        <is>
          <t>MMR011</t>
        </is>
      </c>
      <c r="H187" s="121" t="inlineStr">
        <is>
          <t>Myanmar</t>
        </is>
      </c>
      <c r="I187" s="121" t="inlineStr">
        <is>
          <t>MMR</t>
        </is>
      </c>
      <c r="J187" s="121" t="n">
        <v>104</v>
      </c>
    </row>
    <row r="188">
      <c r="A188" s="121" t="inlineStr">
        <is>
          <t>Thanbyuzayat</t>
        </is>
      </c>
      <c r="B188" s="121" t="inlineStr">
        <is>
          <t>သံဖြူဇရပ်</t>
        </is>
      </c>
      <c r="C188" s="121" t="inlineStr">
        <is>
          <t>MMR011004</t>
        </is>
      </c>
      <c r="D188" s="121" t="inlineStr">
        <is>
          <t>Mawlamyine</t>
        </is>
      </c>
      <c r="E188" s="121" t="inlineStr">
        <is>
          <t>MMR011D001</t>
        </is>
      </c>
      <c r="F188" s="121" t="inlineStr">
        <is>
          <t>Mon</t>
        </is>
      </c>
      <c r="G188" s="121" t="inlineStr">
        <is>
          <t>MMR011</t>
        </is>
      </c>
      <c r="H188" s="121" t="inlineStr">
        <is>
          <t>Myanmar</t>
        </is>
      </c>
      <c r="I188" s="121" t="inlineStr">
        <is>
          <t>MMR</t>
        </is>
      </c>
      <c r="J188" s="121" t="n">
        <v>104</v>
      </c>
    </row>
    <row r="189">
      <c r="A189" s="121" t="inlineStr">
        <is>
          <t>Sidoktaya</t>
        </is>
      </c>
      <c r="B189" s="121" t="inlineStr">
        <is>
          <t>စေတုတ္ထရာ</t>
        </is>
      </c>
      <c r="C189" s="121" t="inlineStr">
        <is>
          <t>MMR009011</t>
        </is>
      </c>
      <c r="D189" s="121" t="inlineStr">
        <is>
          <t>Minbu</t>
        </is>
      </c>
      <c r="E189" s="121" t="inlineStr">
        <is>
          <t>MMR009D002</t>
        </is>
      </c>
      <c r="F189" s="121" t="inlineStr">
        <is>
          <t>Magway</t>
        </is>
      </c>
      <c r="G189" s="121" t="inlineStr">
        <is>
          <t>MMR009</t>
        </is>
      </c>
      <c r="H189" s="121" t="inlineStr">
        <is>
          <t>Myanmar</t>
        </is>
      </c>
      <c r="I189" s="121" t="inlineStr">
        <is>
          <t>MMR</t>
        </is>
      </c>
      <c r="J189" s="121" t="n">
        <v>104</v>
      </c>
    </row>
    <row r="190">
      <c r="A190" s="121" t="inlineStr">
        <is>
          <t>Ngape</t>
        </is>
      </c>
      <c r="B190" s="121" t="inlineStr">
        <is>
          <t>ငဖဲ</t>
        </is>
      </c>
      <c r="C190" s="121" t="inlineStr">
        <is>
          <t>MMR009009</t>
        </is>
      </c>
      <c r="D190" s="121" t="inlineStr">
        <is>
          <t>Minbu</t>
        </is>
      </c>
      <c r="E190" s="121" t="inlineStr">
        <is>
          <t>MMR009D002</t>
        </is>
      </c>
      <c r="F190" s="121" t="inlineStr">
        <is>
          <t>Magway</t>
        </is>
      </c>
      <c r="G190" s="121" t="inlineStr">
        <is>
          <t>MMR009</t>
        </is>
      </c>
      <c r="H190" s="121" t="inlineStr">
        <is>
          <t>Myanmar</t>
        </is>
      </c>
      <c r="I190" s="121" t="inlineStr">
        <is>
          <t>MMR</t>
        </is>
      </c>
      <c r="J190" s="121" t="n">
        <v>104</v>
      </c>
    </row>
    <row r="191">
      <c r="A191" s="121" t="inlineStr">
        <is>
          <t>Ponnagyun</t>
        </is>
      </c>
      <c r="B191" s="121" t="inlineStr">
        <is>
          <t>ပုဏ္ဏားကျွန်း</t>
        </is>
      </c>
      <c r="C191" s="121" t="inlineStr">
        <is>
          <t>MMR012002</t>
        </is>
      </c>
      <c r="D191" s="121" t="inlineStr">
        <is>
          <t>Sittwe</t>
        </is>
      </c>
      <c r="E191" s="121" t="inlineStr">
        <is>
          <t>MMR012D001</t>
        </is>
      </c>
      <c r="F191" s="121" t="inlineStr">
        <is>
          <t>Rakhine</t>
        </is>
      </c>
      <c r="G191" s="121" t="inlineStr">
        <is>
          <t>MMR012</t>
        </is>
      </c>
      <c r="H191" s="121" t="inlineStr">
        <is>
          <t>Myanmar</t>
        </is>
      </c>
      <c r="I191" s="121" t="inlineStr">
        <is>
          <t>MMR</t>
        </is>
      </c>
      <c r="J191" s="121" t="n">
        <v>104</v>
      </c>
    </row>
    <row r="192">
      <c r="A192" s="121" t="inlineStr">
        <is>
          <t>Sittwe</t>
        </is>
      </c>
      <c r="B192" s="121" t="inlineStr">
        <is>
          <t>စစ်တွေ</t>
        </is>
      </c>
      <c r="C192" s="121" t="inlineStr">
        <is>
          <t>MMR012001</t>
        </is>
      </c>
      <c r="D192" s="121" t="inlineStr">
        <is>
          <t>Sittwe</t>
        </is>
      </c>
      <c r="E192" s="121" t="inlineStr">
        <is>
          <t>MMR012D001</t>
        </is>
      </c>
      <c r="F192" s="121" t="inlineStr">
        <is>
          <t>Rakhine</t>
        </is>
      </c>
      <c r="G192" s="121" t="inlineStr">
        <is>
          <t>MMR012</t>
        </is>
      </c>
      <c r="H192" s="121" t="inlineStr">
        <is>
          <t>Myanmar</t>
        </is>
      </c>
      <c r="I192" s="121" t="inlineStr">
        <is>
          <t>MMR</t>
        </is>
      </c>
      <c r="J192" s="121" t="n">
        <v>104</v>
      </c>
    </row>
    <row r="193">
      <c r="A193" s="121" t="inlineStr">
        <is>
          <t>Oke Ta Ra Thi Ri</t>
        </is>
      </c>
      <c r="B193" s="121" t="inlineStr">
        <is>
          <t>ဥတ္တရသီရိ</t>
        </is>
      </c>
      <c r="C193" s="121" t="inlineStr">
        <is>
          <t>MMR018008</t>
        </is>
      </c>
      <c r="D193" s="121" t="inlineStr">
        <is>
          <t>Oke Ta Ra</t>
        </is>
      </c>
      <c r="E193" s="121" t="inlineStr">
        <is>
          <t>MMR018D001</t>
        </is>
      </c>
      <c r="F193" s="121" t="inlineStr">
        <is>
          <t>Nay Pyi Taw</t>
        </is>
      </c>
      <c r="G193" s="121" t="inlineStr">
        <is>
          <t>MMR018</t>
        </is>
      </c>
      <c r="H193" s="121" t="inlineStr">
        <is>
          <t>Myanmar</t>
        </is>
      </c>
      <c r="I193" s="121" t="inlineStr">
        <is>
          <t>MMR</t>
        </is>
      </c>
      <c r="J193" s="121" t="n">
        <v>104</v>
      </c>
    </row>
    <row r="194">
      <c r="A194" s="121" t="inlineStr">
        <is>
          <t>Ayadaw</t>
        </is>
      </c>
      <c r="B194" s="121" t="inlineStr">
        <is>
          <t>အရာတော်</t>
        </is>
      </c>
      <c r="C194" s="121" t="inlineStr">
        <is>
          <t>MMR005014</t>
        </is>
      </c>
      <c r="D194" s="121" t="inlineStr">
        <is>
          <t>Monywa</t>
        </is>
      </c>
      <c r="E194" s="121" t="inlineStr">
        <is>
          <t>MMR005D003</t>
        </is>
      </c>
      <c r="F194" s="121" t="inlineStr">
        <is>
          <t>Sagaing</t>
        </is>
      </c>
      <c r="G194" s="121" t="inlineStr">
        <is>
          <t>MMR005</t>
        </is>
      </c>
      <c r="H194" s="121" t="inlineStr">
        <is>
          <t>Myanmar</t>
        </is>
      </c>
      <c r="I194" s="121" t="inlineStr">
        <is>
          <t>MMR</t>
        </is>
      </c>
      <c r="J194" s="121" t="n">
        <v>104</v>
      </c>
    </row>
    <row r="195">
      <c r="A195" s="121" t="inlineStr">
        <is>
          <t>Tabayin</t>
        </is>
      </c>
      <c r="B195" s="121" t="inlineStr">
        <is>
          <t>ဒီပဲယင်း</t>
        </is>
      </c>
      <c r="C195" s="121" t="inlineStr">
        <is>
          <t>MMR005010</t>
        </is>
      </c>
      <c r="D195" s="121" t="inlineStr">
        <is>
          <t>Shwebo</t>
        </is>
      </c>
      <c r="E195" s="121" t="inlineStr">
        <is>
          <t>MMR005D002</t>
        </is>
      </c>
      <c r="F195" s="121" t="inlineStr">
        <is>
          <t>Sagaing</t>
        </is>
      </c>
      <c r="G195" s="121" t="inlineStr">
        <is>
          <t>MMR005</t>
        </is>
      </c>
      <c r="H195" s="121" t="inlineStr">
        <is>
          <t>Myanmar</t>
        </is>
      </c>
      <c r="I195" s="121" t="inlineStr">
        <is>
          <t>MMR</t>
        </is>
      </c>
      <c r="J195" s="121" t="n">
        <v>104</v>
      </c>
    </row>
    <row r="196">
      <c r="A196" s="121" t="inlineStr">
        <is>
          <t>Wetlet</t>
        </is>
      </c>
      <c r="B196" s="121" t="inlineStr">
        <is>
          <t>ဝက်လက်</t>
        </is>
      </c>
      <c r="C196" s="121" t="inlineStr">
        <is>
          <t>MMR005006</t>
        </is>
      </c>
      <c r="D196" s="121" t="inlineStr">
        <is>
          <t>Shwebo</t>
        </is>
      </c>
      <c r="E196" s="121" t="inlineStr">
        <is>
          <t>MMR005D002</t>
        </is>
      </c>
      <c r="F196" s="121" t="inlineStr">
        <is>
          <t>Sagaing</t>
        </is>
      </c>
      <c r="G196" s="121" t="inlineStr">
        <is>
          <t>MMR005</t>
        </is>
      </c>
      <c r="H196" s="121" t="inlineStr">
        <is>
          <t>Myanmar</t>
        </is>
      </c>
      <c r="I196" s="121" t="inlineStr">
        <is>
          <t>MMR</t>
        </is>
      </c>
      <c r="J196" s="121" t="n">
        <v>104</v>
      </c>
    </row>
    <row r="197">
      <c r="A197" s="121" t="inlineStr">
        <is>
          <t>Myinmu</t>
        </is>
      </c>
      <c r="B197" s="121" t="inlineStr">
        <is>
          <t>မြင်းမူ</t>
        </is>
      </c>
      <c r="C197" s="121" t="inlineStr">
        <is>
          <t>MMR005002</t>
        </is>
      </c>
      <c r="D197" s="121" t="inlineStr">
        <is>
          <t>Sagaing</t>
        </is>
      </c>
      <c r="E197" s="121" t="inlineStr">
        <is>
          <t>MMR005D001</t>
        </is>
      </c>
      <c r="F197" s="121" t="inlineStr">
        <is>
          <t>Sagaing</t>
        </is>
      </c>
      <c r="G197" s="121" t="inlineStr">
        <is>
          <t>MMR005</t>
        </is>
      </c>
      <c r="H197" s="121" t="inlineStr">
        <is>
          <t>Myanmar</t>
        </is>
      </c>
      <c r="I197" s="121" t="inlineStr">
        <is>
          <t>MMR</t>
        </is>
      </c>
      <c r="J197" s="121" t="n">
        <v>104</v>
      </c>
    </row>
    <row r="198">
      <c r="A198" s="121" t="inlineStr">
        <is>
          <t>Monywa</t>
        </is>
      </c>
      <c r="B198" s="121" t="inlineStr">
        <is>
          <t>မုံရွာ</t>
        </is>
      </c>
      <c r="C198" s="121" t="inlineStr">
        <is>
          <t>MMR005012</t>
        </is>
      </c>
      <c r="D198" s="121" t="inlineStr">
        <is>
          <t>Monywa</t>
        </is>
      </c>
      <c r="E198" s="121" t="inlineStr">
        <is>
          <t>MMR005D003</t>
        </is>
      </c>
      <c r="F198" s="121" t="inlineStr">
        <is>
          <t>Sagaing</t>
        </is>
      </c>
      <c r="G198" s="121" t="inlineStr">
        <is>
          <t>MMR005</t>
        </is>
      </c>
      <c r="H198" s="121" t="inlineStr">
        <is>
          <t>Myanmar</t>
        </is>
      </c>
      <c r="I198" s="121" t="inlineStr">
        <is>
          <t>MMR</t>
        </is>
      </c>
      <c r="J198" s="121" t="n">
        <v>104</v>
      </c>
    </row>
    <row r="199">
      <c r="A199" s="121" t="inlineStr">
        <is>
          <t>Lanmadaw</t>
        </is>
      </c>
      <c r="B199" s="121" t="inlineStr">
        <is>
          <t>လမ်းမတော်</t>
        </is>
      </c>
      <c r="C199" s="121" t="inlineStr">
        <is>
          <t>MMR013035</t>
        </is>
      </c>
      <c r="D199" s="121" t="inlineStr">
        <is>
          <t>Yangon (West)</t>
        </is>
      </c>
      <c r="E199" s="121" t="inlineStr">
        <is>
          <t>MMR013D004</t>
        </is>
      </c>
      <c r="F199" s="121" t="inlineStr">
        <is>
          <t>Yangon</t>
        </is>
      </c>
      <c r="G199" s="121" t="inlineStr">
        <is>
          <t>MMR013</t>
        </is>
      </c>
      <c r="H199" s="121" t="inlineStr">
        <is>
          <t>Myanmar</t>
        </is>
      </c>
      <c r="I199" s="121" t="inlineStr">
        <is>
          <t>MMR</t>
        </is>
      </c>
      <c r="J199" s="121" t="n">
        <v>104</v>
      </c>
    </row>
    <row r="200">
      <c r="A200" s="121" t="inlineStr">
        <is>
          <t>Sinbaungwe</t>
        </is>
      </c>
      <c r="B200" s="121" t="inlineStr">
        <is>
          <t>ဆင်ပေါင်ဝဲ</t>
        </is>
      </c>
      <c r="C200" s="121" t="inlineStr">
        <is>
          <t>MMR009017</t>
        </is>
      </c>
      <c r="D200" s="121" t="inlineStr">
        <is>
          <t>Thayet</t>
        </is>
      </c>
      <c r="E200" s="121" t="inlineStr">
        <is>
          <t>MMR009D003</t>
        </is>
      </c>
      <c r="F200" s="121" t="inlineStr">
        <is>
          <t>Magway</t>
        </is>
      </c>
      <c r="G200" s="121" t="inlineStr">
        <is>
          <t>MMR009</t>
        </is>
      </c>
      <c r="H200" s="121" t="inlineStr">
        <is>
          <t>Myanmar</t>
        </is>
      </c>
      <c r="I200" s="121" t="inlineStr">
        <is>
          <t>MMR</t>
        </is>
      </c>
      <c r="J200" s="121" t="n">
        <v>104</v>
      </c>
    </row>
    <row r="201">
      <c r="A201" s="121" t="inlineStr">
        <is>
          <t>Mongkhet</t>
        </is>
      </c>
      <c r="B201" s="121" t="inlineStr">
        <is>
          <t>မိုင်းခတ်</t>
        </is>
      </c>
      <c r="C201" s="121" t="inlineStr">
        <is>
          <t>MMR016002</t>
        </is>
      </c>
      <c r="D201" s="121" t="inlineStr">
        <is>
          <t>Kengtung</t>
        </is>
      </c>
      <c r="E201" s="121" t="inlineStr">
        <is>
          <t>MMR016D001</t>
        </is>
      </c>
      <c r="F201" s="121" t="inlineStr">
        <is>
          <t>Shan</t>
        </is>
      </c>
      <c r="G201" s="121" t="inlineStr">
        <is>
          <t>MMR222</t>
        </is>
      </c>
      <c r="H201" s="121" t="inlineStr">
        <is>
          <t>Myanmar</t>
        </is>
      </c>
      <c r="I201" s="121" t="inlineStr">
        <is>
          <t>MMR</t>
        </is>
      </c>
      <c r="J201" s="121" t="n">
        <v>104</v>
      </c>
    </row>
    <row r="202">
      <c r="A202" s="121" t="inlineStr">
        <is>
          <t>Mongping</t>
        </is>
      </c>
      <c r="B202" s="121" t="inlineStr">
        <is>
          <t>မိုင်းပျဉ်း</t>
        </is>
      </c>
      <c r="C202" s="121" t="inlineStr">
        <is>
          <t>MMR016007</t>
        </is>
      </c>
      <c r="D202" s="121" t="inlineStr">
        <is>
          <t>Kengtung</t>
        </is>
      </c>
      <c r="E202" s="121" t="inlineStr">
        <is>
          <t>MMR016D001</t>
        </is>
      </c>
      <c r="F202" s="121" t="inlineStr">
        <is>
          <t>Shan</t>
        </is>
      </c>
      <c r="G202" s="121" t="inlineStr">
        <is>
          <t>MMR222</t>
        </is>
      </c>
      <c r="H202" s="121" t="inlineStr">
        <is>
          <t>Myanmar</t>
        </is>
      </c>
      <c r="I202" s="121" t="inlineStr">
        <is>
          <t>MMR</t>
        </is>
      </c>
      <c r="J202" s="121" t="n">
        <v>104</v>
      </c>
    </row>
    <row r="203">
      <c r="A203" s="121" t="inlineStr">
        <is>
          <t>Matman</t>
        </is>
      </c>
      <c r="B203" s="121" t="inlineStr">
        <is>
          <t>မက်မန်း</t>
        </is>
      </c>
      <c r="C203" s="121" t="inlineStr">
        <is>
          <t>MMR015024</t>
        </is>
      </c>
      <c r="D203" s="121" t="inlineStr">
        <is>
          <t>Matman</t>
        </is>
      </c>
      <c r="E203" s="121" t="inlineStr">
        <is>
          <t>MMR015D007</t>
        </is>
      </c>
      <c r="F203" s="121" t="inlineStr">
        <is>
          <t>Shan</t>
        </is>
      </c>
      <c r="G203" s="121" t="inlineStr">
        <is>
          <t>MMR222</t>
        </is>
      </c>
      <c r="H203" s="121" t="inlineStr">
        <is>
          <t>Myanmar</t>
        </is>
      </c>
      <c r="I203" s="121" t="inlineStr">
        <is>
          <t>MMR</t>
        </is>
      </c>
      <c r="J203" s="121" t="n">
        <v>104</v>
      </c>
    </row>
    <row r="204">
      <c r="A204" s="121" t="inlineStr">
        <is>
          <t>Mongyang</t>
        </is>
      </c>
      <c r="B204" s="121" t="inlineStr">
        <is>
          <t>မိုင်းယန်း</t>
        </is>
      </c>
      <c r="C204" s="121" t="inlineStr">
        <is>
          <t>MMR016003</t>
        </is>
      </c>
      <c r="D204" s="121" t="inlineStr">
        <is>
          <t>Kengtung</t>
        </is>
      </c>
      <c r="E204" s="121" t="inlineStr">
        <is>
          <t>MMR016D001</t>
        </is>
      </c>
      <c r="F204" s="121" t="inlineStr">
        <is>
          <t>Shan</t>
        </is>
      </c>
      <c r="G204" s="121" t="inlineStr">
        <is>
          <t>MMR222</t>
        </is>
      </c>
      <c r="H204" s="121" t="inlineStr">
        <is>
          <t>Myanmar</t>
        </is>
      </c>
      <c r="I204" s="121" t="inlineStr">
        <is>
          <t>MMR</t>
        </is>
      </c>
      <c r="J204" s="121" t="n">
        <v>104</v>
      </c>
    </row>
    <row r="205">
      <c r="A205" s="121" t="inlineStr">
        <is>
          <t>Machanbaw</t>
        </is>
      </c>
      <c r="B205" s="121" t="inlineStr">
        <is>
          <t>မချမ်းဘော</t>
        </is>
      </c>
      <c r="C205" s="121" t="inlineStr">
        <is>
          <t>MMR001016</t>
        </is>
      </c>
      <c r="D205" s="121" t="inlineStr">
        <is>
          <t>Puta-O</t>
        </is>
      </c>
      <c r="E205" s="121" t="inlineStr">
        <is>
          <t>MMR001D004</t>
        </is>
      </c>
      <c r="F205" s="121" t="inlineStr">
        <is>
          <t>Kachin</t>
        </is>
      </c>
      <c r="G205" s="121" t="inlineStr">
        <is>
          <t>MMR001</t>
        </is>
      </c>
      <c r="H205" s="121" t="inlineStr">
        <is>
          <t>Myanmar</t>
        </is>
      </c>
      <c r="I205" s="121" t="inlineStr">
        <is>
          <t>MMR</t>
        </is>
      </c>
      <c r="J205" s="121" t="n">
        <v>104</v>
      </c>
    </row>
    <row r="206">
      <c r="A206" s="121" t="inlineStr">
        <is>
          <t>Khaunglanhpu</t>
        </is>
      </c>
      <c r="B206" s="121" t="inlineStr">
        <is>
          <t>ခေါင်လန်ဖူး</t>
        </is>
      </c>
      <c r="C206" s="121" t="inlineStr">
        <is>
          <t>MMR001018</t>
        </is>
      </c>
      <c r="D206" s="121" t="inlineStr">
        <is>
          <t>Puta-O</t>
        </is>
      </c>
      <c r="E206" s="121" t="inlineStr">
        <is>
          <t>MMR001D004</t>
        </is>
      </c>
      <c r="F206" s="121" t="inlineStr">
        <is>
          <t>Kachin</t>
        </is>
      </c>
      <c r="G206" s="121" t="inlineStr">
        <is>
          <t>MMR001</t>
        </is>
      </c>
      <c r="H206" s="121" t="inlineStr">
        <is>
          <t>Myanmar</t>
        </is>
      </c>
      <c r="I206" s="121" t="inlineStr">
        <is>
          <t>MMR</t>
        </is>
      </c>
      <c r="J206" s="121" t="n">
        <v>104</v>
      </c>
    </row>
    <row r="207">
      <c r="A207" s="121" t="inlineStr">
        <is>
          <t>Injangyang</t>
        </is>
      </c>
      <c r="B207" s="121" t="inlineStr">
        <is>
          <t>အင်ဂျန်းယန်</t>
        </is>
      </c>
      <c r="C207" s="121" t="inlineStr">
        <is>
          <t>MMR001003</t>
        </is>
      </c>
      <c r="D207" s="121" t="inlineStr">
        <is>
          <t>Myitkyina</t>
        </is>
      </c>
      <c r="E207" s="121" t="inlineStr">
        <is>
          <t>MMR001D001</t>
        </is>
      </c>
      <c r="F207" s="121" t="inlineStr">
        <is>
          <t>Kachin</t>
        </is>
      </c>
      <c r="G207" s="121" t="inlineStr">
        <is>
          <t>MMR001</t>
        </is>
      </c>
      <c r="H207" s="121" t="inlineStr">
        <is>
          <t>Myanmar</t>
        </is>
      </c>
      <c r="I207" s="121" t="inlineStr">
        <is>
          <t>MMR</t>
        </is>
      </c>
      <c r="J207" s="121" t="n">
        <v>104</v>
      </c>
    </row>
    <row r="208">
      <c r="A208" s="121" t="inlineStr">
        <is>
          <t>Myitkyina</t>
        </is>
      </c>
      <c r="B208" s="121" t="inlineStr">
        <is>
          <t>မြစ်ကြီးနား</t>
        </is>
      </c>
      <c r="C208" s="121" t="inlineStr">
        <is>
          <t>MMR001001</t>
        </is>
      </c>
      <c r="D208" s="121" t="inlineStr">
        <is>
          <t>Myitkyina</t>
        </is>
      </c>
      <c r="E208" s="121" t="inlineStr">
        <is>
          <t>MMR001D001</t>
        </is>
      </c>
      <c r="F208" s="121" t="inlineStr">
        <is>
          <t>Kachin</t>
        </is>
      </c>
      <c r="G208" s="121" t="inlineStr">
        <is>
          <t>MMR001</t>
        </is>
      </c>
      <c r="H208" s="121" t="inlineStr">
        <is>
          <t>Myanmar</t>
        </is>
      </c>
      <c r="I208" s="121" t="inlineStr">
        <is>
          <t>MMR</t>
        </is>
      </c>
      <c r="J208" s="121" t="n">
        <v>104</v>
      </c>
    </row>
    <row r="209">
      <c r="A209" s="121" t="inlineStr">
        <is>
          <t>Monghpyak</t>
        </is>
      </c>
      <c r="B209" s="121" t="inlineStr">
        <is>
          <t>မိုင်းဖြတ်</t>
        </is>
      </c>
      <c r="C209" s="121" t="inlineStr">
        <is>
          <t>MMR016010</t>
        </is>
      </c>
      <c r="D209" s="121" t="inlineStr">
        <is>
          <t>Tachileik</t>
        </is>
      </c>
      <c r="E209" s="121" t="inlineStr">
        <is>
          <t>MMR016D003</t>
        </is>
      </c>
      <c r="F209" s="121" t="inlineStr">
        <is>
          <t>Shan</t>
        </is>
      </c>
      <c r="G209" s="121" t="inlineStr">
        <is>
          <t>MMR222</t>
        </is>
      </c>
      <c r="H209" s="121" t="inlineStr">
        <is>
          <t>Myanmar</t>
        </is>
      </c>
      <c r="I209" s="121" t="inlineStr">
        <is>
          <t>MMR</t>
        </is>
      </c>
      <c r="J209" s="121" t="n">
        <v>104</v>
      </c>
    </row>
    <row r="210">
      <c r="A210" s="121" t="inlineStr">
        <is>
          <t>Pangwaun</t>
        </is>
      </c>
      <c r="B210" s="121" t="inlineStr">
        <is>
          <t>ပန်ဝိုင်</t>
        </is>
      </c>
      <c r="C210" s="121" t="inlineStr">
        <is>
          <t>MMR015007</t>
        </is>
      </c>
      <c r="D210" s="121" t="inlineStr">
        <is>
          <t>Hopang</t>
        </is>
      </c>
      <c r="E210" s="121" t="inlineStr">
        <is>
          <t>MMR015D006</t>
        </is>
      </c>
      <c r="F210" s="121" t="inlineStr">
        <is>
          <t>Shan</t>
        </is>
      </c>
      <c r="G210" s="121" t="inlineStr">
        <is>
          <t>MMR222</t>
        </is>
      </c>
      <c r="H210" s="121" t="inlineStr">
        <is>
          <t>Myanmar</t>
        </is>
      </c>
      <c r="I210" s="121" t="inlineStr">
        <is>
          <t>MMR</t>
        </is>
      </c>
      <c r="J210" s="121" t="n">
        <v>104</v>
      </c>
    </row>
    <row r="211">
      <c r="A211" s="121" t="inlineStr">
        <is>
          <t>Mongmao</t>
        </is>
      </c>
      <c r="B211" s="121" t="inlineStr">
        <is>
          <t>မိုင်းမော</t>
        </is>
      </c>
      <c r="C211" s="121" t="inlineStr">
        <is>
          <t>MMR015008</t>
        </is>
      </c>
      <c r="D211" s="121" t="inlineStr">
        <is>
          <t>Hopang</t>
        </is>
      </c>
      <c r="E211" s="121" t="inlineStr">
        <is>
          <t>MMR015D006</t>
        </is>
      </c>
      <c r="F211" s="121" t="inlineStr">
        <is>
          <t>Shan</t>
        </is>
      </c>
      <c r="G211" s="121" t="inlineStr">
        <is>
          <t>MMR222</t>
        </is>
      </c>
      <c r="H211" s="121" t="inlineStr">
        <is>
          <t>Myanmar</t>
        </is>
      </c>
      <c r="I211" s="121" t="inlineStr">
        <is>
          <t>MMR</t>
        </is>
      </c>
      <c r="J211" s="121" t="n">
        <v>104</v>
      </c>
    </row>
    <row r="212">
      <c r="A212" s="121" t="inlineStr">
        <is>
          <t>Nansang</t>
        </is>
      </c>
      <c r="B212" s="121" t="inlineStr">
        <is>
          <t>နမ့်စန်</t>
        </is>
      </c>
      <c r="C212" s="121" t="inlineStr">
        <is>
          <t>MMR014013</t>
        </is>
      </c>
      <c r="D212" s="121" t="inlineStr">
        <is>
          <t>Loilen</t>
        </is>
      </c>
      <c r="E212" s="121" t="inlineStr">
        <is>
          <t>MMR014D002</t>
        </is>
      </c>
      <c r="F212" s="121" t="inlineStr">
        <is>
          <t>Shan</t>
        </is>
      </c>
      <c r="G212" s="121" t="inlineStr">
        <is>
          <t>MMR222</t>
        </is>
      </c>
      <c r="H212" s="121" t="inlineStr">
        <is>
          <t>Myanmar</t>
        </is>
      </c>
      <c r="I212" s="121" t="inlineStr">
        <is>
          <t>MMR</t>
        </is>
      </c>
      <c r="J212" s="121" t="n">
        <v>104</v>
      </c>
    </row>
    <row r="213">
      <c r="A213" s="121" t="inlineStr">
        <is>
          <t>Kunhing</t>
        </is>
      </c>
      <c r="B213" s="121" t="inlineStr">
        <is>
          <t>ကွန်ဟိန်း</t>
        </is>
      </c>
      <c r="C213" s="121" t="inlineStr">
        <is>
          <t>MMR014014</t>
        </is>
      </c>
      <c r="D213" s="121" t="inlineStr">
        <is>
          <t>Loilen</t>
        </is>
      </c>
      <c r="E213" s="121" t="inlineStr">
        <is>
          <t>MMR014D002</t>
        </is>
      </c>
      <c r="F213" s="121" t="inlineStr">
        <is>
          <t>Shan</t>
        </is>
      </c>
      <c r="G213" s="121" t="inlineStr">
        <is>
          <t>MMR222</t>
        </is>
      </c>
      <c r="H213" s="121" t="inlineStr">
        <is>
          <t>Myanmar</t>
        </is>
      </c>
      <c r="I213" s="121" t="inlineStr">
        <is>
          <t>MMR</t>
        </is>
      </c>
      <c r="J213" s="121" t="n">
        <v>104</v>
      </c>
    </row>
    <row r="214">
      <c r="A214" s="121" t="inlineStr">
        <is>
          <t>Shadaw</t>
        </is>
      </c>
      <c r="B214" s="121" t="inlineStr">
        <is>
          <t>ရှားတော</t>
        </is>
      </c>
      <c r="C214" s="121" t="inlineStr">
        <is>
          <t>MMR002004</t>
        </is>
      </c>
      <c r="D214" s="121" t="inlineStr">
        <is>
          <t>Loikaw</t>
        </is>
      </c>
      <c r="E214" s="121" t="inlineStr">
        <is>
          <t>MMR002D001</t>
        </is>
      </c>
      <c r="F214" s="121" t="inlineStr">
        <is>
          <t>Kayah</t>
        </is>
      </c>
      <c r="G214" s="121" t="inlineStr">
        <is>
          <t>MMR002</t>
        </is>
      </c>
      <c r="H214" s="121" t="inlineStr">
        <is>
          <t>Myanmar</t>
        </is>
      </c>
      <c r="I214" s="121" t="inlineStr">
        <is>
          <t>MMR</t>
        </is>
      </c>
      <c r="J214" s="121" t="n">
        <v>104</v>
      </c>
    </row>
    <row r="215">
      <c r="A215" s="121" t="inlineStr">
        <is>
          <t>Mongnai</t>
        </is>
      </c>
      <c r="B215" s="121" t="inlineStr">
        <is>
          <t>မိုးနဲ</t>
        </is>
      </c>
      <c r="C215" s="121" t="inlineStr">
        <is>
          <t>MMR014019</t>
        </is>
      </c>
      <c r="D215" s="121" t="inlineStr">
        <is>
          <t>Langkho</t>
        </is>
      </c>
      <c r="E215" s="121" t="inlineStr">
        <is>
          <t>MMR014D003</t>
        </is>
      </c>
      <c r="F215" s="121" t="inlineStr">
        <is>
          <t>Shan</t>
        </is>
      </c>
      <c r="G215" s="121" t="inlineStr">
        <is>
          <t>MMR222</t>
        </is>
      </c>
      <c r="H215" s="121" t="inlineStr">
        <is>
          <t>Myanmar</t>
        </is>
      </c>
      <c r="I215" s="121" t="inlineStr">
        <is>
          <t>MMR</t>
        </is>
      </c>
      <c r="J215" s="121" t="n">
        <v>104</v>
      </c>
    </row>
    <row r="216">
      <c r="A216" s="121" t="inlineStr">
        <is>
          <t>Mongton</t>
        </is>
      </c>
      <c r="B216" s="121" t="inlineStr">
        <is>
          <t>မိုင်းတုံ</t>
        </is>
      </c>
      <c r="C216" s="121" t="inlineStr">
        <is>
          <t>MMR016008</t>
        </is>
      </c>
      <c r="D216" s="121" t="inlineStr">
        <is>
          <t>Monghsat</t>
        </is>
      </c>
      <c r="E216" s="121" t="inlineStr">
        <is>
          <t>MMR016D002</t>
        </is>
      </c>
      <c r="F216" s="121" t="inlineStr">
        <is>
          <t>Shan</t>
        </is>
      </c>
      <c r="G216" s="121" t="inlineStr">
        <is>
          <t>MMR222</t>
        </is>
      </c>
      <c r="H216" s="121" t="inlineStr">
        <is>
          <t>Myanmar</t>
        </is>
      </c>
      <c r="I216" s="121" t="inlineStr">
        <is>
          <t>MMR</t>
        </is>
      </c>
      <c r="J216" s="121" t="n">
        <v>104</v>
      </c>
    </row>
    <row r="217">
      <c r="A217" s="121" t="inlineStr">
        <is>
          <t>Langkho</t>
        </is>
      </c>
      <c r="B217" s="121" t="inlineStr">
        <is>
          <t>လင်းခေး</t>
        </is>
      </c>
      <c r="C217" s="121" t="inlineStr">
        <is>
          <t>MMR014018</t>
        </is>
      </c>
      <c r="D217" s="121" t="inlineStr">
        <is>
          <t>Langkho</t>
        </is>
      </c>
      <c r="E217" s="121" t="inlineStr">
        <is>
          <t>MMR014D003</t>
        </is>
      </c>
      <c r="F217" s="121" t="inlineStr">
        <is>
          <t>Shan</t>
        </is>
      </c>
      <c r="G217" s="121" t="inlineStr">
        <is>
          <t>MMR222</t>
        </is>
      </c>
      <c r="H217" s="121" t="inlineStr">
        <is>
          <t>Myanmar</t>
        </is>
      </c>
      <c r="I217" s="121" t="inlineStr">
        <is>
          <t>MMR</t>
        </is>
      </c>
      <c r="J217" s="121" t="n">
        <v>104</v>
      </c>
    </row>
    <row r="218">
      <c r="A218" s="121" t="inlineStr">
        <is>
          <t>Mawkmai</t>
        </is>
      </c>
      <c r="B218" s="121" t="inlineStr">
        <is>
          <t>မောက်မယ်</t>
        </is>
      </c>
      <c r="C218" s="121" t="inlineStr">
        <is>
          <t>MMR014020</t>
        </is>
      </c>
      <c r="D218" s="121" t="inlineStr">
        <is>
          <t>Langkho</t>
        </is>
      </c>
      <c r="E218" s="121" t="inlineStr">
        <is>
          <t>MMR014D003</t>
        </is>
      </c>
      <c r="F218" s="121" t="inlineStr">
        <is>
          <t>Shan</t>
        </is>
      </c>
      <c r="G218" s="121" t="inlineStr">
        <is>
          <t>MMR222</t>
        </is>
      </c>
      <c r="H218" s="121" t="inlineStr">
        <is>
          <t>Myanmar</t>
        </is>
      </c>
      <c r="I218" s="121" t="inlineStr">
        <is>
          <t>MMR</t>
        </is>
      </c>
      <c r="J218" s="121" t="n">
        <v>104</v>
      </c>
    </row>
    <row r="219">
      <c r="A219" s="121" t="inlineStr">
        <is>
          <t>Pangsang</t>
        </is>
      </c>
      <c r="B219" s="121" t="inlineStr">
        <is>
          <t>ပန်ဆန်း (ပန်ခမ်း)</t>
        </is>
      </c>
      <c r="C219" s="121" t="inlineStr">
        <is>
          <t>MMR015005</t>
        </is>
      </c>
      <c r="D219" s="121" t="inlineStr">
        <is>
          <t>Matman</t>
        </is>
      </c>
      <c r="E219" s="121" t="inlineStr">
        <is>
          <t>MMR015D007</t>
        </is>
      </c>
      <c r="F219" s="121" t="inlineStr">
        <is>
          <t>Shan</t>
        </is>
      </c>
      <c r="G219" s="121" t="inlineStr">
        <is>
          <t>MMR222</t>
        </is>
      </c>
      <c r="H219" s="121" t="inlineStr">
        <is>
          <t>Myanmar</t>
        </is>
      </c>
      <c r="I219" s="121" t="inlineStr">
        <is>
          <t>MMR</t>
        </is>
      </c>
      <c r="J219" s="121" t="n">
        <v>104</v>
      </c>
    </row>
    <row r="220">
      <c r="A220" s="121" t="inlineStr">
        <is>
          <t>Narphan</t>
        </is>
      </c>
      <c r="B220" s="121" t="inlineStr">
        <is>
          <t>နားဖန်း</t>
        </is>
      </c>
      <c r="C220" s="121" t="inlineStr">
        <is>
          <t>MMR015006</t>
        </is>
      </c>
      <c r="D220" s="121" t="inlineStr">
        <is>
          <t>Matman</t>
        </is>
      </c>
      <c r="E220" s="121" t="inlineStr">
        <is>
          <t>MMR015D007</t>
        </is>
      </c>
      <c r="F220" s="121" t="inlineStr">
        <is>
          <t>Shan</t>
        </is>
      </c>
      <c r="G220" s="121" t="inlineStr">
        <is>
          <t>MMR222</t>
        </is>
      </c>
      <c r="H220" s="121" t="inlineStr">
        <is>
          <t>Myanmar</t>
        </is>
      </c>
      <c r="I220" s="121" t="inlineStr">
        <is>
          <t>MMR</t>
        </is>
      </c>
      <c r="J220" s="121" t="n">
        <v>104</v>
      </c>
    </row>
    <row r="221">
      <c r="A221" s="121" t="inlineStr">
        <is>
          <t>Mongpan</t>
        </is>
      </c>
      <c r="B221" s="121" t="inlineStr">
        <is>
          <t>မိုင်းပန်</t>
        </is>
      </c>
      <c r="C221" s="121" t="inlineStr">
        <is>
          <t>MMR014021</t>
        </is>
      </c>
      <c r="D221" s="121" t="inlineStr">
        <is>
          <t>Langkho</t>
        </is>
      </c>
      <c r="E221" s="121" t="inlineStr">
        <is>
          <t>MMR014D003</t>
        </is>
      </c>
      <c r="F221" s="121" t="inlineStr">
        <is>
          <t>Shan</t>
        </is>
      </c>
      <c r="G221" s="121" t="inlineStr">
        <is>
          <t>MMR222</t>
        </is>
      </c>
      <c r="H221" s="121" t="inlineStr">
        <is>
          <t>Myanmar</t>
        </is>
      </c>
      <c r="I221" s="121" t="inlineStr">
        <is>
          <t>MMR</t>
        </is>
      </c>
      <c r="J221" s="121" t="n">
        <v>104</v>
      </c>
    </row>
    <row r="222">
      <c r="A222" s="121" t="inlineStr">
        <is>
          <t>Tangyan</t>
        </is>
      </c>
      <c r="B222" s="121" t="inlineStr">
        <is>
          <t>တန့်ယန်း</t>
        </is>
      </c>
      <c r="C222" s="121" t="inlineStr">
        <is>
          <t>MMR015004</t>
        </is>
      </c>
      <c r="D222" s="121" t="inlineStr">
        <is>
          <t>Lashio</t>
        </is>
      </c>
      <c r="E222" s="121" t="inlineStr">
        <is>
          <t>MMR015D001</t>
        </is>
      </c>
      <c r="F222" s="121" t="inlineStr">
        <is>
          <t>Shan</t>
        </is>
      </c>
      <c r="G222" s="121" t="inlineStr">
        <is>
          <t>MMR222</t>
        </is>
      </c>
      <c r="H222" s="121" t="inlineStr">
        <is>
          <t>Myanmar</t>
        </is>
      </c>
      <c r="I222" s="121" t="inlineStr">
        <is>
          <t>MMR</t>
        </is>
      </c>
      <c r="J222" s="121" t="n">
        <v>104</v>
      </c>
    </row>
    <row r="223">
      <c r="A223" s="121" t="inlineStr">
        <is>
          <t>Mongyai</t>
        </is>
      </c>
      <c r="B223" s="121" t="inlineStr">
        <is>
          <t>မိုင်းရယ်</t>
        </is>
      </c>
      <c r="C223" s="121" t="inlineStr">
        <is>
          <t>MMR015003</t>
        </is>
      </c>
      <c r="D223" s="121" t="inlineStr">
        <is>
          <t>Lashio</t>
        </is>
      </c>
      <c r="E223" s="121" t="inlineStr">
        <is>
          <t>MMR015D001</t>
        </is>
      </c>
      <c r="F223" s="121" t="inlineStr">
        <is>
          <t>Shan</t>
        </is>
      </c>
      <c r="G223" s="121" t="inlineStr">
        <is>
          <t>MMR222</t>
        </is>
      </c>
      <c r="H223" s="121" t="inlineStr">
        <is>
          <t>Myanmar</t>
        </is>
      </c>
      <c r="I223" s="121" t="inlineStr">
        <is>
          <t>MMR</t>
        </is>
      </c>
      <c r="J223" s="121" t="n">
        <v>104</v>
      </c>
    </row>
    <row r="224">
      <c r="A224" s="121" t="inlineStr">
        <is>
          <t>Lashio</t>
        </is>
      </c>
      <c r="B224" s="121" t="inlineStr">
        <is>
          <t>လားရှိုး</t>
        </is>
      </c>
      <c r="C224" s="121" t="inlineStr">
        <is>
          <t>MMR015001</t>
        </is>
      </c>
      <c r="D224" s="121" t="inlineStr">
        <is>
          <t>Lashio</t>
        </is>
      </c>
      <c r="E224" s="121" t="inlineStr">
        <is>
          <t>MMR015D001</t>
        </is>
      </c>
      <c r="F224" s="121" t="inlineStr">
        <is>
          <t>Shan</t>
        </is>
      </c>
      <c r="G224" s="121" t="inlineStr">
        <is>
          <t>MMR222</t>
        </is>
      </c>
      <c r="H224" s="121" t="inlineStr">
        <is>
          <t>Myanmar</t>
        </is>
      </c>
      <c r="I224" s="121" t="inlineStr">
        <is>
          <t>MMR</t>
        </is>
      </c>
      <c r="J224" s="121" t="n">
        <v>104</v>
      </c>
    </row>
    <row r="225">
      <c r="A225" s="121" t="inlineStr">
        <is>
          <t>Hopong</t>
        </is>
      </c>
      <c r="B225" s="121" t="inlineStr">
        <is>
          <t>ဟိုပုံး</t>
        </is>
      </c>
      <c r="C225" s="121" t="inlineStr">
        <is>
          <t>MMR014003</t>
        </is>
      </c>
      <c r="D225" s="121" t="inlineStr">
        <is>
          <t>Pa-O Self-Administered Zone</t>
        </is>
      </c>
      <c r="E225" s="121" t="inlineStr">
        <is>
          <t>MMR014S002</t>
        </is>
      </c>
      <c r="F225" s="121" t="inlineStr">
        <is>
          <t>Shan</t>
        </is>
      </c>
      <c r="G225" s="121" t="inlineStr">
        <is>
          <t>MMR222</t>
        </is>
      </c>
      <c r="H225" s="121" t="inlineStr">
        <is>
          <t>Myanmar</t>
        </is>
      </c>
      <c r="I225" s="121" t="inlineStr">
        <is>
          <t>MMR</t>
        </is>
      </c>
      <c r="J225" s="121" t="n">
        <v>104</v>
      </c>
    </row>
    <row r="226">
      <c r="A226" s="121" t="inlineStr">
        <is>
          <t>Taunggyi</t>
        </is>
      </c>
      <c r="B226" s="121" t="inlineStr">
        <is>
          <t>တောင်ကြီး</t>
        </is>
      </c>
      <c r="C226" s="121" t="inlineStr">
        <is>
          <t>MMR014001</t>
        </is>
      </c>
      <c r="D226" s="121" t="inlineStr">
        <is>
          <t>Taunggyi</t>
        </is>
      </c>
      <c r="E226" s="121" t="inlineStr">
        <is>
          <t>MMR014D001</t>
        </is>
      </c>
      <c r="F226" s="121" t="inlineStr">
        <is>
          <t>Shan</t>
        </is>
      </c>
      <c r="G226" s="121" t="inlineStr">
        <is>
          <t>MMR222</t>
        </is>
      </c>
      <c r="H226" s="121" t="inlineStr">
        <is>
          <t>Myanmar</t>
        </is>
      </c>
      <c r="I226" s="121" t="inlineStr">
        <is>
          <t>MMR</t>
        </is>
      </c>
      <c r="J226" s="121" t="n">
        <v>104</v>
      </c>
    </row>
    <row r="227">
      <c r="A227" s="121" t="inlineStr">
        <is>
          <t>Mongla</t>
        </is>
      </c>
      <c r="B227" s="121" t="inlineStr">
        <is>
          <t>မိုင်းလား</t>
        </is>
      </c>
      <c r="C227" s="121" t="inlineStr">
        <is>
          <t>MMR016005</t>
        </is>
      </c>
      <c r="D227" s="121" t="inlineStr">
        <is>
          <t>Kengtung</t>
        </is>
      </c>
      <c r="E227" s="121" t="inlineStr">
        <is>
          <t>MMR016D001</t>
        </is>
      </c>
      <c r="F227" s="121" t="inlineStr">
        <is>
          <t>Shan</t>
        </is>
      </c>
      <c r="G227" s="121" t="inlineStr">
        <is>
          <t>MMR222</t>
        </is>
      </c>
      <c r="H227" s="121" t="inlineStr">
        <is>
          <t>Myanmar</t>
        </is>
      </c>
      <c r="I227" s="121" t="inlineStr">
        <is>
          <t>MMR</t>
        </is>
      </c>
      <c r="J227" s="121" t="n">
        <v>104</v>
      </c>
    </row>
    <row r="228">
      <c r="A228" s="121" t="inlineStr">
        <is>
          <t>Kyethi</t>
        </is>
      </c>
      <c r="B228" s="121" t="inlineStr">
        <is>
          <t>ကျေးသီး</t>
        </is>
      </c>
      <c r="C228" s="121" t="inlineStr">
        <is>
          <t>MMR014015</t>
        </is>
      </c>
      <c r="D228" s="121" t="inlineStr">
        <is>
          <t>Loilen</t>
        </is>
      </c>
      <c r="E228" s="121" t="inlineStr">
        <is>
          <t>MMR014D002</t>
        </is>
      </c>
      <c r="F228" s="121" t="inlineStr">
        <is>
          <t>Shan</t>
        </is>
      </c>
      <c r="G228" s="121" t="inlineStr">
        <is>
          <t>MMR222</t>
        </is>
      </c>
      <c r="H228" s="121" t="inlineStr">
        <is>
          <t>Myanmar</t>
        </is>
      </c>
      <c r="I228" s="121" t="inlineStr">
        <is>
          <t>MMR</t>
        </is>
      </c>
      <c r="J228" s="121" t="n">
        <v>104</v>
      </c>
    </row>
    <row r="229">
      <c r="A229" s="121" t="inlineStr">
        <is>
          <t>Monghsu</t>
        </is>
      </c>
      <c r="B229" s="121" t="inlineStr">
        <is>
          <t>မိုင်းရှူး</t>
        </is>
      </c>
      <c r="C229" s="121" t="inlineStr">
        <is>
          <t>MMR014017</t>
        </is>
      </c>
      <c r="D229" s="121" t="inlineStr">
        <is>
          <t>Loilen</t>
        </is>
      </c>
      <c r="E229" s="121" t="inlineStr">
        <is>
          <t>MMR014D002</t>
        </is>
      </c>
      <c r="F229" s="121" t="inlineStr">
        <is>
          <t>Shan</t>
        </is>
      </c>
      <c r="G229" s="121" t="inlineStr">
        <is>
          <t>MMR222</t>
        </is>
      </c>
      <c r="H229" s="121" t="inlineStr">
        <is>
          <t>Myanmar</t>
        </is>
      </c>
      <c r="I229" s="121" t="inlineStr">
        <is>
          <t>MMR</t>
        </is>
      </c>
      <c r="J229" s="121" t="n">
        <v>104</v>
      </c>
    </row>
    <row r="230">
      <c r="A230" s="121" t="inlineStr">
        <is>
          <t>Loilen</t>
        </is>
      </c>
      <c r="B230" s="121" t="inlineStr">
        <is>
          <t>လွိုင်လင်</t>
        </is>
      </c>
      <c r="C230" s="121" t="inlineStr">
        <is>
          <t>MMR014011</t>
        </is>
      </c>
      <c r="D230" s="121" t="inlineStr">
        <is>
          <t>Loilen</t>
        </is>
      </c>
      <c r="E230" s="121" t="inlineStr">
        <is>
          <t>MMR014D002</t>
        </is>
      </c>
      <c r="F230" s="121" t="inlineStr">
        <is>
          <t>Shan</t>
        </is>
      </c>
      <c r="G230" s="121" t="inlineStr">
        <is>
          <t>MMR222</t>
        </is>
      </c>
      <c r="H230" s="121" t="inlineStr">
        <is>
          <t>Myanmar</t>
        </is>
      </c>
      <c r="I230" s="121" t="inlineStr">
        <is>
          <t>MMR</t>
        </is>
      </c>
      <c r="J230" s="121" t="n">
        <v>104</v>
      </c>
    </row>
    <row r="231">
      <c r="A231" s="121" t="inlineStr">
        <is>
          <t>Namtu</t>
        </is>
      </c>
      <c r="B231" s="121" t="inlineStr">
        <is>
          <t>နမ္မတူ</t>
        </is>
      </c>
      <c r="C231" s="121" t="inlineStr">
        <is>
          <t>MMR015015</t>
        </is>
      </c>
      <c r="D231" s="121" t="inlineStr">
        <is>
          <t>Kyaukme</t>
        </is>
      </c>
      <c r="E231" s="121" t="inlineStr">
        <is>
          <t>MMR015D003</t>
        </is>
      </c>
      <c r="F231" s="121" t="inlineStr">
        <is>
          <t>Shan</t>
        </is>
      </c>
      <c r="G231" s="121" t="inlineStr">
        <is>
          <t>MMR222</t>
        </is>
      </c>
      <c r="H231" s="121" t="inlineStr">
        <is>
          <t>Myanmar</t>
        </is>
      </c>
      <c r="I231" s="121" t="inlineStr">
        <is>
          <t>MMR</t>
        </is>
      </c>
      <c r="J231" s="121" t="n">
        <v>104</v>
      </c>
    </row>
    <row r="232">
      <c r="A232" s="121" t="inlineStr">
        <is>
          <t>Thingangyun</t>
        </is>
      </c>
      <c r="B232" s="121" t="inlineStr">
        <is>
          <t>သင်္ဃန်းကျွန်း</t>
        </is>
      </c>
      <c r="C232" s="121" t="inlineStr">
        <is>
          <t>MMR013009</t>
        </is>
      </c>
      <c r="D232" s="121" t="inlineStr">
        <is>
          <t>Yangon (East)</t>
        </is>
      </c>
      <c r="E232" s="121" t="inlineStr">
        <is>
          <t>MMR013D002</t>
        </is>
      </c>
      <c r="F232" s="121" t="inlineStr">
        <is>
          <t>Yangon</t>
        </is>
      </c>
      <c r="G232" s="121" t="inlineStr">
        <is>
          <t>MMR013</t>
        </is>
      </c>
      <c r="H232" s="121" t="inlineStr">
        <is>
          <t>Myanmar</t>
        </is>
      </c>
      <c r="I232" s="121" t="inlineStr">
        <is>
          <t>MMR</t>
        </is>
      </c>
      <c r="J232" s="121" t="n">
        <v>104</v>
      </c>
    </row>
    <row r="233">
      <c r="A233" s="121" t="inlineStr">
        <is>
          <t>South Okkalapa</t>
        </is>
      </c>
      <c r="B233" s="121" t="inlineStr">
        <is>
          <t>တောင်ဥက္ကလာပ</t>
        </is>
      </c>
      <c r="C233" s="121" t="inlineStr">
        <is>
          <t>MMR013011</t>
        </is>
      </c>
      <c r="D233" s="121" t="inlineStr">
        <is>
          <t>Yangon (East)</t>
        </is>
      </c>
      <c r="E233" s="121" t="inlineStr">
        <is>
          <t>MMR013D002</t>
        </is>
      </c>
      <c r="F233" s="121" t="inlineStr">
        <is>
          <t>Yangon</t>
        </is>
      </c>
      <c r="G233" s="121" t="inlineStr">
        <is>
          <t>MMR013</t>
        </is>
      </c>
      <c r="H233" s="121" t="inlineStr">
        <is>
          <t>Myanmar</t>
        </is>
      </c>
      <c r="I233" s="121" t="inlineStr">
        <is>
          <t>MMR</t>
        </is>
      </c>
      <c r="J233" s="121" t="n">
        <v>104</v>
      </c>
    </row>
    <row r="234">
      <c r="A234" s="121" t="inlineStr">
        <is>
          <t>Insein</t>
        </is>
      </c>
      <c r="B234" s="121" t="inlineStr">
        <is>
          <t>အင်းစိန်</t>
        </is>
      </c>
      <c r="C234" s="121" t="inlineStr">
        <is>
          <t>MMR013001</t>
        </is>
      </c>
      <c r="D234" s="121" t="inlineStr">
        <is>
          <t>Yangon (North)</t>
        </is>
      </c>
      <c r="E234" s="121" t="inlineStr">
        <is>
          <t>MMR013D001</t>
        </is>
      </c>
      <c r="F234" s="121" t="inlineStr">
        <is>
          <t>Yangon</t>
        </is>
      </c>
      <c r="G234" s="121" t="inlineStr">
        <is>
          <t>MMR013</t>
        </is>
      </c>
      <c r="H234" s="121" t="inlineStr">
        <is>
          <t>Myanmar</t>
        </is>
      </c>
      <c r="I234" s="121" t="inlineStr">
        <is>
          <t>MMR</t>
        </is>
      </c>
      <c r="J234" s="121" t="n">
        <v>104</v>
      </c>
    </row>
    <row r="235">
      <c r="A235" s="121" t="inlineStr">
        <is>
          <t>Mingalartaungnyunt</t>
        </is>
      </c>
      <c r="B235" s="121" t="inlineStr">
        <is>
          <t>မင်္ဂလာတောင်ညွန့်</t>
        </is>
      </c>
      <c r="C235" s="121" t="inlineStr">
        <is>
          <t>MMR013022</t>
        </is>
      </c>
      <c r="D235" s="121" t="inlineStr">
        <is>
          <t>Yangon (East)</t>
        </is>
      </c>
      <c r="E235" s="121" t="inlineStr">
        <is>
          <t>MMR013D002</t>
        </is>
      </c>
      <c r="F235" s="121" t="inlineStr">
        <is>
          <t>Yangon</t>
        </is>
      </c>
      <c r="G235" s="121" t="inlineStr">
        <is>
          <t>MMR013</t>
        </is>
      </c>
      <c r="H235" s="121" t="inlineStr">
        <is>
          <t>Myanmar</t>
        </is>
      </c>
      <c r="I235" s="121" t="inlineStr">
        <is>
          <t>MMR</t>
        </is>
      </c>
      <c r="J235" s="121" t="n">
        <v>104</v>
      </c>
    </row>
    <row r="236">
      <c r="A236" s="121" t="inlineStr">
        <is>
          <t>Kyonpyaw</t>
        </is>
      </c>
      <c r="B236" s="121" t="inlineStr">
        <is>
          <t>ကျုံပျော်</t>
        </is>
      </c>
      <c r="C236" s="121" t="inlineStr">
        <is>
          <t>MMR017005</t>
        </is>
      </c>
      <c r="D236" s="121" t="inlineStr">
        <is>
          <t>Pathein</t>
        </is>
      </c>
      <c r="E236" s="121" t="inlineStr">
        <is>
          <t>MMR017D001</t>
        </is>
      </c>
      <c r="F236" s="121" t="inlineStr">
        <is>
          <t>Ayeyarwady</t>
        </is>
      </c>
      <c r="G236" s="121" t="inlineStr">
        <is>
          <t>MMR017</t>
        </is>
      </c>
      <c r="H236" s="121" t="inlineStr">
        <is>
          <t>Myanmar</t>
        </is>
      </c>
      <c r="I236" s="121" t="inlineStr">
        <is>
          <t>MMR</t>
        </is>
      </c>
      <c r="J236" s="121" t="n">
        <v>104</v>
      </c>
    </row>
    <row r="237">
      <c r="A237" s="121" t="inlineStr">
        <is>
          <t>Sagaing</t>
        </is>
      </c>
      <c r="B237" s="121" t="inlineStr">
        <is>
          <t>စစ်ကိုင်း</t>
        </is>
      </c>
      <c r="C237" s="121" t="inlineStr">
        <is>
          <t>MMR005001</t>
        </is>
      </c>
      <c r="D237" s="121" t="inlineStr">
        <is>
          <t>Sagaing</t>
        </is>
      </c>
      <c r="E237" s="121" t="inlineStr">
        <is>
          <t>MMR005D001</t>
        </is>
      </c>
      <c r="F237" s="121" t="inlineStr">
        <is>
          <t>Sagaing</t>
        </is>
      </c>
      <c r="G237" s="121" t="inlineStr">
        <is>
          <t>MMR005</t>
        </is>
      </c>
      <c r="H237" s="121" t="inlineStr">
        <is>
          <t>Myanmar</t>
        </is>
      </c>
      <c r="I237" s="121" t="inlineStr">
        <is>
          <t>MMR</t>
        </is>
      </c>
      <c r="J237" s="121" t="n">
        <v>104</v>
      </c>
    </row>
    <row r="238">
      <c r="A238" s="121" t="inlineStr">
        <is>
          <t>Pyigyitagon</t>
        </is>
      </c>
      <c r="B238" s="121" t="inlineStr">
        <is>
          <t>ပြည်ကြီးတံခွန်</t>
        </is>
      </c>
      <c r="C238" s="121" t="inlineStr">
        <is>
          <t>MMR010005</t>
        </is>
      </c>
      <c r="D238" s="121" t="inlineStr">
        <is>
          <t>Mandalay</t>
        </is>
      </c>
      <c r="E238" s="121" t="inlineStr">
        <is>
          <t>MMR010D001</t>
        </is>
      </c>
      <c r="F238" s="121" t="inlineStr">
        <is>
          <t>Mandalay</t>
        </is>
      </c>
      <c r="G238" s="121" t="inlineStr">
        <is>
          <t>MMR010</t>
        </is>
      </c>
      <c r="H238" s="121" t="inlineStr">
        <is>
          <t>Myanmar</t>
        </is>
      </c>
      <c r="I238" s="121" t="inlineStr">
        <is>
          <t>MMR</t>
        </is>
      </c>
      <c r="J238" s="121" t="n">
        <v>104</v>
      </c>
    </row>
    <row r="239">
      <c r="A239" s="121" t="inlineStr">
        <is>
          <t>Nyaungshwe</t>
        </is>
      </c>
      <c r="B239" s="121" t="inlineStr">
        <is>
          <t>ညောင်ရွှေ</t>
        </is>
      </c>
      <c r="C239" s="121" t="inlineStr">
        <is>
          <t>MMR014002</t>
        </is>
      </c>
      <c r="D239" s="121" t="inlineStr">
        <is>
          <t>Taunggyi</t>
        </is>
      </c>
      <c r="E239" s="121" t="inlineStr">
        <is>
          <t>MMR014D001</t>
        </is>
      </c>
      <c r="F239" s="121" t="inlineStr">
        <is>
          <t>Shan</t>
        </is>
      </c>
      <c r="G239" s="121" t="inlineStr">
        <is>
          <t>MMR222</t>
        </is>
      </c>
      <c r="H239" s="121" t="inlineStr">
        <is>
          <t>Myanmar</t>
        </is>
      </c>
      <c r="I239" s="121" t="inlineStr">
        <is>
          <t>MMR</t>
        </is>
      </c>
      <c r="J239" s="121" t="n">
        <v>104</v>
      </c>
    </row>
    <row r="240">
      <c r="A240" s="121" t="inlineStr">
        <is>
          <t>Demoso</t>
        </is>
      </c>
      <c r="B240" s="121" t="inlineStr">
        <is>
          <t>ဒီးမော့ဆို</t>
        </is>
      </c>
      <c r="C240" s="121" t="inlineStr">
        <is>
          <t>MMR002002</t>
        </is>
      </c>
      <c r="D240" s="121" t="inlineStr">
        <is>
          <t>Loikaw</t>
        </is>
      </c>
      <c r="E240" s="121" t="inlineStr">
        <is>
          <t>MMR002D001</t>
        </is>
      </c>
      <c r="F240" s="121" t="inlineStr">
        <is>
          <t>Kayah</t>
        </is>
      </c>
      <c r="G240" s="121" t="inlineStr">
        <is>
          <t>MMR002</t>
        </is>
      </c>
      <c r="H240" s="121" t="inlineStr">
        <is>
          <t>Myanmar</t>
        </is>
      </c>
      <c r="I240" s="121" t="inlineStr">
        <is>
          <t>MMR</t>
        </is>
      </c>
      <c r="J240" s="121" t="n">
        <v>104</v>
      </c>
    </row>
    <row r="241">
      <c r="A241" s="121" t="inlineStr">
        <is>
          <t>Minhla</t>
        </is>
      </c>
      <c r="B241" s="121" t="inlineStr">
        <is>
          <t>မင်းလှ</t>
        </is>
      </c>
      <c r="C241" s="121" t="inlineStr">
        <is>
          <t>MMR009013</t>
        </is>
      </c>
      <c r="D241" s="121" t="inlineStr">
        <is>
          <t>Thayet</t>
        </is>
      </c>
      <c r="E241" s="121" t="inlineStr">
        <is>
          <t>MMR009D003</t>
        </is>
      </c>
      <c r="F241" s="121" t="inlineStr">
        <is>
          <t>Magway</t>
        </is>
      </c>
      <c r="G241" s="121" t="inlineStr">
        <is>
          <t>MMR009</t>
        </is>
      </c>
      <c r="H241" s="121" t="inlineStr">
        <is>
          <t>Myanmar</t>
        </is>
      </c>
      <c r="I241" s="121" t="inlineStr">
        <is>
          <t>MMR</t>
        </is>
      </c>
      <c r="J241" s="121" t="n">
        <v>104</v>
      </c>
    </row>
    <row r="242">
      <c r="A242" s="121" t="inlineStr">
        <is>
          <t>Nawngmun</t>
        </is>
      </c>
      <c r="B242" s="121" t="inlineStr">
        <is>
          <t>နောင်မွန်း</t>
        </is>
      </c>
      <c r="C242" s="121" t="inlineStr">
        <is>
          <t>MMR001017</t>
        </is>
      </c>
      <c r="D242" s="121" t="inlineStr">
        <is>
          <t>Puta-O</t>
        </is>
      </c>
      <c r="E242" s="121" t="inlineStr">
        <is>
          <t>MMR001D004</t>
        </is>
      </c>
      <c r="F242" s="121" t="inlineStr">
        <is>
          <t>Kachin</t>
        </is>
      </c>
      <c r="G242" s="121" t="inlineStr">
        <is>
          <t>MMR001</t>
        </is>
      </c>
      <c r="H242" s="121" t="inlineStr">
        <is>
          <t>Myanmar</t>
        </is>
      </c>
      <c r="I242" s="121" t="inlineStr">
        <is>
          <t>MMR</t>
        </is>
      </c>
      <c r="J242" s="121" t="n">
        <v>104</v>
      </c>
    </row>
    <row r="243">
      <c r="A243" s="121" t="inlineStr">
        <is>
          <t>Taungoo</t>
        </is>
      </c>
      <c r="B243" s="121" t="inlineStr">
        <is>
          <t>တောင်ငူ</t>
        </is>
      </c>
      <c r="C243" s="121" t="inlineStr">
        <is>
          <t>MMR007009</t>
        </is>
      </c>
      <c r="D243" s="121" t="inlineStr">
        <is>
          <t>Taungoo</t>
        </is>
      </c>
      <c r="E243" s="121" t="inlineStr">
        <is>
          <t>MMR007D002</t>
        </is>
      </c>
      <c r="F243" s="121" t="inlineStr">
        <is>
          <t>Bago</t>
        </is>
      </c>
      <c r="G243" s="121" t="inlineStr">
        <is>
          <t>MMR111</t>
        </is>
      </c>
      <c r="H243" s="121" t="inlineStr">
        <is>
          <t>Myanmar</t>
        </is>
      </c>
      <c r="I243" s="121" t="inlineStr">
        <is>
          <t>MMR</t>
        </is>
      </c>
      <c r="J243" s="121" t="n">
        <v>104</v>
      </c>
    </row>
    <row r="244">
      <c r="A244" s="121" t="inlineStr">
        <is>
          <t>Mogaung</t>
        </is>
      </c>
      <c r="B244" s="121" t="inlineStr">
        <is>
          <t>မိုးကောင်း</t>
        </is>
      </c>
      <c r="C244" s="121" t="inlineStr">
        <is>
          <t>MMR001008</t>
        </is>
      </c>
      <c r="D244" s="121" t="inlineStr">
        <is>
          <t>Mohnyin</t>
        </is>
      </c>
      <c r="E244" s="121" t="inlineStr">
        <is>
          <t>MMR001D002</t>
        </is>
      </c>
      <c r="F244" s="121" t="inlineStr">
        <is>
          <t>Kachin</t>
        </is>
      </c>
      <c r="G244" s="121" t="inlineStr">
        <is>
          <t>MMR001</t>
        </is>
      </c>
      <c r="H244" s="121" t="inlineStr">
        <is>
          <t>Myanmar</t>
        </is>
      </c>
      <c r="I244" s="121" t="inlineStr">
        <is>
          <t>MMR</t>
        </is>
      </c>
      <c r="J244" s="121" t="n">
        <v>104</v>
      </c>
    </row>
    <row r="245">
      <c r="A245" s="121" t="inlineStr">
        <is>
          <t>Mohnyin</t>
        </is>
      </c>
      <c r="B245" s="121" t="inlineStr">
        <is>
          <t>မိုးညှင်း</t>
        </is>
      </c>
      <c r="C245" s="121" t="inlineStr">
        <is>
          <t>MMR001007</t>
        </is>
      </c>
      <c r="D245" s="121" t="inlineStr">
        <is>
          <t>Mohnyin</t>
        </is>
      </c>
      <c r="E245" s="121" t="inlineStr">
        <is>
          <t>MMR001D002</t>
        </is>
      </c>
      <c r="F245" s="121" t="inlineStr">
        <is>
          <t>Kachin</t>
        </is>
      </c>
      <c r="G245" s="121" t="inlineStr">
        <is>
          <t>MMR001</t>
        </is>
      </c>
      <c r="H245" s="121" t="inlineStr">
        <is>
          <t>Myanmar</t>
        </is>
      </c>
      <c r="I245" s="121" t="inlineStr">
        <is>
          <t>MMR</t>
        </is>
      </c>
      <c r="J245" s="121" t="n">
        <v>104</v>
      </c>
    </row>
    <row r="246">
      <c r="A246" s="121" t="inlineStr">
        <is>
          <t>Nanyun</t>
        </is>
      </c>
      <c r="B246" s="121" t="inlineStr">
        <is>
          <t>နန်းယွန်း</t>
        </is>
      </c>
      <c r="C246" s="121" t="inlineStr">
        <is>
          <t>MMR005037</t>
        </is>
      </c>
      <c r="D246" s="121" t="inlineStr">
        <is>
          <t>Naga Self-Administered Zone</t>
        </is>
      </c>
      <c r="E246" s="121" t="inlineStr">
        <is>
          <t>MMR005S001</t>
        </is>
      </c>
      <c r="F246" s="121" t="inlineStr">
        <is>
          <t>Sagaing</t>
        </is>
      </c>
      <c r="G246" s="121" t="inlineStr">
        <is>
          <t>MMR005</t>
        </is>
      </c>
      <c r="H246" s="121" t="inlineStr">
        <is>
          <t>Myanmar</t>
        </is>
      </c>
      <c r="I246" s="121" t="inlineStr">
        <is>
          <t>MMR</t>
        </is>
      </c>
      <c r="J246" s="121" t="n">
        <v>104</v>
      </c>
    </row>
    <row r="247">
      <c r="A247" s="121" t="inlineStr">
        <is>
          <t>Pyay</t>
        </is>
      </c>
      <c r="B247" s="121" t="inlineStr">
        <is>
          <t>ပြည်</t>
        </is>
      </c>
      <c r="C247" s="121" t="inlineStr">
        <is>
          <t>MMR008001</t>
        </is>
      </c>
      <c r="D247" s="121" t="inlineStr">
        <is>
          <t>Pyay</t>
        </is>
      </c>
      <c r="E247" s="121" t="inlineStr">
        <is>
          <t>MMR008D001</t>
        </is>
      </c>
      <c r="F247" s="121" t="inlineStr">
        <is>
          <t>Bago</t>
        </is>
      </c>
      <c r="G247" s="121" t="inlineStr">
        <is>
          <t>MMR111</t>
        </is>
      </c>
      <c r="H247" s="121" t="inlineStr">
        <is>
          <t>Myanmar</t>
        </is>
      </c>
      <c r="I247" s="121" t="inlineStr">
        <is>
          <t>MMR</t>
        </is>
      </c>
      <c r="J247" s="121" t="n">
        <v>104</v>
      </c>
    </row>
    <row r="248">
      <c r="A248" s="121" t="inlineStr">
        <is>
          <t>Paungde</t>
        </is>
      </c>
      <c r="B248" s="121" t="inlineStr">
        <is>
          <t>ပေါင်းတည်</t>
        </is>
      </c>
      <c r="C248" s="121" t="inlineStr">
        <is>
          <t>MMR008004</t>
        </is>
      </c>
      <c r="D248" s="121" t="inlineStr">
        <is>
          <t>Pyay</t>
        </is>
      </c>
      <c r="E248" s="121" t="inlineStr">
        <is>
          <t>MMR008D001</t>
        </is>
      </c>
      <c r="F248" s="121" t="inlineStr">
        <is>
          <t>Bago</t>
        </is>
      </c>
      <c r="G248" s="121" t="inlineStr">
        <is>
          <t>MMR111</t>
        </is>
      </c>
      <c r="H248" s="121" t="inlineStr">
        <is>
          <t>Myanmar</t>
        </is>
      </c>
      <c r="I248" s="121" t="inlineStr">
        <is>
          <t>MMR</t>
        </is>
      </c>
      <c r="J248" s="121" t="n">
        <v>104</v>
      </c>
    </row>
    <row r="249">
      <c r="A249" s="121" t="inlineStr">
        <is>
          <t>Okpho</t>
        </is>
      </c>
      <c r="B249" s="121" t="inlineStr">
        <is>
          <t>အုတ်ဖို</t>
        </is>
      </c>
      <c r="C249" s="121" t="inlineStr">
        <is>
          <t>MMR008010</t>
        </is>
      </c>
      <c r="D249" s="121" t="inlineStr">
        <is>
          <t>Thayarwady</t>
        </is>
      </c>
      <c r="E249" s="121" t="inlineStr">
        <is>
          <t>MMR008D002</t>
        </is>
      </c>
      <c r="F249" s="121" t="inlineStr">
        <is>
          <t>Bago</t>
        </is>
      </c>
      <c r="G249" s="121" t="inlineStr">
        <is>
          <t>MMR111</t>
        </is>
      </c>
      <c r="H249" s="121" t="inlineStr">
        <is>
          <t>Myanmar</t>
        </is>
      </c>
      <c r="I249" s="121" t="inlineStr">
        <is>
          <t>MMR</t>
        </is>
      </c>
      <c r="J249" s="121" t="n">
        <v>104</v>
      </c>
    </row>
    <row r="250">
      <c r="A250" s="121" t="inlineStr">
        <is>
          <t>Cocokyun</t>
        </is>
      </c>
      <c r="B250" s="121" t="inlineStr">
        <is>
          <t>ကိုကိုးကျွန်း</t>
        </is>
      </c>
      <c r="C250" s="121" t="inlineStr">
        <is>
          <t>MMR013032</t>
        </is>
      </c>
      <c r="D250" s="121" t="inlineStr">
        <is>
          <t>Yangon (South)</t>
        </is>
      </c>
      <c r="E250" s="121" t="inlineStr">
        <is>
          <t>MMR013D003</t>
        </is>
      </c>
      <c r="F250" s="121" t="inlineStr">
        <is>
          <t>Yangon</t>
        </is>
      </c>
      <c r="G250" s="121" t="inlineStr">
        <is>
          <t>MMR013</t>
        </is>
      </c>
      <c r="H250" s="121" t="inlineStr">
        <is>
          <t>Myanmar</t>
        </is>
      </c>
      <c r="I250" s="121" t="inlineStr">
        <is>
          <t>MMR</t>
        </is>
      </c>
      <c r="J250" s="121" t="n">
        <v>104</v>
      </c>
    </row>
    <row r="251">
      <c r="A251" s="121" t="inlineStr">
        <is>
          <t>Shwedaung</t>
        </is>
      </c>
      <c r="B251" s="121" t="inlineStr">
        <is>
          <t>ရွှေတောင်</t>
        </is>
      </c>
      <c r="C251" s="121" t="inlineStr">
        <is>
          <t>MMR008006</t>
        </is>
      </c>
      <c r="D251" s="121" t="inlineStr">
        <is>
          <t>Pyay</t>
        </is>
      </c>
      <c r="E251" s="121" t="inlineStr">
        <is>
          <t>MMR008D001</t>
        </is>
      </c>
      <c r="F251" s="121" t="inlineStr">
        <is>
          <t>Bago</t>
        </is>
      </c>
      <c r="G251" s="121" t="inlineStr">
        <is>
          <t>MMR111</t>
        </is>
      </c>
      <c r="H251" s="121" t="inlineStr">
        <is>
          <t>Myanmar</t>
        </is>
      </c>
      <c r="I251" s="121" t="inlineStr">
        <is>
          <t>MMR</t>
        </is>
      </c>
      <c r="J251" s="121" t="n">
        <v>104</v>
      </c>
    </row>
    <row r="252">
      <c r="A252" s="121" t="inlineStr">
        <is>
          <t>Zalun</t>
        </is>
      </c>
      <c r="B252" s="121" t="inlineStr">
        <is>
          <t>ဇလွန်</t>
        </is>
      </c>
      <c r="C252" s="121" t="inlineStr">
        <is>
          <t>MMR017009</t>
        </is>
      </c>
      <c r="D252" s="121" t="inlineStr">
        <is>
          <t>Hinthada</t>
        </is>
      </c>
      <c r="E252" s="121" t="inlineStr">
        <is>
          <t>MMR017D002</t>
        </is>
      </c>
      <c r="F252" s="121" t="inlineStr">
        <is>
          <t>Ayeyarwady</t>
        </is>
      </c>
      <c r="G252" s="121" t="inlineStr">
        <is>
          <t>MMR017</t>
        </is>
      </c>
      <c r="H252" s="121" t="inlineStr">
        <is>
          <t>Myanmar</t>
        </is>
      </c>
      <c r="I252" s="121" t="inlineStr">
        <is>
          <t>MMR</t>
        </is>
      </c>
      <c r="J252" s="121" t="n">
        <v>104</v>
      </c>
    </row>
    <row r="253">
      <c r="A253" s="121" t="inlineStr">
        <is>
          <t>Myawaddy</t>
        </is>
      </c>
      <c r="B253" s="121" t="inlineStr">
        <is>
          <t>မြဝတီ</t>
        </is>
      </c>
      <c r="C253" s="121" t="inlineStr">
        <is>
          <t>MMR003005</t>
        </is>
      </c>
      <c r="D253" s="121" t="inlineStr">
        <is>
          <t>Myawaddy</t>
        </is>
      </c>
      <c r="E253" s="121" t="inlineStr">
        <is>
          <t>MMR003D002</t>
        </is>
      </c>
      <c r="F253" s="121" t="inlineStr">
        <is>
          <t>Kayin</t>
        </is>
      </c>
      <c r="G253" s="121" t="inlineStr">
        <is>
          <t>MMR003</t>
        </is>
      </c>
      <c r="H253" s="121" t="inlineStr">
        <is>
          <t>Myanmar</t>
        </is>
      </c>
      <c r="I253" s="121" t="inlineStr">
        <is>
          <t>MMR</t>
        </is>
      </c>
      <c r="J253" s="121" t="n">
        <v>104</v>
      </c>
    </row>
    <row r="254">
      <c r="A254" s="121" t="inlineStr">
        <is>
          <t>Tonzang</t>
        </is>
      </c>
      <c r="B254" s="121" t="inlineStr">
        <is>
          <t>တွန်းဇန်</t>
        </is>
      </c>
      <c r="C254" s="121" t="inlineStr">
        <is>
          <t>MMR004005</t>
        </is>
      </c>
      <c r="D254" s="121" t="inlineStr">
        <is>
          <t>Falam</t>
        </is>
      </c>
      <c r="E254" s="121" t="inlineStr">
        <is>
          <t>MMR004D001</t>
        </is>
      </c>
      <c r="F254" s="121" t="inlineStr">
        <is>
          <t>Chin</t>
        </is>
      </c>
      <c r="G254" s="121" t="inlineStr">
        <is>
          <t>MMR004</t>
        </is>
      </c>
      <c r="H254" s="121" t="inlineStr">
        <is>
          <t>Myanmar</t>
        </is>
      </c>
      <c r="I254" s="121" t="inlineStr">
        <is>
          <t>MMR</t>
        </is>
      </c>
      <c r="J254" s="121" t="n">
        <v>104</v>
      </c>
    </row>
    <row r="255">
      <c r="A255" s="121" t="inlineStr">
        <is>
          <t>Pinlebu</t>
        </is>
      </c>
      <c r="B255" s="121" t="inlineStr">
        <is>
          <t>ပင်လည်ဘူး</t>
        </is>
      </c>
      <c r="C255" s="121" t="inlineStr">
        <is>
          <t>MMR005026</t>
        </is>
      </c>
      <c r="D255" s="121" t="inlineStr">
        <is>
          <t>Kawlin</t>
        </is>
      </c>
      <c r="E255" s="121" t="inlineStr">
        <is>
          <t>MMR005D011</t>
        </is>
      </c>
      <c r="F255" s="121" t="inlineStr">
        <is>
          <t>Sagaing</t>
        </is>
      </c>
      <c r="G255" s="121" t="inlineStr">
        <is>
          <t>MMR005</t>
        </is>
      </c>
      <c r="H255" s="121" t="inlineStr">
        <is>
          <t>Myanmar</t>
        </is>
      </c>
      <c r="I255" s="121" t="inlineStr">
        <is>
          <t>MMR</t>
        </is>
      </c>
      <c r="J255" s="121" t="n">
        <v>104</v>
      </c>
    </row>
    <row r="256">
      <c r="A256" s="121" t="inlineStr">
        <is>
          <t>Katha</t>
        </is>
      </c>
      <c r="B256" s="121" t="inlineStr">
        <is>
          <t>ကသာ</t>
        </is>
      </c>
      <c r="C256" s="121" t="inlineStr">
        <is>
          <t>MMR005020</t>
        </is>
      </c>
      <c r="D256" s="121" t="inlineStr">
        <is>
          <t>Katha</t>
        </is>
      </c>
      <c r="E256" s="121" t="inlineStr">
        <is>
          <t>MMR005D004</t>
        </is>
      </c>
      <c r="F256" s="121" t="inlineStr">
        <is>
          <t>Sagaing</t>
        </is>
      </c>
      <c r="G256" s="121" t="inlineStr">
        <is>
          <t>MMR005</t>
        </is>
      </c>
      <c r="H256" s="121" t="inlineStr">
        <is>
          <t>Myanmar</t>
        </is>
      </c>
      <c r="I256" s="121" t="inlineStr">
        <is>
          <t>MMR</t>
        </is>
      </c>
      <c r="J256" s="121" t="n">
        <v>104</v>
      </c>
    </row>
    <row r="257">
      <c r="A257" s="121" t="inlineStr">
        <is>
          <t>Tamu</t>
        </is>
      </c>
      <c r="B257" s="121" t="inlineStr">
        <is>
          <t>တမူး</t>
        </is>
      </c>
      <c r="C257" s="121" t="inlineStr">
        <is>
          <t>MMR005030</t>
        </is>
      </c>
      <c r="D257" s="121" t="inlineStr">
        <is>
          <t>Tamu</t>
        </is>
      </c>
      <c r="E257" s="121" t="inlineStr">
        <is>
          <t>MMR005D006</t>
        </is>
      </c>
      <c r="F257" s="121" t="inlineStr">
        <is>
          <t>Sagaing</t>
        </is>
      </c>
      <c r="G257" s="121" t="inlineStr">
        <is>
          <t>MMR005</t>
        </is>
      </c>
      <c r="H257" s="121" t="inlineStr">
        <is>
          <t>Myanmar</t>
        </is>
      </c>
      <c r="I257" s="121" t="inlineStr">
        <is>
          <t>MMR</t>
        </is>
      </c>
      <c r="J257" s="121" t="n">
        <v>104</v>
      </c>
    </row>
    <row r="258">
      <c r="A258" s="121" t="inlineStr">
        <is>
          <t>Falam</t>
        </is>
      </c>
      <c r="B258" s="121" t="inlineStr">
        <is>
          <t>ဖလမ်း</t>
        </is>
      </c>
      <c r="C258" s="121" t="inlineStr">
        <is>
          <t>MMR004001</t>
        </is>
      </c>
      <c r="D258" s="121" t="inlineStr">
        <is>
          <t>Falam</t>
        </is>
      </c>
      <c r="E258" s="121" t="inlineStr">
        <is>
          <t>MMR004D001</t>
        </is>
      </c>
      <c r="F258" s="121" t="inlineStr">
        <is>
          <t>Chin</t>
        </is>
      </c>
      <c r="G258" s="121" t="inlineStr">
        <is>
          <t>MMR004</t>
        </is>
      </c>
      <c r="H258" s="121" t="inlineStr">
        <is>
          <t>Myanmar</t>
        </is>
      </c>
      <c r="I258" s="121" t="inlineStr">
        <is>
          <t>MMR</t>
        </is>
      </c>
      <c r="J258" s="121" t="n">
        <v>104</v>
      </c>
    </row>
    <row r="259">
      <c r="A259" s="121" t="inlineStr">
        <is>
          <t>Thantlang</t>
        </is>
      </c>
      <c r="B259" s="121" t="inlineStr">
        <is>
          <t>ထန်တလန်</t>
        </is>
      </c>
      <c r="C259" s="121" t="inlineStr">
        <is>
          <t>MMR004003</t>
        </is>
      </c>
      <c r="D259" s="121" t="inlineStr">
        <is>
          <t>Hakha</t>
        </is>
      </c>
      <c r="E259" s="121" t="inlineStr">
        <is>
          <t>MMR004D003</t>
        </is>
      </c>
      <c r="F259" s="121" t="inlineStr">
        <is>
          <t>Chin</t>
        </is>
      </c>
      <c r="G259" s="121" t="inlineStr">
        <is>
          <t>MMR004</t>
        </is>
      </c>
      <c r="H259" s="121" t="inlineStr">
        <is>
          <t>Myanmar</t>
        </is>
      </c>
      <c r="I259" s="121" t="inlineStr">
        <is>
          <t>MMR</t>
        </is>
      </c>
      <c r="J259" s="121" t="n">
        <v>104</v>
      </c>
    </row>
    <row r="260">
      <c r="A260" s="121" t="inlineStr">
        <is>
          <t>Kani</t>
        </is>
      </c>
      <c r="B260" s="121" t="inlineStr">
        <is>
          <t>ကနီ</t>
        </is>
      </c>
      <c r="C260" s="121" t="inlineStr">
        <is>
          <t>MMR005017</t>
        </is>
      </c>
      <c r="D260" s="121" t="inlineStr">
        <is>
          <t>Yinmarbin</t>
        </is>
      </c>
      <c r="E260" s="121" t="inlineStr">
        <is>
          <t>MMR005D009</t>
        </is>
      </c>
      <c r="F260" s="121" t="inlineStr">
        <is>
          <t>Sagaing</t>
        </is>
      </c>
      <c r="G260" s="121" t="inlineStr">
        <is>
          <t>MMR005</t>
        </is>
      </c>
      <c r="H260" s="121" t="inlineStr">
        <is>
          <t>Myanmar</t>
        </is>
      </c>
      <c r="I260" s="121" t="inlineStr">
        <is>
          <t>MMR</t>
        </is>
      </c>
      <c r="J260" s="121" t="n">
        <v>104</v>
      </c>
    </row>
    <row r="261">
      <c r="A261" s="121" t="inlineStr">
        <is>
          <t>Matupi</t>
        </is>
      </c>
      <c r="B261" s="121" t="inlineStr">
        <is>
          <t>မတူပီ</t>
        </is>
      </c>
      <c r="C261" s="121" t="inlineStr">
        <is>
          <t>MMR004007</t>
        </is>
      </c>
      <c r="D261" s="121" t="inlineStr">
        <is>
          <t>Matupi</t>
        </is>
      </c>
      <c r="E261" s="121" t="inlineStr">
        <is>
          <t>MMR004D004</t>
        </is>
      </c>
      <c r="F261" s="121" t="inlineStr">
        <is>
          <t>Chin</t>
        </is>
      </c>
      <c r="G261" s="121" t="inlineStr">
        <is>
          <t>MMR004</t>
        </is>
      </c>
      <c r="H261" s="121" t="inlineStr">
        <is>
          <t>Myanmar</t>
        </is>
      </c>
      <c r="I261" s="121" t="inlineStr">
        <is>
          <t>MMR</t>
        </is>
      </c>
      <c r="J261" s="121" t="n">
        <v>104</v>
      </c>
    </row>
    <row r="262">
      <c r="A262" s="121" t="inlineStr">
        <is>
          <t>Thayet</t>
        </is>
      </c>
      <c r="B262" s="121" t="inlineStr">
        <is>
          <t>သရက်</t>
        </is>
      </c>
      <c r="C262" s="121" t="inlineStr">
        <is>
          <t>MMR009012</t>
        </is>
      </c>
      <c r="D262" s="121" t="inlineStr">
        <is>
          <t>Thayet</t>
        </is>
      </c>
      <c r="E262" s="121" t="inlineStr">
        <is>
          <t>MMR009D003</t>
        </is>
      </c>
      <c r="F262" s="121" t="inlineStr">
        <is>
          <t>Magway</t>
        </is>
      </c>
      <c r="G262" s="121" t="inlineStr">
        <is>
          <t>MMR009</t>
        </is>
      </c>
      <c r="H262" s="121" t="inlineStr">
        <is>
          <t>Myanmar</t>
        </is>
      </c>
      <c r="I262" s="121" t="inlineStr">
        <is>
          <t>MMR</t>
        </is>
      </c>
      <c r="J262" s="121" t="n">
        <v>104</v>
      </c>
    </row>
    <row r="263">
      <c r="A263" s="121" t="inlineStr">
        <is>
          <t>Myaung</t>
        </is>
      </c>
      <c r="B263" s="121" t="inlineStr">
        <is>
          <t>မြောင်</t>
        </is>
      </c>
      <c r="C263" s="121" t="inlineStr">
        <is>
          <t>MMR005003</t>
        </is>
      </c>
      <c r="D263" s="121" t="inlineStr">
        <is>
          <t>Sagaing</t>
        </is>
      </c>
      <c r="E263" s="121" t="inlineStr">
        <is>
          <t>MMR005D001</t>
        </is>
      </c>
      <c r="F263" s="121" t="inlineStr">
        <is>
          <t>Sagaing</t>
        </is>
      </c>
      <c r="G263" s="121" t="inlineStr">
        <is>
          <t>MMR005</t>
        </is>
      </c>
      <c r="H263" s="121" t="inlineStr">
        <is>
          <t>Myanmar</t>
        </is>
      </c>
      <c r="I263" s="121" t="inlineStr">
        <is>
          <t>MMR</t>
        </is>
      </c>
      <c r="J263" s="121" t="n">
        <v>104</v>
      </c>
    </row>
    <row r="264">
      <c r="A264" s="121" t="inlineStr">
        <is>
          <t>Myaing</t>
        </is>
      </c>
      <c r="B264" s="121" t="inlineStr">
        <is>
          <t>မြိုင်</t>
        </is>
      </c>
      <c r="C264" s="121" t="inlineStr">
        <is>
          <t>MMR009020</t>
        </is>
      </c>
      <c r="D264" s="121" t="inlineStr">
        <is>
          <t>Pakokku</t>
        </is>
      </c>
      <c r="E264" s="121" t="inlineStr">
        <is>
          <t>MMR009D004</t>
        </is>
      </c>
      <c r="F264" s="121" t="inlineStr">
        <is>
          <t>Magway</t>
        </is>
      </c>
      <c r="G264" s="121" t="inlineStr">
        <is>
          <t>MMR009</t>
        </is>
      </c>
      <c r="H264" s="121" t="inlineStr">
        <is>
          <t>Myanmar</t>
        </is>
      </c>
      <c r="I264" s="121" t="inlineStr">
        <is>
          <t>MMR</t>
        </is>
      </c>
      <c r="J264" s="121" t="n">
        <v>104</v>
      </c>
    </row>
    <row r="265">
      <c r="A265" s="121" t="inlineStr">
        <is>
          <t>Pauk</t>
        </is>
      </c>
      <c r="B265" s="121" t="inlineStr">
        <is>
          <t>ပေါက်</t>
        </is>
      </c>
      <c r="C265" s="121" t="inlineStr">
        <is>
          <t>MMR009021</t>
        </is>
      </c>
      <c r="D265" s="121" t="inlineStr">
        <is>
          <t>Pakokku</t>
        </is>
      </c>
      <c r="E265" s="121" t="inlineStr">
        <is>
          <t>MMR009D004</t>
        </is>
      </c>
      <c r="F265" s="121" t="inlineStr">
        <is>
          <t>Magway</t>
        </is>
      </c>
      <c r="G265" s="121" t="inlineStr">
        <is>
          <t>MMR009</t>
        </is>
      </c>
      <c r="H265" s="121" t="inlineStr">
        <is>
          <t>Myanmar</t>
        </is>
      </c>
      <c r="I265" s="121" t="inlineStr">
        <is>
          <t>MMR</t>
        </is>
      </c>
      <c r="J265" s="121" t="n">
        <v>104</v>
      </c>
    </row>
    <row r="266">
      <c r="A266" s="121" t="inlineStr">
        <is>
          <t>Lay Shi</t>
        </is>
      </c>
      <c r="B266" s="121" t="inlineStr">
        <is>
          <t>လေရှီး</t>
        </is>
      </c>
      <c r="C266" s="121" t="inlineStr">
        <is>
          <t>MMR005035</t>
        </is>
      </c>
      <c r="D266" s="121" t="inlineStr">
        <is>
          <t>Naga Self-Administered Zone</t>
        </is>
      </c>
      <c r="E266" s="121" t="inlineStr">
        <is>
          <t>MMR005S001</t>
        </is>
      </c>
      <c r="F266" s="121" t="inlineStr">
        <is>
          <t>Sagaing</t>
        </is>
      </c>
      <c r="G266" s="121" t="inlineStr">
        <is>
          <t>MMR005</t>
        </is>
      </c>
      <c r="H266" s="121" t="inlineStr">
        <is>
          <t>Myanmar</t>
        </is>
      </c>
      <c r="I266" s="121" t="inlineStr">
        <is>
          <t>MMR</t>
        </is>
      </c>
      <c r="J266" s="121" t="n">
        <v>104</v>
      </c>
    </row>
    <row r="267">
      <c r="A267" s="121" t="inlineStr">
        <is>
          <t>Lahe</t>
        </is>
      </c>
      <c r="B267" s="121" t="inlineStr">
        <is>
          <t>လဟယ်</t>
        </is>
      </c>
      <c r="C267" s="121" t="inlineStr">
        <is>
          <t>MMR005036</t>
        </is>
      </c>
      <c r="D267" s="121" t="inlineStr">
        <is>
          <t>Naga Self-Administered Zone</t>
        </is>
      </c>
      <c r="E267" s="121" t="inlineStr">
        <is>
          <t>MMR005S001</t>
        </is>
      </c>
      <c r="F267" s="121" t="inlineStr">
        <is>
          <t>Sagaing</t>
        </is>
      </c>
      <c r="G267" s="121" t="inlineStr">
        <is>
          <t>MMR005</t>
        </is>
      </c>
      <c r="H267" s="121" t="inlineStr">
        <is>
          <t>Myanmar</t>
        </is>
      </c>
      <c r="I267" s="121" t="inlineStr">
        <is>
          <t>MMR</t>
        </is>
      </c>
      <c r="J267" s="121" t="n">
        <v>104</v>
      </c>
    </row>
    <row r="268">
      <c r="A268" s="121" t="inlineStr">
        <is>
          <t>Khin-U</t>
        </is>
      </c>
      <c r="B268" s="121" t="inlineStr">
        <is>
          <t>ခင်ဦး</t>
        </is>
      </c>
      <c r="C268" s="121" t="inlineStr">
        <is>
          <t>MMR005005</t>
        </is>
      </c>
      <c r="D268" s="121" t="inlineStr">
        <is>
          <t>Shwebo</t>
        </is>
      </c>
      <c r="E268" s="121" t="inlineStr">
        <is>
          <t>MMR005D002</t>
        </is>
      </c>
      <c r="F268" s="121" t="inlineStr">
        <is>
          <t>Sagaing</t>
        </is>
      </c>
      <c r="G268" s="121" t="inlineStr">
        <is>
          <t>MMR005</t>
        </is>
      </c>
      <c r="H268" s="121" t="inlineStr">
        <is>
          <t>Myanmar</t>
        </is>
      </c>
      <c r="I268" s="121" t="inlineStr">
        <is>
          <t>MMR</t>
        </is>
      </c>
      <c r="J268" s="121" t="n">
        <v>104</v>
      </c>
    </row>
    <row r="269">
      <c r="A269" s="121" t="inlineStr">
        <is>
          <t>Hakha</t>
        </is>
      </c>
      <c r="B269" s="121" t="inlineStr">
        <is>
          <t>ဟားခါး</t>
        </is>
      </c>
      <c r="C269" s="121" t="inlineStr">
        <is>
          <t>MMR004002</t>
        </is>
      </c>
      <c r="D269" s="121" t="inlineStr">
        <is>
          <t>Hakha</t>
        </is>
      </c>
      <c r="E269" s="121" t="inlineStr">
        <is>
          <t>MMR004D003</t>
        </is>
      </c>
      <c r="F269" s="121" t="inlineStr">
        <is>
          <t>Chin</t>
        </is>
      </c>
      <c r="G269" s="121" t="inlineStr">
        <is>
          <t>MMR004</t>
        </is>
      </c>
      <c r="H269" s="121" t="inlineStr">
        <is>
          <t>Myanmar</t>
        </is>
      </c>
      <c r="I269" s="121" t="inlineStr">
        <is>
          <t>MMR</t>
        </is>
      </c>
      <c r="J269" s="121" t="n">
        <v>104</v>
      </c>
    </row>
    <row r="270">
      <c r="A270" s="121" t="inlineStr">
        <is>
          <t>Gangaw</t>
        </is>
      </c>
      <c r="B270" s="121" t="inlineStr">
        <is>
          <t>ဂန့်ဂေါ</t>
        </is>
      </c>
      <c r="C270" s="121" t="inlineStr">
        <is>
          <t>MMR009023</t>
        </is>
      </c>
      <c r="D270" s="121" t="inlineStr">
        <is>
          <t>Gangaw</t>
        </is>
      </c>
      <c r="E270" s="121" t="inlineStr">
        <is>
          <t>MMR009D005</t>
        </is>
      </c>
      <c r="F270" s="121" t="inlineStr">
        <is>
          <t>Magway</t>
        </is>
      </c>
      <c r="G270" s="121" t="inlineStr">
        <is>
          <t>MMR009</t>
        </is>
      </c>
      <c r="H270" s="121" t="inlineStr">
        <is>
          <t>Myanmar</t>
        </is>
      </c>
      <c r="I270" s="121" t="inlineStr">
        <is>
          <t>MMR</t>
        </is>
      </c>
      <c r="J270" s="121" t="n">
        <v>104</v>
      </c>
    </row>
    <row r="271">
      <c r="A271" s="121" t="inlineStr">
        <is>
          <t>Pyawbwe</t>
        </is>
      </c>
      <c r="B271" s="121" t="inlineStr">
        <is>
          <t>ပျော်ဘွယ်</t>
        </is>
      </c>
      <c r="C271" s="121" t="inlineStr">
        <is>
          <t>MMR010024</t>
        </is>
      </c>
      <c r="D271" s="121" t="inlineStr">
        <is>
          <t>Yamethin</t>
        </is>
      </c>
      <c r="E271" s="121" t="inlineStr">
        <is>
          <t>MMR010D006</t>
        </is>
      </c>
      <c r="F271" s="121" t="inlineStr">
        <is>
          <t>Mandalay</t>
        </is>
      </c>
      <c r="G271" s="121" t="inlineStr">
        <is>
          <t>MMR010</t>
        </is>
      </c>
      <c r="H271" s="121" t="inlineStr">
        <is>
          <t>Myanmar</t>
        </is>
      </c>
      <c r="I271" s="121" t="inlineStr">
        <is>
          <t>MMR</t>
        </is>
      </c>
      <c r="J271" s="121" t="n">
        <v>104</v>
      </c>
    </row>
    <row r="272">
      <c r="A272" s="121" t="inlineStr">
        <is>
          <t>Tedim</t>
        </is>
      </c>
      <c r="B272" s="121" t="inlineStr">
        <is>
          <t>တီးတိန်</t>
        </is>
      </c>
      <c r="C272" s="121" t="inlineStr">
        <is>
          <t>MMR004004</t>
        </is>
      </c>
      <c r="D272" s="121" t="inlineStr">
        <is>
          <t>Falam</t>
        </is>
      </c>
      <c r="E272" s="121" t="inlineStr">
        <is>
          <t>MMR004D001</t>
        </is>
      </c>
      <c r="F272" s="121" t="inlineStr">
        <is>
          <t>Chin</t>
        </is>
      </c>
      <c r="G272" s="121" t="inlineStr">
        <is>
          <t>MMR004</t>
        </is>
      </c>
      <c r="H272" s="121" t="inlineStr">
        <is>
          <t>Myanmar</t>
        </is>
      </c>
      <c r="I272" s="121" t="inlineStr">
        <is>
          <t>MMR</t>
        </is>
      </c>
      <c r="J272" s="121" t="n">
        <v>104</v>
      </c>
    </row>
    <row r="273">
      <c r="A273" s="121" t="inlineStr">
        <is>
          <t>Nyaung-U</t>
        </is>
      </c>
      <c r="B273" s="121" t="inlineStr">
        <is>
          <t>ညောင်ဦး</t>
        </is>
      </c>
      <c r="C273" s="121" t="inlineStr">
        <is>
          <t>MMR010022</t>
        </is>
      </c>
      <c r="D273" s="121" t="inlineStr">
        <is>
          <t>Nyaung-U</t>
        </is>
      </c>
      <c r="E273" s="121" t="inlineStr">
        <is>
          <t>MMR010D005</t>
        </is>
      </c>
      <c r="F273" s="121" t="inlineStr">
        <is>
          <t>Mandalay</t>
        </is>
      </c>
      <c r="G273" s="121" t="inlineStr">
        <is>
          <t>MMR010</t>
        </is>
      </c>
      <c r="H273" s="121" t="inlineStr">
        <is>
          <t>Myanmar</t>
        </is>
      </c>
      <c r="I273" s="121" t="inlineStr">
        <is>
          <t>MMR</t>
        </is>
      </c>
      <c r="J273" s="121" t="n">
        <v>104</v>
      </c>
    </row>
    <row r="274">
      <c r="A274" s="121" t="inlineStr">
        <is>
          <t>Pwintbyu</t>
        </is>
      </c>
      <c r="B274" s="121" t="inlineStr">
        <is>
          <t>ပွင့်ဖြူ</t>
        </is>
      </c>
      <c r="C274" s="121" t="inlineStr">
        <is>
          <t>MMR009008</t>
        </is>
      </c>
      <c r="D274" s="121" t="inlineStr">
        <is>
          <t>Minbu</t>
        </is>
      </c>
      <c r="E274" s="121" t="inlineStr">
        <is>
          <t>MMR009D002</t>
        </is>
      </c>
      <c r="F274" s="121" t="inlineStr">
        <is>
          <t>Magway</t>
        </is>
      </c>
      <c r="G274" s="121" t="inlineStr">
        <is>
          <t>MMR009</t>
        </is>
      </c>
      <c r="H274" s="121" t="inlineStr">
        <is>
          <t>Myanmar</t>
        </is>
      </c>
      <c r="I274" s="121" t="inlineStr">
        <is>
          <t>MMR</t>
        </is>
      </c>
      <c r="J274" s="121" t="n">
        <v>104</v>
      </c>
    </row>
    <row r="275">
      <c r="A275" s="121" t="inlineStr">
        <is>
          <t>Meiktila</t>
        </is>
      </c>
      <c r="B275" s="121" t="inlineStr">
        <is>
          <t>မိတ္ထီလာ</t>
        </is>
      </c>
      <c r="C275" s="121" t="inlineStr">
        <is>
          <t>MMR010028</t>
        </is>
      </c>
      <c r="D275" s="121" t="inlineStr">
        <is>
          <t>Meiktila</t>
        </is>
      </c>
      <c r="E275" s="121" t="inlineStr">
        <is>
          <t>MMR010D007</t>
        </is>
      </c>
      <c r="F275" s="121" t="inlineStr">
        <is>
          <t>Mandalay</t>
        </is>
      </c>
      <c r="G275" s="121" t="inlineStr">
        <is>
          <t>MMR010</t>
        </is>
      </c>
      <c r="H275" s="121" t="inlineStr">
        <is>
          <t>Myanmar</t>
        </is>
      </c>
      <c r="I275" s="121" t="inlineStr">
        <is>
          <t>MMR</t>
        </is>
      </c>
      <c r="J275" s="121" t="n">
        <v>104</v>
      </c>
    </row>
    <row r="276">
      <c r="A276" s="121" t="inlineStr">
        <is>
          <t>Kawlin</t>
        </is>
      </c>
      <c r="B276" s="121" t="inlineStr">
        <is>
          <t>ကောလင်း</t>
        </is>
      </c>
      <c r="C276" s="121" t="inlineStr">
        <is>
          <t>MMR005024</t>
        </is>
      </c>
      <c r="D276" s="121" t="inlineStr">
        <is>
          <t>Kawlin</t>
        </is>
      </c>
      <c r="E276" s="121" t="inlineStr">
        <is>
          <t>MMR005D011</t>
        </is>
      </c>
      <c r="F276" s="121" t="inlineStr">
        <is>
          <t>Sagaing</t>
        </is>
      </c>
      <c r="G276" s="121" t="inlineStr">
        <is>
          <t>MMR005</t>
        </is>
      </c>
      <c r="H276" s="121" t="inlineStr">
        <is>
          <t>Myanmar</t>
        </is>
      </c>
      <c r="I276" s="121" t="inlineStr">
        <is>
          <t>MMR</t>
        </is>
      </c>
      <c r="J276" s="121" t="n">
        <v>104</v>
      </c>
    </row>
    <row r="277">
      <c r="A277" s="121" t="inlineStr">
        <is>
          <t>Mahlaing</t>
        </is>
      </c>
      <c r="B277" s="121" t="inlineStr">
        <is>
          <t>မလှိုင်</t>
        </is>
      </c>
      <c r="C277" s="121" t="inlineStr">
        <is>
          <t>MMR010029</t>
        </is>
      </c>
      <c r="D277" s="121" t="inlineStr">
        <is>
          <t>Meiktila</t>
        </is>
      </c>
      <c r="E277" s="121" t="inlineStr">
        <is>
          <t>MMR010D007</t>
        </is>
      </c>
      <c r="F277" s="121" t="inlineStr">
        <is>
          <t>Mandalay</t>
        </is>
      </c>
      <c r="G277" s="121" t="inlineStr">
        <is>
          <t>MMR010</t>
        </is>
      </c>
      <c r="H277" s="121" t="inlineStr">
        <is>
          <t>Myanmar</t>
        </is>
      </c>
      <c r="I277" s="121" t="inlineStr">
        <is>
          <t>MMR</t>
        </is>
      </c>
      <c r="J277" s="121" t="n">
        <v>104</v>
      </c>
    </row>
    <row r="278">
      <c r="A278" s="121" t="inlineStr">
        <is>
          <t>Taungtha</t>
        </is>
      </c>
      <c r="B278" s="121" t="inlineStr">
        <is>
          <t>တောင်သာ</t>
        </is>
      </c>
      <c r="C278" s="121" t="inlineStr">
        <is>
          <t>MMR010018</t>
        </is>
      </c>
      <c r="D278" s="121" t="inlineStr">
        <is>
          <t>Myingyan</t>
        </is>
      </c>
      <c r="E278" s="121" t="inlineStr">
        <is>
          <t>MMR010D004</t>
        </is>
      </c>
      <c r="F278" s="121" t="inlineStr">
        <is>
          <t>Mandalay</t>
        </is>
      </c>
      <c r="G278" s="121" t="inlineStr">
        <is>
          <t>MMR010</t>
        </is>
      </c>
      <c r="H278" s="121" t="inlineStr">
        <is>
          <t>Myanmar</t>
        </is>
      </c>
      <c r="I278" s="121" t="inlineStr">
        <is>
          <t>MMR</t>
        </is>
      </c>
      <c r="J278" s="121" t="n">
        <v>104</v>
      </c>
    </row>
    <row r="279">
      <c r="A279" s="121" t="inlineStr">
        <is>
          <t>Momauk</t>
        </is>
      </c>
      <c r="B279" s="121" t="inlineStr">
        <is>
          <t>မိုးမောက်</t>
        </is>
      </c>
      <c r="C279" s="121" t="inlineStr">
        <is>
          <t>MMR001012</t>
        </is>
      </c>
      <c r="D279" s="121" t="inlineStr">
        <is>
          <t>Bhamo</t>
        </is>
      </c>
      <c r="E279" s="121" t="inlineStr">
        <is>
          <t>MMR001D003</t>
        </is>
      </c>
      <c r="F279" s="121" t="inlineStr">
        <is>
          <t>Kachin</t>
        </is>
      </c>
      <c r="G279" s="121" t="inlineStr">
        <is>
          <t>MMR001</t>
        </is>
      </c>
      <c r="H279" s="121" t="inlineStr">
        <is>
          <t>Myanmar</t>
        </is>
      </c>
      <c r="I279" s="121" t="inlineStr">
        <is>
          <t>MMR</t>
        </is>
      </c>
      <c r="J279" s="121" t="n">
        <v>104</v>
      </c>
    </row>
    <row r="280">
      <c r="A280" s="121" t="inlineStr">
        <is>
          <t>Chipwi</t>
        </is>
      </c>
      <c r="B280" s="121" t="inlineStr">
        <is>
          <t>ချီ​ဖွေ</t>
        </is>
      </c>
      <c r="C280" s="121" t="inlineStr">
        <is>
          <t>MMR001005</t>
        </is>
      </c>
      <c r="D280" s="121" t="inlineStr">
        <is>
          <t>Myitkyina</t>
        </is>
      </c>
      <c r="E280" s="121" t="inlineStr">
        <is>
          <t>MMR001D001</t>
        </is>
      </c>
      <c r="F280" s="121" t="inlineStr">
        <is>
          <t>Kachin</t>
        </is>
      </c>
      <c r="G280" s="121" t="inlineStr">
        <is>
          <t>MMR001</t>
        </is>
      </c>
      <c r="H280" s="121" t="inlineStr">
        <is>
          <t>Myanmar</t>
        </is>
      </c>
      <c r="I280" s="121" t="inlineStr">
        <is>
          <t>MMR</t>
        </is>
      </c>
      <c r="J280" s="121" t="n">
        <v>104</v>
      </c>
    </row>
    <row r="281">
      <c r="A281" s="121" t="inlineStr">
        <is>
          <t>Konkyan</t>
        </is>
      </c>
      <c r="B281" s="121" t="inlineStr">
        <is>
          <t>ကုန်းကြမ်း</t>
        </is>
      </c>
      <c r="C281" s="121" t="inlineStr">
        <is>
          <t>MMR015023</t>
        </is>
      </c>
      <c r="D281" s="121" t="inlineStr">
        <is>
          <t>Kokang Self-Administered Zone</t>
        </is>
      </c>
      <c r="E281" s="121" t="inlineStr">
        <is>
          <t>MMR015S002</t>
        </is>
      </c>
      <c r="F281" s="121" t="inlineStr">
        <is>
          <t>Shan</t>
        </is>
      </c>
      <c r="G281" s="121" t="inlineStr">
        <is>
          <t>MMR222</t>
        </is>
      </c>
      <c r="H281" s="121" t="inlineStr">
        <is>
          <t>Myanmar</t>
        </is>
      </c>
      <c r="I281" s="121" t="inlineStr">
        <is>
          <t>MMR</t>
        </is>
      </c>
      <c r="J281" s="121" t="n">
        <v>104</v>
      </c>
    </row>
    <row r="282">
      <c r="A282" s="121" t="inlineStr">
        <is>
          <t>Waingmaw</t>
        </is>
      </c>
      <c r="B282" s="121" t="inlineStr">
        <is>
          <t>ဝိုင်းမော်</t>
        </is>
      </c>
      <c r="C282" s="121" t="inlineStr">
        <is>
          <t>MMR001002</t>
        </is>
      </c>
      <c r="D282" s="121" t="inlineStr">
        <is>
          <t>Myitkyina</t>
        </is>
      </c>
      <c r="E282" s="121" t="inlineStr">
        <is>
          <t>MMR001D001</t>
        </is>
      </c>
      <c r="F282" s="121" t="inlineStr">
        <is>
          <t>Kachin</t>
        </is>
      </c>
      <c r="G282" s="121" t="inlineStr">
        <is>
          <t>MMR001</t>
        </is>
      </c>
      <c r="H282" s="121" t="inlineStr">
        <is>
          <t>Myanmar</t>
        </is>
      </c>
      <c r="I282" s="121" t="inlineStr">
        <is>
          <t>MMR</t>
        </is>
      </c>
      <c r="J282" s="121" t="n">
        <v>104</v>
      </c>
    </row>
    <row r="283">
      <c r="A283" s="121" t="inlineStr">
        <is>
          <t>Tsawlaw</t>
        </is>
      </c>
      <c r="B283" s="121" t="inlineStr">
        <is>
          <t>ဆော့လော်</t>
        </is>
      </c>
      <c r="C283" s="121" t="inlineStr">
        <is>
          <t>MMR001006</t>
        </is>
      </c>
      <c r="D283" s="121" t="inlineStr">
        <is>
          <t>Myitkyina</t>
        </is>
      </c>
      <c r="E283" s="121" t="inlineStr">
        <is>
          <t>MMR001D001</t>
        </is>
      </c>
      <c r="F283" s="121" t="inlineStr">
        <is>
          <t>Kachin</t>
        </is>
      </c>
      <c r="G283" s="121" t="inlineStr">
        <is>
          <t>MMR001</t>
        </is>
      </c>
      <c r="H283" s="121" t="inlineStr">
        <is>
          <t>Myanmar</t>
        </is>
      </c>
      <c r="I283" s="121" t="inlineStr">
        <is>
          <t>MMR</t>
        </is>
      </c>
      <c r="J283" s="121" t="n">
        <v>104</v>
      </c>
    </row>
    <row r="284">
      <c r="A284" s="121" t="inlineStr">
        <is>
          <t>Bhamo</t>
        </is>
      </c>
      <c r="B284" s="121" t="inlineStr">
        <is>
          <t>ဗန်းမော်</t>
        </is>
      </c>
      <c r="C284" s="121" t="inlineStr">
        <is>
          <t>MMR001010</t>
        </is>
      </c>
      <c r="D284" s="121" t="inlineStr">
        <is>
          <t>Bhamo</t>
        </is>
      </c>
      <c r="E284" s="121" t="inlineStr">
        <is>
          <t>MMR001D003</t>
        </is>
      </c>
      <c r="F284" s="121" t="inlineStr">
        <is>
          <t>Kachin</t>
        </is>
      </c>
      <c r="G284" s="121" t="inlineStr">
        <is>
          <t>MMR001</t>
        </is>
      </c>
      <c r="H284" s="121" t="inlineStr">
        <is>
          <t>Myanmar</t>
        </is>
      </c>
      <c r="I284" s="121" t="inlineStr">
        <is>
          <t>MMR</t>
        </is>
      </c>
      <c r="J284" s="121" t="n">
        <v>104</v>
      </c>
    </row>
    <row r="285">
      <c r="A285" s="121" t="inlineStr">
        <is>
          <t>Namhkan</t>
        </is>
      </c>
      <c r="B285" s="121" t="inlineStr">
        <is>
          <t>နမ့်ခမ်း</t>
        </is>
      </c>
      <c r="C285" s="121" t="inlineStr">
        <is>
          <t>MMR015010</t>
        </is>
      </c>
      <c r="D285" s="121" t="inlineStr">
        <is>
          <t>Muse</t>
        </is>
      </c>
      <c r="E285" s="121" t="inlineStr">
        <is>
          <t>MMR015D002</t>
        </is>
      </c>
      <c r="F285" s="121" t="inlineStr">
        <is>
          <t>Shan</t>
        </is>
      </c>
      <c r="G285" s="121" t="inlineStr">
        <is>
          <t>MMR222</t>
        </is>
      </c>
      <c r="H285" s="121" t="inlineStr">
        <is>
          <t>Myanmar</t>
        </is>
      </c>
      <c r="I285" s="121" t="inlineStr">
        <is>
          <t>MMR</t>
        </is>
      </c>
      <c r="J285" s="121" t="n">
        <v>104</v>
      </c>
    </row>
    <row r="286">
      <c r="A286" s="121" t="inlineStr">
        <is>
          <t>Kutkai</t>
        </is>
      </c>
      <c r="B286" s="121" t="inlineStr">
        <is>
          <t>ကွတ်ခိုင်</t>
        </is>
      </c>
      <c r="C286" s="121" t="inlineStr">
        <is>
          <t>MMR015011</t>
        </is>
      </c>
      <c r="D286" s="121" t="inlineStr">
        <is>
          <t>Muse</t>
        </is>
      </c>
      <c r="E286" s="121" t="inlineStr">
        <is>
          <t>MMR015D002</t>
        </is>
      </c>
      <c r="F286" s="121" t="inlineStr">
        <is>
          <t>Shan</t>
        </is>
      </c>
      <c r="G286" s="121" t="inlineStr">
        <is>
          <t>MMR222</t>
        </is>
      </c>
      <c r="H286" s="121" t="inlineStr">
        <is>
          <t>Myanmar</t>
        </is>
      </c>
      <c r="I286" s="121" t="inlineStr">
        <is>
          <t>MMR</t>
        </is>
      </c>
      <c r="J286" s="121" t="n">
        <v>104</v>
      </c>
    </row>
    <row r="287">
      <c r="A287" s="121" t="inlineStr">
        <is>
          <t>Mabein</t>
        </is>
      </c>
      <c r="B287" s="121" t="inlineStr">
        <is>
          <t>မဘိမ်း</t>
        </is>
      </c>
      <c r="C287" s="121" t="inlineStr">
        <is>
          <t>MMR015018</t>
        </is>
      </c>
      <c r="D287" s="121" t="inlineStr">
        <is>
          <t>Mongmit</t>
        </is>
      </c>
      <c r="E287" s="121" t="inlineStr">
        <is>
          <t>MMR015D008</t>
        </is>
      </c>
      <c r="F287" s="121" t="inlineStr">
        <is>
          <t>Shan</t>
        </is>
      </c>
      <c r="G287" s="121" t="inlineStr">
        <is>
          <t>MMR222</t>
        </is>
      </c>
      <c r="H287" s="121" t="inlineStr">
        <is>
          <t>Myanmar</t>
        </is>
      </c>
      <c r="I287" s="121" t="inlineStr">
        <is>
          <t>MMR</t>
        </is>
      </c>
      <c r="J287" s="121" t="n">
        <v>104</v>
      </c>
    </row>
    <row r="288">
      <c r="A288" s="121" t="inlineStr">
        <is>
          <t>Hpakant</t>
        </is>
      </c>
      <c r="B288" s="121" t="inlineStr">
        <is>
          <t>ဖားကန့်</t>
        </is>
      </c>
      <c r="C288" s="121" t="inlineStr">
        <is>
          <t>MMR001009</t>
        </is>
      </c>
      <c r="D288" s="121" t="inlineStr">
        <is>
          <t>Mohnyin</t>
        </is>
      </c>
      <c r="E288" s="121" t="inlineStr">
        <is>
          <t>MMR001D002</t>
        </is>
      </c>
      <c r="F288" s="121" t="inlineStr">
        <is>
          <t>Kachin</t>
        </is>
      </c>
      <c r="G288" s="121" t="inlineStr">
        <is>
          <t>MMR001</t>
        </is>
      </c>
      <c r="H288" s="121" t="inlineStr">
        <is>
          <t>Myanmar</t>
        </is>
      </c>
      <c r="I288" s="121" t="inlineStr">
        <is>
          <t>MMR</t>
        </is>
      </c>
      <c r="J288" s="121" t="n">
        <v>104</v>
      </c>
    </row>
    <row r="289">
      <c r="A289" s="121" t="inlineStr">
        <is>
          <t>Phyu</t>
        </is>
      </c>
      <c r="B289" s="121" t="inlineStr">
        <is>
          <t>ဖြူး</t>
        </is>
      </c>
      <c r="C289" s="121" t="inlineStr">
        <is>
          <t>MMR007012</t>
        </is>
      </c>
      <c r="D289" s="121" t="inlineStr">
        <is>
          <t>Taungoo</t>
        </is>
      </c>
      <c r="E289" s="121" t="inlineStr">
        <is>
          <t>MMR007D002</t>
        </is>
      </c>
      <c r="F289" s="121" t="inlineStr">
        <is>
          <t>Bago</t>
        </is>
      </c>
      <c r="G289" s="121" t="inlineStr">
        <is>
          <t>MMR111</t>
        </is>
      </c>
      <c r="H289" s="121" t="inlineStr">
        <is>
          <t>Myanmar</t>
        </is>
      </c>
      <c r="I289" s="121" t="inlineStr">
        <is>
          <t>MMR</t>
        </is>
      </c>
      <c r="J289" s="121" t="n">
        <v>104</v>
      </c>
    </row>
    <row r="290">
      <c r="A290" s="121" t="inlineStr">
        <is>
          <t>Shwegu</t>
        </is>
      </c>
      <c r="B290" s="121" t="inlineStr">
        <is>
          <t>ရွှေကူ</t>
        </is>
      </c>
      <c r="C290" s="121" t="inlineStr">
        <is>
          <t>MMR001011</t>
        </is>
      </c>
      <c r="D290" s="121" t="inlineStr">
        <is>
          <t>Bhamo</t>
        </is>
      </c>
      <c r="E290" s="121" t="inlineStr">
        <is>
          <t>MMR001D003</t>
        </is>
      </c>
      <c r="F290" s="121" t="inlineStr">
        <is>
          <t>Kachin</t>
        </is>
      </c>
      <c r="G290" s="121" t="inlineStr">
        <is>
          <t>MMR001</t>
        </is>
      </c>
      <c r="H290" s="121" t="inlineStr">
        <is>
          <t>Myanmar</t>
        </is>
      </c>
      <c r="I290" s="121" t="inlineStr">
        <is>
          <t>MMR</t>
        </is>
      </c>
      <c r="J290" s="121" t="n">
        <v>104</v>
      </c>
    </row>
    <row r="291">
      <c r="A291" s="121" t="inlineStr">
        <is>
          <t>Ywangan</t>
        </is>
      </c>
      <c r="B291" s="121" t="inlineStr">
        <is>
          <t>ရွာငံ</t>
        </is>
      </c>
      <c r="C291" s="121" t="inlineStr">
        <is>
          <t>MMR014007</t>
        </is>
      </c>
      <c r="D291" s="121" t="inlineStr">
        <is>
          <t>Danu Self-Administered Zone</t>
        </is>
      </c>
      <c r="E291" s="121" t="inlineStr">
        <is>
          <t>MMR014S001</t>
        </is>
      </c>
      <c r="F291" s="121" t="inlineStr">
        <is>
          <t>Shan</t>
        </is>
      </c>
      <c r="G291" s="121" t="inlineStr">
        <is>
          <t>MMR222</t>
        </is>
      </c>
      <c r="H291" s="121" t="inlineStr">
        <is>
          <t>Myanmar</t>
        </is>
      </c>
      <c r="I291" s="121" t="inlineStr">
        <is>
          <t>MMR</t>
        </is>
      </c>
      <c r="J291" s="121" t="n">
        <v>104</v>
      </c>
    </row>
    <row r="292">
      <c r="A292" s="121" t="inlineStr">
        <is>
          <t>Oktwin</t>
        </is>
      </c>
      <c r="B292" s="121" t="inlineStr">
        <is>
          <t>အုတ်တွင်း</t>
        </is>
      </c>
      <c r="C292" s="121" t="inlineStr">
        <is>
          <t>MMR007013</t>
        </is>
      </c>
      <c r="D292" s="121" t="inlineStr">
        <is>
          <t>Taungoo</t>
        </is>
      </c>
      <c r="E292" s="121" t="inlineStr">
        <is>
          <t>MMR007D002</t>
        </is>
      </c>
      <c r="F292" s="121" t="inlineStr">
        <is>
          <t>Bago</t>
        </is>
      </c>
      <c r="G292" s="121" t="inlineStr">
        <is>
          <t>MMR111</t>
        </is>
      </c>
      <c r="H292" s="121" t="inlineStr">
        <is>
          <t>Myanmar</t>
        </is>
      </c>
      <c r="I292" s="121" t="inlineStr">
        <is>
          <t>MMR</t>
        </is>
      </c>
      <c r="J292" s="121" t="n">
        <v>104</v>
      </c>
    </row>
    <row r="293">
      <c r="A293" s="121" t="inlineStr">
        <is>
          <t>Kyaukkyi</t>
        </is>
      </c>
      <c r="B293" s="121" t="inlineStr">
        <is>
          <t>ကျောက်ကြီး</t>
        </is>
      </c>
      <c r="C293" s="121" t="inlineStr">
        <is>
          <t>MMR007011</t>
        </is>
      </c>
      <c r="D293" s="121" t="inlineStr">
        <is>
          <t>Taungoo</t>
        </is>
      </c>
      <c r="E293" s="121" t="inlineStr">
        <is>
          <t>MMR007D002</t>
        </is>
      </c>
      <c r="F293" s="121" t="inlineStr">
        <is>
          <t>Bago</t>
        </is>
      </c>
      <c r="G293" s="121" t="inlineStr">
        <is>
          <t>MMR111</t>
        </is>
      </c>
      <c r="H293" s="121" t="inlineStr">
        <is>
          <t>Myanmar</t>
        </is>
      </c>
      <c r="I293" s="121" t="inlineStr">
        <is>
          <t>MMR</t>
        </is>
      </c>
      <c r="J293" s="121" t="n">
        <v>104</v>
      </c>
    </row>
    <row r="294">
      <c r="A294" s="121" t="inlineStr">
        <is>
          <t>Htantabin</t>
        </is>
      </c>
      <c r="B294" s="121" t="inlineStr">
        <is>
          <t>ထန်းတပင်</t>
        </is>
      </c>
      <c r="C294" s="121" t="inlineStr">
        <is>
          <t>MMR007014</t>
        </is>
      </c>
      <c r="D294" s="121" t="inlineStr">
        <is>
          <t>Taungoo</t>
        </is>
      </c>
      <c r="E294" s="121" t="inlineStr">
        <is>
          <t>MMR007D002</t>
        </is>
      </c>
      <c r="F294" s="121" t="inlineStr">
        <is>
          <t>Bago</t>
        </is>
      </c>
      <c r="G294" s="121" t="inlineStr">
        <is>
          <t>MMR111</t>
        </is>
      </c>
      <c r="H294" s="121" t="inlineStr">
        <is>
          <t>Myanmar</t>
        </is>
      </c>
      <c r="I294" s="121" t="inlineStr">
        <is>
          <t>MMR</t>
        </is>
      </c>
      <c r="J294" s="121" t="n">
        <v>104</v>
      </c>
    </row>
    <row r="295">
      <c r="A295" s="121" t="inlineStr">
        <is>
          <t>Hpasawng</t>
        </is>
      </c>
      <c r="B295" s="121" t="inlineStr">
        <is>
          <t>ဖားဆောင်း</t>
        </is>
      </c>
      <c r="C295" s="121" t="inlineStr">
        <is>
          <t>MMR002006</t>
        </is>
      </c>
      <c r="D295" s="121" t="inlineStr">
        <is>
          <t>Bawlake</t>
        </is>
      </c>
      <c r="E295" s="121" t="inlineStr">
        <is>
          <t>MMR002D002</t>
        </is>
      </c>
      <c r="F295" s="121" t="inlineStr">
        <is>
          <t>Kayah</t>
        </is>
      </c>
      <c r="G295" s="121" t="inlineStr">
        <is>
          <t>MMR002</t>
        </is>
      </c>
      <c r="H295" s="121" t="inlineStr">
        <is>
          <t>Myanmar</t>
        </is>
      </c>
      <c r="I295" s="121" t="inlineStr">
        <is>
          <t>MMR</t>
        </is>
      </c>
      <c r="J295" s="121" t="n">
        <v>104</v>
      </c>
    </row>
    <row r="296">
      <c r="A296" s="121" t="inlineStr">
        <is>
          <t>Hpruso</t>
        </is>
      </c>
      <c r="B296" s="121" t="inlineStr">
        <is>
          <t>ဖရူဆို</t>
        </is>
      </c>
      <c r="C296" s="121" t="inlineStr">
        <is>
          <t>MMR002003</t>
        </is>
      </c>
      <c r="D296" s="121" t="inlineStr">
        <is>
          <t>Loikaw</t>
        </is>
      </c>
      <c r="E296" s="121" t="inlineStr">
        <is>
          <t>MMR002D001</t>
        </is>
      </c>
      <c r="F296" s="121" t="inlineStr">
        <is>
          <t>Kayah</t>
        </is>
      </c>
      <c r="G296" s="121" t="inlineStr">
        <is>
          <t>MMR002</t>
        </is>
      </c>
      <c r="H296" s="121" t="inlineStr">
        <is>
          <t>Myanmar</t>
        </is>
      </c>
      <c r="I296" s="121" t="inlineStr">
        <is>
          <t>MMR</t>
        </is>
      </c>
      <c r="J296" s="121" t="n">
        <v>104</v>
      </c>
    </row>
    <row r="297">
      <c r="A297" s="121" t="inlineStr">
        <is>
          <t>Myittha</t>
        </is>
      </c>
      <c r="B297" s="121" t="inlineStr">
        <is>
          <t>မြစ်သား</t>
        </is>
      </c>
      <c r="C297" s="121" t="inlineStr">
        <is>
          <t>MMR010015</t>
        </is>
      </c>
      <c r="D297" s="121" t="inlineStr">
        <is>
          <t>Kyaukse</t>
        </is>
      </c>
      <c r="E297" s="121" t="inlineStr">
        <is>
          <t>MMR010D003</t>
        </is>
      </c>
      <c r="F297" s="121" t="inlineStr">
        <is>
          <t>Mandalay</t>
        </is>
      </c>
      <c r="G297" s="121" t="inlineStr">
        <is>
          <t>MMR010</t>
        </is>
      </c>
      <c r="H297" s="121" t="inlineStr">
        <is>
          <t>Myanmar</t>
        </is>
      </c>
      <c r="I297" s="121" t="inlineStr">
        <is>
          <t>MMR</t>
        </is>
      </c>
      <c r="J297" s="121" t="n">
        <v>104</v>
      </c>
    </row>
    <row r="298">
      <c r="A298" s="121" t="inlineStr">
        <is>
          <t>Minhla</t>
        </is>
      </c>
      <c r="B298" s="121" t="inlineStr">
        <is>
          <t>မင်းလှ</t>
        </is>
      </c>
      <c r="C298" s="121" t="inlineStr">
        <is>
          <t>MMR008009</t>
        </is>
      </c>
      <c r="D298" s="121" t="inlineStr">
        <is>
          <t>Thayarwady</t>
        </is>
      </c>
      <c r="E298" s="121" t="inlineStr">
        <is>
          <t>MMR008D002</t>
        </is>
      </c>
      <c r="F298" s="121" t="inlineStr">
        <is>
          <t>Bago</t>
        </is>
      </c>
      <c r="G298" s="121" t="inlineStr">
        <is>
          <t>MMR111</t>
        </is>
      </c>
      <c r="H298" s="121" t="inlineStr">
        <is>
          <t>Myanmar</t>
        </is>
      </c>
      <c r="I298" s="121" t="inlineStr">
        <is>
          <t>MMR</t>
        </is>
      </c>
      <c r="J298" s="121" t="n">
        <v>104</v>
      </c>
    </row>
    <row r="299">
      <c r="A299" s="121" t="inlineStr">
        <is>
          <t>Gyobingauk</t>
        </is>
      </c>
      <c r="B299" s="121" t="inlineStr">
        <is>
          <t>ကြို့ပင်ကောက်</t>
        </is>
      </c>
      <c r="C299" s="121" t="inlineStr">
        <is>
          <t>MMR008014</t>
        </is>
      </c>
      <c r="D299" s="121" t="inlineStr">
        <is>
          <t>Thayarwady</t>
        </is>
      </c>
      <c r="E299" s="121" t="inlineStr">
        <is>
          <t>MMR008D002</t>
        </is>
      </c>
      <c r="F299" s="121" t="inlineStr">
        <is>
          <t>Bago</t>
        </is>
      </c>
      <c r="G299" s="121" t="inlineStr">
        <is>
          <t>MMR111</t>
        </is>
      </c>
      <c r="H299" s="121" t="inlineStr">
        <is>
          <t>Myanmar</t>
        </is>
      </c>
      <c r="I299" s="121" t="inlineStr">
        <is>
          <t>MMR</t>
        </is>
      </c>
      <c r="J299" s="121" t="n">
        <v>104</v>
      </c>
    </row>
    <row r="300">
      <c r="A300" s="121" t="inlineStr">
        <is>
          <t>Thayarwady</t>
        </is>
      </c>
      <c r="B300" s="121" t="inlineStr">
        <is>
          <t>သာယာဝတီ</t>
        </is>
      </c>
      <c r="C300" s="121" t="inlineStr">
        <is>
          <t>MMR008007</t>
        </is>
      </c>
      <c r="D300" s="121" t="inlineStr">
        <is>
          <t>Thayarwady</t>
        </is>
      </c>
      <c r="E300" s="121" t="inlineStr">
        <is>
          <t>MMR008D002</t>
        </is>
      </c>
      <c r="F300" s="121" t="inlineStr">
        <is>
          <t>Bago</t>
        </is>
      </c>
      <c r="G300" s="121" t="inlineStr">
        <is>
          <t>MMR111</t>
        </is>
      </c>
      <c r="H300" s="121" t="inlineStr">
        <is>
          <t>Myanmar</t>
        </is>
      </c>
      <c r="I300" s="121" t="inlineStr">
        <is>
          <t>MMR</t>
        </is>
      </c>
      <c r="J300" s="121" t="n">
        <v>104</v>
      </c>
    </row>
    <row r="301">
      <c r="A301" s="121" t="inlineStr">
        <is>
          <t>Zigon</t>
        </is>
      </c>
      <c r="B301" s="121" t="inlineStr">
        <is>
          <t>ဇီးကုန်း</t>
        </is>
      </c>
      <c r="C301" s="121" t="inlineStr">
        <is>
          <t>MMR008011</t>
        </is>
      </c>
      <c r="D301" s="121" t="inlineStr">
        <is>
          <t>Thayarwady</t>
        </is>
      </c>
      <c r="E301" s="121" t="inlineStr">
        <is>
          <t>MMR008D002</t>
        </is>
      </c>
      <c r="F301" s="121" t="inlineStr">
        <is>
          <t>Bago</t>
        </is>
      </c>
      <c r="G301" s="121" t="inlineStr">
        <is>
          <t>MMR111</t>
        </is>
      </c>
      <c r="H301" s="121" t="inlineStr">
        <is>
          <t>Myanmar</t>
        </is>
      </c>
      <c r="I301" s="121" t="inlineStr">
        <is>
          <t>MMR</t>
        </is>
      </c>
      <c r="J301" s="121" t="n">
        <v>104</v>
      </c>
    </row>
    <row r="302">
      <c r="A302" s="121" t="inlineStr">
        <is>
          <t>Natmauk</t>
        </is>
      </c>
      <c r="B302" s="121" t="inlineStr">
        <is>
          <t>နတ်မောက်</t>
        </is>
      </c>
      <c r="C302" s="121" t="inlineStr">
        <is>
          <t>MMR009006</t>
        </is>
      </c>
      <c r="D302" s="121" t="inlineStr">
        <is>
          <t>Magway</t>
        </is>
      </c>
      <c r="E302" s="121" t="inlineStr">
        <is>
          <t>MMR009D001</t>
        </is>
      </c>
      <c r="F302" s="121" t="inlineStr">
        <is>
          <t>Magway</t>
        </is>
      </c>
      <c r="G302" s="121" t="inlineStr">
        <is>
          <t>MMR009</t>
        </is>
      </c>
      <c r="H302" s="121" t="inlineStr">
        <is>
          <t>Myanmar</t>
        </is>
      </c>
      <c r="I302" s="121" t="inlineStr">
        <is>
          <t>MMR</t>
        </is>
      </c>
      <c r="J302" s="121" t="n">
        <v>104</v>
      </c>
    </row>
    <row r="303">
      <c r="A303" s="121" t="inlineStr">
        <is>
          <t>Pale</t>
        </is>
      </c>
      <c r="B303" s="121" t="inlineStr">
        <is>
          <t>ပုလဲ</t>
        </is>
      </c>
      <c r="C303" s="121" t="inlineStr">
        <is>
          <t>MMR005019</t>
        </is>
      </c>
      <c r="D303" s="121" t="inlineStr">
        <is>
          <t>Yinmarbin</t>
        </is>
      </c>
      <c r="E303" s="121" t="inlineStr">
        <is>
          <t>MMR005D009</t>
        </is>
      </c>
      <c r="F303" s="121" t="inlineStr">
        <is>
          <t>Sagaing</t>
        </is>
      </c>
      <c r="G303" s="121" t="inlineStr">
        <is>
          <t>MMR005</t>
        </is>
      </c>
      <c r="H303" s="121" t="inlineStr">
        <is>
          <t>Myanmar</t>
        </is>
      </c>
      <c r="I303" s="121" t="inlineStr">
        <is>
          <t>MMR</t>
        </is>
      </c>
      <c r="J303" s="121" t="n">
        <v>104</v>
      </c>
    </row>
    <row r="304">
      <c r="A304" s="121" t="inlineStr">
        <is>
          <t>Myingyan</t>
        </is>
      </c>
      <c r="B304" s="121" t="inlineStr">
        <is>
          <t>မြင်းခြံ</t>
        </is>
      </c>
      <c r="C304" s="121" t="inlineStr">
        <is>
          <t>MMR010017</t>
        </is>
      </c>
      <c r="D304" s="121" t="inlineStr">
        <is>
          <t>Myingyan</t>
        </is>
      </c>
      <c r="E304" s="121" t="inlineStr">
        <is>
          <t>MMR010D004</t>
        </is>
      </c>
      <c r="F304" s="121" t="inlineStr">
        <is>
          <t>Mandalay</t>
        </is>
      </c>
      <c r="G304" s="121" t="inlineStr">
        <is>
          <t>MMR010</t>
        </is>
      </c>
      <c r="H304" s="121" t="inlineStr">
        <is>
          <t>Myanmar</t>
        </is>
      </c>
      <c r="I304" s="121" t="inlineStr">
        <is>
          <t>MMR</t>
        </is>
      </c>
      <c r="J304" s="121" t="n">
        <v>104</v>
      </c>
    </row>
    <row r="305">
      <c r="A305" s="121" t="inlineStr">
        <is>
          <t>Natogyi</t>
        </is>
      </c>
      <c r="B305" s="121" t="inlineStr">
        <is>
          <t>နွားထိုးကြီး</t>
        </is>
      </c>
      <c r="C305" s="121" t="inlineStr">
        <is>
          <t>MMR010019</t>
        </is>
      </c>
      <c r="D305" s="121" t="inlineStr">
        <is>
          <t>Myingyan</t>
        </is>
      </c>
      <c r="E305" s="121" t="inlineStr">
        <is>
          <t>MMR010D004</t>
        </is>
      </c>
      <c r="F305" s="121" t="inlineStr">
        <is>
          <t>Mandalay</t>
        </is>
      </c>
      <c r="G305" s="121" t="inlineStr">
        <is>
          <t>MMR010</t>
        </is>
      </c>
      <c r="H305" s="121" t="inlineStr">
        <is>
          <t>Myanmar</t>
        </is>
      </c>
      <c r="I305" s="121" t="inlineStr">
        <is>
          <t>MMR</t>
        </is>
      </c>
      <c r="J305" s="121" t="n">
        <v>104</v>
      </c>
    </row>
    <row r="306">
      <c r="A306" s="121" t="inlineStr">
        <is>
          <t>Singu</t>
        </is>
      </c>
      <c r="B306" s="121" t="inlineStr">
        <is>
          <t>စဉ့်ကူး</t>
        </is>
      </c>
      <c r="C306" s="121" t="inlineStr">
        <is>
          <t>MMR010010</t>
        </is>
      </c>
      <c r="D306" s="121" t="inlineStr">
        <is>
          <t>Pyinoolwin</t>
        </is>
      </c>
      <c r="E306" s="121" t="inlineStr">
        <is>
          <t>MMR010D002</t>
        </is>
      </c>
      <c r="F306" s="121" t="inlineStr">
        <is>
          <t>Mandalay</t>
        </is>
      </c>
      <c r="G306" s="121" t="inlineStr">
        <is>
          <t>MMR010</t>
        </is>
      </c>
      <c r="H306" s="121" t="inlineStr">
        <is>
          <t>Myanmar</t>
        </is>
      </c>
      <c r="I306" s="121" t="inlineStr">
        <is>
          <t>MMR</t>
        </is>
      </c>
      <c r="J306" s="121" t="n">
        <v>104</v>
      </c>
    </row>
    <row r="307">
      <c r="A307" s="121" t="inlineStr">
        <is>
          <t>Mawlaik</t>
        </is>
      </c>
      <c r="B307" s="121" t="inlineStr">
        <is>
          <t>မော်လိုက်</t>
        </is>
      </c>
      <c r="C307" s="121" t="inlineStr">
        <is>
          <t>MMR005031</t>
        </is>
      </c>
      <c r="D307" s="121" t="inlineStr">
        <is>
          <t>Mawlaik</t>
        </is>
      </c>
      <c r="E307" s="121" t="inlineStr">
        <is>
          <t>MMR005D007</t>
        </is>
      </c>
      <c r="F307" s="121" t="inlineStr">
        <is>
          <t>Sagaing</t>
        </is>
      </c>
      <c r="G307" s="121" t="inlineStr">
        <is>
          <t>MMR005</t>
        </is>
      </c>
      <c r="H307" s="121" t="inlineStr">
        <is>
          <t>Myanmar</t>
        </is>
      </c>
      <c r="I307" s="121" t="inlineStr">
        <is>
          <t>MMR</t>
        </is>
      </c>
      <c r="J307" s="121" t="n">
        <v>104</v>
      </c>
    </row>
    <row r="308">
      <c r="A308" s="121" t="inlineStr">
        <is>
          <t>Kalewa</t>
        </is>
      </c>
      <c r="B308" s="121" t="inlineStr">
        <is>
          <t>ကလေးဝ</t>
        </is>
      </c>
      <c r="C308" s="121" t="inlineStr">
        <is>
          <t>MMR005028</t>
        </is>
      </c>
      <c r="D308" s="121" t="inlineStr">
        <is>
          <t>Kale</t>
        </is>
      </c>
      <c r="E308" s="121" t="inlineStr">
        <is>
          <t>MMR005D005</t>
        </is>
      </c>
      <c r="F308" s="121" t="inlineStr">
        <is>
          <t>Sagaing</t>
        </is>
      </c>
      <c r="G308" s="121" t="inlineStr">
        <is>
          <t>MMR005</t>
        </is>
      </c>
      <c r="H308" s="121" t="inlineStr">
        <is>
          <t>Myanmar</t>
        </is>
      </c>
      <c r="I308" s="121" t="inlineStr">
        <is>
          <t>MMR</t>
        </is>
      </c>
      <c r="J308" s="121" t="n">
        <v>104</v>
      </c>
    </row>
    <row r="309">
      <c r="A309" s="121" t="inlineStr">
        <is>
          <t>Indaw</t>
        </is>
      </c>
      <c r="B309" s="121" t="inlineStr">
        <is>
          <t>အင်းတော်</t>
        </is>
      </c>
      <c r="C309" s="121" t="inlineStr">
        <is>
          <t>MMR005021</t>
        </is>
      </c>
      <c r="D309" s="121" t="inlineStr">
        <is>
          <t>Katha</t>
        </is>
      </c>
      <c r="E309" s="121" t="inlineStr">
        <is>
          <t>MMR005D004</t>
        </is>
      </c>
      <c r="F309" s="121" t="inlineStr">
        <is>
          <t>Sagaing</t>
        </is>
      </c>
      <c r="G309" s="121" t="inlineStr">
        <is>
          <t>MMR005</t>
        </is>
      </c>
      <c r="H309" s="121" t="inlineStr">
        <is>
          <t>Myanmar</t>
        </is>
      </c>
      <c r="I309" s="121" t="inlineStr">
        <is>
          <t>MMR</t>
        </is>
      </c>
      <c r="J309" s="121" t="n">
        <v>104</v>
      </c>
    </row>
    <row r="310">
      <c r="A310" s="121" t="inlineStr">
        <is>
          <t>Saw</t>
        </is>
      </c>
      <c r="B310" s="121" t="inlineStr">
        <is>
          <t>ဆော</t>
        </is>
      </c>
      <c r="C310" s="121" t="inlineStr">
        <is>
          <t>MMR009025</t>
        </is>
      </c>
      <c r="D310" s="121" t="inlineStr">
        <is>
          <t>Gangaw</t>
        </is>
      </c>
      <c r="E310" s="121" t="inlineStr">
        <is>
          <t>MMR009D005</t>
        </is>
      </c>
      <c r="F310" s="121" t="inlineStr">
        <is>
          <t>Magway</t>
        </is>
      </c>
      <c r="G310" s="121" t="inlineStr">
        <is>
          <t>MMR009</t>
        </is>
      </c>
      <c r="H310" s="121" t="inlineStr">
        <is>
          <t>Myanmar</t>
        </is>
      </c>
      <c r="I310" s="121" t="inlineStr">
        <is>
          <t>MMR</t>
        </is>
      </c>
      <c r="J310" s="121" t="n">
        <v>104</v>
      </c>
    </row>
    <row r="311">
      <c r="A311" s="121" t="inlineStr">
        <is>
          <t>Kyunhla</t>
        </is>
      </c>
      <c r="B311" s="121" t="inlineStr">
        <is>
          <t>ကျွန်းလှ</t>
        </is>
      </c>
      <c r="C311" s="121" t="inlineStr">
        <is>
          <t>MMR005008</t>
        </is>
      </c>
      <c r="D311" s="121" t="inlineStr">
        <is>
          <t>Kanbalu</t>
        </is>
      </c>
      <c r="E311" s="121" t="inlineStr">
        <is>
          <t>MMR005D010</t>
        </is>
      </c>
      <c r="F311" s="121" t="inlineStr">
        <is>
          <t>Sagaing</t>
        </is>
      </c>
      <c r="G311" s="121" t="inlineStr">
        <is>
          <t>MMR005</t>
        </is>
      </c>
      <c r="H311" s="121" t="inlineStr">
        <is>
          <t>Myanmar</t>
        </is>
      </c>
      <c r="I311" s="121" t="inlineStr">
        <is>
          <t>MMR</t>
        </is>
      </c>
      <c r="J311" s="121" t="n">
        <v>104</v>
      </c>
    </row>
    <row r="312">
      <c r="A312" s="121" t="inlineStr">
        <is>
          <t>Paungbyin</t>
        </is>
      </c>
      <c r="B312" s="121" t="inlineStr">
        <is>
          <t>ဖောင်းပြင်</t>
        </is>
      </c>
      <c r="C312" s="121" t="inlineStr">
        <is>
          <t>MMR005032</t>
        </is>
      </c>
      <c r="D312" s="121" t="inlineStr">
        <is>
          <t>Mawlaik</t>
        </is>
      </c>
      <c r="E312" s="121" t="inlineStr">
        <is>
          <t>MMR005D007</t>
        </is>
      </c>
      <c r="F312" s="121" t="inlineStr">
        <is>
          <t>Sagaing</t>
        </is>
      </c>
      <c r="G312" s="121" t="inlineStr">
        <is>
          <t>MMR005</t>
        </is>
      </c>
      <c r="H312" s="121" t="inlineStr">
        <is>
          <t>Myanmar</t>
        </is>
      </c>
      <c r="I312" s="121" t="inlineStr">
        <is>
          <t>MMR</t>
        </is>
      </c>
      <c r="J312" s="121" t="n">
        <v>104</v>
      </c>
    </row>
    <row r="313">
      <c r="A313" s="121" t="inlineStr">
        <is>
          <t>Mingin</t>
        </is>
      </c>
      <c r="B313" s="121" t="inlineStr">
        <is>
          <t>မင်းကင်း</t>
        </is>
      </c>
      <c r="C313" s="121" t="inlineStr">
        <is>
          <t>MMR005029</t>
        </is>
      </c>
      <c r="D313" s="121" t="inlineStr">
        <is>
          <t>Kale</t>
        </is>
      </c>
      <c r="E313" s="121" t="inlineStr">
        <is>
          <t>MMR005D005</t>
        </is>
      </c>
      <c r="F313" s="121" t="inlineStr">
        <is>
          <t>Sagaing</t>
        </is>
      </c>
      <c r="G313" s="121" t="inlineStr">
        <is>
          <t>MMR005</t>
        </is>
      </c>
      <c r="H313" s="121" t="inlineStr">
        <is>
          <t>Myanmar</t>
        </is>
      </c>
      <c r="I313" s="121" t="inlineStr">
        <is>
          <t>MMR</t>
        </is>
      </c>
      <c r="J313" s="121" t="n">
        <v>104</v>
      </c>
    </row>
    <row r="314">
      <c r="A314" s="121" t="inlineStr">
        <is>
          <t>Tilin</t>
        </is>
      </c>
      <c r="B314" s="121" t="inlineStr">
        <is>
          <t>ထီးလင်း</t>
        </is>
      </c>
      <c r="C314" s="121" t="inlineStr">
        <is>
          <t>MMR009024</t>
        </is>
      </c>
      <c r="D314" s="121" t="inlineStr">
        <is>
          <t>Gangaw</t>
        </is>
      </c>
      <c r="E314" s="121" t="inlineStr">
        <is>
          <t>MMR009D005</t>
        </is>
      </c>
      <c r="F314" s="121" t="inlineStr">
        <is>
          <t>Magway</t>
        </is>
      </c>
      <c r="G314" s="121" t="inlineStr">
        <is>
          <t>MMR009</t>
        </is>
      </c>
      <c r="H314" s="121" t="inlineStr">
        <is>
          <t>Myanmar</t>
        </is>
      </c>
      <c r="I314" s="121" t="inlineStr">
        <is>
          <t>MMR</t>
        </is>
      </c>
      <c r="J314" s="121" t="n">
        <v>104</v>
      </c>
    </row>
    <row r="315">
      <c r="A315" s="121" t="inlineStr">
        <is>
          <t>Mindat</t>
        </is>
      </c>
      <c r="B315" s="121" t="inlineStr">
        <is>
          <t>မင်းတပ်</t>
        </is>
      </c>
      <c r="C315" s="121" t="inlineStr">
        <is>
          <t>MMR004006</t>
        </is>
      </c>
      <c r="D315" s="121" t="inlineStr">
        <is>
          <t>Mindat</t>
        </is>
      </c>
      <c r="E315" s="121" t="inlineStr">
        <is>
          <t>MMR004D002</t>
        </is>
      </c>
      <c r="F315" s="121" t="inlineStr">
        <is>
          <t>Chin</t>
        </is>
      </c>
      <c r="G315" s="121" t="inlineStr">
        <is>
          <t>MMR004</t>
        </is>
      </c>
      <c r="H315" s="121" t="inlineStr">
        <is>
          <t>Myanmar</t>
        </is>
      </c>
      <c r="I315" s="121" t="inlineStr">
        <is>
          <t>MMR</t>
        </is>
      </c>
      <c r="J315" s="121" t="n">
        <v>104</v>
      </c>
    </row>
    <row r="316">
      <c r="A316" s="121" t="inlineStr">
        <is>
          <t>Ngazun</t>
        </is>
      </c>
      <c r="B316" s="121" t="inlineStr">
        <is>
          <t>ငါန်းဇွန်</t>
        </is>
      </c>
      <c r="C316" s="121" t="inlineStr">
        <is>
          <t>MMR010021</t>
        </is>
      </c>
      <c r="D316" s="121" t="inlineStr">
        <is>
          <t>Myingyan</t>
        </is>
      </c>
      <c r="E316" s="121" t="inlineStr">
        <is>
          <t>MMR010D004</t>
        </is>
      </c>
      <c r="F316" s="121" t="inlineStr">
        <is>
          <t>Mandalay</t>
        </is>
      </c>
      <c r="G316" s="121" t="inlineStr">
        <is>
          <t>MMR010</t>
        </is>
      </c>
      <c r="H316" s="121" t="inlineStr">
        <is>
          <t>Myanmar</t>
        </is>
      </c>
      <c r="I316" s="121" t="inlineStr">
        <is>
          <t>MMR</t>
        </is>
      </c>
      <c r="J316" s="121" t="n">
        <v>104</v>
      </c>
    </row>
    <row r="317">
      <c r="A317" s="121" t="inlineStr">
        <is>
          <t>Homalin</t>
        </is>
      </c>
      <c r="B317" s="121" t="inlineStr">
        <is>
          <t>ဟုမ္မလင်း</t>
        </is>
      </c>
      <c r="C317" s="121" t="inlineStr">
        <is>
          <t>MMR005034</t>
        </is>
      </c>
      <c r="D317" s="121" t="inlineStr">
        <is>
          <t>Hkamti</t>
        </is>
      </c>
      <c r="E317" s="121" t="inlineStr">
        <is>
          <t>MMR005D008</t>
        </is>
      </c>
      <c r="F317" s="121" t="inlineStr">
        <is>
          <t>Sagaing</t>
        </is>
      </c>
      <c r="G317" s="121" t="inlineStr">
        <is>
          <t>MMR005</t>
        </is>
      </c>
      <c r="H317" s="121" t="inlineStr">
        <is>
          <t>Myanmar</t>
        </is>
      </c>
      <c r="I317" s="121" t="inlineStr">
        <is>
          <t>MMR</t>
        </is>
      </c>
      <c r="J317" s="121" t="n">
        <v>104</v>
      </c>
    </row>
    <row r="318">
      <c r="A318" s="121" t="inlineStr">
        <is>
          <t>Banmauk</t>
        </is>
      </c>
      <c r="B318" s="121" t="inlineStr">
        <is>
          <t>ဗန်းမောက်</t>
        </is>
      </c>
      <c r="C318" s="121" t="inlineStr">
        <is>
          <t>MMR005023</t>
        </is>
      </c>
      <c r="D318" s="121" t="inlineStr">
        <is>
          <t>Katha</t>
        </is>
      </c>
      <c r="E318" s="121" t="inlineStr">
        <is>
          <t>MMR005D004</t>
        </is>
      </c>
      <c r="F318" s="121" t="inlineStr">
        <is>
          <t>Sagaing</t>
        </is>
      </c>
      <c r="G318" s="121" t="inlineStr">
        <is>
          <t>MMR005</t>
        </is>
      </c>
      <c r="H318" s="121" t="inlineStr">
        <is>
          <t>Myanmar</t>
        </is>
      </c>
      <c r="I318" s="121" t="inlineStr">
        <is>
          <t>MMR</t>
        </is>
      </c>
      <c r="J318" s="121" t="n">
        <v>104</v>
      </c>
    </row>
    <row r="319">
      <c r="A319" s="121" t="inlineStr">
        <is>
          <t>Magway</t>
        </is>
      </c>
      <c r="B319" s="121" t="inlineStr">
        <is>
          <t>မကွေး</t>
        </is>
      </c>
      <c r="C319" s="121" t="inlineStr">
        <is>
          <t>MMR009001</t>
        </is>
      </c>
      <c r="D319" s="121" t="inlineStr">
        <is>
          <t>Magway</t>
        </is>
      </c>
      <c r="E319" s="121" t="inlineStr">
        <is>
          <t>MMR009D001</t>
        </is>
      </c>
      <c r="F319" s="121" t="inlineStr">
        <is>
          <t>Magway</t>
        </is>
      </c>
      <c r="G319" s="121" t="inlineStr">
        <is>
          <t>MMR009</t>
        </is>
      </c>
      <c r="H319" s="121" t="inlineStr">
        <is>
          <t>Myanmar</t>
        </is>
      </c>
      <c r="I319" s="121" t="inlineStr">
        <is>
          <t>MMR</t>
        </is>
      </c>
      <c r="J319" s="121" t="n">
        <v>104</v>
      </c>
    </row>
    <row r="320">
      <c r="A320" s="121" t="inlineStr">
        <is>
          <t>Myothit</t>
        </is>
      </c>
      <c r="B320" s="121" t="inlineStr">
        <is>
          <t>မြို့သစ်</t>
        </is>
      </c>
      <c r="C320" s="121" t="inlineStr">
        <is>
          <t>MMR009005</t>
        </is>
      </c>
      <c r="D320" s="121" t="inlineStr">
        <is>
          <t>Magway</t>
        </is>
      </c>
      <c r="E320" s="121" t="inlineStr">
        <is>
          <t>MMR009D001</t>
        </is>
      </c>
      <c r="F320" s="121" t="inlineStr">
        <is>
          <t>Magway</t>
        </is>
      </c>
      <c r="G320" s="121" t="inlineStr">
        <is>
          <t>MMR009</t>
        </is>
      </c>
      <c r="H320" s="121" t="inlineStr">
        <is>
          <t>Myanmar</t>
        </is>
      </c>
      <c r="I320" s="121" t="inlineStr">
        <is>
          <t>MMR</t>
        </is>
      </c>
      <c r="J320" s="121" t="n">
        <v>104</v>
      </c>
    </row>
    <row r="321">
      <c r="A321" s="121" t="inlineStr">
        <is>
          <t>Taze</t>
        </is>
      </c>
      <c r="B321" s="121" t="inlineStr">
        <is>
          <t>တန့်ဆည်</t>
        </is>
      </c>
      <c r="C321" s="121" t="inlineStr">
        <is>
          <t>MMR005011</t>
        </is>
      </c>
      <c r="D321" s="121" t="inlineStr">
        <is>
          <t>Shwebo</t>
        </is>
      </c>
      <c r="E321" s="121" t="inlineStr">
        <is>
          <t>MMR005D002</t>
        </is>
      </c>
      <c r="F321" s="121" t="inlineStr">
        <is>
          <t>Sagaing</t>
        </is>
      </c>
      <c r="G321" s="121" t="inlineStr">
        <is>
          <t>MMR005</t>
        </is>
      </c>
      <c r="H321" s="121" t="inlineStr">
        <is>
          <t>Myanmar</t>
        </is>
      </c>
      <c r="I321" s="121" t="inlineStr">
        <is>
          <t>MMR</t>
        </is>
      </c>
      <c r="J321" s="121" t="n">
        <v>104</v>
      </c>
    </row>
    <row r="322">
      <c r="A322" s="121" t="inlineStr">
        <is>
          <t>Kyaukpadaung</t>
        </is>
      </c>
      <c r="B322" s="121" t="inlineStr">
        <is>
          <t>ကျောက်ပန်းတောင်း</t>
        </is>
      </c>
      <c r="C322" s="121" t="inlineStr">
        <is>
          <t>MMR010020</t>
        </is>
      </c>
      <c r="D322" s="121" t="inlineStr">
        <is>
          <t>Nyaung-U</t>
        </is>
      </c>
      <c r="E322" s="121" t="inlineStr">
        <is>
          <t>MMR010D005</t>
        </is>
      </c>
      <c r="F322" s="121" t="inlineStr">
        <is>
          <t>Mandalay</t>
        </is>
      </c>
      <c r="G322" s="121" t="inlineStr">
        <is>
          <t>MMR010</t>
        </is>
      </c>
      <c r="H322" s="121" t="inlineStr">
        <is>
          <t>Myanmar</t>
        </is>
      </c>
      <c r="I322" s="121" t="inlineStr">
        <is>
          <t>MMR</t>
        </is>
      </c>
      <c r="J322" s="121" t="n">
        <v>104</v>
      </c>
    </row>
    <row r="323">
      <c r="A323" s="121" t="inlineStr">
        <is>
          <t>Wundwin</t>
        </is>
      </c>
      <c r="B323" s="121" t="inlineStr">
        <is>
          <t>ဝမ်းတွင်း</t>
        </is>
      </c>
      <c r="C323" s="121" t="inlineStr">
        <is>
          <t>MMR010031</t>
        </is>
      </c>
      <c r="D323" s="121" t="inlineStr">
        <is>
          <t>Meiktila</t>
        </is>
      </c>
      <c r="E323" s="121" t="inlineStr">
        <is>
          <t>MMR010D007</t>
        </is>
      </c>
      <c r="F323" s="121" t="inlineStr">
        <is>
          <t>Mandalay</t>
        </is>
      </c>
      <c r="G323" s="121" t="inlineStr">
        <is>
          <t>MMR010</t>
        </is>
      </c>
      <c r="H323" s="121" t="inlineStr">
        <is>
          <t>Myanmar</t>
        </is>
      </c>
      <c r="I323" s="121" t="inlineStr">
        <is>
          <t>MMR</t>
        </is>
      </c>
      <c r="J323" s="121" t="n">
        <v>104</v>
      </c>
    </row>
    <row r="324">
      <c r="A324" s="121" t="inlineStr">
        <is>
          <t>Minbu</t>
        </is>
      </c>
      <c r="B324" s="121" t="inlineStr">
        <is>
          <t>မင်းဘူး</t>
        </is>
      </c>
      <c r="C324" s="121" t="inlineStr">
        <is>
          <t>MMR009007</t>
        </is>
      </c>
      <c r="D324" s="121" t="inlineStr">
        <is>
          <t>Minbu</t>
        </is>
      </c>
      <c r="E324" s="121" t="inlineStr">
        <is>
          <t>MMR009D002</t>
        </is>
      </c>
      <c r="F324" s="121" t="inlineStr">
        <is>
          <t>Magway</t>
        </is>
      </c>
      <c r="G324" s="121" t="inlineStr">
        <is>
          <t>MMR009</t>
        </is>
      </c>
      <c r="H324" s="121" t="inlineStr">
        <is>
          <t>Myanmar</t>
        </is>
      </c>
      <c r="I324" s="121" t="inlineStr">
        <is>
          <t>MMR</t>
        </is>
      </c>
      <c r="J324" s="121" t="n">
        <v>104</v>
      </c>
    </row>
    <row r="325">
      <c r="A325" s="121" t="inlineStr">
        <is>
          <t>Kale</t>
        </is>
      </c>
      <c r="B325" s="121" t="inlineStr">
        <is>
          <t>ကလေး</t>
        </is>
      </c>
      <c r="C325" s="121" t="inlineStr">
        <is>
          <t>MMR005027</t>
        </is>
      </c>
      <c r="D325" s="121" t="inlineStr">
        <is>
          <t>Kale</t>
        </is>
      </c>
      <c r="E325" s="121" t="inlineStr">
        <is>
          <t>MMR005D005</t>
        </is>
      </c>
      <c r="F325" s="121" t="inlineStr">
        <is>
          <t>Sagaing</t>
        </is>
      </c>
      <c r="G325" s="121" t="inlineStr">
        <is>
          <t>MMR005</t>
        </is>
      </c>
      <c r="H325" s="121" t="inlineStr">
        <is>
          <t>Myanmar</t>
        </is>
      </c>
      <c r="I325" s="121" t="inlineStr">
        <is>
          <t>MMR</t>
        </is>
      </c>
      <c r="J325" s="121" t="n">
        <v>104</v>
      </c>
    </row>
    <row r="326">
      <c r="A326" s="121" t="inlineStr">
        <is>
          <t>Seikphyu</t>
        </is>
      </c>
      <c r="B326" s="121" t="inlineStr">
        <is>
          <t>ဆိပ်ဖြူ</t>
        </is>
      </c>
      <c r="C326" s="121" t="inlineStr">
        <is>
          <t>MMR009022</t>
        </is>
      </c>
      <c r="D326" s="121" t="inlineStr">
        <is>
          <t>Pakokku</t>
        </is>
      </c>
      <c r="E326" s="121" t="inlineStr">
        <is>
          <t>MMR009D004</t>
        </is>
      </c>
      <c r="F326" s="121" t="inlineStr">
        <is>
          <t>Magway</t>
        </is>
      </c>
      <c r="G326" s="121" t="inlineStr">
        <is>
          <t>MMR009</t>
        </is>
      </c>
      <c r="H326" s="121" t="inlineStr">
        <is>
          <t>Myanmar</t>
        </is>
      </c>
      <c r="I326" s="121" t="inlineStr">
        <is>
          <t>MMR</t>
        </is>
      </c>
      <c r="J326" s="121" t="n">
        <v>104</v>
      </c>
    </row>
    <row r="327">
      <c r="A327" s="121" t="inlineStr">
        <is>
          <t>Laihka</t>
        </is>
      </c>
      <c r="B327" s="121" t="inlineStr">
        <is>
          <t>လဲချား</t>
        </is>
      </c>
      <c r="C327" s="121" t="inlineStr">
        <is>
          <t>MMR014012</t>
        </is>
      </c>
      <c r="D327" s="121" t="inlineStr">
        <is>
          <t>Loilen</t>
        </is>
      </c>
      <c r="E327" s="121" t="inlineStr">
        <is>
          <t>MMR014D002</t>
        </is>
      </c>
      <c r="F327" s="121" t="inlineStr">
        <is>
          <t>Shan</t>
        </is>
      </c>
      <c r="G327" s="121" t="inlineStr">
        <is>
          <t>MMR222</t>
        </is>
      </c>
      <c r="H327" s="121" t="inlineStr">
        <is>
          <t>Myanmar</t>
        </is>
      </c>
      <c r="I327" s="121" t="inlineStr">
        <is>
          <t>MMR</t>
        </is>
      </c>
      <c r="J327" s="121" t="n">
        <v>104</v>
      </c>
    </row>
    <row r="328">
      <c r="A328" s="121" t="inlineStr">
        <is>
          <t>Mongkaing</t>
        </is>
      </c>
      <c r="B328" s="121" t="inlineStr">
        <is>
          <t>မိုင်းကိုင်</t>
        </is>
      </c>
      <c r="C328" s="121" t="inlineStr">
        <is>
          <t>MMR014016</t>
        </is>
      </c>
      <c r="D328" s="121" t="inlineStr">
        <is>
          <t>Loilen</t>
        </is>
      </c>
      <c r="E328" s="121" t="inlineStr">
        <is>
          <t>MMR014D002</t>
        </is>
      </c>
      <c r="F328" s="121" t="inlineStr">
        <is>
          <t>Shan</t>
        </is>
      </c>
      <c r="G328" s="121" t="inlineStr">
        <is>
          <t>MMR222</t>
        </is>
      </c>
      <c r="H328" s="121" t="inlineStr">
        <is>
          <t>Myanmar</t>
        </is>
      </c>
      <c r="I328" s="121" t="inlineStr">
        <is>
          <t>MMR</t>
        </is>
      </c>
      <c r="J328" s="121" t="n">
        <v>104</v>
      </c>
    </row>
    <row r="329">
      <c r="A329" s="121" t="inlineStr">
        <is>
          <t>Hseni</t>
        </is>
      </c>
      <c r="B329" s="121" t="inlineStr">
        <is>
          <t>သိန္နီ</t>
        </is>
      </c>
      <c r="C329" s="121" t="inlineStr">
        <is>
          <t>MMR015002</t>
        </is>
      </c>
      <c r="D329" s="121" t="inlineStr">
        <is>
          <t>Lashio</t>
        </is>
      </c>
      <c r="E329" s="121" t="inlineStr">
        <is>
          <t>MMR015D001</t>
        </is>
      </c>
      <c r="F329" s="121" t="inlineStr">
        <is>
          <t>Shan</t>
        </is>
      </c>
      <c r="G329" s="121" t="inlineStr">
        <is>
          <t>MMR222</t>
        </is>
      </c>
      <c r="H329" s="121" t="inlineStr">
        <is>
          <t>Myanmar</t>
        </is>
      </c>
      <c r="I329" s="121" t="inlineStr">
        <is>
          <t>MMR</t>
        </is>
      </c>
      <c r="J329" s="121" t="n">
        <v>104</v>
      </c>
    </row>
    <row r="330">
      <c r="A330" s="121" t="inlineStr">
        <is>
          <t>Kunlong</t>
        </is>
      </c>
      <c r="B330" s="121" t="inlineStr">
        <is>
          <t>ကွမ်းလုံ</t>
        </is>
      </c>
      <c r="C330" s="121" t="inlineStr">
        <is>
          <t>MMR015020</t>
        </is>
      </c>
      <c r="D330" s="121" t="inlineStr">
        <is>
          <t>Lashio</t>
        </is>
      </c>
      <c r="E330" s="121" t="inlineStr">
        <is>
          <t>MMR015D001</t>
        </is>
      </c>
      <c r="F330" s="121" t="inlineStr">
        <is>
          <t>Shan</t>
        </is>
      </c>
      <c r="G330" s="121" t="inlineStr">
        <is>
          <t>MMR222</t>
        </is>
      </c>
      <c r="H330" s="121" t="inlineStr">
        <is>
          <t>Myanmar</t>
        </is>
      </c>
      <c r="I330" s="121" t="inlineStr">
        <is>
          <t>MMR</t>
        </is>
      </c>
      <c r="J330" s="121" t="n">
        <v>104</v>
      </c>
    </row>
    <row r="331">
      <c r="A331" s="121" t="inlineStr">
        <is>
          <t>Muse</t>
        </is>
      </c>
      <c r="B331" s="121" t="inlineStr">
        <is>
          <t>မူဆယ်</t>
        </is>
      </c>
      <c r="C331" s="121" t="inlineStr">
        <is>
          <t>MMR015009</t>
        </is>
      </c>
      <c r="D331" s="121" t="inlineStr">
        <is>
          <t>Muse</t>
        </is>
      </c>
      <c r="E331" s="121" t="inlineStr">
        <is>
          <t>MMR015D002</t>
        </is>
      </c>
      <c r="F331" s="121" t="inlineStr">
        <is>
          <t>Shan</t>
        </is>
      </c>
      <c r="G331" s="121" t="inlineStr">
        <is>
          <t>MMR222</t>
        </is>
      </c>
      <c r="H331" s="121" t="inlineStr">
        <is>
          <t>Myanmar</t>
        </is>
      </c>
      <c r="I331" s="121" t="inlineStr">
        <is>
          <t>MMR</t>
        </is>
      </c>
      <c r="J331" s="121" t="n">
        <v>104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325" t="inlineStr">
        <is>
          <t>adm2_name</t>
        </is>
      </c>
      <c r="B1" s="325" t="inlineStr">
        <is>
          <t>adm2_name_local</t>
        </is>
      </c>
      <c r="C1" s="325" t="inlineStr">
        <is>
          <t>adm2_pcode</t>
        </is>
      </c>
      <c r="D1" s="325" t="inlineStr">
        <is>
          <t>adm1_name</t>
        </is>
      </c>
      <c r="E1" s="325" t="inlineStr">
        <is>
          <t>adm1_pcode</t>
        </is>
      </c>
      <c r="F1" s="325" t="inlineStr">
        <is>
          <t>adm0_name</t>
        </is>
      </c>
      <c r="G1" s="325" t="inlineStr">
        <is>
          <t>adm0_ISO3</t>
        </is>
      </c>
    </row>
    <row r="2">
      <c r="A2" t="inlineStr">
        <is>
          <t>Lashio</t>
        </is>
      </c>
      <c r="B2" t="inlineStr">
        <is>
          <t xml:space="preserve"> </t>
        </is>
      </c>
      <c r="C2" t="inlineStr">
        <is>
          <t>MMR015D001</t>
        </is>
      </c>
      <c r="D2" t="inlineStr">
        <is>
          <t>Shan</t>
        </is>
      </c>
      <c r="E2" t="inlineStr">
        <is>
          <t>MMR222</t>
        </is>
      </c>
      <c r="F2" t="inlineStr">
        <is>
          <t>Myanmar</t>
        </is>
      </c>
      <c r="G2" t="inlineStr">
        <is>
          <t>MMR</t>
        </is>
      </c>
    </row>
    <row r="3">
      <c r="A3" t="inlineStr">
        <is>
          <t>Kyaukme</t>
        </is>
      </c>
      <c r="B3" t="inlineStr">
        <is>
          <t xml:space="preserve"> </t>
        </is>
      </c>
      <c r="C3" t="inlineStr">
        <is>
          <t>MMR015D003</t>
        </is>
      </c>
      <c r="D3" t="inlineStr">
        <is>
          <t>Shan</t>
        </is>
      </c>
      <c r="E3" t="inlineStr">
        <is>
          <t>MMR222</t>
        </is>
      </c>
      <c r="F3" t="inlineStr">
        <is>
          <t>Myanmar</t>
        </is>
      </c>
      <c r="G3" t="inlineStr">
        <is>
          <t>MMR</t>
        </is>
      </c>
    </row>
    <row r="4">
      <c r="A4" t="inlineStr">
        <is>
          <t>Kokang Self-Administered Zone</t>
        </is>
      </c>
      <c r="B4" t="inlineStr">
        <is>
          <t xml:space="preserve"> </t>
        </is>
      </c>
      <c r="C4" t="inlineStr">
        <is>
          <t>MMR015S002</t>
        </is>
      </c>
      <c r="D4" t="inlineStr">
        <is>
          <t>Shan</t>
        </is>
      </c>
      <c r="E4" t="inlineStr">
        <is>
          <t>MMR222</t>
        </is>
      </c>
      <c r="F4" t="inlineStr">
        <is>
          <t>Myanmar</t>
        </is>
      </c>
      <c r="G4" t="inlineStr">
        <is>
          <t>MMR</t>
        </is>
      </c>
    </row>
    <row r="5">
      <c r="A5" t="inlineStr">
        <is>
          <t>Pa-O Self-Administered Zone</t>
        </is>
      </c>
      <c r="B5" t="inlineStr">
        <is>
          <t xml:space="preserve"> </t>
        </is>
      </c>
      <c r="C5" t="inlineStr">
        <is>
          <t>MMR014S002</t>
        </is>
      </c>
      <c r="D5" t="inlineStr">
        <is>
          <t>Shan</t>
        </is>
      </c>
      <c r="E5" t="inlineStr">
        <is>
          <t>MMR222</t>
        </is>
      </c>
      <c r="F5" t="inlineStr">
        <is>
          <t>Myanmar</t>
        </is>
      </c>
      <c r="G5" t="inlineStr">
        <is>
          <t>MMR</t>
        </is>
      </c>
    </row>
    <row r="6">
      <c r="A6" t="inlineStr">
        <is>
          <t>Loilen</t>
        </is>
      </c>
      <c r="B6" t="inlineStr">
        <is>
          <t xml:space="preserve"> </t>
        </is>
      </c>
      <c r="C6" t="inlineStr">
        <is>
          <t>MMR014D002</t>
        </is>
      </c>
      <c r="D6" t="inlineStr">
        <is>
          <t>Shan</t>
        </is>
      </c>
      <c r="E6" t="inlineStr">
        <is>
          <t>MMR222</t>
        </is>
      </c>
      <c r="F6" t="inlineStr">
        <is>
          <t>Myanmar</t>
        </is>
      </c>
      <c r="G6" t="inlineStr">
        <is>
          <t>MMR</t>
        </is>
      </c>
    </row>
    <row r="7">
      <c r="A7" t="inlineStr">
        <is>
          <t>Langkho</t>
        </is>
      </c>
      <c r="B7" t="inlineStr">
        <is>
          <t xml:space="preserve"> </t>
        </is>
      </c>
      <c r="C7" t="inlineStr">
        <is>
          <t>MMR014D003</t>
        </is>
      </c>
      <c r="D7" t="inlineStr">
        <is>
          <t>Shan</t>
        </is>
      </c>
      <c r="E7" t="inlineStr">
        <is>
          <t>MMR222</t>
        </is>
      </c>
      <c r="F7" t="inlineStr">
        <is>
          <t>Myanmar</t>
        </is>
      </c>
      <c r="G7" t="inlineStr">
        <is>
          <t>MMR</t>
        </is>
      </c>
    </row>
    <row r="8">
      <c r="A8" t="inlineStr">
        <is>
          <t>Danu Self-Administered Zone</t>
        </is>
      </c>
      <c r="B8" t="inlineStr">
        <is>
          <t xml:space="preserve"> </t>
        </is>
      </c>
      <c r="C8" t="inlineStr">
        <is>
          <t>MMR014S001</t>
        </is>
      </c>
      <c r="D8" t="inlineStr">
        <is>
          <t>Shan</t>
        </is>
      </c>
      <c r="E8" t="inlineStr">
        <is>
          <t>MMR222</t>
        </is>
      </c>
      <c r="F8" t="inlineStr">
        <is>
          <t>Myanmar</t>
        </is>
      </c>
      <c r="G8" t="inlineStr">
        <is>
          <t>MMR</t>
        </is>
      </c>
    </row>
    <row r="9">
      <c r="A9" t="inlineStr">
        <is>
          <t>Pa Laung Self-Administered Zone</t>
        </is>
      </c>
      <c r="B9" t="inlineStr">
        <is>
          <t xml:space="preserve"> </t>
        </is>
      </c>
      <c r="C9" t="inlineStr">
        <is>
          <t>MMR015S001</t>
        </is>
      </c>
      <c r="D9" t="inlineStr">
        <is>
          <t>Shan</t>
        </is>
      </c>
      <c r="E9" t="inlineStr">
        <is>
          <t>MMR222</t>
        </is>
      </c>
      <c r="F9" t="inlineStr">
        <is>
          <t>Myanmar</t>
        </is>
      </c>
      <c r="G9" t="inlineStr">
        <is>
          <t>MMR</t>
        </is>
      </c>
    </row>
    <row r="10">
      <c r="A10" t="inlineStr">
        <is>
          <t>Muse</t>
        </is>
      </c>
      <c r="B10" t="inlineStr">
        <is>
          <t xml:space="preserve"> </t>
        </is>
      </c>
      <c r="C10" t="inlineStr">
        <is>
          <t>MMR015D002</t>
        </is>
      </c>
      <c r="D10" t="inlineStr">
        <is>
          <t>Shan</t>
        </is>
      </c>
      <c r="E10" t="inlineStr">
        <is>
          <t>MMR222</t>
        </is>
      </c>
      <c r="F10" t="inlineStr">
        <is>
          <t>Myanmar</t>
        </is>
      </c>
      <c r="G10" t="inlineStr">
        <is>
          <t>MMR</t>
        </is>
      </c>
    </row>
    <row r="11">
      <c r="A11" t="inlineStr">
        <is>
          <t>Mongmit</t>
        </is>
      </c>
      <c r="B11" t="inlineStr">
        <is>
          <t xml:space="preserve"> </t>
        </is>
      </c>
      <c r="C11" t="inlineStr">
        <is>
          <t>MMR015D008</t>
        </is>
      </c>
      <c r="D11" t="inlineStr">
        <is>
          <t>Shan</t>
        </is>
      </c>
      <c r="E11" t="inlineStr">
        <is>
          <t>MMR222</t>
        </is>
      </c>
      <c r="F11" t="inlineStr">
        <is>
          <t>Myanmar</t>
        </is>
      </c>
      <c r="G11" t="inlineStr">
        <is>
          <t>MMR</t>
        </is>
      </c>
    </row>
    <row r="12">
      <c r="A12" t="inlineStr">
        <is>
          <t>Matman</t>
        </is>
      </c>
      <c r="B12" t="inlineStr">
        <is>
          <t xml:space="preserve"> </t>
        </is>
      </c>
      <c r="C12" t="inlineStr">
        <is>
          <t>MMR015D007</t>
        </is>
      </c>
      <c r="D12" t="inlineStr">
        <is>
          <t>Shan</t>
        </is>
      </c>
      <c r="E12" t="inlineStr">
        <is>
          <t>MMR222</t>
        </is>
      </c>
      <c r="F12" t="inlineStr">
        <is>
          <t>Myanmar</t>
        </is>
      </c>
      <c r="G12" t="inlineStr">
        <is>
          <t>MMR</t>
        </is>
      </c>
    </row>
    <row r="13">
      <c r="A13" t="inlineStr">
        <is>
          <t>Hopang</t>
        </is>
      </c>
      <c r="B13" t="inlineStr">
        <is>
          <t xml:space="preserve"> </t>
        </is>
      </c>
      <c r="C13" t="inlineStr">
        <is>
          <t>MMR015D006</t>
        </is>
      </c>
      <c r="D13" t="inlineStr">
        <is>
          <t>Shan</t>
        </is>
      </c>
      <c r="E13" t="inlineStr">
        <is>
          <t>MMR222</t>
        </is>
      </c>
      <c r="F13" t="inlineStr">
        <is>
          <t>Myanmar</t>
        </is>
      </c>
      <c r="G13" t="inlineStr">
        <is>
          <t>MMR</t>
        </is>
      </c>
    </row>
    <row r="14">
      <c r="A14" t="inlineStr">
        <is>
          <t>Tachileik</t>
        </is>
      </c>
      <c r="B14" t="inlineStr">
        <is>
          <t xml:space="preserve"> </t>
        </is>
      </c>
      <c r="C14" t="inlineStr">
        <is>
          <t>MMR016D003</t>
        </is>
      </c>
      <c r="D14" t="inlineStr">
        <is>
          <t>Shan</t>
        </is>
      </c>
      <c r="E14" t="inlineStr">
        <is>
          <t>MMR222</t>
        </is>
      </c>
      <c r="F14" t="inlineStr">
        <is>
          <t>Myanmar</t>
        </is>
      </c>
      <c r="G14" t="inlineStr">
        <is>
          <t>MMR</t>
        </is>
      </c>
    </row>
    <row r="15">
      <c r="A15" t="inlineStr">
        <is>
          <t>Monghsat</t>
        </is>
      </c>
      <c r="B15" t="inlineStr">
        <is>
          <t xml:space="preserve"> </t>
        </is>
      </c>
      <c r="C15" t="inlineStr">
        <is>
          <t>MMR016D002</t>
        </is>
      </c>
      <c r="D15" t="inlineStr">
        <is>
          <t>Shan</t>
        </is>
      </c>
      <c r="E15" t="inlineStr">
        <is>
          <t>MMR222</t>
        </is>
      </c>
      <c r="F15" t="inlineStr">
        <is>
          <t>Myanmar</t>
        </is>
      </c>
      <c r="G15" t="inlineStr">
        <is>
          <t>MMR</t>
        </is>
      </c>
    </row>
    <row r="16">
      <c r="A16" t="inlineStr">
        <is>
          <t>Kengtung</t>
        </is>
      </c>
      <c r="B16" t="inlineStr">
        <is>
          <t xml:space="preserve"> </t>
        </is>
      </c>
      <c r="C16" t="inlineStr">
        <is>
          <t>MMR016D001</t>
        </is>
      </c>
      <c r="D16" t="inlineStr">
        <is>
          <t>Shan</t>
        </is>
      </c>
      <c r="E16" t="inlineStr">
        <is>
          <t>MMR222</t>
        </is>
      </c>
      <c r="F16" t="inlineStr">
        <is>
          <t>Myanmar</t>
        </is>
      </c>
      <c r="G16" t="inlineStr">
        <is>
          <t>MMR</t>
        </is>
      </c>
    </row>
    <row r="17">
      <c r="A17" t="inlineStr">
        <is>
          <t>Yinmarbin</t>
        </is>
      </c>
      <c r="B17" t="inlineStr">
        <is>
          <t xml:space="preserve"> </t>
        </is>
      </c>
      <c r="C17" t="inlineStr">
        <is>
          <t>MMR005D009</t>
        </is>
      </c>
      <c r="D17" t="inlineStr">
        <is>
          <t>Sagaing</t>
        </is>
      </c>
      <c r="E17" t="inlineStr">
        <is>
          <t>MMR005</t>
        </is>
      </c>
      <c r="F17" t="inlineStr">
        <is>
          <t>Myanmar</t>
        </is>
      </c>
      <c r="G17" t="inlineStr">
        <is>
          <t>MMR</t>
        </is>
      </c>
    </row>
    <row r="18">
      <c r="A18" t="inlineStr">
        <is>
          <t>Tamu</t>
        </is>
      </c>
      <c r="B18" t="inlineStr">
        <is>
          <t xml:space="preserve"> </t>
        </is>
      </c>
      <c r="C18" t="inlineStr">
        <is>
          <t>MMR005D006</t>
        </is>
      </c>
      <c r="D18" t="inlineStr">
        <is>
          <t>Sagaing</t>
        </is>
      </c>
      <c r="E18" t="inlineStr">
        <is>
          <t>MMR005</t>
        </is>
      </c>
      <c r="F18" t="inlineStr">
        <is>
          <t>Myanmar</t>
        </is>
      </c>
      <c r="G18" t="inlineStr">
        <is>
          <t>MMR</t>
        </is>
      </c>
    </row>
    <row r="19">
      <c r="A19" t="inlineStr">
        <is>
          <t>Naga Self-Administered Zone</t>
        </is>
      </c>
      <c r="B19" t="inlineStr">
        <is>
          <t xml:space="preserve"> </t>
        </is>
      </c>
      <c r="C19" t="inlineStr">
        <is>
          <t>MMR005S001</t>
        </is>
      </c>
      <c r="D19" t="inlineStr">
        <is>
          <t>Sagaing</t>
        </is>
      </c>
      <c r="E19" t="inlineStr">
        <is>
          <t>MMR005</t>
        </is>
      </c>
      <c r="F19" t="inlineStr">
        <is>
          <t>Myanmar</t>
        </is>
      </c>
      <c r="G19" t="inlineStr">
        <is>
          <t>MMR</t>
        </is>
      </c>
    </row>
    <row r="20">
      <c r="A20" t="inlineStr">
        <is>
          <t>Monywa</t>
        </is>
      </c>
      <c r="B20" t="inlineStr">
        <is>
          <t xml:space="preserve"> </t>
        </is>
      </c>
      <c r="C20" t="inlineStr">
        <is>
          <t>MMR005D003</t>
        </is>
      </c>
      <c r="D20" t="inlineStr">
        <is>
          <t>Sagaing</t>
        </is>
      </c>
      <c r="E20" t="inlineStr">
        <is>
          <t>MMR005</t>
        </is>
      </c>
      <c r="F20" t="inlineStr">
        <is>
          <t>Myanmar</t>
        </is>
      </c>
      <c r="G20" t="inlineStr">
        <is>
          <t>MMR</t>
        </is>
      </c>
    </row>
    <row r="21">
      <c r="A21" t="inlineStr">
        <is>
          <t>Mawlaik</t>
        </is>
      </c>
      <c r="B21" t="inlineStr">
        <is>
          <t xml:space="preserve"> </t>
        </is>
      </c>
      <c r="C21" t="inlineStr">
        <is>
          <t>MMR005D007</t>
        </is>
      </c>
      <c r="D21" t="inlineStr">
        <is>
          <t>Sagaing</t>
        </is>
      </c>
      <c r="E21" t="inlineStr">
        <is>
          <t>MMR005</t>
        </is>
      </c>
      <c r="F21" t="inlineStr">
        <is>
          <t>Myanmar</t>
        </is>
      </c>
      <c r="G21" t="inlineStr">
        <is>
          <t>MMR</t>
        </is>
      </c>
    </row>
    <row r="22">
      <c r="A22" t="inlineStr">
        <is>
          <t>Kawlin</t>
        </is>
      </c>
      <c r="B22" t="inlineStr">
        <is>
          <t xml:space="preserve"> </t>
        </is>
      </c>
      <c r="C22" t="inlineStr">
        <is>
          <t>MMR005D011</t>
        </is>
      </c>
      <c r="D22" t="inlineStr">
        <is>
          <t>Sagaing</t>
        </is>
      </c>
      <c r="E22" t="inlineStr">
        <is>
          <t>MMR005</t>
        </is>
      </c>
      <c r="F22" t="inlineStr">
        <is>
          <t>Myanmar</t>
        </is>
      </c>
      <c r="G22" t="inlineStr">
        <is>
          <t>MMR</t>
        </is>
      </c>
    </row>
    <row r="23">
      <c r="A23" t="inlineStr">
        <is>
          <t>Katha</t>
        </is>
      </c>
      <c r="B23" t="inlineStr">
        <is>
          <t xml:space="preserve"> </t>
        </is>
      </c>
      <c r="C23" t="inlineStr">
        <is>
          <t>MMR005D004</t>
        </is>
      </c>
      <c r="D23" t="inlineStr">
        <is>
          <t>Sagaing</t>
        </is>
      </c>
      <c r="E23" t="inlineStr">
        <is>
          <t>MMR005</t>
        </is>
      </c>
      <c r="F23" t="inlineStr">
        <is>
          <t>Myanmar</t>
        </is>
      </c>
      <c r="G23" t="inlineStr">
        <is>
          <t>MMR</t>
        </is>
      </c>
    </row>
    <row r="24">
      <c r="A24" t="inlineStr">
        <is>
          <t>Kanbalu</t>
        </is>
      </c>
      <c r="B24" t="inlineStr">
        <is>
          <t xml:space="preserve"> </t>
        </is>
      </c>
      <c r="C24" t="inlineStr">
        <is>
          <t>MMR005D010</t>
        </is>
      </c>
      <c r="D24" t="inlineStr">
        <is>
          <t>Sagaing</t>
        </is>
      </c>
      <c r="E24" t="inlineStr">
        <is>
          <t>MMR005</t>
        </is>
      </c>
      <c r="F24" t="inlineStr">
        <is>
          <t>Myanmar</t>
        </is>
      </c>
      <c r="G24" t="inlineStr">
        <is>
          <t>MMR</t>
        </is>
      </c>
    </row>
    <row r="25">
      <c r="A25" t="inlineStr">
        <is>
          <t>Kale</t>
        </is>
      </c>
      <c r="B25" t="inlineStr">
        <is>
          <t xml:space="preserve"> </t>
        </is>
      </c>
      <c r="C25" t="inlineStr">
        <is>
          <t>MMR005D005</t>
        </is>
      </c>
      <c r="D25" t="inlineStr">
        <is>
          <t>Sagaing</t>
        </is>
      </c>
      <c r="E25" t="inlineStr">
        <is>
          <t>MMR005</t>
        </is>
      </c>
      <c r="F25" t="inlineStr">
        <is>
          <t>Myanmar</t>
        </is>
      </c>
      <c r="G25" t="inlineStr">
        <is>
          <t>MMR</t>
        </is>
      </c>
    </row>
    <row r="26">
      <c r="A26" t="inlineStr">
        <is>
          <t>Hkamti</t>
        </is>
      </c>
      <c r="B26" t="inlineStr">
        <is>
          <t xml:space="preserve"> </t>
        </is>
      </c>
      <c r="C26" t="inlineStr">
        <is>
          <t>MMR005D008</t>
        </is>
      </c>
      <c r="D26" t="inlineStr">
        <is>
          <t>Sagaing</t>
        </is>
      </c>
      <c r="E26" t="inlineStr">
        <is>
          <t>MMR005</t>
        </is>
      </c>
      <c r="F26" t="inlineStr">
        <is>
          <t>Myanmar</t>
        </is>
      </c>
      <c r="G26" t="inlineStr">
        <is>
          <t>MMR</t>
        </is>
      </c>
    </row>
    <row r="27">
      <c r="A27" t="inlineStr">
        <is>
          <t>Thandwe</t>
        </is>
      </c>
      <c r="B27" t="inlineStr">
        <is>
          <t xml:space="preserve"> </t>
        </is>
      </c>
      <c r="C27" t="inlineStr">
        <is>
          <t>MMR012D004</t>
        </is>
      </c>
      <c r="D27" t="inlineStr">
        <is>
          <t>Rakhine</t>
        </is>
      </c>
      <c r="E27" t="inlineStr">
        <is>
          <t>MMR012</t>
        </is>
      </c>
      <c r="F27" t="inlineStr">
        <is>
          <t>Myanmar</t>
        </is>
      </c>
      <c r="G27" t="inlineStr">
        <is>
          <t>MMR</t>
        </is>
      </c>
    </row>
    <row r="28">
      <c r="A28" t="inlineStr">
        <is>
          <t>Sittwe</t>
        </is>
      </c>
      <c r="B28" t="inlineStr">
        <is>
          <t xml:space="preserve"> </t>
        </is>
      </c>
      <c r="C28" t="inlineStr">
        <is>
          <t>MMR012D001</t>
        </is>
      </c>
      <c r="D28" t="inlineStr">
        <is>
          <t>Rakhine</t>
        </is>
      </c>
      <c r="E28" t="inlineStr">
        <is>
          <t>MMR012</t>
        </is>
      </c>
      <c r="F28" t="inlineStr">
        <is>
          <t>Myanmar</t>
        </is>
      </c>
      <c r="G28" t="inlineStr">
        <is>
          <t>MMR</t>
        </is>
      </c>
    </row>
    <row r="29">
      <c r="A29" t="inlineStr">
        <is>
          <t>Mrauk-U</t>
        </is>
      </c>
      <c r="B29" t="inlineStr">
        <is>
          <t xml:space="preserve"> </t>
        </is>
      </c>
      <c r="C29" t="inlineStr">
        <is>
          <t>MMR012D005</t>
        </is>
      </c>
      <c r="D29" t="inlineStr">
        <is>
          <t>Rakhine</t>
        </is>
      </c>
      <c r="E29" t="inlineStr">
        <is>
          <t>MMR012</t>
        </is>
      </c>
      <c r="F29" t="inlineStr">
        <is>
          <t>Myanmar</t>
        </is>
      </c>
      <c r="G29" t="inlineStr">
        <is>
          <t>MMR</t>
        </is>
      </c>
    </row>
    <row r="30">
      <c r="A30" t="inlineStr">
        <is>
          <t>Maungdaw</t>
        </is>
      </c>
      <c r="B30" t="inlineStr">
        <is>
          <t xml:space="preserve"> </t>
        </is>
      </c>
      <c r="C30" t="inlineStr">
        <is>
          <t>MMR012D002</t>
        </is>
      </c>
      <c r="D30" t="inlineStr">
        <is>
          <t>Rakhine</t>
        </is>
      </c>
      <c r="E30" t="inlineStr">
        <is>
          <t>MMR012</t>
        </is>
      </c>
      <c r="F30" t="inlineStr">
        <is>
          <t>Myanmar</t>
        </is>
      </c>
      <c r="G30" t="inlineStr">
        <is>
          <t>MMR</t>
        </is>
      </c>
    </row>
    <row r="31">
      <c r="A31" t="inlineStr">
        <is>
          <t>Kyaukpyu</t>
        </is>
      </c>
      <c r="B31" t="inlineStr">
        <is>
          <t xml:space="preserve"> </t>
        </is>
      </c>
      <c r="C31" t="inlineStr">
        <is>
          <t>MMR012D003</t>
        </is>
      </c>
      <c r="D31" t="inlineStr">
        <is>
          <t>Rakhine</t>
        </is>
      </c>
      <c r="E31" t="inlineStr">
        <is>
          <t>MMR012</t>
        </is>
      </c>
      <c r="F31" t="inlineStr">
        <is>
          <t>Myanmar</t>
        </is>
      </c>
      <c r="G31" t="inlineStr">
        <is>
          <t>MMR</t>
        </is>
      </c>
    </row>
    <row r="32">
      <c r="A32" t="inlineStr">
        <is>
          <t>Oke Ta Ra</t>
        </is>
      </c>
      <c r="B32" t="inlineStr">
        <is>
          <t xml:space="preserve"> </t>
        </is>
      </c>
      <c r="C32" t="inlineStr">
        <is>
          <t>MMR018D001</t>
        </is>
      </c>
      <c r="D32" t="inlineStr">
        <is>
          <t>Nay Pyi Taw</t>
        </is>
      </c>
      <c r="E32" t="inlineStr">
        <is>
          <t>MMR018</t>
        </is>
      </c>
      <c r="F32" t="inlineStr">
        <is>
          <t>Myanmar</t>
        </is>
      </c>
      <c r="G32" t="inlineStr">
        <is>
          <t>MMR</t>
        </is>
      </c>
    </row>
    <row r="33">
      <c r="A33" t="inlineStr">
        <is>
          <t>Det Khi Na</t>
        </is>
      </c>
      <c r="B33" t="inlineStr">
        <is>
          <t xml:space="preserve"> </t>
        </is>
      </c>
      <c r="C33" t="inlineStr">
        <is>
          <t>MMR018D002</t>
        </is>
      </c>
      <c r="D33" t="inlineStr">
        <is>
          <t>Nay Pyi Taw</t>
        </is>
      </c>
      <c r="E33" t="inlineStr">
        <is>
          <t>MMR018</t>
        </is>
      </c>
      <c r="F33" t="inlineStr">
        <is>
          <t>Myanmar</t>
        </is>
      </c>
      <c r="G33" t="inlineStr">
        <is>
          <t>MMR</t>
        </is>
      </c>
    </row>
    <row r="34">
      <c r="A34" t="inlineStr">
        <is>
          <t>Thaton</t>
        </is>
      </c>
      <c r="B34" t="inlineStr">
        <is>
          <t xml:space="preserve"> </t>
        </is>
      </c>
      <c r="C34" t="inlineStr">
        <is>
          <t>MMR011D002</t>
        </is>
      </c>
      <c r="D34" t="inlineStr">
        <is>
          <t>Mon</t>
        </is>
      </c>
      <c r="E34" t="inlineStr">
        <is>
          <t>MMR011</t>
        </is>
      </c>
      <c r="F34" t="inlineStr">
        <is>
          <t>Myanmar</t>
        </is>
      </c>
      <c r="G34" t="inlineStr">
        <is>
          <t>MMR</t>
        </is>
      </c>
    </row>
    <row r="35">
      <c r="A35" t="inlineStr">
        <is>
          <t>Mawlamyine</t>
        </is>
      </c>
      <c r="B35" t="inlineStr">
        <is>
          <t xml:space="preserve"> </t>
        </is>
      </c>
      <c r="C35" t="inlineStr">
        <is>
          <t>MMR011D001</t>
        </is>
      </c>
      <c r="D35" t="inlineStr">
        <is>
          <t>Mon</t>
        </is>
      </c>
      <c r="E35" t="inlineStr">
        <is>
          <t>MMR011</t>
        </is>
      </c>
      <c r="F35" t="inlineStr">
        <is>
          <t>Myanmar</t>
        </is>
      </c>
      <c r="G35" t="inlineStr">
        <is>
          <t>MMR</t>
        </is>
      </c>
    </row>
    <row r="36">
      <c r="A36" t="inlineStr">
        <is>
          <t>Yamethin</t>
        </is>
      </c>
      <c r="B36" t="inlineStr">
        <is>
          <t xml:space="preserve"> </t>
        </is>
      </c>
      <c r="C36" t="inlineStr">
        <is>
          <t>MMR010D006</t>
        </is>
      </c>
      <c r="D36" t="inlineStr">
        <is>
          <t>Mandalay</t>
        </is>
      </c>
      <c r="E36" t="inlineStr">
        <is>
          <t>MMR010</t>
        </is>
      </c>
      <c r="F36" t="inlineStr">
        <is>
          <t>Myanmar</t>
        </is>
      </c>
      <c r="G36" t="inlineStr">
        <is>
          <t>MMR</t>
        </is>
      </c>
    </row>
    <row r="37">
      <c r="A37" t="inlineStr">
        <is>
          <t>Pyinoolwin</t>
        </is>
      </c>
      <c r="B37" t="inlineStr">
        <is>
          <t xml:space="preserve"> </t>
        </is>
      </c>
      <c r="C37" t="inlineStr">
        <is>
          <t>MMR010D002</t>
        </is>
      </c>
      <c r="D37" t="inlineStr">
        <is>
          <t>Mandalay</t>
        </is>
      </c>
      <c r="E37" t="inlineStr">
        <is>
          <t>MMR010</t>
        </is>
      </c>
      <c r="F37" t="inlineStr">
        <is>
          <t>Myanmar</t>
        </is>
      </c>
      <c r="G37" t="inlineStr">
        <is>
          <t>MMR</t>
        </is>
      </c>
    </row>
    <row r="38">
      <c r="A38" t="inlineStr">
        <is>
          <t>Nyaung-U</t>
        </is>
      </c>
      <c r="B38" t="inlineStr">
        <is>
          <t xml:space="preserve"> </t>
        </is>
      </c>
      <c r="C38" t="inlineStr">
        <is>
          <t>MMR010D005</t>
        </is>
      </c>
      <c r="D38" t="inlineStr">
        <is>
          <t>Mandalay</t>
        </is>
      </c>
      <c r="E38" t="inlineStr">
        <is>
          <t>MMR010</t>
        </is>
      </c>
      <c r="F38" t="inlineStr">
        <is>
          <t>Myanmar</t>
        </is>
      </c>
      <c r="G38" t="inlineStr">
        <is>
          <t>MMR</t>
        </is>
      </c>
    </row>
    <row r="39">
      <c r="A39" t="inlineStr">
        <is>
          <t>Myingyan</t>
        </is>
      </c>
      <c r="B39" t="inlineStr">
        <is>
          <t xml:space="preserve"> </t>
        </is>
      </c>
      <c r="C39" t="inlineStr">
        <is>
          <t>MMR010D004</t>
        </is>
      </c>
      <c r="D39" t="inlineStr">
        <is>
          <t>Mandalay</t>
        </is>
      </c>
      <c r="E39" t="inlineStr">
        <is>
          <t>MMR010</t>
        </is>
      </c>
      <c r="F39" t="inlineStr">
        <is>
          <t>Myanmar</t>
        </is>
      </c>
      <c r="G39" t="inlineStr">
        <is>
          <t>MMR</t>
        </is>
      </c>
    </row>
    <row r="40">
      <c r="A40" t="inlineStr">
        <is>
          <t>Meiktila</t>
        </is>
      </c>
      <c r="B40" t="inlineStr">
        <is>
          <t xml:space="preserve"> </t>
        </is>
      </c>
      <c r="C40" t="inlineStr">
        <is>
          <t>MMR010D007</t>
        </is>
      </c>
      <c r="D40" t="inlineStr">
        <is>
          <t>Mandalay</t>
        </is>
      </c>
      <c r="E40" t="inlineStr">
        <is>
          <t>MMR010</t>
        </is>
      </c>
      <c r="F40" t="inlineStr">
        <is>
          <t>Myanmar</t>
        </is>
      </c>
      <c r="G40" t="inlineStr">
        <is>
          <t>MMR</t>
        </is>
      </c>
    </row>
    <row r="41">
      <c r="A41" t="inlineStr">
        <is>
          <t>Mandalay</t>
        </is>
      </c>
      <c r="B41" t="inlineStr">
        <is>
          <t xml:space="preserve"> </t>
        </is>
      </c>
      <c r="C41" t="inlineStr">
        <is>
          <t>MMR010D001</t>
        </is>
      </c>
      <c r="D41" t="inlineStr">
        <is>
          <t>Mandalay</t>
        </is>
      </c>
      <c r="E41" t="inlineStr">
        <is>
          <t>MMR010</t>
        </is>
      </c>
      <c r="F41" t="inlineStr">
        <is>
          <t>Myanmar</t>
        </is>
      </c>
      <c r="G41" t="inlineStr">
        <is>
          <t>MMR</t>
        </is>
      </c>
    </row>
    <row r="42">
      <c r="A42" t="inlineStr">
        <is>
          <t>Yangon (West)</t>
        </is>
      </c>
      <c r="B42" t="inlineStr">
        <is>
          <t xml:space="preserve"> </t>
        </is>
      </c>
      <c r="C42" t="inlineStr">
        <is>
          <t>MMR013D004</t>
        </is>
      </c>
      <c r="D42" t="inlineStr">
        <is>
          <t>Yangon</t>
        </is>
      </c>
      <c r="E42" t="inlineStr">
        <is>
          <t>MMR013</t>
        </is>
      </c>
      <c r="F42" t="inlineStr">
        <is>
          <t>Myanmar</t>
        </is>
      </c>
      <c r="G42" t="inlineStr">
        <is>
          <t>MMR</t>
        </is>
      </c>
    </row>
    <row r="43">
      <c r="A43" t="inlineStr">
        <is>
          <t>Yangon (South)</t>
        </is>
      </c>
      <c r="B43" t="inlineStr">
        <is>
          <t xml:space="preserve"> </t>
        </is>
      </c>
      <c r="C43" t="inlineStr">
        <is>
          <t>MMR013D003</t>
        </is>
      </c>
      <c r="D43" t="inlineStr">
        <is>
          <t>Yangon</t>
        </is>
      </c>
      <c r="E43" t="inlineStr">
        <is>
          <t>MMR013</t>
        </is>
      </c>
      <c r="F43" t="inlineStr">
        <is>
          <t>Myanmar</t>
        </is>
      </c>
      <c r="G43" t="inlineStr">
        <is>
          <t>MMR</t>
        </is>
      </c>
    </row>
    <row r="44">
      <c r="A44" t="inlineStr">
        <is>
          <t>Yangon (North)</t>
        </is>
      </c>
      <c r="B44" t="inlineStr">
        <is>
          <t xml:space="preserve"> </t>
        </is>
      </c>
      <c r="C44" t="inlineStr">
        <is>
          <t>MMR013D001</t>
        </is>
      </c>
      <c r="D44" t="inlineStr">
        <is>
          <t>Yangon</t>
        </is>
      </c>
      <c r="E44" t="inlineStr">
        <is>
          <t>MMR013</t>
        </is>
      </c>
      <c r="F44" t="inlineStr">
        <is>
          <t>Myanmar</t>
        </is>
      </c>
      <c r="G44" t="inlineStr">
        <is>
          <t>MMR</t>
        </is>
      </c>
    </row>
    <row r="45">
      <c r="A45" t="inlineStr">
        <is>
          <t>Yangon (East)</t>
        </is>
      </c>
      <c r="B45" t="inlineStr">
        <is>
          <t xml:space="preserve"> </t>
        </is>
      </c>
      <c r="C45" t="inlineStr">
        <is>
          <t>MMR013D002</t>
        </is>
      </c>
      <c r="D45" t="inlineStr">
        <is>
          <t>Yangon</t>
        </is>
      </c>
      <c r="E45" t="inlineStr">
        <is>
          <t>MMR013</t>
        </is>
      </c>
      <c r="F45" t="inlineStr">
        <is>
          <t>Myanmar</t>
        </is>
      </c>
      <c r="G45" t="inlineStr">
        <is>
          <t>MMR</t>
        </is>
      </c>
    </row>
    <row r="46">
      <c r="A46" t="inlineStr">
        <is>
          <t>Myeik</t>
        </is>
      </c>
      <c r="B46" t="inlineStr">
        <is>
          <t xml:space="preserve"> </t>
        </is>
      </c>
      <c r="C46" t="inlineStr">
        <is>
          <t>MMR006D002</t>
        </is>
      </c>
      <c r="D46" t="inlineStr">
        <is>
          <t>Tanintharyi</t>
        </is>
      </c>
      <c r="E46" t="inlineStr">
        <is>
          <t>MMR006</t>
        </is>
      </c>
      <c r="F46" t="inlineStr">
        <is>
          <t>Myanmar</t>
        </is>
      </c>
      <c r="G46" t="inlineStr">
        <is>
          <t>MMR</t>
        </is>
      </c>
    </row>
    <row r="47">
      <c r="A47" t="inlineStr">
        <is>
          <t>Kawthoung</t>
        </is>
      </c>
      <c r="B47" t="inlineStr">
        <is>
          <t xml:space="preserve"> </t>
        </is>
      </c>
      <c r="C47" t="inlineStr">
        <is>
          <t>MMR006D003</t>
        </is>
      </c>
      <c r="D47" t="inlineStr">
        <is>
          <t>Tanintharyi</t>
        </is>
      </c>
      <c r="E47" t="inlineStr">
        <is>
          <t>MMR006</t>
        </is>
      </c>
      <c r="F47" t="inlineStr">
        <is>
          <t>Myanmar</t>
        </is>
      </c>
      <c r="G47" t="inlineStr">
        <is>
          <t>MMR</t>
        </is>
      </c>
    </row>
    <row r="48">
      <c r="A48" t="inlineStr">
        <is>
          <t>Dawei</t>
        </is>
      </c>
      <c r="B48" t="inlineStr">
        <is>
          <t xml:space="preserve"> </t>
        </is>
      </c>
      <c r="C48" t="inlineStr">
        <is>
          <t>MMR006D001</t>
        </is>
      </c>
      <c r="D48" t="inlineStr">
        <is>
          <t>Tanintharyi</t>
        </is>
      </c>
      <c r="E48" t="inlineStr">
        <is>
          <t>MMR006</t>
        </is>
      </c>
      <c r="F48" t="inlineStr">
        <is>
          <t>Myanmar</t>
        </is>
      </c>
      <c r="G48" t="inlineStr">
        <is>
          <t>MMR</t>
        </is>
      </c>
    </row>
    <row r="49">
      <c r="A49" t="inlineStr">
        <is>
          <t>Taunggyi</t>
        </is>
      </c>
      <c r="B49" t="inlineStr">
        <is>
          <t xml:space="preserve"> </t>
        </is>
      </c>
      <c r="C49" t="inlineStr">
        <is>
          <t>MMR014D001</t>
        </is>
      </c>
      <c r="D49" t="inlineStr">
        <is>
          <t>Shan</t>
        </is>
      </c>
      <c r="E49" t="inlineStr">
        <is>
          <t>MMR222</t>
        </is>
      </c>
      <c r="F49" t="inlineStr">
        <is>
          <t>Myanmar</t>
        </is>
      </c>
      <c r="G49" t="inlineStr">
        <is>
          <t>MMR</t>
        </is>
      </c>
    </row>
    <row r="50">
      <c r="A50" t="inlineStr">
        <is>
          <t>Shwebo</t>
        </is>
      </c>
      <c r="B50" t="inlineStr">
        <is>
          <t xml:space="preserve"> </t>
        </is>
      </c>
      <c r="C50" t="inlineStr">
        <is>
          <t>MMR005D002</t>
        </is>
      </c>
      <c r="D50" t="inlineStr">
        <is>
          <t>Sagaing</t>
        </is>
      </c>
      <c r="E50" t="inlineStr">
        <is>
          <t>MMR005</t>
        </is>
      </c>
      <c r="F50" t="inlineStr">
        <is>
          <t>Myanmar</t>
        </is>
      </c>
      <c r="G50" t="inlineStr">
        <is>
          <t>MMR</t>
        </is>
      </c>
    </row>
    <row r="51">
      <c r="A51" t="inlineStr">
        <is>
          <t>Sagaing</t>
        </is>
      </c>
      <c r="B51" t="inlineStr">
        <is>
          <t xml:space="preserve"> </t>
        </is>
      </c>
      <c r="C51" t="inlineStr">
        <is>
          <t>MMR005D001</t>
        </is>
      </c>
      <c r="D51" t="inlineStr">
        <is>
          <t>Sagaing</t>
        </is>
      </c>
      <c r="E51" t="inlineStr">
        <is>
          <t>MMR005</t>
        </is>
      </c>
      <c r="F51" t="inlineStr">
        <is>
          <t>Myanmar</t>
        </is>
      </c>
      <c r="G51" t="inlineStr">
        <is>
          <t>MMR</t>
        </is>
      </c>
    </row>
    <row r="52">
      <c r="A52" t="inlineStr">
        <is>
          <t>Kyaukse</t>
        </is>
      </c>
      <c r="B52" t="inlineStr">
        <is>
          <t xml:space="preserve"> </t>
        </is>
      </c>
      <c r="C52" t="inlineStr">
        <is>
          <t>MMR010D003</t>
        </is>
      </c>
      <c r="D52" t="inlineStr">
        <is>
          <t>Mandalay</t>
        </is>
      </c>
      <c r="E52" t="inlineStr">
        <is>
          <t>MMR010</t>
        </is>
      </c>
      <c r="F52" t="inlineStr">
        <is>
          <t>Myanmar</t>
        </is>
      </c>
      <c r="G52" t="inlineStr">
        <is>
          <t>MMR</t>
        </is>
      </c>
    </row>
    <row r="53">
      <c r="A53" t="inlineStr">
        <is>
          <t>Thayet</t>
        </is>
      </c>
      <c r="B53" t="inlineStr">
        <is>
          <t xml:space="preserve"> </t>
        </is>
      </c>
      <c r="C53" t="inlineStr">
        <is>
          <t>MMR009D003</t>
        </is>
      </c>
      <c r="D53" t="inlineStr">
        <is>
          <t>Magway</t>
        </is>
      </c>
      <c r="E53" t="inlineStr">
        <is>
          <t>MMR009</t>
        </is>
      </c>
      <c r="F53" t="inlineStr">
        <is>
          <t>Myanmar</t>
        </is>
      </c>
      <c r="G53" t="inlineStr">
        <is>
          <t>MMR</t>
        </is>
      </c>
    </row>
    <row r="54">
      <c r="A54" t="inlineStr">
        <is>
          <t>Pakokku</t>
        </is>
      </c>
      <c r="B54" t="inlineStr">
        <is>
          <t xml:space="preserve"> </t>
        </is>
      </c>
      <c r="C54" t="inlineStr">
        <is>
          <t>MMR009D004</t>
        </is>
      </c>
      <c r="D54" t="inlineStr">
        <is>
          <t>Magway</t>
        </is>
      </c>
      <c r="E54" t="inlineStr">
        <is>
          <t>MMR009</t>
        </is>
      </c>
      <c r="F54" t="inlineStr">
        <is>
          <t>Myanmar</t>
        </is>
      </c>
      <c r="G54" t="inlineStr">
        <is>
          <t>MMR</t>
        </is>
      </c>
    </row>
    <row r="55">
      <c r="A55" t="inlineStr">
        <is>
          <t>Minbu</t>
        </is>
      </c>
      <c r="B55" t="inlineStr">
        <is>
          <t xml:space="preserve"> </t>
        </is>
      </c>
      <c r="C55" t="inlineStr">
        <is>
          <t>MMR009D002</t>
        </is>
      </c>
      <c r="D55" t="inlineStr">
        <is>
          <t>Magway</t>
        </is>
      </c>
      <c r="E55" t="inlineStr">
        <is>
          <t>MMR009</t>
        </is>
      </c>
      <c r="F55" t="inlineStr">
        <is>
          <t>Myanmar</t>
        </is>
      </c>
      <c r="G55" t="inlineStr">
        <is>
          <t>MMR</t>
        </is>
      </c>
    </row>
    <row r="56">
      <c r="A56" t="inlineStr">
        <is>
          <t>Magway</t>
        </is>
      </c>
      <c r="B56" t="inlineStr">
        <is>
          <t xml:space="preserve"> </t>
        </is>
      </c>
      <c r="C56" t="inlineStr">
        <is>
          <t>MMR009D001</t>
        </is>
      </c>
      <c r="D56" t="inlineStr">
        <is>
          <t>Magway</t>
        </is>
      </c>
      <c r="E56" t="inlineStr">
        <is>
          <t>MMR009</t>
        </is>
      </c>
      <c r="F56" t="inlineStr">
        <is>
          <t>Myanmar</t>
        </is>
      </c>
      <c r="G56" t="inlineStr">
        <is>
          <t>MMR</t>
        </is>
      </c>
    </row>
    <row r="57">
      <c r="A57" t="inlineStr">
        <is>
          <t>Gangaw</t>
        </is>
      </c>
      <c r="B57" t="inlineStr">
        <is>
          <t xml:space="preserve"> </t>
        </is>
      </c>
      <c r="C57" t="inlineStr">
        <is>
          <t>MMR009D005</t>
        </is>
      </c>
      <c r="D57" t="inlineStr">
        <is>
          <t>Magway</t>
        </is>
      </c>
      <c r="E57" t="inlineStr">
        <is>
          <t>MMR009</t>
        </is>
      </c>
      <c r="F57" t="inlineStr">
        <is>
          <t>Myanmar</t>
        </is>
      </c>
      <c r="G57" t="inlineStr">
        <is>
          <t>MMR</t>
        </is>
      </c>
    </row>
    <row r="58">
      <c r="A58" t="inlineStr">
        <is>
          <t>Myawaddy</t>
        </is>
      </c>
      <c r="B58" t="inlineStr">
        <is>
          <t xml:space="preserve"> </t>
        </is>
      </c>
      <c r="C58" t="inlineStr">
        <is>
          <t>MMR003D002</t>
        </is>
      </c>
      <c r="D58" t="inlineStr">
        <is>
          <t>Kayin</t>
        </is>
      </c>
      <c r="E58" t="inlineStr">
        <is>
          <t>MMR003</t>
        </is>
      </c>
      <c r="F58" t="inlineStr">
        <is>
          <t>Myanmar</t>
        </is>
      </c>
      <c r="G58" t="inlineStr">
        <is>
          <t>MMR</t>
        </is>
      </c>
    </row>
    <row r="59">
      <c r="A59" t="inlineStr">
        <is>
          <t>Kawkareik</t>
        </is>
      </c>
      <c r="B59" t="inlineStr">
        <is>
          <t xml:space="preserve"> </t>
        </is>
      </c>
      <c r="C59" t="inlineStr">
        <is>
          <t>MMR003D003</t>
        </is>
      </c>
      <c r="D59" t="inlineStr">
        <is>
          <t>Kayin</t>
        </is>
      </c>
      <c r="E59" t="inlineStr">
        <is>
          <t>MMR003</t>
        </is>
      </c>
      <c r="F59" t="inlineStr">
        <is>
          <t>Myanmar</t>
        </is>
      </c>
      <c r="G59" t="inlineStr">
        <is>
          <t>MMR</t>
        </is>
      </c>
    </row>
    <row r="60">
      <c r="A60" t="inlineStr">
        <is>
          <t>Hpapun</t>
        </is>
      </c>
      <c r="B60" t="inlineStr">
        <is>
          <t xml:space="preserve"> </t>
        </is>
      </c>
      <c r="C60" t="inlineStr">
        <is>
          <t>MMR003D004</t>
        </is>
      </c>
      <c r="D60" t="inlineStr">
        <is>
          <t>Kayin</t>
        </is>
      </c>
      <c r="E60" t="inlineStr">
        <is>
          <t>MMR003</t>
        </is>
      </c>
      <c r="F60" t="inlineStr">
        <is>
          <t>Myanmar</t>
        </is>
      </c>
      <c r="G60" t="inlineStr">
        <is>
          <t>MMR</t>
        </is>
      </c>
    </row>
    <row r="61">
      <c r="A61" t="inlineStr">
        <is>
          <t>Hpa-An</t>
        </is>
      </c>
      <c r="B61" t="inlineStr">
        <is>
          <t xml:space="preserve"> </t>
        </is>
      </c>
      <c r="C61" t="inlineStr">
        <is>
          <t>MMR003D001</t>
        </is>
      </c>
      <c r="D61" t="inlineStr">
        <is>
          <t>Kayin</t>
        </is>
      </c>
      <c r="E61" t="inlineStr">
        <is>
          <t>MMR003</t>
        </is>
      </c>
      <c r="F61" t="inlineStr">
        <is>
          <t>Myanmar</t>
        </is>
      </c>
      <c r="G61" t="inlineStr">
        <is>
          <t>MMR</t>
        </is>
      </c>
    </row>
    <row r="62">
      <c r="A62" t="inlineStr">
        <is>
          <t>Loikaw</t>
        </is>
      </c>
      <c r="B62" t="inlineStr">
        <is>
          <t xml:space="preserve"> </t>
        </is>
      </c>
      <c r="C62" t="inlineStr">
        <is>
          <t>MMR002D001</t>
        </is>
      </c>
      <c r="D62" t="inlineStr">
        <is>
          <t>Kayah</t>
        </is>
      </c>
      <c r="E62" t="inlineStr">
        <is>
          <t>MMR002</t>
        </is>
      </c>
      <c r="F62" t="inlineStr">
        <is>
          <t>Myanmar</t>
        </is>
      </c>
      <c r="G62" t="inlineStr">
        <is>
          <t>MMR</t>
        </is>
      </c>
    </row>
    <row r="63">
      <c r="A63" t="inlineStr">
        <is>
          <t>Bawlake</t>
        </is>
      </c>
      <c r="B63" t="inlineStr">
        <is>
          <t xml:space="preserve"> </t>
        </is>
      </c>
      <c r="C63" t="inlineStr">
        <is>
          <t>MMR002D002</t>
        </is>
      </c>
      <c r="D63" t="inlineStr">
        <is>
          <t>Kayah</t>
        </is>
      </c>
      <c r="E63" t="inlineStr">
        <is>
          <t>MMR002</t>
        </is>
      </c>
      <c r="F63" t="inlineStr">
        <is>
          <t>Myanmar</t>
        </is>
      </c>
      <c r="G63" t="inlineStr">
        <is>
          <t>MMR</t>
        </is>
      </c>
    </row>
    <row r="64">
      <c r="A64" t="inlineStr">
        <is>
          <t>Puta-O</t>
        </is>
      </c>
      <c r="B64" t="inlineStr">
        <is>
          <t xml:space="preserve"> </t>
        </is>
      </c>
      <c r="C64" t="inlineStr">
        <is>
          <t>MMR001D004</t>
        </is>
      </c>
      <c r="D64" t="inlineStr">
        <is>
          <t>Kachin</t>
        </is>
      </c>
      <c r="E64" t="inlineStr">
        <is>
          <t>MMR001</t>
        </is>
      </c>
      <c r="F64" t="inlineStr">
        <is>
          <t>Myanmar</t>
        </is>
      </c>
      <c r="G64" t="inlineStr">
        <is>
          <t>MMR</t>
        </is>
      </c>
    </row>
    <row r="65">
      <c r="A65" t="inlineStr">
        <is>
          <t>Myitkyina</t>
        </is>
      </c>
      <c r="B65" t="inlineStr">
        <is>
          <t xml:space="preserve"> </t>
        </is>
      </c>
      <c r="C65" t="inlineStr">
        <is>
          <t>MMR001D001</t>
        </is>
      </c>
      <c r="D65" t="inlineStr">
        <is>
          <t>Kachin</t>
        </is>
      </c>
      <c r="E65" t="inlineStr">
        <is>
          <t>MMR001</t>
        </is>
      </c>
      <c r="F65" t="inlineStr">
        <is>
          <t>Myanmar</t>
        </is>
      </c>
      <c r="G65" t="inlineStr">
        <is>
          <t>MMR</t>
        </is>
      </c>
    </row>
    <row r="66">
      <c r="A66" t="inlineStr">
        <is>
          <t>Mohnyin</t>
        </is>
      </c>
      <c r="B66" t="inlineStr">
        <is>
          <t xml:space="preserve"> </t>
        </is>
      </c>
      <c r="C66" t="inlineStr">
        <is>
          <t>MMR001D002</t>
        </is>
      </c>
      <c r="D66" t="inlineStr">
        <is>
          <t>Kachin</t>
        </is>
      </c>
      <c r="E66" t="inlineStr">
        <is>
          <t>MMR001</t>
        </is>
      </c>
      <c r="F66" t="inlineStr">
        <is>
          <t>Myanmar</t>
        </is>
      </c>
      <c r="G66" t="inlineStr">
        <is>
          <t>MMR</t>
        </is>
      </c>
    </row>
    <row r="67">
      <c r="A67" t="inlineStr">
        <is>
          <t>Bhamo</t>
        </is>
      </c>
      <c r="B67" t="inlineStr">
        <is>
          <t xml:space="preserve"> </t>
        </is>
      </c>
      <c r="C67" t="inlineStr">
        <is>
          <t>MMR001D003</t>
        </is>
      </c>
      <c r="D67" t="inlineStr">
        <is>
          <t>Kachin</t>
        </is>
      </c>
      <c r="E67" t="inlineStr">
        <is>
          <t>MMR001</t>
        </is>
      </c>
      <c r="F67" t="inlineStr">
        <is>
          <t>Myanmar</t>
        </is>
      </c>
      <c r="G67" t="inlineStr">
        <is>
          <t>MMR</t>
        </is>
      </c>
    </row>
    <row r="68">
      <c r="A68" t="inlineStr">
        <is>
          <t>Mindat</t>
        </is>
      </c>
      <c r="B68" t="inlineStr">
        <is>
          <t xml:space="preserve"> </t>
        </is>
      </c>
      <c r="C68" t="inlineStr">
        <is>
          <t>MMR004D002</t>
        </is>
      </c>
      <c r="D68" t="inlineStr">
        <is>
          <t>Chin</t>
        </is>
      </c>
      <c r="E68" t="inlineStr">
        <is>
          <t>MMR004</t>
        </is>
      </c>
      <c r="F68" t="inlineStr">
        <is>
          <t>Myanmar</t>
        </is>
      </c>
      <c r="G68" t="inlineStr">
        <is>
          <t>MMR</t>
        </is>
      </c>
    </row>
    <row r="69">
      <c r="A69" t="inlineStr">
        <is>
          <t>Matupi</t>
        </is>
      </c>
      <c r="B69" t="inlineStr">
        <is>
          <t xml:space="preserve"> </t>
        </is>
      </c>
      <c r="C69" t="inlineStr">
        <is>
          <t>MMR004D004</t>
        </is>
      </c>
      <c r="D69" t="inlineStr">
        <is>
          <t>Chin</t>
        </is>
      </c>
      <c r="E69" t="inlineStr">
        <is>
          <t>MMR004</t>
        </is>
      </c>
      <c r="F69" t="inlineStr">
        <is>
          <t>Myanmar</t>
        </is>
      </c>
      <c r="G69" t="inlineStr">
        <is>
          <t>MMR</t>
        </is>
      </c>
    </row>
    <row r="70">
      <c r="A70" t="inlineStr">
        <is>
          <t>Hakha</t>
        </is>
      </c>
      <c r="B70" t="inlineStr">
        <is>
          <t xml:space="preserve"> </t>
        </is>
      </c>
      <c r="C70" t="inlineStr">
        <is>
          <t>MMR004D003</t>
        </is>
      </c>
      <c r="D70" t="inlineStr">
        <is>
          <t>Chin</t>
        </is>
      </c>
      <c r="E70" t="inlineStr">
        <is>
          <t>MMR004</t>
        </is>
      </c>
      <c r="F70" t="inlineStr">
        <is>
          <t>Myanmar</t>
        </is>
      </c>
      <c r="G70" t="inlineStr">
        <is>
          <t>MMR</t>
        </is>
      </c>
    </row>
    <row r="71">
      <c r="A71" t="inlineStr">
        <is>
          <t>Falam</t>
        </is>
      </c>
      <c r="B71" t="inlineStr">
        <is>
          <t xml:space="preserve"> </t>
        </is>
      </c>
      <c r="C71" t="inlineStr">
        <is>
          <t>MMR004D001</t>
        </is>
      </c>
      <c r="D71" t="inlineStr">
        <is>
          <t>Chin</t>
        </is>
      </c>
      <c r="E71" t="inlineStr">
        <is>
          <t>MMR004</t>
        </is>
      </c>
      <c r="F71" t="inlineStr">
        <is>
          <t>Myanmar</t>
        </is>
      </c>
      <c r="G71" t="inlineStr">
        <is>
          <t>MMR</t>
        </is>
      </c>
    </row>
    <row r="72">
      <c r="A72" t="inlineStr">
        <is>
          <t>Thayarwady</t>
        </is>
      </c>
      <c r="B72" t="inlineStr">
        <is>
          <t xml:space="preserve"> </t>
        </is>
      </c>
      <c r="C72" t="inlineStr">
        <is>
          <t>MMR008D002</t>
        </is>
      </c>
      <c r="D72" t="inlineStr">
        <is>
          <t>Bago</t>
        </is>
      </c>
      <c r="E72" t="inlineStr">
        <is>
          <t>MMR111</t>
        </is>
      </c>
      <c r="F72" t="inlineStr">
        <is>
          <t>Myanmar</t>
        </is>
      </c>
      <c r="G72" t="inlineStr">
        <is>
          <t>MMR</t>
        </is>
      </c>
    </row>
    <row r="73">
      <c r="A73" t="inlineStr">
        <is>
          <t>Pyay</t>
        </is>
      </c>
      <c r="B73" t="inlineStr">
        <is>
          <t xml:space="preserve"> </t>
        </is>
      </c>
      <c r="C73" t="inlineStr">
        <is>
          <t>MMR008D001</t>
        </is>
      </c>
      <c r="D73" t="inlineStr">
        <is>
          <t>Bago</t>
        </is>
      </c>
      <c r="E73" t="inlineStr">
        <is>
          <t>MMR111</t>
        </is>
      </c>
      <c r="F73" t="inlineStr">
        <is>
          <t>Myanmar</t>
        </is>
      </c>
      <c r="G73" t="inlineStr">
        <is>
          <t>MMR</t>
        </is>
      </c>
    </row>
    <row r="74">
      <c r="A74" t="inlineStr">
        <is>
          <t>Taungoo</t>
        </is>
      </c>
      <c r="B74" t="inlineStr">
        <is>
          <t xml:space="preserve"> </t>
        </is>
      </c>
      <c r="C74" t="inlineStr">
        <is>
          <t>MMR007D002</t>
        </is>
      </c>
      <c r="D74" t="inlineStr">
        <is>
          <t>Bago</t>
        </is>
      </c>
      <c r="E74" t="inlineStr">
        <is>
          <t>MMR111</t>
        </is>
      </c>
      <c r="F74" t="inlineStr">
        <is>
          <t>Myanmar</t>
        </is>
      </c>
      <c r="G74" t="inlineStr">
        <is>
          <t>MMR</t>
        </is>
      </c>
    </row>
    <row r="75">
      <c r="A75" t="inlineStr">
        <is>
          <t>Bago</t>
        </is>
      </c>
      <c r="B75" t="inlineStr">
        <is>
          <t xml:space="preserve"> </t>
        </is>
      </c>
      <c r="C75" t="inlineStr">
        <is>
          <t>MMR007D001</t>
        </is>
      </c>
      <c r="D75" t="inlineStr">
        <is>
          <t>Bago</t>
        </is>
      </c>
      <c r="E75" t="inlineStr">
        <is>
          <t>MMR111</t>
        </is>
      </c>
      <c r="F75" t="inlineStr">
        <is>
          <t>Myanmar</t>
        </is>
      </c>
      <c r="G75" t="inlineStr">
        <is>
          <t>MMR</t>
        </is>
      </c>
    </row>
    <row r="76">
      <c r="A76" t="inlineStr">
        <is>
          <t>Pyapon</t>
        </is>
      </c>
      <c r="B76" t="inlineStr">
        <is>
          <t xml:space="preserve"> </t>
        </is>
      </c>
      <c r="C76" t="inlineStr">
        <is>
          <t>MMR017D006</t>
        </is>
      </c>
      <c r="D76" t="inlineStr">
        <is>
          <t>Ayeyarwady</t>
        </is>
      </c>
      <c r="E76" t="inlineStr">
        <is>
          <t>MMR017</t>
        </is>
      </c>
      <c r="F76" t="inlineStr">
        <is>
          <t>Myanmar</t>
        </is>
      </c>
      <c r="G76" t="inlineStr">
        <is>
          <t>MMR</t>
        </is>
      </c>
    </row>
    <row r="77">
      <c r="A77" t="inlineStr">
        <is>
          <t>Pathein</t>
        </is>
      </c>
      <c r="B77" t="inlineStr">
        <is>
          <t xml:space="preserve"> </t>
        </is>
      </c>
      <c r="C77" t="inlineStr">
        <is>
          <t>MMR017D001</t>
        </is>
      </c>
      <c r="D77" t="inlineStr">
        <is>
          <t>Ayeyarwady</t>
        </is>
      </c>
      <c r="E77" t="inlineStr">
        <is>
          <t>MMR017</t>
        </is>
      </c>
      <c r="F77" t="inlineStr">
        <is>
          <t>Myanmar</t>
        </is>
      </c>
      <c r="G77" t="inlineStr">
        <is>
          <t>MMR</t>
        </is>
      </c>
    </row>
    <row r="78">
      <c r="A78" t="inlineStr">
        <is>
          <t>Myaungmya</t>
        </is>
      </c>
      <c r="B78" t="inlineStr">
        <is>
          <t xml:space="preserve"> </t>
        </is>
      </c>
      <c r="C78" t="inlineStr">
        <is>
          <t>MMR017D003</t>
        </is>
      </c>
      <c r="D78" t="inlineStr">
        <is>
          <t>Ayeyarwady</t>
        </is>
      </c>
      <c r="E78" t="inlineStr">
        <is>
          <t>MMR017</t>
        </is>
      </c>
      <c r="F78" t="inlineStr">
        <is>
          <t>Myanmar</t>
        </is>
      </c>
      <c r="G78" t="inlineStr">
        <is>
          <t>MMR</t>
        </is>
      </c>
    </row>
    <row r="79">
      <c r="A79" t="inlineStr">
        <is>
          <t>Maubin</t>
        </is>
      </c>
      <c r="B79" t="inlineStr">
        <is>
          <t xml:space="preserve"> </t>
        </is>
      </c>
      <c r="C79" t="inlineStr">
        <is>
          <t>MMR017D005</t>
        </is>
      </c>
      <c r="D79" t="inlineStr">
        <is>
          <t>Ayeyarwady</t>
        </is>
      </c>
      <c r="E79" t="inlineStr">
        <is>
          <t>MMR017</t>
        </is>
      </c>
      <c r="F79" t="inlineStr">
        <is>
          <t>Myanmar</t>
        </is>
      </c>
      <c r="G79" t="inlineStr">
        <is>
          <t>MMR</t>
        </is>
      </c>
    </row>
    <row r="80">
      <c r="A80" t="inlineStr">
        <is>
          <t>Labutta</t>
        </is>
      </c>
      <c r="B80" t="inlineStr">
        <is>
          <t xml:space="preserve"> </t>
        </is>
      </c>
      <c r="C80" t="inlineStr">
        <is>
          <t>MMR017D004</t>
        </is>
      </c>
      <c r="D80" t="inlineStr">
        <is>
          <t>Ayeyarwady</t>
        </is>
      </c>
      <c r="E80" t="inlineStr">
        <is>
          <t>MMR017</t>
        </is>
      </c>
      <c r="F80" t="inlineStr">
        <is>
          <t>Myanmar</t>
        </is>
      </c>
      <c r="G80" t="inlineStr">
        <is>
          <t>MMR</t>
        </is>
      </c>
    </row>
    <row r="81">
      <c r="A81" t="inlineStr">
        <is>
          <t>Hinthada</t>
        </is>
      </c>
      <c r="B81" t="inlineStr">
        <is>
          <t xml:space="preserve"> </t>
        </is>
      </c>
      <c r="C81" t="inlineStr">
        <is>
          <t>MMR017D002</t>
        </is>
      </c>
      <c r="D81" t="inlineStr">
        <is>
          <t>Ayeyarwady</t>
        </is>
      </c>
      <c r="E81" t="inlineStr">
        <is>
          <t>MMR017</t>
        </is>
      </c>
      <c r="F81" t="inlineStr">
        <is>
          <t>Myanmar</t>
        </is>
      </c>
      <c r="G81" t="inlineStr">
        <is>
          <t>MMR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727" t="inlineStr">
        <is>
          <t>adm2_name</t>
        </is>
      </c>
      <c r="B1" s="727" t="inlineStr">
        <is>
          <t>adm2_name_local</t>
        </is>
      </c>
      <c r="C1" s="727" t="inlineStr">
        <is>
          <t>adm2_pcode</t>
        </is>
      </c>
      <c r="D1" s="727" t="inlineStr">
        <is>
          <t>adm1_name</t>
        </is>
      </c>
      <c r="E1" s="727" t="inlineStr">
        <is>
          <t>adm1_pcode</t>
        </is>
      </c>
      <c r="F1" s="727" t="inlineStr">
        <is>
          <t>adm0_name</t>
        </is>
      </c>
      <c r="G1" s="727" t="inlineStr">
        <is>
          <t>adm0_ISO3</t>
        </is>
      </c>
    </row>
    <row r="2">
      <c r="A2" t="inlineStr">
        <is>
          <t>Lashio</t>
        </is>
      </c>
      <c r="B2" t="inlineStr">
        <is>
          <t xml:space="preserve"> </t>
        </is>
      </c>
      <c r="C2" t="inlineStr">
        <is>
          <t>MMR015D001</t>
        </is>
      </c>
      <c r="D2" t="inlineStr">
        <is>
          <t>Shan</t>
        </is>
      </c>
      <c r="E2" t="inlineStr">
        <is>
          <t>MMR222</t>
        </is>
      </c>
      <c r="F2" t="inlineStr">
        <is>
          <t>Myanmar</t>
        </is>
      </c>
      <c r="G2" t="inlineStr">
        <is>
          <t>MMR</t>
        </is>
      </c>
    </row>
    <row r="3">
      <c r="A3" t="inlineStr">
        <is>
          <t>Kyaukme</t>
        </is>
      </c>
      <c r="B3" t="inlineStr">
        <is>
          <t xml:space="preserve"> </t>
        </is>
      </c>
      <c r="C3" t="inlineStr">
        <is>
          <t>MMR015D003</t>
        </is>
      </c>
      <c r="D3" t="inlineStr">
        <is>
          <t>Shan</t>
        </is>
      </c>
      <c r="E3" t="inlineStr">
        <is>
          <t>MMR222</t>
        </is>
      </c>
      <c r="F3" t="inlineStr">
        <is>
          <t>Myanmar</t>
        </is>
      </c>
      <c r="G3" t="inlineStr">
        <is>
          <t>MMR</t>
        </is>
      </c>
    </row>
    <row r="4">
      <c r="A4" t="inlineStr">
        <is>
          <t>Kokang Self-Administered Zone</t>
        </is>
      </c>
      <c r="B4" t="inlineStr">
        <is>
          <t xml:space="preserve"> </t>
        </is>
      </c>
      <c r="C4" t="inlineStr">
        <is>
          <t>MMR015S002</t>
        </is>
      </c>
      <c r="D4" t="inlineStr">
        <is>
          <t>Shan</t>
        </is>
      </c>
      <c r="E4" t="inlineStr">
        <is>
          <t>MMR222</t>
        </is>
      </c>
      <c r="F4" t="inlineStr">
        <is>
          <t>Myanmar</t>
        </is>
      </c>
      <c r="G4" t="inlineStr">
        <is>
          <t>MMR</t>
        </is>
      </c>
    </row>
    <row r="5">
      <c r="A5" t="inlineStr">
        <is>
          <t>Pa-O Self-Administered Zone</t>
        </is>
      </c>
      <c r="B5" t="inlineStr">
        <is>
          <t xml:space="preserve"> </t>
        </is>
      </c>
      <c r="C5" t="inlineStr">
        <is>
          <t>MMR014S002</t>
        </is>
      </c>
      <c r="D5" t="inlineStr">
        <is>
          <t>Shan</t>
        </is>
      </c>
      <c r="E5" t="inlineStr">
        <is>
          <t>MMR222</t>
        </is>
      </c>
      <c r="F5" t="inlineStr">
        <is>
          <t>Myanmar</t>
        </is>
      </c>
      <c r="G5" t="inlineStr">
        <is>
          <t>MMR</t>
        </is>
      </c>
    </row>
    <row r="6">
      <c r="A6" t="inlineStr">
        <is>
          <t>Loilen</t>
        </is>
      </c>
      <c r="B6" t="inlineStr">
        <is>
          <t xml:space="preserve"> </t>
        </is>
      </c>
      <c r="C6" t="inlineStr">
        <is>
          <t>MMR014D002</t>
        </is>
      </c>
      <c r="D6" t="inlineStr">
        <is>
          <t>Shan</t>
        </is>
      </c>
      <c r="E6" t="inlineStr">
        <is>
          <t>MMR222</t>
        </is>
      </c>
      <c r="F6" t="inlineStr">
        <is>
          <t>Myanmar</t>
        </is>
      </c>
      <c r="G6" t="inlineStr">
        <is>
          <t>MMR</t>
        </is>
      </c>
    </row>
    <row r="7">
      <c r="A7" t="inlineStr">
        <is>
          <t>Langkho</t>
        </is>
      </c>
      <c r="B7" t="inlineStr">
        <is>
          <t xml:space="preserve"> </t>
        </is>
      </c>
      <c r="C7" t="inlineStr">
        <is>
          <t>MMR014D003</t>
        </is>
      </c>
      <c r="D7" t="inlineStr">
        <is>
          <t>Shan</t>
        </is>
      </c>
      <c r="E7" t="inlineStr">
        <is>
          <t>MMR222</t>
        </is>
      </c>
      <c r="F7" t="inlineStr">
        <is>
          <t>Myanmar</t>
        </is>
      </c>
      <c r="G7" t="inlineStr">
        <is>
          <t>MMR</t>
        </is>
      </c>
    </row>
    <row r="8">
      <c r="A8" t="inlineStr">
        <is>
          <t>Danu Self-Administered Zone</t>
        </is>
      </c>
      <c r="B8" t="inlineStr">
        <is>
          <t xml:space="preserve"> </t>
        </is>
      </c>
      <c r="C8" t="inlineStr">
        <is>
          <t>MMR014S001</t>
        </is>
      </c>
      <c r="D8" t="inlineStr">
        <is>
          <t>Shan</t>
        </is>
      </c>
      <c r="E8" t="inlineStr">
        <is>
          <t>MMR222</t>
        </is>
      </c>
      <c r="F8" t="inlineStr">
        <is>
          <t>Myanmar</t>
        </is>
      </c>
      <c r="G8" t="inlineStr">
        <is>
          <t>MMR</t>
        </is>
      </c>
    </row>
    <row r="9">
      <c r="A9" t="inlineStr">
        <is>
          <t>Pa Laung Self-Administered Zone</t>
        </is>
      </c>
      <c r="B9" t="inlineStr">
        <is>
          <t xml:space="preserve"> </t>
        </is>
      </c>
      <c r="C9" t="inlineStr">
        <is>
          <t>MMR015S001</t>
        </is>
      </c>
      <c r="D9" t="inlineStr">
        <is>
          <t>Shan</t>
        </is>
      </c>
      <c r="E9" t="inlineStr">
        <is>
          <t>MMR222</t>
        </is>
      </c>
      <c r="F9" t="inlineStr">
        <is>
          <t>Myanmar</t>
        </is>
      </c>
      <c r="G9" t="inlineStr">
        <is>
          <t>MMR</t>
        </is>
      </c>
    </row>
    <row r="10">
      <c r="A10" t="inlineStr">
        <is>
          <t>Muse</t>
        </is>
      </c>
      <c r="B10" t="inlineStr">
        <is>
          <t xml:space="preserve"> </t>
        </is>
      </c>
      <c r="C10" t="inlineStr">
        <is>
          <t>MMR015D002</t>
        </is>
      </c>
      <c r="D10" t="inlineStr">
        <is>
          <t>Shan</t>
        </is>
      </c>
      <c r="E10" t="inlineStr">
        <is>
          <t>MMR222</t>
        </is>
      </c>
      <c r="F10" t="inlineStr">
        <is>
          <t>Myanmar</t>
        </is>
      </c>
      <c r="G10" t="inlineStr">
        <is>
          <t>MMR</t>
        </is>
      </c>
    </row>
    <row r="11">
      <c r="A11" t="inlineStr">
        <is>
          <t>Mongmit</t>
        </is>
      </c>
      <c r="B11" t="inlineStr">
        <is>
          <t xml:space="preserve"> </t>
        </is>
      </c>
      <c r="C11" t="inlineStr">
        <is>
          <t>MMR015D008</t>
        </is>
      </c>
      <c r="D11" t="inlineStr">
        <is>
          <t>Shan</t>
        </is>
      </c>
      <c r="E11" t="inlineStr">
        <is>
          <t>MMR222</t>
        </is>
      </c>
      <c r="F11" t="inlineStr">
        <is>
          <t>Myanmar</t>
        </is>
      </c>
      <c r="G11" t="inlineStr">
        <is>
          <t>MMR</t>
        </is>
      </c>
    </row>
    <row r="12">
      <c r="A12" t="inlineStr">
        <is>
          <t>Matman</t>
        </is>
      </c>
      <c r="B12" t="inlineStr">
        <is>
          <t xml:space="preserve"> </t>
        </is>
      </c>
      <c r="C12" t="inlineStr">
        <is>
          <t>MMR015D007</t>
        </is>
      </c>
      <c r="D12" t="inlineStr">
        <is>
          <t>Shan</t>
        </is>
      </c>
      <c r="E12" t="inlineStr">
        <is>
          <t>MMR222</t>
        </is>
      </c>
      <c r="F12" t="inlineStr">
        <is>
          <t>Myanmar</t>
        </is>
      </c>
      <c r="G12" t="inlineStr">
        <is>
          <t>MMR</t>
        </is>
      </c>
    </row>
    <row r="13">
      <c r="A13" t="inlineStr">
        <is>
          <t>Hopang</t>
        </is>
      </c>
      <c r="B13" t="inlineStr">
        <is>
          <t xml:space="preserve"> </t>
        </is>
      </c>
      <c r="C13" t="inlineStr">
        <is>
          <t>MMR015D006</t>
        </is>
      </c>
      <c r="D13" t="inlineStr">
        <is>
          <t>Shan</t>
        </is>
      </c>
      <c r="E13" t="inlineStr">
        <is>
          <t>MMR222</t>
        </is>
      </c>
      <c r="F13" t="inlineStr">
        <is>
          <t>Myanmar</t>
        </is>
      </c>
      <c r="G13" t="inlineStr">
        <is>
          <t>MMR</t>
        </is>
      </c>
    </row>
    <row r="14">
      <c r="A14" t="inlineStr">
        <is>
          <t>Tachileik</t>
        </is>
      </c>
      <c r="B14" t="inlineStr">
        <is>
          <t xml:space="preserve"> </t>
        </is>
      </c>
      <c r="C14" t="inlineStr">
        <is>
          <t>MMR016D003</t>
        </is>
      </c>
      <c r="D14" t="inlineStr">
        <is>
          <t>Shan</t>
        </is>
      </c>
      <c r="E14" t="inlineStr">
        <is>
          <t>MMR222</t>
        </is>
      </c>
      <c r="F14" t="inlineStr">
        <is>
          <t>Myanmar</t>
        </is>
      </c>
      <c r="G14" t="inlineStr">
        <is>
          <t>MMR</t>
        </is>
      </c>
    </row>
    <row r="15">
      <c r="A15" t="inlineStr">
        <is>
          <t>Monghsat</t>
        </is>
      </c>
      <c r="B15" t="inlineStr">
        <is>
          <t xml:space="preserve"> </t>
        </is>
      </c>
      <c r="C15" t="inlineStr">
        <is>
          <t>MMR016D002</t>
        </is>
      </c>
      <c r="D15" t="inlineStr">
        <is>
          <t>Shan</t>
        </is>
      </c>
      <c r="E15" t="inlineStr">
        <is>
          <t>MMR222</t>
        </is>
      </c>
      <c r="F15" t="inlineStr">
        <is>
          <t>Myanmar</t>
        </is>
      </c>
      <c r="G15" t="inlineStr">
        <is>
          <t>MMR</t>
        </is>
      </c>
    </row>
    <row r="16">
      <c r="A16" t="inlineStr">
        <is>
          <t>Kengtung</t>
        </is>
      </c>
      <c r="B16" t="inlineStr">
        <is>
          <t xml:space="preserve"> </t>
        </is>
      </c>
      <c r="C16" t="inlineStr">
        <is>
          <t>MMR016D001</t>
        </is>
      </c>
      <c r="D16" t="inlineStr">
        <is>
          <t>Shan</t>
        </is>
      </c>
      <c r="E16" t="inlineStr">
        <is>
          <t>MMR222</t>
        </is>
      </c>
      <c r="F16" t="inlineStr">
        <is>
          <t>Myanmar</t>
        </is>
      </c>
      <c r="G16" t="inlineStr">
        <is>
          <t>MMR</t>
        </is>
      </c>
    </row>
    <row r="17">
      <c r="A17" t="inlineStr">
        <is>
          <t>Yinmarbin</t>
        </is>
      </c>
      <c r="B17" t="inlineStr">
        <is>
          <t xml:space="preserve"> </t>
        </is>
      </c>
      <c r="C17" t="inlineStr">
        <is>
          <t>MMR005D009</t>
        </is>
      </c>
      <c r="D17" t="inlineStr">
        <is>
          <t>Sagaing</t>
        </is>
      </c>
      <c r="E17" t="inlineStr">
        <is>
          <t>MMR005</t>
        </is>
      </c>
      <c r="F17" t="inlineStr">
        <is>
          <t>Myanmar</t>
        </is>
      </c>
      <c r="G17" t="inlineStr">
        <is>
          <t>MMR</t>
        </is>
      </c>
    </row>
    <row r="18">
      <c r="A18" t="inlineStr">
        <is>
          <t>Tamu</t>
        </is>
      </c>
      <c r="B18" t="inlineStr">
        <is>
          <t xml:space="preserve"> </t>
        </is>
      </c>
      <c r="C18" t="inlineStr">
        <is>
          <t>MMR005D006</t>
        </is>
      </c>
      <c r="D18" t="inlineStr">
        <is>
          <t>Sagaing</t>
        </is>
      </c>
      <c r="E18" t="inlineStr">
        <is>
          <t>MMR005</t>
        </is>
      </c>
      <c r="F18" t="inlineStr">
        <is>
          <t>Myanmar</t>
        </is>
      </c>
      <c r="G18" t="inlineStr">
        <is>
          <t>MMR</t>
        </is>
      </c>
    </row>
    <row r="19">
      <c r="A19" t="inlineStr">
        <is>
          <t>Naga Self-Administered Zone</t>
        </is>
      </c>
      <c r="B19" t="inlineStr">
        <is>
          <t xml:space="preserve"> </t>
        </is>
      </c>
      <c r="C19" t="inlineStr">
        <is>
          <t>MMR005S001</t>
        </is>
      </c>
      <c r="D19" t="inlineStr">
        <is>
          <t>Sagaing</t>
        </is>
      </c>
      <c r="E19" t="inlineStr">
        <is>
          <t>MMR005</t>
        </is>
      </c>
      <c r="F19" t="inlineStr">
        <is>
          <t>Myanmar</t>
        </is>
      </c>
      <c r="G19" t="inlineStr">
        <is>
          <t>MMR</t>
        </is>
      </c>
    </row>
    <row r="20">
      <c r="A20" t="inlineStr">
        <is>
          <t>Monywa</t>
        </is>
      </c>
      <c r="B20" t="inlineStr">
        <is>
          <t xml:space="preserve"> </t>
        </is>
      </c>
      <c r="C20" t="inlineStr">
        <is>
          <t>MMR005D003</t>
        </is>
      </c>
      <c r="D20" t="inlineStr">
        <is>
          <t>Sagaing</t>
        </is>
      </c>
      <c r="E20" t="inlineStr">
        <is>
          <t>MMR005</t>
        </is>
      </c>
      <c r="F20" t="inlineStr">
        <is>
          <t>Myanmar</t>
        </is>
      </c>
      <c r="G20" t="inlineStr">
        <is>
          <t>MMR</t>
        </is>
      </c>
    </row>
    <row r="21">
      <c r="A21" t="inlineStr">
        <is>
          <t>Mawlaik</t>
        </is>
      </c>
      <c r="B21" t="inlineStr">
        <is>
          <t xml:space="preserve"> </t>
        </is>
      </c>
      <c r="C21" t="inlineStr">
        <is>
          <t>MMR005D007</t>
        </is>
      </c>
      <c r="D21" t="inlineStr">
        <is>
          <t>Sagaing</t>
        </is>
      </c>
      <c r="E21" t="inlineStr">
        <is>
          <t>MMR005</t>
        </is>
      </c>
      <c r="F21" t="inlineStr">
        <is>
          <t>Myanmar</t>
        </is>
      </c>
      <c r="G21" t="inlineStr">
        <is>
          <t>MMR</t>
        </is>
      </c>
    </row>
    <row r="22">
      <c r="A22" t="inlineStr">
        <is>
          <t>Kawlin</t>
        </is>
      </c>
      <c r="B22" t="inlineStr">
        <is>
          <t xml:space="preserve"> </t>
        </is>
      </c>
      <c r="C22" t="inlineStr">
        <is>
          <t>MMR005D011</t>
        </is>
      </c>
      <c r="D22" t="inlineStr">
        <is>
          <t>Sagaing</t>
        </is>
      </c>
      <c r="E22" t="inlineStr">
        <is>
          <t>MMR005</t>
        </is>
      </c>
      <c r="F22" t="inlineStr">
        <is>
          <t>Myanmar</t>
        </is>
      </c>
      <c r="G22" t="inlineStr">
        <is>
          <t>MMR</t>
        </is>
      </c>
    </row>
    <row r="23">
      <c r="A23" t="inlineStr">
        <is>
          <t>Katha</t>
        </is>
      </c>
      <c r="B23" t="inlineStr">
        <is>
          <t xml:space="preserve"> </t>
        </is>
      </c>
      <c r="C23" t="inlineStr">
        <is>
          <t>MMR005D004</t>
        </is>
      </c>
      <c r="D23" t="inlineStr">
        <is>
          <t>Sagaing</t>
        </is>
      </c>
      <c r="E23" t="inlineStr">
        <is>
          <t>MMR005</t>
        </is>
      </c>
      <c r="F23" t="inlineStr">
        <is>
          <t>Myanmar</t>
        </is>
      </c>
      <c r="G23" t="inlineStr">
        <is>
          <t>MMR</t>
        </is>
      </c>
    </row>
    <row r="24">
      <c r="A24" t="inlineStr">
        <is>
          <t>Kanbalu</t>
        </is>
      </c>
      <c r="B24" t="inlineStr">
        <is>
          <t xml:space="preserve"> </t>
        </is>
      </c>
      <c r="C24" t="inlineStr">
        <is>
          <t>MMR005D010</t>
        </is>
      </c>
      <c r="D24" t="inlineStr">
        <is>
          <t>Sagaing</t>
        </is>
      </c>
      <c r="E24" t="inlineStr">
        <is>
          <t>MMR005</t>
        </is>
      </c>
      <c r="F24" t="inlineStr">
        <is>
          <t>Myanmar</t>
        </is>
      </c>
      <c r="G24" t="inlineStr">
        <is>
          <t>MMR</t>
        </is>
      </c>
    </row>
    <row r="25">
      <c r="A25" t="inlineStr">
        <is>
          <t>Kale</t>
        </is>
      </c>
      <c r="B25" t="inlineStr">
        <is>
          <t xml:space="preserve"> </t>
        </is>
      </c>
      <c r="C25" t="inlineStr">
        <is>
          <t>MMR005D005</t>
        </is>
      </c>
      <c r="D25" t="inlineStr">
        <is>
          <t>Sagaing</t>
        </is>
      </c>
      <c r="E25" t="inlineStr">
        <is>
          <t>MMR005</t>
        </is>
      </c>
      <c r="F25" t="inlineStr">
        <is>
          <t>Myanmar</t>
        </is>
      </c>
      <c r="G25" t="inlineStr">
        <is>
          <t>MMR</t>
        </is>
      </c>
    </row>
    <row r="26">
      <c r="A26" t="inlineStr">
        <is>
          <t>Hkamti</t>
        </is>
      </c>
      <c r="B26" t="inlineStr">
        <is>
          <t xml:space="preserve"> </t>
        </is>
      </c>
      <c r="C26" t="inlineStr">
        <is>
          <t>MMR005D008</t>
        </is>
      </c>
      <c r="D26" t="inlineStr">
        <is>
          <t>Sagaing</t>
        </is>
      </c>
      <c r="E26" t="inlineStr">
        <is>
          <t>MMR005</t>
        </is>
      </c>
      <c r="F26" t="inlineStr">
        <is>
          <t>Myanmar</t>
        </is>
      </c>
      <c r="G26" t="inlineStr">
        <is>
          <t>MMR</t>
        </is>
      </c>
    </row>
    <row r="27">
      <c r="A27" t="inlineStr">
        <is>
          <t>Thandwe</t>
        </is>
      </c>
      <c r="B27" t="inlineStr">
        <is>
          <t xml:space="preserve"> </t>
        </is>
      </c>
      <c r="C27" t="inlineStr">
        <is>
          <t>MMR012D004</t>
        </is>
      </c>
      <c r="D27" t="inlineStr">
        <is>
          <t>Rakhine</t>
        </is>
      </c>
      <c r="E27" t="inlineStr">
        <is>
          <t>MMR012</t>
        </is>
      </c>
      <c r="F27" t="inlineStr">
        <is>
          <t>Myanmar</t>
        </is>
      </c>
      <c r="G27" t="inlineStr">
        <is>
          <t>MMR</t>
        </is>
      </c>
    </row>
    <row r="28">
      <c r="A28" t="inlineStr">
        <is>
          <t>Sittwe</t>
        </is>
      </c>
      <c r="B28" t="inlineStr">
        <is>
          <t xml:space="preserve"> </t>
        </is>
      </c>
      <c r="C28" t="inlineStr">
        <is>
          <t>MMR012D001</t>
        </is>
      </c>
      <c r="D28" t="inlineStr">
        <is>
          <t>Rakhine</t>
        </is>
      </c>
      <c r="E28" t="inlineStr">
        <is>
          <t>MMR012</t>
        </is>
      </c>
      <c r="F28" t="inlineStr">
        <is>
          <t>Myanmar</t>
        </is>
      </c>
      <c r="G28" t="inlineStr">
        <is>
          <t>MMR</t>
        </is>
      </c>
    </row>
    <row r="29">
      <c r="A29" t="inlineStr">
        <is>
          <t>Mrauk-U</t>
        </is>
      </c>
      <c r="B29" t="inlineStr">
        <is>
          <t xml:space="preserve"> </t>
        </is>
      </c>
      <c r="C29" t="inlineStr">
        <is>
          <t>MMR012D005</t>
        </is>
      </c>
      <c r="D29" t="inlineStr">
        <is>
          <t>Rakhine</t>
        </is>
      </c>
      <c r="E29" t="inlineStr">
        <is>
          <t>MMR012</t>
        </is>
      </c>
      <c r="F29" t="inlineStr">
        <is>
          <t>Myanmar</t>
        </is>
      </c>
      <c r="G29" t="inlineStr">
        <is>
          <t>MMR</t>
        </is>
      </c>
    </row>
    <row r="30">
      <c r="A30" t="inlineStr">
        <is>
          <t>Maungdaw</t>
        </is>
      </c>
      <c r="B30" t="inlineStr">
        <is>
          <t xml:space="preserve"> </t>
        </is>
      </c>
      <c r="C30" t="inlineStr">
        <is>
          <t>MMR012D002</t>
        </is>
      </c>
      <c r="D30" t="inlineStr">
        <is>
          <t>Rakhine</t>
        </is>
      </c>
      <c r="E30" t="inlineStr">
        <is>
          <t>MMR012</t>
        </is>
      </c>
      <c r="F30" t="inlineStr">
        <is>
          <t>Myanmar</t>
        </is>
      </c>
      <c r="G30" t="inlineStr">
        <is>
          <t>MMR</t>
        </is>
      </c>
    </row>
    <row r="31">
      <c r="A31" t="inlineStr">
        <is>
          <t>Kyaukpyu</t>
        </is>
      </c>
      <c r="B31" t="inlineStr">
        <is>
          <t xml:space="preserve"> </t>
        </is>
      </c>
      <c r="C31" t="inlineStr">
        <is>
          <t>MMR012D003</t>
        </is>
      </c>
      <c r="D31" t="inlineStr">
        <is>
          <t>Rakhine</t>
        </is>
      </c>
      <c r="E31" t="inlineStr">
        <is>
          <t>MMR012</t>
        </is>
      </c>
      <c r="F31" t="inlineStr">
        <is>
          <t>Myanmar</t>
        </is>
      </c>
      <c r="G31" t="inlineStr">
        <is>
          <t>MMR</t>
        </is>
      </c>
    </row>
    <row r="32">
      <c r="A32" t="inlineStr">
        <is>
          <t>Oke Ta Ra</t>
        </is>
      </c>
      <c r="B32" t="inlineStr">
        <is>
          <t xml:space="preserve"> </t>
        </is>
      </c>
      <c r="C32" t="inlineStr">
        <is>
          <t>MMR018D001</t>
        </is>
      </c>
      <c r="D32" t="inlineStr">
        <is>
          <t>Nay Pyi Taw</t>
        </is>
      </c>
      <c r="E32" t="inlineStr">
        <is>
          <t>MMR018</t>
        </is>
      </c>
      <c r="F32" t="inlineStr">
        <is>
          <t>Myanmar</t>
        </is>
      </c>
      <c r="G32" t="inlineStr">
        <is>
          <t>MMR</t>
        </is>
      </c>
    </row>
    <row r="33">
      <c r="A33" t="inlineStr">
        <is>
          <t>Det Khi Na</t>
        </is>
      </c>
      <c r="B33" t="inlineStr">
        <is>
          <t xml:space="preserve"> </t>
        </is>
      </c>
      <c r="C33" t="inlineStr">
        <is>
          <t>MMR018D002</t>
        </is>
      </c>
      <c r="D33" t="inlineStr">
        <is>
          <t>Nay Pyi Taw</t>
        </is>
      </c>
      <c r="E33" t="inlineStr">
        <is>
          <t>MMR018</t>
        </is>
      </c>
      <c r="F33" t="inlineStr">
        <is>
          <t>Myanmar</t>
        </is>
      </c>
      <c r="G33" t="inlineStr">
        <is>
          <t>MMR</t>
        </is>
      </c>
    </row>
    <row r="34">
      <c r="A34" t="inlineStr">
        <is>
          <t>Thaton</t>
        </is>
      </c>
      <c r="B34" t="inlineStr">
        <is>
          <t xml:space="preserve"> </t>
        </is>
      </c>
      <c r="C34" t="inlineStr">
        <is>
          <t>MMR011D002</t>
        </is>
      </c>
      <c r="D34" t="inlineStr">
        <is>
          <t>Mon</t>
        </is>
      </c>
      <c r="E34" t="inlineStr">
        <is>
          <t>MMR011</t>
        </is>
      </c>
      <c r="F34" t="inlineStr">
        <is>
          <t>Myanmar</t>
        </is>
      </c>
      <c r="G34" t="inlineStr">
        <is>
          <t>MMR</t>
        </is>
      </c>
    </row>
    <row r="35">
      <c r="A35" t="inlineStr">
        <is>
          <t>Mawlamyine</t>
        </is>
      </c>
      <c r="B35" t="inlineStr">
        <is>
          <t xml:space="preserve"> </t>
        </is>
      </c>
      <c r="C35" t="inlineStr">
        <is>
          <t>MMR011D001</t>
        </is>
      </c>
      <c r="D35" t="inlineStr">
        <is>
          <t>Mon</t>
        </is>
      </c>
      <c r="E35" t="inlineStr">
        <is>
          <t>MMR011</t>
        </is>
      </c>
      <c r="F35" t="inlineStr">
        <is>
          <t>Myanmar</t>
        </is>
      </c>
      <c r="G35" t="inlineStr">
        <is>
          <t>MMR</t>
        </is>
      </c>
    </row>
    <row r="36">
      <c r="A36" t="inlineStr">
        <is>
          <t>Yamethin</t>
        </is>
      </c>
      <c r="B36" t="inlineStr">
        <is>
          <t xml:space="preserve"> </t>
        </is>
      </c>
      <c r="C36" t="inlineStr">
        <is>
          <t>MMR010D006</t>
        </is>
      </c>
      <c r="D36" t="inlineStr">
        <is>
          <t>Mandalay</t>
        </is>
      </c>
      <c r="E36" t="inlineStr">
        <is>
          <t>MMR010</t>
        </is>
      </c>
      <c r="F36" t="inlineStr">
        <is>
          <t>Myanmar</t>
        </is>
      </c>
      <c r="G36" t="inlineStr">
        <is>
          <t>MMR</t>
        </is>
      </c>
    </row>
    <row r="37">
      <c r="A37" t="inlineStr">
        <is>
          <t>Pyinoolwin</t>
        </is>
      </c>
      <c r="B37" t="inlineStr">
        <is>
          <t xml:space="preserve"> </t>
        </is>
      </c>
      <c r="C37" t="inlineStr">
        <is>
          <t>MMR010D002</t>
        </is>
      </c>
      <c r="D37" t="inlineStr">
        <is>
          <t>Mandalay</t>
        </is>
      </c>
      <c r="E37" t="inlineStr">
        <is>
          <t>MMR010</t>
        </is>
      </c>
      <c r="F37" t="inlineStr">
        <is>
          <t>Myanmar</t>
        </is>
      </c>
      <c r="G37" t="inlineStr">
        <is>
          <t>MMR</t>
        </is>
      </c>
    </row>
    <row r="38">
      <c r="A38" t="inlineStr">
        <is>
          <t>Nyaung-U</t>
        </is>
      </c>
      <c r="B38" t="inlineStr">
        <is>
          <t xml:space="preserve"> </t>
        </is>
      </c>
      <c r="C38" t="inlineStr">
        <is>
          <t>MMR010D005</t>
        </is>
      </c>
      <c r="D38" t="inlineStr">
        <is>
          <t>Mandalay</t>
        </is>
      </c>
      <c r="E38" t="inlineStr">
        <is>
          <t>MMR010</t>
        </is>
      </c>
      <c r="F38" t="inlineStr">
        <is>
          <t>Myanmar</t>
        </is>
      </c>
      <c r="G38" t="inlineStr">
        <is>
          <t>MMR</t>
        </is>
      </c>
    </row>
    <row r="39">
      <c r="A39" t="inlineStr">
        <is>
          <t>Myingyan</t>
        </is>
      </c>
      <c r="B39" t="inlineStr">
        <is>
          <t xml:space="preserve"> </t>
        </is>
      </c>
      <c r="C39" t="inlineStr">
        <is>
          <t>MMR010D004</t>
        </is>
      </c>
      <c r="D39" t="inlineStr">
        <is>
          <t>Mandalay</t>
        </is>
      </c>
      <c r="E39" t="inlineStr">
        <is>
          <t>MMR010</t>
        </is>
      </c>
      <c r="F39" t="inlineStr">
        <is>
          <t>Myanmar</t>
        </is>
      </c>
      <c r="G39" t="inlineStr">
        <is>
          <t>MMR</t>
        </is>
      </c>
    </row>
    <row r="40">
      <c r="A40" t="inlineStr">
        <is>
          <t>Thayet</t>
        </is>
      </c>
      <c r="B40" t="inlineStr">
        <is>
          <t xml:space="preserve"> </t>
        </is>
      </c>
      <c r="C40" t="inlineStr">
        <is>
          <t>MMR009D003</t>
        </is>
      </c>
      <c r="D40" t="inlineStr">
        <is>
          <t>Magway</t>
        </is>
      </c>
      <c r="E40" t="inlineStr">
        <is>
          <t>MMR009</t>
        </is>
      </c>
      <c r="F40" t="inlineStr">
        <is>
          <t>Myanmar</t>
        </is>
      </c>
      <c r="G40" t="inlineStr">
        <is>
          <t>MMR</t>
        </is>
      </c>
    </row>
    <row r="41">
      <c r="A41" t="inlineStr">
        <is>
          <t>Pakokku</t>
        </is>
      </c>
      <c r="B41" t="inlineStr">
        <is>
          <t xml:space="preserve"> </t>
        </is>
      </c>
      <c r="C41" t="inlineStr">
        <is>
          <t>MMR009D004</t>
        </is>
      </c>
      <c r="D41" t="inlineStr">
        <is>
          <t>Magway</t>
        </is>
      </c>
      <c r="E41" t="inlineStr">
        <is>
          <t>MMR009</t>
        </is>
      </c>
      <c r="F41" t="inlineStr">
        <is>
          <t>Myanmar</t>
        </is>
      </c>
      <c r="G41" t="inlineStr">
        <is>
          <t>MMR</t>
        </is>
      </c>
    </row>
    <row r="42">
      <c r="A42" t="inlineStr">
        <is>
          <t>Minbu</t>
        </is>
      </c>
      <c r="B42" t="inlineStr">
        <is>
          <t xml:space="preserve"> </t>
        </is>
      </c>
      <c r="C42" t="inlineStr">
        <is>
          <t>MMR009D002</t>
        </is>
      </c>
      <c r="D42" t="inlineStr">
        <is>
          <t>Magway</t>
        </is>
      </c>
      <c r="E42" t="inlineStr">
        <is>
          <t>MMR009</t>
        </is>
      </c>
      <c r="F42" t="inlineStr">
        <is>
          <t>Myanmar</t>
        </is>
      </c>
      <c r="G42" t="inlineStr">
        <is>
          <t>MMR</t>
        </is>
      </c>
    </row>
    <row r="43">
      <c r="A43" t="inlineStr">
        <is>
          <t>Magway</t>
        </is>
      </c>
      <c r="B43" t="inlineStr">
        <is>
          <t xml:space="preserve"> </t>
        </is>
      </c>
      <c r="C43" t="inlineStr">
        <is>
          <t>MMR009D001</t>
        </is>
      </c>
      <c r="D43" t="inlineStr">
        <is>
          <t>Magway</t>
        </is>
      </c>
      <c r="E43" t="inlineStr">
        <is>
          <t>MMR009</t>
        </is>
      </c>
      <c r="F43" t="inlineStr">
        <is>
          <t>Myanmar</t>
        </is>
      </c>
      <c r="G43" t="inlineStr">
        <is>
          <t>MMR</t>
        </is>
      </c>
    </row>
    <row r="44">
      <c r="A44" t="inlineStr">
        <is>
          <t>Gangaw</t>
        </is>
      </c>
      <c r="B44" t="inlineStr">
        <is>
          <t xml:space="preserve"> </t>
        </is>
      </c>
      <c r="C44" t="inlineStr">
        <is>
          <t>MMR009D005</t>
        </is>
      </c>
      <c r="D44" t="inlineStr">
        <is>
          <t>Magway</t>
        </is>
      </c>
      <c r="E44" t="inlineStr">
        <is>
          <t>MMR009</t>
        </is>
      </c>
      <c r="F44" t="inlineStr">
        <is>
          <t>Myanmar</t>
        </is>
      </c>
      <c r="G44" t="inlineStr">
        <is>
          <t>MMR</t>
        </is>
      </c>
    </row>
    <row r="45">
      <c r="A45" t="inlineStr">
        <is>
          <t>Myawaddy</t>
        </is>
      </c>
      <c r="B45" t="inlineStr">
        <is>
          <t xml:space="preserve"> </t>
        </is>
      </c>
      <c r="C45" t="inlineStr">
        <is>
          <t>MMR003D002</t>
        </is>
      </c>
      <c r="D45" t="inlineStr">
        <is>
          <t>Kayin</t>
        </is>
      </c>
      <c r="E45" t="inlineStr">
        <is>
          <t>MMR003</t>
        </is>
      </c>
      <c r="F45" t="inlineStr">
        <is>
          <t>Myanmar</t>
        </is>
      </c>
      <c r="G45" t="inlineStr">
        <is>
          <t>MMR</t>
        </is>
      </c>
    </row>
    <row r="46">
      <c r="A46" t="inlineStr">
        <is>
          <t>Kawkareik</t>
        </is>
      </c>
      <c r="B46" t="inlineStr">
        <is>
          <t xml:space="preserve"> </t>
        </is>
      </c>
      <c r="C46" t="inlineStr">
        <is>
          <t>MMR003D003</t>
        </is>
      </c>
      <c r="D46" t="inlineStr">
        <is>
          <t>Kayin</t>
        </is>
      </c>
      <c r="E46" t="inlineStr">
        <is>
          <t>MMR003</t>
        </is>
      </c>
      <c r="F46" t="inlineStr">
        <is>
          <t>Myanmar</t>
        </is>
      </c>
      <c r="G46" t="inlineStr">
        <is>
          <t>MMR</t>
        </is>
      </c>
    </row>
    <row r="47">
      <c r="A47" t="inlineStr">
        <is>
          <t>Hpapun</t>
        </is>
      </c>
      <c r="B47" t="inlineStr">
        <is>
          <t xml:space="preserve"> </t>
        </is>
      </c>
      <c r="C47" t="inlineStr">
        <is>
          <t>MMR003D004</t>
        </is>
      </c>
      <c r="D47" t="inlineStr">
        <is>
          <t>Kayin</t>
        </is>
      </c>
      <c r="E47" t="inlineStr">
        <is>
          <t>MMR003</t>
        </is>
      </c>
      <c r="F47" t="inlineStr">
        <is>
          <t>Myanmar</t>
        </is>
      </c>
      <c r="G47" t="inlineStr">
        <is>
          <t>MMR</t>
        </is>
      </c>
    </row>
    <row r="48">
      <c r="A48" t="inlineStr">
        <is>
          <t>Hpa-An</t>
        </is>
      </c>
      <c r="B48" t="inlineStr">
        <is>
          <t xml:space="preserve"> </t>
        </is>
      </c>
      <c r="C48" t="inlineStr">
        <is>
          <t>MMR003D001</t>
        </is>
      </c>
      <c r="D48" t="inlineStr">
        <is>
          <t>Kayin</t>
        </is>
      </c>
      <c r="E48" t="inlineStr">
        <is>
          <t>MMR003</t>
        </is>
      </c>
      <c r="F48" t="inlineStr">
        <is>
          <t>Myanmar</t>
        </is>
      </c>
      <c r="G48" t="inlineStr">
        <is>
          <t>MMR</t>
        </is>
      </c>
    </row>
    <row r="49">
      <c r="A49" t="inlineStr">
        <is>
          <t>Loikaw</t>
        </is>
      </c>
      <c r="B49" t="inlineStr">
        <is>
          <t xml:space="preserve"> </t>
        </is>
      </c>
      <c r="C49" t="inlineStr">
        <is>
          <t>MMR002D001</t>
        </is>
      </c>
      <c r="D49" t="inlineStr">
        <is>
          <t>Kayah</t>
        </is>
      </c>
      <c r="E49" t="inlineStr">
        <is>
          <t>MMR002</t>
        </is>
      </c>
      <c r="F49" t="inlineStr">
        <is>
          <t>Myanmar</t>
        </is>
      </c>
      <c r="G49" t="inlineStr">
        <is>
          <t>MMR</t>
        </is>
      </c>
    </row>
    <row r="50">
      <c r="A50" t="inlineStr">
        <is>
          <t>Bawlake</t>
        </is>
      </c>
      <c r="B50" t="inlineStr">
        <is>
          <t xml:space="preserve"> </t>
        </is>
      </c>
      <c r="C50" t="inlineStr">
        <is>
          <t>MMR002D002</t>
        </is>
      </c>
      <c r="D50" t="inlineStr">
        <is>
          <t>Kayah</t>
        </is>
      </c>
      <c r="E50" t="inlineStr">
        <is>
          <t>MMR002</t>
        </is>
      </c>
      <c r="F50" t="inlineStr">
        <is>
          <t>Myanmar</t>
        </is>
      </c>
      <c r="G50" t="inlineStr">
        <is>
          <t>MMR</t>
        </is>
      </c>
    </row>
    <row r="51">
      <c r="A51" t="inlineStr">
        <is>
          <t>Puta-O</t>
        </is>
      </c>
      <c r="B51" t="inlineStr">
        <is>
          <t xml:space="preserve"> </t>
        </is>
      </c>
      <c r="C51" t="inlineStr">
        <is>
          <t>MMR001D004</t>
        </is>
      </c>
      <c r="D51" t="inlineStr">
        <is>
          <t>Kachin</t>
        </is>
      </c>
      <c r="E51" t="inlineStr">
        <is>
          <t>MMR001</t>
        </is>
      </c>
      <c r="F51" t="inlineStr">
        <is>
          <t>Myanmar</t>
        </is>
      </c>
      <c r="G51" t="inlineStr">
        <is>
          <t>MMR</t>
        </is>
      </c>
    </row>
    <row r="52">
      <c r="A52" t="inlineStr">
        <is>
          <t>Myitkyina</t>
        </is>
      </c>
      <c r="B52" t="inlineStr">
        <is>
          <t xml:space="preserve"> </t>
        </is>
      </c>
      <c r="C52" t="inlineStr">
        <is>
          <t>MMR001D001</t>
        </is>
      </c>
      <c r="D52" t="inlineStr">
        <is>
          <t>Kachin</t>
        </is>
      </c>
      <c r="E52" t="inlineStr">
        <is>
          <t>MMR001</t>
        </is>
      </c>
      <c r="F52" t="inlineStr">
        <is>
          <t>Myanmar</t>
        </is>
      </c>
      <c r="G52" t="inlineStr">
        <is>
          <t>MMR</t>
        </is>
      </c>
    </row>
    <row r="53">
      <c r="A53" t="inlineStr">
        <is>
          <t>Mohnyin</t>
        </is>
      </c>
      <c r="B53" t="inlineStr">
        <is>
          <t xml:space="preserve"> </t>
        </is>
      </c>
      <c r="C53" t="inlineStr">
        <is>
          <t>MMR001D002</t>
        </is>
      </c>
      <c r="D53" t="inlineStr">
        <is>
          <t>Kachin</t>
        </is>
      </c>
      <c r="E53" t="inlineStr">
        <is>
          <t>MMR001</t>
        </is>
      </c>
      <c r="F53" t="inlineStr">
        <is>
          <t>Myanmar</t>
        </is>
      </c>
      <c r="G53" t="inlineStr">
        <is>
          <t>MMR</t>
        </is>
      </c>
    </row>
    <row r="54">
      <c r="A54" t="inlineStr">
        <is>
          <t>Bhamo</t>
        </is>
      </c>
      <c r="B54" t="inlineStr">
        <is>
          <t xml:space="preserve"> </t>
        </is>
      </c>
      <c r="C54" t="inlineStr">
        <is>
          <t>MMR001D003</t>
        </is>
      </c>
      <c r="D54" t="inlineStr">
        <is>
          <t>Kachin</t>
        </is>
      </c>
      <c r="E54" t="inlineStr">
        <is>
          <t>MMR001</t>
        </is>
      </c>
      <c r="F54" t="inlineStr">
        <is>
          <t>Myanmar</t>
        </is>
      </c>
      <c r="G54" t="inlineStr">
        <is>
          <t>MMR</t>
        </is>
      </c>
    </row>
    <row r="55">
      <c r="A55" t="inlineStr">
        <is>
          <t>Mindat</t>
        </is>
      </c>
      <c r="B55" t="inlineStr">
        <is>
          <t xml:space="preserve"> </t>
        </is>
      </c>
      <c r="C55" t="inlineStr">
        <is>
          <t>MMR004D002</t>
        </is>
      </c>
      <c r="D55" t="inlineStr">
        <is>
          <t>Chin</t>
        </is>
      </c>
      <c r="E55" t="inlineStr">
        <is>
          <t>MMR004</t>
        </is>
      </c>
      <c r="F55" t="inlineStr">
        <is>
          <t>Myanmar</t>
        </is>
      </c>
      <c r="G55" t="inlineStr">
        <is>
          <t>MMR</t>
        </is>
      </c>
    </row>
    <row r="56">
      <c r="A56" t="inlineStr">
        <is>
          <t>Matupi</t>
        </is>
      </c>
      <c r="B56" t="inlineStr">
        <is>
          <t xml:space="preserve"> </t>
        </is>
      </c>
      <c r="C56" t="inlineStr">
        <is>
          <t>MMR004D004</t>
        </is>
      </c>
      <c r="D56" t="inlineStr">
        <is>
          <t>Chin</t>
        </is>
      </c>
      <c r="E56" t="inlineStr">
        <is>
          <t>MMR004</t>
        </is>
      </c>
      <c r="F56" t="inlineStr">
        <is>
          <t>Myanmar</t>
        </is>
      </c>
      <c r="G56" t="inlineStr">
        <is>
          <t>MMR</t>
        </is>
      </c>
    </row>
    <row r="57">
      <c r="A57" t="inlineStr">
        <is>
          <t>Hakha</t>
        </is>
      </c>
      <c r="B57" t="inlineStr">
        <is>
          <t xml:space="preserve"> </t>
        </is>
      </c>
      <c r="C57" t="inlineStr">
        <is>
          <t>MMR004D003</t>
        </is>
      </c>
      <c r="D57" t="inlineStr">
        <is>
          <t>Chin</t>
        </is>
      </c>
      <c r="E57" t="inlineStr">
        <is>
          <t>MMR004</t>
        </is>
      </c>
      <c r="F57" t="inlineStr">
        <is>
          <t>Myanmar</t>
        </is>
      </c>
      <c r="G57" t="inlineStr">
        <is>
          <t>MMR</t>
        </is>
      </c>
    </row>
    <row r="58">
      <c r="A58" t="inlineStr">
        <is>
          <t>Falam</t>
        </is>
      </c>
      <c r="B58" t="inlineStr">
        <is>
          <t xml:space="preserve"> </t>
        </is>
      </c>
      <c r="C58" t="inlineStr">
        <is>
          <t>MMR004D001</t>
        </is>
      </c>
      <c r="D58" t="inlineStr">
        <is>
          <t>Chin</t>
        </is>
      </c>
      <c r="E58" t="inlineStr">
        <is>
          <t>MMR004</t>
        </is>
      </c>
      <c r="F58" t="inlineStr">
        <is>
          <t>Myanmar</t>
        </is>
      </c>
      <c r="G58" t="inlineStr">
        <is>
          <t>MMR</t>
        </is>
      </c>
    </row>
    <row r="59">
      <c r="A59" t="inlineStr">
        <is>
          <t>Thayarwady</t>
        </is>
      </c>
      <c r="B59" t="inlineStr">
        <is>
          <t xml:space="preserve"> </t>
        </is>
      </c>
      <c r="C59" t="inlineStr">
        <is>
          <t>MMR008D002</t>
        </is>
      </c>
      <c r="D59" t="inlineStr">
        <is>
          <t>Bago</t>
        </is>
      </c>
      <c r="E59" t="inlineStr">
        <is>
          <t>MMR111</t>
        </is>
      </c>
      <c r="F59" t="inlineStr">
        <is>
          <t>Myanmar</t>
        </is>
      </c>
      <c r="G59" t="inlineStr">
        <is>
          <t>MMR</t>
        </is>
      </c>
    </row>
    <row r="60">
      <c r="A60" t="inlineStr">
        <is>
          <t>Pyay</t>
        </is>
      </c>
      <c r="B60" t="inlineStr">
        <is>
          <t xml:space="preserve"> </t>
        </is>
      </c>
      <c r="C60" t="inlineStr">
        <is>
          <t>MMR008D001</t>
        </is>
      </c>
      <c r="D60" t="inlineStr">
        <is>
          <t>Bago</t>
        </is>
      </c>
      <c r="E60" t="inlineStr">
        <is>
          <t>MMR111</t>
        </is>
      </c>
      <c r="F60" t="inlineStr">
        <is>
          <t>Myanmar</t>
        </is>
      </c>
      <c r="G60" t="inlineStr">
        <is>
          <t>MMR</t>
        </is>
      </c>
    </row>
    <row r="61">
      <c r="A61" t="inlineStr">
        <is>
          <t>Taungoo</t>
        </is>
      </c>
      <c r="B61" t="inlineStr">
        <is>
          <t xml:space="preserve"> </t>
        </is>
      </c>
      <c r="C61" t="inlineStr">
        <is>
          <t>MMR007D002</t>
        </is>
      </c>
      <c r="D61" t="inlineStr">
        <is>
          <t>Bago</t>
        </is>
      </c>
      <c r="E61" t="inlineStr">
        <is>
          <t>MMR111</t>
        </is>
      </c>
      <c r="F61" t="inlineStr">
        <is>
          <t>Myanmar</t>
        </is>
      </c>
      <c r="G61" t="inlineStr">
        <is>
          <t>MMR</t>
        </is>
      </c>
    </row>
    <row r="62">
      <c r="A62" t="inlineStr">
        <is>
          <t>Bago</t>
        </is>
      </c>
      <c r="B62" t="inlineStr">
        <is>
          <t xml:space="preserve"> </t>
        </is>
      </c>
      <c r="C62" t="inlineStr">
        <is>
          <t>MMR007D001</t>
        </is>
      </c>
      <c r="D62" t="inlineStr">
        <is>
          <t>Bago</t>
        </is>
      </c>
      <c r="E62" t="inlineStr">
        <is>
          <t>MMR111</t>
        </is>
      </c>
      <c r="F62" t="inlineStr">
        <is>
          <t>Myanmar</t>
        </is>
      </c>
      <c r="G62" t="inlineStr">
        <is>
          <t>MMR</t>
        </is>
      </c>
    </row>
    <row r="63">
      <c r="A63" t="inlineStr">
        <is>
          <t>Pyapon</t>
        </is>
      </c>
      <c r="B63" t="inlineStr">
        <is>
          <t xml:space="preserve"> </t>
        </is>
      </c>
      <c r="C63" t="inlineStr">
        <is>
          <t>MMR017D006</t>
        </is>
      </c>
      <c r="D63" t="inlineStr">
        <is>
          <t>Ayeyarwady</t>
        </is>
      </c>
      <c r="E63" t="inlineStr">
        <is>
          <t>MMR017</t>
        </is>
      </c>
      <c r="F63" t="inlineStr">
        <is>
          <t>Myanmar</t>
        </is>
      </c>
      <c r="G63" t="inlineStr">
        <is>
          <t>MMR</t>
        </is>
      </c>
    </row>
    <row r="64">
      <c r="A64" t="inlineStr">
        <is>
          <t>Pathein</t>
        </is>
      </c>
      <c r="B64" t="inlineStr">
        <is>
          <t xml:space="preserve"> </t>
        </is>
      </c>
      <c r="C64" t="inlineStr">
        <is>
          <t>MMR017D001</t>
        </is>
      </c>
      <c r="D64" t="inlineStr">
        <is>
          <t>Ayeyarwady</t>
        </is>
      </c>
      <c r="E64" t="inlineStr">
        <is>
          <t>MMR017</t>
        </is>
      </c>
      <c r="F64" t="inlineStr">
        <is>
          <t>Myanmar</t>
        </is>
      </c>
      <c r="G64" t="inlineStr">
        <is>
          <t>MMR</t>
        </is>
      </c>
    </row>
    <row r="65">
      <c r="A65" t="inlineStr">
        <is>
          <t>Myaungmya</t>
        </is>
      </c>
      <c r="B65" t="inlineStr">
        <is>
          <t xml:space="preserve"> </t>
        </is>
      </c>
      <c r="C65" t="inlineStr">
        <is>
          <t>MMR017D003</t>
        </is>
      </c>
      <c r="D65" t="inlineStr">
        <is>
          <t>Ayeyarwady</t>
        </is>
      </c>
      <c r="E65" t="inlineStr">
        <is>
          <t>MMR017</t>
        </is>
      </c>
      <c r="F65" t="inlineStr">
        <is>
          <t>Myanmar</t>
        </is>
      </c>
      <c r="G65" t="inlineStr">
        <is>
          <t>MMR</t>
        </is>
      </c>
    </row>
    <row r="66">
      <c r="A66" t="inlineStr">
        <is>
          <t>Maubin</t>
        </is>
      </c>
      <c r="B66" t="inlineStr">
        <is>
          <t xml:space="preserve"> </t>
        </is>
      </c>
      <c r="C66" t="inlineStr">
        <is>
          <t>MMR017D005</t>
        </is>
      </c>
      <c r="D66" t="inlineStr">
        <is>
          <t>Ayeyarwady</t>
        </is>
      </c>
      <c r="E66" t="inlineStr">
        <is>
          <t>MMR017</t>
        </is>
      </c>
      <c r="F66" t="inlineStr">
        <is>
          <t>Myanmar</t>
        </is>
      </c>
      <c r="G66" t="inlineStr">
        <is>
          <t>MMR</t>
        </is>
      </c>
    </row>
    <row r="67">
      <c r="A67" t="inlineStr">
        <is>
          <t>Labutta</t>
        </is>
      </c>
      <c r="B67" t="inlineStr">
        <is>
          <t xml:space="preserve"> </t>
        </is>
      </c>
      <c r="C67" t="inlineStr">
        <is>
          <t>MMR017D004</t>
        </is>
      </c>
      <c r="D67" t="inlineStr">
        <is>
          <t>Ayeyarwady</t>
        </is>
      </c>
      <c r="E67" t="inlineStr">
        <is>
          <t>MMR017</t>
        </is>
      </c>
      <c r="F67" t="inlineStr">
        <is>
          <t>Myanmar</t>
        </is>
      </c>
      <c r="G67" t="inlineStr">
        <is>
          <t>MMR</t>
        </is>
      </c>
    </row>
    <row r="68">
      <c r="A68" t="inlineStr">
        <is>
          <t>Hinthada</t>
        </is>
      </c>
      <c r="B68" t="inlineStr">
        <is>
          <t xml:space="preserve"> </t>
        </is>
      </c>
      <c r="C68" t="inlineStr">
        <is>
          <t>MMR017D002</t>
        </is>
      </c>
      <c r="D68" t="inlineStr">
        <is>
          <t>Ayeyarwady</t>
        </is>
      </c>
      <c r="E68" t="inlineStr">
        <is>
          <t>MMR017</t>
        </is>
      </c>
      <c r="F68" t="inlineStr">
        <is>
          <t>Myanmar</t>
        </is>
      </c>
      <c r="G68" t="inlineStr">
        <is>
          <t>MMR</t>
        </is>
      </c>
    </row>
    <row r="69">
      <c r="A69" t="inlineStr">
        <is>
          <t>Meiktila</t>
        </is>
      </c>
      <c r="B69" t="inlineStr">
        <is>
          <t xml:space="preserve"> </t>
        </is>
      </c>
      <c r="C69" t="inlineStr">
        <is>
          <t>MMR010D007</t>
        </is>
      </c>
      <c r="D69" t="inlineStr">
        <is>
          <t>Mandalay</t>
        </is>
      </c>
      <c r="E69" t="inlineStr">
        <is>
          <t>MMR010</t>
        </is>
      </c>
      <c r="F69" t="inlineStr">
        <is>
          <t>Myanmar</t>
        </is>
      </c>
      <c r="G69" t="inlineStr">
        <is>
          <t>MMR</t>
        </is>
      </c>
    </row>
    <row r="70">
      <c r="A70" t="inlineStr">
        <is>
          <t>Mandalay</t>
        </is>
      </c>
      <c r="B70" t="inlineStr">
        <is>
          <t xml:space="preserve"> </t>
        </is>
      </c>
      <c r="C70" t="inlineStr">
        <is>
          <t>MMR010D001</t>
        </is>
      </c>
      <c r="D70" t="inlineStr">
        <is>
          <t>Mandalay</t>
        </is>
      </c>
      <c r="E70" t="inlineStr">
        <is>
          <t>MMR010</t>
        </is>
      </c>
      <c r="F70" t="inlineStr">
        <is>
          <t>Myanmar</t>
        </is>
      </c>
      <c r="G70" t="inlineStr">
        <is>
          <t>MMR</t>
        </is>
      </c>
    </row>
    <row r="71">
      <c r="A71" t="inlineStr">
        <is>
          <t>Yangon (West)</t>
        </is>
      </c>
      <c r="B71" t="inlineStr">
        <is>
          <t xml:space="preserve"> </t>
        </is>
      </c>
      <c r="C71" t="inlineStr">
        <is>
          <t>MMR013D004</t>
        </is>
      </c>
      <c r="D71" t="inlineStr">
        <is>
          <t>Yangon</t>
        </is>
      </c>
      <c r="E71" t="inlineStr">
        <is>
          <t>MMR013</t>
        </is>
      </c>
      <c r="F71" t="inlineStr">
        <is>
          <t>Myanmar</t>
        </is>
      </c>
      <c r="G71" t="inlineStr">
        <is>
          <t>MMR</t>
        </is>
      </c>
    </row>
    <row r="72">
      <c r="A72" t="inlineStr">
        <is>
          <t>Yangon (South)</t>
        </is>
      </c>
      <c r="B72" t="inlineStr">
        <is>
          <t xml:space="preserve"> </t>
        </is>
      </c>
      <c r="C72" t="inlineStr">
        <is>
          <t>MMR013D003</t>
        </is>
      </c>
      <c r="D72" t="inlineStr">
        <is>
          <t>Yangon</t>
        </is>
      </c>
      <c r="E72" t="inlineStr">
        <is>
          <t>MMR013</t>
        </is>
      </c>
      <c r="F72" t="inlineStr">
        <is>
          <t>Myanmar</t>
        </is>
      </c>
      <c r="G72" t="inlineStr">
        <is>
          <t>MMR</t>
        </is>
      </c>
    </row>
    <row r="73">
      <c r="A73" t="inlineStr">
        <is>
          <t>Yangon (North)</t>
        </is>
      </c>
      <c r="B73" t="inlineStr">
        <is>
          <t xml:space="preserve"> </t>
        </is>
      </c>
      <c r="C73" t="inlineStr">
        <is>
          <t>MMR013D001</t>
        </is>
      </c>
      <c r="D73" t="inlineStr">
        <is>
          <t>Yangon</t>
        </is>
      </c>
      <c r="E73" t="inlineStr">
        <is>
          <t>MMR013</t>
        </is>
      </c>
      <c r="F73" t="inlineStr">
        <is>
          <t>Myanmar</t>
        </is>
      </c>
      <c r="G73" t="inlineStr">
        <is>
          <t>MMR</t>
        </is>
      </c>
    </row>
    <row r="74">
      <c r="A74" t="inlineStr">
        <is>
          <t>Yangon (East)</t>
        </is>
      </c>
      <c r="B74" t="inlineStr">
        <is>
          <t xml:space="preserve"> </t>
        </is>
      </c>
      <c r="C74" t="inlineStr">
        <is>
          <t>MMR013D002</t>
        </is>
      </c>
      <c r="D74" t="inlineStr">
        <is>
          <t>Yangon</t>
        </is>
      </c>
      <c r="E74" t="inlineStr">
        <is>
          <t>MMR013</t>
        </is>
      </c>
      <c r="F74" t="inlineStr">
        <is>
          <t>Myanmar</t>
        </is>
      </c>
      <c r="G74" t="inlineStr">
        <is>
          <t>MMR</t>
        </is>
      </c>
    </row>
    <row r="75">
      <c r="A75" t="inlineStr">
        <is>
          <t>Myeik</t>
        </is>
      </c>
      <c r="B75" t="inlineStr">
        <is>
          <t xml:space="preserve"> </t>
        </is>
      </c>
      <c r="C75" t="inlineStr">
        <is>
          <t>MMR006D002</t>
        </is>
      </c>
      <c r="D75" t="inlineStr">
        <is>
          <t>Tanintharyi</t>
        </is>
      </c>
      <c r="E75" t="inlineStr">
        <is>
          <t>MMR006</t>
        </is>
      </c>
      <c r="F75" t="inlineStr">
        <is>
          <t>Myanmar</t>
        </is>
      </c>
      <c r="G75" t="inlineStr">
        <is>
          <t>MMR</t>
        </is>
      </c>
    </row>
    <row r="76">
      <c r="A76" t="inlineStr">
        <is>
          <t>Kawthoung</t>
        </is>
      </c>
      <c r="B76" t="inlineStr">
        <is>
          <t xml:space="preserve"> </t>
        </is>
      </c>
      <c r="C76" t="inlineStr">
        <is>
          <t>MMR006D003</t>
        </is>
      </c>
      <c r="D76" t="inlineStr">
        <is>
          <t>Tanintharyi</t>
        </is>
      </c>
      <c r="E76" t="inlineStr">
        <is>
          <t>MMR006</t>
        </is>
      </c>
      <c r="F76" t="inlineStr">
        <is>
          <t>Myanmar</t>
        </is>
      </c>
      <c r="G76" t="inlineStr">
        <is>
          <t>MMR</t>
        </is>
      </c>
    </row>
    <row r="77">
      <c r="A77" t="inlineStr">
        <is>
          <t>Dawei</t>
        </is>
      </c>
      <c r="B77" t="inlineStr">
        <is>
          <t xml:space="preserve"> </t>
        </is>
      </c>
      <c r="C77" t="inlineStr">
        <is>
          <t>MMR006D001</t>
        </is>
      </c>
      <c r="D77" t="inlineStr">
        <is>
          <t>Tanintharyi</t>
        </is>
      </c>
      <c r="E77" t="inlineStr">
        <is>
          <t>MMR006</t>
        </is>
      </c>
      <c r="F77" t="inlineStr">
        <is>
          <t>Myanmar</t>
        </is>
      </c>
      <c r="G77" t="inlineStr">
        <is>
          <t>MMR</t>
        </is>
      </c>
    </row>
    <row r="78">
      <c r="A78" t="inlineStr">
        <is>
          <t>Taunggyi</t>
        </is>
      </c>
      <c r="B78" t="inlineStr">
        <is>
          <t xml:space="preserve"> </t>
        </is>
      </c>
      <c r="C78" t="inlineStr">
        <is>
          <t>MMR014D001</t>
        </is>
      </c>
      <c r="D78" t="inlineStr">
        <is>
          <t>Shan</t>
        </is>
      </c>
      <c r="E78" t="inlineStr">
        <is>
          <t>MMR222</t>
        </is>
      </c>
      <c r="F78" t="inlineStr">
        <is>
          <t>Myanmar</t>
        </is>
      </c>
      <c r="G78" t="inlineStr">
        <is>
          <t>MMR</t>
        </is>
      </c>
    </row>
    <row r="79">
      <c r="A79" t="inlineStr">
        <is>
          <t>Shwebo</t>
        </is>
      </c>
      <c r="B79" t="inlineStr">
        <is>
          <t xml:space="preserve"> </t>
        </is>
      </c>
      <c r="C79" t="inlineStr">
        <is>
          <t>MMR005D002</t>
        </is>
      </c>
      <c r="D79" t="inlineStr">
        <is>
          <t>Sagaing</t>
        </is>
      </c>
      <c r="E79" t="inlineStr">
        <is>
          <t>MMR005</t>
        </is>
      </c>
      <c r="F79" t="inlineStr">
        <is>
          <t>Myanmar</t>
        </is>
      </c>
      <c r="G79" t="inlineStr">
        <is>
          <t>MMR</t>
        </is>
      </c>
    </row>
    <row r="80">
      <c r="A80" t="inlineStr">
        <is>
          <t>Sagaing</t>
        </is>
      </c>
      <c r="B80" t="inlineStr">
        <is>
          <t xml:space="preserve"> </t>
        </is>
      </c>
      <c r="C80" t="inlineStr">
        <is>
          <t>MMR005D001</t>
        </is>
      </c>
      <c r="D80" t="inlineStr">
        <is>
          <t>Sagaing</t>
        </is>
      </c>
      <c r="E80" t="inlineStr">
        <is>
          <t>MMR005</t>
        </is>
      </c>
      <c r="F80" t="inlineStr">
        <is>
          <t>Myanmar</t>
        </is>
      </c>
      <c r="G80" t="inlineStr">
        <is>
          <t>MMR</t>
        </is>
      </c>
    </row>
    <row r="81">
      <c r="A81" t="inlineStr">
        <is>
          <t>Kyaukse</t>
        </is>
      </c>
      <c r="B81" t="inlineStr">
        <is>
          <t xml:space="preserve"> </t>
        </is>
      </c>
      <c r="C81" t="inlineStr">
        <is>
          <t>MMR010D003</t>
        </is>
      </c>
      <c r="D81" t="inlineStr">
        <is>
          <t>Mandalay</t>
        </is>
      </c>
      <c r="E81" t="inlineStr">
        <is>
          <t>MMR010</t>
        </is>
      </c>
      <c r="F81" t="inlineStr">
        <is>
          <t>Myanmar</t>
        </is>
      </c>
      <c r="G81" t="inlineStr">
        <is>
          <t>MMR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2023-07-12T20:58:24Z</dcterms:modified>
  <cp:lastModifiedBy>Michelle Williams</cp:lastModifiedBy>
</cp:coreProperties>
</file>