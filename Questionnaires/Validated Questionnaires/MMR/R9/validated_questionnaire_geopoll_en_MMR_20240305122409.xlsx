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MR/R9/"/>
    </mc:Choice>
  </mc:AlternateContent>
  <xr:revisionPtr revIDLastSave="0" documentId="13_ncr:1_{2E1A1EA4-98D6-F349-B504-EF01F5325FC8}" xr6:coauthVersionLast="47" xr6:coauthVersionMax="47" xr10:uidLastSave="{00000000-0000-0000-0000-000000000000}"/>
  <bookViews>
    <workbookView xWindow="0" yWindow="0" windowWidth="33600" windowHeight="21000" activeTab="3" xr2:uid="{00000000-000D-0000-FFFF-FFFF00000000}"/>
  </bookViews>
  <sheets>
    <sheet name="survey" sheetId="1" r:id="rId1"/>
    <sheet name="Crop list" sheetId="2" state="hidden" r:id="rId2"/>
    <sheet name="Additional information" sheetId="3" state="hidden" r:id="rId3"/>
    <sheet name="Admin 3 info" sheetId="4" r:id="rId4"/>
  </sheets>
  <definedNames>
    <definedName name="_xlnm._FilterDatabase" localSheetId="3" hidden="1">'Admin 3 info'!$A$1:$J$331</definedName>
    <definedName name="_xlnm._FilterDatabase" localSheetId="1" hidden="1">'Crop list'!$C$3:$F$93</definedName>
    <definedName name="_xlnm._FilterDatabase" localSheetId="0" hidden="1">survey!$A$3:$XEP$3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2" l="1"/>
  <c r="D80" i="2"/>
  <c r="D65" i="2"/>
  <c r="D64" i="2"/>
  <c r="D49" i="2"/>
  <c r="D48" i="2"/>
  <c r="D33" i="2"/>
  <c r="D32" i="2"/>
  <c r="D17" i="2"/>
  <c r="D16" i="2"/>
  <c r="D4" i="2" a="1"/>
  <c r="D93" i="2" s="1"/>
  <c r="Z220" i="1"/>
  <c r="Y220" i="1"/>
  <c r="E220" i="1"/>
  <c r="Y219" i="1"/>
  <c r="Z219" i="1" s="1"/>
  <c r="E219" i="1"/>
  <c r="Z218" i="1"/>
  <c r="Y218" i="1"/>
  <c r="Z213" i="1"/>
  <c r="Y213" i="1"/>
  <c r="Q213" i="1"/>
  <c r="E213" i="1"/>
  <c r="Z212" i="1"/>
  <c r="Y212" i="1"/>
  <c r="Q212" i="1"/>
  <c r="E212" i="1"/>
  <c r="Z211" i="1"/>
  <c r="Y211" i="1"/>
  <c r="E211" i="1"/>
  <c r="Z210" i="1"/>
  <c r="Y210" i="1"/>
  <c r="Y209" i="1"/>
  <c r="Z209" i="1" s="1"/>
  <c r="E209" i="1"/>
  <c r="Z208" i="1"/>
  <c r="Y208" i="1"/>
  <c r="Z206" i="1"/>
  <c r="Y206" i="1"/>
  <c r="E206" i="1"/>
  <c r="Z205" i="1"/>
  <c r="Y205" i="1"/>
  <c r="E205" i="1"/>
  <c r="Z204" i="1"/>
  <c r="Y204" i="1"/>
  <c r="E203" i="1"/>
  <c r="E202" i="1"/>
  <c r="Z201" i="1"/>
  <c r="Y201" i="1"/>
  <c r="E201" i="1"/>
  <c r="Z200" i="1"/>
  <c r="Y200" i="1"/>
  <c r="E200" i="1"/>
  <c r="Z199" i="1"/>
  <c r="Y199" i="1"/>
  <c r="E199" i="1"/>
  <c r="Z198" i="1"/>
  <c r="Y198" i="1"/>
  <c r="E198" i="1"/>
  <c r="Z197" i="1"/>
  <c r="Y197" i="1"/>
  <c r="E197" i="1"/>
  <c r="Z196" i="1"/>
  <c r="Y196" i="1"/>
  <c r="E196" i="1"/>
  <c r="E195" i="1"/>
  <c r="Z194" i="1"/>
  <c r="Y194" i="1"/>
  <c r="E194" i="1"/>
  <c r="Z193" i="1"/>
  <c r="Y193" i="1"/>
  <c r="E193" i="1"/>
  <c r="Z192" i="1"/>
  <c r="Y192" i="1"/>
  <c r="E192" i="1"/>
  <c r="Z191" i="1"/>
  <c r="Y191" i="1"/>
  <c r="E191" i="1"/>
  <c r="Z190" i="1"/>
  <c r="Y190" i="1"/>
  <c r="E190" i="1"/>
  <c r="Z189" i="1"/>
  <c r="Y189" i="1"/>
  <c r="E189" i="1"/>
  <c r="Z188" i="1"/>
  <c r="Y188" i="1"/>
  <c r="E188" i="1"/>
  <c r="A188" i="1"/>
  <c r="A189" i="1" s="1"/>
  <c r="A190" i="1" s="1"/>
  <c r="A191" i="1" s="1"/>
  <c r="A192" i="1" s="1"/>
  <c r="A193" i="1" s="1"/>
  <c r="A194" i="1" s="1"/>
  <c r="A196" i="1" s="1"/>
  <c r="A197" i="1" s="1"/>
  <c r="A198" i="1" s="1"/>
  <c r="A199" i="1" s="1"/>
  <c r="A200" i="1" s="1"/>
  <c r="A201" i="1" s="1"/>
  <c r="A205" i="1" s="1"/>
  <c r="A206" i="1" s="1"/>
  <c r="A209" i="1" s="1"/>
  <c r="Z187" i="1"/>
  <c r="Y187" i="1"/>
  <c r="E187" i="1"/>
  <c r="A187" i="1"/>
  <c r="Z186" i="1"/>
  <c r="Y186" i="1"/>
  <c r="E186" i="1"/>
  <c r="A186" i="1"/>
  <c r="Z185" i="1"/>
  <c r="Q185" i="1"/>
  <c r="Y185" i="1" s="1"/>
  <c r="E185" i="1"/>
  <c r="A185" i="1"/>
  <c r="Z184" i="1"/>
  <c r="Y184" i="1"/>
  <c r="E184" i="1"/>
  <c r="Z183" i="1"/>
  <c r="Y183" i="1"/>
  <c r="E183" i="1"/>
  <c r="A183" i="1"/>
  <c r="A184" i="1" s="1"/>
  <c r="Z182" i="1"/>
  <c r="Y182" i="1"/>
  <c r="E182" i="1"/>
  <c r="A182" i="1"/>
  <c r="Z181" i="1"/>
  <c r="Y181" i="1"/>
  <c r="E181" i="1"/>
  <c r="A181" i="1"/>
  <c r="Z180" i="1"/>
  <c r="Y180" i="1"/>
  <c r="E180" i="1"/>
  <c r="A180" i="1"/>
  <c r="Z179" i="1"/>
  <c r="Y179" i="1"/>
  <c r="E179" i="1"/>
  <c r="Z178" i="1"/>
  <c r="Y178" i="1"/>
  <c r="E178" i="1"/>
  <c r="Z177" i="1"/>
  <c r="Y177" i="1"/>
  <c r="E177" i="1"/>
  <c r="A177" i="1"/>
  <c r="A178" i="1" s="1"/>
  <c r="A179" i="1" s="1"/>
  <c r="Z176" i="1"/>
  <c r="Y176" i="1"/>
  <c r="E176" i="1"/>
  <c r="Z175" i="1"/>
  <c r="Y175" i="1"/>
  <c r="E175" i="1"/>
  <c r="A175" i="1"/>
  <c r="A176" i="1" s="1"/>
  <c r="Z174" i="1"/>
  <c r="Y174" i="1"/>
  <c r="E174" i="1"/>
  <c r="Z173" i="1"/>
  <c r="Y173" i="1"/>
  <c r="E173" i="1"/>
  <c r="Z172" i="1"/>
  <c r="Y172" i="1"/>
  <c r="E172" i="1"/>
  <c r="Z171" i="1"/>
  <c r="Y171" i="1"/>
  <c r="E171" i="1"/>
  <c r="Y170" i="1"/>
  <c r="Z170" i="1" s="1"/>
  <c r="E170" i="1"/>
  <c r="Y169" i="1"/>
  <c r="Z169" i="1" s="1"/>
  <c r="E169" i="1"/>
  <c r="Z168" i="1"/>
  <c r="Y168" i="1"/>
  <c r="E168" i="1"/>
  <c r="Z167" i="1"/>
  <c r="Y167" i="1"/>
  <c r="E167" i="1"/>
  <c r="Y166" i="1"/>
  <c r="Z166" i="1" s="1"/>
  <c r="E166" i="1"/>
  <c r="Y165" i="1"/>
  <c r="Z165" i="1" s="1"/>
  <c r="E165" i="1"/>
  <c r="Z164" i="1"/>
  <c r="Y164" i="1"/>
  <c r="E164" i="1"/>
  <c r="Z163" i="1"/>
  <c r="Y163" i="1"/>
  <c r="E163" i="1"/>
  <c r="Y162" i="1"/>
  <c r="Z162" i="1" s="1"/>
  <c r="E162" i="1"/>
  <c r="Y161" i="1"/>
  <c r="Z161" i="1" s="1"/>
  <c r="E161" i="1"/>
  <c r="Z160" i="1"/>
  <c r="Y160" i="1"/>
  <c r="E160" i="1"/>
  <c r="Z159" i="1"/>
  <c r="Y159" i="1"/>
  <c r="Z158" i="1"/>
  <c r="Y158" i="1"/>
  <c r="Q158" i="1"/>
  <c r="E158" i="1"/>
  <c r="Q157" i="1"/>
  <c r="Y157" i="1" s="1"/>
  <c r="Z157" i="1" s="1"/>
  <c r="E157" i="1"/>
  <c r="Q156" i="1"/>
  <c r="Y156" i="1" s="1"/>
  <c r="Z156" i="1" s="1"/>
  <c r="E156" i="1"/>
  <c r="Z155" i="1"/>
  <c r="Y155" i="1"/>
  <c r="Q155" i="1"/>
  <c r="E155" i="1"/>
  <c r="Z154" i="1"/>
  <c r="Y154" i="1"/>
  <c r="Z153" i="1"/>
  <c r="Y153" i="1"/>
  <c r="Q153" i="1"/>
  <c r="E153" i="1"/>
  <c r="Y152" i="1"/>
  <c r="Z152" i="1" s="1"/>
  <c r="Q152" i="1"/>
  <c r="E152" i="1"/>
  <c r="Z151" i="1"/>
  <c r="Y151" i="1"/>
  <c r="Q151" i="1"/>
  <c r="E151" i="1"/>
  <c r="Q150" i="1"/>
  <c r="Y150" i="1" s="1"/>
  <c r="Z150" i="1" s="1"/>
  <c r="E150" i="1"/>
  <c r="Q149" i="1"/>
  <c r="Y149" i="1" s="1"/>
  <c r="Z149" i="1" s="1"/>
  <c r="E149" i="1"/>
  <c r="Z148" i="1"/>
  <c r="Y148" i="1"/>
  <c r="Q148" i="1"/>
  <c r="E148" i="1"/>
  <c r="Z147" i="1"/>
  <c r="Y147" i="1"/>
  <c r="G146" i="1"/>
  <c r="E146" i="1"/>
  <c r="G145" i="1"/>
  <c r="E145" i="1"/>
  <c r="Q144" i="1"/>
  <c r="Y144" i="1" s="1"/>
  <c r="Z144" i="1" s="1"/>
  <c r="E144" i="1"/>
  <c r="Z143" i="1"/>
  <c r="Y143" i="1"/>
  <c r="Q143" i="1"/>
  <c r="E143" i="1"/>
  <c r="Q142" i="1"/>
  <c r="Y142" i="1" s="1"/>
  <c r="Z142" i="1" s="1"/>
  <c r="E142" i="1"/>
  <c r="Y141" i="1"/>
  <c r="Z141" i="1" s="1"/>
  <c r="Q141" i="1"/>
  <c r="E141" i="1"/>
  <c r="Z140" i="1"/>
  <c r="Y140" i="1"/>
  <c r="Z139" i="1"/>
  <c r="Y139" i="1"/>
  <c r="Q139" i="1"/>
  <c r="E139" i="1"/>
  <c r="Q138" i="1"/>
  <c r="Y138" i="1" s="1"/>
  <c r="Z138" i="1" s="1"/>
  <c r="E138" i="1"/>
  <c r="A138" i="1"/>
  <c r="A139" i="1" s="1"/>
  <c r="A141" i="1" s="1"/>
  <c r="A142" i="1" s="1"/>
  <c r="A143" i="1" s="1"/>
  <c r="A144" i="1" s="1"/>
  <c r="A148" i="1" s="1"/>
  <c r="A149" i="1" s="1"/>
  <c r="A150" i="1" s="1"/>
  <c r="A151" i="1" s="1"/>
  <c r="A152" i="1" s="1"/>
  <c r="A153" i="1" s="1"/>
  <c r="A155" i="1" s="1"/>
  <c r="A156" i="1" s="1"/>
  <c r="A157" i="1" s="1"/>
  <c r="A158" i="1" s="1"/>
  <c r="A160" i="1" s="1"/>
  <c r="A161" i="1" s="1"/>
  <c r="A162" i="1" s="1"/>
  <c r="A163" i="1" s="1"/>
  <c r="A164" i="1" s="1"/>
  <c r="A165" i="1" s="1"/>
  <c r="A166" i="1" s="1"/>
  <c r="A167" i="1" s="1"/>
  <c r="A168" i="1" s="1"/>
  <c r="A169" i="1" s="1"/>
  <c r="A170" i="1" s="1"/>
  <c r="A171" i="1" s="1"/>
  <c r="A172" i="1" s="1"/>
  <c r="A173" i="1" s="1"/>
  <c r="A174" i="1" s="1"/>
  <c r="Z137" i="1"/>
  <c r="Q137" i="1"/>
  <c r="Y137" i="1" s="1"/>
  <c r="E137" i="1"/>
  <c r="Z136" i="1"/>
  <c r="Y136" i="1"/>
  <c r="Q136" i="1"/>
  <c r="E136" i="1"/>
  <c r="Q135" i="1"/>
  <c r="Y135" i="1" s="1"/>
  <c r="Z135" i="1" s="1"/>
  <c r="E135" i="1"/>
  <c r="Q134" i="1"/>
  <c r="Y134" i="1" s="1"/>
  <c r="Z134" i="1" s="1"/>
  <c r="E134" i="1"/>
  <c r="Q133" i="1"/>
  <c r="Y133" i="1" s="1"/>
  <c r="Z133" i="1" s="1"/>
  <c r="E133" i="1"/>
  <c r="Q132" i="1"/>
  <c r="Y132" i="1" s="1"/>
  <c r="Z132" i="1" s="1"/>
  <c r="E132" i="1"/>
  <c r="Z131" i="1"/>
  <c r="Y131" i="1"/>
  <c r="G130" i="1"/>
  <c r="E130" i="1"/>
  <c r="G129" i="1"/>
  <c r="E129" i="1"/>
  <c r="Q128" i="1"/>
  <c r="Y128" i="1" s="1"/>
  <c r="Z128" i="1" s="1"/>
  <c r="E128" i="1"/>
  <c r="Q127" i="1"/>
  <c r="Y127" i="1" s="1"/>
  <c r="Z127" i="1" s="1"/>
  <c r="E127" i="1"/>
  <c r="Y126" i="1"/>
  <c r="Z126" i="1" s="1"/>
  <c r="Q126" i="1"/>
  <c r="E126" i="1"/>
  <c r="Q125" i="1"/>
  <c r="Y125" i="1" s="1"/>
  <c r="Z125" i="1" s="1"/>
  <c r="E125" i="1"/>
  <c r="Z124" i="1"/>
  <c r="Y124" i="1"/>
  <c r="Q123" i="1"/>
  <c r="Y123" i="1" s="1"/>
  <c r="Z123" i="1" s="1"/>
  <c r="E123" i="1"/>
  <c r="Y122" i="1"/>
  <c r="Z122" i="1" s="1"/>
  <c r="Q122" i="1"/>
  <c r="E122" i="1"/>
  <c r="Z121" i="1"/>
  <c r="Q121" i="1"/>
  <c r="Y121" i="1" s="1"/>
  <c r="E121" i="1"/>
  <c r="Z120" i="1"/>
  <c r="Y120" i="1"/>
  <c r="Q120" i="1"/>
  <c r="E120" i="1"/>
  <c r="Z119" i="1"/>
  <c r="Q119" i="1"/>
  <c r="Y119" i="1" s="1"/>
  <c r="E119" i="1"/>
  <c r="Z118" i="1"/>
  <c r="Q118" i="1"/>
  <c r="Y118" i="1" s="1"/>
  <c r="E118" i="1"/>
  <c r="Z117" i="1"/>
  <c r="Y117" i="1"/>
  <c r="Q117" i="1"/>
  <c r="E117" i="1"/>
  <c r="Q116" i="1"/>
  <c r="Y116" i="1" s="1"/>
  <c r="Z116" i="1" s="1"/>
  <c r="E116" i="1"/>
  <c r="A116" i="1"/>
  <c r="A117" i="1" s="1"/>
  <c r="A118" i="1" s="1"/>
  <c r="A119" i="1" s="1"/>
  <c r="A120" i="1" s="1"/>
  <c r="A121" i="1" s="1"/>
  <c r="A122" i="1" s="1"/>
  <c r="A123" i="1" s="1"/>
  <c r="A126" i="1" s="1"/>
  <c r="A127" i="1" s="1"/>
  <c r="A128" i="1" s="1"/>
  <c r="A132" i="1" s="1"/>
  <c r="A133" i="1" s="1"/>
  <c r="A134" i="1" s="1"/>
  <c r="A135" i="1" s="1"/>
  <c r="Y115" i="1"/>
  <c r="Z115" i="1" s="1"/>
  <c r="Q115" i="1"/>
  <c r="E115" i="1"/>
  <c r="A115" i="1"/>
  <c r="Z114" i="1"/>
  <c r="Y114" i="1"/>
  <c r="Q114" i="1"/>
  <c r="E114" i="1"/>
  <c r="Q113" i="1"/>
  <c r="Y113" i="1" s="1"/>
  <c r="Z113" i="1" s="1"/>
  <c r="E113" i="1"/>
  <c r="A113" i="1"/>
  <c r="Q112" i="1"/>
  <c r="Y112" i="1" s="1"/>
  <c r="Z112" i="1" s="1"/>
  <c r="E112" i="1"/>
  <c r="Q111" i="1"/>
  <c r="Y111" i="1" s="1"/>
  <c r="Z111" i="1" s="1"/>
  <c r="E111" i="1"/>
  <c r="Z110" i="1"/>
  <c r="Y110" i="1"/>
  <c r="Q110" i="1"/>
  <c r="E110" i="1"/>
  <c r="A110" i="1"/>
  <c r="Z109" i="1"/>
  <c r="Y109" i="1"/>
  <c r="Y103" i="1"/>
  <c r="Z103" i="1" s="1"/>
  <c r="Q103" i="1"/>
  <c r="E103" i="1"/>
  <c r="A103" i="1"/>
  <c r="Z95" i="1"/>
  <c r="Y95" i="1"/>
  <c r="Q95" i="1"/>
  <c r="Z94" i="1"/>
  <c r="Y94" i="1"/>
  <c r="Q94" i="1"/>
  <c r="E94" i="1"/>
  <c r="A94" i="1"/>
  <c r="G93" i="1"/>
  <c r="Z91" i="1"/>
  <c r="Y91" i="1"/>
  <c r="Q91" i="1"/>
  <c r="E91" i="1"/>
  <c r="Q90" i="1"/>
  <c r="Y90" i="1" s="1"/>
  <c r="Z90" i="1" s="1"/>
  <c r="E90" i="1"/>
  <c r="Q89" i="1"/>
  <c r="Y89" i="1" s="1"/>
  <c r="Z89" i="1" s="1"/>
  <c r="E89" i="1"/>
  <c r="Z88" i="1"/>
  <c r="Y88" i="1"/>
  <c r="Q88" i="1"/>
  <c r="E88" i="1"/>
  <c r="Q87" i="1"/>
  <c r="Y87" i="1" s="1"/>
  <c r="Z87" i="1" s="1"/>
  <c r="E87" i="1"/>
  <c r="Y86" i="1"/>
  <c r="Z86" i="1" s="1"/>
  <c r="Q86" i="1"/>
  <c r="E86" i="1"/>
  <c r="A86" i="1"/>
  <c r="A87" i="1" s="1"/>
  <c r="G85" i="1"/>
  <c r="W84" i="1"/>
  <c r="V84" i="1"/>
  <c r="I84" i="1"/>
  <c r="G84" i="1"/>
  <c r="E84" i="1"/>
  <c r="A84" i="1"/>
  <c r="Z83" i="1"/>
  <c r="Y83" i="1"/>
  <c r="Q83" i="1"/>
  <c r="G83" i="1"/>
  <c r="E83" i="1"/>
  <c r="Q82" i="1"/>
  <c r="Y82" i="1" s="1"/>
  <c r="Z82" i="1" s="1"/>
  <c r="G82" i="1"/>
  <c r="E82" i="1"/>
  <c r="Z81" i="1"/>
  <c r="Y81" i="1"/>
  <c r="Q81" i="1"/>
  <c r="G81" i="1"/>
  <c r="E81" i="1"/>
  <c r="Q80" i="1"/>
  <c r="Y80" i="1" s="1"/>
  <c r="Z80" i="1" s="1"/>
  <c r="G80" i="1"/>
  <c r="E80" i="1"/>
  <c r="Y79" i="1"/>
  <c r="Z79" i="1" s="1"/>
  <c r="Q79" i="1"/>
  <c r="G79" i="1"/>
  <c r="E79" i="1"/>
  <c r="G78" i="1"/>
  <c r="E78" i="1"/>
  <c r="Z77" i="1"/>
  <c r="Y77" i="1"/>
  <c r="Q77" i="1"/>
  <c r="G77" i="1"/>
  <c r="Q76" i="1"/>
  <c r="Y76" i="1" s="1"/>
  <c r="Z76" i="1" s="1"/>
  <c r="G76" i="1"/>
  <c r="E76" i="1"/>
  <c r="A76" i="1"/>
  <c r="A79" i="1" s="1"/>
  <c r="G75" i="1"/>
  <c r="G74" i="1"/>
  <c r="Z73" i="1"/>
  <c r="Y73" i="1"/>
  <c r="Q73" i="1"/>
  <c r="G73" i="1"/>
  <c r="Q72" i="1"/>
  <c r="Y72" i="1" s="1"/>
  <c r="Z72" i="1" s="1"/>
  <c r="G72" i="1"/>
  <c r="E72" i="1"/>
  <c r="Y71" i="1"/>
  <c r="Z71" i="1" s="1"/>
  <c r="Q71" i="1"/>
  <c r="G71" i="1"/>
  <c r="E71" i="1"/>
  <c r="Q70" i="1"/>
  <c r="Y70" i="1" s="1"/>
  <c r="Z70" i="1" s="1"/>
  <c r="G70" i="1"/>
  <c r="E70" i="1"/>
  <c r="Z69" i="1"/>
  <c r="Y69" i="1"/>
  <c r="Q69" i="1"/>
  <c r="G69" i="1"/>
  <c r="E69" i="1"/>
  <c r="A69" i="1"/>
  <c r="G68" i="1"/>
  <c r="E68" i="1"/>
  <c r="Z67" i="1"/>
  <c r="Y67" i="1"/>
  <c r="Q67" i="1"/>
  <c r="G67" i="1"/>
  <c r="E67" i="1"/>
  <c r="Z66" i="1"/>
  <c r="Y66" i="1"/>
  <c r="G65" i="1"/>
  <c r="G58" i="1"/>
  <c r="G57" i="1"/>
  <c r="Q56" i="1"/>
  <c r="Y56" i="1" s="1"/>
  <c r="Z56" i="1" s="1"/>
  <c r="G56" i="1"/>
  <c r="E56" i="1"/>
  <c r="Q55" i="1"/>
  <c r="Y55" i="1" s="1"/>
  <c r="Z55" i="1" s="1"/>
  <c r="G55" i="1"/>
  <c r="E55" i="1"/>
  <c r="Z54" i="1"/>
  <c r="Y54" i="1"/>
  <c r="Q54" i="1"/>
  <c r="G54" i="1"/>
  <c r="E54" i="1"/>
  <c r="A54" i="1"/>
  <c r="G53" i="1"/>
  <c r="E53" i="1"/>
  <c r="G52" i="1"/>
  <c r="E52" i="1"/>
  <c r="G51" i="1"/>
  <c r="E51" i="1"/>
  <c r="G50" i="1"/>
  <c r="E50" i="1"/>
  <c r="G49" i="1"/>
  <c r="E49" i="1"/>
  <c r="G48" i="1"/>
  <c r="E48" i="1"/>
  <c r="Z47" i="1"/>
  <c r="Q47" i="1"/>
  <c r="Y47" i="1" s="1"/>
  <c r="G47" i="1"/>
  <c r="E47" i="1"/>
  <c r="A47" i="1"/>
  <c r="A49" i="1" s="1"/>
  <c r="A50" i="1" s="1"/>
  <c r="A51" i="1" s="1"/>
  <c r="A52" i="1" s="1"/>
  <c r="A53" i="1" s="1"/>
  <c r="Q46" i="1"/>
  <c r="Y46" i="1" s="1"/>
  <c r="Z46" i="1" s="1"/>
  <c r="G46" i="1"/>
  <c r="E46" i="1"/>
  <c r="A46" i="1"/>
  <c r="A55" i="1" s="1"/>
  <c r="Z45" i="1"/>
  <c r="Y45" i="1"/>
  <c r="G45" i="1"/>
  <c r="E45" i="1"/>
  <c r="A45" i="1"/>
  <c r="G44" i="1"/>
  <c r="E44" i="1"/>
  <c r="G43" i="1"/>
  <c r="E43" i="1"/>
  <c r="G42" i="1"/>
  <c r="E42" i="1"/>
  <c r="G41" i="1"/>
  <c r="E41" i="1"/>
  <c r="Z40" i="1"/>
  <c r="Y40" i="1"/>
  <c r="Q40" i="1"/>
  <c r="G40" i="1"/>
  <c r="E40" i="1"/>
  <c r="A40" i="1"/>
  <c r="Z39" i="1"/>
  <c r="Y39" i="1"/>
  <c r="Q39" i="1"/>
  <c r="G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Q23" i="1"/>
  <c r="Y23" i="1" s="1"/>
  <c r="Z23" i="1" s="1"/>
  <c r="G23" i="1"/>
  <c r="E23" i="1"/>
  <c r="Q22" i="1"/>
  <c r="Y22" i="1" s="1"/>
  <c r="Z22" i="1" s="1"/>
  <c r="G22" i="1"/>
  <c r="E22" i="1"/>
  <c r="A22" i="1"/>
  <c r="Z21" i="1"/>
  <c r="Y21" i="1"/>
  <c r="Q21" i="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Z223" i="1" l="1"/>
  <c r="Y223" i="1"/>
  <c r="D14" i="2"/>
  <c r="D30" i="2"/>
  <c r="D46" i="2"/>
  <c r="D62" i="2"/>
  <c r="D78" i="2"/>
  <c r="D15" i="2"/>
  <c r="D31" i="2"/>
  <c r="D47" i="2"/>
  <c r="D63" i="2"/>
  <c r="D79" i="2"/>
  <c r="Y224" i="1"/>
  <c r="Y225" i="1"/>
  <c r="D18" i="2"/>
  <c r="D34" i="2"/>
  <c r="D50" i="2"/>
  <c r="D66" i="2"/>
  <c r="D82" i="2"/>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13" i="2"/>
  <c r="D29" i="2"/>
  <c r="D45" i="2"/>
  <c r="D61" i="2"/>
  <c r="D77" i="2"/>
</calcChain>
</file>

<file path=xl/sharedStrings.xml><?xml version="1.0" encoding="utf-8"?>
<sst xmlns="http://schemas.openxmlformats.org/spreadsheetml/2006/main" count="5331" uniqueCount="2354">
  <si>
    <t>GeoPoll Submission Form</t>
  </si>
  <si>
    <t>FAO - Household Questionnaire</t>
  </si>
  <si>
    <t>Additional notes</t>
  </si>
  <si>
    <t>Q #</t>
  </si>
  <si>
    <t>Q Name</t>
  </si>
  <si>
    <t>Suggested Qname</t>
  </si>
  <si>
    <t>English</t>
  </si>
  <si>
    <t>Length</t>
  </si>
  <si>
    <t>Burmese</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</si>
  <si>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</si>
  <si>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</si>
  <si>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</si>
  <si>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</si>
  <si>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</si>
  <si>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</si>
  <si>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</si>
  <si>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</si>
  <si>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</si>
  <si>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</si>
  <si>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</si>
  <si>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</si>
  <si>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</si>
  <si>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</si>
  <si>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</si>
  <si>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</si>
  <si>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</si>
  <si>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</si>
  <si>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</si>
  <si>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</si>
  <si>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</si>
  <si>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</si>
  <si>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</si>
  <si>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</si>
  <si>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</si>
  <si>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</si>
  <si>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ဖုန်းနံပါတ်- #CATI_MOBILENUMBER#
1)တစ်စုံတစ်ယောက်က ဖြေကြားသည်
2)ဖုန်းဖြေကြားစက်
3)မဖြေကြားပါ
4)ဖုန်းချလိုက်သည် သို့မဟုတ် ဖုန်းကိုင်ရန် ငြင်းဆိုသည်
5)ဖုန်းပြန်ခေါ်သည်
6)သုံးသပ်နေဆဲ
7)ဖုန်းလိုင်း ပြတ်တောက်သွားသည်</t>
  </si>
  <si>
    <t>Single Choice</t>
  </si>
  <si>
    <t>Form Type - Buttons</t>
  </si>
  <si>
    <t>1 = resp_language
2 = AnsweringMachine
3 = NoAnswer
4 = Refusal
5 = WhenCallBack
6 = UnderReview
7 = Disconnected</t>
  </si>
  <si>
    <t>AnsweringMachine</t>
  </si>
  <si>
    <t>calldispo_answeringmachine</t>
  </si>
  <si>
    <t>Reached an answering machine.</t>
  </si>
  <si>
    <t>ဖြေကြားစက်မှ ပြန်လည်ဖြေကြားခဲ့သည်။</t>
  </si>
  <si>
    <t>End Poll AnsweringMachine</t>
  </si>
  <si>
    <t>NoAnswer</t>
  </si>
  <si>
    <t>calldispo_noanswer</t>
  </si>
  <si>
    <t>Phone rang and no one answered.</t>
  </si>
  <si>
    <t>ဖုန်းမြည်ပြီး မည်သူမှပြန်မဖြေပါ။</t>
  </si>
  <si>
    <t>End Poll NoAnswer</t>
  </si>
  <si>
    <t>UnderReview</t>
  </si>
  <si>
    <t>calldispo_underreview</t>
  </si>
  <si>
    <t>Case needs review by a supervisor.</t>
  </si>
  <si>
    <t>ကိစ္စရပ်ကို ကြီးကြပ်သူက ပြန်လည်သုံးသပ်ရန်လိုအပ်သည်။</t>
  </si>
  <si>
    <t>End Poll UnderReview</t>
  </si>
  <si>
    <t>Disconnected</t>
  </si>
  <si>
    <t>calldispo_disconnected</t>
  </si>
  <si>
    <t>Phone was disconnected or out of service.</t>
  </si>
  <si>
    <t>ဖုန်းလိုင်း ပြတ်တောက်သွားခဲ့သည် သို့မဟုတ် ဆက်သွယ်မှုဧရိယာပြင်ပဖြစ်နေခဲ့သည်။</t>
  </si>
  <si>
    <t>End Poll Disconnected</t>
  </si>
  <si>
    <t>resp_language</t>
  </si>
  <si>
    <t>Which language do you wish to proceed with?
[OPERATOR: READ ANSWER CHOICES. SINGLE RESPONSE.]
1)Burmese
2)English [FOR TESTING ONLY]</t>
  </si>
  <si>
    <t>မည်သည့်ဘာသာစကားဖြင့် ဆက်လက်လုပ်ဆောင်လိုပါသလဲ။
[အော်ပရေတာ- အဖြေရွေးချယ်မှုများကို ဖတ်ရှုပါ။ တုံ့ပြန်မှုတစ်ခုသာ။]
1) ဗမာဘာသာ
2) အင်္ဂလိပ်ဘာသာ [စမ်းသပ်ရန်အတွက်သာ]</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</si>
  <si>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</si>
  <si>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</si>
  <si>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</si>
  <si>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</si>
  <si>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and the World Food Programme (WFP). We are conducting a survey on household livelihoods and the ability to access food in your area. I would like to ask you some questions about your household.
The survey usually takes 20/25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</si>
  <si>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မင်္ဂလာပါခင်ဗျာ၊ ကျွန်တော့်နာမည်ကတော့ #OPERATOR# ဖြစ်ပြီး ကုလသမဂ္ဂ စားနပ်ရိက္ခာနှင့်စိုက်ပျိုးရေးအဖွဲ့ (FAO) နှင့် ကုလသမဂ္ဂ ကမ္ဘာ့စားနပ်ရိက္ခာအစီအစဉ် (WFP) လို့ခေါ်တဲ့ လူသားချင်းစာနာမှုအဖွဲ့အစည်းကိုယ်စား GeoPoll Polling Agency ကနေ ခေါ်ဆိုတာဖြစ်ပါတယ်။ ကျွန်ုပ်တို့ဟာ လူကြီးမင်းရဲ့ဒေသအတွင်း အိမ်ထောင်စုများရဲ့ အစားအစာကိုလက်လှမ်းမှီနိုင်မှု နှင့် အသက်မွေးဝမ်းကြောင်းဆိုင်ရာ များကို လေ့လာနေခြင်းဖြစ်ပါတယ်။  လူကြီးမင်း၏အိမ်ထောင်စုနှင့်ပတ်သက်ပြီး မေးခွန်းအချို့ မေးမြန်းလိုပါတယ်။
မေးခွန်းပြီးမြောက်အောင်ဖြေဆိုရန်အတွက် အချိန် 20 - 25 မိနစ်ခန့် ကြာမြင့်နိုင်ပါတယ်။ လူကြီးမင်းဖော်ပြသော မည်သည့်သတင်းအချက်အလက်ကိုမဆို သေချာစွာ လျှို့ဝှက်ထားမည်ဖြစ်ပြီး လေ့လာမှုများ၏ ရည်ရွယ်ချက်အတွက်သာ အသုံးပြုမည်ဖြစ်ကာ အခြားသူများထံ ပြသမည်မဟုတ်ပါ။ မည်သူမည်ဝါဖြစ်ကြောင်း ခွဲခြားသိရှိနိုင်သည့်အချက်အလက်များကို ကောက်ယူမည်မဟုတ်ပါ။ ယခုလို အင်တာဗျူးမေးမြန်းမှုတွင်ပါဝင်မှုသည် လူကြီးမင်း၏ဆန္ဒအလျောက်ပါဝင်မှုသာဖြစ်ပြီး  ဤလေ့လာမှုရလဒ်သည် လူကြီးမင်းတို့အတွက်  အကူအညီတစ်စုံတစ်ရာရရှိနိုင်သည့် အကြောင်းအရာနှင့် လုံးဝဆက်စပ်မှုမရှိပါ။ ဒီအင်တာဗျူးဟာ မိမိသဘောဆန္ဒအလျောက်ပါဝင်နိုင်တဲ့ အင်တာဗျူးဖြစ်ပြီး လူကြီးမင်းဆန္ဒ မရှိပါက မေးခွန်းတစ်စုံတစ်ခုကိုဖြစ်စေ သို့မဟုတ် မေးခွန်းအားလုံးကိုဖြစ်စေ မဖြေကြားရန် ရွေးချယ်နိုင်ပါတယ်။ သို့သော် လူကြီးမင်း၏အမြင်များ ၊ ဖြေဆိုမှုများသည် အရေးကြီးသောကြောင့် လူကြီးမင်းအနေနဲ့ ပါဝင်ပေးဖို့ ကျွန်တော်၊ကျွန်မတို့ မျှော်လင့်ပါတယ်။  
ယခုလေ့လာမှုတွင်ပါဝင်ခြင်းအတွက် လက်ဆောင်အဖြစ် ဖုန်းခေါ်ဆိုခွင့်ပမာဏ #TOPUP# ရရှိမှာ ဖြစ်ပါတယ်။
အရည် အသွေးကို ထိန်းသိမ်း ရန် ရည်ရွယ်ချက်အတွက် ဤခေါ်ဆိုမှုကို မှတ်တမ်းတင်ထားနိုင်သည်ကို ကျေးဇူးပြု၍ သတိပြုပါ။
လူကြီးမင်းအနေဖြင့် မေးမြန်းလိုသည်များ ရှိပါသလား။
[အော်ပရေတာ- ဖြေဆိုသူထံမှ မေးခွန်းများရှိပါက ၎င်းတို့ကို ဖြေဆိုပါ။]
1) ရှေ့ဆက်ရန်</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</si>
  <si>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</si>
  <si>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</si>
  <si>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</si>
  <si>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</si>
  <si>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</si>
  <si>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</si>
  <si>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ဤစစ်တမ်းတွင်ပါဝင်ရန် စိတ်ဝင်စားပါသလား။
[အော်ပရေတာ- တုံ့ပြန်မှုတစ်ခုသာ]
1)ဟုတ် 
2)ယခုစိတ်မဝင်စားသေးသော်လည်း တစ်ပတ်အတွင်း စစ်တမ်းနောက်တစ်ကြိမ်ကျင်းပသောအခါ ပါဝင်မည် 
3)စိတ်မဝင်စားပါ </t>
  </si>
  <si>
    <t>StartRecording</t>
  </si>
  <si>
    <t>1 = resp_firstname
2 = WhenCallBack
3 = resp_refusalwhy</t>
  </si>
  <si>
    <t>if Agree = 1, go to resp_firstname
if Agree = 2, go to WhenCallBack
if Agree = 3, go to resp_refusalwhy</t>
  </si>
  <si>
    <t>resp_refusalwhy</t>
  </si>
  <si>
    <t>Please let us know why you have REFUSED to take the survey.
[OPERATOR: SINGLE RESPONSE]
1)Not interested
2)Do not want to be recorded
3)Other [specify]</t>
  </si>
  <si>
    <t>စစ်တမ်းဖြေဆိုရန် အဘယ်ကြောင့်ငြင်းဆန်သည်ကို ကျွန်ုပ်တို့အား အသိပေးပါ။
[အော်ပရေတာ- တုံ့ပြန်မှုတစ်ခုသာ]
1)စိတ်မဝင်စားသောကြောင့်
2)မှတ်တမ်းတင်ခြင်း ကို မပြုလုပ်ချင်​သော​ကြောင့်
3)အခြား [အသေးစိတ်ဖော်ပြပါ]</t>
  </si>
  <si>
    <t>Open Ended - Single Choice</t>
  </si>
  <si>
    <t>Form Type - RadioList</t>
  </si>
  <si>
    <t>Any Response = Refusal</t>
  </si>
  <si>
    <t>For any response, go to Refusal</t>
  </si>
  <si>
    <t>WhenCallBack</t>
  </si>
  <si>
    <t>resp_whencallback</t>
  </si>
  <si>
    <t>When would it be a good time to call you back?
[RECORD HH/MM/DD/MM OF CALLBACK]</t>
  </si>
  <si>
    <t>လူကြီးမင်းအား မည်သည့်အချိန်တွင် ပြန်လည်ခေါ်ဆိုရန် အဆင်ပြေပါသလဲ။
[ပြန်လည်ခေါ်ဆိုမှု မှတ်တမ်း နာရီ /မိနစ် /ရက်/လ]</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</si>
  <si>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</si>
  <si>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</si>
  <si>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</si>
  <si>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</si>
  <si>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</si>
  <si>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</si>
  <si>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ကျေးဇူးတင်ပါတယ်။ လူကြီးမင်းတောင်းဆိုသော {WhenCallBack} တွင် ဖုန်းပြန်လည်ခေါ်ဆိုပါမယ်။ ကျေးဇူးထပ်မံတင်ရှိပါတယ်။ သာယာတဲ့နေ့လေးဖြစ်ပါစေ။
[အော်ပရေတာ- ဖုန်းခေါ်ဆိုမှုမှတ်တမ်းများကို အောက်တွင် ဖြည့်သွင်းပါ၊ သင်နှင့်စကားပြောဆိုခဲ့သူများနှင့် ၎င်းတို့ပြောဆိုခဲ့သည်များ]</t>
  </si>
  <si>
    <t>Any Response = End poll callback</t>
  </si>
  <si>
    <t>Ineligible</t>
  </si>
  <si>
    <t>You are ineligible for this survey. Thank you for your time and please look out for future surveys!</t>
  </si>
  <si>
    <t>လူကြီးမင်းသည် ဤစစ်တမ်းအတွက် အရည်အချင်းမပြည့်မီပါ။ လူကြီးမင်း၏အချိန်ပေးမှုအတွက် ကျေးဇူးတင်ရှိပြီး နောင်တွင်လည်း GeoPoll စစ်တမ်းများကို ဖြေကြားပေးစေလိုပါတယ်။ ပိုမိုသိရှိလိုပါက GeoPoll.com သို့ ဝင်ရောက်ကြည့်ရှုပါ</t>
  </si>
  <si>
    <t>End Poll Ineligible</t>
  </si>
  <si>
    <t>Refusal</t>
  </si>
  <si>
    <t>NA </t>
  </si>
  <si>
    <t>Thank you for your time, you will be removed from today's survey.</t>
  </si>
  <si>
    <t>လူကြီးမင်း၏အချိန်ပေးမှုအတွက် ကျေးဇူးတင်ပါတယ်၊ လူကြီးမင်းအား ယနေ့စစ်တမ်းမှ ဖယ်ထုတ်သွားမှာဖြစ်ပါတယ်။</t>
  </si>
  <si>
    <t>End poll declined</t>
  </si>
  <si>
    <t>B. GENERAL INFORMATION &amp; ELIGIBILITY CRITERIA</t>
  </si>
  <si>
    <t>resp_age</t>
  </si>
  <si>
    <t>How old are you? 
[OPERATOR: RECORD AGE IN NUMBER OF YEARS. ROUND UP TO NEAREST WHOLE NUMBER. IF THE RESPONDENT GIVES BIRTH YEAR, REPEAT THE QUESTION. ENTER 00 FOR DON'T KNOW.]</t>
  </si>
  <si>
    <t>အသက်ဘယ်လောက်ပါလဲ။ 
[အော်ပရေတာ- အသက်ကို နှစ်အရေအတွက်ဖြင့်မှတ်တမ်းတင်ပါ။ အနီးစပ်ဆုံးကိန်းပြည့်ကို ယူပါ။ အကယ်၍ ဖြေဆိုသူသည် မွေးဖွားသည့်ခုနှစ်ကိုပြောပါက မေးခွန်းကိုပြန်မေးပါ။ မသိပါဟု ဖြေဆိုပါက 00 ဟု ဖြည့်သွင်းပါ။]</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</si>
  <si>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</si>
  <si>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</si>
  <si>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</si>
  <si>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</si>
  <si>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</si>
  <si>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ဖြေဆိုသူသည် ကျား သို့မဟုတ် မ ဖြစ်ပါသလား။
[အော်ပရေတာ- ထိုမေးခွန်းကို မမေးပါနှင့်။ အသံကိုနားထောင်ပြီး မှန်ကန်သောအကွက်တွင် အမှတ်ခြစ်ပါ။]
1)အမျိုးသား
2)အမျိုးသမီး
3)မသိပါ
4)ဖြေဆိုရန် ငြင်းဆန်သည်</t>
  </si>
  <si>
    <t>1-4 = phone_number_conf</t>
  </si>
  <si>
    <t>For any response, go to phone_number_conf</t>
  </si>
  <si>
    <t>hh_admin1</t>
  </si>
  <si>
    <t xml:space="preserve">Currently, in which State/Region does your household reside?
[OPERATOR: SINGLE SELECTION.]
[HINT: HOUSEHOLD CONSISTS OF ALL MEMBERS LIVING TOGETHER, SHARING RESOURCES &amp; EATING FROM THE SAME POT.]
1)AYEYARWADY
2)BAGO
3)CHIN
4)KACHIN
5)KAYAH
6)KAYIN
7)MAGWAY
8)MANDALAY
9)MON
10)NAY PYI TAW
11)RAKHINE
12)SAGAING
13)SHAN
14)TANINTHARYI
15)YANGON
16)DON'T KNOW
17)REFUSED </t>
  </si>
  <si>
    <t xml:space="preserve">လက်ရှိအချိန်၌ လူကြီးမင်း၏အိမ်ထောင်စုသည် မည်သည့်ပြည်နယ်/တိုင်းဒေသကြီးတွင် နေထိုင်သနည်း။
[အော်ပရေတာ- ရွေးချယ်မှုတစ်ခုသာ။]
[အရိပ်အမြွက် - အိမ်ထောင်စုတွင် အတူတကွနေထိုင်ကာ ရင်းမြစ်များကို မျှဝေသုံးစွဲပြီး တစ်အိုးတည်းစားသောက်သော မိသားစုဝင်များအားလုံး ပါဝင်သည်။]
1) ဧရာဝတီ
2) ပဲခူး
3) ချင်း
4) ကချင်
5) ကယား
6) ကရင်
7) မကွေး
8) မန္တလေး
9) မွန်
10) နေပြည်တော်
11) ရခိုင်
12) စစ်ကိုင်း
13) ရှမ်း
14) တနင်္သာရီ
15) ရန်ကုန်
16) မသိပါ
17) ဖြေဆိုရန် ငြင်းဆန်သည် </t>
  </si>
  <si>
    <t>Form Type - Buttons
IsDemographic - ADM1</t>
  </si>
  <si>
    <t>1 = o_hh_admin3_1
2 = o_hh_admin3_2
3 = o_hh_admin3_3
4 = o_hh_admin3_4
5 = o_hh_admin3_5
6 = o_hh_admin3_6
7 = o_hh_admin3_7
8 = o_hh_admin3_8
9 = o_hh_admin3_9
10 = Ineligible
11 = o_hh_admin3_11
12 = o_hh_admin3_12
13 = o_hh_admin3_13
14 = o_hh_admin3_14
15 = o_hh_admin3_15
16,17 = Ineligible</t>
  </si>
  <si>
    <t xml:space="preserve">The administrative information will be updated by GeoPoll based on the sample design document and the administrative boundaries provided by the dashboard team after the questionnaire validation. </t>
  </si>
  <si>
    <t>o_hh_admin3_1</t>
  </si>
  <si>
    <t>o_hh_admin3</t>
  </si>
  <si>
    <t>Currently, in which Township does your household reside?
[OPERATOR: SINGLE RESPONSE.]
1)BOGALE
2)DANUBYU
3)DEDAYE
4)EINME
5)HINTHADA
6)INGAPU
7)KANGYIDAUNT
8)KYAIKLAT
9)KYANGIN
10)KYAUNGGON
11)KYONPYAW
12)LABUTTA
13)LEMYETHNA
14)MAUBIN
15)MAWLAMYINEGYUN
16)MYANAUNG
17)MYAUNGMYA
18)NGAPUDAW
19)NYAUNGDON
20)PANTANAW
21)PATHEIN
22)PYAPON
23)THABAUNG
24)WAKEMA
25)YEGYI
26)ZALUN
27)DON'T KNOW
28)REFUSED</t>
  </si>
  <si>
    <t>လက်ရှိအချိန်တွင် လူကြီးမင်း၏အိမ်ထောင်စုသည် မည်သည့်မြို့နယ်၌ နေထိုင်ပါသနည်း။
[အော်ပရေတာ- တုံ့ပြန်မှုတစ်ခုသာ။]
1)ဘိုကလေး
2)ဓနုဖြူ
3)ဒေးဒရဲ
4)အိမ်မဲ
5)ဟင်္သာတ
6)အင်္ဂပူ
7)ကန်ကြီးထောင့်
8)ကျိုက်လတ်
9)ကြံခင်း
10)ကျောင်းကုန်း
11)ကျုံပျော်
12)လပွတ္တာ
13)လေးမျက်နှာ
14)မအူပင်
15)မော်လမြိုင်ကျွန်း
16)မြန်အောင်
17)မြောင်းမြ
18)ငပုတော
19)ညောင်တုန်း
20)ပန်းတနော်
21)ပုသိမ်
22)ဖျာပုံ
23)သာပေါင်း
24)ဝါးခယ်မ
25)ရေကြည်
26)ဇလွန်
27)မသိပါ
28)ဖြေဆိုရန် ငြင်းဆန်သည်</t>
  </si>
  <si>
    <t>Form Type - Dropdown
IsDemographic - ADM3</t>
  </si>
  <si>
    <t>1-26 = quotareached
27-28 = quotareached</t>
  </si>
  <si>
    <t>o_hh_admin3_2</t>
  </si>
  <si>
    <t xml:space="preserve">Currently, in which Township does your household reside?
[OPERATOR: SINGLE RESPONSE.]
1)BAGO
2)THANATPIN
3)KAWA
4)WAW
5)NYAUNGLEBIN
6)KYAUKTAGA
7)DAIK-U
8)SHWEGYIN
9)TAUNGOO
10)YEDASHE
11)KYAUKKYI
12)PHYU
13)OKTWIN
14)HTANTABIN
15)PYAY
16)PAUKKHAUNG
17)PADAUNG
18)PAUNGDE
19)THEGON
20)SHWEDAUNG
21)THAYARWADY
22)LETPADAN
23)MINHLA
24)OKPHO
25)ZIGON
26)NATTALIN
27)MONYO
28)GYOBINGAUK
29)DON'T KNOW
30)REFUSED </t>
  </si>
  <si>
    <t>လက်ရှိအချိန်တွင် လူကြီးမင်း၏အိမ်ထောင်စုသည် မည်သည့်မြို့နယ်၌ နေထိုင်ပါသနည်း။
[အော်ပရေတာ- တုံ့ပြန်မှုတစ်ခုသာ။]
1)ပဲခူး
2)သနပ်ပင်
3)ကဝ
4)ဝေါ
5)ညောင်လေးပင်
6)ကျောက်တံခါး
7)ဒိုက်ဦး
8)ရွှေကျင်
9)တောင်ငူ
10)ရေတာရှည်
11)ကျောက်ကြီး
12)ဖြူး
13)အုတ်တွင်း
14)ထန်းတပင်
15)ပြည်
16)ပေါက်ခေါင်း
17)ပန်းတောင်း
18)ပေါင်းတည်
19)သဲကုန်း
20)ရွှေတောင်
21)သာယာဝတီ
22)လက်ပံတန်း
23)မင်းလှ
24)အုတ်ဖို
25)ဇီးကုန်း
26)နတ်တလင်း
27)မိုးညို
28)ကြို့ပင်ကောက်
29)မသိပါ
30)ဖြေဆိုရန် ငြင်းဆန်သည်</t>
  </si>
  <si>
    <t>1-28 = quotareached
29-30 = quotareached</t>
  </si>
  <si>
    <t>o_hh_admin3_3</t>
  </si>
  <si>
    <t>Currently, in which Township does your household reside?
[OPERATOR: SINGLE RESPONSE.]
1)FALAM
2)HAKHA
3)KANPETLET
4)MATUPI
5)MINDAT
6)PALETWA
7)TEDIM
8)THANTLANG
9)TONZANG
10)DON'T KNOW
11)REFUSED</t>
  </si>
  <si>
    <t>လက်ရှိအချိန်တွင် လူကြီးမင်း၏အိမ်ထောင်စုသည် မည်သည့်မြို့နယ်၌ နေထိုင်ပါသနည်း။
[အော်ပရေတာ- တုံ့ပြန်မှုတစ်ခုသာ။]
1)ဖလမ်း
2)ဟားခါး
3)ကန်ပက်လက်
4)မတူပီ
5)မင်းတပ်
6)ပလက်ဝ
7)တီးတိန်
8)ထန်တလန်
9)တွန်းဇန်
10)မသိပါ
11)ဖြေဆိုရန် ငြင်းဆန်သည်</t>
  </si>
  <si>
    <t>1-9 = quotareached
10-11 = quotareached</t>
  </si>
  <si>
    <t>o_hh_admin3_4</t>
  </si>
  <si>
    <t>Currently, in which Township does your household reside?
[OPERATOR: SINGLE RESPONSE.]
1)BHAMO
2)CHIPWI
3)HPAKANT
4)INJANGYANG
5)KHAUNGLANHPU
6)MACHANBAW
7)MANSI
8)MOGAUNG
9)MOHNYIN
10)MOMAUK
11)MYITKYINA
12)NAWNGMUN
13)PUTA-O
14)SUMPRABUM
15)TANAI
16)TSAWLAW
17)WAINGMAW
18)DON'T KNOW
19)REFUSED</t>
  </si>
  <si>
    <t>လက်ရှိအချိန်တွင် လူကြီးမင်း၏အိမ်ထောင်စုသည် မည်သည့်မြို့နယ်၌ နေထိုင်ပါသနည်း။
[အော်ပရေတာ- တုံ့ပြန်မှုတစ်ခုသာ။]
1)ဗန်းမော်
2)ချီ​ဖွေ
3)ဖားကန့်
4)အင်ဂျန်းယန်
5)ခေါင်လန်ဖူး
6)မချမ်းဘော
7)မံစီ
8)မိုးကောင်း
9)မိုးညှင်း
10)မိုးမောက်
11)မြစ်ကြီးနား
12)နောင်မွန်း
13)ပူတာအို
14)ဆွမ်ပရာဘွမ်
15)တနိုင်း
16)ဆော့လော်
17)ဝိုင်းမော်
18)မသိပါ
19)ဖြေဆိုရန် ငြင်းဆန်သည်</t>
  </si>
  <si>
    <t>1-17 = quotareached
18-19 = quotareached</t>
  </si>
  <si>
    <t>o_hh_admin3_5</t>
  </si>
  <si>
    <t xml:space="preserve">Currently, in which Township does your household reside?
[OPERATOR: SINGLE RESPONSE.]
1)BAWLAKE
2)DEMOSO
3)HPASAWNG
4)HPRUSO
5)LOIKAW
6)MESE
7)SHADAW
8)DON'T KNOW
9)REFUSED </t>
  </si>
  <si>
    <t>လက်ရှိအချိန်တွင် လူကြီးမင်း၏အိမ်ထောင်စုသည် မည်သည့်မြို့နယ်၌ နေထိုင်ပါသနည်း။
[အော်ပရေတာ- တုံ့ပြန်မှုတစ်ခုသာ။]
1)ဘောလခဲ
2)ဒီးမော့ဆို
3)ဖားဆောင်း
4)ဖရူဆို
5)လွိုင်ကော်
6)မယ်စဲ
7)ရှားတော
8)မသိပါ
9)ဖြေဆိုရန် ငြင်းဆန်သည်</t>
  </si>
  <si>
    <t>1-7 = quotareached
8-9 = quotareached</t>
  </si>
  <si>
    <t>o_hh_admin3_6</t>
  </si>
  <si>
    <t>Currently, in which Township does your household reside?
[OPERATOR: SINGLE RESPONSE.]
1)HLAINGBWE
2)HPA-AN
3)HPAPUN
4)KAWKAREIK
5)KYAINSEIKGYI
6)MYAWADDY
7)THANDAUNGGYI
8)DON'T KNOW
9)REFUSED</t>
  </si>
  <si>
    <t>လက်ရှိအချိန်တွင် လူကြီးမင်း၏အိမ်ထောင်စုသည် မည်သည့်မြို့နယ်၌ နေထိုင်ပါသနည်း။
[အော်ပရေတာ- တုံ့ပြန်မှုတစ်ခုသာ။]
1)လှိုင်းဘွဲ့
2)ဘားအံ
3)ဖာပွန်
4)ကော့ကရိတ်
5)ကြာအင်းဆိပ်ကြီး
6)မြဝတီ
7)သံတောင်ကြီး
8)မသိပါ
9)ဖြေဆိုရန် ငြင်းဆန်သည်</t>
  </si>
  <si>
    <t>o_hh_admin3_7</t>
  </si>
  <si>
    <t xml:space="preserve">Currently, in which Township does your household reside?
[OPERATOR: SINGLE RESPONSE.]
1)AUNGLAN
2)CHAUK
3)GANGAW
4)KAMMA
5)MAGWAY
6)MINBU
7)MINDON
8)MINHLA
9)MYAING
10)MYOTHIT
11)NATMAUK
12)NGAPE
13)PAKOKKU
14)PAUK
15)PWINTBYU
16)SALIN
17)SAW
18)SEIKPHYU
19)SIDOKTAYA
20)SINBAUNGWE
21)TAUNGDWINGYI
22)THAYET
23)TILIN
24)YENANGYAUNG
25)YESAGYO
26)DON'T KNOW
27)REFUSED </t>
  </si>
  <si>
    <t>လက်ရှိအချိန်တွင် လူကြီးမင်း၏အိမ်ထောင်စုသည် မည်သည့်မြို့နယ်၌ နေထိုင်ပါသနည်း။
[အော်ပရေတာ- တုံ့ပြန်မှုတစ်ခုသာ။]
1)အောင်လံ
2)ချောက်
3)ဂန့်ဂေါ
4)ကံမ
5)မကွေး
6) မင်းဘူး
7)မင်းတုန်း
8)မင်းလှ
9)မြိုင်
10) မြို့သစ်
11)နတ်မောက်
12)ငဖဲ
13)ပခုက္ကူ
14)ပေါက်
15)ပွင့်ဖြူ
16)စလင်း
17)ဆော
18)ဆိပ်ဖြူ
19)စေတုတ္ထရာ
20)ဆင်ပေါင်ဝဲ
21)တောင်တွင်းကြီး
22)သရက်
23)ထီးလင်း
24)ရေနံချောင်း
25)ရေစကြို
26)မသိပါ
27)ဖြေဆိုရန် ငြင်းဆန်သည်</t>
  </si>
  <si>
    <t>1-25 = quotareached
26-27 = quotareached</t>
  </si>
  <si>
    <t>o_hh_admin3_8</t>
  </si>
  <si>
    <t xml:space="preserve">Currently, in which Township does your household reside?
[OPERATOR: SINGLE RESPONSE.]
1)KYAUKSE
2)PATHEINGYI
3)CHANAYETHAZAN
4)AUNGMYAYTHAZAN
5)YAMETHIN
6)MADAYA
7)THABEIKKYIN
8)MAHAAUNGMYAY
9)AMARAPURA
10)PYINOOLWIN
11)SINTGAING
12)CHANMYATHAZI
13)THAZI
14)TADA-U
15)MOGOKE
16)PYIGYITAGON
17)PYAWBWE
18)NYAUNG-U
19)MEIKTILA
20)MAHLAING
21)TAUNGTHA
22)MYITTHA
23)MYINGYAN
24)NATOGYI
25)SINGU
26)NGAZUN
27)KYAUKPADAUNG
28)WUNDWIN
29)DON'T KNOW
30)REFUSEDD </t>
  </si>
  <si>
    <t xml:space="preserve">လက်ရှိအချိန်တွင် လူကြီးမင်း၏အိမ်ထောင်စုသည် မည်သည့်မြို့နယ်၌ နေထိုင်ပါသနည်း။
[အော်ပရေတာ- တုံ့ပြန်မှုတစ်ခုသာ။]
1)ကျောက်ဆည်
2)ပုသိမ်ကြီး
3)ချမ်းအေးသာစံ
4)အောင်မြေသာစံ
5)ရမည်းသင်း
6)မတ္တရာ
7)သပိတ်ကျင်း
8)မဟာအောင်မြေ
9)အမရပူရ
10)ပြင်ဦးလွင်
11)စဉ့်ကိုင်
12)ချမ်းမြသာစည်
13)သာစည်
14)တံတားဦး
15)မိုးကုတ်
16)ပြည်ကြီးတံခွန်
17)ပျော်ဘွယ်
18)ညောင်ဦး
19)မိတ္ထီလာ
20)မလှိုင်
21)တောင်သာ
22)မြစ်သား
23)မြင်းခြံ
24)နွားထိုးကြီး
25)စဉ့်ကူး
26)ငါန်းဇွန်
27)ကျောက်ပန်းတောင်း
28)ဝမ်းတွင်း
29)မသိပါ
30)ဖြေဆိုရန် ငြင်းဆန်သည်
</t>
  </si>
  <si>
    <t>o_hh_admin3_9</t>
  </si>
  <si>
    <t xml:space="preserve">Currently, in which Township does your household reside?
[OPERATOR: SINGLE RESPONSE.]
1)BILIN
2)CHAUNGZON
3)KYAIKMARAW
4)KYAIKTO
5)MAWLAMYINE
6)MUDON
7)PAUNG
8)THANBYUZAYAT
9)THATON
10)YE
11)DON'T KNOW
12)REFUSED </t>
  </si>
  <si>
    <t>လက်ရှိအချိန်တွင် လူကြီးမင်း၏အိမ်ထောင်စုသည် မည်သည့်မြို့နယ်၌ နေထိုင်ပါသနည်း။
[အော်ပရေတာ- တုံ့ပြန်မှုတစ်ခုသာ။]
1)ဘီးလင်း
2)ချောင်းဆုံ
3)ကျိုက်မရော
4)ကျိုက်ထို
5)မော်လမြိုင်
6)မုဒုံ
7)ပေါင်
8)သံဖြူဇရပ်
9)သထုံ
10)ရေး
11)မသိပါ
12)ဖြေဆိုရန် ငြင်းဆန်သည်</t>
  </si>
  <si>
    <t>1-10 = quotareached
11-12 = quotareached</t>
  </si>
  <si>
    <t>o_hh_admin3_11</t>
  </si>
  <si>
    <t>Currently, in which Township does your household reside?
[OPERATOR: SINGLE RESPONSE.]
1)ANN
2)BUTHIDAUNG
3)GWA
4)KYAUKPYU
5)KYAUKTAW
6)MAUNGDAW
7)MINBYA
8)MRAUK-U
9)MUNAUNG
10)MYEBON
11)PAUKTAW
12)PONNAGYUN
13)RAMREE
14)RATHEDAUNG
15)SITTWE
16)THANDWE
17)TOUNGUP
18)DON'T KNOW
19)REFUSED</t>
  </si>
  <si>
    <t>လက်ရှိအချိန်တွင် လူကြီးမင်း၏အိမ်ထောင်စုသည် မည်သည့်မြို့နယ်၌ နေထိုင်ပါသနည်း။
[အော်ပရေတာ- တုံ့ပြန်မှုတစ်ခုသာ။]
1)အမ်း
2)ဘူးသီးတောင်
3)ဂွ
4)ကျောက်ဖြူ
5)ကျောက်တော်
6)မောင်တော
7)မင်းပြား
8)မြောက်ဦး
9)မာန်အောင်
10)မြေပုံ
11)ပေါက်တော
12)ပုဏ္ဏားကျွန်း
13)ရမ်းဗြဲ
14)ရသေ့တောင်
15)စစ်တွေ
16)သံတွဲ
17)တောင်ကုတ်
18)မသိပါ
19)ဖြေဆိုရန် ငြင်းဆန်သည်</t>
  </si>
  <si>
    <t>o_hh_admin3_12</t>
  </si>
  <si>
    <t>Currently, in which Township does your household reside?
[OPERATOR: SINGLE RESPONSE.]
1)SAGAING
2)MYINMU
3)MYAUNG
4)SHWEBO
5)KHIN-U
6)WETLET
7)KANBALU
8)KYUNHLA
9)YE-U
10)TABAYIN
11)TAZE
12)MONYWA
13)BUDALIN
14)AYADAW
15)CHAUNG-U
16)YINMARBIN
17)KANI
18)SALINGYI
19)PALE
20)KATHA
21)INDAW
22)TIGYAING
23)BANMAUK
24)KAWLIN
25)WUNTHO
26)PINLEBU
27)KALE
28)KALEWA
29)MINGIN
30)TAMU
31)MAWLAIK
32)PAUNGBYIN
33)HKAMTI
34)HOMALIN
35)LAY SHI
36)LAHE
37)NANYUN
38)DON'T KNOW
39)REFUSED</t>
  </si>
  <si>
    <t>လက်ရှိအချိန်တွင် လူကြီးမင်း၏အိမ်ထောင်စုသည် မည်သည့်မြို့နယ်၌ နေထိုင်ပါသနည်း။
[အော်ပရေတာ- တုံ့ပြန်မှုတစ်ခုသာ။]
1)စစ်ကိုင်း
2)မြင်းမူ
3)မြောင်
4)ရွှေဘို
5)ခင်ဦး
6)ဝက်လက်
7)ကန့်ဘလူ
8)ကျွန်းလှ
9)ရေဦး
10)ဒီပဲယင်း
11)တန့်ဆည်
12)မုံရွာ
13)ဘုတလင်
14)အရာတော်
15)ချောင်းဦး
16)ယင်းမာပင်
17)ကနီ
18)ဆားလင်းကြီး
19)ပုလဲ
20)ကသာ
21)အင်းတော်
22)ထီးချိုင့်
23)ဗန်းမောက်
24)ကောလင်း
25)ဝန်းသို
26)ပင်လည်ဘူး
27)ကလေး
28)ကလေးဝ
29)မင်းကင်း
30)တမူး
31)မော်လိုက်
32)ဖောင်းပြင်
33)ခန္တီး
34)ဟုမ္မလင်း
35)လေရှီး
36)လဟယ်
37)နန်းယွန်း
38)မသိပါ
39)ဖြေဆိုရန် ငြင်းဆန်သည်</t>
  </si>
  <si>
    <t>1-37 = quotareached
38-39 = quotareached</t>
  </si>
  <si>
    <t>o_hh_admin3_13</t>
  </si>
  <si>
    <t>Currently, in which Township does your household reside?
[OPERATOR: SINGLE RESPONSE.]
1)TAUNGGYI
2)NYAUNGSHWE
3)HOPONG
4)HSIHSENG
5)KALAW
6)PINDAYA
7)YWANGAN
8)LAWKSAWK
9)PINLAUNG
10)PEKON
11)LOILEN
12)LAIHKA
13)NANSANG
14)KUNHING
15)KYETHI
16)MONGKAING
17)MONGHSU
18)LANGKHO
19)MONGNAI
20)MAWKMAI
21)MONGPAN
22)LASHIO
23)HSENI
24)MONGYAI
25)TANGYAN
26)PANGSANG
27)NARPHAN
28)PANGWAUN
29)MONGMAO
30)MUSE
31)NAMHKAN
32)KUTKAI
33)KYAUKME
34)NAWNGHKIO
35)HSIPAW
36)NAMTU
37)NAMHSAN
38)MONGMIT
39)MABEIN
40)MANTON
41)KUNLONG
42)HOPANG
43)LAUKKAING
44)KONKYAN
45)MATMAN
46)KENGTUNG
47)MONGKHET
48)MONGYANG
49)MONGLA
50)MONGHSAT
51)MONGPING
52)MONGTON
53)TACHILEIK
54)MONGHPYAK
55)MONGYAWNG
56)DON'T KNOW
57)REFUSED</t>
  </si>
  <si>
    <t>လက်ရှိအချိန်တွင် လူကြီးမင်း၏အိမ်ထောင်စုသည် မည်သည့်မြို့နယ်၌ နေထိုင်ပါသနည်း။
[အော်ပရေတာ- တုံ့ပြန်မှုတစ်ခုသာ။]
1)တောင်ကြီး
2)ညောင်ရွှေ
3)ဟိုပုံး
4)ဆီဆိုင်
5)ကလော
6)ပင်းတယ
7)ရွာငံ
8)ရပ်စောက်
9)ပင်လောင်း
10)ဖယ်ခုံ
11)လွိုင်လင်
12)လဲချား
13)နမ့်စန်
14)ကွန်ဟိန်း
15)ကျေးသီး
16)မိုင်းကိုင်
17)မိုင်းရှူး
18)လင်းခေး
19)မိုးနဲ
20)မောက်မယ်
21)မိုင်းပန်
22)လားရှိုး
23)သိန္နီ
24)မိုင်းရယ်
25)တန့်ယန်း
26)ပန်ဆန်း (ပန်ခမ်း)
27)နားဖန်း
28)ပန်ဝိုင်
29)မိုင်းမော
30)မူဆယ်
31)နမ့်ခမ်း
32)ကွတ်ခိုင်
33)ကျောက်မဲ
34)နောင်ချို
35)သီပေါ
36)နမ္မတူ
37)နမ့်ဆန်
38)မိုးမိတ်
39)မဘိမ်း
40)မန်တုံ
41)ကွမ်းလုံ
42)ဟိုပန်
43)လောက်ကိုင်
44)ကုန်းကြမ်း
45)မက်မန်း
46)ကျိုင်းတုံ
47)မိုင်းခတ်
48)မိုင်းယန်း
49)မိုင်းလား
50)မိုင်းဆတ်
51)မိုင်းပျဉ်း
52)မိုင်းတုံ
53)တာချီလိတ်
54)မိုင်းဖြတ်
55)မိုင်းယောင်း
56)မသိပါ
57)ဖြေဆိုရန် ငြင်းဆန်သည်</t>
  </si>
  <si>
    <t>1-55 = quotareached
56-57 = quotareached</t>
  </si>
  <si>
    <t>o_hh_admin3_14</t>
  </si>
  <si>
    <t>Currently, in which Township does your household reside?
[OPERATOR: SINGLE RESPONSE.]
1)DAWEI
2)LAUNGLON
3)THAYETCHAUNG
4)YEBYU
5)MYEIK
6)KYUNSU
7)PALAW
8)TANINTHARYI
9)KAWTHOUNG
10)BOKPYIN
11)DON'T KNOW
12)REFUSED</t>
  </si>
  <si>
    <t xml:space="preserve">လက်ရှိအချိန်တွင် လူကြီးမင်း၏အိမ်ထောင်စုသည် မည်သည့်မြို့နယ်၌ နေထိုင်ပါသနည်း။
[အော်ပရေတာ- တုံ့ပြန်မှုတစ်ခုသာ။]
1)ထားဝယ်
2)လောင်းလုံး
3)သရက်ချောင်း
4)ရေဖြူ
5)မြိတ်
6)ကျွန်းစု
7)ပုလော
8)တနင်္သာရီ
9)ကော့သောင်း
10)ဘုတ်ပြင်း
11)မသိပါ
12)ဖြေဆိုရန် ငြင်းဆန်သည်
</t>
  </si>
  <si>
    <t>o_hh_admin3_15</t>
  </si>
  <si>
    <t xml:space="preserve">Currently, in which Township does your household reside?
[OPERATOR: SINGLE RESPONSE.]
1)AHLONE
2)BAHAN
3)BOTAHTAUNG
4)COCOKYUN
5)DAGON
6)DAGON MYOTHIT [EAST]
7)DAGON MYOTHIT [NORTH]
8)DAGON MYOTHIT [SEIKKAN]
9)DAGON MYOTHIT [SOUTH]
10)DALA
11)DAWBON
12)HLAING
13)HLAINGTHARYA [EAST]
14)HLAINGTHARYA [WEST]
15)HLEGU
16)HMAWBI
17)HTANTABIN
18)INSEIN
19)KAMARYUT
20)KAWHMU
21)KAYAN
22)KUNGYANGON
23)KYAUKTADA
24)KYAUKTAN
25)KYEEMYINDAING
26)LANMADAW
27)LATHA
28)MAYANGONE
29)MINGALADON
30)MINGALARTAUNGNYUNT
31)NORTH OKKALAPA
32)PABEDAN
33)PAZUNDAUNG
34)SANCHAUNG
35)SEIKGYIKANAUNGTO
36)SHWEPYITHAR
37)SOUTH OKKALAPA
38)TAIKKYI
39)TAMWE
40)THAKETA
41)THANLYIN
42)THINGANGYUN
43)THONGWA
44)TWANTAY
45)YANKIN
46)DON'T KNOW
47)REFUSED </t>
  </si>
  <si>
    <t>လက်ရှိအချိန်တွင် လူကြီးမင်း၏အိမ်ထောင်စုသည် မည်သည့်မြို့နယ်၌ နေထိုင်ပါသနည်း။
[အော်ပရေတာ- တုံ့ပြန်မှုတစ်ခုသာ။]
1)အလုံ
2)ဗဟန်း
3)ဗိုလ်တထောင်
4)ကိုကိုးကျွန်း
5)ဒဂုံ
6)ဒဂုံမြို့သစ် [အရှေ့ပိုင်း]
7)ဒဂုံမြို့သစ် [မြောက်ပိုင်း]
8)ဒဂုံမြို့သစ် [ဆိပ်ကမ်း]
9)ဒဂုံမြို့သစ် [တောင်ပိုင်း]
10)ဒလ
11)ဒေါပုံ
12)လှိုင်
13)လှိုင်သာယာ [အရှေ့ပိုင်း]
14)လှိုင်သာယာ [အနောက်ပိုင်း]
15)လှည်းကူး
16)မှော်ဘီ
17)ထန်းတပင်
18)အင်းစိန်
19)ကမာရွတ်
20)ကော့မှုး
21)ခရမ်း
22)ကွမ်းခြံကုန်း
23)ကျောက်တံတား
24)ကျောက်တန်း
25)ကြည့်မြင်တိုင်
26)လမ်းမတော်
27)လသာ
28)မရမ်းကုန်း
29)မင်္ဂလာဒုံ
30)မင်္ဂလာတောင်ညွန့်
31)မြောက်ဥက္ကလာပ
32)ပန်းဘဲတန်း
33)ပုဇွန်တောင်
34)စမ်းချောင်း
35)ဆိပ်ကြီး/ခနောင်တို
36)ရွှေပြည်သာ
37)တောင်ဥက္ကလာပ
38)တိုက်ကြီး
39)တာမွေ
40)သာကေတ
41)သန်လျင်
42)သင်္ဃန်းကျွန်း
43)သုံးခွ
44)တွံတေး
45)ရန်ကင်း
46)မသိပါ
47)ဖြေဆိုရန် ငြင်းဆန်သည်</t>
  </si>
  <si>
    <t>1-4 = quotareached
5 = Ineligible
6-7 = quotareached
8 = Ineligible
9-22 = quotareached
23 = Ineligible
24-26 = quotareached
27 = Ineligible
28-45 = quotareached
46-47 = Ineligible</t>
  </si>
  <si>
    <t>quotareached</t>
  </si>
  <si>
    <t>[OPERATOR: DO NOT READ. ANSWER QUESTION BELOW.]
THIS RESPONDENT REPORTED THEY LIVE IN:
{ADM1}
{ADM3}
1)THE GOAL FOR THIS LOCATION HAS BEEN ACHIEVED - END SURVEY
2)THE GOAL FOR THIS LOCATION IS OPEN - CONTINUE SURVEY</t>
  </si>
  <si>
    <t>[အော်ပရေတာ- မဖတ်ပါနှင့်။ အောက်ပါမေးခွန်းကို ဖြေဆိုပါ။]
ဖြေဆိုသူသည် ၎င်းတို့နေထိုင်ရာအရပ်ကို ဤသို့ဖော်ပြခဲ့သည်
{ADM1}
{ADM3}
1)ဤနေရာအတွက် ရည်မှန်းချက် အောင်မြင်ခဲ့ပြီဖြစ်ပါသည်- စစ်တမ်းအား အဆုံးသတ်ရန်
2)ဤနေရာအတွက် ရည်မှန်းချက်ကို ကြိုးပမ်းနိုင်ဆဲဖြစ်ပါသည်- စစ်တမ်းအား ရှေ့ဆက်ရန်</t>
  </si>
  <si>
    <t>1 = End Poll Quota Reached
2 = hh_agricactivity</t>
  </si>
  <si>
    <t>RuralUrban</t>
  </si>
  <si>
    <t>Are you living in a rural or urban area?
[OPERATOR: CHOOSE ONLY ONE OPTION]
1)RURAL [Village] AREA
2)URBAN [Ward] AREA
3)DON'T KNOW
4)REFUSED</t>
  </si>
  <si>
    <t>လူကြီးမင်းသည် ကျေးလက်ဒေသ သို့မဟုတ် မြို့ပြဒေသတွင် နေထိုင်ပါသလား။
[အော်ပရေတာ- ရွေးချယ်မှုတစ်ခုသာ ရွေးချယ်ပါ]
1)ကျေးလက်ဒေသ [သို့မတုတ်] ရွာ
2)မြို့ပြဒေသ [သို့မဟုတ်] ရပ်ကွက်
3)မသိပါ
4)ဖြေဆိုရန် ငြင်းဆန်သည်</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</si>
  <si>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</si>
  <si>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</si>
  <si>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ရွှေ့ပြောင်းမွေးမြူရေးအတွက် လက်ရှိ အဝေးတွင်ရောက်ရှိနေသော အိမ်ထောင်စုပါ မိသားစုဝင်အပါအဝင် လူကြီးမင်း၏အိမ်ထောင်စုထဲမှ တစ်ဦးတစ်ယောက်သည် လွန်ခဲ့သော 12 လအတွင်း အိမ်ထောင်စု စားသောက်ရန် သို့မဟုတ် ရောင်းချရန်အတွက် ကောက်ပဲသီးနှံများ စိုက်ပျိုးရေး သို့မဟုတ် မွေးမြူရေး လုပ်ကိုင်ခဲ့ပါသလား။
[အော်ပရေတာ- တုံ့ပြန်မှုတစ်ခုသာ။ ဤသည်မှာ အဓိကအကဲဖြတ်မေးခွန်းဖြစ်သည်။ ဖြေဆိုသူသည် မဖြေမနေရ ဖြေဆိုရမည်ဖြစ်သည်။ ရွှေ့ပြောင်းမွေးမြူးရေးအကြောင်း မေးမြန်းရန် မမေ့ပါနှင့်။]
[အရိပ်အမြွက် - အိမ်ထောင်စုတွင် အတူတကွနေထိုင်ကာ ရင်းမြစ်များကို မျှဝေသုံးစွဲပြီး တစ်အိုးတည်းစားသောက်သော မိသားစုဝင်များအားလုံး ပါဝင်သည်။]
[ငါးဖမ်းခြင်း/ငါးမွေးမြူရေးလုပ်ငန်းသည် တိရစ္ဆာန်မွေးမြူရေးမဟုတ်ပါ။ ရောင်းချရန်မဟုတ်သောပန်းစိုက်ပျိုးခြင်းသည် သီးနှံထုတ်လုပ်ခြင်းမဟုတ်ပါ]
1)လုပ်ကိုင်ပါသည် - ကောက်ပဲသီးနှံ စိုက်ပျိုးထုတ်လုပ်ရေး
2)လုပ်ကိုင်ပါသည် - မွေးမြူရေး
3)လုပ်ကိုင်ပါသည်- ကောက်ပဲသီးနှံစိုက်ပျိုးရေးနှင့် မွေးမြူရေးလုပ်ငန်းနှစ်ခုလုံး 
4)မလုပ်ကိုင်ပါ
5)မသိပါ
6)ဖြေဆိုရန် ငြင်းဆန်သည် </t>
  </si>
  <si>
    <t>1 = hh_agricactivity_Check1
2 = hh_agricactivity_Check2
3 = hh_agricactivity_Check3
4 = hh_agricactivity_Check4
5-6 = Ineligible</t>
  </si>
  <si>
    <t xml:space="preserve">if hh_agricactivity = 1-4, go to resp_id. Otherwise, the respondent is ineligible. </t>
  </si>
  <si>
    <t>hh_agricactivity_Check1</t>
  </si>
  <si>
    <t>You reported that you or someone in your household participated in crop production activities , but no one cared for animals/livestock for household income/consumption at any time during the past 12 months (1 year). Is this correct?
[OPERATOR: IF YES, SELECT "NEXT". IF NO, GO BACK TO THE PREVIOUS QUESTION AND CORRECT THE ANSWER.]
[FISHING/AQUACULTURE IS NOT LIVESTOCK PRODUCTION. FLOWER PLANTING IS NOT CROP PRODUCTION]
1)NEXT</t>
  </si>
  <si>
    <t xml:space="preserve">သင် သို့မဟုတ် သင့်အိမ်ထောင်စုရှိ တစ်စုံတစ်ဦးသည် လွန်ခဲ့သည့် 12 လ (1 နှစ်) အတွင်း ကောက်ပဲသီးနှံစိုက်ပျိုးရေး  လုပ်ကိုင်ခဲ့သော်လည်း သင်၏ အိမ်ထောင်စု၏ ဝင်ငွေ/စားသုံးမှုအတွက် တိရစ္ဆာန်မွေးမြူရေးကို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ရောင်းချရန်မဟုတ်သောပန်းစိုက်ပျိုးခြင်းသည် သီးနှံထုတ်လုပ်ခြင်းမဟုတ်ပါ]
1) နောက်တစ်ခု     </t>
  </si>
  <si>
    <t>1=resp_id</t>
  </si>
  <si>
    <t>hh_agricactivity_Check2</t>
  </si>
  <si>
    <t>You reported that you or someone in your household participated in livestock activities, but no one cultivated plants for household income/consumption at any time during the past 12 months (1 year). Is this correct?
[OPERATOR: IF YES, SELECT "NEXT". IF NO, GO BACK TO THE PREVIOUS QUESTION AND CORRECT THE ANSWER.]
[FISHING/AQUACULTURE IS NOT LIVESTOCK PRODUCTION. FLOWER PLANTING IS NOT CROP PRODUCTION]
1)NEXT</t>
  </si>
  <si>
    <t xml:space="preserve">သင် သို့မဟုတ် သင့်အိမ်ထောင်စုရှိ တစ်စုံတစ်ဦးသည် လွန်ခဲ့သည့် 12 လ (1 နှစ်) အတွင်း တိရစ္ဆာန်မွေးမြူရေး  လုပ်ကိုင်ခဲ့သော်လည်း သင်၏ အိမ်ထောင်စု၏ ဝင်ငွေ/စားသုံးမှုအတွက် ကောက်ပဲသီးနှံစိုက်ပျိုးရေးကို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ရောင်းချရန်မဟုတ်သောပန်းစိုက်ပျိုးခြင်းသည် သီးနှံထုတ်လုပ်ခြင်းမဟုတ်ပါ]
1) နောက်တစ်ခု </t>
  </si>
  <si>
    <t>hh_agricactivity_Check3</t>
  </si>
  <si>
    <t>You reported that you or someone in your household participated in crop production and livestock activities for household income or consumption during the past 12 months (1 year). Is this correct?
[OPERATOR: IF YES, SELECT "NEXT". IF NO, GO BACK TO THE PREVIOUS QUESTION AND CORRECT THE ANSWER.]
[FISHING/AQUACULTURE IS NOT LIVESTOCK PRODUCTION. FLOWER PLANTING IS NOT CROP PRODUCTION]
1)NEXT</t>
  </si>
  <si>
    <t xml:space="preserve">သင် သို့မဟုတ် သင့်အိမ်ထောင်စုရှိ တစ်စုံတစ်ဦးသည် လွန်ခဲ့သည့် 12 လ (1 နှစ်) အတွင်း သင်၏ အိမ်ထောင်စု၏ ဝင်ငွေ/စားသုံးမှုအတွက် တိရစ္ဆာန်မွေးမြူရေးရော ကောက်ပဲသီးနှံစိုက်ပျိုးရေးကိုပါ ပြုလုပ်ခဲ့သည်ဟု ဖြေဆိုခဲ့သည်။ ထိုအချက်သည် မှန်ကန်ပါသလား။                                                
[အော်ပရေတာ- ဟုတ်ပါက၊ "နောက်တစ်ခု" ကို ရွေးပါ။ မဟုတ်ပါက၊ ယခင်မေးခွန်းသို့ ပြန်သွားပြီး အဖြေကို ပြင်ပါ။]
[ငါးဖမ်းခြင်း/ငါးမွေးမြူရေးလုပ်ငန်းသည် တိရစ္ဆာန်မွေးမြူရေးမဟုတ်ပါ။ ရောင်းချရန်မဟုတ်သောပန်းစိုက်ပျိုးခြင်းသည် သီးနှံထုတ်လုပ်ခြင်းမဟုတ်ပါ]
1) နောက်တစ်ခု   </t>
  </si>
  <si>
    <t>hh_agricactivity_Check4</t>
  </si>
  <si>
    <t>You reported that no one in your household  participated in  livestock activities or cultivated plants for household income /consumption at any time during the past 12 months (1 year). Is this correct?
[OPERATOR: IF YES, SELECT "NEXT". IF NO, GO BACK TO THE PREVIOUS QUESTION AND CORRECT THE ANSWER.]
[FISHING/AQUACULTURE IS NOT LIVESTOCK PRODUCTION. FLOWER PLANTING IS NOT CROP PRODUCTION]
1)NEXT</t>
  </si>
  <si>
    <t xml:space="preserve">သင် သို့မဟုတ် သင့်အိမ်ထောင်စုရှိ တစ်စုံတစ်ဦးသည် လွန်ခဲ့သည့် 12 လ (1 နှစ်) အတွင်း သင်၏ အိမ်ထောင်စု၏ ဝင်ငွေ/စားသုံးမှုအတွက် တိရစ္ဆာန်မွေးမြူရေးရော ကောက်ပဲသီးနှံစိုက်ပျိုးရေးကိုပါ မပြုလုပ်ခဲ့ပါဟု ဖြေဆိုခဲ့သည်။ ထိုအချက်သည် မှန်ကန်ပါသလား။                                                
[အော်ပရေတာ- ဟုတ်ပါက၊ "နောက်တစ်ခု" ကို ရွေးပါ။ မဟုတ်ပါက၊ ယခင်မေးခွန်းသို့ ပြန်သွားပြီး အဖြေကို ပြင်ပါ။]
[ငါးဖမ်းခြင်း/ငါးမွေးမြူရေးလုပ်ငန်းသည် တိရစ္ဆာန်မွေးမြူရေးမဟုတ်ပါ။ ရောင်းချရန်မဟုတ်သောပန်းစိုက်ပျိုးခြင်းသည် သီးနှံထုတ်လုပ်ခြင်းမဟုတ်ပါ]
1) နောက်တစ်ခု   </t>
  </si>
  <si>
    <t>resp_id</t>
  </si>
  <si>
    <t xml:space="preserve">Are you the head of household? 
[OPERATOR: SINGLE RESPONSE.]
1)Yes
2)No
3)DON'T KNOW
4)REFUSED
</t>
  </si>
  <si>
    <t>1 = hh_education 
2-4 = hh_gender</t>
  </si>
  <si>
    <t>if resp_id = 1, go to hh_education. 
Otherwise, go to hh_gender.</t>
  </si>
  <si>
    <t>hh_gender</t>
  </si>
  <si>
    <t>Is the head of your household male or female?
[OPERATOR: SINGLE RESPONSE.]
1)Male 
2)Female
3)DON'T KNOW
4)REFUSED</t>
  </si>
  <si>
    <t>လူကြီးမင်းအိမ်ထောင်စု၏ အိမ်ထောင်ဦးစီးသည် အမျိုးသား သို့မဟုတ် အမျိုးသမီးပါလား။
[အော်ပရေတာ- တုံ့ပြန်မှုတစ်ခုသာ။]
1)အမျိုးသား 
2)အမျိုးသမီး
3)မသိပါ
4)ဖြေဆိုရန် ငြင်းဆန်သည်</t>
  </si>
  <si>
    <t>1-4 = hh_education</t>
  </si>
  <si>
    <t>if hh_gender = 1-4, go to hh_education.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</si>
  <si>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</si>
  <si>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</si>
  <si>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အိမ်ထောင်စုမှာ လူဦးရေ ဘယ်လောက်ရှိပါသလဲ။
[အရိပ်အမြွက် - အိမ်ထောင်စုတွင် အတူတကွနေထိုင်ကာ ရင်းမြစ်များကို မျှဝေသုံးစွဲပြီး တစ်အိုးတည်းစားသောက်သော မိသားစုဝင်များအားလုံး ပါဝင်သည်။]
[အော်ပရေတာ- အိမ်ထောင်စုဝင်အရေအတွက်ကိုမှတ်သားပါ။ မသိပါဟု ဖြေဆိုပါက 88 ဟု ဖြည့်သွင်းပြီး ဖြေဆိုရန် ငြင်းဆန်သည်ကို ရွေးချယ်ပါက 99 ဟု ဖြည့်သွင်းပါ။]</t>
  </si>
  <si>
    <t>1-50 = hh_asset_prod
88-88 = hh_asset_prod
99-99 = hh_asset_prod</t>
  </si>
  <si>
    <t>For any response, go to [next question]</t>
  </si>
  <si>
    <t>hhsizeconfirm</t>
  </si>
  <si>
    <t>These {hh_size} people have lived together and eaten their meals from the same kitchen for 6+ months - and the household size includes yourself, head of household, and any elderly/young children. Is this correct?
[HINT: MEMBERS THAT ARE TEMPORARILY AWAY BUT NORMALLY LIVE AND EAT IN THE HOUSEHOLD CAN BE COUNTED. NEWLY MARRIED COUPLES AND NEWBORN BABIES SHOULD ALSO BE COUNTED]
[OPERATOR: IF YES, SELECT "NEXT". IF NO, GO BACK TO THE PREVIOUS QUESTION AND CORRECT THE ANSWER.
1)NEXT</t>
  </si>
  <si>
    <t>ဤ {hh_size} လူများသည် 6 လကျော်ကြာ တအိမ်ထဲတွင် အတူတကွနေထိုင်ပြီး မီးဖိုချောင်တစ်ခုတည်းမှ အစားအစာများကို စားခဲ့ကြသည် - ယခုသင်ဖြေဆိုခဲ့သော အိမ်ထောင်စုအရွယ်အစားတွင် သင်ကိုယ်တိုင်၊ အိမ်ထောင်ဦးစီးနှင့် သက်ကြီးရွယ်အို/ကလေးငယ်များ ပါဝင်ပါသည်။ အထက်ပါအချက်များသည် မှန်ပါသလား။ 
[အရိပ်အမြွက်- ခေတ္တအဝေးရောက်နေသော်လည်း အိမ်ထောင်စုတွင် ပုံမှန်အတူတကွ နေထိုင်စားသောက်သောသူများကိုလည်း အိမ်ထောင်စုဝင်အဖြစ် ကို ရေတွက်နိုင်ပါသည်။ လက်ထပ်ပြီးခါစ ဇနီးမောင်နှံများနှင့် မွေးကင်းစကလေးငယ်များကိုလည်း ထည့်သွင်းရေတွက်သင့်သည်] 
[အော်ပရေတာ- ဟုတ်ပါက၊ "နောက်တစ်ခု" ကို ရွေးပါ။ မဟုတ်ပါက၊ ယခင်မေးခွန်းသို့ ပြန်သွားပြီး အဖြေကို ပြင်ပါ။ ]
1) နောက်တစ်ခု</t>
  </si>
  <si>
    <t>1 = o_HHSize04</t>
  </si>
  <si>
    <t>o_HHSize04</t>
  </si>
  <si>
    <t>What is the total number of children aged 0 to 4 years old (0-59 months) in your household?
[OPERATOR: RECORD NUMBER GIVEN]</t>
  </si>
  <si>
    <t>လူကြီးမင်း၏အိမ်ထောင်စုတွင် အသက် 0 မှ 4 နှစ်အတွင်း (0-59 လ) ကလေးငယ် မည်မျှရှိပါသလဲ။
[အော်ပရေတာ- ဖော်ပြသော အရေအတွက်ကို မှတ်သားပါ]</t>
  </si>
  <si>
    <t>Send if "hh_size" "Equals" "2-50" if not satisfied go to "o_HHDisability"</t>
  </si>
  <si>
    <t>Form Type - TextBox
Validation Rule: Answer to this question is VALID IF ""hhsize" "GreaterThan" "CurrentAnswer" - Unmatched Response [You have given an answer higher than the number of people in your household. Please provide the correct number of children aged 0 to 4 years old (0-59 months) in your household]
[လူကြီးမင်းသည် လူကြီးမင်း၏အိမ်ထောင်စုရှိ လူအရေအတွက်ထက်ပိုသော အဖြေကို ပေးခဲ့သည်။ ကျေးဇူးပြု၍ လူကြီးမင်း၏အိမ်ထောင်စုရှိ အသက် 0 မှ 4 နှစ်အတွင်း [0-59 လ] ကလေးအရေအတွက်အမှန်ကို ဖြေဆိုပါ]</t>
  </si>
  <si>
    <t>0-0 = o_HHSize5_15
1-50 = o_HHSize5_15</t>
  </si>
  <si>
    <t>GeoPoll: Confirm if we need to add validation rules here. Please note that if we are to add validation rules, we will need to do away with this instruction at hh_size "ENTER 88 FOR DON'T KNOW &amp;99 FOE REFUSED], so as not to interfere with the validations should any of these be selected.</t>
  </si>
  <si>
    <t>o_HHSize5_15</t>
  </si>
  <si>
    <t>What is the total number of members aged 5 to 15 years old in your household?
[OPERATOR: RECORD NUMBER GIVEN]</t>
  </si>
  <si>
    <t>လူကြီးမင်း၏အိမ်ထောင်စုတွင် အသက် 5 နှစ် မှ 15 နှစ်အတွင်း  ကလေးငယ် မည်မျှရှိပါသလဲ။
[အော်ပရေတာ- ဖော်ပြသော အရေအတွက်ကို မှတ်သားပါ]</t>
  </si>
  <si>
    <t>Form Type - TextBox
IsDemographic - o_HHSize5_15
Validation rule: Answer to this question is VALID if "&lt;Expression&gt;hhsize - o_HHSize04" "GreaterThan" "CurrentAnswer"
 Unmatched Response [You have given an answer higher than the number of people in your household. Please provide the correct number of household members aged 5 to 15 years old in your household]
[လူကြီးမင်းသည် လူကြီးမင်း၏အိမ်ထောင်စုရှိ လူအရေအတွက်ထက်ပိုသော အဖြေကို ပေးခဲ့သည်။ ကျေးဇူးပြု၍ လူကြီးမင်း၏အိမ်ထောင်စုရှိ အသက် 5 မှ 15 နှစ်အတွင်း ရေအတွက်အမှန်ကို ဖြေဆိုပါ]</t>
  </si>
  <si>
    <t>0-0 = o_HHSize16_59
1-50 = o_HHSize16_59</t>
  </si>
  <si>
    <t>o_HHSize16_59</t>
  </si>
  <si>
    <t>What is the total number of members aged 16 to 59 years old in your household?
[OPERATOR: RECORD NUMBER GIVEN]</t>
  </si>
  <si>
    <t>လူကြီးမင်း၏အိမ်ထောင်စုတွင် အသက် 16 နှစ် မှ 59 နှစ်အတွင်း  မည်မျှရှိပါသလဲ။
[အော်ပရေတာ- ဖော်ပြသော အရေအတွက်ကို မှတ်သားပါ]</t>
  </si>
  <si>
    <t>Form Type - TextBox
Validation rule: Answer to this question is VALID if "&lt;Expression&gt;hhsize - o_HHSize04 - o_HHSize5_15" "GreaterThanOrEqual" "CurrentAnswer"
Unmatched Response [You have given an answer higher than the number of people in your household. Please provide the correct number of household members aged 16 to 59 years old in your household]
[လူကြီးမင်းသည် လူကြီးမင်း၏အိမ်ထောင်စုရှိ လူအရေအတွက်ထက်ပိုသော အဖြေကို ပေးခဲ့သည်။ ကျေးဇူးပြု၍ လူကြီးမင်း၏အိမ်ထောင်စုရှိ အသက် 16 မှ 59 နှစ်အတွင်း ရေအတွက်အမှန်ကို ဖြေဆိုပါ]</t>
  </si>
  <si>
    <t>0-50 = o_HHSize60</t>
  </si>
  <si>
    <t>o_HHSize60</t>
  </si>
  <si>
    <t>What is the total number of members aged 60 years old and older  in your household?
[OPERATOR: RECORD NUMBER GIVEN]</t>
  </si>
  <si>
    <t>လူကြီးမင်း၏အိမ်ထောင်စုတွင် အသက်  60 နှစ်နှင့် အထက်  မည်မျှရှိပါသလဲ။
[အော်ပရေတာ- ဖော်ပြသော အရေအတွက်ကို မှတ်သားပါ]</t>
  </si>
  <si>
    <t>Form Type - TextBox
Validation rule: Answer to this question is VALID if "&lt;Expression&gt;hhsize - o_HHSize04 - o_HHSize5_15 - o_HHSize16_59" "Equals" "CurrentAnswer"
Unmatched Response [You have given an answer that does not add up to the total.  Please provide the correct number of household members aged 60 years or older in your household]
[စုစုပေါင်းနှင့် မပေါင်းနိုင်သော အဖြေတစ်ခုကို သင် ပေးခဲ့သည်။ ကျေးဇူးပြု၍ လူကြီးမင်း၏အိမ်ထောင်စုရှိ အသက် 60 နှစ်နှင့် အထက် အရေအတွက်အမှန်ကို ဖြေဆိုပါ]</t>
  </si>
  <si>
    <t>0-50 = o_HHDisability</t>
  </si>
  <si>
    <t>o_HHDisability</t>
  </si>
  <si>
    <t>How many members of your household have a disability?
Note: to count as a disability the person must have a lot of difficulty or cannot do at all, any of the following: seeing (even if wearing glasses), hearing (even if wearing hearing aids), walking or climbing steps, remembering or concentrating, self-care (such as washing or dressing) or communicating (understanding or being understood). 
[OPERATOR: RECORD THE NUMBER GIVEN]</t>
  </si>
  <si>
    <t>လူကြီးမင်း၏အိမ်ထောင်စုဝင် မည်မျှသည် မသန်စွမ်း ခံစားနေရပါသလဲ။
မှတ်ချက်- အောက်ပါတို့မှ တစ်ခုခုကို လုပ်ရန် အခက်အခဲများစွာ ရှိခြင်း သို့မဟုတ် လုံးဝမပြုလုပ်နိုင်ခြင်း ဖြစ်မှသာ လူတစ်ဦးအား မသန်စွမ်းမှုအဖြစ်သတ်မှတ်နိုင်ပါသည်။၊ မမြင်နိုင်ခြင်း (မျက်မှန်တပ်ထားသည့်တိုင်)၊ မကြားနိုင်ခြင်း (နားကြားကိရိယာများကို ဝတ်ဆင်ထားသည့်တိုင်)၊ လမ်းမလျှောက်နိုင်ခြင်း သို့မဟုတ် အပေါ်မတက်နိုင်ခြင်း၊ မမှတ်မိနိုင်ခြင်း သို့မဟုတ် အာရုံမစူးစိုက်နိုင်ခြင်း၊ မိမိကိုယ်ကို မစောင့်ရှောက်နိုင်ခြင်း (ဆေးကြောသန့်စင်ခြင်း၊ အဝတ်လဲခြင်း) သို့မဟုတ် ဆက်သွယ်မပြောဆိုနိုင်ခြင်း (နားမလည်ခြင်း သို့မဟုတ် နားလည်အောင်မဆက်သွယ် မပြောဆိုနိုင်ခြင်း)။ 
[အော်ပရေတာ- ဖော်ပြသော အရေအတွက်ကို မှတ်သားပါ]</t>
  </si>
  <si>
    <t>Form Type - TextBox
Validation Rule: Answer to this question is VALID IF "hhsize" "GreaterThanOrEqual" "CurrentAnswer"
Unmatched Response [You have given an answer higher than the number of people in your household. Please provide the correct number of members with a disability in your household]
[လူကြီးမင်းသည် လူကြီးမင်း၏အိမ်ထောင်စုရှိ လူအရေအတွက်ထက်ပိုသော အဖြေကို ပေးခဲ့သည်။ သင့်အိမ်ထောင်စုရှိ မသန်စွမ်းမှုရှိသော အဖွဲ့ဝင်အရေအတွက်ကို ကျေးဇူးပြု၍ ပေးပါ။]</t>
  </si>
  <si>
    <t>0-50 = hh_age</t>
  </si>
  <si>
    <t>GeoPoll: Same feedback as above.</t>
  </si>
  <si>
    <t>hh_age</t>
  </si>
  <si>
    <t>How old is the head of household? 
[OPERATOR: SINGLE RESPONSE.]
1)Under 18
2)18 to 40 
3)41 to 65 
4)Over 65
5)DON'T KNOW
6)REFUSED</t>
  </si>
  <si>
    <t>အိမ်ထောင်ဦးစီးက အသက်ဘယ်လောက်ပါလဲ။ 
[အော်ပရေတာ- တုံ့ပြန်မှုတစ်ခုသာ။]
1)အသက် 18 နှစ်အောက်
2)18 နှစ်မှ 40 နှစ် 
3)41 နှစ် မှ 65 နှစ် 
4)65 နှစ်ကျော်
5)မသိပါ
6)ဖြေဆိုရန် ငြင်းဆန်သည်</t>
  </si>
  <si>
    <t>Send if "hh_size" "Equals" "2-50" if not satisfied go to "hh_education"</t>
  </si>
  <si>
    <t>1-6 =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</si>
  <si>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</si>
  <si>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</si>
  <si>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အိမ်ထောင်ဦးစီးရဲ့ ပညာအရည်အချင်းမှာ ဘယ်လိုပါလဲ။
[အော်ပရေတာ- တုံ့ပြန်မှုတစ်ခုသာ။]
1)အတန်းပညာမရှိ သို့မဟုတ် မူလတန်း မပြီးဆုံး
2)မူလတန်း ပြီးဆုံးပြီးပါသည်
3)အလယ်တန်း ပြီးဆုံးပါသည်
4)အဆင့်မြင့်ပညာရေး [တက္ကသိုလ်/ကောလိပ်] ဘွဲ့ ရရှိထားသည်
5)အစ္စလာမ် သို့မဟုတ် အခြားသော ဘာသာရေးကျောင်းပညာရေး
6)မသိပါ
7)ဖြေဆိုရန် ငြင်းဆန်သည်</t>
  </si>
  <si>
    <t>1-7 = hh_wealth_water</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</si>
  <si>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</si>
  <si>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</si>
  <si>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</si>
  <si>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လူကြီးမင်း၏အိမ်ထောင်စုဝင်များအတွက် သောက်သုံးရေ၏ အဓိကအရင်းအမြစ်မှာ အဘယ်နည်း။
[အော်ပရေတာ- ရွေးချယ်မှုတစ်ခုသာ ရွေးချယ်ပါ]
​1)ရေပိုက်မှ ရရှိ​သော သီးသန့် ​ရေပိုက်​ခေါင်း
2)အများသုံး ​ရေပိုက်​ခေါင်း
3)အကာအကွယ်ရှိ​သော ​ရေတွင်း
​​4)ရေဘူး
5)အခြား သန့်ရှင်း​သော ရေ
6)မြစ်
7)အကာအကွယ် မရှိ​သော ​ရေတွင်း
8)စီးဆင်း​နေ​သော ​ရေ
9)တူးမြောင်း​ရေ သို့ ​မြေ​ပေါ်​ရေ
10)အခြား မသန့်ရှင်း ​သော ​ရေ
11)မသိပါ။
12)ငြင်းဆို</t>
  </si>
  <si>
    <t xml:space="preserve">
1-12 =o_con_water</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</si>
  <si>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</si>
  <si>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</si>
  <si>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o_con_water</t>
  </si>
  <si>
    <t>Has your household's access to water source changed in the past 6 months? If yes, how (open-ended)
1)Yes
2)No
3)DON'T KNOW
4)REFUSED</t>
  </si>
  <si>
    <t>လွန်ခဲ့သည့် 6 လအတွင်း  သင်အိမ်ထောင်စု ၏ ရေအရင်းအမြစ်သည် ပြောင်းလဲသွားပါသလား။ 
1) ပြောင်းလဲပါသည်။
2) မပြောင်းလဲပါ။
3) မသိပါ။
4) ငြင်းဆိုခဲ့သည်။</t>
  </si>
  <si>
    <t xml:space="preserve">
1-4=o_con_school
1=o_con_water_yes</t>
  </si>
  <si>
    <t>o_con_water_yes</t>
  </si>
  <si>
    <t xml:space="preserve"> If yes, how (open-ended)</t>
  </si>
  <si>
    <t>ပြောင်းလဲပါက မည်သည့်ပြောင်းလဲခဲ့ပါသနည်း။</t>
  </si>
  <si>
    <t>o_con_school</t>
  </si>
  <si>
    <t>Has your  household's access to school or other educational facilities changed in the past 6 months? 
1)Yes
2)No
3)Not Applicable
4)REFUSED</t>
  </si>
  <si>
    <t>လွန်ခဲ့သည့် 6 လအတွင်း  သင်အိမ်ထောင်စု ၏ ကျောင်း (သို့) ပညာရေး ဆိုင်ရာ လက်လှမ်းမှီနိုင် မှု သည် ပြောင်းလဲသွားပါသလား။ 
1) ပြောင်းလဲပါသည်။
2) မပြောင်းလဲပါ။
3) မသိပါ။
4) ငြင်းဆိုခဲ့သည်။</t>
  </si>
  <si>
    <t xml:space="preserve">
1-4=o_con_health
1=o_con_school_yes</t>
  </si>
  <si>
    <t>o_con_school_yes</t>
  </si>
  <si>
    <t>If yes, how (open-ended)</t>
  </si>
  <si>
    <t>o_con_health</t>
  </si>
  <si>
    <t>Has your access to health facilities/hospital changed in the past 6 months? If yes, how (open-ended)
1)Yes
2)No
3)DON'T KNOW
4)REFUSED</t>
  </si>
  <si>
    <t>လွန်ခဲ့သည့် 6 လအတွင်း  သင်အိမ်ထောင်စု ၏ ဆေးရုံ (သို့) ကျန်းမာရေးဆိုင်ရာ လက်လှမ်းမှီနိုင် မှုသည် ပြောင်းလဲသွားပါသလား။ 
1) ပြောင်းလဲပါသည်။
2) မပြောင်းလဲပါ။
3) မသိပါ။
4) ငြင်းဆိုခဲ့သည်။</t>
  </si>
  <si>
    <t xml:space="preserve">
1-4=o_con_tele
1=o_con_health_yes</t>
  </si>
  <si>
    <t>o_con_health_yes</t>
  </si>
  <si>
    <t>o_con_tele</t>
  </si>
  <si>
    <t xml:space="preserve">Has the telephone or internet connection interrupted in the past 6 months?
1)Yes
2)No
3)DON'T KNOW
4)REFUSED </t>
  </si>
  <si>
    <t>လွန်ခဲ့သော 6 လအတွင်း တယ်လီဖုန်း သို့မဟုတ် အင်တာနက်ချိတ်ဆက်မှု ပြတ်တောက်ဖူးပါသလား။
1) ဟုတ်ပါသည်။
2) မဟုတ်ပါ။
3) မသိပါ။
4) ငြင်းဆိုခဲ့သည်။</t>
  </si>
  <si>
    <t xml:space="preserve">
1-4=o_hh_wealth_house
1=o_con_tele_yes</t>
  </si>
  <si>
    <t>o_con_tele_yes</t>
  </si>
  <si>
    <t>o_hh_wealth_house</t>
  </si>
  <si>
    <t>What kind of dwelling unit does your household live in?
[OPERATOR: SINGLE RESPONSE.]
1)Apartment/condominium
2)Bungalow/brick house
3)Semi-pucca house
4)Wooden house
5)Bamboo House
6)Hut [2-3 years]
7)Hut [1 years]
8)Tent/plastic sheets
9)Substandard shelter / collective shelter [factory/warehouse/garage/shop/worksite/unfinished building]
10)No shelter [sleeping in open]
11)Other [specify]
12)DON'T KNOW
13)REFUSED</t>
  </si>
  <si>
    <t>သင် သည် မည် သို့သော အဆောက်အဉီး အမျိုး အစားတွင် နေထိုင်ပါသနည်း။
[အော်ပရေတာ- တုံ့ပြန်မှုတစ်ခုသာ။]
1)တိုက်ခန်း/ကွန်ဒို
2)လုံးချင်းတိုက်/အုတ်ဖြင့်ဆောက်ထားသောအိမ်
3)အုတ်ညှပ်အိမ် [အုတ်/သစ်/သံတို့ဖြင့်]
4)သစ်အိမ်
5)ဝါးအိမ်
6)ယာယီတဲ [2-3နှစ်ခန်]
7)ယာယီတဲ [၁ နှစ်ခန်]
8)ပလပ်စတစ်ဖြင့် မိုး ကာထားသော ယာယီတဲ
9)တန်းလျား အတွဲ/စုပေါင်း အဆောက်အဉီး သို့မဟုတ် ပုံစံမကျသော/လူနေရန်ရည်ရွယ် ခြင်း မဟုတ်သော အဆောက်အအုံ[စက်ရုံ/ကုန်လှောင်ရုံ/ကားဂိုထောင်/ဈေးဆိုင်/အလုပ်နေရာ/မပြီးသေးသော အဆောက်အဉီး]
10)အမိုးအကာ မရှိ [အပြင် တွင် နေခြင်း]
11)တစ်ခြား[အသေးစိတ်ဖော်ပြပါ]
12)မသိပါ။
13)ငြင်းဆို</t>
  </si>
  <si>
    <t>1-13 = HHIncEarners</t>
  </si>
  <si>
    <t>C. INCOME SOURCES, LIVELIHOOD AND SHOCKS</t>
  </si>
  <si>
    <t>HHIncEarners</t>
  </si>
  <si>
    <t>How many members of your household earned  an income in the last 3 months?
[OPERATOR: RECORD NUMBER GIVEN]</t>
  </si>
  <si>
    <t>လွန်ခဲ့သော ၃ လ အတွင်း တွင် လူကြီးမင်း၏အိမ်ထောင်စုဝင်မည်မျှသည် ဝင်ငွေရှိနေပါသလဲ။
[အော်ပရေတာ- ဖော်ပြသော အရေအတွက်ကို မှတ်သားပါ]</t>
  </si>
  <si>
    <t>Form Type - TextBox
IsDemographic - HHIncEarners
Validation Rule: Answer to this question is VALID IF "hhsize" "GreaterThanOrEqual" "CurrentAnswer" - Unmatched Response [You have given an answer higher than the number of people in your household. Please provide the correct number of members that earned an income in the last 3 months in your household]
 [လူကြီးမင်းသည် လူကြီးမင်း၏အိမ်ထောင်စုရှိ လူအရေအတွက်ထက်ပိုသော အဖြေကို ပေးခဲ့သည်။ ကျေးဇူးပြု၍ လူကြီးမင်း၏အိမ်ထောင်စုရှိ လွန်ခဲ့သော ၃ လ  အတွင်းတွင် ဝင်ငွေရရှိသော အိမ်ထောင်စုဝင် အရေအတွက် အမှန်ကို ဖြေဆိုပါ]"</t>
  </si>
  <si>
    <t>0-0  = HHIncEarners_year
1-50 = HHIncEarners_year</t>
  </si>
  <si>
    <t>HHIncEarners_year</t>
  </si>
  <si>
    <t>How many members of your household were earning an income in this period one year ago?
[OPERATOR: RECORD NUMBER GIVEN]</t>
  </si>
  <si>
    <t>ယခင်နှစ် ခုလို အချိန် တွင် လူကြီးမင်း၏အိမ်ထောင်စုဝင်ဘယ်နှစ်ယောက်တွင် ဝင်ငွေ ရှိ သနည်း။
[အော်ပရေတာ- ဖော်ပြသော အရေအတွက်ကို မှတ်သားပါ]</t>
  </si>
  <si>
    <t>0-50 = income_main</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</si>
  <si>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</si>
  <si>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20)DON'T KNOW
20)REFUSED</t>
  </si>
  <si>
    <t>လွန်ခဲ့သော 3 လအတွင်း လူကြီးမင်းအိမ်ထောင်စု၏ အဓိကဝင်ငွေအရင်းအမြစ်က ဘာပါလဲ။
[အော်ပရေတာ- တုံ့ပြန်မှုတစ်ခုသာ။ ငြင်းဆန်သည့်ရွေးချယ်မှုများကို တတ်နိုင်သမျှ မပြုလုပ်ဘဲ/မရှောင်ရှားဘဲ ဖြေဆိုပေးပါ]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19)လွန်ခဲ့သော 3 လအတွင်း 0င်ငွေအရင်းအမြစ်မရှိဘဲ သီးသန့်စုငွေ သို့ ကြွေးမြီကိုသာ အသုံးပြုသည်
20)မသိပါ 
20)ဖြေဆိုရန် ငြင်းဆန်သည်</t>
  </si>
  <si>
    <t>Form Type - Buttons
IsDemographic - income_main</t>
  </si>
  <si>
    <t>1-3 = income_main_crop_check
4 = income_main_ls_check 
5 = income_main_comp
6 = income_main_fish_check 
7-8 = income_main_comp
9 = o_wage_main_amount
10 = income_main_comp
11 = o_income_main_selfemployed
12 = o_wage_main_amount
13-18 = income_main_comp
19-20 = o_Income_total_amount</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</si>
  <si>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</si>
  <si>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</si>
  <si>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</si>
  <si>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 xml:space="preserve">
သင်၏ အဓိက ၀င်ငွေအရင်းအမြစ်ဖြစ်သော လယ်ယာထွက်ကုန်များကို ကိုယ်တိုင် (သို့) မိသားစုဝင်တစ်ဦးဦးမှ ထုတ်လုပ် နေပါသလား။
[အော်ပရေတာ- တုံ့ပြန်မှုတစ်ခုသာ။]
1)ဟုတ်သည်
2)မဟုတ်ပါ
3)မသိပါ
4)ငြင်းဆိုသည်။</t>
  </si>
  <si>
    <t>1-4 = income_main_comp</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</si>
  <si>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</si>
  <si>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</si>
  <si>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</si>
  <si>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 xml:space="preserve">
သင်၏ အဓိက ၀င်ငွေအရင်းအမြစ်ဖြစ်သော မွေးမြူရေးထုက်ကုန်များကို ကိုယ်တိုင် (သို့) မိသားစုဝင်တစ်ဦးဦးမှ ထုတ်လုပ် နေပါသလား။။
[အော်ပရေတာ- တုံ့ပြန်မှုတစ်ခုသာ။]
1)ဟုတ်သည်
2)မဟုတ်ပါ
3)မသိပါ
4)ငြင်းဆိုသည်။</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</si>
  <si>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</si>
  <si>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</si>
  <si>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</si>
  <si>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 xml:space="preserve">
သင်၏ အဓိက ၀င်ငွေအရင်းအမြစ်ဖြစ်သော ရေထွက်ကုန်များကို ကိုယ်တိုင် (သို့) မိသားစုဝင်တစ်ဦးဦးမှ ထုတ်လုပ် နေပါသလား။
[အော်ပရေတာ- တုံ့ပြန်မှုတစ်ခုသာ။]
1)ဟုတ်သည်
2)မဟုတ်ပါ
3)မသိပါ
4)ငြင်းဆိုသည်။</t>
  </si>
  <si>
    <t>if income_main_fish_check = 1-4, go to [income_main_comp OR optional question]</t>
  </si>
  <si>
    <t>o_income_main_selfemployed</t>
  </si>
  <si>
    <t>What type of self-employment / liberal profession?
[OPERATOR: SINGLE RESPONSE.]
1)Liberal profession [doctor/architect/layer...]
2)Petty trade/selling on streets [own business/self or with family]
3)Small trade [own business/ &lt;5 employees]
4)Medium/large trade [own business/&gt;=5 employees]
5)Other
6)DON'T KNOW
7)REFUSED</t>
  </si>
  <si>
    <t>သင်သည် မည်သို့သော ကိုယ်ပိုင် အလုပ်/ ပညာရှင် အလုပ်မျိုးကို လုပ် ကိုင်ပါသနည်း။
[အော်ပရေတာ- တုံ့ပြန်မှုတစ်ခုသာ။]
1)ပညာရှင် [ဆရာဝန်/အင်ဂျင်နီယာ/ရှေ့နေ စသည်]
2)လမ်းဘေးဈေးသည် [ကိုယ်ပိုင်/မိသားစု နှင့် အတူ]
3)အသေးစား ကုန်သွယ်မှု [ကိုယ်ပိုင်/ လုပ်သမား ၅ ယောက်အောက်]
4)အလယ်အလတ်/အကြီးစား ကုန်သည် [ကိုယ်ပိုင်/လုပ်သမား၅ ယောက်နှင့် အထက်]
5)အခြား
6)မသိ
7)ငြင်းဆို</t>
  </si>
  <si>
    <t>o_wage_main_amount</t>
  </si>
  <si>
    <t xml:space="preserve">What was the typical wage for wage labourers per person per day  in the past one month (30 days)?
[OPERATOR: RECORD NUMBER GIVEN. ENTER 8888888 FOR DON'T KNOW &amp; 9999999 FOR REFUSED.]  </t>
  </si>
  <si>
    <t>လွန်ခဲ့သည့်  ရက် ၃၀ အတွင်းမှာ လူတစ်ဦးလျှင် တစ်ရက်လျှင် လုပ်ခ မည်မျှရှိသနည်း။
[အော်ပရေတာ- မှတ်တမ်းနံပါတ်ကို အကြောင်းမဲ့။ မသိခြင်းအတွက် 8888888 နှင့် 9999999 ကို ငြင်းဆိုရန်။]</t>
  </si>
  <si>
    <t>Form Type - TextBox
IsDemographic - o_wage_main_amount</t>
  </si>
  <si>
    <t>1 - 1000000 = o_wage_main_amount_Check
8888888-8888888 = income_main_comp
9999999-9999999 = income_main_comp</t>
  </si>
  <si>
    <t>o_wage_main_amount_Check</t>
  </si>
  <si>
    <t xml:space="preserve">You reported the average wage a person recieved per day was {o_wage_main_amount} MMK. Is this correct?
[OPERATOR: IF YES, SELECT "NEXT". IF NO, GO BACK TO THE PREVIOUS QUESTION AND CORRECT THE ANSWER.
1)NEXT </t>
  </si>
  <si>
    <t>တစ်ရက်လျှင် လူတစ်ဦးရရှိသည့် ပျမ်းမျှလုပ်ခမှာ {o_wage_main_amount} MMK  ဖြစ်ကြောင်း သင်ဖြေဆိုခဲ့သည်။ ထိုအချက်သည် မှန်ကန်ပါသလား။ 
[အော်ပရေတာ- ဟုတ်ပါက၊ "နောက်တစ်ခု" ကို ရွေးပါ။ မဟုတ်ပါက၊ ယခင်မေးခွန်းသို့ ပြန်သွားပြီး အဖြေကို ပြင်ပါ။
1) နောက်တစ်ခု</t>
  </si>
  <si>
    <t>1 =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</si>
  <si>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</si>
  <si>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</si>
  <si>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လူကြီးမင်း၏ ပြီးခဲ့သည့် 3 လအတွင်း အိမ်ထောင်စုဝင်ငွေ {income_main}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</si>
  <si>
    <t>1-7= income_sec</t>
  </si>
  <si>
    <t>if income_main_comp = 1-7, go to income_sec</t>
  </si>
  <si>
    <t>o_incomechangereduced</t>
  </si>
  <si>
    <t>Please describe the degree of income reduction:
[OPERATOR: SINGLE RESPONSE]
1)0-25%
2)26-50%
3)51-75%
4)76-100%
5)DON'T KNOW
6)REFUSED</t>
  </si>
  <si>
    <t xml:space="preserve">လျော့နည်းသွား​သော ပမာဏ ကို ​ဖော်ပြပါ။
[အော်ပရေတာ- တုံ့ပြန်မှုတစ်ခုသာ။]
1)0-25%
2)26-50%
3)51-75%
4)76-100%
5)မသိပါ
6)ဖြေဆိုရန် ငြင်းဆန်သည်
</t>
  </si>
  <si>
    <t>1-6 =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</si>
  <si>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</si>
  <si>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</si>
  <si>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လွန်ခဲ့သော 3 လအတွင်း လူကြီးမင်းအိမ်ထောင်စု၏ ဒုတိယအ‌ရေးအကြီးဆုံး ဝင်ငွေအရင်းအမြစ်က ဘာပါလဲ။
[အော်ပရေတာ- တုံ့ပြန်မှုတစ်ခုသာ။ ငြင်းဆန်သည့်ရွေးချယ်မှုများကို တတ်နိုင်သမျှ မပြုလုပ်ဘဲ/မရှောင်ရှားဘဲ ဖြေဆိုပေးပါ]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19)လွန်ခဲ့သော 3 လအတွင်း 0င်ငွေအရင်းအမြစ်မရှိဘဲ သီးသန့်စုငွေ သို့ ကြွေးမြီကိုသာ အသုံးပြုသည်
20)မသိပါ 
20)ဖြေဆိုရန် ငြင်းဆန်သည်</t>
  </si>
  <si>
    <t>Form Type - Buttons
exclude selected "income_main"
IsDemographic</t>
  </si>
  <si>
    <t>1-3 = income_sec_crop_check
4 = income_sec_ls_check
5 = income_sec_comp
6 = income_sec_fish_check 
7-8 = income_sec_comp
9 = o_wage_sec_amount
10 = income_sec_comp
11 = o_income_sec_selfemployed
12 = o_wage_sec_amount
13-18 = income_sec_comp
19-21 = o_Income_total_amount</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</si>
  <si>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</si>
  <si>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</si>
  <si>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t>
  </si>
  <si>
    <t>if income_sec_crop_check = 1-4, go to [income_sec_comp OR optional question]</t>
  </si>
  <si>
    <t>income_sec_ls_check</t>
  </si>
  <si>
    <t xml:space="preserve">
သင်၏ အဓိက ၀င်ငွေအရင်းအမြစ်ဖြစ်သော မွေးမြူရေးထွက်ကုန်များကို ကိုယ်တိုင် (သို့) မိသားစုဝင်တစ်ဦးဦးမှ ထုတ်လုပ် နေပါသလား။
[အော်ပရေတာ- တုံ့ပြန်မှုတစ်ခုသာ။]
1)ဟုတ်သည်
2)မဟုတ်ပါ
3)မသိပါ
4)ငြင်းဆိုသည်။
</t>
  </si>
  <si>
    <t>if income_sec_ls_check = 1-4, go to [income_sec_comp OR optional question]</t>
  </si>
  <si>
    <t>income_sec_fish_check</t>
  </si>
  <si>
    <t xml:space="preserve">
သင်၏ အဓိက ၀င်ငွေအရင်းအမြစ်ဖြစ်သော ရေထွက်ကုန်များကို ကိုယ်တိုင် (သို့) မိသားစုဝင်တစ်ဦးဦးမှ ထုတ်လုပ် နေပါသလား။
[အော်ပရေတာ- တုံ့ပြန်မှုတစ်ခုသာ။]
1)ဟုတ်သည်
2)မဟုတ်ပါ
3)မသိပါ
4)ငြင်းဆိုသည်။
</t>
  </si>
  <si>
    <t>if income_sec_fish_check = 1-4, go to [income_sec_comp OR optional question]</t>
  </si>
  <si>
    <t>o_income_sec_selfemployed</t>
  </si>
  <si>
    <t>What type of self-employment / liberal profession?
[OPERATOR: SINGLE RESPONSE.]
1)Liberal profession [doctor/architect/layer...]
2)Petty trade/selling on streets [own business/self or with family]
3)Small trade [own business/&lt;5 employees]
4)Medium/large trade [own business/&gt;=5 employees]
5)Other
6)DON'T KNOW
7)REFUSED</t>
  </si>
  <si>
    <t>o_wage_sec_amount</t>
  </si>
  <si>
    <t>Form Type - TextBox
IsDemographic - o_wage_sec_amount</t>
  </si>
  <si>
    <t>1 - 1000000 = o_wage_sec_amount_Check
8888888-8888888 = income_sec_comp
9999999-9999999 = income_sec_comp</t>
  </si>
  <si>
    <t>if options #1-4, go to [income_main_comp OR income_main_amount]</t>
  </si>
  <si>
    <t>resp_age = 18-100
hh_agricactivity = 1 | 2 | 3 | 4
quotareached = 2
income_main =  1-18</t>
  </si>
  <si>
    <t>New question</t>
  </si>
  <si>
    <t>o_wage_sec_amount_Check</t>
  </si>
  <si>
    <t xml:space="preserve">You reported the average wage a person recieved per day was {o_wage_sec_amount} MMK. Is this correct?
[OPERATOR: IF YES, SELECT "NEXT". IF NO, GO BACK TO THE PREVIOUS QUESTION AND CORRECT THE ANSWER.
1)NEXT </t>
  </si>
  <si>
    <t>တစ်ရက်လျှင် လူတစ်ဦးရရှိသည့် ပျမ်းမျှလုပ်ခမှာ {o_wage_sec_amount} MMK  ဖြစ်ကြောင်း သင်ဖြေဆိုခဲ့သည်။ ထိုအချက်သည် မှန်ကန်ပါသလား။ 
[အော်ပရေတာ- ဟုတ်ပါက၊ "နောက်တစ်ခု" ကို ရွေးပါ။ မဟုတ်ပါက၊ ယခင်မေးခွန်းသို့ ပြန်သွားပြီး အဖြေကို ပြင်ပါ။
1) နောက်တစ်ခု</t>
  </si>
  <si>
    <t>1=income_sec_comp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</si>
  <si>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</si>
  <si>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</si>
  <si>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လူကြီးမင်း၏ ပြီးခဲ့သည့် 3 လအတွင်း အိမ်ထောင်စုဝင်ငွေ {income_sec}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</si>
  <si>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</si>
  <si>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</si>
  <si>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</si>
  <si>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</si>
  <si>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လွန်ခဲ့သော 3 လအတွင်း လူကြီးမင်းအိမ်ထောင်စု၏ တတိယအ‌ရေးအကြီးဆုံး ဝင်ငွေအရင်းအမြစ်က ဘာပါလဲ။
[အော်ပရေတာ- တုံ့ပြန်မှုတစ်ခုသာ။ ငြင်းဆန်သည့်ရွေးချယ်မှုများကို တတ်နိုင်သမျှ မပြုလုပ်ဘဲ/မရှောင်ရှားဘဲ ဖြေဆိုပေးပါ]
1) နှံစားသီးနှံ ထုတ်လုပ်ရောင်းချခြင်း 
2) ဟင်းသီးဟင်းရွက် သို့မဟုတ် သစ်သီးဝလံ ထုတ်လုပ်ရောင်းချခြင်း 
3)ငွေပေါ်ကောက်ပဲသီးနှံ ထုတ်လုပ်ရောင်းချခြင်း
4)မွေးမြူရေးနှင့် မွေးမြူရေးလုပ်ငန်းထုတ်ကုန်များ ထုတ်လုပ်ရောင်းချခြင်း 
5) ပျားရည်နှင့် အခြားဆက်စပ်ထုတ်ကုန်ပစ္စည်းများ ထုတ်လုပ်ရောင်းချခြင်း
6) ငါးမွေးမြူခြင်းနှင့် ရောင်းချခြင်း 
7)သစ်တောထွက် သို့မဟုတ် သစ်ပင်ချုံနွယ်ထွက် ကုန်ပစ္စည်းများ စုဆောင်းခြင်းနှင့်ရောင်းချခြင်း 
8)ထုတ်လုပ်သူများမဟုတ်ဘဲ လယ်ယာထုတ်ကုန်ကုန်သွယ်သူများ (အလွတ်သဘော သို့မဟုတ် တရားဝင်)  
9)လယ်ယာလုပ်ငန်းမှ နေ့စဉ်လုပ်အားခ ရရှိသောစိုက်ပျိုးရေးကဏ္ဍရှိ အခြားကျပန်းအလုပ်အကိုင် 
10)စိုက်ပျိုးရေးကဏ္ဍရှိ အတည်တကျအလုပ်အကိုင် 
11)စိုက်ပျိုးရေးမဟုတ်သော ကိုယ်ပိုင်လုပ်ငန်း သို့မဟုတ် ပြည်သူ့အကျိုးပြု ပညာရှင်/ ဆရာဝန်/ ဗိသုကာ/ ရှေ့နေ/ စားသောက်ဆိုင်လုပ်ငန်းအပါအဝင်
12)လယ်ယာပြင်ပနေ့စဉ်လုပ်အားခနှင့် အခြားလယ်ယာမဟုတ်သော ကျပန်းအလုပ်အကိုင်
13)စိုက်ပျိုးရေးကဏ္ဍမဟုတ်သော အတည်တကျအလုပ်အကိုင်
14)အစိုးရအလုပ်အကိုင် 
15)အလုပ်မှ ရရှိသော ဝင်ငွေမဟုတ်ပါ/ လှူဒါန်းမှု
16)အလုပ်မှ ရရှိသော ဝင်ငွေမဟုတ်ပါ / လူမှုဖူလုံရေးလွှဲပြောင်းခြင်း / ပင်စင် / လူသားချင်းစာနာမှုအကူအညီများ
17)အလုပ်မှ ရရှိသော ဝင်ငွေမဟုတ်ပါ / ငွေလွှဲခြင်း
18)အလုပ်မှ ရရှိသော ဝင်ငွေမဟုတ်ပါ / အခြားငှားရမ်းခများ
19)လွန်ခဲ့သော 3 လအတွင်း 0င်ငွေအရင်းအမြစ်မရှိဘဲ သီးသန့်စုငွေ သို့ ကြွေးမြီကိုသာ အသုံးပြုသည်
20)မသိပါ 
20)ဖြေဆိုရန် ငြင်းဆန်သည်</t>
  </si>
  <si>
    <t>Form Type - Buttons
Exclude selected "income_main"
Exclude selected "income_sec"
IsDemographic - income_third</t>
  </si>
  <si>
    <t>1-3 = income_third_crop_check
4 = income_third_ls_check
5 = income_third_comp
6 = income_third_fish_check 
7-8 = income_third_comp
9 = o_wage_third_amount
10 = income_third_comp
11 = o_income_third_selfemployed
12 = o_wage_third_amount
13-18 = income_third_comp
19-21 =  o_Income_total_amount</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</si>
  <si>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</si>
  <si>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</si>
  <si>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 xml:space="preserve">
သင်၏ အဓိက ၀င်ငွေအရင်းအမြစ်ဖြစ်သော လယ်ယာထွက်ကုန်များကို ကိုယ်တိုင် (သို့) မိသားစုဝင်တစ်ဦးဦးမှ ထုတ်လုပ် နေပါသလား။
[အော်ပရေတာ- တုံ့ပြန်မှုတစ်ခုသာ။]
1)ဟုတ်သည်
2)မဟုတ်ပါ
3)မသိပါ
4)ငြင်းဆိုသည်။
</t>
  </si>
  <si>
    <t>1-4 = income_third_comp</t>
  </si>
  <si>
    <t>if income_third_crop_check = 1-4, go to [income_third_comp OR optional question]</t>
  </si>
  <si>
    <t>income_third_ls_check</t>
  </si>
  <si>
    <t xml:space="preserve">
သင်၏ အဓိက ၀င်ငွေအရင်းအမြစ်ဖြစ်သော မွေးမြူရေးထုက်ကုန်များကို ကိုယ်တိုင် (သို့) မိသားစုဝင်တစ်ဦးဦးမှ ထုတ်လုပ် နေပါသလား။။
[အော်ပရေတာ- တုံ့ပြန်မှုတစ်ခုသာ။]
1)ဟုတ်သည်
2)မဟုတ်ပါ
3)မသိပါ
4)ငြင်းဆိုသည်။
</t>
  </si>
  <si>
    <t>if income_third_ls_check = 1-4, go to [income_third_comp OR optional question]</t>
  </si>
  <si>
    <t>income_third_fish_check</t>
  </si>
  <si>
    <t>if income_third_fish_check = 1-4, go to [income_third_comp OR optional question]</t>
  </si>
  <si>
    <t>o_income_third_selfemployed</t>
  </si>
  <si>
    <t>သင်သည် မည်သို့သော ကိုယ်ပိုင် အလုပ်/ ပညာရှင် အလုပ်မျိုးကို လုပ် ကိုင်ပါသနည်း။
[အော်ပရေတာ- တုံ့ပြန်မှုတစ်ခုသာ။]
1)ပညာရှင် [ဆရာဝန်/အင်ဂျင်နီယာ/ရှေ့နေ စသည်]
2)လမ်ဘေးဈေးသည် [ကိုယ်ပိုင်]
3)အသေးစား ကုန်သွယ်မှု [ကိုယ်ပိုင်]
4)အလယ်အလတ်/အကြီးစား ကုန်သည်[ကိုယ်ပိုင်]
5)အခြား
6)မသိ
7)ငြင်းဆို</t>
  </si>
  <si>
    <t>1-7 = income_third_comp</t>
  </si>
  <si>
    <t>o_wage_third_amount</t>
  </si>
  <si>
    <t xml:space="preserve">What was the typical wage for wage labourers per person per day  in the past one month (30 days)?
[OPERATOR: RECORD NUMBER GIVEN. ENTER 8888888 FOR DON'T KNOW &amp; 9999999 FOR REFUSED.] </t>
  </si>
  <si>
    <t>range</t>
  </si>
  <si>
    <t>1 - 1000000 = o_wage_third_amount_Check
8888888-8888888 = income_third_comp
9999999-9999999 = income_third_comp</t>
  </si>
  <si>
    <t>o_wage_third_amount_Check</t>
  </si>
  <si>
    <t xml:space="preserve">You reported the average wage a person recieved per day was {o_wage_third_amount} MMK. Is this correct?
[OPERATOR: IF YES, SELECT "NEXT". IF NO, GO BACK TO THE PREVIOUS QUESTION AND CORRECT THE ANSWER.]
1)NEXT </t>
  </si>
  <si>
    <t>တစ်ရက်လျှင် လူတစ်ဦးရရှိသည့် ပျမ်းမျှလုပ်ခမှာ {o_wage_third_amount} MMK  ဖြစ်ကြောင်း သင်ဖြေဆိုခဲ့သည်။ ထိုအချက်သည် မှန်ကန်ပါသလား။ 
[အော်ပရေတာ- ဟုတ်ပါက၊ "နောက်တစ်ခု" ကို ရွေးပါ။ မဟုတ်ပါက၊ ယခင်မေးခွန်းသို့ ပြန်သွားပြီး အဖြေကို ပြင်ပါ။
1) နောက်တစ်ခု</t>
  </si>
  <si>
    <t>1=income_third_comp</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</si>
  <si>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</si>
  <si>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</si>
  <si>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လူကြီးမင်း၏ ပြီးခဲ့သည့် 3 လအတွင်း အိမ်ထောင်စုဝင်ငွေ {income_third} မှာ ကာလတူ ပုံမှန် နှစ် တစ်နှစ်မှ ဝင်ငွေနှင့်နှိုင်းယှဉ်လျှင် ပြောင်းလဲသွားပါသလား။ ...ဟုတ်ပါသလား
[အော်ပရေတာ- တုံ့ပြန်မှုတစ်ခုသာ။]
1)အလွန်တိုးလာသည် [50% အထက် တိုးလာသည်]
2)တိုးလာသည်
3)တူညီသည်
4)ပို၍နည်းသည်
5)အလွန်နည်းသည် [ထက်ဝက်စာမျှ နည်းသည်]
6)မသိပါ
7)ဖြေဆိုရန် ငြင်းဆန်သည်</t>
  </si>
  <si>
    <t>1-7=  o_Income_total_amount</t>
  </si>
  <si>
    <t>if income_third_comp = 1-7, go to shock</t>
  </si>
  <si>
    <t>o_Income_total_amount</t>
  </si>
  <si>
    <t>How much was the household's total income during the last four weeks [one month]? 
[OPERATOR: RECORD TOTAL INCOME FOR THE LAST FOUR WEEKS. ENTER 8888888 FOR DON'T KNOW &amp; 9999999 FOR REFUSED]</t>
  </si>
  <si>
    <t xml:space="preserve">လွန်ခဲသော တစ်လအတွင်း သင်အိမ်ထောင်စု၏ စုစုပေါင်းဝင်ငွေသည် ဘယ်လောက်လဲ။
[အော်ပရေတာ- နောက်ဆုံး လေးပတ်တာအတွက် စုစုပေါင်းဝင်ငွေကို မှတ်တမ်းတင်ပါ။ မသိပါဟု ဖြေဆိုပါက 8888888 ဟု ဖြည့်သွင်းပြီး ဖြေဆိုရန် ငြင်းဆန်သည်ကို ရွေးချယ်ပါက 9999999 ဟု ဖြည့်သွင်းပါ]                               
 [မှတ်ချက် အိမ်ထောင်စုတွင် ဝင်ငွေရှာသူများ{HHIncEarners} ရှိပြီး ဝင်ငွေ၏အဓိကအရင်းအမြစ်မှာ {income_main}ဖြစ်သည်။]                                                        </t>
  </si>
  <si>
    <t>0-0 =o_Income_total_amount_conf
10000-9000000 = o_Income_total_amount_conf
8888888-8888888 = o_Income_total_comp
9999999-9999999 = o_Income_total_comp</t>
  </si>
  <si>
    <t>o_Income_total_amount_conf</t>
  </si>
  <si>
    <t>Can you confirm the amount of income you just stated is correct? 
[OPERATOR: IF THE TOTAL AMOUNT EARNED OVER THE PAST 1 MONTH IS INDEED OVER 350000 or LESS THAN 25,000, CLICK ON CONTINUE. OTHERWISE, GO BACK AND CHANGE THE AMOUNT ENTERED.]
1)CONTINUE</t>
  </si>
  <si>
    <t>လူကြီးမင်း ယခုဖော်ပြခဲ့သော ဝင်ငွေပမာဏ မှန်ကန်ကြောင်း အတည်ပြုနိုင်ပါသလား။
[အော်ပရေတာ-လွန်ခဲ့သော တစ်လအတွင်း စုစုဝင်ငွေသည် 350000 ထက်ကျော်လွန်လျှင် ရှေ့ဆက်သွားပါ/ သို့မဟုတ်ပါက ကျန်ခဲ့သော မေးခွန်း ရှိဝင်ငွေကို ပြန်လည်စစ်ဆေး ပြီး ထည့်ပါ]... 
1) ဆက်ရန်</t>
  </si>
  <si>
    <t>1 = o_Income_total_comp</t>
  </si>
  <si>
    <t>o_Income_total_comp</t>
  </si>
  <si>
    <t>Thinking about your household’s total income in the last one month, how has it changed compared to the same period one year ago?  
[OPERATOR: SINGLE RESPONSE] 
1)A lot more [increased by more than 50%]
2)More
3)Same
4)Less
5)A lot less [less than half as much]
6)DON'T KNOW
7)REFUSED</t>
  </si>
  <si>
    <t xml:space="preserve">ပြီးခဲ့သောတစ်လအတွင်း သင့်အိမ်ထောင်စု၏ စုစုပေါင်းဝင်ငွေကို တွေးကြည့်ပါ၊ လွန်ခဲ့သော နှစ်၏ တူညီသောကာလနှင့် နှိုင်းယှဉ်ပါက မည်သို့ပြောင်းလဲသွားသနည်း။
[အော်ပရေတာ- တုံ့ပြန်မှုတစ်ခုသာ] 
1)အလွန်တိုးလာသည် [50% အထက် တိုးလာသည်] 
2)တိုးလာသည် 
3)တူညီသည် 
4)ပို၍နည်းသည် 
5)အလွန်နည်းသည် [ထက်ဝက်စာမျှ နည်းသည်] 
6)မသိပါ 
7)ဖြေဆိုရန် ငြင်းဆန်သည် </t>
  </si>
  <si>
    <t>1-7 = o_HHExpTotal30d</t>
  </si>
  <si>
    <t>o_HHExpTotal30d</t>
  </si>
  <si>
    <t>How much was your family’s total expenditure in the last 30 days (in MMK)?
[OPERATOR: THE RESPONDENT MENTIONED THAT THEIR TOTAL HOUSEHOLD INCOME IS {Income_total_amount}. PROBE IF THE TOTAL EXPENDITURE IS MORE THAN THE TOTAL HOUSEHOLD INCOME TO ENSURE AMOUNTS ARE CORRECT.  RECORD THE AMOUNT GIVEN. ENTER 8888888 FOR DON'T KNOW &amp; 9999999 FOR REFUSED]</t>
  </si>
  <si>
    <t>လွန်ခဲ့သောရက် 30 အတွင်း လူကြီးမင်းမိသားစု၏ စုစုပေါင်းအသုံးစရိတ် ဘယ်လောက်ရှိပါသလဲ (MMK ဖြင့်)။
[အော်ပရေတာ- ဖြေဆိုသော ပမာဏကို မှတ်သားပါ။ မသိပါဟု ဖြေဆိုပါက 8888888 ဟု ဖြည့်သွင်းပြီး ဖြေဆိုရန် ငြင်းဆန်သည်ကို ရွေးချယ်ပါက 9999999 ဟု ဖြည့်သွင်းပါ]</t>
  </si>
  <si>
    <t>0 = o_ExpenseFood30d
1000-8000000 = o_ExpenseFood30d
8888888-8888888 = o_ExpenseFood30d
9999999-9999999 = o_ExpenseFood30d</t>
  </si>
  <si>
    <t>o_ExpenseFood30d</t>
  </si>
  <si>
    <t>What percentage of your household's expenditure did you spend on food in the last 30 days?
[OPERATOR: SINGLE RESPONSE]
1)0%-10%
2)11%-20%
3)21%-30%
4)31%- 40%
5)41 % - 50%
6)51% - 60%
7)61%-70%
8)71%-80%
9)81%-90%
10)91%-100%
11)DON'T KNOW
12)REFUSED</t>
  </si>
  <si>
    <t>လွန်ခဲ့သည့်ရက်ပေါင်း 30 အတွင်း အိမ်ထောင်စု စုစု ပေါင်း အသုံးစရိတ်မှ အစားအစာအတွက် အသုံးစရိတ်ကို  မည်မျှသုံးစွဲခဲ့ပါသလဲ။
[အော်ပရေတာ- တုံ့ပြန်မှုတစ်ခုသာ]
1)0%-10%
2)11%-20%
3)21%-30%
4)31%- 40%
5)41 % - 50%
6)51% - 60%
7)61%-70%
8)71%-80%
9)81%-90%
10)91%-100%
11)မသိပါ
12)ဖြေဆိုရန် ငြင်းဆန်သည်</t>
  </si>
  <si>
    <t>1-12 = HHDebt_yn</t>
  </si>
  <si>
    <t>HHDebt_yn</t>
  </si>
  <si>
    <t>Do you or someone in your household currently have any debt that was incurred in the last one year? 
[OPERATOR: SINGLE RESPONSE]
1)YES
2)NO
3)DON'T KNOW
4)REFUSED</t>
  </si>
  <si>
    <t>ယခု သင် သို့မဟုတ် သင့်အိမ်ထောင်စုဝင် တစ်ယောက် တွင် လွန်ခဲ့သောနှစ် ကတည်းက ချေးယူထားသောအကြွေး  ရှိနေပါသလား။
[အော်ပရေတာ- တုံ့ပြန်မှုတစ်ခုသာ]
1) ရှိသည်။
2) မရှိပါ။
3)မသိပါ။
4) ငြင်းဆိုသည်။</t>
  </si>
  <si>
    <t>1 = HHDebt_BorrowFrom
2-4 = shock</t>
  </si>
  <si>
    <t>HHDebt_BorrowFrom</t>
  </si>
  <si>
    <t>From whom have you mainly borrowed this money (or contracted this debt) in the past year?
[OPERATOR: SINGLE RESPONSE]
1)Relatives [excluding  remittances]
2)Relatives living outside the country
3)Traders/shopkeepers
4)Bank/Credit institution/Government/Micro-credit project
5)Money lender
6)Landlord [more than 1 month behind in rent]
7)Informal savings group
8)Employer
9)Other</t>
  </si>
  <si>
    <t>လွန်ခဲသောနှစ် တွင်  ငွေချေးယူခြင်းကို အဓိကအာဖြင့် မည်သူ့ထံမှ ချေးယူခဲသနည်း။
[အော်ပရေတာ- တုံ့ပြန်မှုတစ်ခုသာ]
1)ဆွေမျိုး [လွဲပို့ငွေများ မပါဝင်ပါ]
2)ဆွေမျိုး [နိုင်ငံပြင်ပနေထိုင်သူ]
3)ကုန်သည်၊ ဈေးဆိုင်
4)ဘဏ်၊ ချေးငွေလုပ်ငန်း၊ အစိုး ရ ချေးငွေ၊အသေးစား ချေးငွေအဖွဲ့
5)ငွေချေးသူ
6)အိမ်ရှင် [အိမ်ငှားခ ၁ လကျော်အကြွေးတင်]
7)ရပ်ကွက်၊ ကျေးရွာ အတွင်းမှ ငွေစုအဖွဲ့ [စုကြေးလိုက်အဖွဲ့]
8)အလုပ်ရှင်
9)အခြား</t>
  </si>
  <si>
    <t>1-9 = HHDebt_more</t>
  </si>
  <si>
    <t>HHDebt_more</t>
  </si>
  <si>
    <t>Given your current situation, do you expect to need to borrow additional money in the coming 6 months? 
[OPERATOR: SINGLE RESPONSE]
1)YES
2)NO
3)DON'T KNOW
4)REFUSED</t>
  </si>
  <si>
    <t>သင့်လက်ရှိအခြေအနေအရ လာမည့် 6 လအတွင်း နောက်ထပ်ငွေချေးရ မည်ဟုထင်ထားပါသလား။
[အော်ပရေတာ- တုံ့ပြန်မှုတစ်ခုသာ]
1)ချေးရမည်။
2)မချေးရပါ။
3)မသိပါ။
4)ငြင်းဆိုသည်။</t>
  </si>
  <si>
    <t>1-4 =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</si>
  <si>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</si>
  <si>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</si>
  <si>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</si>
  <si>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လွန်ခဲ့သော 3 လအတွင်း လူကြီးမင်း၏ပတ်ဝန်းကျင် သို့မဟုတ် အိမ်ထောင်စုကို ထိခိုက်စေပြီး လူကြီးမင်း၏ဝင်ငွေမြှင့်တင်မှုနှင့်/သို့မဟုတ် ကိုယ်တိုင်စားသုံးရန်အတွက်ထုတ်လုပ်မှုကို ထိခိုက်စေသော ဘေးအန္တရာယ် သို့မဟုတ် အကျပ်အတည်းနှင့် ကြုံတွေ့ဖူးပါသလား။ 
[အော်ပရေတာ- အိမ်ထောင်စုတွေ့ကြုံခဲ့ရသော သက်ဆိုင်သည့် သက်ရောက်မှုများကို ရွေးချယ်ပါ။ အဖြေအများအပြား ရှိနိုင်သည်။ စီးပွားရေးပိုင်းဆိုင်ရာ သက်ရောက်မှုများ၊ ကောက်ပဲသီးနှံနှင့်မွေးမြူရေးပိုင်းဆိုင်ရာ သက်ရောက်မှုများ၊ အိမ်ထောင်စုအတွင်း သက်ရောက်မှုများ၊ သဘာဝဘေးအန္တရာယ်နှင့် လူလုပ်အန္တရာယ်သက်ရောက်မှုများကို ရည်ညွှန်းသည်။]
1)ရုတ်တရတ်ကြုံတွေ့ရသော ဘေးအန္တရာယ် မရှိပါ
2)အိမ်ထောင်စုဝင်[များ] ဖျားနာခြင်း (သို့မဟုတ်) သေဆုံးခြင်း [တစ်အိမ်သားလုံးကို လုပ်ကိုင်ကျွေးမွေးသူ ဖျားနာခြင်း / ပုံမှန်မဟုတ်သည့် မြင့်မားသောဆေးကုသမှုကုန်ကျစရိတ်များ / အသုဘကုန်ကျစရိတ်များ / တစ်အိမ်သားလုံးကို လုပ်ကိုင်ကျွေးမွေးသူ သေဆုံးခြင်း]
3)အလုပ်လက်မဲ့ဖြစ်ခြင်း သို့မဟုတ် အလုပ်အကိုင်အခွင့်အလမ်းများ ဆုံးရှုံးခြင်း
4)အခြားသော အိမ်တွင်းပဋိပက္ခ
5)ပုံမှန်အစားအစာဈေးနှုန်းများထက် ဈေးနှုန်း ပိုမိုမြင့်မားခြင်း
6)ပုံမှန်လောင်စာဆီစျေးနှုန်းထက် ဈေးနှုန်းအလွန်မြင့်မားခြင်း
7)အလုပ် သို့မဟုတ် လုပ်ငန်း ဆက်လက်လုပ်ကိုင်မှုကို အနှောင့်အယှက်ဖြစ်စေသည့် ပြင်ပဖြစ်စဉ်များ - စျေးကွက်များကို ပိတ်သိမ်းခြင်း / စီးပွားရေးလုပ်ငန်းများကို ပိတ်သိမ်းခြင်း / ဈေးများဆီသို့ လမ်းပန်းဆက်သွယ်ရေးအခြေခံအဆောက်အအုံများကို ဖြိုဖျက်ခြင်း / စသော ဥပဒေများ 
8)အခြားသော စီးပွားရေးသက်ရောက်မှု 
9)ပိုးမွှားအန္တရာယ်ကျရောက်မှု
10)အပင်ရောဂါ
11)တိရိစ္ဆာန်များကို ထိခိုက်စေသည့် တိရိစ္ဆာန်ရောဂါ
12) စားကျက်သို့ သွားရောက်နိုင်ရန် အခက်အခဲရှိခြင်း
13)အခြားသီးနှံများနှင့် မွေးမြူရေးသက်ရောက်မှု
14)အေးစက်သော အပူချိန် သို့မဟုတ် မိုးသီးကြွေခြင်း
15)ရေလွှမ်းမိုးခြင်း
16)ဟာရီကိန်း / ဆိုင်ကလုန်း 
17)မိုးခေါင်ခြင်း
18)ငလျင်လှုပ်ခြင်း
19)မြေပြိုခြင်း
20)သဘာဝဘေးအန္တရာယ်ကြောင့် ဖြစ်ပွားသော မီးလောင်မှု
21)အခြားသော သဘာဝဘေးအန္တရာယ်
22)အကြမ်းဖက်မှုနှင့် မလုံခြုံမှု / ပဋိပက္ခ
23)ထုတ်လုပ်ရေး ပစ္စည်းများ [လယ်ယာ/ မွေးမြူရေးတိရစ္ဆာန်များ/ ကိရိယာများ / စသည်] ကို ခိုးယူခြင်း
24)လူတို့၏ပရောဂကြောင့်လောင်သော မီးဘေး
25)အခြားသော လူတို့၏ပရောဂကြောင့် ဖြစ်ပွားသော ဘေးအန္တရာယ်
26)မသိပါ
27)ဖြေဆိုရန် ငြင်းဆန်သည်</t>
  </si>
  <si>
    <t>Select All That Apply</t>
  </si>
  <si>
    <t>Form Type - Checklist 
1,26,27 = IsNone</t>
  </si>
  <si>
    <t>1-27 = o_con_house</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</si>
  <si>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</si>
  <si>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</si>
  <si>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o_con_house</t>
  </si>
  <si>
    <t>Was your house recently destroyed?</t>
  </si>
  <si>
    <t>Send if "adm1_name" "Equals" "Sagaing" Or "adm1_name" "Equals" "Kayah" Or "adm1_name" "Equals" "Shan" Or "adm1_name" "Equals" "Magway" Or "adm1_name" "Equals" "Kayin" Or "adm1_name" "Equals" "Chin"</t>
  </si>
  <si>
    <t>1-4 = o_con_asset</t>
  </si>
  <si>
    <t xml:space="preserve"> o_con_asset</t>
  </si>
  <si>
    <t>Were other assets, such as machinery, cars, motorbikes, etc..) lost or destroyed?</t>
  </si>
  <si>
    <t>1-4 = o_con_move</t>
  </si>
  <si>
    <t xml:space="preserve"> o_con_move</t>
  </si>
  <si>
    <t>Did you or your household members have to move from your village?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</si>
  <si>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</si>
  <si>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1-4 = o_con_land</t>
  </si>
  <si>
    <t>o_con_land</t>
  </si>
  <si>
    <t>Did you or your household members have to abandon your field in the past 6 months?</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</si>
  <si>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</si>
  <si>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1-4 = o_con_ls</t>
  </si>
  <si>
    <t>o_con_ls</t>
  </si>
  <si>
    <t>Did you have to get rid of your animals in the past 6 months?</t>
  </si>
  <si>
    <t>1-4=crp_intro</t>
  </si>
  <si>
    <t>D. CROP PRODUCTION</t>
  </si>
  <si>
    <t>crp_intro</t>
  </si>
  <si>
    <t>We will now ask you some questions about crop production which apply to you and anyone in your household that is involved in crop production or sales. All questions refer to the crops grown during in Dry season.
1)CONTINUE</t>
  </si>
  <si>
    <t>ယခု ကျွန်ုပ်တို့သည် သင်နှင့် သင့်အိမ်ထောင်စုရှိ သီးနှံစိုက်ပျိုးထုတ်လုပ်ရောင်းချမှုတွင် ပါဝင်ပတ်သက်နေသည့် မည်သူနှင့်မဆို သက်ဆိုင်သည့် သီးနှံစိုက်ပျိုးထုတ်လုပ်မှုဆိုင်ရာ မေးခွန်းအချို့ကို သင့်အား ယခုမေးမြန်းပါမည်။ မေးခွန်းအားလုံးသည် နွေ ရာသီတွင် စိုက်ပျိုးသောသီးနှံများကို ရည်ညွှန်းပါသည်။
1) ဆက်ရန်</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</si>
  <si>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</si>
  <si>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</si>
  <si>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</si>
  <si>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</si>
  <si>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စိုက်ပျိုးနိုင်တဲ့မြေအကျယ်အဝန်း စုစုပေါင်း ဘယ်လောက်ရှိလဲ။
[အော်ပရေတာ- ဖြေကြားသူမှ ပံ့ပိုးပေးထားသည့် စုစုပေါင်းမြေ အကျယ်အဝန်းပမာဏကို မှတ်သားပါ။ မသိသည့်အတွက် 8888888 နှင့် 9999999 ကို ငြင်းဆိုရန် ရေးပါ။ အောက်ပါမေးခွန်းတွင် တိုင်းတာမှုယူနစ်ကို သတ်မှတ်ပေးပါမည်။]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</si>
  <si>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</si>
  <si>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</si>
  <si>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</si>
  <si>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5)Arces, square meter
</t>
  </si>
  <si>
    <t>မြေအကျယ်အဝန်း တိုင်းတာခြင်းယူနစ်
[အော်ပရေတာ- ဖတ်ပြရန်မလိုပါ။ အဖြေတစ်ခုသာ ရွေးချယ်ရန်။]
1)ဧက
2) ဟက်တာ
3) စတုရန်းမီတာ
4) စတုရန်းပေ
5)ဧကနှင့် စတုရန်းမီတာ</t>
  </si>
  <si>
    <t>1-5 = crp_main</t>
  </si>
  <si>
    <t>if crp_landsize_unit = 1-5, go to crp_main</t>
  </si>
  <si>
    <t>crp_main</t>
  </si>
  <si>
    <t>What has been the main crop that your household has grown for food and income generation in Lean Season (dry season), if any? 
 [OPERATOR: SINGLE RESPONSE. "NO CROP PRODUCTION" IS IN LAST OPTIONS AT THE END.]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91)No crop production
92)DON'T KNOW
93)REFUSED</t>
  </si>
  <si>
    <t xml:space="preserve"> နွေ ရာသီ တွင် သင့်အိမ်ထောင်စုသည် အစားအစာနှင့် ဝင်ငွေရရှိရန် စိုက်ပျိုးထားသည့် အဓိကသီးနှံကို ဖော်ပြပါ။
 [အော်ပရေတာ- တစ်ကိုယ်ရေ တုံ့ပြန်မှု။ "သီးနှံထုတ်လုပ်မှုမရှိ" သည် အဆုံးတွင် နောက်ဆုံးရွေးချယ်စရာများဖြစ်သည်။]
1) စပါး
2) ဂျုံ
3) ပြောင်း
4) အာလူး
5) ပဲအမျိုးမျိုး
6) ကြက်သွန်နီ
7) မြေပဲ/မြေပဲ
8) နှမ်း
9) ကြံ
10) ဆေးရွက်ကြီး
11) ပြောင်းဆန်
12) လူး
13) မုယောစပါး
14) အခြားနှံစားသီးနှံများ
15) ပီလောပီနံ
16) ကန်စွန်းဥ
17) ဝဉ
18) မုန်လာဥနီ
19) ကိုကိုယမ်
20) အခြားဉ အမျိုးမျိုး
21) ပဲစေ့အသေးမျိုး အမျိုးမျိုး
22) ပဲစေ့
23) ပဲပိစပ်
24) ကုလားပဲ
25) Fava ပဲများ
26) ပဲအမျိုးမျိုး
27 အခြားပဲမျိုးစုံ
28) ဂေါ်ဖီထုပ်
29) ပန်းဂေါ်ဖီ
30) ဆလတ်ရွက်
31) ဟင်းနုနွယ်ရွက်
32) ပီလောပီနံရွက်
33) အာလူးရွက်
34) ဒန့်သလွန်
35) ချဉ်ပေါင်
36) အစိမ်းရောင်သုပ်ဟင်းသီးဟင်းရွက်များ [စမုန်ဖြူ၊ နံနံပင်၊ mint၊ rocca၊ အခြား]
37) အခြားသော အရွက်များ ဟင်းသီးဟင်းရွက်များ
38) ခရမ်းချဉ်သီး
39) ပဲစိမ်း၊
40) ပဲစိမ်းပွသီး 
41) သခွားသီး
42) ရွှေဖရုံသီး
43) ခရမ်းသီး / ခရမ်းသီး
44) ဇူကီနီ/ဖရုံသခွား
45) ရုံးပတီသီး
46) ငရုတ်ပွ
47) ဘိုစားပဲ
48) အရွက်မဟုတ်သော အခြားဟင်းသီးဟင်းရွက်များ
49) လိမ္မော်ရောင်
50) သံပုရာ
51) ဂရိတ်ဖရုသီး
52) လိမ္မော်သီး အသေး
53) အခြားလိမ္မော်သီး
54) ငှက်ပျောမွှေး
55) သဖန်း
56) စပျစ်သီး
57) သံလွင်သီး
58) ပန်းသိး
59) မက်မွန်သီး
60) ချယ်ရီသီး
61) မက်မန်းသီး
62) စတော်ဘယ်ရီသီး
63) ဖရဲသီး [Cantaloupe]
64) ပလတ်ရွက်
65) သင်္ဘောသီး
66) သရက်သီး
67) မာလကာ၊
68) နာနတ်သီး
69) ထောပတ်သီး
70) ဖရဲသီး
71) ရက်စွဲများ
72) အခြားအသီးအနှံ
73) အုန်းသီး
74) သီဟိုဠ်စေ့
75) ကိုလာစေ့
76) ဘန်ဘာရာစေ့
77) ဗာဒံစေ့
78) သစ်ကြားသီး
79) အခြားအခွံမာသီး
80) ကိုကိုး
81) ကော်ဖီ
82) လက်ဖက်ရည်
83) နေကြာ
84) အခြားငွေဖြစ်လွယ်သောသီးနှံများ
85) ချည်
86) ရော်ဘာ
87) ဂုန်လျော်
88) အစာ
89) ကွမ်းရွက်ကဲ့သို့စားရသော အရွက်တမျိုး
90) အခြားအစာမဟုတ်သော ငွေသားသီးနှံ
91) သီးနှံအထွက်နှုန်းမရှိခြင်း။
92) မသိပါ။
93) ငြင်းဆိုခဲ့သည်။
</t>
  </si>
  <si>
    <t>Form Type - Dropdown
IsDemographic</t>
  </si>
  <si>
    <t>1-90 = crp_irrig_source
91 = crp_main_check
92-93 = crp_salesmain</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</si>
  <si>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91)777
92)888
93)999</t>
  </si>
  <si>
    <t>if crp_main = any type of crop, go to crp_irrig_source;
if crp_main = "No crop production", go to crp_main_check
if crp_main = "Don't know" or "Refused", go to crp_salesmain</t>
  </si>
  <si>
    <t>crp_main_check</t>
  </si>
  <si>
    <t>Why did you not produce any crops in  in Lean Season (dry season)?
[OPERATOR: SINGLE RESPONSE.]
1)Don’t usually produce during this season 
2)Wasn't able to produce [e.g. due to difficulties]</t>
  </si>
  <si>
    <t xml:space="preserve"> နွေ ရာသီ တွင် သီးနှံ ဘာ​ကြောင့် မထုတ်လုပ်နိုင်သလဲ
[အော်ပရေတာ- တုံ့ပြန်မှုတစ်ခုသာ]
1)ဒီရာသီတွင် ပုံမှန် မထုတ်လုပ်ဘူး
2)မထုတ်လုပ်နိုင်တာ ( ဥပမာ အခက်အခဲ များ​ကြောင့်)</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</si>
  <si>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</si>
  <si>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</si>
  <si>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</si>
  <si>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</si>
  <si>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​{crp_main} အတွက် စိုက်ပျိူးရန်  လို​အပ်​သော ​ရေကို ပုံမှန် မည်ကဲ့သို့ ရရှိသနည်း
[အော်ပရေတာ- တုံ့ပြန်မှုတစ်ခုသာ]
1)မိုး​ရေ [ရေသွင်းစနစ်မရှိ]
2)တူးမြောင်းရေသွင်းခြင်း [syphon ကိုသုံး၍]
​3)ရေဖြန်းခြင်း သို့ အစက်ချခြင်း [မျက်နှာ ပြင်​ရေ၊ ​မြေ​အောက်​ရေ၊ ဘုံဘိုင်​ခေါင်း]
4)သီးသန့် ​ရေသွယ်ခြင်း [မျက်နှာ ပြင်​ရေ၊ ​မြေ​အောက်​ရေ၊ ဘုံဘိုင်​ခေါင်း]
​5)ရေလွမ်းခြင်းဖြင့်ရရှိခြင်း [ကမ္ဘာ​မြေကြီးဆွဲအားဖြင့်]
6)အခြား [​ဖော်ပြပါ]
7)မသိပါ။
8) ငြင်းဆိုသည်။</t>
  </si>
  <si>
    <t>1-8 = crp_area_change OR optional question</t>
  </si>
  <si>
    <t>if crp_irrig_source = 1-8, go to [crp_area_change or optional question]</t>
  </si>
  <si>
    <t>crp_area_change</t>
  </si>
  <si>
    <t>How did the area planted for {crp_main} from dry season compare to a normal year?
[OPERATOR: SINGLE RESPONSE.]
1)A lot more [increased by more than 50%]
2)Slightly more
3)Same
4)Slightly less
5)A lot less [less than half as much]
6)DON'T KNOW
7)REFUSED</t>
  </si>
  <si>
    <t>နွေ ရာသီ တွင် {crp_main} အတွက် စိုက်ပျိုးခဲ့သော ဧရိယာကို ပုံမှန်စိုက်ပျိုးသည့်နှစ်နဲ့ ဘယ်လိုနှိုင်းယှဉ်ရပါမလဲ။
[အော်ပရေတာ- တုံ့ပြန်မှုတစ်ခုသာ။]
1)အလွန်တိုးလာသည် [50% အထက် တိုးလာသည်]
2)တိုးလာသည်
3)တူညီသည်
4)ပို၍နည်းသည်
5)အလွန်နည်းသည် [ထက်ဝက်စာမျှ နည်းသည်]
6)မသိပါ
7)ဖြေဆိုရန် ငြင်းဆန်သည်</t>
  </si>
  <si>
    <t>1-7 = crp_harv_change</t>
  </si>
  <si>
    <t>if crp_area_change = 1-7, go to crp_harv_change</t>
  </si>
  <si>
    <t>crp_harv_change</t>
  </si>
  <si>
    <t>How does the  harvest of {crp_main} in the dry season compare to a normal year? 
[OPERATOR: SINGLE RESPONSE.]
1)A lot more [increased by more than 50%]
2)Slightly more
3)Same
4)Slightly less
5)A lot less [less than half as much]
6)DON'T KNOW
7)REFUSED</t>
  </si>
  <si>
    <t xml:space="preserve">  နွေ ရာသီ အတွင်း {crp_main} ၏ခန့်မှန်းရိတ်သိမ်းရရှိမှုကို ပုံမှန်စိုက်ပျိုးနှစ်နှင့် ဘယ်လိုနှိုင်းယှဉ်ရပါမလဲ။ 
[အော်ပရေတာ- တုံ့ပြန်မှုတစ်ခုသာ။]
1)အလွန်တိုးလာသည် [50% အထက် တိုးလာသည်]
2)တိုးလာသည်
3)တူညီသည်
4)ပို၍နည်းသည်
5)အလွန်နည်းသည် [ထက်ဝက်စာမျှ နည်းသည်]
6)မသိပါ
7)ဖြေဆိုရန် ငြင်းဆန်သည်</t>
  </si>
  <si>
    <t>1-7 = crp_proddif OR crp_harv_vol</t>
  </si>
  <si>
    <t>if crp_harv_change = 1-7, go to [crp_proddif or crp_harv_vol]</t>
  </si>
  <si>
    <t>crp_harv_vol</t>
  </si>
  <si>
    <t>How much [threshed] {crp_main} did you harvest this Lean Season (dry season)?
[OPERATOR: RECORD THE RESPONSE GIVEN. UNIT OF MEASUREMENT TO BE SPECIFIED IN NEXT QUESTION. ENTER 8888888 FOR DON'T KNOW &amp; 9999999 FOR REFUSED, TO BE USED RARELY - PROBE!]</t>
  </si>
  <si>
    <t>အဓိကစိုက်ပျိုးသီးနှံ  {crp_main} ကို ပြီးခဲသောရာသီတွင် သင်မည်မျှရိတ်သိမ်းခဲ့သနည်း။
[အော်ပရေတာ- အကြောင်းမဲ့ တုံ့ပြန်မှုကို မှတ်တမ်းတင်ပါ။ နောက်မေးခွန်းအတွက် သတ်မှတ်ရမည့် တိုင်းတာမှုယူနစ်။ မသိသည့်အတွက် 8888888 ကိုရိုက်ထည့်ပါ နှင့် 9999999 ကို ငြင်းဆိုရန် ရှားရှားပါးပါး - စုံစမ်းရန်။]</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</si>
  <si>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</si>
  <si>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</si>
  <si>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</si>
  <si>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</si>
  <si>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</si>
  <si>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{crp_main}: ရိတ်သိမ်းခြင်းအတွက် တိုင်းတာမှုယူနစ်
[အော်ပရေတာ- ရွေးချယ်မှုတစ်ခုတည်းသာ]
1) ကီလိုဂရမ်
2) တန်ချိန်
3) အောင်စ
4) ပေါင်
5) အိတ်များ
6) ဗူးများ
7) အစည်းများ
8) အထုပ်များ
9) အခြား [သတ်မှတ်ရန်]</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</si>
  <si>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</si>
  <si>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</si>
  <si>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</si>
  <si>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</si>
  <si>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</si>
  <si>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ယူနစ်တစ်ခုစီတွင် ကီလိုဂရမ်မည်မျှပါပါသလဲ?
[အော်ပရေတာ- အကြောင်းမဲ့ ပမာဏကို မှတ်တမ်းတင်ပါ။ မသိခြင်းအတွက် 88888 နှင့် 99999 ကို ငြင်းပယ်ရန်]</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</si>
  <si>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</si>
  <si>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</si>
  <si>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</si>
  <si>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</si>
  <si>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(ခြွေလှေ့ရိတ်သိမ်းခြင်း) #လွန်ခဲ့သောနှစ်က အဓိကစိုက်ပျိုးသီးနှံ {crp_main} ကို ရိတ်သိမ်းသောအခါ ပမာဏ {crp_hav_unit} မည်မျှရိတ်သိမ်းနိုင်ခဲ့ပါသလဲ။
[အော်ပရေတာ- အကြောင်းမဲ့ တုံ့ပြန်မှုကို မှတ်တမ်းတင်ပါ။ မသိသည့်အတွက် 8888888 ကိုရိုက်ထည့်ပါ နှင့် 9999999 ကို ငြင်းဆိုရန် ရှားရှားပါးပါး - စုံစမ်းရန်။]</t>
  </si>
  <si>
    <t>1-1000000 = crp_proddif
8888888-8888888 = crp_proddif
9999999-9999999 = crp_proddif</t>
  </si>
  <si>
    <t>For any response, go to crp_proddif</t>
  </si>
  <si>
    <t>crp_proddif</t>
  </si>
  <si>
    <t>Has your household faced any significant difficulty in terms of crop production in Lean Season (dry season)?
[OPERATOR: SINGLE RESPONSE.]
1)YES
2)NO
3)DON'T KNOW
4)REFUSED</t>
  </si>
  <si>
    <t>ပြီးခဲသောရာသီ တွင် လူကြီးမင်း၏အိမ်ထောင်စုသည် သီးနှံစိုက်ပျိုးထုတ်လုပ်မှုနှင့်ပတ်သက်၍ အခက်အခဲတစ်စုံတစ်ရာ ကြုံဖူးပါသလား။
[အော်ပရေတာ- တုံ့ပြန်မှုတစ်ခုသာ။]
1)ဟုတ်
2)မဟုတ်
3)မသိပါ
4)ဖြေဆိုရန် ငြင်းဆန်သည်</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</si>
  <si>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</si>
  <si>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</si>
  <si>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</si>
  <si>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</si>
  <si>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dry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</si>
  <si>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 xml:space="preserve"> နွေ ရာသီ တွင် လူကြီးမင်း၏အိမ်ထောင်စုသည် သီးနှံထုတ်လုပ်ရေးနှင့်ပတ်သက်၍ မည်သည့်ခက်အခဲများကြုံတွေ့ခဲ့ရပါသလဲ။
[အော်ပရေတာ - အဖြေအများအပြား ရှိနိုင်သည်။ ဖြေဆိုသူများပေးသော သတင်းအချက်အလက်များနှင့် အကိုက်ညီဆုံး‌အရာ(များ) ကိုရွေးချယ်ပါ။]
1)အပင်ရောဂါ 
2)ပိုးမွှားရောဂါ (ကျေးငှက်များ ဖျက်စီးခြင်းအပါအဝင်)
3)တိရိစ္ဆာန်လွှတ်ကျောင်းခြင်း
4) စိုက်ပျိုးမြေအသုံးချနိုင်မှု/လက်လှမ်းမှီနိုင်မှု
5)ဓာတ်မြေသြဇာ မရရှိနိုင်ခဲ့ပါ [ဈေးကွက်တွင် မရရှိနိုင်ခြင်း သို့မဟုတ် ဈေးနှုန်းအလွန်မြင့်မားခြင်း]
6)အရည်အသွေးကောင်းမျိုးစေ့များ ရရှိနိုင်မှု
7) မျိုးစေ့များအလုံအလောက် မရရှိနိုင်ပါ [ဈေးကွက်တွင်မရရှိနိုင်ခြင်း သို့မဟုတ် ဈေးနှုန်းအလွန်မြင့်မားခြင်း]
8) ပိုးသတ်ဆေးများ မရရှိနိုင်ခဲ့ပါ
9)  လူအင်အား မရရှိနိုင်ခဲ့ပါ
10) မြေပြုပြင်ရန် /လယ်ယာထွန်ယက်ရန် တိရိစ္ဆာန် သို့စက်ပစ္စည်းမရရှိနိုင်ခဲ့ပါ 
11)လောင်စာဆီ သို့မဟုတ် လျှပ်စစ်ဓာတ်အားကို စိုက်ပျိုးရေးသုံးစက်ကိရိယာများအတွက် အသုံးပြု၍ မရနိုင်ခဲ့ပါ
12)မြေဆီလွှာတိုက်စားမှု
13)ဆည်မြောင်းရေ/မိုးရေ မလုံလောက်ပါ 
14) ဆည်မြောင်းရေ/မိုးရေများပြားသောကြောင့် ရေလွှမ်းခြင်း
15) ချေးငွေရရှိနိုင်မှု
16)အခြား [အသေးစိတ်ဖော်ပြပါ]
17)မသိပါ
18)ဖြေဆိုရန် ငြင်းဆန်သည်</t>
  </si>
  <si>
    <t xml:space="preserve">Select All That Apply </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</si>
  <si>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</si>
  <si>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</si>
  <si>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</si>
  <si>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</si>
  <si>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D. CROP MARKETING</t>
  </si>
  <si>
    <t>crp_salesmain</t>
  </si>
  <si>
    <t>What has been the main crop that you have sold over the last 3 months?
[OPERATOR: SELECT ALL CROPS LISTED BY THE RESPONDENT.]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91)DON'T KNOW
92)REFUSED</t>
  </si>
  <si>
    <t xml:space="preserve">
လွန်ခဲ့​သော ၃လ အတွင်း လူကြီးမင်းတို့ အဓိက ​ရောင်းချ​သော သီးနှံ ကို ​ဖော်ပြပါ
 [အော်ပရေတာ- တစ်ခုတည်း တုံ့ပြန်မှု။]
1) စပါး
2) ဂျုံ
3) ပြောင်း
4) အာလူး
5) ပဲအမျိုးမျိုး
6) ကြက်သွန်နီ
7) မြေပဲ/မြေပဲ
8) နှမ်း
9) ကြံ
10) ဆေးရွက်ကြီး
11) ပြောင်းဆန်
12) လူး
13) မုယောစပါး
14) အခြားနှံစားသီးနှံများ
15) ပီလောပီနံ
16) ကန်စွန်းဥ
17) ဝဉ
18) မုန်လာဥနီ
19) ကိုကိုယမ်
20) အခြားဉ အမျိုးမျိုး
21) ပဲစေ့အသေးမျိုး အမျိုးမျိုး
22) ပဲစေ့
23) ပဲပိစပ်
24) ကုလားပဲ
25) Fava ပဲများ
26) ပဲအမျိုးမျိုး
27 အခြားပဲမျိုးစုံ
28) ဂေါ်ဖီထုပ်
29) ပန်းဂေါ်ဖီ
30) ဆလတ်ရွက်
31) ဟင်းနုနွယ်ရွက် - မြုံနီ
32) ပီနံရွက်
33) အာလူးရွက်
34) ဒန့်သလွန်
35) ချဉ်ပေါင်
36) အစိမ်းရောင်သုပ်ဟင်းသီးဟင်းရွက်များ [စမုန်ဖြူ၊ နံနံပင်၊ mint၊ rocca၊ အခြား]
37) အခြားသော အရွက်များ ဟင်းသီးဟင်းရွက်များ
38) ခရမ်းချဉ်သီး
39) ပဲစိမ်း၊
40) ပဲစိမ်းပွသီး 
41) သခွားသီး
42) ရွှေဖရုံသီး
43) ခရမ်းသီး / ခရမ်းသီး
44) ဇူကီနီ/ဖရုံသခွား
45) ရုံးပတီသီး
46) ငရုတ်ပွ
47) ဘိုစားပဲ
48) အရွက်မဟုတ်သော အခြားဟင်းသီးဟင်းရွက်များ
49) လိမ္မော်ရောင်
50) သံပုရာ
51) ဂရိတ်ဖရုသီး
52) လိမ္မော်သီး အသေး
53) အခြားလိမ္မော်သီး
54) ငှက်ပျောမွှေး
55) သဖန်း
56) စပျစ်သီး
57) သံလွင်သီး
58) ပန်းသိး
59) မက်မွန်သီး
60) ချယ်ရီသီး
61) မက်မန်းသီး
62) စတော်ဘယ်ရီသီး
63) ဖရဲသီး [Cantaloupe]
64) ပလတ်ရွက်
65) သင်္ဘောသီး
66) သရက်သီး
67) မာလကာ၊
68) နာနတ်သီး
69) ထောပတ်သီး
70) ဖရဲသီး
71) ရက်စွဲများ
72) အခြားအသီးအနှံ
73) အုန်းသီး
74) သီဟိုဠ်စေ့
75) ကိုလာစေ့
76) ဘန်ဘာရာစေ့
77) ဗာဒံစေ့
78) သစ်ကြားသီး
79) အခြားအခွံမာသီး
80) ကိုကိုး
81) ကော်ဖီ
82) လက်ဖက်ရည်
83) နေကြာ
84) အခြားငွေဖြစ်လွယ်သောသီးနှံများ
85) ချည်
86) ရော်ဘာ
87) ဂုန်လျော်
88) အစာ
89) ကွမ်းရွက်ကဲ့သို့စားရသော အရွက်တမျိုး
90) အခြားအစာမဟုတ်သော ငွေသားသီးနှံ
91) သီးနှံအထွက်နှုန်းမရှိခြင်း။
92) မသိပါ။
93) ငြင်းဆိုခဲ့သည်။
</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</si>
  <si>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</si>
  <si>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</si>
  <si>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92)888
93)999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</si>
  <si>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</si>
  <si>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</si>
  <si>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</si>
  <si>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သင့်အိမ်ထောင်စုသည် လွန်ခဲ့သော ၃ လအတွင်း သင့်ကောက်ပဲသီးနှံများ {crp_salesmain} ကို ရောင်းချရာတွင် အခက်အခဲတစ်စုံတစ်ရာ ကြုံတွေ့ခဲ့ရပါသလား။
[အော်ပရေတာ- တစ်ခုတည်း တုံ့ပြန်မှု။]
1) ဟုတ်တယ်။
2) မဟုတ်ပါ။
3) မသိပါ။
4) ငြင်းဆိုခဲ့သည်။</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</si>
  <si>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</si>
  <si>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</si>
  <si>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</si>
  <si>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</si>
  <si>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</si>
  <si>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လွန်ခဲ့သော 3 လအတွင်း ကောက်ပဲသီးနှံများ {crp_salesmain} ရောင်းချရာတွင် လူကြီးမင်း၏အိမ်ထောင်စုသည် မည်သည့်အခက်အခဲများကြုံတွေ့ခဲ့ရပါသလဲ။
[အော်ပရေတာ- တုံ့ပြန်မှုတစ်ခုထက်ပိုနိုင်သည်။ ဖြေဆိုသူများမှ ပေးဆောင်သော အချက်အလက်နှင့် အကိုက်ညီဆုံး ရွေးချယ်ခွင့်ကို ရွေးချယ်ပါ။]
1)သယ်ယူပို့ဆောင်စရိတ် ကြီးမြင့်ခြင်း သို့မဟုတ်အခြားစျေးကွက်ကုန်ကျစရိတ်
2) သိုလှောင်မှုအခက်အခဲနှင့်/သို့မဟုတ် စျေးကွက်ဝင်ရောက်ရန်အခက်အခဲကြောင့် ပျက်စီးဆုံးရှုံးမှုများ [ဥပမာ။ မလုံခြုံမှု၊ အခြေခံအဆောက်အအုံ ညံ့ဖျင်းမှု စသဖြင့်]
3) ပုံမှန်ကုန်သည်များ သို့မဟုတ် ဝယ်သူများထံမှ ဝယ်လိုအားမရှိခြင်း။
4) ကုန်သည်/ဝယ်သူများထံမှ ငွေပေးချေမှုနှောင့်နှေးခြင်း။
5) စျေးနှုန်းချိုသာစွာ ရောင်းချခြင်း (ဥပမာ။ သွင်းအားစုစျေးနှုန်းများ / ငွေကြေးဖောင်းပွမှုနှိုင်းယှဉ်]
6) ထုတ်ကုန်လုပ်ဆောင်ရာတွင် ခက်ခဲခြင်း [လုပ်ဆောင်ရာတွင် သွင်းအားစုများ/စက်ပစ္စည်းများ ချို့တဲ့ခြင်း/စသဖြင့်]၊
7) ပစ္စည်းထုတ်လုပ်မှုများခြင်း (သို့) ဝယ်လိုအားနည်းခြင်းကြောင့် ‌
ဈေးကွက်တွင် ပစ္စည်းအများအပြားရှိနေသည်။
8) အခြား
9) မသိပါ။
10) ငြင်းဆိုခဲ့သည်။</t>
  </si>
  <si>
    <t>Form Type - Checklist
9,10 = IsNone</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</si>
  <si>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</si>
  <si>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</si>
  <si>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</si>
  <si>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</si>
  <si>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</si>
  <si>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လူကြီးမင်းအိမ်ထောင်စု၏ အဓိကသီးနှံ {crp_salesmain} ၏ လက်ရှိစျေးနှုန်းကို တူညီသောကာလအတွင်း လွန်ခဲ့သော 1 နှစ်အတွင်း ပျမ်းမျှစျေးနှုန်းနှင့် မည်ကဲ့သို့နှိုင်းယှဉ်နိုင်ပါလဲ။ ...ဟု ပြောနိုင်ပါသလား
[အော်ပရေတာ- တုံ့ပြန်မှုတစ်ခုသာ။ အဓိကထုတ်ကုန်ကို ဖော်ပြရန် တိုက်တွန်းပါ။]
1)အလွန်တိုးလာသည် [50% အထက် တိုးလာသည်]
2)တိုးလာသည်
3)တူညီသည်
4)ပို၍နည်းသည်
5)အလွန်နည်းသည် [ထက်ဝက်စာမျှ နည်းသည်]
6)မသိပါ
7)ဖြေဆိုရန် ငြင်းဆန်သည်</t>
  </si>
  <si>
    <t xml:space="preserve">1-7 = o_diff_crp_input </t>
  </si>
  <si>
    <t>if crp_salesprice = 1-7, go to ls_intro</t>
  </si>
  <si>
    <t xml:space="preserve">
o_diff_crp_input</t>
  </si>
  <si>
    <t xml:space="preserve">Were you able to access the shops/market where you buy most of your agricultural inputs (seeds, fertilizer, etc).?
[OPERATOR: SINGLE RESPONSE.]
1)Yes 
2)Yes partially
3)No
4)DON'T KNOW
5)REFUSED </t>
  </si>
  <si>
    <t>လူကြီးမင်း၏စိုက်ပျိုးရေး သွင်းကုန်များ (မျိုးစေ့၊မြေသြဇာ၊ ) ၀ယ်ယူ ရာ စျေးဆိုင်/စျေး သို့ သွားလာ၍ရနိုင် (သို့) အသုံးပြု နိုင်ပါသလား။ 
[အော်ပရေတာ- ရွေးချယ်မှုများကိုမဖတ်ပါနှင့်။ တုံ့ပြန်မှုတစ်ခုသာ]
1)သွားလာနိုင်/အသုံးပြုနိုင်ပါသည်။
2)တစ်ခါတစ်ရံ သာသွားလာ/အသုံးပြု နိုင်ပါသည်။
3)မသွားနိုင်/အသုံးမပြုနိုင်ပါ။
4)မသိပါ
5)ဖြေဆိုရန် ငြင်းဆန်သည်</t>
  </si>
  <si>
    <t>1-4=o_diff_crp_output</t>
  </si>
  <si>
    <t xml:space="preserve">
o_diff_crp_output</t>
  </si>
  <si>
    <t xml:space="preserve">Were you able to access the shops/market and where you sell your agricultural products?
[OPERATOR: SINGLE RESPONSE.]
1)Yes 
2)Yes partially
3)No
4)DON'T KNOW
5)REFUSED </t>
  </si>
  <si>
    <t>လူကြီးမင်း၏စိုက်ပျိုးရေး ထွက်ကုန်များရောင်းချရာ စျေးဆိုင်/စျေး  သို့ သွားလာ၍ရနိုင် (သို့) အသုံးပြု နိုင်ပါသလား။ 
[အော်ပရေတာ- ရွေးချယ်မှုများကိုမဖတ်ပါနှင့်။ တုံ့ပြန်မှုတစ်ခုသာ]
1)သွားလာနိုင်/အသုံးပြုနိုင်ပါသည်။
2)တစ်ခါတစ်ရံ သာသွားလာ/အသုံးပြု နိုင်ပါသည်။
3)မသွားနိုင်/အသုံးမပြုနိုင်ပါ။
4)မသိပါ
5)ဖြေဆိုရန် ငြင်းဆန်သည်</t>
  </si>
  <si>
    <t>1-4=ls_intro</t>
  </si>
  <si>
    <t>E. LIVESTOCK PRODUCTION</t>
  </si>
  <si>
    <t>ls_intro</t>
  </si>
  <si>
    <t>We will now ask you some questions about livestock production which apply to you and anyone in your household that is involved in livestock production or sales. 
1)CONTINUE</t>
  </si>
  <si>
    <t>သင်နှင့် သင့်အိမ်ထောင်စုရှိ မွေးမြူရေးလုပ်ငန်း သို့မဟုတ် ရောင်းချမှုတွင် ပါဝင်ပတ်သက်နေသည့် တိရစ္ဆာန်မွေးမြူထုတ်လုပ်ခြင်းဆိုင်ရာ မေးခွန်းအချို့ကို သင့်အား ယခုမေးပါမည်။
1) ဆက်ရန်</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</si>
  <si>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</si>
  <si>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</si>
  <si>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</si>
  <si>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</si>
  <si>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လွန်ခဲ့သော 12 လအတွင်း စားနပ်ရိက္ခာနှင့် ဝင်ငွေရရန်အတွက် လူကြီးမင်း၏အိမ်ထောင်စုသည် မည်သည့်အိမ်မွေးတိရစ္ဆာန်ကို အဓိကမွေးမြူခဲ့ပါသလဲ။
[အော်ပရေတာ- တုံ့ပြန်မှုတစ်ခုသာ။ အရေးအပါဆုံးတိရိစ္ဆာန်အကြောင်းကိုသာ မေးပါ။] [အကြံပြုချက်- စားကျက်မြေတစ်ခုမှ အခြားတစ်ခုသို့ ရွှေ့ပြောင်းသည့် မွေးမြူရေးဖြစ်သော - ရွှေ့ပြောင်းမွေးမြူရေးအကြောင်း မေးမြန်းရန် မမေ့ပါနှင့်။]
1)ကျွဲနွားတိရစ္ဆာန် [နွားမ၊ အမဲသား၊ နွားငယ်သား၊ တိဗက်နွား၊ ကျွဲ]
2)ဆိတ်
3)သိုး
4)ဝက်
5)မြင်းမျိုးနွယ်ဝင် [မြည်း၊ မြင်း / စသည်]
6)အိမ်မြွေးတိရစ္ဆာန် လေးများ [ယုန် / ကုန်းနေ ဖျံ / ပူးကောင် စသည်]
7)မွေးမြူရေးကြက်၊ ငှက် [ကြက် / ရစ်ငှက် / ဘဲ / စသည်]
8)ကုလားအုတ်များ
9)အခြား [အသေးစိတ်ဖော်ပြပါ]
10)မသိပါ
11)ဖြေဆိုရန် ငြင်းဆန်သည်</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</si>
  <si>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</si>
  <si>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</si>
  <si>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</si>
  <si>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</si>
  <si>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</si>
  <si>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လွန်ခဲ့သောနှစ် ယခုလိုအချိန်တွင် {ls_main} ဘယ်နှစ်ကောင်ရှိခဲ့ပါသလဲ။
[အော်ပရေတာ- တိရိစ္ဆာန်အရေအတွက်ကို မှတ်တမ်းတင်ပါ။ မသိပါဟု ဖြေဆိုပါက 8888 ဟု ဖြည့်သွင်းပြီး ဖြေဆိုရန် ငြင်းဆန်သည်ကို ရွေးချယ်ပါက 9999 ဟု ဖြည့်သွင်းပါ။]</t>
  </si>
  <si>
    <t>Form Type - TextBox
demographic</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</si>
  <si>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</si>
  <si>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</si>
  <si>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</si>
  <si>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</si>
  <si>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ယခု လူကြီးမင်းတွင် {ls_main} ဘယ်နှကောင်ရှိပါသလဲ။
[အော်ပရေတာ- တိရိစ္ဆာန်အရေအတွက်ကို မှတ်တမ်းတင်ပါ။ မသိပါဟု ဖြေဆိုပါက 8888 ဟု ဖြည့်သွင်းပြီး ဖြေဆိုရန် ငြင်းဆန်သည်ကို ရွေးချယ်ပါက 9999 ဟု ဖြည့်သွင်းပါ။]</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</si>
  <si>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</si>
  <si>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</si>
  <si>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</si>
  <si>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</si>
  <si>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</si>
  <si>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အဘယ်ကြောင့် မွေးမြူရေး တိရိစ္ဆာန်အရေအတွက် ပြောင်းလဲသွားခဲ့ပါသလဲ။
[အော်ပရေတာ - အဖြေအများအပြား ရှိနိုင်သည်။  အစတွင်တွင် "ပြောင်းလဲခြင်းမရှိ" ဟူသော ရွေးချယ်မှု ပါဝင်သည်။] 
1)မွေးမြူရေး တိရိစ္ဆာန်အရေအတွက် အပြောင်းအလဲမရှိပါ
2)အရေအတွက်အများအပြား မရောင်းချခဲ့ပါ
3)အကောင်ရေအများအပြား ပေါက်သည်
4)ယခုနှစ်တွင် တိရိစ္ဆာန်များ ထပ်မံ0ယ်ယူခဲ့သည် သို့မဟုတ် ဖလှယ်ရောင်းဝယ်ခဲ့သည်
5)တိရစ္ဆာန်များကို အခမဲ့ လက်ခံရရှိခဲ့သည် [ပြန်လည်ဖြည့်တင်းခြင်း / လက်ဆောင်]
6)ကျန်းမာရေးမကောင်းခြင်း / အာဟာရချို့တဲ့မှုသို့မဟုတ် ထိခိုက်ဒဏ်ရာကြောင့် တိရိစ္ဆာန်များ သေဆုံးခဲ့သည်
7) အခြားသော အကြောင်းအရင်းများကြောင့် တိရစ္ဆာန်များ သေဆုံးခြင်း (ဥပမာ။ ရောဂါများ၊ ကပ်ပါးပိုးများ၊ ထိခိုက်ဒဏ်ရာများ]
8)စျေးကောင်းသောကြောင့်၊ ပုံမှန်ထက် အရေအတွက်ပိုမို ရောင်းချခဲ့သည်
9)ရောင်းအားများ ကျဆင်းနေသောကြောင့် ပုံမှန်ထက်ပို၍ ရောင်းချခဲ့သည် [တိရိစ္ဆာန်များကို အစာမကျွေးနိုင်ခြင်း / ရောင်းအားကို ဆက်၍မထိန်းနိုင်လျှင်တောင်မှ အိမ်ထောင်စု၏ အခြေခံလိုအပ်ချက်များအတွက် အရေးတကြီး ငွေလိုအပ်ခြင်း]
10)တိရစ္ဆာန်များ လွတ်မြောက်သွားခြင်း သို့မဟုတ် ပျောက်ဆုံးသွားခြင်း သို့မဟုတ် အခိုးခံရခြင်း
11)အိမ်ထောင်စု စားသောက်ရန် သို့မဟုတ် ပွဲအခမ်းအနားများ [မင်္ဂလာဆောင် / အသုဘများ / စသည်] အတွက် တိရစ္ဆာန်များကို ပုံမှန်ထက်ပို၍ သတ်ဖြတ်ခဲ့သည် သို့မဟုတ် ပေးခဲ့သည်
12)အခြား [အသေးစိတ်ဖော်ပြပါ]
13)မသိပါ
14)ဖြေဆိုရန် ငြင်းဆန်သည်</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</si>
  <si>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</si>
  <si>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</si>
  <si>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</si>
  <si>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</si>
  <si>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</si>
  <si>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</si>
  <si>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</si>
  <si>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သင့် ​မွေး​မြူ​ရေး လုပ်ငန်း {ls_main} အတွက် အစာကို မည်ကဲ့သို ရရှိသနည်း။
[အော်ပရေတာ - အဖြေအများအပြား ရှိနိုင်သည်။ ]
1)စားကျက်​မြေ
2)အများပြည်သူက ထိန်းသိမ်းထား​သော စားကျက်​မြေ
3)ကိုယ်ပိုင်/ငှားရမ်းထား​သော ​စားကျက်​​မြေ သို့ ကိုယ်တိုင် အစာ ထုတ်လုပ်ခြင်း
​4) စျေးကွက်အတွင်းမှ အစာဝယ်ယူခြင်း
5) အစာကို အခမဲ့ဖြန့်ဖြူးမှုမှ ရရှိသည်
6)အခြား [အသေးစိတ်ဖော်ပြပါ]
7)မသိပါ
8)ဖြေဆိုရန် ငြင်းဆန်သည်</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</si>
  <si>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</si>
  <si>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</si>
  <si>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</si>
  <si>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</si>
  <si>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</si>
  <si>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</si>
  <si>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လွန်ခဲ့သော 3 လအတွင်း လူကြီးမင်း၏အိမ်ထောင်စုသည် မွေးမြူရေးတွင် အခက်အခဲရှိခဲ့ပါသလား။
[အော်ပရေတာ- တုံ့ပြန်မှုတစ်ခုသာ။]
1)ဟုတ် 
2)မဟုတ်
3)မသိပါ
4)ဖြေဆိုရန် ငြင်းဆန်သည်</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</si>
  <si>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</si>
  <si>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</si>
  <si>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</si>
  <si>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</si>
  <si>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</si>
  <si>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လွန်ခဲ့သော 3 လက လူကြီးမင်း၏အိမ်ထောင်စုသည်မွေးမြူရေးလုပ်ငန်းတွင် မည်သို့သော အခက်အခဲများနှင့် ကြုံတွေ့ခဲ့ရပါသလဲ။
[အော်ပရေတာ - အဖြေအများအပြား ရှိနိုင်သည်။ ဖြေဆိုသူများပေးသော သတင်းအချက်အလက်များနှင့် အကိုက်ညီဆုံး‌အရာ(များ) ကိုရွေးချယ်ပါ။]
1)အစာဝယ်ယူရန် ခက်ခဲခြင်း [စျေးနှုန်းများ သို့မဟုတ်စျေးကွက်သို့ လက်လှမ်းမီမှု]
2)စားကျက်သို့ ဝင်ရောက်ခွင့်ကို ကန့်သတ်ထားခြင်း
3)ရေသုံးစွဲခွင့် အကန့်အသတ်ရှိခြင်း
4)တိရစ္ဆာန်ဆေးကုသရေး 0န်ဆောင်မှုများရယူရန်ခက်ခဲခြင်း
5)တိရစ္ဆာန်ဆေးကုသရေးဆိုင်ရာ သွင်းအားစုများရရှိရန် ခက်ခဲခြင်း [တိရိစ္ဆာန်များအတွက်ဆေး / တိရိစ္ဆာန်ကျန်းမာရေးအတွက်ကိရိယာများ / စသည်]
6)မွေးမြူရေးတိရစ္ဆာန်များတွင် ဖြစ်ပွားတတ်သောရောဂါများ
7)မွေးမြူရေးတိရစ္ဆာန်များအား းခိုးယူမှု သို့မဟုတ် လုံခြုံမှုမရှိခြင်း
8)တိရိစ္ဆာန်ငယ်များကို ဝယ်ယူရန် မွေးမြူရေးစျေးကွက်ကို လက်လှမ်းမမီခြင်း
9)ချေးငွေရယူခွင့်မရှိခြင်း
10)အလုပ်သမားခ ဈေးကြီးလွန်းသဖြင့် သို့မဟုတ် အလုပ်သမားငှားရမ်းရန် ဝင်ငွေမလုံလောက်သောကြောင့် သို့မဟုတ် အလုပ်သမားများ ငှားရမ်း၍မရသောကြောင့်
11)အခြား [အသေးစိတ်ဖော်ပြပါ]
12)မသိပါ
13)ဖြေဆိုရန် ငြင်းဆန်သည်</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</si>
  <si>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</si>
  <si>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</si>
  <si>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</si>
  <si>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</si>
  <si>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</si>
  <si>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</si>
  <si>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</si>
  <si>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လွန်ခဲ့သော 3 လအတွင်း လူကြီးမင်း၏အိမ်ထောင်စု အဓိကရောင်းချသော တိရစ္ဆာန် သို့မဟုတ် တိရစ္ဆာန်ထွက်ထုတ်ကုန်က ဘာပါလဲ။
[အော်ပရေတာ- တုံ့ပြန်မှုတစ်ခုသာ။ အဓိကထုတ်ကုန်ကို ဖြေကြားရန် တိုက်တွန်းပါ။]
1)ကျွဲနွားတိရစ္ဆာန် [နွားမ၊ အမဲသား၊ နွားငယ်သား၊ တိဗက်နွား၊ ကျွဲ]
2)ဆိတ်
3)သိုး
4)ဝက်
5)မြင်းမျိုးနွယ် (မြည်း / မြင်း / စသည်)
6)အိမ်မြွေးတိရစ္ဆာန် လေးများ [ယုန် / ကုန်းနေ ဖျံ / ပူးကောင် စသည်]
7)မွေးမြူရေးကြက်၊ ငှက် [ကြက် / ရစ်ငှက် / ဘဲ / စသည်]
8)ကုလားအုတ်များ
9)ဥများ
10)နို့ သို့မဟုတ် နို့ထွက်ပစ္စည်းများ
11)အရေပြား သို့မဟုတ် သားရေ
12)မသိပါ
13)ဖြေဆိုရန် ငြင်းဆန်သည်</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</si>
  <si>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</si>
  <si>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</si>
  <si>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</si>
  <si>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</si>
  <si>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</si>
  <si>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</si>
  <si>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လူကြီးမင်း၏အိမ်ထောင်စုသည် လွန်ခဲ့သော 3 လအတွင်း {ls_salesmain} ကို ရောင်းရာတွင် အခက်အခဲရှိခဲ့ပါသလား။
[အော်ပရေတာ- တုံ့ပြန်မှုတစ်ခုသာ။]
1)ဟုတ်
2)မဟုတ်
3)မသိပါ
4)ဖြေဆိုရန် ငြင်းဆန်သည်</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</si>
  <si>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</si>
  <si>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</si>
  <si>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</si>
  <si>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</si>
  <si>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</si>
  <si>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လူကြီးမင်း၏အိမ်ထောင်စုသည် လွန်ခဲ့သော 3 လအတွင်း {ls_salesmain} ကို ရောင်းချရာ၌ မည်သည့်အခက်အခဲများ ကြုံတွေ့ခဲ့ရပါသလဲ။
[အော်ပရေတာ - အဖြေအများအပြား ရှိနိုင်သည်။ ဖြေဆိုသူများပေးသော သတင်းအချက်အလက်များနှင့် အကိုက်ညီဆုံး‌အရာ(များ) ကိုရွေးချယ်ပါ။]
1)စျေးကွက်ကုန်ကျစရိတ် မြင့်မားခြင်း [ဥပမာ - သယ်ယူပို့ဆောင်ရေး]
2) သိုလှောင်မှုအခက်အခဲနှင့်/သို့မဟုတ် စျေးကွက်ဝင်ရောက်ရန်အခက်အခဲကြောင့် ပျက်စီးဆုံးရှုံးမှုများ [ဥပမာ။ မလုံခြုံမှု၊ အခြေခံအဆောက်အအုံ ညံ့ဖျင်းမှု စသဖြင့်]
3)ပုံမှန်ကုန်သည်များ သို့မဟုတ် ဝယ်သူများထံမှ ဝယ်လိုအားမရှိခြင်း။
4)ကုန်သည် / ဝယ်သူများထံမှငွေပေးချေမှုနှောင့်နှေးခြင်း။
5)ရောင်းစျေးအလွန်ကျဆင်းခြင်း (ဥပမာ။ သွင်းအားစုစျေးနှုန်းများ / ငွေကြေးဖောင်းပွမှုနှိုင်းယှဉ်]
6)သားသတ်ရုံများ ပိတ်ခြင်း သို့မဟုတ် သားသတ်ရုံများထံ သွားရောက်ရန် ခက်ခဲခြင်း
7)သားသတ်ရုံများပိတ်ခြင်းမဟုတ်ဘဲ ထုတ်ကုန်များထုတ်လုပ်ရန် အခက်အခဲရှိခြင်း [သွင်းကုန်များ / ကိရိယာ / စသည် မရရှိနိုင်ခြင်း]
8) ပစ္စည်းထုတ်လုပ်မှုများခြင်း (သို့) ဝယ်လိုအားနည်းခြင်းကြောင့် ‌
ဈေးကွက်တွင် ပစ္စည်းအများအပြားရှိနေသည်။
9)အခြား [အသေးစိတ်ဖော်ပြပါ]
10)မသိပါ
11)ဖြေဆိုရန် ငြင်းဆန်သည်</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</si>
  <si>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</si>
  <si>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</si>
  <si>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</si>
  <si>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</si>
  <si>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</si>
  <si>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</si>
  <si>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လူကြီးမင်းအိမ်ထောင်စု၏ {ls_salesmain} ၏ လက်ရှိစျေးနှုန်းကို လွန်ခဲ့သော 5 နှစ် ယခုကဲ့သို့သောအချိန်ရှိ ပျမ်းမျှစျေးနှုန်းနှင့် ဘယ်လိုနှိုင်းယှဉ်နိုင်ပါသလဲ။ ...ဟု ပြောနိုင်ပါသလား
[အော်ပရေတာ- တုံ့ပြန်မှုတစ်ခုသာ။ အဓိကထုတ်ကုန်ကို ဖော်ပြရန် တိုက်တွန်းပါ။]
1)အလွန်တိုးလာသည် [50% အထက် တိုးလာသည်]
2)တိုးလာသည်
3)တူညီသည်
4)ပို၍နည်းသည်
5)အလွန်နည်းသည် [ထက်ဝက်စာမျှ နည်းသည်]
6)မသိပါ
7)ဖြေဆိုရန် ငြင်းဆန်သည်</t>
  </si>
  <si>
    <t>1-7 = fish_intro</t>
  </si>
  <si>
    <t>For options #1-7, go to fish_intro</t>
  </si>
  <si>
    <t xml:space="preserve">
o_diff_ls_input</t>
  </si>
  <si>
    <t xml:space="preserve">Were you able to access the shops/market where you buy most of your livestock inputs (feeds,drugs, etc).?
[OPERATOR: SINGLE RESPONSE.]
1)Yes 
2)Yes partially
3)No
4)DON'T KNOW
5)REFUSED </t>
  </si>
  <si>
    <t>လူကြီးမင်း၏ မွေးမြူရေး သွင်းကုန်များ (အစာ၊ဆေး၀ါး စသည်) ၀ယ်ယူ ရာ စျေးဆိုင်/စျေး သို့ သွားလာ၍ရနိုင် (သို့) အသုံးပြု နိုင်ပါသလား။ 
[အော်ပရေတာ- ရွေးချယ်မှုများကိုမဖတ်ပါနှင့်။ တုံ့ပြန်မှုတစ်ခုသာ]
1)သွားလာနိုင်/အသုံးပြုနိုင်ပါသည်။
2)တစ်ခါတစ်ရံ သာသွားလာ/အသုံးပြု နိုင်ပါသည်။
3)မသွားနိုင်/အသုံးမပြုနိုင်ပါ။
4)မသိပါ
5)ဖြေဆိုရန် ငြင်းဆန်သည်</t>
  </si>
  <si>
    <t>1-4=o_diff_ls_output</t>
  </si>
  <si>
    <t xml:space="preserve">
o_diff_ls_output</t>
  </si>
  <si>
    <t xml:space="preserve">Were you able to access the shops/market and where you sell your livestock inputs?
[OPERATOR: SINGLE RESPONSE.]
1)Yes 
2)Yes partially
3)No
4)DON'T KNOW
5)REFUSED </t>
  </si>
  <si>
    <t>လူကြီးမင်း၏မွေးမြူရေး  ထွက်ကုန်များရောင်းချရာ စျေးဆိုင်/စျေး  သို့ သွားလာ၍ရနိုင် (သို့) အသုံးပြု နိုင်ပါသလား။ 
[အော်ပရေတာ- ရွေးချယ်မှုများကိုမဖတ်ပါနှင့်။ တုံ့ပြန်မှုတစ်ခုသာ]
1)သွားလာနိုင်/အသုံးပြုနိုင်ပါသည်။
2)တစ်ခါတစ်ရံ သာသွားလာ/အသုံးပြု နိုင်ပါသည်။
3)မသွားနိုင်/အသုံးမပြုနိုင်ပါ။
4)မသိပါ
5)ဖြေဆိုရန် ငြင်းဆန်သည်</t>
  </si>
  <si>
    <t>1-4=fish_intro</t>
  </si>
  <si>
    <t>F. FISHERIES PRODUCTION</t>
  </si>
  <si>
    <t>fish_intro</t>
  </si>
  <si>
    <t>We will now ask you some questions about fishing and aquaculture production which apply to you and anyone in your household that is involved in the capture, culture, processing or sales of fish.
1)CONTINUE</t>
  </si>
  <si>
    <t>သင်နှင့် သင့်အိမ်ထောင်စုဝင်များ လုပ်ကိုင်နေသော ငါးနှင့် ငါးပုစွန်ထုတ်လုပ်ခြင်းဆိုင်ရာ မေးခွန်းအချို့ကို သင့်အား ယခုမေးမြန်းပါမည်။
1) ဆက်ရန်</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</si>
  <si>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</si>
  <si>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</si>
  <si>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</si>
  <si>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</si>
  <si>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</si>
  <si>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</si>
  <si>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လူကြီးမင်း၏အိမ်ထောင်စုသည် ယေဘုယျအားဖြင့် မည်သည့်ငါးဖမ်းလုပ်ငန်းအမျိုးအစားကို လုပ်ကိုင်ပါသလဲ။
[အော်ပရေတာ- အဖြေအများအပြား ရှိနိုင်သည်။]
1)ကမ်းရိုးတန်းတွင် ငါးဖမ်းခြင်း
2)ပင်လယ်ပြင်တွင် ငါးဖမ်းခြင်း
3)ငါးကန်များ [ရေကန်များ / ကန်များ / မြစ်များအတွင်း]
4)ငါး၊ ပုဇွန်မွေးမြူရေးလုပ်ငန်း
5)မသိပါ
6)ဖြေဆိုရန် ငြင်းဆန်သည်</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</si>
  <si>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</si>
  <si>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</si>
  <si>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</si>
  <si>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</si>
  <si>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</si>
  <si>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</si>
  <si>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လွန်ခဲ့သော 3 လအတွင်း လူကြီးမင်း၏ငါးထုတ်လုပ်မှု / ဖမ်းဆီးမှုသည် လွန်ခဲ့သည့်နှစ် ကာလတူအချိန်နှင့်နှိုင်းယှဉ်ပါက ဘယ်လိုရှိပါသလဲ။
[အော်ပရေတာ- တုံ့ပြန်မှုတစ်ခုသာ။]
1)အလွန်တိုးလာသည် [50% အထက် တိုးလာသည်]
2)တိုးလာသည်
3)တူညီသည်
4)ပို၍နည်းသည်
5)အလွန်နည်းသည် [ထက်ဝက်စာမျှ နည်းသည်]
6)မသိပါ
7)ဖြေဆိုရန် ငြင်းဆန်သည်</t>
  </si>
  <si>
    <t>1-7 = fish_proddif</t>
  </si>
  <si>
    <t>if fish_change = 1-7, go to fish_proddif</t>
  </si>
  <si>
    <t>fish_proddif</t>
  </si>
  <si>
    <t>Has your household faced any significant difficulty with fish catch and/or harvest in the last 3 months?
[OPERATOR: SINGLE RESPONSE.]
1)YES
2)NO
3)DON'T KNOW
4)REFUSED</t>
  </si>
  <si>
    <t>လွန်ခဲ့သော 3 လအတွင်း လူကြီးမင်း၏အိမ်ထောင်စုသည် ငါးလုပ်ငန်း၊ ငါး၊ ပုဇွန်မွေးမြူရေးလုပ်ငန်းနှင့် ပတ်သက်၍ အခက်အခဲရှိခဲ့ပါသလား။
[အော်ပရေတာ- တုံ့ပြန်မှုတစ်ခုသာ။]
1)ဟုတ်
2)မဟုတ်
3)မသိပါ
4)ဖြေဆိုရန် ငြင်းဆန်သည်</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</si>
  <si>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</si>
  <si>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</si>
  <si>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</si>
  <si>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</si>
  <si>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</si>
  <si>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လွန်ခဲ့သော 3 လအတွင်း လူကြီးမင်း၏အိမ်ထောင်စုသည် ငါးလုပ်ငန်းနှင့်ငါး၊ ပုဇွန်မွေးမြူရေးလုပ်ငန်းင်းလုပ်ငန်းတို့နှင့်ပတ်သက်၍ မည်သည့်အခက်အခဲများကိုကြုံတွေ့ခဲ့ရပါသလဲ။
[အော်ပရေတာ - အဖြေအများအပြား ရှိနိုင်သည်။ ဖြေဆိုသူများပေးသော သတင်းအချက်အလက်များနှင့် အကိုက်ညီဆုံး‌အရာ(များ) ကိုရွေးချယ်ပါ။]
1)ငါးများသည် ကာလတူ ယခင်နှစ်များနှင့် နှိုင်းယှဉ်လျှင် ရှာဖွေရပို၍ခက်ခဲသည်
2) ငါး ပုဇွန်မွေးမြူရေးလုပ်ငန်းတွင် ရောဂါကျရောက်ခြင်း
3)ငါးဖမ်းခြင်း သို့မဟုတ် ငါးပုစွန်ဧရိယာသို့ ဝင်ရောက်ခွင့် [e.g. ရာသီဥတု သို့မဟုတ် လုံခြုံရေးကြောင့်]
4)လောင်စာဆီရရှိရန် ခက်ခဲခြင်း [စျေးနှုန်းမြင့်မားခြင်း သို့မဟုတ် မရရှိနိုင်ခြင်း]
5)ငါးဖမ်းပစ္စည်းနှင့်အခြားသွင်းအားစုများကို ရရှိနိုင်ရန်ခက်ခဲခြင်း [စျေးနှုန်းမြင့်မားခြင်း သို့မဟုတ် မရရှိနိုင်ခြင်း]
6)လုပ်အားခ စျေးကြီးလွန်းခြင်း သို့မဟုတ် အလုပ်သမားခန့်ရန် ဝင်ငွေမလုံလောက်ခြင်း
7)အခြေခံအဆောက်အဦများ [ကန်များ၊ လှောင်အိမ်များ၊ ဆိပ်ကမ်းများ၊ ဆင်းသက်သည့်နေရာများ] ပျက်စီးခြင်း သို့မဟုတ် ပျက်စီးခြင်း၊
8)လှေ သို့မဟုတ် ငါးဖမ်းကိရိယာများ ပျက်စီးခြင်း။
9)အခြား [အသေးစိတ်ဖော်ပြပါ]
10)မသိပါ
11)ဖြေဆိုရန် ငြင်းဆန်သည်</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</si>
  <si>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</si>
  <si>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</si>
  <si>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</si>
  <si>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</si>
  <si>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</si>
  <si>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 Net
3)Fishing gear [e.g. rods, hooks, nets]
4)Ice
5)Fuel
6)Equipment repairs [including boats] or spare parts
7)Labour
8)Other [specify]
9)DON'T KNOW
10)REFUSED</t>
  </si>
  <si>
    <t>လွန်ခဲ့​သော ၃လ အတွင်း သင်အိမ်​ထောင်စု သည် မည့်သည့် ငါးလုပ်ငန်းတွင်လိုအပ်​သော ပစ္စည်း သို့ သွင်းအားစုများ ရရှိနိုင်ရန် အခက်အခဲများ ကြုံရပါသလား
[အော်ပရေတာ - အဖြေအများအပြား ရှိနိုင်သည်။]
1)ငါးစာ
2)ပိုက်ကွန်
3) ငါးဖမ်းကိရိယာ (ကြိုး ငါးဖမ်းချိတ် ငါးဖမ်းပိုက်စသည်ဖြင့်)
​4)ရေခဲ
5) လောင်စာဆီ
6)​ ငါးဖမ်းကိရိယာများအပါအဝင် လှေနှင့်အခြားဆက်စပ်ပစ္စည်းများ ပြုပြင်ခြင်း
7) လုပ်သား
8)အခြား
9)မသိပါ
10)ဖြေဆိုရန် ငြင်းဆန်သည်</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</si>
  <si>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</si>
  <si>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</si>
  <si>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</si>
  <si>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</si>
  <si>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</si>
  <si>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</si>
  <si>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</si>
  <si>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</si>
  <si>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</si>
  <si>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လွန်ခဲ့သော 3 လအတွင်း လူကြီးမင်း၏အိမ်ထောင်စုမှ အဓိကရောင်းချခဲ့သော ငါးထုတ်ကုန်က ဘာပါလဲ။
[အော်ပရေတာ- တုံ့ပြန်မှုတစ်ခုသာ။]
1)လတ်ဆတ်သောငါး [မည်သည့်အမျိုးအစားမဆို]
2)ငါးခြောက် [မည်သည့်အမျိုးအစားမဆို]
3)ငါးကျပ်တိုက်
4)ပင်လယ်စာ [မည်သည့်အမျိုးအစားမဆို]
5)အခြား [အသေးစိတ်ဖော်ပြပါ]
6)မသိပါ
7)ဖြေဆိုရန် ငြင်းဆန်သည်</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</si>
  <si>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</si>
  <si>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</si>
  <si>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</si>
  <si>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</si>
  <si>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လူကြီးမင်း၏အိမ်ထောင်စုသည် လွန်ခဲ့သော 3 လအတွင်း {fish_salesmain} ကို ရောင်းချရန် အခက်အခဲရှိခဲ့ပါသလား။
[အော်ပရေတာ- တုံ့ပြန်မှုတစ်ခုသာ]
1)ဟုတ်
2)မဟုတ်
3)မသိပါ
4)ဖြေဆိုရန် ငြင်းဆန်သည်</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</si>
  <si>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</si>
  <si>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</si>
  <si>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</si>
  <si>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</si>
  <si>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</si>
  <si>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လွန်ခဲ့သော 3 လအတွင်း လူကြီးမင်း၏အိမ်ထောင်စုသည် {fish_salesmain} ကို ရောင်းချရန် မည်သည့်အခက်အခဲများနှင့် ကြုံတွေ့ခဲ့ရပါသလဲ။
[အော်ပရေတာ - အဖြေအများအပြား ရှိနိုင်သည်။ ဖြေဆိုသူများပေးသော သတင်းအချက်အလက်များနှင့် အကိုက်ညီဆုံး‌အရာ(များ) ကိုရွေးချယ်ပါ။]
1)စျေးကွက်ကုန်ကျစရိတ် မြင့်မားခြင်း (ဥပမာ - သယ်ယူပို့ဆောင်ရေးစရိတ် / လောင်စာဆီစရိတ် / စသည်)
2)သိုလှောင်မှုအခက်အခဲနှင့်/သို့မဟုတ် စျေးကွက်ဝင်ရောက်ရန်အခက်အခဲကြောင့် ပျက်စီးဆုံးရှုံးမှုများ [ဥပမာ။ မလုံခြုံမှု၊ အခြေခံအဆောက်အအုံ ညံ့ဖျင်းမှု စသဖြင့်]
3)ပုံမှန်ကုန်သည်များ သို့မဟုတ် ဝယ်သူများထံမှ ဝယ်လိုအားမရှိခြင်း။
4)ကုန်သည် / ဝယ်သူများထံမှငွေပေးချေမှုနှောင့်နှေးခြင်း။
5) ရောင်းစျေးအလွန်ကျဆင်းခြင်း (ဥပမာ။ သွင်းအားစုစျေးနှုန်းများ / ငွေကြေးဖောင်းပွမှုနှိုင်းယှဉ်]
6)ကုန်ပစ္စည်းထုတ်လုပ်ရန် အခက်အခဲများ [သွင်းအားစုများ / စက်ကိရိယာများ / စသည် မရရှိနိုင်ခြင်း]
7)ပစ္စည်းထုတ်လုပ်မှုများခြင်း (သို့) ဝယ်လိုအားနည်းခြင်းကြောင့် ‌
ဈေးကွက်တွင် ပစ္စည်းအများအပြားရှိနေသည်။
8)အခြား [အသေးစိတ်ဖော်ပြပါ]
9)မသိပါ
10)ဖြေဆိုရန် ငြင်းဆန်သည်</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</si>
  <si>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</si>
  <si>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</si>
  <si>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</si>
  <si>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</si>
  <si>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</si>
  <si>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လူကြီးမင်းအိမ်ထောင်စု၏ {fish_salesmain} လက်ရှိရောင်းဈေးသည် ကာလတူဖြစ်သည့်လွန်ခဲ့သော 5 နှစ်အတွင်း ပျမ်းမျှစျေးနှုန်းနှင့်နှိင်းယှဉ်ပါက ဘယ်လိုရှိပါသလဲ။ ...ဟု ပြောနိုင်ပါသလား
[အော်ပရေတာ- တုံ့ပြန်မှုတစ်ခုသာ။ အဓိကထုတ်ကုန်ကို ဖော်ပြရန် တိုက်တွန်းပါ။]
1)အလွန်တိုးလာသည် [50% အထက် တိုးလာသည်]
2)တိုးလာသည်
3)တူညီသည်
4)ပို၍နည်းသည်
5)အလွန်နည်းသည် [ထက်ဝက်စာမျှ နည်းသည်]
6)မသိပါ
7)ဖြေဆိုရန် ငြင်းဆန်သည်</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</si>
  <si>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</si>
  <si>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</si>
  <si>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</si>
  <si>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</si>
  <si>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</si>
  <si>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ယခုကနေစပြီး - လူကြီးမင်းတို့ကို စားနပ်ရိက္ခာဖူလုံမှုနှင့် ပါတ်သက်သော မေးခွန်းအချို့ကိုမေးမြန်းလိုပါတယ် - အဓိက အပိုင်းကြီး ၃ ပိုင်းရှိပါမယ် ။
ပထမပိုင်းအနေဖြင့် - လွန်ခဲ့သော ရက်ပေါင်း ၃၀ အတွင်း အိမ်ထောင်စု အတွင်း သင် သို့မဟုတ် တစ်ယောက်ယောက်သည် ကြုံတွေ့ခဲ့ရသည်များနှင့် ဆက်စပ်မေးမည့်မေးခွန်းများဖြစ်ပါသည် ။
[အော်ပရေတာ- တုံ့ပြန်မှုတစ်ခုသာ]
1)နောက်ထပ်</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</si>
  <si>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</si>
  <si>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</si>
  <si>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</si>
  <si>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</si>
  <si>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</si>
  <si>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လွန်ခဲ့သောရက်ပေါင်း 30 အတွင်း လူကြီးမင်း သို့မဟုတ် လူကြီးမင်း၏အိမ်ထောင်စုရှိအခြားသူများသည် ငွေကြေး သို့မဟုတ် အခြားသော အရင်းအမြစ်များပြတ်လတ်မှုကြောင့် အစာမလုံလောက်ခြင်းအတွက် စိုးရိမ်ပူပန်ရသည့်အချိန် ရှိခဲ့ပါသလား။
[အော်ပရေတာ- တုံ့ပြန်မှုတစ်ခုသာ]
1)ဟုတ်
2)မဟုတ်
3)မသိပါ
4)ဖြေဆိုရန် ငြင်းဆန်သည်</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</si>
  <si>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</si>
  <si>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</si>
  <si>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</si>
  <si>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</si>
  <si>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လွန်ခဲ့သောရက်ပေါင်း 30 အတွင်း လူကြီးမင်း သို့မဟုတ် လူကြီးမင်း၏အိမ်ထောင်စုမှ အခြားသူများသည် ငွေကြေး သို့မဟုတ် အခြားသော အရင်းအမြစ်များ ပြတ်လတ်မှုကြောင့် ကျန်းမာ၍အာဟာရရှိသောအစာကို မစားနိုင်သည့်အချိန် ရှိခဲ့ပါသလား။
[အော်ပရေတာ- တုံ့ပြန်မှုတစ်ခုသာ]
1)ဟုတ်
2)မဟုတ်
3)မသိပါ
4)ဖြေဆိုရန် ငြင်းဆန်သည်</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</si>
  <si>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</si>
  <si>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</si>
  <si>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</si>
  <si>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</si>
  <si>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လွန်ခဲ့သောရက်ပေါင်း 30 အတွင်း လူကြီးမင်း သို့မဟုတ် လူကြီးမင်း၏အိမ်ထောင်စုမှ အခြားသူများသည် ငွေကြေး သို့မဟုတ် အခြားသော အရင်းအမြစ်များ ပြတ်လတ်မှုကြောင့် အစားအစာ အမျိုးအစားအနည်းငယ်ကိုသာ စားခဲ့ရသည့်အချိန် ရှိခဲ့ပါသလား။
[အော်ပရေတာ- တုံ့ပြန်မှုတစ်ခုသာ]
1)ဟုတ်
2)မဟုတ်
3)မသိပါ
4)ဖြေဆိုရန် ငြင်းဆန်သည်</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</si>
  <si>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</si>
  <si>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</si>
  <si>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</si>
  <si>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</si>
  <si>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လွန်ခဲ့သောရက်ပေါင်း 30 အတွင်း လူကြီးမင်း သို့မဟုတ် လူကြီးမင်း၏အိမ်ထောင်စုမှ အခြားသူများသည် ငွေကြေး သို့မဟုတ် အခြားသော အရင်းအမြစ်များ ပြတ်လတ်မှုကြောင့် အနပ်ရေ ကျော်စား( ပုံမှန်ထက် တနပ်မစားဘဲနေရခြင်း) သည့်အချိန် ရှိခဲ့ပါသလား။
[အော်ပရေတာ- တုံ့ပြန်မှုတစ်ခုသာ]
1)ဟုတ်
2)မဟုတ်
3)မသိပါ
4)ဖြေဆိုရန် ငြင်းဆန်သည်</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</si>
  <si>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</si>
  <si>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</si>
  <si>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</si>
  <si>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</si>
  <si>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လွန်ခဲ့သောရက်ပေါင်း 30 အတွင်း လူကြီးမင်း သို့မဟုတ် လူကြီးမင်း၏အိမ်ထောင်စုမှ အခြားသူများသည် ငွေကြေး သို့မဟုတ် အခြားသော အရင်းအမြစ်များ ပြတ်လတ်မှုကြောင့် ပုံမှန်စား‌သုံးနေသည့် ပမာဏ ထက်လျှော့စားခဲ့ရသည့်အချိန် ရှိခဲ့ပါသလား။
[အော်ပရေတာ- တုံ့ပြန်မှုတစ်ခုသာ]
1)ဟုတ်
2)မဟုတ်
3)မသိပါ
4)ဖြေဆိုရန် ငြင်းဆန်သည်</t>
  </si>
  <si>
    <t>1-4 = fies_ranout</t>
  </si>
  <si>
    <t>if fies_ateless = 1-4, go to fies_ranout</t>
  </si>
  <si>
    <t>fies_ranout</t>
  </si>
  <si>
    <t>In the past 30 days, was there ever no food to eat of any kind in your house because of lack of resources to get food?
[OPERATOR: SINGLE RESPONSE]
1)YES
2)NO
3)DON'T KNOW
4)REFUSED</t>
  </si>
  <si>
    <t>လွန်ခဲ့သောရက်ပေါင်း 30 အတွင်း လူကြီးမင်း သို့မဟုတ် လူကြီးမင်း၏အိမ်ထောင်စုမှ အခြားသူများသည် ငွေကြေး သို့မဟုတ် အခြားသော အရင်းအမြစ်များ ပြတ်လတ်မှုကြောင့် စားစရာကုန်သွားသည့်အချိန် ရှိခဲ့ပါသလား။
[အော်ပရေတာ- တုံ့ပြန်မှုတစ်ခုသာ]
1)ဟုတ်
2)မဟုတ်
3)မသိပါ
4)ဖြေဆိုရန် ငြင်းဆန်သည်</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</si>
  <si>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</si>
  <si>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</si>
  <si>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</si>
  <si>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</si>
  <si>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ထိုအဖြစ်အပျက်သည် မည်မျှကြာကြာဖြစ်ပျက်ခဲ့ပါသလဲ။
[အော်ပရေတာ- တုံ့ပြန်မှုတစ်ခုသာ]
1)ဖြစ်ခဲသည် [ပြီးခဲ့သော ရက် 30  အတွင်း တစ်ကြိမ် သို့မဟုတ် နှစ်ကြိမ်]
2)တစ်ခါတစ်ရံ [ပြီးခဲ့သောရက် 30  အတွင်း  3ကြိမ် သို့မဟုတ် 10ကြိမ်]
3)မကြာခဏဆိုသလို [ပြီးခဲ့သော ရက် 30 အတွင်း 10 ကြိမ်ထက်ပိုသည်]
4)မသိပါ
5)ဖြေဆိုရန် ငြင်းဆန်သည်</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</si>
  <si>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</si>
  <si>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</si>
  <si>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</si>
  <si>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</si>
  <si>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လွန်ခဲ့သောရက်ပေါင်း 30 အတွင်း လူကြီးမင်း သို့မဟုတ် လူကြီးမင်း၏အိမ်ထောင်စုမှ အခြားသူများသည် အစာ ပြတ်လတ်မှုကြောင့် အစာမစားရဘဲ ဆာလောင်မွတ်သိပ်စွာဖြင့် (ဘာမှမစားရဘဲ ဆာလောင်မွတ်သိပ်စွာနေခဲ့ရခြင်း) ညအိပ်ရခြင်းများ ရှိခဲ့ပါသလား။
[အော်ပရေတာ- တုံ့ပြန်မှုတစ်ခုသာ]
1)ဟုတ်
2)မဟုတ်
3)မသိပါ
4)ဖြေဆိုရန် ငြင်းဆန်သည်</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</si>
  <si>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</si>
  <si>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</si>
  <si>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</si>
  <si>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</si>
  <si>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</si>
  <si>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</si>
  <si>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</si>
  <si>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လွန်ခဲ့သောရက်ပေါင်း 30 အတွင်း လူကြီးမင်း သို့မဟုတ် လူကြီးမင်း၏အိမ်ထောင်စုမှ အခြားသူများသည် ငွေကြေး သို့မဟုတ် အခြားအရင်းအမြစ်များပြတ်လတ်မှုကြောင့် တစ်နေ့လုံးအစာမစားရသည့်အချိန် ရှိခဲ့ပါသလား။
[အော်ပရေတာ- တုံ့ပြန်မှုတစ်ခုသာ]
1)ဟုတ်
2)မဟုတ်
3)မသိပါ
4)ဖြေဆိုရန် ငြင်းဆန်သည်</t>
  </si>
  <si>
    <t>1=fies_whlday_hhs
2-4 = [lcsi_intro OR hdds]</t>
  </si>
  <si>
    <t>if fies_whlday = 1, go to fies_whlday_hhs. Otherwise, go to lcsi_intro OR hdds</t>
  </si>
  <si>
    <t>fies_whlday_hhs</t>
  </si>
  <si>
    <t>1-5 = [lcsi_intro OR hdds]</t>
  </si>
  <si>
    <t>if fies_whlday_hhs = 1-5, go to lcsi_intro OR hdds</t>
  </si>
  <si>
    <t>copingstrategies</t>
  </si>
  <si>
    <t>Now I would like to ask you another set of questions on coping strategies, referring to the past 30 days.
[OPERATOR: SINGLE RESPONSE]
1)NEXT</t>
  </si>
  <si>
    <t>1 = LhCSIDomAsset</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</si>
  <si>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</si>
  <si>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LhCSIDomAsset</t>
  </si>
  <si>
    <t xml:space="preserve"> cs_stress_hh_assets</t>
  </si>
  <si>
    <t>During the past 30 days, did anyone in your household have to sell household assets / goods (radio, furniture, television, jewelry, etc.)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</si>
  <si>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ယခုကနေစပြီး - လူကြီးမင်းတို့ကို စားနပ်ရိက္ခာဖူလုံမှုနှင့် ပါတ်သက်သော အဓိက အပိုင်းကြီး ၃ ပိုင်းမှ
ဒုတိယအပိုင်းအနေဖြင့် - လွန်ခဲ့သော ရက်ပေါင်း ၃၀ အတွင်း အိမ်ထောင်စု အတွင်း သင် သို့မဟုတ် တစ်ယောက်ယောက်သည် အသက်မွေးဝမ်းကြောင်းမှုနှင့် ပါတ်သက်သည်များကို အသုံးပြု၍ အခက်အခဲကျော်လွှားနည်းလမ်းများသုံး ပြီးဖြေရှင်းတာနှင့်  ဆက်စပ်မေးမည့်မေးခွန်းများဖြစ်ပါသည်
[အော်ပရေတာ- တုံ့ပြန်မှုတစ်ခုသာ]
1)နောက်ထပ်</t>
  </si>
  <si>
    <t>1-4 = LhCSISaving</t>
  </si>
  <si>
    <t>LhCSISaving</t>
  </si>
  <si>
    <t>During the past 30 days, did anyone in your household have to spend savings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</si>
  <si>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တစ်ဦးတစ်ယောက်သည် အစားအစာ  မရှိခြင်း သို့မဟုတ် အစားအစာဝယ်ရန်ငွေမရှိခြင်းကို ဖြေရှင်းရန် စုဆောင်းထားသည်များ  ဥပမာ - စုဆောင်းငွေ များကိုသုံးခဲ့ရပါသလား။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</si>
  <si>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LhCSICrdtFood</t>
  </si>
  <si>
    <t>LhCSICrdtFood</t>
  </si>
  <si>
    <t>During the past 30 days, did anyone in your household have to purchase food on credit or borrowed food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</si>
  <si>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တစ်ဦးတစ်ယောက်သည် အစားအစာ  မရှိခြင်း သို့မဟုတ် အစားအစာ ဝယ်ရန်ငွေမရှိခြင်းကို ဖြေရှင်းရန် အစားအစာကို အကြွေးဖြင့် ဝယ်ယူခဲ့ရပါသလား (သို့မဟုတ်) ချေးယူစားသောက်ခဲ့ရပါသလား။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</si>
  <si>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LhCSIBorrowCash</t>
  </si>
  <si>
    <t>LhCSIBorrowCash</t>
  </si>
  <si>
    <t>During the past 30 days, did anyone in your household have to borrow money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</si>
  <si>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တစ်ဦးတစ်ယောက်သည် အစားအစာ မရှိခြင်း သို့မဟုတ် အစား‌အစာ ဝယ်ရန်ငွေမရှိခြင်းကို ဖြေရှင်းရန် ငွေချေးခဲ့ကြရပါသလား။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</si>
  <si>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LhCSIProdAsset</t>
  </si>
  <si>
    <t>LhCSIProdAsset</t>
  </si>
  <si>
    <t>During the past 30 days, did anyone in your household have to sell productive assets or means of transport (sewing machine, wheelbarrow, bicycle, car, etc.)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</si>
  <si>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တစ်ဦးတစ်ယောက်သည် အစားအစာ မရှိခြင်း သို့မဟုတ် အစား‌အစာ ဝယ်ရန်ငွေမရှိခြင်းကို ဖြေရှင်းရန် ကုန်ထုတ်လုပ်ရေးပစ္စည်းများ သို့မဟုတ် သယ်ယူပို့ဆောင်ရေးပစ္စည်းများ (အပ်ချုပ်စက်၊ လက်တွန်းလှည်း၊ စက်ဘီး၊ ကား၊ စသည်) 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</si>
  <si>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LhCSIReduceNonFood</t>
  </si>
  <si>
    <t>LhCSIReduceNonFood</t>
  </si>
  <si>
    <t>During the past 30 days, did anyone in your household have to reduce expenses on health (including drugs)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</si>
  <si>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လွန်ခဲ့သောရက်ပေါင်း 30 အတွင်း လူကြီးမင်း၏အိမ်ထောင်စုရှိ တစ်စုံတစ်ဦးသည် အစားအစာမရှိခြင်း သို့မဟုတ် အစားအစာဝယ်ရန်ငွေမရှိခြင်းကြောင့် (ဆေးဝါးများ အပါအဝင်) ကျန်းမာရေးအတွက် ကုန်ကျစရိတ်များကို လျှော့ချခဲ့ရပါသလား။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</si>
  <si>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LhCSILabChild</t>
  </si>
  <si>
    <t>LhCSILabChild</t>
  </si>
  <si>
    <t>During the past 30 days, did any children (under 15 years old) worked to contribute to household income (e.g. maid, casual labour)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</si>
  <si>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အသက် ၁၅ နှစ်အောက်တစ်စုံတစ်ဦးသည် အစားအစာ မရှိခြင်း သို့မဟုတ် အစားအစာဝယ်ရန်ငွေမရှိခြင်းကြောင့် အိမ်ထောင်စု ဝင်ငွေရန် အလုပ်ခဲ့ရပါသလား (အိမ်ဖော်၊ကျပန်းအလုပ် စသည်)။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</si>
  <si>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LhCSIConsSeed</t>
  </si>
  <si>
    <t>LhCSIConsSeed</t>
  </si>
  <si>
    <t>During the past 30 days, did anyone in your household consume seed stocks that were to be held/saved for the next planting season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</si>
  <si>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လွန်ခဲ့သောရက်ပေါင်း 30 အတွင်း လူကြီးမင်း၏အိမ်ထောင်စုရှိ တစ်ဦးတစ်ယောက်သည် စားစရာ မရှိခြင်း သို့မဟုတ် အစားအစာဝယ်ရန် ငွေမရှိခြင်းကြောင့် လာမည့်စိုက်ပျိုးရာသီအတွက် သိမ်းဆည်းထားခဲ့သည့် မျိုးစေ့များကို စားသုံးခဲ့ပါသလား။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</si>
  <si>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LhCSIResAsset</t>
  </si>
  <si>
    <t>LhCSIResAsset</t>
  </si>
  <si>
    <t>During the past 30 days, did anyone in your household have to sell house or land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</si>
  <si>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လွန်ခဲ့သောရက်ပေါင်း 30 အတွင်း လူကြီးမင်း၏အိမ်ထောင်စုရှိ တစ်ဦးတစ်ယောက်သည် စားစရာ မရှိခြင်း သို့မဟုတ် အစားအစာဝယ်ရန်ငွေမရှိခြင်းကြောင့် အိမ် ၊ မြေ သို့မဟုတ် စိုက်ပျိုးမြေကို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</si>
  <si>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LhCSIRiskJobs</t>
  </si>
  <si>
    <t>LhCSIRiskJobs</t>
  </si>
  <si>
    <t>During the last 30 days, has your household engaged in high-risk activities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</si>
  <si>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 30 အတွင်း လူကြီးမင်း၏အိမ်ထောင်စုသည် အစားအစာမရှိခြင်း သို့မဟုတ်  အစားအစာဝယ်ရန် ငွေမရှိခြင်းကြောင့် ငွေရရှိရန်အတွက် အန္တရာယ်များသည့် အလုပ်များ တွင်ပါဝင်ခဲ့ပါသလား။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</si>
  <si>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LhCSILastDraught</t>
  </si>
  <si>
    <t>LhCSILastDraught</t>
  </si>
  <si>
    <t>During the past 30 days, did anyone in your household have to sell the last draught animal or power tiller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</si>
  <si>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 ရက်ပေါင်း 30 အတွင်း လူကြီးမင်း၏အိမ်ထောင်စုရှိ တစ်ဦးတစ်ယောက်သည် စားစရာ မရှိခြင်း သို့မဟုတ် အစားအစာဝယ်ရန်ငွေမရှိခြင်းကြောင့် နောက်ဆုံးကျန်ရှိသော လယ်ယာသုံး တိရစ္ဆာန် သို့မဟုတ် စက်တပ်ထွန်စက်ကို ရောင်းချခဲ့ရပါသလား။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</si>
  <si>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LhCSIMoved</t>
  </si>
  <si>
    <t>LhCSIMoved</t>
  </si>
  <si>
    <t>During the past 30 days, did your entire household have to migrate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</si>
  <si>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လွန်ခဲ့သောရက်ပေါင်း 30 အတွင်း လူကြီးမင်း၏အိမ်ထောင်စုသည် စားစရာမရှိခြင်း သို့မဟုတ် အစားအစာဝယ်ရန်ငွေမရှိခြင်းကြောင့် အိမ်ထောင်စုတစ်စုလုံးကို ပြောင်းရွှေ့သွားခဲ့ရပါသလား။
[အော်ပရေတာ- တုံ့ပြန်မှုတစ်ခုသာ]
1)ဟုတ်
2)မဟုတ်ပါ - မလိုအပ်သောကြောင့်
3)မဟုတ်ပါ - လွန်ခဲ့သော 12 လအတွင်း အဆိုပါပစ္စည်းများကို ရောင်းချခဲ့ပြီး သို့မဟုတ် အဆိုပါလှုပ်ရှားမှုကို လုပ်ဆောင်ပြီးဖြစ်၍ ဆက်လက်မလုပ်ဆောင်နိုင်တော့သောကြောင့် ဖြစ်သည်
4)မသက်ဆိုင်ပါ [ထိုသို့သော ပိုင်ဆိုင်မှုများမရှိပါ]</t>
  </si>
  <si>
    <t>1-4 = hh_residencetype</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</si>
  <si>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</si>
  <si>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</si>
  <si>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အောက်ဖော်ပြပါ လူနေအိမ်အမျိုးအစားတွင် မည်သည့်အမျိုးအစားမှာ လူကြီးမင်းရဲ့အိမ်ကို အကောင်းဆုံးထင်ဟပ်ဖော်ပြပါသလဲ။
[အော်ပရေတာ- ရွေးချယ်ခွင့်များကို ဖတ်ပြပါ။ တုံ့ပြန်မှုတစ်ခုသာ]
[အရိပ်အမြွက် - ဖြေဆိုသူသည် ခဏတာရာသီပေါ်အလုပ် (&lt;6 လ) သို့မဟုတ် ရွှေ့ပြောင်းစိုက်ပျိုးရေးအတွက် အိမ်ထောင်စုမှ အဝေးတွင်ရောက်နေပါက ၎င်းတို့ အမှန်တကယ်နေထိုင်သောနေရာရှိ အိမ်ထောင်စုကို ဖော်ပြပါစေ‌။]
1)အမြဲတမ်းနေထိုင်သူ - လူကြီးမင်း၏ကျေးရွာ / မြို့တွင် နှစ်နှစ်အထက် နေထိုင်လျက်ရှိပြီး လူကြီးမင်း၏ ပုံမှန်နေထိုင်သည့်နေရာအဖြစ် မှတ်ယူသောနေရာ။
2)အဓမ္မရွှေ့ပြောင်းခိုင်းခြင်းမရှိသော လတ်တလောရွှေ့ပြောင်းနေထိုင်သူ - လက်ရှိနေထိုင်ရာနေရာတွင် နှစ်နှစ်အောက်နေထိုင်ပြီး အဆိုပါနေရာသို့ ပဋိပက္ခ သို့မဟုတ် သဘာဝဘေးအန္တရာယ်တို့ကြောင့်မဟုတ်ဘဲ အလုပ်/မိသားစုအတွက် သို့မဟုတ် အခြားသောအကြောင်းအရာအတွက် ဆန္ဒအလျောက်ရွှေ့ပြောင်းခဲ့သည်
3)ပြန်လာသူ - ထိုနေရာသို့ လွန်ခဲ့သော နှစ်နှစ်အတွင်းက ပဋိပက္ခ သို့မဟုတ် သဘာဝဘေးအန္တရာယ်များမှ ထွက်ပြေးတိမ်းရှောင်ရမှုကြောင့် အခြားနေရာတစ်ခုသို့ အဓမ္မပြောင်းရွှေ့ခံရပြီးနောက် ပြန်လည်ရောက်ရှိလာခဲ့သည် [2 နှစ်ကျော်ဖြစ်ပါက ဖြေဆိုသူကို အမြဲတမ်းနေထိုင်သူအဖြစ် သတ်မှတ်သည်]
4)ပြည်တွင်းရွှေ့ပြောင်းဒုက္ခသည် [IDP] - လူကြီးမင်းသည် ပဋိပက္ခများ၊ သဘာဝဘေးအန္တရာယ်များကြောင့် ရွာ သို့မဟုတ် မြို့မှ ထွက်ပြေးတိမ်းရှောင်ခဲ့ရပြီး လက်ရှိနေထိုင်သည့်နေရာတွင် ပြည်တွင်းရွှေ့ပြောင်းဒုက္ခသည်ဖြစ်နေသည် 
5)ရွှေ့ပြောင်းဒုက္ခသည် - လူကြီးမင်းသည် ပဋိပက္ခများ၊ သဘာဝဘေးအန္တရာယ်များကြောင့် တိုင်းပြည်မှထွက်ပြေးတိမ်းရှောင်ခဲ့ရပြီး လက်ရှိနေထိုင်သည့်နေရာတွင် ရွှေ့ပြောင်းဒုက္ခသည်တစ်ဦး ဖြစ်လာသည်
6)မသိပါ
7)ဖြေဆိုရန် ငြင်းဆန်သည်</t>
  </si>
  <si>
    <t>1-7 = hh_size</t>
  </si>
  <si>
    <t>fcs_intro</t>
  </si>
  <si>
    <t>Now I would like to ask you about the foods and drinks your household ate or drank in the last 7 days during the day and at night [breakfast, lunch, dinner, snacks]. 
[OPERATOR: HINT: 
In this FCS module, 
i) The respondent must answer on behalf of the entire household. 
ii) Recall of 7 days ( 8 different food groups that eaten in the last 7 days, exclude special days)
iii) If consumed only in small quantity, do not include. ]
1)CONTINUE</t>
  </si>
  <si>
    <t>လွန်ခဲ့သော 7 ရက်အတွင်း လူကြီးမင်းတို့အိမ်ထောင်စု စားသောက်ခဲ့သော အစားအသောက်များအကြောင်း မေးမြန်းလိုပါသည် [နေ့ခင်းဘက်နှင့်ညဘက်၌ မနက်စာ၊ နေ့လည်စာ၊ ညစာ၊ အဆာပြေမုန့်များ တစ်အိမ်ထောင်စုလုံးစားခဲ့သော အစားအစာများ]
[အော်ပရေတာ HINT -  
FCS module ကိုမေးမြန်းရာတွင် - 
၁) တစ်အိမ်ထောင်စုလုံးစားတာဖြစ်ရမည် (အိမ်ထောင်စုဝင်အားလုံးစားခဲ့သည်များကို ဖြေဆိုသူက အားလုံး၏ကိုယ်စားဖြေရန် ဖြစ်သည်  )
၂) လွန်ခဲ့သော 7 ရက်အတွင်း စားသောက်ခဲ့သော အစားအသောက်များအကြောင်း မေးမြန်ရမည် ( ရက်အရေအတွက်ဖြစ်ရမည်)
၃) အနည်းငယ်သော ပမာဏသာစားပါက ထည့်မတွက်ရပါ (ပမာဏ လုံလောက်စွာစားသောအစားအစာများဖြစ်ရမည်)
1)နောက်ထပ်</t>
  </si>
  <si>
    <t>1 = FCSStap</t>
  </si>
  <si>
    <t>if fcs_intro = 1, go to fcs_staple_days</t>
  </si>
  <si>
    <t>FCSStap</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</si>
  <si>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</si>
  <si>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လွန်ခဲ့တဲ့ ၇ ရက်အတွင်းမှာ သင့်အိမ်ထောင်စုဝင်များက အဓိကအစားအစာ (ကဆီဓာတ်၊ နှံစားသီးနှံ(ဂျုံပြောင်းကဲ့သို့)နှင့် သစ်ဥသစ်ဖု) ဥပမာ - ဆန်၊ ပြောင်း၊ ခေါက်ဆွဲ၊ ပေါင်မုန့်၊ ကောက်နှံ၊ အာလူး၊ လူး၊ ပီလောပီနံ၊ ကန်စွန်းဥအချို - စသည်များကို  ဘယ်နှစ်ရက် စားသုံးခဲ့ပါသလဲ။
[အော်ပရေတာ- ရက်ပေါင်း 0-7 အထိ နေ့ရက်အရေအတွက်ကိုမှတ်သားပါ]
[အနည်းငယ်သော ပမာဏသာစားပါက ထည့်မတွက်ရပါ]</t>
  </si>
  <si>
    <t>0-7 = FCSPulse</t>
  </si>
  <si>
    <t>For any response, go to fcs_pulses_days</t>
  </si>
  <si>
    <t>FCSPulse</t>
  </si>
  <si>
    <t>How many days over the last 7 days, did members of your household eat pulses and nuts such as beans, lentils, cowpeas, soybean, pigeon peas and peanuts or other nuts?
[OPERATOR: RECORD NUMBER OF DAYS 0 - 7]
[HINT: IF CONSUMED ONLY IN SMALL QUANTITY, DO NOT INCLUDE.]</t>
  </si>
  <si>
    <t>လွန်ခဲ့တဲ့ ၇ ရက်အတွင်းမှာ သင့်အိမ်ထောင်စုဝင်များက ပဲအမျိုးမျိုး   ဥပမာ - (ပဲပုပ်၊ ပဲလွန်း၊ ပဲနောက်၊ ပဲကြီး၊ ပဲကြား၊ ပဲစိမ်းရှည်တောင့်၊ ရွှေပဲ ၊ ပဲစဉ်းငုံ၊ ထောပတ်ပဲ၊ ပဲနီလေး၊ ကုလားပဲ၊ ပဲတီစိမ်း၊ မတ်ပဲ)၊ အစေ့အဆံများ (မြေပဲဆံ၊ သီဟိုဠ်စေ့၊ အခြားသောအစေ့အဆံများ) စသည်များကို  ဘယ်နှစ်ရက် စားသုံးခဲ့ပါသလဲ။
[အော်ပရေတာ- ရက်ပေါင်း 0-7 အထိ နေ့ရက်အရေအတွက်ကိုမှတ်သားပါ]
[အနည်းငယ်သော ပမာဏသာစားပါက ထည့်မတွက်ရပါ]</t>
  </si>
  <si>
    <t>0-7 = FCSVeg</t>
  </si>
  <si>
    <t>For any response, go to fcs_vegetables_days</t>
  </si>
  <si>
    <t>FCSVeg</t>
  </si>
  <si>
    <t>How many days over the last 7 days, did members of your household eat all kinds of vegetables or leaves such as orange vegetables rich in vitamin A, green leafy vegetables and/or other leaves/vegetables?
[OPERATOR: RECORD NUMBER OF DAYS 0 - 7] 
[HINT: IF CONSUMED ONLY IN SMALL QUANTITY, DO NOT INCLUDE.]</t>
  </si>
  <si>
    <t>လွန်ခဲ့တဲ့ ၇ ရက်အတွင်းမှာ သင့်အိမ်ထောင်စုဝင်များက ဟင်းသီးဟင်းရွက်များ (လိမ္မော်ရောင်ရှိသော ဗီတာမင် အေ ကြွယ်ဝသော ဟင်းသီးဟင်းရွက်များ၊  အစိမ်းရင့်ရောင်ရှိသော ဟင်းရွက်များ၊ အခြားဟင်းသီးဟင်းရွက်များ) ကို ဘယ်နှစ်ရက်စားသုံးခဲ့ပါသလဲ။
[အော်ပရေတာ- ရက်ပေါင်း 0-7 အထိ နေ့ရက်အရေအတွက်ကိုမှတ်သားပါ] 
[အနည်းငယ်သော ပမာဏသာစားပါက ထည့်မတွက်ရပါ]</t>
  </si>
  <si>
    <t>0-7 = FCSFruit</t>
  </si>
  <si>
    <t>For any response, go to fcs_fruit_days</t>
  </si>
  <si>
    <t>FCSFruit</t>
  </si>
  <si>
    <t>How many days over the last 7 days, did members of your household eat all kinds of fruits such as orange fruits rich in vitamin A, and/or other fruits?
[OPERATOR: RECORD NUMBER OF DAYS 0 - 7]
[HINT: IF CONSUMED ONLY IN SMALL QUANTITY, DO NOT INCLUDE.]</t>
  </si>
  <si>
    <t>လွန်ခဲ့တဲ့ ၇ ရက်အတွင်းမှာ သင့်အိမ်ထောင်စုဝင်များက သစ်သီးများ (လိမ္မော်ရောင်ရှိသော သစ်သီးများ သို့မဟုတ် အခြားသစ်သီးများ) ကို ဘယ်နှစ်ရက်စားသုံးခဲ့ပါသလဲ။
[အော်ပရေတာ- ရက်ပေါင်း 0-7 အထိ နေ့ရက်အရေအတွက်ကိုမှတ်သားပါ]
[အနည်းငယ်သော ပမာဏသာစားပါက ထည့်မတွက်ရပါ]</t>
  </si>
  <si>
    <t>0-7 = FCSPr</t>
  </si>
  <si>
    <t>For any response, go to fcs_meat_fish_days</t>
  </si>
  <si>
    <t>FCSPr</t>
  </si>
  <si>
    <t>How many days over the last 7 days, did members of your household eat meat, eggs or fish [any type of meat or fish including insects, birds, bush meat, seafood, or organs]?
[OPERATOR: RECORD NUMBER OF DAYS 0 - 7]
[HINT: IF CONSUMED ONLY IN SMALL QUANTITY, DO NOT INCLUDE.]</t>
  </si>
  <si>
    <t>လွန်ခဲ့တဲ့ ၇ ရက်အတွင်းမှာ သင့်အိမ်ထောင်စုဝင်များက အသား၊ ငါးများ ၊ ဥအမျိုးမျိုး   ဥပမာ - (ဆိတ်သား၊ အမဲသား၊ ကြက်သား၊ ဝက်သား၊ (သွေးခဲ ၊ အသည်းအမြစ် ကလီစာ စသည်)၊ ယုန် ၊ ငှက်သားများ၊ ငါးအမျိုးမျိုး (ပင်လယ်စာအပါအဝင်) နှင့် (ကြက် ၊ ဘဲ၊ ငုံး ဥအမျိုးမျိုး) ) ကို ဘယ်နှစ်ရက် စားသုံးခဲ့ပါသလဲ။
[အော်ပရေတာ- ရက်ပေါင်း 0-7 အထိ နေ့ရက်အရေအတွက်ကိုမှတ်သားပါ]
[အနည်းငယ်သော ပမာဏသာစားပါက ထည့်မတွက်ရပါ]</t>
  </si>
  <si>
    <t>0-7 = FCSDairy</t>
  </si>
  <si>
    <t>For any response, go to fcs_dairy_days</t>
  </si>
  <si>
    <t>FCSDairy</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</si>
  <si>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</si>
  <si>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လွန်ခဲ့တဲ့ ၇ ရက်အတွင်းမှာ သင့်အိမ်ထောင်စုဝင်များက နို့နှင့် အခြားနို့ထွက်ပစ္စည်းများ ဥပမာ - (နို့၊ ဒိန်ချဉ်၊ ဒိန်ခဲ၊ အခြားနို့ထွက်ပစ္စည်း) ကို ဘယ်နှစ်ရက် စားသုံးခဲ့ပါသလဲ။ (ဟင်းရွက်အဆီခဲ၊ ထောပတ် တွင်ပါဝင်သောနို့၊ ကော်ဖီ/လက်ဖက်ရည် ဖျော်သည့်အခါတွင်ထည့်သော နို့ပမာဏ အနည်းငယ် မပါဝင်ပါ။)
[အော်ပရေတာ- ရက်ပေါင်း 0-7 အထိ နေ့ရက်အရေအတွက်ကိုမှတ်သားပါ]
[အနည်းငယ်သော ပမာဏသာစားပါက ထည့်မတွက်ရပါ]</t>
  </si>
  <si>
    <t>0-7 = FCSSugar</t>
  </si>
  <si>
    <t>For any response, go to fcs_sugar_days</t>
  </si>
  <si>
    <t>FCSSugar</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</si>
  <si>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</si>
  <si>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လွန်ခဲ့တဲ့ ၇ ရက်အတွင်းမှာ သင့်အိမ်ထောင်စုဝင်များက သကြား သို့မဟုတ် အချို ဥပမာ - (သကြား၊ ပျားရည်၊ ယို၊ ကိတ်မုန့်အချို၊ သကြားလုံး၊ ကွတ်ကီး၊  ဂျုံနှင့်လုပ်သောမုန့်နှင့် အခြားမုန့်အချိုနှင့် အချိုရည်… စသည်) ကို ဘယ်နှစ်ရက် စားသုံးခဲ့ပါသလဲ။
[အော်ပရေတာ- ရက်ပေါင်း 0-7 အထိ နေ့ရက်အရေအတွက်ကိုမှတ်သားပါ]
[အနည်းငယ်သော ပမာဏသာစားပါက ထည့်မတွက်ရပါ]</t>
  </si>
  <si>
    <t>0-7 = FCSFat</t>
  </si>
  <si>
    <t>For any response, go to fcs_oil_days</t>
  </si>
  <si>
    <t>FCSFat</t>
  </si>
  <si>
    <t>How many days over the last 7 days, did members of your household eat oil/fat/butter such as vegetable oil, palm oil, groundnut oil, margarine, other fats / oil?
[OPERATOR: RECORD NUMBER OF DAYS 0 - 7]
[HINT: IF CONSUMED ONLY IN SMALL QUANTITY, DO NOT INCLUDE.]</t>
  </si>
  <si>
    <t xml:space="preserve">လွန်ခဲ့တဲ့ ၇ ရက်အတွင်းမှာ သင့်အိမ်ထောင်စုဝင်များက ဆီ/စားဆီအမျိုးမျိုး  ဥပမာ - (ဟင်းချက်ရာတွင်သုံးသောဆီအမျိုးမျိုး၊ ဟင်းသီးဟင်းရွက်ဆီ၊  စားအုန်းဆီ၊  မာဂျရင်း/ထောပတ်၊ အုန်းဆီ၊ အခြားစားဆီများ) ကို ဘယ်နှစ်ရက် စားသုံးခဲ့ပါသလဲ။ 
[အော်ပရေတာ- ရက်ပေါင်း 0-7 အထိ နေ့ရက်အရေအတွက်ကိုမှတ်သားပါ]
</t>
  </si>
  <si>
    <t>For any response, go to fcs_condiments_days</t>
  </si>
  <si>
    <t>o_meals</t>
  </si>
  <si>
    <t>How many meals did your household have yesterday?
[OPERATOR: CHOOSE ONLY ONE OPTION]
1)0 MEALS
2)1 MEAL
3)2 MEALS
4)3 OR MORE MEALS
5)DON'T KNOW
6)REFUSED</t>
  </si>
  <si>
    <t>လူကြီးမင်း၏အိမ်ထောင်စု မနေ့က (အစားအစာ)/ထမင်းဘယ်နှနပ်စားခဲ့ကြပါသလဲ။
[အော်ပရေတာ- ရွေးချယ်မှုတစ်ခုသာ ရွေးချယ်ပါ]
1)0 နပ်
2)1 နပ်
3)2 နပ်
4)3 နပ် သို့မဟုတ် ထို့ထက်ပို၍
5)မသိပါ
6)ဖြေဆိုရန် ငြင်းဆန်သည်</t>
  </si>
  <si>
    <t>rcsi</t>
  </si>
  <si>
    <t>rcsi_intro</t>
  </si>
  <si>
    <t>Now I will ask you about the number of days, in the last 7 days, during which the household has done some of the actions that I will mention to cope with the lack of food or money to buy food.
1)CONTINUE</t>
  </si>
  <si>
    <t>လွန်ခဲ့သည် ၇-ရက်အတွင်း သင့်မိသားစုအတွင်း အစားအစာမလုံလောက်မှု (သို့) အစားအစာဝယ်ယူရန်ငွေကြေးမလုံလောက်မှုများ ရှိခဲ့လျှင်အောက်ပါများကို အသုံးပြု၍ဖြေရှင်းပါသလား။
(လုပ်ခဲ့ပါက) ဘယ်နှစ်ရက် လောက် ပြုလုပ်ခဲ့ရပါသနည်း ေမးပါ။
1)နောက်ထပ်</t>
  </si>
  <si>
    <t>1 = rCSILessQlty</t>
  </si>
  <si>
    <t>For any response, go to rcsi_less_preferred_foods</t>
  </si>
  <si>
    <t>rCSILessQlty</t>
  </si>
  <si>
    <t>rcsi_less_preferred_foods</t>
  </si>
  <si>
    <t>In the past 7 days, how many days did your household rely on less preferred or less expensive food due to lack of food/money?  
[OPERATOR: RECORD NUMBER OF DAYS 0 - 7 ]</t>
  </si>
  <si>
    <t>လွန်ခဲသော ၇-ရက် အတွင်း သင့်မိသားစုအတွင်း အစားအစာမလုံလောက်မှု (သို့) အစားအစာဝယ်ယူရန်ငွေကြေးမလုံလောက်မှုများ ရှိခဲ့လျှင်
မနှစ်သက်သော ၊ စျေးပိုသက်သာသော အစားအစာကို စားသောက်ခြင်း ကို ဘယ်နှစ်ရက် လောက် ပြုလုပ်ခဲ့ရပါသနည်း။
[အော်ပရေတာ- ရက်ပေါင်း 0-7 အထိ နေ့ရက်အရေအတွက်ကိုမှတ်သားပါ]</t>
  </si>
  <si>
    <t>0-7 = rCSIBorrow</t>
  </si>
  <si>
    <t>For any response, go to rcsi_borrowed_food</t>
  </si>
  <si>
    <t>rCSIBorrow</t>
  </si>
  <si>
    <t>rcsi_borrowed_food</t>
  </si>
  <si>
    <t>In the past 7 days, how many days did your household borrow food, or rely on help from a friend or relative due to lack of food or money to buy food? 
[OPERATOR: RECORD NUMBER OF DAYS 0 - 7 ]</t>
  </si>
  <si>
    <t>လွန်ခဲသော ၇-ရက် အတွင်း သင့်မိသားစုအတွင်း အစားအစာမလုံလောက်မှု (သို့) အစားအစာဝယ်ယူရန်ငွေကြေးမလုံလောက်မှုများ ရှိခဲ့လျှင်
မိတ်ဆွေ ဆွေမျိုးများမှ အစားအစာချေးငှားခြင်း ကို ဘယ်နှစ်ရက် လောက် ပြုလုပ်ခဲ့ရပါသနည်း။
[အော်ပရေတာ- ရက်ပေါင်း 0-7 အထိ နေ့ရက်အရေအတွက်ကိုမှတ်သားပါ]</t>
  </si>
  <si>
    <t>0-7 = rCSIMealNb</t>
  </si>
  <si>
    <t>For any response, go to rcsi_reduce_number_meals</t>
  </si>
  <si>
    <t>rCSIMealNb</t>
  </si>
  <si>
    <t>rcsi_reduce_number_meals</t>
  </si>
  <si>
    <t>In the past 7 days, how many days did your household reduce the number of meals eaten in a day due to lack of food or money to buy food?
[OPERATOR: RECORD NUMBER OF DAYS 0 - 7 ]</t>
  </si>
  <si>
    <t>လွန်ခဲသော ၇-ရက် အတွင်း သင့်မိသားစုအတွင်း အစားအစာမလုံလောက်မှု (သို့) အစားအစာဝယ်ယူရန်ငွေကြေးမလုံလောက်မှုများ ရှိခဲ့လျှင်
အနပ်ရေလျှော့စားခြင်း ကို ဘယ်နှစ်ရက် လောက် ပြုလုပ်ခဲ့ရပါသနည်း။
[အော်ပရေတာ- ရက်ပေါင်း 0-7 အထိ နေ့ရက်အရေအတွက်ကိုမှတ်သားပါ]</t>
  </si>
  <si>
    <t>0-7 = rCSIMealSize</t>
  </si>
  <si>
    <t>For any response, go to rcsi_limit_portions</t>
  </si>
  <si>
    <t>rCSIMealSize</t>
  </si>
  <si>
    <t>rcsi_limit_portions</t>
  </si>
  <si>
    <t>In the past 7 days, how many days did your household limit portion sizes at mealtime due to lack of food or money to buy food? 
[OPERATOR: RECORD NUMBER OF DAYS 0 - 7 ]</t>
  </si>
  <si>
    <t>လွန်ခဲသော ၇-ရက် အတွင်း သင့်မိသားစုအတွင်း အစားအစာမလုံလောက်မှု (သို့) အစားအစာဝယ်ယူရန်ငွေကြေးမလုံလောက်မှုများ ရှိခဲ့လျှင်
ပမာဏလျှော့စားခြင်း ကို ဘယ်နှစ်ရက် လောက် ပြုလုပ်ခဲ့ရပါသနည်း။
[အော်ပရေတာ- ရက်ပေါင်း 0-7 အထိ နေ့ရက်အရေအတွက်ကိုမှတ်သားပါ]</t>
  </si>
  <si>
    <t>0-7 = rCSIMealAdult</t>
  </si>
  <si>
    <t>For any response, go to rcsi_restrict_adult_consumpt</t>
  </si>
  <si>
    <t>rCSIMealAdult</t>
  </si>
  <si>
    <t>rcsi_restrict_adult_consumpt</t>
  </si>
  <si>
    <t>In the past 7 days, how many days did your household restrict consumption by adults so children could eat, due to lack of food or money to buy food?
[OPERATOR: RECORD NUMBER OF DAYS 0 - 7 ]</t>
  </si>
  <si>
    <t>လွန်ခဲသော ၇-ရက် အတွင်း သင့်မိသားစုအတွင်း အစားအစာမလုံလောက်မှု (သို့) အစားအစာဝယ်ယူရန်ငွေကြေးမလုံလောက်မှုများ ရှိခဲ့လျှင်
ကလေးငယ်များ ကိုဦးစားပေး၍ လူကြီးများသည် လျှော့စားခြင်း ကို ဘယ်နှစ်ရက် လောက် ပြုလုပ်ခဲ့ရပါသနည်း။
[အော်ပရေတာ- ရက်ပေါင်း 0-7 အထိ နေ့ရက်အရေအတွက်ကိုမှတ်သားပါ]</t>
  </si>
  <si>
    <t>0-7 = o_diff_marketfunc1</t>
  </si>
  <si>
    <t>For any response, go to need</t>
  </si>
  <si>
    <t xml:space="preserve">
o_diff_marketfunc1</t>
  </si>
  <si>
    <t xml:space="preserve">
o_diff_marketfunc1</t>
  </si>
  <si>
    <t xml:space="preserve">Were you able to access the shops/market where you buy most of your food for consumption ?
[OPERATOR: SINGLE RESPONSE.]
1)Yes 
2)Yes partially
3)No
4)DON'T KNOW
5)REFUSED </t>
  </si>
  <si>
    <t>လူကြီးမင်း၏အိမ်ထောင်စုအတွက် အစားအစာ၀ယ်ယူသော စျေးဆိုင်/စျေး  သို့ သွားလာ၍ရနိုင် (သို့) အသုံးပြု နိုင်ပါသလား။ 
[အော်ပရေတာ- ရွေးချယ်မှုများကိုမဖတ်ပါနှင့်။ တုံ့ပြန်မှုတစ်ခုသာ]
1)သွားလာနိုင်/အသုံးပြုနိုင်ပါသည်။
2)တစ်ခါတစ်ရံ သာသွားလာ/အသုံးပြု နိုင်ပါသည်။
3)မသွားနိုင်/အသုံးမပြုနိုင်ပါ။
4)မသိပါ
5)ဖြေဆိုရန် ငြင်းဆန်သည်</t>
  </si>
  <si>
    <t>2-3 = o_AccessMarket_why</t>
  </si>
  <si>
    <t>o_AccessMarket_why</t>
  </si>
  <si>
    <t>If not, what is the main constraint limiting your ability to access the market?
[OPERATOR: SINGLE RESPONSE]
1)Market is too far / too expensive to reach
2)Conflict/Insecurity
3)Market closure
4)Road is damaged / not viable 
5)Other
6)DON'T KNOW
7)REFUSED</t>
  </si>
  <si>
    <t>အစား အစာဝယ်ရန် ဈေးကို လက်လှမ်းမမှီပါက၊ စျေးသို့သွားရောက်နိုင်မှုကိုကန့်သတ်ထားသောအဓိကကန့်သတ်ချက်များ သည် မည်သည် အရာဖြစ်သနည်း။
[အော်ပရေတာ- တုံ့ပြန်မှုတစ်ခုသာ]
1)ဈေးသည် ဝေးလွန်းသည် / ခရီးစရိတ်အလွန်စျေးကြီးသည်။
2)ပဋိပက္ခ/မလုံခြုံမှု
3)စျေးပိတ်ခြင်း။
4)လမ်းပျက်စီး/ အဆင်မပြေ
5)အခြား
6)မသိ
7)ငြင်းဆို</t>
  </si>
  <si>
    <t>Send if  "o_diff_marketfunc1" "Equals" "Yes, partially" Or "o_diff_marketfunc1" "Equals" "No" Or Send if  "o_diff_marketfunc2" "Equals" "Yes, partially" Or "o_diff_marketfunc2" "Equals" "No" Or Send if  "o_diff_marketfunc3" "Equals" "Yes, partially" Or "o_diff_marketfunc3" "Equals" "No"</t>
  </si>
  <si>
    <t>1-7 =need</t>
  </si>
  <si>
    <t>H. NEEDS ASSISTANCE</t>
  </si>
  <si>
    <t>need</t>
  </si>
  <si>
    <t>Does your household need assistance for agricultural activities [including crop, livestock and fisheries/aquaculture activities] over the next 3 to 6 months?
[OPERATOR: SINGLE RESPONSE.]
1)YES
2)NO
3)DON'T KNOW
4)REFUSED</t>
  </si>
  <si>
    <t>သင့်အိမ်ထောင်စုသည် လာမည့် 3 လမှ 6 လအတွင်း စိုက်ပျိုးရေးလုပ်ငန်းများ [သီးနှံ၊ မွေးမြူရေးနှင့် ငါးဖမ်းလုပ်ငန်း/ငါးပုစွန်လုပ်ငန်းများအပါအဝင်] အတွက် အကူအညီ လိုအပ်ပါသလား။ [အော်ပရေတာ- တုံ့ပြန်မှုတစ်ခုသာ။]
1)ဟုတ်
2)မဟုတ်
3)မသိပါ
4)ဖြေဆိုရန် ငြင်းဆန်သည်</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</si>
  <si>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</si>
  <si>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</si>
  <si>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</si>
  <si>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</si>
  <si>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</si>
  <si>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</si>
  <si>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နောက် ၃ လမှ ၆ လအတွင်း စိုက်ပျိုးရေးလုပ်ငန်း (သီးနှံ၊ မွေးမြူရေး သို့မဟုတ် ငါးဖမ်းလုပ်ငန်း/ငါးပုစွန်လုပ်ငန်းများအပါအဝင်) စိုက်ပျိုးရေးဆိုင်ရာအကူအညီအတွက် သင့်အိမ်ထောင်စု၏ အကြီးမားဆုံးလိုအပ်ချက်မှာ အဘယ်နည်း။
[အော်ပရေတာ- အများအပြားတုံ့ပြန်မှု။ ရွေးချယ်စရာများကို မဖတ်ပါနှင့်။]
1) အစားအစာ
2) ငွေသား
3) ငွေသားအစားထိုး သွင်းအားစုများဝယ်ယူနိုင်သော ဘောက်ချာများ 
4) သီးနှံနှင့်/သို့မဟုတ် ဟင်းသီးဟင်းရွက် ထုတ်လုပ်မှုအတွက် သွင်းအားစုများ [ဥပမာ။ မျိုးစေ့၊ မြေသြဇာ၊ ကိရိယာများ]
5) သီးနှံနှင့်/သို့မဟုတ် ဟင်းသီးဟင်းရွက်ထုတ်လုပ်မှုအတွက် အခြေခံအဆောက်အအုံများ [ဥပမာ။ ဆည်မြောင်း၊ တူးမြောင်းပြန်လည်မွန်းမံပြုပြင်ရေး၊ ရေစုပ်စက်များ]
6) သီးနှံစိုက်ပျိုးထုတ်လုပ်မှုအတွက် သင်တန်းနှင့် နည်းပညာဆိုင်ရာ အသိပညာ/အကြံဉာဏ်များ
7) မွေးမြူရေးအစာ [အစာ သို့မဟုတ် တိရိစ္ဆာန်အတွက်ဖြည့်စွက်အစာများ]
8) တိရစ္ဆာန်ဆေးကုသရေးဝန်ဆောင်မှုများ [ဥပမာ။ ကာကွယ်ဆေးထိုးခြင်း၊ သန်ျခြင်း၊ ပိုးသတ်ခြင်း]
9) မွေးမြူရေးအတွက် အခြေခံအဆောက်အဦများ [ဥပမာ။ ရေအနိမ့်အမြင့်အမှတ်များ၊ ရာသီအလိုက် တိရိစ္ဆာန်အုပ်များရွေ့ပြောင်းမွေးမြူရာတွင် သုံးရသော တိရစ္ဆာန်သွားလမ်းများ၊ အမိုးအကာများ၊ ကျန်းမာရေးအချက်များ]
10) မွေးမြူရေးဆိုင်ရာ သင်တန်းနှင့် နည်းပညာဆိုင်ရာ အသိပညာ/အကြံဉာဏ်များ
11) ငါးဖမ်းခြင်း သို့မဟုတ် ငါးပုစွန်ထုတ်လုပ်မှုအတွက် သွင်းအားစုများ
12) ငါးဖမ်းလုပ်ငန်း သို့မဟုတ် ငါးပုစွန်ထုတ်လုပ်မှုအတွက် အခြေခံအဆောက်အအုံများ [ဥပမာ။ ဆိပ်ကမ်းပြန်လည်ထူထောင်ရေး၊ ရေကန်များပြုပြင်ခြင်း]
13) ငါးဖမ်းလုပ်ငန်း သို့မဟုတ် ငါးပုစွန်ထုတ်လုပ်မှုအတွက် သင်တန်းနှင့် နည်းပညာဆိုင်ရာ အသိပညာ/အကြံဉာဏ်များ
14) ပတ်ဝန်းကျင် သို့မဟုတ် လူထုအခြေပြုအခြေခံအဆောက်အအုံ ပြန်လည်ထူထောင်ရေး [ရပ်ရွာတစ်ခုလုံးအတွက်အကျုံးဝင်သည်]၊
15) အအေးခန်း
16) စျေးကွက်ရှာဖွေခြင်း သို့မဟုတ် အရောင်းပံ့ပိုးမှု [ဥပမာ။ အများပြည်သူသုံးဝယ်ယူရေးစနစ်]
17) အခြား [ဖော်ပြရန်]
18) မသိပါ။
19) ငြင်းဆိုသည်</t>
  </si>
  <si>
    <t>Form Type - Checklist
18,19 = IsNone</t>
  </si>
  <si>
    <t>1-19 = o_need3</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</si>
  <si>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</si>
  <si>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</si>
  <si>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o_need3</t>
  </si>
  <si>
    <t>Does your household need assistance over the next 3 to 6 months?
[OPERATOR: SINGLE RESPONSE.]
1)YES
2)NO
3)DON'T KNOW
4)REFUSED</t>
  </si>
  <si>
    <t>လာမည့် 3 လမှ 6 လအတွင်း လူကြီးမင်း၏အိမ်ထောင်စုအတွက် အကူအညီလိုအပ်ပါသလား။
[အော်ပရေတာ- တုံ့ပြန်မှုတစ်ခုသာ။]
1)ဟုတ်
2)မဟုတ်
3)မသိပါ
4)ဖြေဆိုရန် ငြင်းဆန်သည်</t>
  </si>
  <si>
    <t>1 = o_need4
2-4= need_received</t>
  </si>
  <si>
    <t>Send if "hh_agricactivity" "Equals" "none". if not satisfied, go to "callback".</t>
  </si>
  <si>
    <t>1 = need_4
2-4= need_received</t>
  </si>
  <si>
    <t>Only administered to non-agricultural households. 
if need = 1, go to need_2
if need = 2-4, go to need_received</t>
  </si>
  <si>
    <t>o_need4</t>
  </si>
  <si>
    <t>What are your greatest needs for assistance for your household in the next 3 to 6 months?
[OPERATOR: MULTIPLE RESPONSE. DO NOT READ THE OPTIONS IF POSSIBLE.]
1)Seeds
2)Fertilizers
3)Pesticides
4)Tools
5)Access to irrigation water
6)Access to land
7)Animal feed
8)Veterinary services
9)Veterinary inputs
10)Sales of animals with minimum guaranteed price
11)Restocking animals
12)Support for processing product
13)Support for transportation of animals or animal product [e.g. cold chains for milk]
14)Access to tractors
15)Marketing support
16)Cash or food assistance
17)Loans
18)Storage equipment or facility [bags / containers / etc.]
19)Technical support or extension services
20)Land rehabilitation [in case of a disaster]
21)Access to boats [new or repair of existing boats] / fishing equipment and supplies
22)Information on safety measures in the context of the COVID-19 epidemic
23)Other [specify]
24)DON'T KNOW
25)REFUSED</t>
  </si>
  <si>
    <t>နောက် ၃ လမှ ၆ လအတွင်း  သင့်အိမ်ထောင်စု၏ အကြီးမားဆုံးလိုအပ်ချက်မှာ အဘယ်နည်း။
[အော်ပရေတာ- အများအပြားတုံ့ပြန်မှု။ ရွေးချယ်စရာများကို မဖတ်ပါနှင့်။]
1) မျိုးစေ့များ
2) ဓာတ်မြေသြဇာ
3) ပိုးသတ်ဆေး
4) ကိရိယာများ
5) စိုက်ပျိုးရေရရှိရေး
6) စိုက်ပျိူးမြေယာအသုံးပြုခွင့်
7) တိရစ္ဆာန်အစာ
8) တိရစ္ဆာန်ဆေးကုသရေးဝန်ဆောင်မှုများ
9) တိရစ္ဆာန်မွေးမြူရေးသွင်းအားစုများ
10)တိရစ္ဆာန် များရောင်းချရာတွင် အစိုးရ သို့မဟုတ် အဖွဲ့အစည်း က အနိမ့်ဆုံးမည်မျှ ရရှိရမည်ဟု တရား၀င် သတ်မှတ်ပေးထားခြင်း
11) မွေးမြူရေး တိရစ္ဆာန် များ ထောက်ပံပေးခြင်း။
12) ထုတ်ကုန်ရေးလုပ်ငန်းစဉ်အတွက်ပံ့ပိုးမှု
13) တိရစ္ဆာန်များ သို့မဟုတ် တိရစ္ဆာန်ထွက်ကုန်များ သယ်ယူပို့ဆောင်ရေးအတွက် ပံ့ပိုးကူညီခြင်း [ဥပမာ။နို့ အတွက် အအေးပေးခြင်း [သိ့] အအေးဓာတ်ထိန်းသိမ်းခြင်းလုပ်ငန်းစ၌ ]
14) လယ်ထွန်စက်များ ရရှိခြင်း/အသုံးပြုခွင့်
15) စျေးကွက်ရှာဖွေရေးပံ့ပိုးမှု
16) ငွေသား သို့မဟုတ် အစားအသောက် အကူအညီ
17) ချေးငွေ
18) သိုလှောင်မှုဆိုင်ရာ ကိရိယာများ သို့မဟုတ် အဆောက်အအုံများ [အိတ်/ကွန်တိန်နာများ/ စသည်ဖြင့်]
19) နည်းပညာပံ့ပိုးမှု သို့မဟုတ် တိုးချဲ့ဝန်ဆောင်မှုများ
20) မြေယာပြန်လည်ထူထောင်ရေး [ဘေးအန္တရာယ်ဖြစ်လျှင်]၊
21) လှေများရရှိခြင်း သို့အ သုံးပြုနိုင်ခြင်း [အသစ် သို့မဟုတ် ရှိပြီးသားလှေများကို ပြုပြင်ခြင်း] / ငါးဖမ်းကိရိယာများနှင့် ထောက်ပံ့ရေးပစ္စည်းများ
22)COVID-19 ကပ်ရောဂါအခြေအနေတွင် ဘေးကင်းရေးအစီအမံများဆိုင်ရာ အချက်အလက်များ
23)အခြား [ဖော်ပြရန်]
24) မသိပါ။
25) ငြင်းဆိုသည်</t>
  </si>
  <si>
    <t>1-25 = need_received</t>
  </si>
  <si>
    <t>if need_4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</si>
  <si>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</si>
  <si>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</si>
  <si>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</si>
  <si>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ပြီးခဲ့တဲ့ ၃ လအတွင်းမှာ သင့်အိမ်ထောင်စုက အကူအညီတစ်ခုခုကို လက်ခံရရှိခဲ့ပြီး ဖြစ်တယ်ဆိုရင် ဘယ်လိုမျိုးလဲ။
[အော်ပရေတာ- အများအပြားတုံ့ပြန်မှု ဖြစ်နိုင်သည်။ Options ကိုဖတ်ပါ။]
1) အစားအစာ
2) ငွေသား
3) ငွေသားအစားထိုး သွင်းအားစုများဝယ်ယူနိုင်သော ဘောက်ချာများ 
4) သီးနှံ နှင့်/သို့မဟုတ် ဟင်းသီးဟင်းရွက် ထုတ်လုပ်မှု အကူအညီ
5) မွေးမြူရေးအကူအညီ
6) ငါးလုပ်ငန်းနှင့်/သို့မဟုတ် ငါးပုစွန်အကူအညီ
7) ပတ်ဝန်းကျင် သို့မဟုတ် လူထုအခြေပြုအခြေခံအဆောက်အအုံ ပြန်လည်ထူထောင်ရေး [ရပ်ရွာတစ်ခုလုံးအတွက်အကျုံးဝင်သည်]၊
8) စျေးကွက်ရှာဖွေရေး သို့မဟုတ် အရောင်းပံ့ပိုးမှု [e.g.  အများပြည်သူသုံးဝယ်ယူရေးစနစ်]
9) အခြား [သတ်မှတ်ရန်]
10) အကူအညီမရရှိပါ။
11) မသိပါ။
12) ငြင်းဆိုသည်</t>
  </si>
  <si>
    <t>Form Type - Checklist
10,11,12 = IsNone</t>
  </si>
  <si>
    <t xml:space="preserve">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</si>
  <si>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</si>
  <si>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</si>
  <si>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I. CLOSING</t>
  </si>
  <si>
    <t>callback</t>
  </si>
  <si>
    <t>Your answers will help us to understand and respond to your community needs. May we call you back again in a few months?
[OPERATOR: SINGLE RESPONSE.]
1)YES
2)NO</t>
  </si>
  <si>
    <t>1 = leader_contact
2 = language2</t>
  </si>
  <si>
    <t>if callback = 1, go to leader_contact
if 2, go to language2</t>
  </si>
  <si>
    <t>contact_2</t>
  </si>
  <si>
    <t>Can you give me an additonal phone number belonging to you, a relative or a friend at which you can be reached?
[OPERATOR: SINGLE RESPONSE.]
1)YES - mine 
2)YES - friend or relative
3)NO
4)DON'T KNOW
5)REFUSED</t>
  </si>
  <si>
    <t>1-2 = phone_number_2
3-5 = hh_admin1</t>
  </si>
  <si>
    <t>if contact_2 = 1-2, go to phone_number_2
if contact_2 = 3-5, go to contact_3</t>
  </si>
  <si>
    <t>yes - panel</t>
  </si>
  <si>
    <t>phone_number_2</t>
  </si>
  <si>
    <t>What is the additional phone number?
[OPERATOR: RECORD THE NUMBER GIVEN]</t>
  </si>
  <si>
    <t>Any Response = contact_2_name</t>
  </si>
  <si>
    <t>For any response, go to contact_2_name</t>
  </si>
  <si>
    <t xml:space="preserve">phone_number_2_Location </t>
  </si>
  <si>
    <t xml:space="preserve">What Region/State does the relative/friend currently live in?
[OPERATOR: SINGLE RESPONSE]
1)AYEYARWADY
2)BAGO
3)CHIN
4)KACHIN
5)KAYAH
6)KAYIN
7)MAGWAY
8)MANDALAY
9)MON
10)NAY PYI TAW
11)RAKHINE
12)SAGAING
13)SHAN
14)TANINTHARYI
15)YANGON
16)DON'T KNOW
17)REFUSED </t>
  </si>
  <si>
    <t>contact_3_2</t>
  </si>
  <si>
    <t>Can you give me another phone number belonging to a relative or a friend who is not part of your household and who may be interested in participating in this survey?
[OPERATOR: SINGLE RESPONSE]
1)YES
2)NO
3)DON'T KNOW
4)REFUSED</t>
  </si>
  <si>
    <t>phone_number_3_2</t>
  </si>
  <si>
    <t>What is the additional phone number?
[OPERATOR: RECORD THE PHONE NUMBER GIVEN]</t>
  </si>
  <si>
    <t>phone_number_3_Location</t>
  </si>
  <si>
    <t>language2</t>
  </si>
  <si>
    <t>Select the language that was mostly used to complete the interview.
[OPERATOR: SINGLE RESPONSE.]
1)English
2)other languages [consistent with resp_language]</t>
  </si>
  <si>
    <t>1-2 = closeout</t>
  </si>
  <si>
    <t>closeout</t>
  </si>
  <si>
    <t>Thank you for your time. The interview has come to an end. You will receive your #TOPUP# airtime credit on this phone within the next 2 days.</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</si>
  <si>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</si>
  <si>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</si>
  <si>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</si>
  <si>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</si>
  <si>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</si>
  <si>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</si>
  <si>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</si>
  <si>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</si>
  <si>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</si>
  <si>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</si>
  <si>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</si>
  <si>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</si>
  <si>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</si>
  <si>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</si>
  <si>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</si>
  <si>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</si>
  <si>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</si>
  <si>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</si>
  <si>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</si>
  <si>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</si>
  <si>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</si>
  <si>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</si>
  <si>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</si>
  <si>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</si>
  <si>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</si>
  <si>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</si>
  <si>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</si>
  <si>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</si>
  <si>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</si>
  <si>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</si>
  <si>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</si>
  <si>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</si>
  <si>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</si>
  <si>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</si>
  <si>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</si>
  <si>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</si>
  <si>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</si>
  <si>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</si>
  <si>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</si>
  <si>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</si>
  <si>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</si>
  <si>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</si>
  <si>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</si>
  <si>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</si>
  <si>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</si>
  <si>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</si>
  <si>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</si>
  <si>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</si>
  <si>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</si>
  <si>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</si>
  <si>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</si>
  <si>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</si>
  <si>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</si>
  <si>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</si>
  <si>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</si>
  <si>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</si>
  <si>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</si>
  <si>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</si>
  <si>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</si>
  <si>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</si>
  <si>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</si>
  <si>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</si>
  <si>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</si>
  <si>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</si>
  <si>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</si>
  <si>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</si>
  <si>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</si>
  <si>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</si>
  <si>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</si>
  <si>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</si>
  <si>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</si>
  <si>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</si>
  <si>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</si>
  <si>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</si>
  <si>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</si>
  <si>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</si>
  <si>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</si>
  <si>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</si>
  <si>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</si>
  <si>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</si>
  <si>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</si>
  <si>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</si>
  <si>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</si>
  <si>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</si>
  <si>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</si>
  <si>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</si>
  <si>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</si>
  <si>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</si>
  <si>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</si>
  <si>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</si>
  <si>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</si>
  <si>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</si>
  <si>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</si>
  <si>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</si>
  <si>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</si>
  <si>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</si>
  <si>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</si>
  <si>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</si>
  <si>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</si>
  <si>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</si>
  <si>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</si>
  <si>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</si>
  <si>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</si>
  <si>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</si>
  <si>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</si>
  <si>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</si>
  <si>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</si>
  <si>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</si>
  <si>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</si>
  <si>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</si>
  <si>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</si>
  <si>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</si>
  <si>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</si>
  <si>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</si>
  <si>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</si>
  <si>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</si>
  <si>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</si>
  <si>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</si>
  <si>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</si>
  <si>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</si>
  <si>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</si>
  <si>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</si>
  <si>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</si>
  <si>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</si>
  <si>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</si>
  <si>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</si>
  <si>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</si>
  <si>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</si>
  <si>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</si>
  <si>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</si>
  <si>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</si>
  <si>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</si>
  <si>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</si>
  <si>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</si>
  <si>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</si>
  <si>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</si>
  <si>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</si>
  <si>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</si>
  <si>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</si>
  <si>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</si>
  <si>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</si>
  <si>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</si>
  <si>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</si>
  <si>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</si>
  <si>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</si>
  <si>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</si>
  <si>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</si>
  <si>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</si>
  <si>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</si>
  <si>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</si>
  <si>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</si>
  <si>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</si>
  <si>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</si>
  <si>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</si>
  <si>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</si>
  <si>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</si>
  <si>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</si>
  <si>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</si>
  <si>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</si>
  <si>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</si>
  <si>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</si>
  <si>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</si>
  <si>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</si>
  <si>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</si>
  <si>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</si>
  <si>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</si>
  <si>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</si>
  <si>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</si>
  <si>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</si>
  <si>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</si>
  <si>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</si>
  <si>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</si>
  <si>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</si>
  <si>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</si>
  <si>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</si>
  <si>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</si>
  <si>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</si>
  <si>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</si>
  <si>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</si>
  <si>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</si>
  <si>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</si>
  <si>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</si>
  <si>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</si>
  <si>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</si>
  <si>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</si>
  <si>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</si>
  <si>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</si>
  <si>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</si>
  <si>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</si>
  <si>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</si>
  <si>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</si>
  <si>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</si>
  <si>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t>FOR CORE QUESTIONS    .
(Mandatory to fill out)    .</t>
  </si>
  <si>
    <t>ADMIN1</t>
  </si>
  <si>
    <t>State/Region</t>
  </si>
  <si>
    <t>The first subdivision of the country, after national level; region; province; governorate; etc.</t>
  </si>
  <si>
    <t>region</t>
  </si>
  <si>
    <t>ADMIN2</t>
  </si>
  <si>
    <t>Township</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</si>
  <si>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</si>
  <si>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</si>
  <si>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</si>
  <si>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</si>
  <si>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</si>
  <si>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</si>
  <si>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Lean Season (dry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</si>
  <si>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</si>
  <si>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</si>
  <si>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</si>
  <si>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Land preparation</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</si>
  <si>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</si>
  <si>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</si>
  <si>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</si>
  <si>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Arces, square meter</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</si>
  <si>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</si>
  <si>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</si>
  <si>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</si>
  <si>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</si>
  <si>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</si>
  <si>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</si>
  <si>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MMK</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</si>
  <si>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</si>
  <si>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</si>
  <si>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</si>
  <si>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</si>
  <si>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</si>
  <si>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</si>
  <si>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</si>
  <si>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</si>
  <si>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</si>
  <si>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</si>
  <si>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</si>
  <si>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</si>
  <si>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</si>
  <si>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</si>
  <si>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</si>
  <si>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</si>
  <si>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</si>
  <si>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</si>
  <si>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</si>
  <si>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</si>
  <si>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</si>
  <si>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adm2_name</t>
  </si>
  <si>
    <t>adm2_pcode</t>
  </si>
  <si>
    <t>adm1_name</t>
  </si>
  <si>
    <t>adm1_pcode</t>
  </si>
  <si>
    <t>adm0_name</t>
  </si>
  <si>
    <t>adm0_ISO3</t>
  </si>
  <si>
    <t>Lashio</t>
  </si>
  <si>
    <t>MMR015D001</t>
  </si>
  <si>
    <t>Shan</t>
  </si>
  <si>
    <t>MMR222</t>
  </si>
  <si>
    <t>Myanmar</t>
  </si>
  <si>
    <t>MMR</t>
  </si>
  <si>
    <t>Kyaukme</t>
  </si>
  <si>
    <t>MMR015D003</t>
  </si>
  <si>
    <t>Kokang Self-Administered Zone</t>
  </si>
  <si>
    <t>MMR015S002</t>
  </si>
  <si>
    <t>Pa-O Self-Administered Zone</t>
  </si>
  <si>
    <t>MMR014S002</t>
  </si>
  <si>
    <t>Loilen</t>
  </si>
  <si>
    <t>MMR014D002</t>
  </si>
  <si>
    <t>Langkho</t>
  </si>
  <si>
    <t>MMR014D003</t>
  </si>
  <si>
    <t>Danu Self-Administered Zone</t>
  </si>
  <si>
    <t>MMR014S001</t>
  </si>
  <si>
    <t>Pa Laung Self-Administered Zone</t>
  </si>
  <si>
    <t>MMR015S001</t>
  </si>
  <si>
    <t>Muse</t>
  </si>
  <si>
    <t>MMR015D002</t>
  </si>
  <si>
    <t>Mongmit</t>
  </si>
  <si>
    <t>MMR015D008</t>
  </si>
  <si>
    <t>Matman</t>
  </si>
  <si>
    <t>MMR015D007</t>
  </si>
  <si>
    <t>Hopang</t>
  </si>
  <si>
    <t>MMR015D006</t>
  </si>
  <si>
    <t>Tachileik</t>
  </si>
  <si>
    <t>MMR016D003</t>
  </si>
  <si>
    <t>Monghsat</t>
  </si>
  <si>
    <t>MMR016D002</t>
  </si>
  <si>
    <t>Kengtung</t>
  </si>
  <si>
    <t>MMR016D001</t>
  </si>
  <si>
    <t>Yinmarbin</t>
  </si>
  <si>
    <t>MMR005D009</t>
  </si>
  <si>
    <t>Sagaing</t>
  </si>
  <si>
    <t>MMR005</t>
  </si>
  <si>
    <t>Tamu</t>
  </si>
  <si>
    <t>MMR005D006</t>
  </si>
  <si>
    <t>Naga Self-Administered Zone</t>
  </si>
  <si>
    <t>MMR005S001</t>
  </si>
  <si>
    <t>Monywa</t>
  </si>
  <si>
    <t>MMR005D003</t>
  </si>
  <si>
    <t>Mawlaik</t>
  </si>
  <si>
    <t>MMR005D007</t>
  </si>
  <si>
    <t>Kawlin</t>
  </si>
  <si>
    <t>MMR005D011</t>
  </si>
  <si>
    <t>Katha</t>
  </si>
  <si>
    <t>MMR005D004</t>
  </si>
  <si>
    <t>Kanbalu</t>
  </si>
  <si>
    <t>MMR005D010</t>
  </si>
  <si>
    <t>Kale</t>
  </si>
  <si>
    <t>MMR005D005</t>
  </si>
  <si>
    <t>Hkamti</t>
  </si>
  <si>
    <t>MMR005D008</t>
  </si>
  <si>
    <t>Thandwe</t>
  </si>
  <si>
    <t>MMR012D004</t>
  </si>
  <si>
    <t>Rakhine</t>
  </si>
  <si>
    <t>MMR012</t>
  </si>
  <si>
    <t>Sittwe</t>
  </si>
  <si>
    <t>MMR012D001</t>
  </si>
  <si>
    <t>Mrauk-U</t>
  </si>
  <si>
    <t>MMR012D005</t>
  </si>
  <si>
    <t>Maungdaw</t>
  </si>
  <si>
    <t>MMR012D002</t>
  </si>
  <si>
    <t>Kyaukpyu</t>
  </si>
  <si>
    <t>MMR012D003</t>
  </si>
  <si>
    <t>Oke Ta Ra</t>
  </si>
  <si>
    <t>MMR018D001</t>
  </si>
  <si>
    <t>Nay Pyi Taw</t>
  </si>
  <si>
    <t>MMR018</t>
  </si>
  <si>
    <t>Det Khi Na</t>
  </si>
  <si>
    <t>MMR018D002</t>
  </si>
  <si>
    <t>Thaton</t>
  </si>
  <si>
    <t>MMR011D002</t>
  </si>
  <si>
    <t>Mon</t>
  </si>
  <si>
    <t>MMR011</t>
  </si>
  <si>
    <t>Mawlamyine</t>
  </si>
  <si>
    <t>MMR011D001</t>
  </si>
  <si>
    <t>Yamethin</t>
  </si>
  <si>
    <t>MMR010D006</t>
  </si>
  <si>
    <t>Mandalay</t>
  </si>
  <si>
    <t>MMR010</t>
  </si>
  <si>
    <t>Pyinoolwin</t>
  </si>
  <si>
    <t>MMR010D002</t>
  </si>
  <si>
    <t>Nyaung-U</t>
  </si>
  <si>
    <t>MMR010D005</t>
  </si>
  <si>
    <t>Myingyan</t>
  </si>
  <si>
    <t>MMR010D004</t>
  </si>
  <si>
    <t>Meiktila</t>
  </si>
  <si>
    <t>MMR010D007</t>
  </si>
  <si>
    <t>MMR010D001</t>
  </si>
  <si>
    <t>Yangon (West)</t>
  </si>
  <si>
    <t>MMR013D004</t>
  </si>
  <si>
    <t>Yangon</t>
  </si>
  <si>
    <t>MMR013</t>
  </si>
  <si>
    <t>Yangon (South)</t>
  </si>
  <si>
    <t>MMR013D003</t>
  </si>
  <si>
    <t>Yangon (North)</t>
  </si>
  <si>
    <t>MMR013D001</t>
  </si>
  <si>
    <t>Yangon (East)</t>
  </si>
  <si>
    <t>MMR013D002</t>
  </si>
  <si>
    <t>Myeik</t>
  </si>
  <si>
    <t>MMR006D002</t>
  </si>
  <si>
    <t>Tanintharyi</t>
  </si>
  <si>
    <t>MMR006</t>
  </si>
  <si>
    <t>Kawthoung</t>
  </si>
  <si>
    <t>MMR006D003</t>
  </si>
  <si>
    <t>Dawei</t>
  </si>
  <si>
    <t>MMR006D001</t>
  </si>
  <si>
    <t>Taunggyi</t>
  </si>
  <si>
    <t>MMR014D001</t>
  </si>
  <si>
    <t>Shwebo</t>
  </si>
  <si>
    <t>MMR005D002</t>
  </si>
  <si>
    <t>MMR005D001</t>
  </si>
  <si>
    <t>Kyaukse</t>
  </si>
  <si>
    <t>MMR010D003</t>
  </si>
  <si>
    <t>Thayet</t>
  </si>
  <si>
    <t>MMR009D003</t>
  </si>
  <si>
    <t>Magway</t>
  </si>
  <si>
    <t>MMR009</t>
  </si>
  <si>
    <t>Pakokku</t>
  </si>
  <si>
    <t>MMR009D004</t>
  </si>
  <si>
    <t>Minbu</t>
  </si>
  <si>
    <t>MMR009D002</t>
  </si>
  <si>
    <t>MMR009D001</t>
  </si>
  <si>
    <t>Gangaw</t>
  </si>
  <si>
    <t>MMR009D005</t>
  </si>
  <si>
    <t>Myawaddy</t>
  </si>
  <si>
    <t>MMR003D002</t>
  </si>
  <si>
    <t>Kayin</t>
  </si>
  <si>
    <t>MMR003</t>
  </si>
  <si>
    <t>Kawkareik</t>
  </si>
  <si>
    <t>MMR003D003</t>
  </si>
  <si>
    <t>Hpapun</t>
  </si>
  <si>
    <t>MMR003D004</t>
  </si>
  <si>
    <t>Hpa-An</t>
  </si>
  <si>
    <t>MMR003D001</t>
  </si>
  <si>
    <t>Loikaw</t>
  </si>
  <si>
    <t>MMR002D001</t>
  </si>
  <si>
    <t>Kayah</t>
  </si>
  <si>
    <t>MMR002</t>
  </si>
  <si>
    <t>Bawlake</t>
  </si>
  <si>
    <t>MMR002D002</t>
  </si>
  <si>
    <t>Puta-O</t>
  </si>
  <si>
    <t>MMR001D004</t>
  </si>
  <si>
    <t>Kachin</t>
  </si>
  <si>
    <t>MMR001</t>
  </si>
  <si>
    <t>Myitkyina</t>
  </si>
  <si>
    <t>MMR001D001</t>
  </si>
  <si>
    <t>Mohnyin</t>
  </si>
  <si>
    <t>MMR001D002</t>
  </si>
  <si>
    <t>Bhamo</t>
  </si>
  <si>
    <t>MMR001D003</t>
  </si>
  <si>
    <t>Mindat</t>
  </si>
  <si>
    <t>MMR004D002</t>
  </si>
  <si>
    <t>Chin</t>
  </si>
  <si>
    <t>MMR004</t>
  </si>
  <si>
    <t>Matupi</t>
  </si>
  <si>
    <t>MMR004D004</t>
  </si>
  <si>
    <t>Hakha</t>
  </si>
  <si>
    <t>MMR004D003</t>
  </si>
  <si>
    <t>Falam</t>
  </si>
  <si>
    <t>MMR004D001</t>
  </si>
  <si>
    <t>Thayarwady</t>
  </si>
  <si>
    <t>MMR008D002</t>
  </si>
  <si>
    <t>Bago</t>
  </si>
  <si>
    <t>MMR111</t>
  </si>
  <si>
    <t>Pyay</t>
  </si>
  <si>
    <t>MMR008D001</t>
  </si>
  <si>
    <t>Taungoo</t>
  </si>
  <si>
    <t>MMR007D002</t>
  </si>
  <si>
    <t>MMR007D001</t>
  </si>
  <si>
    <t>Pyapon</t>
  </si>
  <si>
    <t>MMR017D006</t>
  </si>
  <si>
    <t>Ayeyarwady</t>
  </si>
  <si>
    <t>MMR017</t>
  </si>
  <si>
    <t>Pathein</t>
  </si>
  <si>
    <t>MMR017D001</t>
  </si>
  <si>
    <t>Myaungmya</t>
  </si>
  <si>
    <t>MMR017D003</t>
  </si>
  <si>
    <t>Maubin</t>
  </si>
  <si>
    <t>MMR017D005</t>
  </si>
  <si>
    <t>Labutta</t>
  </si>
  <si>
    <t>MMR017D004</t>
  </si>
  <si>
    <t>Hinthada</t>
  </si>
  <si>
    <t>MMR017D002</t>
  </si>
  <si>
    <t>adm3_name</t>
  </si>
  <si>
    <t>adm3_name_local</t>
  </si>
  <si>
    <t>adm3_pcode</t>
  </si>
  <si>
    <t>adm0_M49</t>
  </si>
  <si>
    <t>Ramree</t>
  </si>
  <si>
    <t>ရမ်းဗြဲ</t>
  </si>
  <si>
    <t>MMR012013</t>
  </si>
  <si>
    <t>Toungup</t>
  </si>
  <si>
    <t>တောင်ကုတ်</t>
  </si>
  <si>
    <t>MMR012016</t>
  </si>
  <si>
    <t>ကျောက်ဖြူ</t>
  </si>
  <si>
    <t>MMR012011</t>
  </si>
  <si>
    <t>လပွတ္တာ</t>
  </si>
  <si>
    <t>MMR017016</t>
  </si>
  <si>
    <t>Ngapudaw</t>
  </si>
  <si>
    <t>ငပုတော</t>
  </si>
  <si>
    <t>MMR017004</t>
  </si>
  <si>
    <t>Bogale</t>
  </si>
  <si>
    <t>ဘိုကလေး</t>
  </si>
  <si>
    <t>MMR017024</t>
  </si>
  <si>
    <t>သံတွဲ</t>
  </si>
  <si>
    <t>MMR012015</t>
  </si>
  <si>
    <t>Bokpyin</t>
  </si>
  <si>
    <t>ဘုတ်ပြင်း</t>
  </si>
  <si>
    <t>MMR006010</t>
  </si>
  <si>
    <t>Ye</t>
  </si>
  <si>
    <t>ရေး</t>
  </si>
  <si>
    <t>MMR011006</t>
  </si>
  <si>
    <t>Kungyangon</t>
  </si>
  <si>
    <t>ကွမ်းခြံကုန်း</t>
  </si>
  <si>
    <t>MMR013029</t>
  </si>
  <si>
    <t>Dedaye</t>
  </si>
  <si>
    <t>ဒေးဒရဲ</t>
  </si>
  <si>
    <t>MMR017026</t>
  </si>
  <si>
    <t>ဖျာပုံ</t>
  </si>
  <si>
    <t>MMR017023</t>
  </si>
  <si>
    <t>Munaung</t>
  </si>
  <si>
    <t>မာန်အောင်</t>
  </si>
  <si>
    <t>MMR012012</t>
  </si>
  <si>
    <t>Gwa</t>
  </si>
  <si>
    <t>ဂွ</t>
  </si>
  <si>
    <t>MMR012017</t>
  </si>
  <si>
    <t>ကော့သောင်း</t>
  </si>
  <si>
    <t>MMR006009</t>
  </si>
  <si>
    <t>Kyunsu</t>
  </si>
  <si>
    <t>ကျွန်းစု</t>
  </si>
  <si>
    <t>MMR006006</t>
  </si>
  <si>
    <t>Chaungzon</t>
  </si>
  <si>
    <t>ချောင်းဆုံ</t>
  </si>
  <si>
    <t>MMR011003</t>
  </si>
  <si>
    <t>Palaw</t>
  </si>
  <si>
    <t>ပုလော</t>
  </si>
  <si>
    <t>MMR006007</t>
  </si>
  <si>
    <t>Yebyu</t>
  </si>
  <si>
    <t>ရေဖြူ</t>
  </si>
  <si>
    <t>MMR006004</t>
  </si>
  <si>
    <t>မော်လမြိုင်</t>
  </si>
  <si>
    <t>MMR011001</t>
  </si>
  <si>
    <t>ဘားအံ</t>
  </si>
  <si>
    <t>MMR003001</t>
  </si>
  <si>
    <t>Myebon</t>
  </si>
  <si>
    <t>မြေပုံ</t>
  </si>
  <si>
    <t>MMR012006</t>
  </si>
  <si>
    <t>Ann</t>
  </si>
  <si>
    <t>အမ်း</t>
  </si>
  <si>
    <t>MMR012014</t>
  </si>
  <si>
    <t>Pauktaw</t>
  </si>
  <si>
    <t>ပေါက်တော</t>
  </si>
  <si>
    <t>MMR012007</t>
  </si>
  <si>
    <t>Rathedaung</t>
  </si>
  <si>
    <t>ရသေ့တောင်</t>
  </si>
  <si>
    <t>MMR012008</t>
  </si>
  <si>
    <t>Paukkhaung</t>
  </si>
  <si>
    <t>ပေါက်ခေါင်း</t>
  </si>
  <si>
    <t>MMR008002</t>
  </si>
  <si>
    <t>Yedashe</t>
  </si>
  <si>
    <t>ရေတာရှည်</t>
  </si>
  <si>
    <t>MMR007010</t>
  </si>
  <si>
    <t>Thongwa</t>
  </si>
  <si>
    <t>သုံးခွ</t>
  </si>
  <si>
    <t>MMR013025</t>
  </si>
  <si>
    <t>Launglon</t>
  </si>
  <si>
    <t>လောင်းလုံး</t>
  </si>
  <si>
    <t>MMR006002</t>
  </si>
  <si>
    <t>Paung</t>
  </si>
  <si>
    <t>ပေါင်</t>
  </si>
  <si>
    <t>MMR011008</t>
  </si>
  <si>
    <t>Dagon Myothit (East)</t>
  </si>
  <si>
    <t>ဒဂုံမြို့သစ် (အရှေ့ပိုင်း)</t>
  </si>
  <si>
    <t>MMR013020</t>
  </si>
  <si>
    <t>North Okkalapa</t>
  </si>
  <si>
    <t>မြောက်ဥက္ကလာပ</t>
  </si>
  <si>
    <t>MMR013012</t>
  </si>
  <si>
    <t>Hmawbi</t>
  </si>
  <si>
    <t>မှော်ဘီ</t>
  </si>
  <si>
    <t>MMR013003</t>
  </si>
  <si>
    <t>Aunglan</t>
  </si>
  <si>
    <t>အောင်လံ</t>
  </si>
  <si>
    <t>MMR009016</t>
  </si>
  <si>
    <t>ကျောက်ဆည်</t>
  </si>
  <si>
    <t>MMR010013</t>
  </si>
  <si>
    <t>Nawnghkio</t>
  </si>
  <si>
    <t>နောင်ချို</t>
  </si>
  <si>
    <t>MMR015013</t>
  </si>
  <si>
    <t>ကျောက်မဲ</t>
  </si>
  <si>
    <t>MMR015012</t>
  </si>
  <si>
    <t>Hlegu</t>
  </si>
  <si>
    <t>လှည်းကူး</t>
  </si>
  <si>
    <t>MMR013004</t>
  </si>
  <si>
    <t>Padaung</t>
  </si>
  <si>
    <t>ပန်းတောင်း</t>
  </si>
  <si>
    <t>MMR008003</t>
  </si>
  <si>
    <t>Dagon Myothit (North)</t>
  </si>
  <si>
    <t>ဒဂုံမြို့သစ် (မြောက်ပိုင်း)</t>
  </si>
  <si>
    <t>MMR013019</t>
  </si>
  <si>
    <t>Twantay</t>
  </si>
  <si>
    <t>တွံတေး</t>
  </si>
  <si>
    <t>MMR013027</t>
  </si>
  <si>
    <t>Mayangone</t>
  </si>
  <si>
    <t>မရမ်းကုန်း</t>
  </si>
  <si>
    <t>MMR013042</t>
  </si>
  <si>
    <t>Dagon Myothit (Seikkan)</t>
  </si>
  <si>
    <t>ဒဂုံမြို့သစ် (ဆိပ်ကမ်း)</t>
  </si>
  <si>
    <t>MMR013021</t>
  </si>
  <si>
    <t>Latha</t>
  </si>
  <si>
    <t>လသာ</t>
  </si>
  <si>
    <t>MMR013036</t>
  </si>
  <si>
    <t>Dawbon</t>
  </si>
  <si>
    <t>ဒေါပုံ</t>
  </si>
  <si>
    <t>MMR013014</t>
  </si>
  <si>
    <t>Ahlone</t>
  </si>
  <si>
    <t>အလုံ</t>
  </si>
  <si>
    <t>MMR013037</t>
  </si>
  <si>
    <t>Mingaladon</t>
  </si>
  <si>
    <t>မင်္ဂလာဒုံ</t>
  </si>
  <si>
    <t>MMR013002</t>
  </si>
  <si>
    <t>Shwepyithar</t>
  </si>
  <si>
    <t>ရွှေပြည်သာ</t>
  </si>
  <si>
    <t>MMR013007</t>
  </si>
  <si>
    <t>Yankin</t>
  </si>
  <si>
    <t>ရန်ကင်း</t>
  </si>
  <si>
    <t>MMR013010</t>
  </si>
  <si>
    <t>Kyaunggon</t>
  </si>
  <si>
    <t>ကျောင်းကုန်း</t>
  </si>
  <si>
    <t>MMR017007</t>
  </si>
  <si>
    <t>Kyeemyindaing</t>
  </si>
  <si>
    <t>ကြည့်မြင်တိုင်</t>
  </si>
  <si>
    <t>MMR013038</t>
  </si>
  <si>
    <t>Letpadan</t>
  </si>
  <si>
    <t>လက်ပံတန်း</t>
  </si>
  <si>
    <t>MMR008008</t>
  </si>
  <si>
    <t>Ingapu</t>
  </si>
  <si>
    <t>အင်္ဂပူ</t>
  </si>
  <si>
    <t>MMR017013</t>
  </si>
  <si>
    <t>Tamwe</t>
  </si>
  <si>
    <t>တာမွေ</t>
  </si>
  <si>
    <t>MMR013015</t>
  </si>
  <si>
    <t>Bahan</t>
  </si>
  <si>
    <t>ဗဟန်း</t>
  </si>
  <si>
    <t>MMR013044</t>
  </si>
  <si>
    <t>Kamaryut</t>
  </si>
  <si>
    <t>ကမာရွတ်</t>
  </si>
  <si>
    <t>MMR013041</t>
  </si>
  <si>
    <t>Pantanaw</t>
  </si>
  <si>
    <t>ပန်းတနော်</t>
  </si>
  <si>
    <t>MMR017020</t>
  </si>
  <si>
    <t>Thaketa</t>
  </si>
  <si>
    <t>သာကေတ</t>
  </si>
  <si>
    <t>MMR013013</t>
  </si>
  <si>
    <t>Pabedan</t>
  </si>
  <si>
    <t>ပန်းဘဲတန်း</t>
  </si>
  <si>
    <t>MMR013034</t>
  </si>
  <si>
    <t>Kyauktada</t>
  </si>
  <si>
    <t>ကျောက်တံတား</t>
  </si>
  <si>
    <t>MMR013033</t>
  </si>
  <si>
    <t>Kyangin</t>
  </si>
  <si>
    <t>ကြံခင်း</t>
  </si>
  <si>
    <t>MMR017012</t>
  </si>
  <si>
    <t>Monyo</t>
  </si>
  <si>
    <t>မိုးညို</t>
  </si>
  <si>
    <t>MMR008013</t>
  </si>
  <si>
    <t>Dagon</t>
  </si>
  <si>
    <t>ဒဂုံ</t>
  </si>
  <si>
    <t>MMR013043</t>
  </si>
  <si>
    <t>Sanchaung</t>
  </si>
  <si>
    <t>စမ်းချောင်း</t>
  </si>
  <si>
    <t>MMR013039</t>
  </si>
  <si>
    <t>ဟင်္သာတ</t>
  </si>
  <si>
    <t>MMR017008</t>
  </si>
  <si>
    <t>Danubyu</t>
  </si>
  <si>
    <t>ဓနုဖြူ</t>
  </si>
  <si>
    <t>MMR017022</t>
  </si>
  <si>
    <t>Hlaing</t>
  </si>
  <si>
    <t>လှိုင်</t>
  </si>
  <si>
    <t>MMR013040</t>
  </si>
  <si>
    <t>Dala</t>
  </si>
  <si>
    <t>ဒလ</t>
  </si>
  <si>
    <t>MMR013030</t>
  </si>
  <si>
    <t>Nattalin</t>
  </si>
  <si>
    <t>နတ်တလင်း</t>
  </si>
  <si>
    <t>MMR008012</t>
  </si>
  <si>
    <t>Thegon</t>
  </si>
  <si>
    <t>သဲကုန်း</t>
  </si>
  <si>
    <t>MMR008005</t>
  </si>
  <si>
    <t>Thanatpin</t>
  </si>
  <si>
    <t>သနပ်ပင်</t>
  </si>
  <si>
    <t>MMR007002</t>
  </si>
  <si>
    <t>Kyaikto</t>
  </si>
  <si>
    <t>ကျိုက်ထို</t>
  </si>
  <si>
    <t>MMR011009</t>
  </si>
  <si>
    <t>Thayetchaung</t>
  </si>
  <si>
    <t>သရက်ချောင်း</t>
  </si>
  <si>
    <t>MMR006003</t>
  </si>
  <si>
    <t>ဖာပွန်</t>
  </si>
  <si>
    <t>MMR003003</t>
  </si>
  <si>
    <t>Mese</t>
  </si>
  <si>
    <t>မယ်စဲ</t>
  </si>
  <si>
    <t>MMR002007</t>
  </si>
  <si>
    <t>Patheingyi</t>
  </si>
  <si>
    <t>ပုသိမ်ကြီး</t>
  </si>
  <si>
    <t>MMR010007</t>
  </si>
  <si>
    <t>Minbya</t>
  </si>
  <si>
    <t>မင်းပြား</t>
  </si>
  <si>
    <t>MMR012005</t>
  </si>
  <si>
    <t>Chanayethazan</t>
  </si>
  <si>
    <t>ချမ်းအေးသာစံ</t>
  </si>
  <si>
    <t>MMR010002</t>
  </si>
  <si>
    <t>Aungmyaythazan</t>
  </si>
  <si>
    <t>အောင်မြေသာစံ</t>
  </si>
  <si>
    <t>MMR010001</t>
  </si>
  <si>
    <t>Kalaw</t>
  </si>
  <si>
    <t>ကလော</t>
  </si>
  <si>
    <t>MMR014005</t>
  </si>
  <si>
    <t>ရမည်းသင်း</t>
  </si>
  <si>
    <t>MMR010023</t>
  </si>
  <si>
    <t>Madaya</t>
  </si>
  <si>
    <t>မတ္တရာ</t>
  </si>
  <si>
    <t>MMR010009</t>
  </si>
  <si>
    <t>Tigyaing</t>
  </si>
  <si>
    <t>ထီးချိုင့်</t>
  </si>
  <si>
    <t>MMR005022</t>
  </si>
  <si>
    <t>Budalin</t>
  </si>
  <si>
    <t>ဘုတလင်</t>
  </si>
  <si>
    <t>MMR005013</t>
  </si>
  <si>
    <t>Wuntho</t>
  </si>
  <si>
    <t>ဝန်းသို</t>
  </si>
  <si>
    <t>MMR005025</t>
  </si>
  <si>
    <t>Thabeikkyin</t>
  </si>
  <si>
    <t>သပိတ်ကျင်း</t>
  </si>
  <si>
    <t>MMR010012</t>
  </si>
  <si>
    <t>Mahaaungmyay</t>
  </si>
  <si>
    <t>မဟာအောင်မြေ</t>
  </si>
  <si>
    <t>MMR010003</t>
  </si>
  <si>
    <t>ခန္တီး</t>
  </si>
  <si>
    <t>MMR005033</t>
  </si>
  <si>
    <t>ယင်းမာပင်</t>
  </si>
  <si>
    <t>MMR005016</t>
  </si>
  <si>
    <t>ရွှေဘို</t>
  </si>
  <si>
    <t>MMR005004</t>
  </si>
  <si>
    <t>Ye-U</t>
  </si>
  <si>
    <t>ရေဦး</t>
  </si>
  <si>
    <t>MMR005009</t>
  </si>
  <si>
    <t>Lewe</t>
  </si>
  <si>
    <t>လယ်ဝေး</t>
  </si>
  <si>
    <t>MMR018007</t>
  </si>
  <si>
    <t>Salingyi</t>
  </si>
  <si>
    <t>ဆားလင်းကြီး</t>
  </si>
  <si>
    <t>MMR005018</t>
  </si>
  <si>
    <t>Chaung-U</t>
  </si>
  <si>
    <t>ချောင်းဦး</t>
  </si>
  <si>
    <t>MMR005015</t>
  </si>
  <si>
    <t>Yesagyo</t>
  </si>
  <si>
    <t>ရေစကြို</t>
  </si>
  <si>
    <t>MMR009019</t>
  </si>
  <si>
    <t>Amarapura</t>
  </si>
  <si>
    <t>အမရပူရ</t>
  </si>
  <si>
    <t>MMR010006</t>
  </si>
  <si>
    <t>ပြင်ဦးလွင်</t>
  </si>
  <si>
    <t>MMR010008</t>
  </si>
  <si>
    <t>Sintgaing</t>
  </si>
  <si>
    <t>စဉ့်ကိုင်</t>
  </si>
  <si>
    <t>MMR010014</t>
  </si>
  <si>
    <t>ကန့်ဘလူ</t>
  </si>
  <si>
    <t>MMR005007</t>
  </si>
  <si>
    <t>Chanmyathazi</t>
  </si>
  <si>
    <t>ချမ်းမြသာစည်</t>
  </si>
  <si>
    <t>MMR010004</t>
  </si>
  <si>
    <t>Tatkon</t>
  </si>
  <si>
    <t>တပ်ကုန်း</t>
  </si>
  <si>
    <t>MMR018003</t>
  </si>
  <si>
    <t>Taungdwingyi</t>
  </si>
  <si>
    <t>တောင်တွင်းကြီး</t>
  </si>
  <si>
    <t>MMR009004</t>
  </si>
  <si>
    <t>Yenangyaung</t>
  </si>
  <si>
    <t>ရေနံချောင်း</t>
  </si>
  <si>
    <t>MMR009002</t>
  </si>
  <si>
    <t>Hsihseng</t>
  </si>
  <si>
    <t>ဆီဆိုင်</t>
  </si>
  <si>
    <t>MMR014004</t>
  </si>
  <si>
    <t>ကျိုင်းတုံ</t>
  </si>
  <si>
    <t>MMR016001</t>
  </si>
  <si>
    <t>မိုင်းဆတ်</t>
  </si>
  <si>
    <t>MMR016006</t>
  </si>
  <si>
    <t>လွိုင်ကော်</t>
  </si>
  <si>
    <t>MMR002001</t>
  </si>
  <si>
    <t>Salin</t>
  </si>
  <si>
    <t>စလင်း</t>
  </si>
  <si>
    <t>MMR009010</t>
  </si>
  <si>
    <t>Namhsan</t>
  </si>
  <si>
    <t>နမ့်ဆန်</t>
  </si>
  <si>
    <t>MMR015016</t>
  </si>
  <si>
    <t>Pindaya</t>
  </si>
  <si>
    <t>ပင်းတယ</t>
  </si>
  <si>
    <t>MMR014006</t>
  </si>
  <si>
    <t>Thazi</t>
  </si>
  <si>
    <t>သာစည်</t>
  </si>
  <si>
    <t>MMR010030</t>
  </si>
  <si>
    <t>Botahtaung</t>
  </si>
  <si>
    <t>ဗိုလ်တထောင်</t>
  </si>
  <si>
    <t>MMR013017</t>
  </si>
  <si>
    <t>Tada-U</t>
  </si>
  <si>
    <t>တံတားဦး</t>
  </si>
  <si>
    <t>MMR010016</t>
  </si>
  <si>
    <t>ပခုက္ကူ</t>
  </si>
  <si>
    <t>MMR009018</t>
  </si>
  <si>
    <t>Pazundaung</t>
  </si>
  <si>
    <t>ပုဇွန်တောင်</t>
  </si>
  <si>
    <t>MMR013016</t>
  </si>
  <si>
    <t>Chauk</t>
  </si>
  <si>
    <t>ချောက်</t>
  </si>
  <si>
    <t>MMR009003</t>
  </si>
  <si>
    <t>Det Khi Na Thi Ri</t>
  </si>
  <si>
    <t>ဒက္ခိဏသီရိ</t>
  </si>
  <si>
    <t>MMR018004</t>
  </si>
  <si>
    <t>တာချီလိတ်</t>
  </si>
  <si>
    <t>MMR016009</t>
  </si>
  <si>
    <t>Laukkaing</t>
  </si>
  <si>
    <t>လောက်ကိုင်</t>
  </si>
  <si>
    <t>MMR015022</t>
  </si>
  <si>
    <t>Wakema</t>
  </si>
  <si>
    <t>ဝါးခယ်မ</t>
  </si>
  <si>
    <t>MMR017017</t>
  </si>
  <si>
    <t>မြောင်းမြ</t>
  </si>
  <si>
    <t>MMR017014</t>
  </si>
  <si>
    <t>Thabaung</t>
  </si>
  <si>
    <t>သာပေါင်း</t>
  </si>
  <si>
    <t>MMR017003</t>
  </si>
  <si>
    <t>Yegyi</t>
  </si>
  <si>
    <t>ရေကြည်</t>
  </si>
  <si>
    <t>MMR017006</t>
  </si>
  <si>
    <t>Kangyidaunt</t>
  </si>
  <si>
    <t>ကန်ကြီးထောင့်</t>
  </si>
  <si>
    <t>MMR017002</t>
  </si>
  <si>
    <t>Kyaiklat</t>
  </si>
  <si>
    <t>ကျိုက်လတ်</t>
  </si>
  <si>
    <t>MMR017025</t>
  </si>
  <si>
    <t>Myanaung</t>
  </si>
  <si>
    <t>မြန်အောင်</t>
  </si>
  <si>
    <t>MMR017011</t>
  </si>
  <si>
    <t>Kawhmu</t>
  </si>
  <si>
    <t>ကော့မှုး</t>
  </si>
  <si>
    <t>MMR013028</t>
  </si>
  <si>
    <t>Dagon Myothit (South)</t>
  </si>
  <si>
    <t>ဒဂုံမြို့သစ် (တောင်ပိုင်း)</t>
  </si>
  <si>
    <t>MMR013018</t>
  </si>
  <si>
    <t>Taikkyi</t>
  </si>
  <si>
    <t>တိုက်ကြီး</t>
  </si>
  <si>
    <t>MMR013005</t>
  </si>
  <si>
    <t>ဟိုပန်</t>
  </si>
  <si>
    <t>MMR015021</t>
  </si>
  <si>
    <t>Mansi</t>
  </si>
  <si>
    <t>မံစီ</t>
  </si>
  <si>
    <t>MMR001013</t>
  </si>
  <si>
    <t>Manton</t>
  </si>
  <si>
    <t>မန်တုံ</t>
  </si>
  <si>
    <t>MMR015019</t>
  </si>
  <si>
    <t>Mongyawng</t>
  </si>
  <si>
    <t>မိုင်းယောင်း</t>
  </si>
  <si>
    <t>MMR016011</t>
  </si>
  <si>
    <t>Hlaingtharya (East)</t>
  </si>
  <si>
    <t>လှိုင်သာယာ (အရှေ့ပိုင်း)</t>
  </si>
  <si>
    <t>MMR013046</t>
  </si>
  <si>
    <t>မိုးမိတ်</t>
  </si>
  <si>
    <t>MMR015017</t>
  </si>
  <si>
    <t>Mogoke</t>
  </si>
  <si>
    <t>မိုးကုတ်</t>
  </si>
  <si>
    <t>MMR010011</t>
  </si>
  <si>
    <t>Hlaingbwe</t>
  </si>
  <si>
    <t>လှိုင်းဘွဲ့</t>
  </si>
  <si>
    <t>MMR003002</t>
  </si>
  <si>
    <t>Bilin</t>
  </si>
  <si>
    <t>ဘီးလင်း</t>
  </si>
  <si>
    <t>MMR011010</t>
  </si>
  <si>
    <t>ထားဝယ်</t>
  </si>
  <si>
    <t>MMR006001</t>
  </si>
  <si>
    <t>Kamma</t>
  </si>
  <si>
    <t>ကံမ</t>
  </si>
  <si>
    <t>MMR009015</t>
  </si>
  <si>
    <t>Kayan</t>
  </si>
  <si>
    <t>ခရမ်း</t>
  </si>
  <si>
    <t>MMR013026</t>
  </si>
  <si>
    <t>Kawa</t>
  </si>
  <si>
    <t>ကဝ</t>
  </si>
  <si>
    <t>MMR007003</t>
  </si>
  <si>
    <t>Thanlyin</t>
  </si>
  <si>
    <t>သန်လျင်</t>
  </si>
  <si>
    <t>MMR013023</t>
  </si>
  <si>
    <t>Tanai</t>
  </si>
  <si>
    <t>တနိုင်း</t>
  </si>
  <si>
    <t>MMR001004</t>
  </si>
  <si>
    <t>ပူတာအို</t>
  </si>
  <si>
    <t>MMR001014</t>
  </si>
  <si>
    <t>Sumprabum</t>
  </si>
  <si>
    <t>ဆွမ်ပရာဘွမ်</t>
  </si>
  <si>
    <t>MMR001015</t>
  </si>
  <si>
    <t>Shwegyin</t>
  </si>
  <si>
    <t>ရွှေကျင်</t>
  </si>
  <si>
    <t>MMR007008</t>
  </si>
  <si>
    <t>Nyaunglebin</t>
  </si>
  <si>
    <t>ညောင်လေးပင်</t>
  </si>
  <si>
    <t>MMR007005</t>
  </si>
  <si>
    <t>Waw</t>
  </si>
  <si>
    <t>ဝေါ</t>
  </si>
  <si>
    <t>MMR007004</t>
  </si>
  <si>
    <t>Daik-U</t>
  </si>
  <si>
    <t>ဒိုက်ဦး</t>
  </si>
  <si>
    <t>MMR007007</t>
  </si>
  <si>
    <t>Kyauktaga</t>
  </si>
  <si>
    <t>ကျောက်တံခါး</t>
  </si>
  <si>
    <t>MMR007006</t>
  </si>
  <si>
    <t>Mindon</t>
  </si>
  <si>
    <t>မင်းတုန်း</t>
  </si>
  <si>
    <t>MMR009014</t>
  </si>
  <si>
    <t>Zay Yar Thi Ri</t>
  </si>
  <si>
    <t>ဇေယျာသီရိ</t>
  </si>
  <si>
    <t>MMR018001</t>
  </si>
  <si>
    <t>Pinlaung</t>
  </si>
  <si>
    <t>ပင်လောင်း</t>
  </si>
  <si>
    <t>MMR014009</t>
  </si>
  <si>
    <t>Poke Ba Thi Ri</t>
  </si>
  <si>
    <t>ပုဗ္ဗသီရိ</t>
  </si>
  <si>
    <t>MMR018005</t>
  </si>
  <si>
    <t>Pyinmana</t>
  </si>
  <si>
    <t>ပျဉ်းမနား</t>
  </si>
  <si>
    <t>MMR018006</t>
  </si>
  <si>
    <t>Pekon</t>
  </si>
  <si>
    <t>ဖယ်ခုံ</t>
  </si>
  <si>
    <t>MMR014010</t>
  </si>
  <si>
    <t>Thandaunggyi</t>
  </si>
  <si>
    <t>သံတောင်ကြီး</t>
  </si>
  <si>
    <t>MMR003004</t>
  </si>
  <si>
    <t>Kyauktan</t>
  </si>
  <si>
    <t>ကျောက်တန်း</t>
  </si>
  <si>
    <t>MMR013024</t>
  </si>
  <si>
    <t>ပဲခူး</t>
  </si>
  <si>
    <t>MMR007001</t>
  </si>
  <si>
    <t>ဘောလခဲ</t>
  </si>
  <si>
    <t>MMR002005</t>
  </si>
  <si>
    <t>Hsipaw</t>
  </si>
  <si>
    <t>သီပေါ</t>
  </si>
  <si>
    <t>MMR015014</t>
  </si>
  <si>
    <t>Lawksawk</t>
  </si>
  <si>
    <t>ရပ်စောက်</t>
  </si>
  <si>
    <t>MMR014008</t>
  </si>
  <si>
    <t>Htantabin</t>
  </si>
  <si>
    <t>ထန်းတပင်</t>
  </si>
  <si>
    <t>MMR013006</t>
  </si>
  <si>
    <t>Nyaungdon</t>
  </si>
  <si>
    <t>ညောင်တုန်း</t>
  </si>
  <si>
    <t>MMR017021</t>
  </si>
  <si>
    <t>Hlaingtharya (West)</t>
  </si>
  <si>
    <t>လှိုင်သာယာ (အနောက်ပိုင်း)</t>
  </si>
  <si>
    <t>MMR013047</t>
  </si>
  <si>
    <t>Lemyethna</t>
  </si>
  <si>
    <t>လေးမျက်နှာ</t>
  </si>
  <si>
    <t>MMR017010</t>
  </si>
  <si>
    <t>Mawlamyinegyun</t>
  </si>
  <si>
    <t>မော်လမြိုင်ကျွန်း</t>
  </si>
  <si>
    <t>MMR017018</t>
  </si>
  <si>
    <t>Einme</t>
  </si>
  <si>
    <t>အိမ်မဲ</t>
  </si>
  <si>
    <t>MMR017015</t>
  </si>
  <si>
    <t>ပုသိမ်</t>
  </si>
  <si>
    <t>MMR017001</t>
  </si>
  <si>
    <t>မအူပင်</t>
  </si>
  <si>
    <t>MMR017019</t>
  </si>
  <si>
    <t>Seikgyikanaungto</t>
  </si>
  <si>
    <t>ဆိပ်ကြီး/ခနောင်တို</t>
  </si>
  <si>
    <t>MMR013031</t>
  </si>
  <si>
    <t>တနင်္သာရီ</t>
  </si>
  <si>
    <t>MMR006008</t>
  </si>
  <si>
    <t>သထုံ</t>
  </si>
  <si>
    <t>MMR011007</t>
  </si>
  <si>
    <t>Kyainseikgyi</t>
  </si>
  <si>
    <t>ကြာအင်းဆိပ်ကြီး</t>
  </si>
  <si>
    <t>MMR003007</t>
  </si>
  <si>
    <t>Za Bu Thi Ri</t>
  </si>
  <si>
    <t>ဇမ္ဗူသီရိ</t>
  </si>
  <si>
    <t>MMR018002</t>
  </si>
  <si>
    <t>Paletwa</t>
  </si>
  <si>
    <t>ပလက်ဝ</t>
  </si>
  <si>
    <t>MMR004009</t>
  </si>
  <si>
    <t>Kanpetlet</t>
  </si>
  <si>
    <t>ကန်ပက်လက်</t>
  </si>
  <si>
    <t>MMR004008</t>
  </si>
  <si>
    <t>Kyauktaw</t>
  </si>
  <si>
    <t>ကျောက်တော်</t>
  </si>
  <si>
    <t>MMR012004</t>
  </si>
  <si>
    <t>မြောက်ဦး</t>
  </si>
  <si>
    <t>MMR012003</t>
  </si>
  <si>
    <t>Buthidaung</t>
  </si>
  <si>
    <t>ဘူးသီးတောင်</t>
  </si>
  <si>
    <t>MMR012010</t>
  </si>
  <si>
    <t>ကော့ကရိတ်</t>
  </si>
  <si>
    <t>MMR003006</t>
  </si>
  <si>
    <t>Kyaikmaraw</t>
  </si>
  <si>
    <t>ကျိုက်မရော</t>
  </si>
  <si>
    <t>MMR011002</t>
  </si>
  <si>
    <t>မောင်တော</t>
  </si>
  <si>
    <t>MMR012009</t>
  </si>
  <si>
    <t>မြိတ်</t>
  </si>
  <si>
    <t>MMR006005</t>
  </si>
  <si>
    <t>Mudon</t>
  </si>
  <si>
    <t>မုဒုံ</t>
  </si>
  <si>
    <t>MMR011005</t>
  </si>
  <si>
    <t>Thanbyuzayat</t>
  </si>
  <si>
    <t>သံဖြူဇရပ်</t>
  </si>
  <si>
    <t>MMR011004</t>
  </si>
  <si>
    <t>Sidoktaya</t>
  </si>
  <si>
    <t>စေတုတ္ထရာ</t>
  </si>
  <si>
    <t>MMR009011</t>
  </si>
  <si>
    <t>Ngape</t>
  </si>
  <si>
    <t>ငဖဲ</t>
  </si>
  <si>
    <t>MMR009009</t>
  </si>
  <si>
    <t>Ponnagyun</t>
  </si>
  <si>
    <t>ပုဏ္ဏားကျွန်း</t>
  </si>
  <si>
    <t>MMR012002</t>
  </si>
  <si>
    <t>စစ်တွေ</t>
  </si>
  <si>
    <t>MMR012001</t>
  </si>
  <si>
    <t>Oke Ta Ra Thi Ri</t>
  </si>
  <si>
    <t>ဥတ္တရသီရိ</t>
  </si>
  <si>
    <t>MMR018008</t>
  </si>
  <si>
    <t>Ayadaw</t>
  </si>
  <si>
    <t>အရာတော်</t>
  </si>
  <si>
    <t>MMR005014</t>
  </si>
  <si>
    <t>Tabayin</t>
  </si>
  <si>
    <t>ဒီပဲယင်း</t>
  </si>
  <si>
    <t>MMR005010</t>
  </si>
  <si>
    <t>Wetlet</t>
  </si>
  <si>
    <t>ဝက်လက်</t>
  </si>
  <si>
    <t>MMR005006</t>
  </si>
  <si>
    <t>Myinmu</t>
  </si>
  <si>
    <t>မြင်းမူ</t>
  </si>
  <si>
    <t>MMR005002</t>
  </si>
  <si>
    <t>မုံရွာ</t>
  </si>
  <si>
    <t>MMR005012</t>
  </si>
  <si>
    <t>Lanmadaw</t>
  </si>
  <si>
    <t>လမ်းမတော်</t>
  </si>
  <si>
    <t>MMR013035</t>
  </si>
  <si>
    <t>Sinbaungwe</t>
  </si>
  <si>
    <t>ဆင်ပေါင်ဝဲ</t>
  </si>
  <si>
    <t>MMR009017</t>
  </si>
  <si>
    <t>Mongkhet</t>
  </si>
  <si>
    <t>မိုင်းခတ်</t>
  </si>
  <si>
    <t>MMR016002</t>
  </si>
  <si>
    <t>Mongping</t>
  </si>
  <si>
    <t>မိုင်းပျဉ်း</t>
  </si>
  <si>
    <t>MMR016007</t>
  </si>
  <si>
    <t>မက်မန်း</t>
  </si>
  <si>
    <t>MMR015024</t>
  </si>
  <si>
    <t>Mongyang</t>
  </si>
  <si>
    <t>မိုင်းယန်း</t>
  </si>
  <si>
    <t>MMR016003</t>
  </si>
  <si>
    <t>Machanbaw</t>
  </si>
  <si>
    <t>မချမ်းဘော</t>
  </si>
  <si>
    <t>MMR001016</t>
  </si>
  <si>
    <t>Khaunglanhpu</t>
  </si>
  <si>
    <t>ခေါင်လန်ဖူး</t>
  </si>
  <si>
    <t>MMR001018</t>
  </si>
  <si>
    <t>Injangyang</t>
  </si>
  <si>
    <t>အင်ဂျန်းယန်</t>
  </si>
  <si>
    <t>MMR001003</t>
  </si>
  <si>
    <t>မြစ်ကြီးနား</t>
  </si>
  <si>
    <t>MMR001001</t>
  </si>
  <si>
    <t>Monghpyak</t>
  </si>
  <si>
    <t>မိုင်းဖြတ်</t>
  </si>
  <si>
    <t>MMR016010</t>
  </si>
  <si>
    <t>Pangwaun</t>
  </si>
  <si>
    <t>ပန်ဝိုင်</t>
  </si>
  <si>
    <t>MMR015007</t>
  </si>
  <si>
    <t>Mongmao</t>
  </si>
  <si>
    <t>မိုင်းမော</t>
  </si>
  <si>
    <t>MMR015008</t>
  </si>
  <si>
    <t>Nansang</t>
  </si>
  <si>
    <t>နမ့်စန်</t>
  </si>
  <si>
    <t>MMR014013</t>
  </si>
  <si>
    <t>Kunhing</t>
  </si>
  <si>
    <t>ကွန်ဟိန်း</t>
  </si>
  <si>
    <t>MMR014014</t>
  </si>
  <si>
    <t>Shadaw</t>
  </si>
  <si>
    <t>ရှားတော</t>
  </si>
  <si>
    <t>MMR002004</t>
  </si>
  <si>
    <t>Mongnai</t>
  </si>
  <si>
    <t>မိုးနဲ</t>
  </si>
  <si>
    <t>MMR014019</t>
  </si>
  <si>
    <t>Mongton</t>
  </si>
  <si>
    <t>မိုင်းတုံ</t>
  </si>
  <si>
    <t>MMR016008</t>
  </si>
  <si>
    <t>လင်းခေး</t>
  </si>
  <si>
    <t>MMR014018</t>
  </si>
  <si>
    <t>Mawkmai</t>
  </si>
  <si>
    <t>မောက်မယ်</t>
  </si>
  <si>
    <t>MMR014020</t>
  </si>
  <si>
    <t>Pangsang</t>
  </si>
  <si>
    <t>ပန်ဆန်း (ပန်ခမ်း)</t>
  </si>
  <si>
    <t>MMR015005</t>
  </si>
  <si>
    <t>Narphan</t>
  </si>
  <si>
    <t>နားဖန်း</t>
  </si>
  <si>
    <t>MMR015006</t>
  </si>
  <si>
    <t>Mongpan</t>
  </si>
  <si>
    <t>မိုင်းပန်</t>
  </si>
  <si>
    <t>MMR014021</t>
  </si>
  <si>
    <t>Tangyan</t>
  </si>
  <si>
    <t>တန့်ယန်း</t>
  </si>
  <si>
    <t>MMR015004</t>
  </si>
  <si>
    <t>Mongyai</t>
  </si>
  <si>
    <t>မိုင်းရယ်</t>
  </si>
  <si>
    <t>MMR015003</t>
  </si>
  <si>
    <t>လားရှိုး</t>
  </si>
  <si>
    <t>MMR015001</t>
  </si>
  <si>
    <t>Hopong</t>
  </si>
  <si>
    <t>ဟိုပုံး</t>
  </si>
  <si>
    <t>MMR014003</t>
  </si>
  <si>
    <t>တောင်ကြီး</t>
  </si>
  <si>
    <t>MMR014001</t>
  </si>
  <si>
    <t>Mongla</t>
  </si>
  <si>
    <t>မိုင်းလား</t>
  </si>
  <si>
    <t>MMR016005</t>
  </si>
  <si>
    <t>Kyethi</t>
  </si>
  <si>
    <t>ကျေးသီး</t>
  </si>
  <si>
    <t>MMR014015</t>
  </si>
  <si>
    <t>Monghsu</t>
  </si>
  <si>
    <t>မိုင်းရှူး</t>
  </si>
  <si>
    <t>MMR014017</t>
  </si>
  <si>
    <t>လွိုင်လင်</t>
  </si>
  <si>
    <t>MMR014011</t>
  </si>
  <si>
    <t>Namtu</t>
  </si>
  <si>
    <t>နမ္မတူ</t>
  </si>
  <si>
    <t>MMR015015</t>
  </si>
  <si>
    <t>Thingangyun</t>
  </si>
  <si>
    <t>သင်္ဃန်းကျွန်း</t>
  </si>
  <si>
    <t>MMR013009</t>
  </si>
  <si>
    <t>South Okkalapa</t>
  </si>
  <si>
    <t>တောင်ဥက္ကလာပ</t>
  </si>
  <si>
    <t>MMR013011</t>
  </si>
  <si>
    <t>Insein</t>
  </si>
  <si>
    <t>အင်းစိန်</t>
  </si>
  <si>
    <t>MMR013001</t>
  </si>
  <si>
    <t>Mingalartaungnyunt</t>
  </si>
  <si>
    <t>မင်္ဂလာတောင်ညွန့်</t>
  </si>
  <si>
    <t>MMR013022</t>
  </si>
  <si>
    <t>Kyonpyaw</t>
  </si>
  <si>
    <t>ကျုံပျော်</t>
  </si>
  <si>
    <t>MMR017005</t>
  </si>
  <si>
    <t>စစ်ကိုင်း</t>
  </si>
  <si>
    <t>MMR005001</t>
  </si>
  <si>
    <t>Pyigyitagon</t>
  </si>
  <si>
    <t>ပြည်ကြီးတံခွန်</t>
  </si>
  <si>
    <t>MMR010005</t>
  </si>
  <si>
    <t>Nyaungshwe</t>
  </si>
  <si>
    <t>ညောင်ရွှေ</t>
  </si>
  <si>
    <t>MMR014002</t>
  </si>
  <si>
    <t>Demoso</t>
  </si>
  <si>
    <t>ဒီးမော့ဆို</t>
  </si>
  <si>
    <t>MMR002002</t>
  </si>
  <si>
    <t>Minhla</t>
  </si>
  <si>
    <t>မင်းလှ</t>
  </si>
  <si>
    <t>MMR009013</t>
  </si>
  <si>
    <t>Nawngmun</t>
  </si>
  <si>
    <t>နောင်မွန်း</t>
  </si>
  <si>
    <t>MMR001017</t>
  </si>
  <si>
    <t>တောင်ငူ</t>
  </si>
  <si>
    <t>MMR007009</t>
  </si>
  <si>
    <t>Mogaung</t>
  </si>
  <si>
    <t>မိုးကောင်း</t>
  </si>
  <si>
    <t>MMR001008</t>
  </si>
  <si>
    <t>မိုးညှင်း</t>
  </si>
  <si>
    <t>MMR001007</t>
  </si>
  <si>
    <t>Nanyun</t>
  </si>
  <si>
    <t>နန်းယွန်း</t>
  </si>
  <si>
    <t>MMR005037</t>
  </si>
  <si>
    <t>ပြည်</t>
  </si>
  <si>
    <t>MMR008001</t>
  </si>
  <si>
    <t>Paungde</t>
  </si>
  <si>
    <t>ပေါင်းတည်</t>
  </si>
  <si>
    <t>MMR008004</t>
  </si>
  <si>
    <t>Okpho</t>
  </si>
  <si>
    <t>အုတ်ဖို</t>
  </si>
  <si>
    <t>MMR008010</t>
  </si>
  <si>
    <t>Cocokyun</t>
  </si>
  <si>
    <t>ကိုကိုးကျွန်း</t>
  </si>
  <si>
    <t>MMR013032</t>
  </si>
  <si>
    <t>Shwedaung</t>
  </si>
  <si>
    <t>ရွှေတောင်</t>
  </si>
  <si>
    <t>MMR008006</t>
  </si>
  <si>
    <t>Zalun</t>
  </si>
  <si>
    <t>ဇလွန်</t>
  </si>
  <si>
    <t>MMR017009</t>
  </si>
  <si>
    <t>မြဝတီ</t>
  </si>
  <si>
    <t>MMR003005</t>
  </si>
  <si>
    <t>Tonzang</t>
  </si>
  <si>
    <t>တွန်းဇန်</t>
  </si>
  <si>
    <t>MMR004005</t>
  </si>
  <si>
    <t>Pinlebu</t>
  </si>
  <si>
    <t>ပင်လည်ဘူး</t>
  </si>
  <si>
    <t>MMR005026</t>
  </si>
  <si>
    <t>ကသာ</t>
  </si>
  <si>
    <t>MMR005020</t>
  </si>
  <si>
    <t>တမူး</t>
  </si>
  <si>
    <t>MMR005030</t>
  </si>
  <si>
    <t>ဖလမ်း</t>
  </si>
  <si>
    <t>MMR004001</t>
  </si>
  <si>
    <t>Thantlang</t>
  </si>
  <si>
    <t>ထန်တလန်</t>
  </si>
  <si>
    <t>MMR004003</t>
  </si>
  <si>
    <t>Kani</t>
  </si>
  <si>
    <t>ကနီ</t>
  </si>
  <si>
    <t>MMR005017</t>
  </si>
  <si>
    <t>မတူပီ</t>
  </si>
  <si>
    <t>MMR004007</t>
  </si>
  <si>
    <t>သရက်</t>
  </si>
  <si>
    <t>MMR009012</t>
  </si>
  <si>
    <t>Myaung</t>
  </si>
  <si>
    <t>မြောင်</t>
  </si>
  <si>
    <t>MMR005003</t>
  </si>
  <si>
    <t>Myaing</t>
  </si>
  <si>
    <t>မြိုင်</t>
  </si>
  <si>
    <t>MMR009020</t>
  </si>
  <si>
    <t>Pauk</t>
  </si>
  <si>
    <t>ပေါက်</t>
  </si>
  <si>
    <t>MMR009021</t>
  </si>
  <si>
    <t>Lay Shi</t>
  </si>
  <si>
    <t>လေရှီး</t>
  </si>
  <si>
    <t>MMR005035</t>
  </si>
  <si>
    <t>Lahe</t>
  </si>
  <si>
    <t>လဟယ်</t>
  </si>
  <si>
    <t>MMR005036</t>
  </si>
  <si>
    <t>Khin-U</t>
  </si>
  <si>
    <t>ခင်ဦး</t>
  </si>
  <si>
    <t>MMR005005</t>
  </si>
  <si>
    <t>ဟားခါး</t>
  </si>
  <si>
    <t>MMR004002</t>
  </si>
  <si>
    <t>ဂန့်ဂေါ</t>
  </si>
  <si>
    <t>MMR009023</t>
  </si>
  <si>
    <t>Pyawbwe</t>
  </si>
  <si>
    <t>ပျော်ဘွယ်</t>
  </si>
  <si>
    <t>MMR010024</t>
  </si>
  <si>
    <t>Tedim</t>
  </si>
  <si>
    <t>တီးတိန်</t>
  </si>
  <si>
    <t>MMR004004</t>
  </si>
  <si>
    <t>ညောင်ဦး</t>
  </si>
  <si>
    <t>MMR010022</t>
  </si>
  <si>
    <t>Pwintbyu</t>
  </si>
  <si>
    <t>ပွင့်ဖြူ</t>
  </si>
  <si>
    <t>MMR009008</t>
  </si>
  <si>
    <t>မိတ္ထီလာ</t>
  </si>
  <si>
    <t>MMR010028</t>
  </si>
  <si>
    <t>ကောလင်း</t>
  </si>
  <si>
    <t>MMR005024</t>
  </si>
  <si>
    <t>Mahlaing</t>
  </si>
  <si>
    <t>မလှိုင်</t>
  </si>
  <si>
    <t>MMR010029</t>
  </si>
  <si>
    <t>Taungtha</t>
  </si>
  <si>
    <t>တောင်သာ</t>
  </si>
  <si>
    <t>MMR010018</t>
  </si>
  <si>
    <t>Momauk</t>
  </si>
  <si>
    <t>မိုးမောက်</t>
  </si>
  <si>
    <t>MMR001012</t>
  </si>
  <si>
    <t>Chipwi</t>
  </si>
  <si>
    <t>ချီ​ဖွေ</t>
  </si>
  <si>
    <t>MMR001005</t>
  </si>
  <si>
    <t>Konkyan</t>
  </si>
  <si>
    <t>ကုန်းကြမ်း</t>
  </si>
  <si>
    <t>MMR015023</t>
  </si>
  <si>
    <t>Waingmaw</t>
  </si>
  <si>
    <t>ဝိုင်းမော်</t>
  </si>
  <si>
    <t>MMR001002</t>
  </si>
  <si>
    <t>Tsawlaw</t>
  </si>
  <si>
    <t>ဆော့လော်</t>
  </si>
  <si>
    <t>MMR001006</t>
  </si>
  <si>
    <t>ဗန်းမော်</t>
  </si>
  <si>
    <t>MMR001010</t>
  </si>
  <si>
    <t>Namhkan</t>
  </si>
  <si>
    <t>နမ့်ခမ်း</t>
  </si>
  <si>
    <t>MMR015010</t>
  </si>
  <si>
    <t>Kutkai</t>
  </si>
  <si>
    <t>ကွတ်ခိုင်</t>
  </si>
  <si>
    <t>MMR015011</t>
  </si>
  <si>
    <t>Mabein</t>
  </si>
  <si>
    <t>မဘိမ်း</t>
  </si>
  <si>
    <t>MMR015018</t>
  </si>
  <si>
    <t>Hpakant</t>
  </si>
  <si>
    <t>ဖားကန့်</t>
  </si>
  <si>
    <t>MMR001009</t>
  </si>
  <si>
    <t>Phyu</t>
  </si>
  <si>
    <t>ဖြူး</t>
  </si>
  <si>
    <t>MMR007012</t>
  </si>
  <si>
    <t>Shwegu</t>
  </si>
  <si>
    <t>ရွှေကူ</t>
  </si>
  <si>
    <t>MMR001011</t>
  </si>
  <si>
    <t>Ywangan</t>
  </si>
  <si>
    <t>ရွာငံ</t>
  </si>
  <si>
    <t>MMR014007</t>
  </si>
  <si>
    <t>Oktwin</t>
  </si>
  <si>
    <t>အုတ်တွင်း</t>
  </si>
  <si>
    <t>MMR007013</t>
  </si>
  <si>
    <t>Kyaukkyi</t>
  </si>
  <si>
    <t>ကျောက်ကြီး</t>
  </si>
  <si>
    <t>MMR007011</t>
  </si>
  <si>
    <t>MMR007014</t>
  </si>
  <si>
    <t>Hpasawng</t>
  </si>
  <si>
    <t>ဖားဆောင်း</t>
  </si>
  <si>
    <t>MMR002006</t>
  </si>
  <si>
    <t>Hpruso</t>
  </si>
  <si>
    <t>ဖရူဆို</t>
  </si>
  <si>
    <t>MMR002003</t>
  </si>
  <si>
    <t>Myittha</t>
  </si>
  <si>
    <t>မြစ်သား</t>
  </si>
  <si>
    <t>MMR010015</t>
  </si>
  <si>
    <t>MMR008009</t>
  </si>
  <si>
    <t>Gyobingauk</t>
  </si>
  <si>
    <t>ကြို့ပင်ကောက်</t>
  </si>
  <si>
    <t>MMR008014</t>
  </si>
  <si>
    <t>သာယာဝတီ</t>
  </si>
  <si>
    <t>MMR008007</t>
  </si>
  <si>
    <t>Zigon</t>
  </si>
  <si>
    <t>ဇီးကုန်း</t>
  </si>
  <si>
    <t>MMR008011</t>
  </si>
  <si>
    <t>Natmauk</t>
  </si>
  <si>
    <t>နတ်မောက်</t>
  </si>
  <si>
    <t>MMR009006</t>
  </si>
  <si>
    <t>Pale</t>
  </si>
  <si>
    <t>ပုလဲ</t>
  </si>
  <si>
    <t>MMR005019</t>
  </si>
  <si>
    <t>မြင်းခြံ</t>
  </si>
  <si>
    <t>MMR010017</t>
  </si>
  <si>
    <t>Natogyi</t>
  </si>
  <si>
    <t>နွားထိုးကြီး</t>
  </si>
  <si>
    <t>MMR010019</t>
  </si>
  <si>
    <t>Singu</t>
  </si>
  <si>
    <t>စဉ့်ကူး</t>
  </si>
  <si>
    <t>MMR010010</t>
  </si>
  <si>
    <t>မော်လိုက်</t>
  </si>
  <si>
    <t>MMR005031</t>
  </si>
  <si>
    <t>Kalewa</t>
  </si>
  <si>
    <t>ကလေးဝ</t>
  </si>
  <si>
    <t>MMR005028</t>
  </si>
  <si>
    <t>Indaw</t>
  </si>
  <si>
    <t>အင်းတော်</t>
  </si>
  <si>
    <t>MMR005021</t>
  </si>
  <si>
    <t>Saw</t>
  </si>
  <si>
    <t>ဆော</t>
  </si>
  <si>
    <t>MMR009025</t>
  </si>
  <si>
    <t>Kyunhla</t>
  </si>
  <si>
    <t>ကျွန်းလှ</t>
  </si>
  <si>
    <t>MMR005008</t>
  </si>
  <si>
    <t>Paungbyin</t>
  </si>
  <si>
    <t>ဖောင်းပြင်</t>
  </si>
  <si>
    <t>MMR005032</t>
  </si>
  <si>
    <t>Mingin</t>
  </si>
  <si>
    <t>မင်းကင်း</t>
  </si>
  <si>
    <t>MMR005029</t>
  </si>
  <si>
    <t>Tilin</t>
  </si>
  <si>
    <t>ထီးလင်း</t>
  </si>
  <si>
    <t>MMR009024</t>
  </si>
  <si>
    <t>မင်းတပ်</t>
  </si>
  <si>
    <t>MMR004006</t>
  </si>
  <si>
    <t>Ngazun</t>
  </si>
  <si>
    <t>ငါန်းဇွန်</t>
  </si>
  <si>
    <t>MMR010021</t>
  </si>
  <si>
    <t>Homalin</t>
  </si>
  <si>
    <t>ဟုမ္မလင်း</t>
  </si>
  <si>
    <t>MMR005034</t>
  </si>
  <si>
    <t>Banmauk</t>
  </si>
  <si>
    <t>ဗန်းမောက်</t>
  </si>
  <si>
    <t>MMR005023</t>
  </si>
  <si>
    <t>မကွေး</t>
  </si>
  <si>
    <t>MMR009001</t>
  </si>
  <si>
    <t>Myothit</t>
  </si>
  <si>
    <t>မြို့သစ်</t>
  </si>
  <si>
    <t>MMR009005</t>
  </si>
  <si>
    <t>Taze</t>
  </si>
  <si>
    <t>တန့်ဆည်</t>
  </si>
  <si>
    <t>MMR005011</t>
  </si>
  <si>
    <t>Kyaukpadaung</t>
  </si>
  <si>
    <t>ကျောက်ပန်းတောင်း</t>
  </si>
  <si>
    <t>MMR010020</t>
  </si>
  <si>
    <t>Wundwin</t>
  </si>
  <si>
    <t>ဝမ်းတွင်း</t>
  </si>
  <si>
    <t>MMR010031</t>
  </si>
  <si>
    <t>မင်းဘူး</t>
  </si>
  <si>
    <t>MMR009007</t>
  </si>
  <si>
    <t>ကလေး</t>
  </si>
  <si>
    <t>MMR005027</t>
  </si>
  <si>
    <t>Seikphyu</t>
  </si>
  <si>
    <t>ဆိပ်ဖြူ</t>
  </si>
  <si>
    <t>MMR009022</t>
  </si>
  <si>
    <t>Laihka</t>
  </si>
  <si>
    <t>လဲချား</t>
  </si>
  <si>
    <t>MMR014012</t>
  </si>
  <si>
    <t>Mongkaing</t>
  </si>
  <si>
    <t>မိုင်းကိုင်</t>
  </si>
  <si>
    <t>MMR014016</t>
  </si>
  <si>
    <t>Hseni</t>
  </si>
  <si>
    <t>သိန္နီ</t>
  </si>
  <si>
    <t>MMR015002</t>
  </si>
  <si>
    <t>Kunlong</t>
  </si>
  <si>
    <t>ကွမ်းလုံ</t>
  </si>
  <si>
    <t>MMR015020</t>
  </si>
  <si>
    <t>မူဆယ်</t>
  </si>
  <si>
    <t>MMR015009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</si>
</sst>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6"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4"/>
      <name val="Calibri (Body)"/>
    </font>
    <font>
      <sz val="12"/>
      <color theme="9" tint="-0.499984740745262"/>
      <name val="Calibri (Body)"/>
    </font>
    <font>
      <b/>
      <sz val="12"/>
      <color theme="9" tint="-0.499984740745262"/>
      <name val="Calibri (Body)"/>
    </font>
    <font>
      <sz val="11"/>
      <color theme="9" tint="-0.499984740745262"/>
      <name val="Calibri (Body)"/>
    </font>
    <font>
      <sz val="12"/>
      <name val="Calibri (Body)"/>
    </font>
    <font>
      <sz val="12"/>
      <name val="Calibri"/>
      <family val="2"/>
    </font>
    <font>
      <sz val="11"/>
      <name val="Calibri (Body)"/>
    </font>
    <font>
      <b/>
      <sz val="12"/>
      <name val="Calibri (Body)"/>
    </font>
    <font>
      <sz val="14"/>
      <name val="Calibri"/>
      <family val="2"/>
      <scheme val="minor"/>
    </font>
    <font>
      <strike/>
      <sz val="12"/>
      <color rgb="FFFF0000"/>
      <name val="Calibri"/>
      <family val="2"/>
      <scheme val="minor"/>
    </font>
    <font>
      <b/>
      <sz val="14"/>
      <color rgb="FF0070C0"/>
      <name val="Calibri"/>
      <family val="2"/>
      <scheme val="minor"/>
    </font>
    <font>
      <sz val="14"/>
      <name val="Calibri"/>
      <family val="2"/>
    </font>
    <font>
      <b/>
      <sz val="14"/>
      <color theme="1"/>
      <name val="Calibri"/>
      <family val="2"/>
      <scheme val="minor"/>
    </font>
    <font>
      <sz val="14"/>
      <color theme="1"/>
      <name val="Calibri"/>
      <family val="2"/>
      <scheme val="minor"/>
    </font>
    <font>
      <b/>
      <u/>
      <sz val="12"/>
      <color rgb="FF008080"/>
      <name val="Calibri"/>
      <family val="2"/>
      <scheme val="minor"/>
    </font>
    <font>
      <u/>
      <sz val="14"/>
      <color rgb="FF008080"/>
      <name val="Calibri"/>
      <family val="2"/>
      <scheme val="minor"/>
    </font>
    <font>
      <u/>
      <sz val="12"/>
      <color rgb="FF008080"/>
      <name val="Calibri"/>
      <family val="2"/>
      <scheme val="minor"/>
    </font>
    <font>
      <b/>
      <sz val="14"/>
      <color rgb="FFFF0000"/>
      <name val="Calibri"/>
      <family val="2"/>
      <scheme val="minor"/>
    </font>
    <font>
      <sz val="12"/>
      <color rgb="FFFF0000"/>
      <name val="Calibri (Body)"/>
    </font>
    <font>
      <strike/>
      <sz val="12"/>
      <name val="Calibri"/>
      <family val="2"/>
      <scheme val="minor"/>
    </font>
    <font>
      <b/>
      <strike/>
      <sz val="12"/>
      <name val="Calibri"/>
      <family val="2"/>
      <scheme val="minor"/>
    </font>
    <font>
      <strike/>
      <sz val="11"/>
      <name val="Calibri"/>
      <family val="2"/>
    </font>
    <font>
      <sz val="14"/>
      <color rgb="FFFF0000"/>
      <name val="Calibri"/>
      <family val="2"/>
      <scheme val="minor"/>
    </font>
    <font>
      <b/>
      <sz val="12"/>
      <color rgb="FFFF0000"/>
      <name val="Calibri"/>
      <family val="2"/>
      <scheme val="minor"/>
    </font>
    <font>
      <sz val="14"/>
      <name val="Calibri"/>
      <family val="2"/>
      <scheme val="minor"/>
    </font>
    <font>
      <sz val="12"/>
      <color rgb="FFFF0000"/>
      <name val="Myanmar Text"/>
      <family val="2"/>
    </font>
    <font>
      <sz val="11"/>
      <color rgb="FF000000"/>
      <name val="Calibri"/>
      <family val="2"/>
      <scheme val="minor"/>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rgb="FFA5A5A5"/>
      </patternFill>
    </fill>
    <fill>
      <patternFill patternType="solid">
        <fgColor rgb="FFF6DFDC"/>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s>
  <borders count="7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theme="1"/>
      </left>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bottom/>
      <diagonal/>
    </border>
  </borders>
  <cellStyleXfs count="32">
    <xf numFmtId="0" fontId="0"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6" borderId="18"/>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3" fillId="0" borderId="0"/>
    <xf numFmtId="0" fontId="3" fillId="0" borderId="0"/>
    <xf numFmtId="9"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24">
    <xf numFmtId="0" fontId="0" fillId="0" borderId="0" xfId="0"/>
    <xf numFmtId="0" fontId="0" fillId="0" borderId="19" xfId="0" applyBorder="1"/>
    <xf numFmtId="0" fontId="6" fillId="0" borderId="19" xfId="0" applyFont="1" applyBorder="1" applyAlignment="1">
      <alignment horizontal="center" vertical="center"/>
    </xf>
    <xf numFmtId="0" fontId="0" fillId="0" borderId="20" xfId="0" applyBorder="1"/>
    <xf numFmtId="0" fontId="6" fillId="0" borderId="22" xfId="0" applyFont="1" applyBorder="1" applyAlignment="1">
      <alignment horizontal="center" vertical="center"/>
    </xf>
    <xf numFmtId="0" fontId="0" fillId="0" borderId="22" xfId="0" applyBorder="1"/>
    <xf numFmtId="0" fontId="6" fillId="0" borderId="23" xfId="0" applyFont="1" applyBorder="1" applyAlignment="1">
      <alignment horizontal="center" vertical="center"/>
    </xf>
    <xf numFmtId="0" fontId="0" fillId="0" borderId="23" xfId="0" applyBorder="1"/>
    <xf numFmtId="0" fontId="7" fillId="0" borderId="32" xfId="3" applyFont="1" applyBorder="1" applyAlignment="1" applyProtection="1">
      <alignment horizontal="left" vertical="center" wrapText="1"/>
      <protection locked="0"/>
    </xf>
    <xf numFmtId="0" fontId="7" fillId="0" borderId="33" xfId="3" applyFont="1" applyBorder="1" applyAlignment="1" applyProtection="1">
      <alignment horizontal="left" vertical="center" wrapText="1"/>
      <protection locked="0"/>
    </xf>
    <xf numFmtId="0" fontId="7" fillId="0" borderId="7" xfId="2" applyFont="1" applyBorder="1" applyAlignment="1" applyProtection="1">
      <alignment horizontal="center" vertical="center"/>
      <protection locked="0"/>
    </xf>
    <xf numFmtId="0" fontId="7" fillId="0" borderId="15" xfId="3" applyFont="1" applyBorder="1" applyAlignment="1" applyProtection="1">
      <alignment horizontal="center" vertical="center" wrapText="1"/>
      <protection locked="0"/>
    </xf>
    <xf numFmtId="0" fontId="7" fillId="0" borderId="12" xfId="3" applyFont="1" applyBorder="1" applyAlignment="1" applyProtection="1">
      <alignment horizontal="left" vertical="center" wrapText="1"/>
      <protection locked="0"/>
    </xf>
    <xf numFmtId="0" fontId="7" fillId="0" borderId="15" xfId="3" applyFont="1" applyBorder="1" applyAlignment="1" applyProtection="1">
      <alignment horizontal="left" vertical="center" wrapText="1"/>
      <protection locked="0"/>
    </xf>
    <xf numFmtId="0" fontId="7" fillId="0" borderId="13" xfId="3" applyFont="1" applyBorder="1" applyAlignment="1" applyProtection="1">
      <alignment horizontal="left" vertical="center" wrapText="1"/>
      <protection locked="0"/>
    </xf>
    <xf numFmtId="0" fontId="7" fillId="0" borderId="14" xfId="2" applyFont="1" applyBorder="1" applyAlignment="1" applyProtection="1">
      <alignment horizontal="center" vertical="center" wrapText="1"/>
      <protection locked="0"/>
    </xf>
    <xf numFmtId="0" fontId="7" fillId="0" borderId="25" xfId="3" applyFont="1" applyBorder="1" applyAlignment="1" applyProtection="1">
      <alignment horizontal="left" vertical="center" wrapText="1"/>
      <protection locked="0"/>
    </xf>
    <xf numFmtId="0" fontId="7" fillId="0" borderId="6" xfId="2" applyFont="1" applyBorder="1" applyAlignment="1" applyProtection="1">
      <alignment horizontal="center" vertical="center"/>
      <protection locked="0"/>
    </xf>
    <xf numFmtId="0" fontId="7" fillId="0" borderId="5" xfId="2" applyFont="1" applyBorder="1" applyAlignment="1" applyProtection="1">
      <alignment horizontal="center" vertical="center"/>
      <protection locked="0"/>
    </xf>
    <xf numFmtId="0" fontId="2" fillId="0" borderId="19" xfId="10" applyFont="1" applyBorder="1"/>
    <xf numFmtId="0" fontId="15" fillId="0" borderId="4" xfId="10" applyFont="1" applyBorder="1" applyAlignment="1">
      <alignment horizontal="center"/>
    </xf>
    <xf numFmtId="0" fontId="15" fillId="0" borderId="3" xfId="10" applyFont="1" applyBorder="1" applyAlignment="1">
      <alignment horizontal="center"/>
    </xf>
    <xf numFmtId="0" fontId="15" fillId="0" borderId="30" xfId="10" applyFont="1" applyBorder="1" applyAlignment="1">
      <alignment horizontal="center"/>
    </xf>
    <xf numFmtId="0" fontId="16" fillId="0" borderId="40" xfId="10" applyFont="1" applyBorder="1" applyAlignment="1">
      <alignment vertical="center"/>
    </xf>
    <xf numFmtId="0" fontId="16" fillId="0" borderId="43" xfId="10" applyFont="1" applyBorder="1" applyAlignment="1">
      <alignment horizontal="center" vertical="center" wrapText="1"/>
    </xf>
    <xf numFmtId="0" fontId="16" fillId="0" borderId="7" xfId="10" applyFont="1" applyBorder="1" applyAlignment="1">
      <alignment vertical="center"/>
    </xf>
    <xf numFmtId="0" fontId="16" fillId="0" borderId="37" xfId="10" applyFont="1" applyBorder="1" applyAlignment="1">
      <alignment horizontal="center" vertical="center" wrapText="1"/>
    </xf>
    <xf numFmtId="0" fontId="17" fillId="0" borderId="37" xfId="10" applyFont="1" applyBorder="1" applyAlignment="1">
      <alignment horizontal="center" vertical="center" wrapText="1"/>
    </xf>
    <xf numFmtId="0" fontId="17" fillId="0" borderId="44" xfId="10" applyFont="1" applyBorder="1" applyAlignment="1">
      <alignment horizontal="center" vertical="center" wrapText="1"/>
    </xf>
    <xf numFmtId="0" fontId="16" fillId="0" borderId="6" xfId="10" applyFont="1" applyBorder="1" applyAlignment="1">
      <alignment vertical="center"/>
    </xf>
    <xf numFmtId="0" fontId="16" fillId="0" borderId="56" xfId="10" applyFont="1" applyBorder="1" applyAlignment="1">
      <alignment horizontal="center" vertical="center" wrapText="1"/>
    </xf>
    <xf numFmtId="0" fontId="18" fillId="0" borderId="7" xfId="10" applyFont="1" applyBorder="1" applyAlignment="1">
      <alignment vertical="center"/>
    </xf>
    <xf numFmtId="0" fontId="18" fillId="0" borderId="8" xfId="10" applyFont="1" applyBorder="1" applyAlignment="1">
      <alignment vertical="center"/>
    </xf>
    <xf numFmtId="0" fontId="16" fillId="0" borderId="53" xfId="10" applyFont="1" applyBorder="1" applyAlignment="1">
      <alignment vertical="center"/>
    </xf>
    <xf numFmtId="0" fontId="17" fillId="0" borderId="49" xfId="10" applyFont="1" applyBorder="1" applyAlignment="1">
      <alignment horizontal="center" vertical="center" wrapText="1"/>
    </xf>
    <xf numFmtId="0" fontId="18" fillId="0" borderId="6" xfId="10" applyFont="1" applyBorder="1" applyAlignment="1">
      <alignment horizontal="left" vertical="center" wrapText="1"/>
    </xf>
    <xf numFmtId="9" fontId="17" fillId="0" borderId="45" xfId="11" applyFont="1" applyBorder="1" applyAlignment="1">
      <alignment horizontal="center" vertical="center" wrapText="1"/>
    </xf>
    <xf numFmtId="0" fontId="18" fillId="0" borderId="7" xfId="10" applyFont="1" applyBorder="1" applyAlignment="1">
      <alignment horizontal="left" vertical="center" wrapText="1"/>
    </xf>
    <xf numFmtId="9" fontId="17" fillId="0" borderId="39" xfId="11" applyFont="1" applyBorder="1" applyAlignment="1">
      <alignment horizontal="center" vertical="center" wrapText="1"/>
    </xf>
    <xf numFmtId="0" fontId="18" fillId="0" borderId="8" xfId="10" applyFont="1" applyBorder="1" applyAlignment="1">
      <alignment horizontal="left" vertical="center" wrapText="1"/>
    </xf>
    <xf numFmtId="9" fontId="17" fillId="0" borderId="44" xfId="11" applyFont="1" applyBorder="1" applyAlignment="1">
      <alignment horizontal="center" vertical="center" wrapText="1"/>
    </xf>
    <xf numFmtId="0" fontId="15" fillId="0" borderId="36" xfId="10" applyFont="1" applyBorder="1" applyAlignment="1">
      <alignment horizontal="left" vertical="center"/>
    </xf>
    <xf numFmtId="0" fontId="16" fillId="0" borderId="42" xfId="10" applyFont="1" applyBorder="1" applyAlignment="1">
      <alignment horizontal="left" vertical="center" wrapText="1"/>
    </xf>
    <xf numFmtId="0" fontId="16" fillId="0" borderId="38" xfId="10" applyFont="1" applyBorder="1" applyAlignment="1">
      <alignment horizontal="left" vertical="center" wrapText="1"/>
    </xf>
    <xf numFmtId="0" fontId="17" fillId="0" borderId="38" xfId="10" applyFont="1" applyBorder="1" applyAlignment="1">
      <alignment horizontal="left" vertical="center" wrapText="1"/>
    </xf>
    <xf numFmtId="0" fontId="17" fillId="0" borderId="54" xfId="10" applyFont="1" applyBorder="1" applyAlignment="1">
      <alignment horizontal="left" vertical="center" wrapText="1"/>
    </xf>
    <xf numFmtId="0" fontId="16" fillId="0" borderId="55" xfId="10" applyFont="1" applyBorder="1" applyAlignment="1">
      <alignment horizontal="left" vertical="center" wrapText="1"/>
    </xf>
    <xf numFmtId="0" fontId="17" fillId="0" borderId="51" xfId="10" applyFont="1" applyBorder="1" applyAlignment="1">
      <alignment horizontal="left" vertical="center" wrapText="1"/>
    </xf>
    <xf numFmtId="0" fontId="19" fillId="0" borderId="2" xfId="10" applyFont="1" applyBorder="1" applyAlignment="1">
      <alignment horizontal="left" vertical="center" wrapText="1"/>
    </xf>
    <xf numFmtId="0" fontId="19" fillId="0" borderId="9" xfId="10" applyFont="1" applyBorder="1" applyAlignment="1">
      <alignment horizontal="left" vertical="center" wrapText="1"/>
    </xf>
    <xf numFmtId="0" fontId="2" fillId="0" borderId="19" xfId="10" applyFont="1" applyBorder="1" applyAlignment="1">
      <alignment horizontal="left" vertical="center"/>
    </xf>
    <xf numFmtId="4" fontId="17" fillId="0" borderId="37" xfId="10" applyNumberFormat="1" applyFont="1" applyBorder="1" applyAlignment="1">
      <alignment horizontal="center" vertical="center" wrapText="1"/>
    </xf>
    <xf numFmtId="0" fontId="17" fillId="4" borderId="0" xfId="10" applyFont="1" applyFill="1" applyAlignment="1">
      <alignment wrapText="1"/>
    </xf>
    <xf numFmtId="0" fontId="7" fillId="0" borderId="17" xfId="3" applyFont="1" applyBorder="1" applyAlignment="1" applyProtection="1">
      <alignment horizontal="center" vertical="center" wrapText="1"/>
      <protection locked="0"/>
    </xf>
    <xf numFmtId="0" fontId="7" fillId="0" borderId="14" xfId="2" applyFont="1" applyBorder="1" applyAlignment="1">
      <alignment horizontal="center" vertical="center" wrapText="1"/>
    </xf>
    <xf numFmtId="0" fontId="7" fillId="0" borderId="14" xfId="2" applyFont="1" applyBorder="1" applyAlignment="1">
      <alignment horizontal="left" vertical="center" wrapText="1"/>
    </xf>
    <xf numFmtId="0" fontId="7" fillId="0" borderId="3" xfId="2" applyFont="1" applyBorder="1" applyAlignment="1">
      <alignment horizontal="center" vertical="center" wrapText="1"/>
    </xf>
    <xf numFmtId="0" fontId="7" fillId="0" borderId="3" xfId="3" applyFont="1" applyBorder="1" applyAlignment="1">
      <alignment horizontal="left" vertical="center" wrapText="1"/>
    </xf>
    <xf numFmtId="0" fontId="7" fillId="0" borderId="3" xfId="0" applyFont="1" applyBorder="1" applyAlignment="1">
      <alignment horizontal="center" vertical="center" wrapText="1"/>
    </xf>
    <xf numFmtId="0" fontId="7" fillId="0" borderId="1" xfId="2" applyFont="1" applyBorder="1" applyAlignment="1">
      <alignment horizontal="center" vertical="center" wrapText="1"/>
    </xf>
    <xf numFmtId="0" fontId="26" fillId="0" borderId="0" xfId="0" applyFont="1" applyProtection="1">
      <protection locked="0"/>
    </xf>
    <xf numFmtId="0" fontId="27" fillId="0" borderId="0" xfId="3"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7" fillId="0" borderId="15" xfId="3" applyFont="1" applyBorder="1" applyAlignment="1">
      <alignment horizontal="left" vertical="center" wrapText="1"/>
    </xf>
    <xf numFmtId="0" fontId="7" fillId="0" borderId="2" xfId="2" applyFont="1" applyBorder="1" applyAlignment="1">
      <alignment horizontal="center" vertical="center" wrapText="1"/>
    </xf>
    <xf numFmtId="0" fontId="7" fillId="0" borderId="2" xfId="3" applyFont="1" applyBorder="1" applyAlignment="1">
      <alignment horizontal="left" vertical="center" wrapText="1"/>
    </xf>
    <xf numFmtId="0" fontId="7" fillId="0" borderId="2" xfId="0" applyFont="1" applyBorder="1" applyAlignment="1">
      <alignment horizontal="center" vertical="center" wrapText="1"/>
    </xf>
    <xf numFmtId="0" fontId="7" fillId="0" borderId="0" xfId="3" applyFont="1" applyProtection="1">
      <protection locked="0"/>
    </xf>
    <xf numFmtId="0" fontId="7" fillId="0" borderId="0" xfId="0" applyFont="1" applyProtection="1">
      <protection locked="0"/>
    </xf>
    <xf numFmtId="0" fontId="9" fillId="0" borderId="0" xfId="3" applyFont="1" applyAlignment="1" applyProtection="1">
      <alignment horizontal="center" vertical="center"/>
      <protection locked="0"/>
    </xf>
    <xf numFmtId="0" fontId="7" fillId="0" borderId="15" xfId="0" applyFont="1" applyBorder="1" applyAlignment="1">
      <alignment horizontal="left" vertical="center" wrapText="1"/>
    </xf>
    <xf numFmtId="0" fontId="7" fillId="0" borderId="12" xfId="3" applyFont="1" applyBorder="1" applyAlignment="1">
      <alignment horizontal="left" vertical="center" wrapText="1"/>
    </xf>
    <xf numFmtId="0" fontId="7" fillId="0" borderId="2" xfId="3" applyFont="1" applyBorder="1" applyAlignment="1">
      <alignment horizontal="center" vertical="center" wrapText="1"/>
    </xf>
    <xf numFmtId="0" fontId="7" fillId="0" borderId="17" xfId="3" applyFont="1" applyBorder="1" applyAlignment="1">
      <alignment horizontal="left" vertical="center" wrapText="1"/>
    </xf>
    <xf numFmtId="0" fontId="3" fillId="0" borderId="0" xfId="0" applyFont="1" applyProtection="1">
      <protection locked="0"/>
    </xf>
    <xf numFmtId="0" fontId="7" fillId="0" borderId="15" xfId="0" applyFont="1" applyBorder="1" applyAlignment="1" applyProtection="1">
      <alignment horizontal="left" vertical="center" wrapText="1"/>
      <protection locked="0"/>
    </xf>
    <xf numFmtId="0" fontId="9" fillId="0" borderId="0" xfId="0" applyFont="1" applyAlignment="1" applyProtection="1">
      <alignment horizontal="center" vertical="center"/>
      <protection locked="0"/>
    </xf>
    <xf numFmtId="0" fontId="7" fillId="0" borderId="15" xfId="3" applyFont="1" applyBorder="1" applyAlignment="1">
      <alignment horizontal="center" vertical="center" wrapText="1"/>
    </xf>
    <xf numFmtId="0" fontId="9" fillId="3" borderId="13" xfId="2" applyFont="1" applyFill="1" applyBorder="1" applyAlignment="1">
      <alignment horizontal="center" vertical="center" wrapText="1"/>
    </xf>
    <xf numFmtId="0" fontId="9" fillId="0" borderId="13" xfId="2" applyFont="1" applyBorder="1" applyAlignment="1">
      <alignment horizontal="center" vertical="center" wrapText="1"/>
    </xf>
    <xf numFmtId="0" fontId="9" fillId="0" borderId="1" xfId="2" applyFont="1" applyBorder="1" applyAlignment="1">
      <alignment horizontal="center" vertical="center" wrapText="1"/>
    </xf>
    <xf numFmtId="0" fontId="9" fillId="4" borderId="1" xfId="2" applyFont="1" applyFill="1" applyBorder="1" applyAlignment="1">
      <alignment horizontal="center" vertical="center" wrapText="1"/>
    </xf>
    <xf numFmtId="0" fontId="9" fillId="3" borderId="1" xfId="2" applyFont="1" applyFill="1" applyBorder="1" applyAlignment="1">
      <alignment horizontal="center" vertical="center" wrapText="1"/>
    </xf>
    <xf numFmtId="0" fontId="9" fillId="0" borderId="5" xfId="2" applyFont="1" applyBorder="1" applyAlignment="1">
      <alignment horizontal="center" vertical="center"/>
    </xf>
    <xf numFmtId="0" fontId="7" fillId="0" borderId="0" xfId="0" applyFont="1" applyAlignment="1" applyProtection="1">
      <alignment wrapText="1"/>
      <protection locked="0"/>
    </xf>
    <xf numFmtId="0" fontId="7" fillId="0" borderId="0" xfId="0" applyFont="1" applyAlignment="1" applyProtection="1">
      <alignment horizontal="center"/>
      <protection locked="0"/>
    </xf>
    <xf numFmtId="0" fontId="9" fillId="0" borderId="0" xfId="0" applyFont="1" applyProtection="1">
      <protection locked="0"/>
    </xf>
    <xf numFmtId="0" fontId="9" fillId="0" borderId="29" xfId="0" applyFont="1" applyBorder="1" applyProtection="1">
      <protection locked="0"/>
    </xf>
    <xf numFmtId="0" fontId="9" fillId="0" borderId="28" xfId="0" applyFont="1" applyBorder="1" applyAlignment="1" applyProtection="1">
      <alignment wrapText="1"/>
      <protection locked="0"/>
    </xf>
    <xf numFmtId="0" fontId="9" fillId="0" borderId="3" xfId="14" applyFont="1" applyBorder="1" applyAlignment="1">
      <alignment horizontal="center" vertical="center" wrapText="1"/>
    </xf>
    <xf numFmtId="0" fontId="7" fillId="0" borderId="0" xfId="3" applyFont="1" applyAlignment="1" applyProtection="1">
      <alignment wrapText="1"/>
      <protection locked="0"/>
    </xf>
    <xf numFmtId="0" fontId="9" fillId="0" borderId="2" xfId="14" applyFont="1" applyBorder="1" applyAlignment="1">
      <alignment horizontal="center" vertical="center" wrapText="1"/>
    </xf>
    <xf numFmtId="0" fontId="10" fillId="0" borderId="0" xfId="3" applyFont="1" applyProtection="1">
      <protection locked="0"/>
    </xf>
    <xf numFmtId="0" fontId="9" fillId="0" borderId="0" xfId="0" applyFont="1" applyAlignment="1" applyProtection="1">
      <alignment horizontal="center" vertical="center" wrapText="1"/>
      <protection locked="0"/>
    </xf>
    <xf numFmtId="0" fontId="7" fillId="0" borderId="26" xfId="3" applyFont="1" applyBorder="1" applyAlignment="1" applyProtection="1">
      <alignment horizontal="center" vertical="center" wrapText="1"/>
      <protection locked="0"/>
    </xf>
    <xf numFmtId="0" fontId="7" fillId="0" borderId="17" xfId="3" applyFont="1" applyBorder="1" applyAlignment="1">
      <alignment horizontal="center" vertical="center" wrapText="1"/>
    </xf>
    <xf numFmtId="0" fontId="26" fillId="0" borderId="33" xfId="3" applyFont="1" applyBorder="1" applyAlignment="1" applyProtection="1">
      <alignment horizontal="left" vertical="center" wrapText="1"/>
      <protection locked="0"/>
    </xf>
    <xf numFmtId="0" fontId="26" fillId="0" borderId="15" xfId="3" applyFont="1" applyBorder="1" applyAlignment="1" applyProtection="1">
      <alignment horizontal="left" vertical="center" wrapText="1"/>
      <protection locked="0"/>
    </xf>
    <xf numFmtId="0" fontId="28" fillId="0" borderId="12" xfId="3" applyFont="1" applyBorder="1" applyAlignment="1" applyProtection="1">
      <alignment horizontal="left" vertical="center" wrapText="1"/>
      <protection locked="0"/>
    </xf>
    <xf numFmtId="0" fontId="28" fillId="0" borderId="2" xfId="2" applyFont="1" applyBorder="1" applyAlignment="1" applyProtection="1">
      <alignment horizontal="center" vertical="center" wrapText="1"/>
      <protection locked="0"/>
    </xf>
    <xf numFmtId="49" fontId="28" fillId="0" borderId="58" xfId="0" applyNumberFormat="1" applyFont="1" applyBorder="1" applyAlignment="1" applyProtection="1">
      <alignment horizontal="left" vertical="center" wrapText="1"/>
      <protection locked="0"/>
    </xf>
    <xf numFmtId="0" fontId="28" fillId="0" borderId="2" xfId="0" applyFont="1" applyBorder="1" applyAlignment="1" applyProtection="1">
      <alignment horizontal="center" vertical="center" wrapText="1"/>
      <protection locked="0"/>
    </xf>
    <xf numFmtId="0" fontId="27" fillId="0" borderId="2" xfId="0" applyFont="1" applyBorder="1" applyAlignment="1" applyProtection="1">
      <alignment horizontal="center" vertical="center" wrapText="1"/>
      <protection locked="0"/>
    </xf>
    <xf numFmtId="0" fontId="26" fillId="0" borderId="5" xfId="2" applyFont="1" applyBorder="1" applyAlignment="1" applyProtection="1">
      <alignment horizontal="center" vertical="center"/>
      <protection locked="0"/>
    </xf>
    <xf numFmtId="9" fontId="17" fillId="0" borderId="0" xfId="11" applyFont="1" applyAlignment="1">
      <alignment horizontal="center" vertical="center"/>
    </xf>
    <xf numFmtId="0" fontId="21" fillId="3" borderId="3" xfId="2" applyFont="1" applyFill="1" applyBorder="1" applyAlignment="1">
      <alignment horizontal="center" vertical="center" wrapText="1"/>
    </xf>
    <xf numFmtId="0" fontId="21" fillId="3" borderId="30" xfId="2" applyFont="1" applyFill="1" applyBorder="1" applyAlignment="1">
      <alignment horizontal="center" vertical="center" wrapText="1"/>
    </xf>
    <xf numFmtId="0" fontId="17" fillId="0" borderId="0" xfId="0" applyFont="1" applyAlignment="1" applyProtection="1">
      <alignment horizontal="center" vertical="center"/>
      <protection locked="0"/>
    </xf>
    <xf numFmtId="0" fontId="30" fillId="4" borderId="15" xfId="3" applyFont="1" applyFill="1" applyBorder="1" applyAlignment="1" applyProtection="1">
      <alignment horizontal="left" vertical="center" wrapText="1"/>
      <protection locked="0"/>
    </xf>
    <xf numFmtId="0" fontId="31" fillId="0" borderId="0" xfId="3" applyFont="1" applyAlignment="1" applyProtection="1">
      <alignment horizontal="center" vertical="center" wrapText="1"/>
      <protection locked="0"/>
    </xf>
    <xf numFmtId="0" fontId="30" fillId="4" borderId="6" xfId="2" applyFont="1" applyFill="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30" fillId="0" borderId="0" xfId="3" applyFont="1" applyProtection="1">
      <protection locked="0"/>
    </xf>
    <xf numFmtId="0" fontId="30" fillId="0" borderId="0" xfId="0" applyFont="1" applyProtection="1">
      <protection locked="0"/>
    </xf>
    <xf numFmtId="0" fontId="30" fillId="4" borderId="33" xfId="3" applyFont="1" applyFill="1" applyBorder="1" applyAlignment="1" applyProtection="1">
      <alignment horizontal="left" vertical="center" wrapText="1"/>
      <protection locked="0"/>
    </xf>
    <xf numFmtId="0" fontId="30" fillId="4" borderId="15" xfId="0" applyFont="1" applyFill="1" applyBorder="1" applyAlignment="1" applyProtection="1">
      <alignment horizontal="left" vertical="center" wrapText="1"/>
      <protection locked="0"/>
    </xf>
    <xf numFmtId="0" fontId="30" fillId="4" borderId="12" xfId="3" applyFont="1" applyFill="1" applyBorder="1" applyAlignment="1" applyProtection="1">
      <alignment horizontal="left" vertical="center" wrapText="1"/>
      <protection locked="0"/>
    </xf>
    <xf numFmtId="0" fontId="6" fillId="0" borderId="22" xfId="0" applyFont="1" applyBorder="1"/>
    <xf numFmtId="0" fontId="6" fillId="0" borderId="23" xfId="0" applyFont="1" applyBorder="1"/>
    <xf numFmtId="0" fontId="6" fillId="0" borderId="19" xfId="0" applyFont="1" applyBorder="1"/>
    <xf numFmtId="0" fontId="17" fillId="0" borderId="54" xfId="12" applyFont="1" applyBorder="1" applyAlignment="1">
      <alignment vertical="center" wrapText="1"/>
    </xf>
    <xf numFmtId="0" fontId="16" fillId="0" borderId="7" xfId="12" applyFont="1" applyBorder="1" applyAlignment="1">
      <alignment horizontal="left" vertical="center"/>
    </xf>
    <xf numFmtId="0" fontId="17" fillId="0" borderId="38" xfId="10" applyFont="1" applyBorder="1" applyAlignment="1">
      <alignment vertical="center" wrapText="1"/>
    </xf>
    <xf numFmtId="4" fontId="17" fillId="0" borderId="37" xfId="12" applyNumberFormat="1" applyFont="1" applyBorder="1" applyAlignment="1">
      <alignment horizontal="center" vertical="center" wrapText="1"/>
    </xf>
    <xf numFmtId="0" fontId="17" fillId="0" borderId="38" xfId="12" applyFont="1" applyBorder="1" applyAlignment="1">
      <alignment vertical="center" wrapText="1"/>
    </xf>
    <xf numFmtId="0" fontId="17" fillId="0" borderId="0" xfId="0" applyFont="1" applyAlignment="1" applyProtection="1">
      <alignment horizontal="right" vertical="center"/>
      <protection locked="0"/>
    </xf>
    <xf numFmtId="9" fontId="17" fillId="0" borderId="0" xfId="11" applyFont="1" applyAlignment="1" applyProtection="1">
      <alignment horizontal="right" vertical="center"/>
      <protection locked="0"/>
    </xf>
    <xf numFmtId="9" fontId="21" fillId="0" borderId="29" xfId="11" applyFont="1" applyBorder="1" applyAlignment="1" applyProtection="1">
      <alignment horizontal="right" vertical="center"/>
      <protection locked="0"/>
    </xf>
    <xf numFmtId="0" fontId="21" fillId="0" borderId="29" xfId="0" applyFont="1" applyBorder="1" applyAlignment="1" applyProtection="1">
      <alignment horizontal="right" vertical="center"/>
      <protection locked="0"/>
    </xf>
    <xf numFmtId="9" fontId="21" fillId="0" borderId="63" xfId="11" applyFont="1" applyBorder="1" applyAlignment="1" applyProtection="1">
      <alignment horizontal="right" vertical="center"/>
      <protection locked="0"/>
    </xf>
    <xf numFmtId="0" fontId="21" fillId="0" borderId="63" xfId="0" applyFont="1" applyBorder="1" applyAlignment="1" applyProtection="1">
      <alignment horizontal="right" vertical="center"/>
      <protection locked="0"/>
    </xf>
    <xf numFmtId="0" fontId="9" fillId="0" borderId="63" xfId="0" applyFont="1" applyBorder="1" applyProtection="1">
      <protection locked="0"/>
    </xf>
    <xf numFmtId="0" fontId="9" fillId="0" borderId="64" xfId="0" applyFont="1" applyBorder="1" applyAlignment="1" applyProtection="1">
      <alignment wrapText="1"/>
      <protection locked="0"/>
    </xf>
    <xf numFmtId="0" fontId="7" fillId="0" borderId="4" xfId="2" applyFont="1" applyBorder="1" applyAlignment="1" applyProtection="1">
      <alignment horizontal="center" vertical="center"/>
      <protection locked="0"/>
    </xf>
    <xf numFmtId="0" fontId="7" fillId="0" borderId="5" xfId="2" applyFont="1" applyBorder="1" applyAlignment="1" applyProtection="1">
      <alignment horizontal="center" vertical="center" wrapText="1"/>
      <protection locked="0"/>
    </xf>
    <xf numFmtId="9" fontId="32" fillId="0" borderId="0" xfId="11" applyFont="1" applyAlignment="1" applyProtection="1">
      <alignment horizontal="center" vertical="center"/>
      <protection locked="0"/>
    </xf>
    <xf numFmtId="0" fontId="7" fillId="0" borderId="6" xfId="2" applyFont="1" applyBorder="1" applyAlignment="1" applyProtection="1">
      <alignment horizontal="center" vertical="center" wrapText="1"/>
      <protection locked="0"/>
    </xf>
    <xf numFmtId="0" fontId="9" fillId="0" borderId="0" xfId="3" applyFont="1" applyProtection="1">
      <protection locked="0"/>
    </xf>
    <xf numFmtId="9" fontId="17" fillId="0" borderId="0" xfId="11" applyFont="1" applyAlignment="1" applyProtection="1">
      <alignment horizontal="center" vertical="center"/>
      <protection locked="0"/>
    </xf>
    <xf numFmtId="0" fontId="9" fillId="3" borderId="25" xfId="0" applyFont="1" applyFill="1" applyBorder="1" applyAlignment="1" applyProtection="1">
      <alignment horizontal="center" vertical="center" wrapText="1"/>
      <protection locked="0"/>
    </xf>
    <xf numFmtId="2" fontId="17" fillId="0" borderId="49" xfId="10" applyNumberFormat="1" applyFont="1" applyBorder="1" applyAlignment="1">
      <alignment horizontal="center" vertical="center" wrapText="1"/>
    </xf>
    <xf numFmtId="0" fontId="18" fillId="0" borderId="53" xfId="10" applyFont="1" applyBorder="1" applyAlignment="1">
      <alignment vertical="center"/>
    </xf>
    <xf numFmtId="0" fontId="7" fillId="0" borderId="5" xfId="2" applyFont="1" applyBorder="1" applyAlignment="1">
      <alignment horizontal="center" vertical="center"/>
    </xf>
    <xf numFmtId="9" fontId="17" fillId="0" borderId="0" xfId="11" applyFont="1" applyAlignment="1">
      <alignment horizontal="center" vertical="center" wrapText="1"/>
    </xf>
    <xf numFmtId="0" fontId="7" fillId="0" borderId="13" xfId="3" applyFont="1" applyBorder="1" applyAlignment="1">
      <alignment horizontal="left" vertical="center" wrapText="1"/>
    </xf>
    <xf numFmtId="0" fontId="7" fillId="0" borderId="46" xfId="3" applyFont="1" applyBorder="1" applyAlignment="1">
      <alignment horizontal="left" vertical="center" wrapText="1"/>
    </xf>
    <xf numFmtId="0" fontId="34"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3" applyFont="1"/>
    <xf numFmtId="0" fontId="9" fillId="0" borderId="0" xfId="3" applyFont="1" applyAlignment="1">
      <alignment horizontal="center" vertical="center"/>
    </xf>
    <xf numFmtId="0" fontId="7" fillId="0" borderId="0" xfId="0" applyFont="1" applyAlignment="1">
      <alignment horizontal="center" vertical="center"/>
    </xf>
    <xf numFmtId="0" fontId="7" fillId="0" borderId="0" xfId="0" applyFont="1"/>
    <xf numFmtId="0" fontId="9" fillId="0" borderId="0" xfId="3" applyFont="1" applyAlignment="1">
      <alignment horizontal="center" vertical="center" wrapText="1"/>
    </xf>
    <xf numFmtId="0" fontId="9" fillId="0" borderId="0" xfId="0" applyFont="1" applyAlignment="1">
      <alignment horizontal="center" vertical="center"/>
    </xf>
    <xf numFmtId="2" fontId="7" fillId="0" borderId="0" xfId="0" applyNumberFormat="1" applyFont="1" applyProtection="1">
      <protection locked="0"/>
    </xf>
    <xf numFmtId="2" fontId="21" fillId="0" borderId="30" xfId="0" applyNumberFormat="1" applyFont="1" applyBorder="1" applyAlignment="1" applyProtection="1">
      <alignment horizontal="right" vertical="center"/>
      <protection locked="0"/>
    </xf>
    <xf numFmtId="2" fontId="21" fillId="0" borderId="62" xfId="0" applyNumberFormat="1" applyFont="1" applyBorder="1" applyAlignment="1" applyProtection="1">
      <alignment horizontal="right" vertical="center"/>
      <protection locked="0"/>
    </xf>
    <xf numFmtId="2" fontId="21" fillId="0" borderId="10" xfId="0" applyNumberFormat="1" applyFont="1" applyBorder="1" applyAlignment="1" applyProtection="1">
      <alignment horizontal="right" vertical="center"/>
      <protection locked="0"/>
    </xf>
    <xf numFmtId="0" fontId="37" fillId="0" borderId="15" xfId="17" applyFont="1" applyBorder="1" applyAlignment="1" applyProtection="1">
      <alignment horizontal="left" vertical="center" wrapText="1"/>
      <protection locked="0"/>
    </xf>
    <xf numFmtId="0" fontId="37" fillId="0" borderId="65" xfId="17" applyFont="1" applyBorder="1" applyAlignment="1" applyProtection="1">
      <alignment horizontal="left" vertical="center" wrapText="1"/>
      <protection locked="0"/>
    </xf>
    <xf numFmtId="0" fontId="37" fillId="0" borderId="26" xfId="17" applyFont="1" applyBorder="1" applyAlignment="1" applyProtection="1">
      <alignment horizontal="left" vertical="center" wrapText="1"/>
      <protection locked="0"/>
    </xf>
    <xf numFmtId="9" fontId="40" fillId="0" borderId="0" xfId="18" applyFont="1" applyAlignment="1" applyProtection="1">
      <alignment horizontal="center" vertical="center"/>
      <protection locked="0"/>
    </xf>
    <xf numFmtId="0" fontId="7" fillId="0" borderId="0" xfId="16" applyFont="1" applyAlignment="1" applyProtection="1">
      <alignment horizontal="center" vertical="center"/>
      <protection locked="0"/>
    </xf>
    <xf numFmtId="0" fontId="7" fillId="0" borderId="0" xfId="17" applyFont="1" applyProtection="1">
      <protection locked="0"/>
    </xf>
    <xf numFmtId="0" fontId="9" fillId="0" borderId="0" xfId="17" applyFont="1" applyAlignment="1" applyProtection="1">
      <alignment horizontal="center" vertical="center"/>
      <protection locked="0"/>
    </xf>
    <xf numFmtId="0" fontId="7" fillId="0" borderId="0" xfId="16" applyFont="1" applyProtection="1">
      <protection locked="0"/>
    </xf>
    <xf numFmtId="0" fontId="7" fillId="0" borderId="0" xfId="17" applyFont="1" applyAlignment="1" applyProtection="1">
      <alignment vertical="center"/>
      <protection locked="0"/>
    </xf>
    <xf numFmtId="0" fontId="1" fillId="7" borderId="41" xfId="10" applyFont="1" applyFill="1" applyBorder="1" applyAlignment="1" applyProtection="1">
      <alignment horizontal="center" vertical="center"/>
      <protection locked="0"/>
    </xf>
    <xf numFmtId="0" fontId="1" fillId="7" borderId="2" xfId="10" applyFont="1" applyFill="1" applyBorder="1" applyAlignment="1" applyProtection="1">
      <alignment horizontal="center" vertical="center"/>
      <protection locked="0"/>
    </xf>
    <xf numFmtId="0" fontId="1" fillId="0" borderId="61" xfId="3" applyFont="1" applyBorder="1" applyAlignment="1">
      <alignment horizontal="left" vertical="center" wrapText="1"/>
    </xf>
    <xf numFmtId="0" fontId="1" fillId="0" borderId="19" xfId="10" applyFont="1" applyBorder="1"/>
    <xf numFmtId="2" fontId="1" fillId="7" borderId="11" xfId="10" applyNumberFormat="1" applyFont="1" applyFill="1" applyBorder="1" applyAlignment="1" applyProtection="1">
      <alignment horizontal="center" vertical="center"/>
      <protection locked="0"/>
    </xf>
    <xf numFmtId="0" fontId="1" fillId="7" borderId="9" xfId="10" applyFont="1" applyFill="1" applyBorder="1" applyAlignment="1" applyProtection="1">
      <alignment horizontal="center" vertical="center"/>
      <protection locked="0"/>
    </xf>
    <xf numFmtId="0" fontId="1" fillId="0" borderId="11" xfId="10" applyFont="1" applyBorder="1" applyAlignment="1">
      <alignment horizontal="center" vertical="center"/>
    </xf>
    <xf numFmtId="0" fontId="7" fillId="10" borderId="15" xfId="3" applyFont="1" applyFill="1" applyBorder="1" applyAlignment="1">
      <alignment horizontal="center" vertical="center" wrapText="1"/>
    </xf>
    <xf numFmtId="0" fontId="7" fillId="10" borderId="2" xfId="0" applyFont="1" applyFill="1" applyBorder="1" applyAlignment="1" applyProtection="1">
      <alignment horizontal="center" vertical="center" wrapText="1"/>
      <protection locked="0"/>
    </xf>
    <xf numFmtId="0" fontId="7" fillId="10" borderId="2" xfId="3" applyFont="1" applyFill="1" applyBorder="1" applyAlignment="1">
      <alignment horizontal="left" vertical="center" wrapText="1"/>
    </xf>
    <xf numFmtId="0" fontId="7" fillId="10" borderId="15" xfId="3" applyFont="1" applyFill="1" applyBorder="1" applyAlignment="1">
      <alignment horizontal="left" vertical="center" wrapText="1"/>
    </xf>
    <xf numFmtId="0" fontId="37" fillId="9" borderId="15" xfId="0" applyFont="1" applyFill="1" applyBorder="1" applyAlignment="1" applyProtection="1">
      <alignment horizontal="left" vertical="center" wrapText="1"/>
      <protection locked="0"/>
    </xf>
    <xf numFmtId="0" fontId="37" fillId="0" borderId="65" xfId="3" applyFont="1" applyBorder="1" applyAlignment="1" applyProtection="1">
      <alignment horizontal="left" vertical="center" wrapText="1"/>
      <protection locked="0"/>
    </xf>
    <xf numFmtId="0" fontId="37" fillId="0" borderId="47" xfId="3" applyFont="1" applyBorder="1" applyAlignment="1" applyProtection="1">
      <alignment horizontal="left" vertical="center" wrapText="1"/>
      <protection locked="0"/>
    </xf>
    <xf numFmtId="0" fontId="7" fillId="0" borderId="0" xfId="3" applyFont="1" applyAlignment="1" applyProtection="1">
      <alignment vertical="center"/>
      <protection locked="0"/>
    </xf>
    <xf numFmtId="0" fontId="36" fillId="4" borderId="2" xfId="14" applyFont="1" applyFill="1" applyBorder="1" applyAlignment="1" applyProtection="1">
      <alignment horizontal="center" vertical="center" wrapText="1"/>
      <protection locked="0"/>
    </xf>
    <xf numFmtId="0" fontId="33" fillId="4" borderId="2" xfId="14" applyFont="1" applyFill="1" applyBorder="1" applyAlignment="1" applyProtection="1">
      <alignment horizontal="center" vertical="center" wrapText="1"/>
      <protection locked="0"/>
    </xf>
    <xf numFmtId="49" fontId="33" fillId="4" borderId="35" xfId="0" applyNumberFormat="1" applyFont="1" applyFill="1" applyBorder="1" applyAlignment="1" applyProtection="1">
      <alignment vertical="center" wrapText="1"/>
      <protection locked="0"/>
    </xf>
    <xf numFmtId="0" fontId="33" fillId="4" borderId="15" xfId="3" applyFont="1" applyFill="1" applyBorder="1" applyAlignment="1" applyProtection="1">
      <alignment horizontal="left" vertical="center" wrapText="1"/>
      <protection locked="0"/>
    </xf>
    <xf numFmtId="0" fontId="33" fillId="4" borderId="15" xfId="0" applyFont="1" applyFill="1" applyBorder="1" applyAlignment="1" applyProtection="1">
      <alignment horizontal="left" vertical="center" wrapText="1"/>
      <protection locked="0"/>
    </xf>
    <xf numFmtId="49" fontId="7" fillId="0" borderId="35" xfId="0" applyNumberFormat="1" applyFont="1" applyBorder="1" applyAlignment="1" applyProtection="1">
      <alignment vertical="center" wrapText="1"/>
      <protection locked="0"/>
    </xf>
    <xf numFmtId="0" fontId="33" fillId="4" borderId="2" xfId="2" applyFont="1" applyFill="1" applyBorder="1" applyAlignment="1" applyProtection="1">
      <alignment horizontal="center" vertical="center" wrapText="1"/>
      <protection locked="0"/>
    </xf>
    <xf numFmtId="0" fontId="33" fillId="4" borderId="2" xfId="3" applyFont="1" applyFill="1" applyBorder="1" applyAlignment="1" applyProtection="1">
      <alignment horizontal="center" vertical="center" wrapText="1"/>
      <protection locked="0"/>
    </xf>
    <xf numFmtId="164" fontId="17" fillId="0" borderId="0" xfId="0" applyNumberFormat="1" applyFont="1" applyAlignment="1">
      <alignment horizontal="center" vertical="center"/>
    </xf>
    <xf numFmtId="164" fontId="17" fillId="0" borderId="0" xfId="0" applyNumberFormat="1" applyFont="1" applyAlignment="1" applyProtection="1">
      <alignment horizontal="center" vertical="center"/>
      <protection locked="0"/>
    </xf>
    <xf numFmtId="164" fontId="40" fillId="0" borderId="0" xfId="16" applyNumberFormat="1" applyFont="1" applyAlignment="1" applyProtection="1">
      <alignment horizontal="center" vertical="center"/>
      <protection locked="0"/>
    </xf>
    <xf numFmtId="164" fontId="17" fillId="0" borderId="0" xfId="0" applyNumberFormat="1" applyFont="1" applyAlignment="1">
      <alignment horizontal="center" vertical="center" wrapText="1"/>
    </xf>
    <xf numFmtId="164" fontId="40" fillId="0" borderId="0" xfId="0" applyNumberFormat="1" applyFont="1" applyAlignment="1" applyProtection="1">
      <alignment horizontal="center" vertical="center"/>
      <protection locked="0"/>
    </xf>
    <xf numFmtId="164" fontId="32" fillId="0" borderId="0" xfId="0" applyNumberFormat="1" applyFont="1" applyAlignment="1" applyProtection="1">
      <alignment horizontal="center" vertical="center"/>
      <protection locked="0"/>
    </xf>
    <xf numFmtId="164" fontId="17" fillId="0" borderId="0" xfId="0" applyNumberFormat="1" applyFont="1" applyAlignment="1" applyProtection="1">
      <alignment horizontal="center" vertical="center" wrapText="1"/>
      <protection locked="0"/>
    </xf>
    <xf numFmtId="164" fontId="17" fillId="0" borderId="0" xfId="0" applyNumberFormat="1" applyFont="1" applyAlignment="1">
      <alignment horizontal="right" vertical="center"/>
    </xf>
    <xf numFmtId="164" fontId="17" fillId="0" borderId="0" xfId="0" applyNumberFormat="1" applyFont="1" applyAlignment="1" applyProtection="1">
      <alignment horizontal="right" vertical="center"/>
      <protection locked="0"/>
    </xf>
    <xf numFmtId="165" fontId="1" fillId="7" borderId="2" xfId="10" applyNumberFormat="1" applyFont="1" applyFill="1" applyBorder="1" applyAlignment="1" applyProtection="1">
      <alignment horizontal="center" vertical="center"/>
      <protection locked="0"/>
    </xf>
    <xf numFmtId="165" fontId="1" fillId="7" borderId="9" xfId="10" applyNumberFormat="1" applyFont="1" applyFill="1" applyBorder="1" applyAlignment="1" applyProtection="1">
      <alignment horizontal="center" vertical="center"/>
      <protection locked="0"/>
    </xf>
    <xf numFmtId="0" fontId="34" fillId="10" borderId="2" xfId="0" applyFont="1" applyFill="1" applyBorder="1" applyAlignment="1">
      <alignment horizontal="center" vertical="center" wrapText="1"/>
    </xf>
    <xf numFmtId="0" fontId="7" fillId="10" borderId="1" xfId="2" applyFont="1" applyFill="1" applyBorder="1" applyAlignment="1">
      <alignment horizontal="center" vertical="center" wrapText="1"/>
    </xf>
    <xf numFmtId="0" fontId="7" fillId="10" borderId="2" xfId="3" applyFont="1" applyFill="1" applyBorder="1" applyAlignment="1">
      <alignment horizontal="center" vertical="center" wrapText="1"/>
    </xf>
    <xf numFmtId="0" fontId="7" fillId="10" borderId="13" xfId="3" applyFont="1" applyFill="1" applyBorder="1" applyAlignment="1">
      <alignment horizontal="left" vertical="center" wrapText="1"/>
    </xf>
    <xf numFmtId="0" fontId="7" fillId="10" borderId="68" xfId="2" applyFont="1" applyFill="1" applyBorder="1" applyAlignment="1">
      <alignment horizontal="center" vertical="center" wrapText="1"/>
    </xf>
    <xf numFmtId="0" fontId="7" fillId="10" borderId="1" xfId="2" applyFont="1" applyFill="1" applyBorder="1" applyAlignment="1" applyProtection="1">
      <alignment horizontal="center" vertical="center" wrapText="1"/>
      <protection locked="0"/>
    </xf>
    <xf numFmtId="0" fontId="7" fillId="10" borderId="68" xfId="0" applyFont="1" applyFill="1" applyBorder="1" applyAlignment="1">
      <alignment horizontal="center" vertical="center" wrapText="1"/>
    </xf>
    <xf numFmtId="0" fontId="7" fillId="10" borderId="17" xfId="0" applyFont="1" applyFill="1" applyBorder="1" applyAlignment="1" applyProtection="1">
      <alignment horizontal="left" vertical="center" wrapText="1"/>
      <protection locked="0"/>
    </xf>
    <xf numFmtId="0" fontId="7" fillId="10" borderId="15" xfId="0" applyFont="1" applyFill="1" applyBorder="1" applyAlignment="1">
      <alignment horizontal="left" vertical="center" wrapText="1"/>
    </xf>
    <xf numFmtId="0" fontId="7" fillId="10" borderId="33" xfId="3" applyFont="1" applyFill="1" applyBorder="1" applyAlignment="1" applyProtection="1">
      <alignment horizontal="left" vertical="center" wrapText="1"/>
      <protection locked="0"/>
    </xf>
    <xf numFmtId="0" fontId="7" fillId="0" borderId="2" xfId="14" applyFont="1" applyBorder="1" applyAlignment="1">
      <alignment horizontal="center" vertical="center" wrapText="1"/>
    </xf>
    <xf numFmtId="0" fontId="9" fillId="0" borderId="2" xfId="0" applyFont="1" applyBorder="1" applyAlignment="1">
      <alignment horizontal="center" vertical="center" wrapText="1"/>
    </xf>
    <xf numFmtId="0" fontId="7" fillId="0" borderId="47" xfId="3" applyFont="1" applyBorder="1" applyAlignment="1" applyProtection="1">
      <alignment horizontal="left" vertical="center" wrapText="1"/>
      <protection locked="0"/>
    </xf>
    <xf numFmtId="0" fontId="7" fillId="0" borderId="12" xfId="3" applyFont="1" applyBorder="1" applyAlignment="1">
      <alignment horizontal="center" vertical="center" wrapText="1"/>
    </xf>
    <xf numFmtId="0" fontId="7" fillId="0" borderId="12" xfId="3" applyFont="1" applyBorder="1" applyAlignment="1" applyProtection="1">
      <alignment horizontal="center" vertical="center" wrapText="1"/>
      <protection locked="0"/>
    </xf>
    <xf numFmtId="0" fontId="7" fillId="0" borderId="12" xfId="5" applyFont="1" applyBorder="1" applyAlignment="1">
      <alignment horizontal="left" vertical="center" wrapText="1"/>
    </xf>
    <xf numFmtId="0" fontId="7" fillId="0" borderId="12" xfId="5" applyFont="1" applyBorder="1" applyAlignment="1">
      <alignment horizontal="center" vertical="center" wrapText="1"/>
    </xf>
    <xf numFmtId="0" fontId="7" fillId="0" borderId="12" xfId="5" applyFont="1" applyBorder="1" applyAlignment="1" applyProtection="1">
      <alignment horizontal="center" vertical="center" wrapText="1"/>
      <protection locked="0"/>
    </xf>
    <xf numFmtId="0" fontId="7" fillId="0" borderId="33" xfId="5" applyFont="1" applyBorder="1" applyAlignment="1" applyProtection="1">
      <alignment horizontal="left" vertical="center" wrapText="1"/>
      <protection locked="0"/>
    </xf>
    <xf numFmtId="0" fontId="0" fillId="0" borderId="46" xfId="3" applyFont="1" applyBorder="1" applyAlignment="1">
      <alignment horizontal="left" vertical="center" wrapText="1"/>
    </xf>
    <xf numFmtId="0" fontId="29" fillId="0" borderId="12" xfId="3" applyFont="1" applyBorder="1" applyAlignment="1">
      <alignment horizontal="left" vertical="center" wrapText="1"/>
    </xf>
    <xf numFmtId="0" fontId="12" fillId="0" borderId="12" xfId="3" applyFont="1" applyBorder="1" applyAlignment="1">
      <alignment horizontal="left" vertical="center" wrapText="1"/>
    </xf>
    <xf numFmtId="0" fontId="12" fillId="0" borderId="12" xfId="3" applyFont="1" applyBorder="1" applyAlignment="1" applyProtection="1">
      <alignment horizontal="left" vertical="center" wrapText="1"/>
      <protection locked="0"/>
    </xf>
    <xf numFmtId="0" fontId="12" fillId="0" borderId="33" xfId="3" applyFont="1" applyBorder="1" applyAlignment="1" applyProtection="1">
      <alignment horizontal="left" vertical="center" wrapText="1"/>
      <protection locked="0"/>
    </xf>
    <xf numFmtId="0" fontId="7" fillId="0" borderId="8" xfId="2" applyFont="1" applyBorder="1" applyAlignment="1" applyProtection="1">
      <alignment horizontal="center" vertical="center"/>
      <protection locked="0"/>
    </xf>
    <xf numFmtId="0" fontId="9" fillId="0" borderId="9" xfId="14" applyFont="1" applyBorder="1" applyAlignment="1">
      <alignment horizontal="center" vertical="center" wrapText="1"/>
    </xf>
    <xf numFmtId="0" fontId="7" fillId="0" borderId="11" xfId="0" applyFont="1" applyBorder="1" applyAlignment="1">
      <alignment horizontal="center" vertical="center" wrapText="1"/>
    </xf>
    <xf numFmtId="0" fontId="7" fillId="0" borderId="9" xfId="3" applyFont="1" applyBorder="1" applyAlignment="1">
      <alignment horizontal="left" vertical="center" wrapText="1"/>
    </xf>
    <xf numFmtId="0" fontId="7" fillId="0" borderId="9" xfId="2" applyFont="1" applyBorder="1" applyAlignment="1">
      <alignment horizontal="center" vertical="center" wrapText="1"/>
    </xf>
    <xf numFmtId="0" fontId="7" fillId="0" borderId="9" xfId="3" applyFont="1" applyBorder="1" applyAlignment="1">
      <alignment horizontal="center" vertical="center" wrapText="1"/>
    </xf>
    <xf numFmtId="0" fontId="7" fillId="0" borderId="16" xfId="3" applyFont="1" applyBorder="1" applyAlignment="1">
      <alignment horizontal="left" vertical="center" wrapText="1"/>
    </xf>
    <xf numFmtId="0" fontId="7" fillId="0" borderId="13" xfId="3" applyFont="1" applyBorder="1" applyAlignment="1" applyProtection="1">
      <alignment horizontal="center" vertical="center" wrapText="1"/>
      <protection locked="0"/>
    </xf>
    <xf numFmtId="0" fontId="7" fillId="0" borderId="34" xfId="3" applyFont="1" applyBorder="1" applyAlignment="1" applyProtection="1">
      <alignment horizontal="left" vertical="center" wrapText="1"/>
      <protection locked="0"/>
    </xf>
    <xf numFmtId="0" fontId="9" fillId="0" borderId="2" xfId="14" applyFont="1" applyBorder="1" applyAlignment="1">
      <alignment horizontal="center" vertical="center"/>
    </xf>
    <xf numFmtId="0" fontId="7" fillId="0" borderId="2" xfId="0" applyFont="1" applyBorder="1" applyAlignment="1">
      <alignment horizontal="center" vertical="center"/>
    </xf>
    <xf numFmtId="0" fontId="7" fillId="0" borderId="2" xfId="2" applyFont="1" applyBorder="1" applyAlignment="1">
      <alignment horizontal="center" vertical="center"/>
    </xf>
    <xf numFmtId="0" fontId="12" fillId="0" borderId="15" xfId="3" applyFont="1" applyBorder="1" applyAlignment="1">
      <alignment horizontal="left" vertical="center" wrapText="1"/>
    </xf>
    <xf numFmtId="0" fontId="12" fillId="0" borderId="15" xfId="3" applyFont="1" applyBorder="1" applyAlignment="1" applyProtection="1">
      <alignment horizontal="left" vertical="center"/>
      <protection locked="0"/>
    </xf>
    <xf numFmtId="0" fontId="7" fillId="0" borderId="47" xfId="3" applyFont="1" applyBorder="1" applyAlignment="1" applyProtection="1">
      <alignment horizontal="left" vertical="center"/>
      <protection locked="0"/>
    </xf>
    <xf numFmtId="0" fontId="7" fillId="0" borderId="2" xfId="0" applyFont="1" applyBorder="1" applyAlignment="1" applyProtection="1">
      <alignment horizontal="center" vertical="center" wrapText="1"/>
      <protection locked="0"/>
    </xf>
    <xf numFmtId="0" fontId="7" fillId="0" borderId="60" xfId="3" applyFont="1" applyBorder="1" applyAlignment="1" applyProtection="1">
      <alignment horizontal="left" vertical="center" wrapText="1"/>
      <protection locked="0"/>
    </xf>
    <xf numFmtId="0" fontId="7" fillId="0" borderId="33" xfId="3" applyFont="1" applyBorder="1" applyAlignment="1" applyProtection="1">
      <alignment horizontal="center" vertical="center" wrapText="1"/>
      <protection locked="0"/>
    </xf>
    <xf numFmtId="0" fontId="9" fillId="0" borderId="1" xfId="14" applyFont="1" applyBorder="1" applyAlignment="1">
      <alignment horizontal="center" vertical="center" wrapText="1"/>
    </xf>
    <xf numFmtId="0" fontId="33" fillId="0" borderId="15" xfId="2" applyFont="1" applyBorder="1" applyAlignment="1">
      <alignment horizontal="left" vertical="center" wrapText="1"/>
    </xf>
    <xf numFmtId="0" fontId="33" fillId="0" borderId="15" xfId="2" applyFont="1" applyBorder="1" applyAlignment="1" applyProtection="1">
      <alignment horizontal="center" vertical="center"/>
      <protection locked="0"/>
    </xf>
    <xf numFmtId="0" fontId="33" fillId="0" borderId="47" xfId="3" applyFont="1" applyBorder="1" applyAlignment="1" applyProtection="1">
      <alignment horizontal="left" vertical="center" wrapText="1"/>
      <protection locked="0"/>
    </xf>
    <xf numFmtId="0" fontId="7" fillId="0" borderId="1" xfId="14" applyFont="1" applyBorder="1" applyAlignment="1">
      <alignment horizontal="center" vertical="center" wrapText="1"/>
    </xf>
    <xf numFmtId="0" fontId="7" fillId="0" borderId="1" xfId="3" applyFont="1" applyBorder="1" applyAlignment="1">
      <alignment horizontal="left" vertical="center" wrapText="1"/>
    </xf>
    <xf numFmtId="0" fontId="7" fillId="0" borderId="1" xfId="3" applyFont="1" applyBorder="1" applyAlignment="1">
      <alignment horizontal="center" vertical="center" wrapText="1"/>
    </xf>
    <xf numFmtId="0" fontId="7" fillId="0" borderId="17" xfId="3" applyFont="1" applyBorder="1" applyAlignment="1" applyProtection="1">
      <alignment horizontal="left" vertical="center" wrapText="1"/>
      <protection locked="0"/>
    </xf>
    <xf numFmtId="0" fontId="7" fillId="0" borderId="31" xfId="3" applyFont="1" applyBorder="1" applyAlignment="1" applyProtection="1">
      <alignment horizontal="left" vertical="center" wrapText="1"/>
      <protection locked="0"/>
    </xf>
    <xf numFmtId="0" fontId="9" fillId="0" borderId="1" xfId="14" applyFont="1" applyBorder="1" applyAlignment="1" applyProtection="1">
      <alignment horizontal="center" vertical="center" wrapText="1"/>
      <protection locked="0"/>
    </xf>
    <xf numFmtId="0" fontId="7" fillId="0" borderId="1" xfId="14" applyFont="1" applyBorder="1" applyAlignment="1" applyProtection="1">
      <alignment horizontal="center" vertical="center" wrapText="1"/>
      <protection locked="0"/>
    </xf>
    <xf numFmtId="0" fontId="7" fillId="0" borderId="1" xfId="3" applyFont="1" applyBorder="1" applyAlignment="1" applyProtection="1">
      <alignment horizontal="left" vertical="center" wrapText="1"/>
      <protection locked="0"/>
    </xf>
    <xf numFmtId="0" fontId="7" fillId="0" borderId="1" xfId="2" applyFont="1" applyBorder="1" applyAlignment="1" applyProtection="1">
      <alignment horizontal="center" vertical="center" wrapText="1"/>
      <protection locked="0"/>
    </xf>
    <xf numFmtId="0" fontId="7" fillId="0" borderId="2" xfId="2" applyFont="1" applyBorder="1" applyAlignment="1" applyProtection="1">
      <alignment horizontal="center" vertical="center"/>
      <protection locked="0"/>
    </xf>
    <xf numFmtId="0" fontId="7" fillId="0" borderId="2" xfId="2" applyFont="1" applyBorder="1" applyAlignment="1" applyProtection="1">
      <alignment horizontal="center" vertical="center" wrapText="1"/>
      <protection locked="0"/>
    </xf>
    <xf numFmtId="0" fontId="33" fillId="0" borderId="6" xfId="2" applyFont="1" applyBorder="1" applyAlignment="1" applyProtection="1">
      <alignment horizontal="center" vertical="center"/>
      <protection locked="0"/>
    </xf>
    <xf numFmtId="0" fontId="47" fillId="0" borderId="46" xfId="0" applyFont="1" applyBorder="1" applyAlignment="1">
      <alignment wrapText="1"/>
    </xf>
    <xf numFmtId="0" fontId="7" fillId="0" borderId="2" xfId="0" applyFont="1" applyBorder="1" applyAlignment="1">
      <alignment horizontal="left" vertical="center" wrapText="1"/>
    </xf>
    <xf numFmtId="0" fontId="7" fillId="0" borderId="2" xfId="14" applyFont="1" applyBorder="1" applyAlignment="1" applyProtection="1">
      <alignment horizontal="center" vertical="center" wrapText="1"/>
      <protection locked="0"/>
    </xf>
    <xf numFmtId="0" fontId="37" fillId="0" borderId="2" xfId="16" applyFont="1" applyBorder="1" applyAlignment="1" applyProtection="1">
      <alignment horizontal="left" vertical="center" wrapText="1"/>
      <protection locked="0"/>
    </xf>
    <xf numFmtId="0" fontId="37" fillId="0" borderId="6" xfId="2" applyFont="1" applyBorder="1" applyAlignment="1" applyProtection="1">
      <alignment horizontal="center" vertical="center"/>
      <protection locked="0"/>
    </xf>
    <xf numFmtId="0" fontId="37" fillId="0" borderId="2" xfId="14" applyFont="1" applyBorder="1" applyAlignment="1" applyProtection="1">
      <alignment horizontal="center" vertical="center" wrapText="1"/>
      <protection locked="0"/>
    </xf>
    <xf numFmtId="0" fontId="37" fillId="0" borderId="2" xfId="2" applyFont="1" applyBorder="1" applyAlignment="1" applyProtection="1">
      <alignment horizontal="center" vertical="center" wrapText="1"/>
      <protection locked="0"/>
    </xf>
    <xf numFmtId="0" fontId="37" fillId="0" borderId="15" xfId="2" applyFont="1" applyBorder="1" applyAlignment="1" applyProtection="1">
      <alignment horizontal="center" vertical="center" wrapText="1"/>
      <protection locked="0"/>
    </xf>
    <xf numFmtId="0" fontId="39" fillId="0" borderId="15" xfId="17"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7" fillId="0" borderId="12" xfId="3" applyFont="1" applyBorder="1" applyAlignment="1" applyProtection="1">
      <alignment vertical="center" wrapText="1"/>
      <protection locked="0"/>
    </xf>
    <xf numFmtId="0" fontId="37" fillId="0" borderId="2" xfId="17" applyFont="1" applyBorder="1" applyAlignment="1" applyProtection="1">
      <alignment horizontal="left" vertical="center" wrapText="1"/>
      <protection locked="0"/>
    </xf>
    <xf numFmtId="0" fontId="37" fillId="0" borderId="2" xfId="2" applyFont="1" applyBorder="1" applyAlignment="1" applyProtection="1">
      <alignment horizontal="center" vertical="center"/>
      <protection locked="0"/>
    </xf>
    <xf numFmtId="0" fontId="7" fillId="0" borderId="66" xfId="2" applyFont="1" applyBorder="1" applyAlignment="1" applyProtection="1">
      <alignment horizontal="center" vertical="center"/>
      <protection locked="0"/>
    </xf>
    <xf numFmtId="0" fontId="7" fillId="0" borderId="2" xfId="2" applyFont="1" applyBorder="1" applyAlignment="1" applyProtection="1">
      <alignment horizontal="left" vertical="center" wrapText="1"/>
      <protection locked="0"/>
    </xf>
    <xf numFmtId="0" fontId="7" fillId="0" borderId="15" xfId="2" applyFont="1" applyBorder="1" applyAlignment="1" applyProtection="1">
      <alignment horizontal="center" vertical="center"/>
      <protection locked="0"/>
    </xf>
    <xf numFmtId="0" fontId="20" fillId="0" borderId="15" xfId="0" applyFont="1" applyBorder="1" applyAlignment="1" applyProtection="1">
      <alignment horizontal="left" vertical="center" wrapText="1"/>
      <protection locked="0"/>
    </xf>
    <xf numFmtId="0" fontId="7" fillId="0" borderId="46" xfId="3" applyFont="1" applyBorder="1" applyAlignment="1" applyProtection="1">
      <alignment vertical="center" wrapText="1"/>
      <protection locked="0"/>
    </xf>
    <xf numFmtId="0" fontId="7" fillId="0" borderId="12" xfId="2" applyFont="1" applyBorder="1" applyAlignment="1" applyProtection="1">
      <alignment horizontal="left" vertical="center" wrapText="1"/>
      <protection locked="0"/>
    </xf>
    <xf numFmtId="0" fontId="7" fillId="0" borderId="0" xfId="3" applyFont="1" applyAlignment="1" applyProtection="1">
      <alignment vertical="center" wrapText="1"/>
      <protection locked="0"/>
    </xf>
    <xf numFmtId="0" fontId="7" fillId="0" borderId="15" xfId="2" applyFont="1" applyBorder="1" applyAlignment="1" applyProtection="1">
      <alignment horizontal="left" vertical="center" wrapText="1"/>
      <protection locked="0"/>
    </xf>
    <xf numFmtId="0" fontId="7" fillId="0" borderId="26" xfId="3" applyFont="1" applyBorder="1" applyAlignment="1" applyProtection="1">
      <alignment horizontal="left" vertical="center" wrapText="1"/>
      <protection locked="0"/>
    </xf>
    <xf numFmtId="0" fontId="7" fillId="0" borderId="12" xfId="2" applyFont="1" applyBorder="1" applyAlignment="1">
      <alignment horizontal="left" vertical="center" wrapText="1"/>
    </xf>
    <xf numFmtId="0" fontId="46" fillId="0" borderId="2" xfId="14" applyFont="1" applyBorder="1" applyAlignment="1" applyProtection="1">
      <alignment horizontal="center" vertical="center" wrapText="1"/>
      <protection locked="0"/>
    </xf>
    <xf numFmtId="0" fontId="37" fillId="0" borderId="46" xfId="3" applyFont="1" applyBorder="1" applyAlignment="1" applyProtection="1">
      <alignment vertical="center" wrapText="1"/>
      <protection locked="0"/>
    </xf>
    <xf numFmtId="0" fontId="37" fillId="0" borderId="2" xfId="0" applyFont="1" applyBorder="1" applyAlignment="1" applyProtection="1">
      <alignment horizontal="center" vertical="center" wrapText="1"/>
      <protection locked="0"/>
    </xf>
    <xf numFmtId="0" fontId="37" fillId="0" borderId="12" xfId="3" applyFont="1" applyBorder="1" applyAlignment="1" applyProtection="1">
      <alignment horizontal="left" vertical="center" wrapText="1"/>
      <protection locked="0"/>
    </xf>
    <xf numFmtId="0" fontId="39" fillId="0" borderId="15" xfId="3" applyFont="1" applyBorder="1" applyAlignment="1" applyProtection="1">
      <alignment horizontal="left" vertical="center" wrapText="1"/>
      <protection locked="0"/>
    </xf>
    <xf numFmtId="0" fontId="46" fillId="0" borderId="2" xfId="19" applyFont="1" applyBorder="1" applyAlignment="1" applyProtection="1">
      <alignment horizontal="center" vertical="center" wrapText="1"/>
      <protection locked="0"/>
    </xf>
    <xf numFmtId="0" fontId="37" fillId="0" borderId="15" xfId="20" applyFont="1" applyBorder="1" applyAlignment="1" applyProtection="1">
      <alignment horizontal="left" vertical="center" wrapText="1"/>
      <protection locked="0"/>
    </xf>
    <xf numFmtId="0" fontId="37" fillId="0" borderId="12" xfId="17" applyFont="1" applyBorder="1" applyAlignment="1" applyProtection="1">
      <alignment vertical="center" wrapText="1"/>
      <protection locked="0"/>
    </xf>
    <xf numFmtId="0" fontId="37" fillId="0" borderId="2" xfId="19" applyFont="1" applyBorder="1" applyAlignment="1" applyProtection="1">
      <alignment horizontal="center" vertical="center" wrapText="1"/>
      <protection locked="0"/>
    </xf>
    <xf numFmtId="0" fontId="37" fillId="0" borderId="12" xfId="20" applyFont="1" applyBorder="1" applyAlignment="1" applyProtection="1">
      <alignment vertical="center" wrapText="1"/>
      <protection locked="0"/>
    </xf>
    <xf numFmtId="0" fontId="20" fillId="0" borderId="2" xfId="0" applyFont="1" applyBorder="1" applyAlignment="1">
      <alignment horizontal="center" vertical="center" wrapText="1"/>
    </xf>
    <xf numFmtId="0" fontId="7" fillId="0" borderId="2" xfId="3" applyFont="1" applyBorder="1" applyAlignment="1">
      <alignment vertical="center" wrapText="1"/>
    </xf>
    <xf numFmtId="0" fontId="7" fillId="0" borderId="15" xfId="2" applyFont="1" applyBorder="1" applyAlignment="1">
      <alignment horizontal="left" vertical="center" wrapText="1"/>
    </xf>
    <xf numFmtId="0" fontId="9" fillId="0" borderId="33" xfId="3" applyFont="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12" fillId="0" borderId="33" xfId="3" applyFont="1" applyBorder="1" applyAlignment="1" applyProtection="1">
      <alignment vertical="center" wrapText="1"/>
      <protection locked="0"/>
    </xf>
    <xf numFmtId="0" fontId="12" fillId="0" borderId="47" xfId="3" applyFont="1" applyBorder="1" applyAlignment="1" applyProtection="1">
      <alignment vertical="center" wrapText="1"/>
      <protection locked="0"/>
    </xf>
    <xf numFmtId="0" fontId="14" fillId="0" borderId="15" xfId="3" applyFont="1" applyBorder="1" applyAlignment="1">
      <alignment horizontal="center" vertical="center" wrapText="1"/>
    </xf>
    <xf numFmtId="0" fontId="6" fillId="0" borderId="46" xfId="2" applyFont="1" applyBorder="1" applyAlignment="1">
      <alignment horizontal="left" vertical="center" wrapText="1"/>
    </xf>
    <xf numFmtId="0" fontId="3" fillId="0" borderId="50" xfId="2" applyFont="1" applyBorder="1" applyAlignment="1" applyProtection="1">
      <alignment horizontal="left" vertical="center" wrapText="1"/>
      <protection locked="0"/>
    </xf>
    <xf numFmtId="0" fontId="0" fillId="0" borderId="46" xfId="2" applyFont="1" applyBorder="1" applyAlignment="1">
      <alignment horizontal="left" vertical="center" wrapText="1"/>
    </xf>
    <xf numFmtId="0" fontId="24" fillId="0" borderId="48" xfId="0" applyFont="1" applyBorder="1" applyAlignment="1">
      <alignment horizontal="left" vertical="center" wrapText="1"/>
    </xf>
    <xf numFmtId="0" fontId="24" fillId="0" borderId="0" xfId="0" applyFont="1" applyAlignment="1" applyProtection="1">
      <alignment horizontal="left" vertical="center" wrapText="1"/>
      <protection locked="0"/>
    </xf>
    <xf numFmtId="0" fontId="9" fillId="0" borderId="46"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xf numFmtId="0" fontId="7" fillId="0" borderId="46" xfId="3" applyFont="1" applyBorder="1" applyAlignment="1" applyProtection="1">
      <alignment horizontal="center" vertical="center" wrapText="1"/>
      <protection locked="0"/>
    </xf>
    <xf numFmtId="0" fontId="24" fillId="0" borderId="12" xfId="0" applyFont="1" applyBorder="1" applyAlignment="1" applyProtection="1">
      <alignment horizontal="left" vertical="center" wrapText="1"/>
      <protection locked="0"/>
    </xf>
    <xf numFmtId="0" fontId="7" fillId="0" borderId="2" xfId="0" applyFont="1" applyBorder="1" applyAlignment="1" applyProtection="1">
      <alignment horizontal="left" vertical="center" wrapText="1"/>
      <protection locked="0"/>
    </xf>
    <xf numFmtId="0" fontId="7" fillId="0" borderId="1" xfId="0" applyFont="1" applyBorder="1" applyAlignment="1" applyProtection="1">
      <alignment horizontal="center" vertical="center" wrapText="1"/>
      <protection locked="0"/>
    </xf>
    <xf numFmtId="0" fontId="1" fillId="0" borderId="0" xfId="0" applyFont="1" applyAlignment="1">
      <alignment horizontal="left" vertical="center" wrapText="1"/>
    </xf>
    <xf numFmtId="0" fontId="9" fillId="0" borderId="2" xfId="2" applyFont="1" applyBorder="1" applyAlignment="1">
      <alignment horizontal="center" vertical="center" wrapText="1"/>
    </xf>
    <xf numFmtId="0" fontId="23" fillId="0" borderId="46" xfId="0" applyFont="1" applyBorder="1" applyAlignment="1">
      <alignment horizontal="center" vertical="center"/>
    </xf>
    <xf numFmtId="0" fontId="1" fillId="0" borderId="46" xfId="0" applyFont="1" applyBorder="1" applyAlignment="1">
      <alignment horizontal="center" vertical="center"/>
    </xf>
    <xf numFmtId="0" fontId="1" fillId="0" borderId="46" xfId="0" applyFont="1" applyBorder="1" applyAlignment="1">
      <alignment vertical="center" wrapText="1"/>
    </xf>
    <xf numFmtId="0" fontId="7" fillId="0" borderId="2" xfId="3" applyFont="1" applyBorder="1" applyAlignment="1" applyProtection="1">
      <alignment horizontal="left" vertical="center" wrapText="1"/>
      <protection locked="0"/>
    </xf>
    <xf numFmtId="0" fontId="12" fillId="0" borderId="15" xfId="0" applyFont="1" applyBorder="1" applyAlignment="1" applyProtection="1">
      <alignment horizontal="left" vertical="center" wrapText="1"/>
      <protection locked="0"/>
    </xf>
    <xf numFmtId="0" fontId="7" fillId="0" borderId="46" xfId="0" applyFont="1" applyBorder="1" applyAlignment="1">
      <alignment vertical="center" wrapText="1"/>
    </xf>
    <xf numFmtId="0" fontId="7" fillId="0" borderId="15" xfId="0" applyFont="1" applyBorder="1" applyAlignment="1" applyProtection="1">
      <alignment vertical="center"/>
      <protection locked="0"/>
    </xf>
    <xf numFmtId="0" fontId="7" fillId="0" borderId="46" xfId="0" applyFont="1" applyBorder="1" applyAlignment="1">
      <alignment horizontal="center" vertical="center" wrapText="1"/>
    </xf>
    <xf numFmtId="0" fontId="7" fillId="0" borderId="12" xfId="0" applyFont="1" applyBorder="1" applyAlignment="1">
      <alignment vertical="center"/>
    </xf>
    <xf numFmtId="0" fontId="11" fillId="0" borderId="12" xfId="3" applyFont="1" applyBorder="1" applyAlignment="1">
      <alignment horizontal="left" vertical="center" wrapText="1"/>
    </xf>
    <xf numFmtId="0" fontId="7" fillId="0" borderId="46" xfId="3" applyFont="1" applyBorder="1" applyAlignment="1" applyProtection="1">
      <alignment horizontal="left" vertical="center" wrapText="1"/>
      <protection locked="0"/>
    </xf>
    <xf numFmtId="0" fontId="13" fillId="0" borderId="33" xfId="3" applyFont="1" applyBorder="1" applyAlignment="1" applyProtection="1">
      <alignment horizontal="left" vertical="center" wrapText="1"/>
      <protection locked="0"/>
    </xf>
    <xf numFmtId="0" fontId="7" fillId="0" borderId="46" xfId="3" applyFont="1" applyBorder="1" applyAlignment="1">
      <alignment vertical="center" wrapText="1"/>
    </xf>
    <xf numFmtId="0" fontId="7" fillId="0" borderId="57" xfId="3" applyFont="1" applyBorder="1" applyAlignment="1">
      <alignment horizontal="left" vertical="center" wrapText="1"/>
    </xf>
    <xf numFmtId="0" fontId="7" fillId="0" borderId="41" xfId="3" applyFont="1" applyBorder="1" applyAlignment="1" applyProtection="1">
      <alignment horizontal="left" vertical="center" wrapText="1"/>
      <protection locked="0"/>
    </xf>
    <xf numFmtId="0" fontId="7" fillId="0" borderId="13" xfId="0" applyFont="1" applyBorder="1" applyAlignment="1">
      <alignment horizontal="left" vertical="center" wrapText="1"/>
    </xf>
    <xf numFmtId="0" fontId="7" fillId="0" borderId="13" xfId="0" applyFont="1" applyBorder="1" applyAlignment="1" applyProtection="1">
      <alignment horizontal="left" vertical="center" wrapText="1"/>
      <protection locked="0"/>
    </xf>
    <xf numFmtId="0" fontId="10" fillId="0" borderId="46" xfId="3" applyFont="1" applyBorder="1" applyAlignment="1">
      <alignment horizontal="left" vertical="center" wrapText="1"/>
    </xf>
    <xf numFmtId="0" fontId="13" fillId="0" borderId="32" xfId="3" applyFont="1" applyBorder="1" applyAlignment="1" applyProtection="1">
      <alignment horizontal="left" vertical="center" wrapText="1"/>
      <protection locked="0"/>
    </xf>
    <xf numFmtId="0" fontId="7" fillId="0" borderId="12" xfId="0" applyFont="1" applyBorder="1" applyAlignment="1">
      <alignment horizontal="left" vertical="center" wrapText="1"/>
    </xf>
    <xf numFmtId="0" fontId="7" fillId="0" borderId="12" xfId="0" applyFont="1" applyBorder="1" applyAlignment="1" applyProtection="1">
      <alignment horizontal="left" vertical="center" wrapText="1"/>
      <protection locked="0"/>
    </xf>
    <xf numFmtId="0" fontId="6" fillId="0" borderId="46" xfId="3" applyFont="1" applyBorder="1" applyAlignment="1">
      <alignment vertical="center" wrapText="1"/>
    </xf>
    <xf numFmtId="0" fontId="6" fillId="0" borderId="46" xfId="6" applyFont="1" applyBorder="1" applyAlignment="1">
      <alignment vertical="center" wrapText="1"/>
    </xf>
    <xf numFmtId="0" fontId="13" fillId="0" borderId="1" xfId="3" applyFont="1" applyBorder="1" applyAlignment="1" applyProtection="1">
      <alignment vertical="center" wrapText="1"/>
      <protection locked="0"/>
    </xf>
    <xf numFmtId="0" fontId="13" fillId="0" borderId="13" xfId="3" applyFont="1" applyBorder="1" applyAlignment="1" applyProtection="1">
      <alignment vertical="center" wrapText="1"/>
      <protection locked="0"/>
    </xf>
    <xf numFmtId="0" fontId="7" fillId="0" borderId="47" xfId="3" applyFont="1" applyBorder="1" applyAlignment="1" applyProtection="1">
      <alignment horizontal="center" vertical="center" wrapText="1"/>
      <protection locked="0"/>
    </xf>
    <xf numFmtId="0" fontId="38" fillId="0" borderId="12" xfId="3" applyFont="1" applyBorder="1" applyAlignment="1" applyProtection="1">
      <alignment horizontal="left" vertical="center" wrapText="1"/>
      <protection locked="0"/>
    </xf>
    <xf numFmtId="0" fontId="38" fillId="0" borderId="15" xfId="3" applyFont="1" applyBorder="1" applyAlignment="1" applyProtection="1">
      <alignment horizontal="center" vertical="center" wrapText="1"/>
      <protection locked="0"/>
    </xf>
    <xf numFmtId="0" fontId="7" fillId="0" borderId="24" xfId="2" applyFont="1" applyBorder="1" applyAlignment="1" applyProtection="1">
      <alignment horizontal="center" vertical="center"/>
      <protection locked="0"/>
    </xf>
    <xf numFmtId="0" fontId="48" fillId="10" borderId="6" xfId="2" applyFont="1" applyFill="1" applyBorder="1" applyAlignment="1" applyProtection="1">
      <alignment horizontal="center" vertical="center"/>
      <protection locked="0"/>
    </xf>
    <xf numFmtId="0" fontId="49" fillId="10" borderId="2" xfId="0" applyFont="1" applyFill="1" applyBorder="1" applyAlignment="1">
      <alignment horizontal="center" vertical="center" wrapText="1"/>
    </xf>
    <xf numFmtId="0" fontId="48" fillId="10" borderId="2" xfId="0" applyFont="1" applyFill="1" applyBorder="1" applyAlignment="1">
      <alignment horizontal="center" vertical="center" wrapText="1"/>
    </xf>
    <xf numFmtId="0" fontId="48" fillId="10" borderId="2" xfId="2" applyFont="1" applyFill="1" applyBorder="1" applyAlignment="1">
      <alignment horizontal="center" vertical="center" wrapText="1"/>
    </xf>
    <xf numFmtId="0" fontId="48" fillId="10" borderId="15" xfId="3" applyFont="1" applyFill="1" applyBorder="1" applyAlignment="1">
      <alignment horizontal="left" vertical="center" wrapText="1"/>
    </xf>
    <xf numFmtId="0" fontId="48" fillId="10" borderId="15" xfId="3" applyFont="1" applyFill="1" applyBorder="1" applyAlignment="1">
      <alignment horizontal="center" vertical="center" wrapText="1"/>
    </xf>
    <xf numFmtId="0" fontId="48" fillId="10" borderId="15" xfId="3" applyFont="1" applyFill="1" applyBorder="1" applyAlignment="1" applyProtection="1">
      <alignment horizontal="center" vertical="center" wrapText="1"/>
      <protection locked="0"/>
    </xf>
    <xf numFmtId="0" fontId="48" fillId="10" borderId="47" xfId="3" applyFont="1" applyFill="1" applyBorder="1" applyAlignment="1" applyProtection="1">
      <alignment horizontal="left" vertical="center" wrapText="1"/>
      <protection locked="0"/>
    </xf>
    <xf numFmtId="9" fontId="50" fillId="10" borderId="0" xfId="11" applyFont="1" applyFill="1" applyAlignment="1" applyProtection="1">
      <alignment horizontal="center" vertical="center"/>
      <protection locked="0"/>
    </xf>
    <xf numFmtId="0" fontId="48" fillId="10" borderId="0" xfId="0" applyFont="1" applyFill="1" applyAlignment="1" applyProtection="1">
      <alignment horizontal="center" vertical="center"/>
      <protection locked="0"/>
    </xf>
    <xf numFmtId="0" fontId="48" fillId="10" borderId="0" xfId="0" applyFont="1" applyFill="1" applyProtection="1">
      <protection locked="0"/>
    </xf>
    <xf numFmtId="0" fontId="49" fillId="10" borderId="0" xfId="0" applyFont="1" applyFill="1" applyAlignment="1" applyProtection="1">
      <alignment horizontal="center" vertical="center"/>
      <protection locked="0"/>
    </xf>
    <xf numFmtId="164" fontId="50" fillId="10" borderId="0" xfId="0" applyNumberFormat="1" applyFont="1" applyFill="1" applyAlignment="1" applyProtection="1">
      <alignment horizontal="center" vertical="center"/>
      <protection locked="0"/>
    </xf>
    <xf numFmtId="164" fontId="50" fillId="10" borderId="0" xfId="0" applyNumberFormat="1" applyFont="1" applyFill="1" applyAlignment="1">
      <alignment horizontal="center" vertical="center"/>
    </xf>
    <xf numFmtId="0" fontId="7" fillId="0" borderId="68" xfId="3" applyFont="1" applyBorder="1" applyAlignment="1" applyProtection="1">
      <alignment horizontal="left" vertical="center" wrapText="1"/>
      <protection locked="0"/>
    </xf>
    <xf numFmtId="0" fontId="1" fillId="0" borderId="68" xfId="3" applyFont="1" applyBorder="1" applyAlignment="1" applyProtection="1">
      <alignment vertical="center" wrapText="1"/>
      <protection locked="0"/>
    </xf>
    <xf numFmtId="0" fontId="7" fillId="0" borderId="68" xfId="2" applyFont="1" applyBorder="1" applyAlignment="1">
      <alignment horizontal="center" vertical="center" wrapText="1"/>
    </xf>
    <xf numFmtId="0" fontId="7" fillId="0" borderId="68" xfId="2" applyFont="1" applyBorder="1" applyAlignment="1" applyProtection="1">
      <alignment horizontal="center" vertical="center" wrapText="1"/>
      <protection locked="0"/>
    </xf>
    <xf numFmtId="0" fontId="7" fillId="0" borderId="0" xfId="2" applyFont="1" applyAlignment="1" applyProtection="1">
      <alignment horizontal="center" vertical="center" wrapText="1"/>
      <protection locked="0"/>
    </xf>
    <xf numFmtId="0" fontId="7" fillId="0" borderId="67" xfId="2" applyFont="1" applyBorder="1" applyAlignment="1">
      <alignment horizontal="center" vertical="center" wrapText="1"/>
    </xf>
    <xf numFmtId="0" fontId="38" fillId="0" borderId="68" xfId="2" applyFont="1" applyBorder="1" applyAlignment="1" applyProtection="1">
      <alignment horizontal="center" vertical="center" wrapText="1"/>
      <protection locked="0"/>
    </xf>
    <xf numFmtId="0" fontId="7" fillId="10" borderId="67" xfId="2" applyFont="1" applyFill="1" applyBorder="1" applyAlignment="1">
      <alignment horizontal="center" vertical="center" wrapText="1"/>
    </xf>
    <xf numFmtId="0" fontId="33" fillId="4" borderId="68" xfId="2" applyFont="1" applyFill="1" applyBorder="1" applyAlignment="1" applyProtection="1">
      <alignment horizontal="center" vertical="center" wrapText="1"/>
      <protection locked="0"/>
    </xf>
    <xf numFmtId="0" fontId="33" fillId="0" borderId="2" xfId="2" applyFont="1" applyBorder="1" applyAlignment="1">
      <alignment horizontal="center" vertical="center"/>
    </xf>
    <xf numFmtId="0" fontId="36" fillId="0" borderId="2" xfId="2" applyFont="1" applyBorder="1" applyAlignment="1">
      <alignment horizontal="center" vertical="center"/>
    </xf>
    <xf numFmtId="9" fontId="35" fillId="0" borderId="0" xfId="11" applyFont="1" applyAlignment="1" applyProtection="1">
      <alignment horizontal="center" vertical="center"/>
      <protection locked="0"/>
    </xf>
    <xf numFmtId="0" fontId="33" fillId="0" borderId="0" xfId="0" applyFont="1" applyAlignment="1" applyProtection="1">
      <alignment horizontal="center" vertical="center"/>
      <protection locked="0"/>
    </xf>
    <xf numFmtId="0" fontId="33" fillId="0" borderId="0" xfId="3" applyFont="1" applyProtection="1">
      <protection locked="0"/>
    </xf>
    <xf numFmtId="0" fontId="36" fillId="0" borderId="0" xfId="3" applyFont="1" applyAlignment="1">
      <alignment horizontal="center" vertical="center"/>
    </xf>
    <xf numFmtId="0" fontId="33" fillId="0" borderId="0" xfId="0" applyFont="1" applyProtection="1">
      <protection locked="0"/>
    </xf>
    <xf numFmtId="164" fontId="35" fillId="0" borderId="0" xfId="0" applyNumberFormat="1" applyFont="1" applyAlignment="1">
      <alignment horizontal="center" vertical="center"/>
    </xf>
    <xf numFmtId="0" fontId="7" fillId="0" borderId="67" xfId="2" applyFont="1" applyBorder="1" applyAlignment="1" applyProtection="1">
      <alignment horizontal="center" vertical="center" wrapText="1"/>
      <protection locked="0"/>
    </xf>
    <xf numFmtId="0" fontId="7" fillId="0" borderId="68" xfId="14" applyFont="1" applyBorder="1" applyAlignment="1" applyProtection="1">
      <alignment horizontal="center" vertical="center" wrapText="1"/>
      <protection locked="0"/>
    </xf>
    <xf numFmtId="0" fontId="37" fillId="0" borderId="68" xfId="16" applyFont="1" applyBorder="1" applyAlignment="1" applyProtection="1">
      <alignment horizontal="center" vertical="center" wrapText="1"/>
      <protection locked="0"/>
    </xf>
    <xf numFmtId="0" fontId="7" fillId="0" borderId="68" xfId="3" applyFont="1" applyBorder="1" applyAlignment="1" applyProtection="1">
      <alignment horizontal="center" vertical="center" wrapText="1"/>
      <protection locked="0"/>
    </xf>
    <xf numFmtId="0" fontId="37" fillId="0" borderId="2" xfId="2" applyFont="1" applyBorder="1" applyAlignment="1" applyProtection="1">
      <alignment horizontal="left" vertical="center" wrapText="1"/>
      <protection locked="0"/>
    </xf>
    <xf numFmtId="0" fontId="7" fillId="0" borderId="2" xfId="2" applyFont="1" applyBorder="1" applyAlignment="1">
      <alignment horizontal="left" vertical="center" wrapText="1"/>
    </xf>
    <xf numFmtId="0" fontId="37" fillId="0" borderId="2" xfId="3" applyFont="1" applyBorder="1" applyAlignment="1">
      <alignment horizontal="left" vertical="center" wrapText="1"/>
    </xf>
    <xf numFmtId="0" fontId="42" fillId="0" borderId="68" xfId="20" applyFont="1" applyBorder="1" applyAlignment="1" applyProtection="1">
      <alignment horizontal="left" vertical="center" wrapText="1"/>
      <protection locked="0"/>
    </xf>
    <xf numFmtId="0" fontId="12" fillId="0" borderId="68" xfId="3" applyFont="1" applyBorder="1" applyAlignment="1">
      <alignment vertical="center" wrapText="1"/>
    </xf>
    <xf numFmtId="0" fontId="37" fillId="0" borderId="68" xfId="14" applyFont="1" applyBorder="1" applyAlignment="1">
      <alignment horizontal="center" vertical="center" wrapText="1"/>
    </xf>
    <xf numFmtId="0" fontId="37" fillId="0" borderId="2" xfId="0" applyFont="1" applyBorder="1" applyAlignment="1">
      <alignment horizontal="center" vertical="center" wrapText="1"/>
    </xf>
    <xf numFmtId="0" fontId="37" fillId="0" borderId="1" xfId="0" applyFont="1" applyBorder="1" applyAlignment="1">
      <alignment horizontal="left" vertical="center" wrapText="1"/>
    </xf>
    <xf numFmtId="0" fontId="37" fillId="0" borderId="68" xfId="2" applyFont="1" applyBorder="1" applyAlignment="1">
      <alignment horizontal="center" vertical="center" wrapText="1"/>
    </xf>
    <xf numFmtId="0" fontId="37" fillId="0" borderId="68" xfId="2" applyFont="1" applyBorder="1" applyAlignment="1">
      <alignment horizontal="left" vertical="center" wrapText="1"/>
    </xf>
    <xf numFmtId="0" fontId="37" fillId="0" borderId="68" xfId="3" applyFont="1" applyBorder="1" applyAlignment="1">
      <alignment horizontal="center" vertical="center" wrapText="1"/>
    </xf>
    <xf numFmtId="0" fontId="37" fillId="0" borderId="12" xfId="3" applyFont="1" applyBorder="1" applyAlignment="1">
      <alignment horizontal="left" vertical="center" wrapText="1"/>
    </xf>
    <xf numFmtId="0" fontId="37" fillId="0" borderId="1" xfId="19" applyFont="1" applyBorder="1" applyAlignment="1" applyProtection="1">
      <alignment horizontal="left" vertical="center" wrapText="1"/>
      <protection locked="0"/>
    </xf>
    <xf numFmtId="0" fontId="37" fillId="0" borderId="1" xfId="19" applyFont="1" applyBorder="1" applyAlignment="1" applyProtection="1">
      <alignment horizontal="left" vertical="top" wrapText="1"/>
      <protection locked="0"/>
    </xf>
    <xf numFmtId="0" fontId="37" fillId="0" borderId="15" xfId="3" applyFont="1" applyBorder="1" applyAlignment="1">
      <alignment horizontal="left" vertical="center" wrapText="1"/>
    </xf>
    <xf numFmtId="0" fontId="7" fillId="11" borderId="2" xfId="2" applyFont="1" applyFill="1" applyBorder="1" applyAlignment="1">
      <alignment horizontal="left" vertical="center" wrapText="1"/>
    </xf>
    <xf numFmtId="0" fontId="7" fillId="11" borderId="68" xfId="2" applyFont="1" applyFill="1" applyBorder="1" applyAlignment="1">
      <alignment horizontal="left" vertical="center" wrapText="1"/>
    </xf>
    <xf numFmtId="0" fontId="37" fillId="11" borderId="2" xfId="2" applyFont="1" applyFill="1" applyBorder="1" applyAlignment="1">
      <alignment horizontal="left" vertical="center" wrapText="1"/>
    </xf>
    <xf numFmtId="0" fontId="7" fillId="11" borderId="2" xfId="2" applyFont="1" applyFill="1" applyBorder="1" applyAlignment="1" applyProtection="1">
      <alignment horizontal="left" vertical="center" wrapText="1"/>
      <protection locked="0"/>
    </xf>
    <xf numFmtId="0" fontId="7" fillId="11" borderId="68" xfId="2" applyFont="1" applyFill="1" applyBorder="1" applyAlignment="1" applyProtection="1">
      <alignment horizontal="left" vertical="center" wrapText="1"/>
      <protection locked="0"/>
    </xf>
    <xf numFmtId="0" fontId="48" fillId="10" borderId="68" xfId="3" applyFont="1" applyFill="1" applyBorder="1" applyAlignment="1">
      <alignment horizontal="left" vertical="center" wrapText="1"/>
    </xf>
    <xf numFmtId="0" fontId="9" fillId="0" borderId="68" xfId="14" applyFont="1" applyBorder="1" applyAlignment="1">
      <alignment horizontal="center" vertical="center" wrapText="1"/>
    </xf>
    <xf numFmtId="0" fontId="7" fillId="0" borderId="68" xfId="3" applyFont="1" applyBorder="1" applyAlignment="1">
      <alignment horizontal="left" vertical="center" wrapText="1"/>
    </xf>
    <xf numFmtId="0" fontId="7" fillId="0" borderId="68" xfId="3" applyFont="1" applyBorder="1" applyAlignment="1">
      <alignment horizontal="center" vertical="center" wrapText="1"/>
    </xf>
    <xf numFmtId="0" fontId="7" fillId="0" borderId="68" xfId="5" applyFont="1" applyBorder="1" applyAlignment="1">
      <alignment horizontal="left" vertical="center" wrapText="1"/>
    </xf>
    <xf numFmtId="0" fontId="7" fillId="0" borderId="68" xfId="0" applyFont="1" applyBorder="1" applyAlignment="1" applyProtection="1">
      <alignment horizontal="left" vertical="center" wrapText="1"/>
      <protection locked="0"/>
    </xf>
    <xf numFmtId="0" fontId="7" fillId="0" borderId="68" xfId="0" applyFont="1" applyBorder="1" applyAlignment="1">
      <alignment horizontal="left" vertical="center" wrapText="1"/>
    </xf>
    <xf numFmtId="0" fontId="7" fillId="0" borderId="67" xfId="0" applyFont="1" applyBorder="1" applyAlignment="1">
      <alignment horizontal="center" vertical="center" wrapText="1"/>
    </xf>
    <xf numFmtId="0" fontId="9" fillId="0" borderId="68" xfId="14" applyFont="1" applyBorder="1" applyAlignment="1" applyProtection="1">
      <alignment horizontal="center" vertical="center" wrapText="1"/>
      <protection locked="0"/>
    </xf>
    <xf numFmtId="0" fontId="7" fillId="0" borderId="68" xfId="0" applyFont="1" applyBorder="1" applyAlignment="1" applyProtection="1">
      <alignment horizontal="center" vertical="center" wrapText="1"/>
      <protection locked="0"/>
    </xf>
    <xf numFmtId="0" fontId="7" fillId="0" borderId="68" xfId="3" applyFont="1" applyBorder="1" applyAlignment="1" applyProtection="1">
      <alignment vertical="center" wrapText="1"/>
      <protection locked="0"/>
    </xf>
    <xf numFmtId="0" fontId="37" fillId="0" borderId="68" xfId="16" applyFont="1" applyBorder="1" applyAlignment="1" applyProtection="1">
      <alignment horizontal="left" vertical="center" wrapText="1"/>
      <protection locked="0"/>
    </xf>
    <xf numFmtId="0" fontId="37" fillId="0" borderId="68" xfId="17" applyFont="1" applyBorder="1" applyAlignment="1" applyProtection="1">
      <alignment horizontal="center" vertical="center" wrapText="1"/>
      <protection locked="0"/>
    </xf>
    <xf numFmtId="0" fontId="37" fillId="0" borderId="68" xfId="2" applyFont="1" applyBorder="1" applyAlignment="1" applyProtection="1">
      <alignment horizontal="center" vertical="center" wrapText="1"/>
      <protection locked="0"/>
    </xf>
    <xf numFmtId="0" fontId="1" fillId="0" borderId="68" xfId="0" applyFont="1" applyBorder="1" applyAlignment="1">
      <alignment horizontal="left" vertical="center" wrapText="1"/>
    </xf>
    <xf numFmtId="0" fontId="7" fillId="0" borderId="68" xfId="0" applyFont="1" applyBorder="1" applyAlignment="1">
      <alignment horizontal="center" vertical="center" wrapText="1"/>
    </xf>
    <xf numFmtId="0" fontId="37" fillId="0" borderId="68" xfId="14" applyFont="1" applyBorder="1" applyAlignment="1" applyProtection="1">
      <alignment horizontal="center" vertical="center" wrapText="1"/>
      <protection locked="0"/>
    </xf>
    <xf numFmtId="0" fontId="7" fillId="0" borderId="68" xfId="3" applyFont="1" applyBorder="1" applyAlignment="1">
      <alignment vertical="center" wrapText="1"/>
    </xf>
    <xf numFmtId="0" fontId="7" fillId="0" borderId="68" xfId="0" applyFont="1" applyBorder="1" applyAlignment="1">
      <alignment vertical="center" wrapText="1"/>
    </xf>
    <xf numFmtId="0" fontId="7" fillId="0" borderId="68" xfId="0" applyFont="1" applyBorder="1" applyAlignment="1" applyProtection="1">
      <alignment vertical="center" wrapText="1"/>
      <protection locked="0"/>
    </xf>
    <xf numFmtId="0" fontId="6" fillId="0" borderId="68" xfId="3" applyFont="1" applyBorder="1" applyAlignment="1">
      <alignment vertical="top" wrapText="1"/>
    </xf>
    <xf numFmtId="0" fontId="20" fillId="0" borderId="68" xfId="2" applyFont="1" applyBorder="1" applyAlignment="1">
      <alignment horizontal="center" vertical="center" wrapText="1"/>
    </xf>
    <xf numFmtId="0" fontId="9" fillId="0" borderId="68" xfId="2" applyFont="1" applyBorder="1" applyAlignment="1">
      <alignment horizontal="center" vertical="center" wrapText="1"/>
    </xf>
    <xf numFmtId="0" fontId="7" fillId="0" borderId="68" xfId="14" applyFont="1" applyBorder="1" applyAlignment="1">
      <alignment horizontal="center" vertical="center" wrapText="1"/>
    </xf>
    <xf numFmtId="0" fontId="24" fillId="0" borderId="68" xfId="0" applyFont="1" applyBorder="1" applyAlignment="1" applyProtection="1">
      <alignment horizontal="left" vertical="center" wrapText="1"/>
      <protection locked="0"/>
    </xf>
    <xf numFmtId="0" fontId="7" fillId="0" borderId="68" xfId="3" applyFont="1" applyBorder="1" applyAlignment="1">
      <alignment horizontal="center" vertical="center"/>
    </xf>
    <xf numFmtId="0" fontId="11" fillId="0" borderId="68" xfId="3" applyFont="1" applyBorder="1" applyAlignment="1">
      <alignment horizontal="left" vertical="center" wrapText="1"/>
    </xf>
    <xf numFmtId="0" fontId="9" fillId="0" borderId="68" xfId="0" applyFont="1" applyBorder="1" applyAlignment="1">
      <alignment horizontal="center" vertical="center"/>
    </xf>
    <xf numFmtId="0" fontId="7" fillId="0" borderId="68" xfId="0" applyFont="1" applyBorder="1" applyAlignment="1">
      <alignment horizontal="center" vertical="center"/>
    </xf>
    <xf numFmtId="0" fontId="7" fillId="0" borderId="67" xfId="0" applyFont="1" applyBorder="1" applyAlignment="1" applyProtection="1">
      <alignment horizontal="left" vertical="center" wrapText="1"/>
      <protection locked="0"/>
    </xf>
    <xf numFmtId="0" fontId="7" fillId="10" borderId="68" xfId="3" applyFont="1" applyFill="1" applyBorder="1" applyAlignment="1" applyProtection="1">
      <alignment horizontal="left" vertical="center" wrapText="1"/>
      <protection locked="0"/>
    </xf>
    <xf numFmtId="0" fontId="33" fillId="4" borderId="68" xfId="3" applyFont="1" applyFill="1" applyBorder="1" applyAlignment="1" applyProtection="1">
      <alignment horizontal="center" vertical="center" wrapText="1"/>
      <protection locked="0"/>
    </xf>
    <xf numFmtId="0" fontId="33" fillId="4" borderId="68" xfId="3" applyFont="1" applyFill="1" applyBorder="1" applyAlignment="1" applyProtection="1">
      <alignment horizontal="left" vertical="center" wrapText="1"/>
      <protection locked="0"/>
    </xf>
    <xf numFmtId="49" fontId="37" fillId="0" borderId="68" xfId="0" applyNumberFormat="1" applyFont="1" applyBorder="1" applyAlignment="1" applyProtection="1">
      <alignment vertical="center" wrapText="1"/>
      <protection locked="0"/>
    </xf>
    <xf numFmtId="0" fontId="41" fillId="0" borderId="68" xfId="21" applyFont="1" applyBorder="1" applyAlignment="1" applyProtection="1">
      <alignment horizontal="center" vertical="center" wrapText="1"/>
      <protection locked="0"/>
    </xf>
    <xf numFmtId="0" fontId="37" fillId="0" borderId="68" xfId="21" applyFont="1" applyBorder="1" applyAlignment="1" applyProtection="1">
      <alignment horizontal="center" vertical="center" wrapText="1"/>
      <protection locked="0"/>
    </xf>
    <xf numFmtId="0" fontId="28" fillId="0" borderId="68" xfId="2" applyFont="1" applyBorder="1" applyAlignment="1" applyProtection="1">
      <alignment horizontal="center" vertical="center" wrapText="1"/>
      <protection locked="0"/>
    </xf>
    <xf numFmtId="0" fontId="9" fillId="0" borderId="67" xfId="14" applyFont="1" applyBorder="1" applyAlignment="1">
      <alignment horizontal="center" vertical="center" wrapText="1"/>
    </xf>
    <xf numFmtId="0" fontId="22" fillId="0" borderId="68" xfId="0" applyFont="1" applyBorder="1" applyAlignment="1">
      <alignment horizontal="center" vertical="center" wrapText="1"/>
    </xf>
    <xf numFmtId="0" fontId="22" fillId="0" borderId="68" xfId="0" applyFont="1" applyBorder="1" applyAlignment="1">
      <alignment horizontal="center" vertical="center"/>
    </xf>
    <xf numFmtId="0" fontId="9" fillId="8" borderId="68" xfId="7" applyFont="1" applyFill="1" applyBorder="1" applyAlignment="1" applyProtection="1">
      <alignment horizontal="center" vertical="center"/>
      <protection locked="0"/>
    </xf>
    <xf numFmtId="0" fontId="6" fillId="0" borderId="68" xfId="0" applyFont="1" applyBorder="1"/>
    <xf numFmtId="0" fontId="6" fillId="0" borderId="68" xfId="0" applyFont="1" applyBorder="1" applyAlignment="1">
      <alignment horizontal="center"/>
    </xf>
    <xf numFmtId="0" fontId="9" fillId="0" borderId="68" xfId="7" applyFont="1" applyFill="1" applyBorder="1" applyAlignment="1">
      <alignment horizontal="center" vertical="center"/>
    </xf>
    <xf numFmtId="0" fontId="22" fillId="0" borderId="68" xfId="0" applyFont="1" applyBorder="1"/>
    <xf numFmtId="0" fontId="1" fillId="0" borderId="22" xfId="10" applyFont="1" applyBorder="1"/>
    <xf numFmtId="0" fontId="1" fillId="0" borderId="22" xfId="10" applyFont="1" applyBorder="1" applyAlignment="1">
      <alignment horizontal="left" vertical="center"/>
    </xf>
    <xf numFmtId="0" fontId="1" fillId="0" borderId="20" xfId="10" applyFont="1" applyBorder="1"/>
    <xf numFmtId="0" fontId="1" fillId="0" borderId="52" xfId="10" applyFont="1" applyBorder="1"/>
    <xf numFmtId="0" fontId="1" fillId="0" borderId="21" xfId="10" applyFont="1" applyBorder="1"/>
    <xf numFmtId="0" fontId="1" fillId="7" borderId="68" xfId="10" applyFont="1" applyFill="1" applyBorder="1" applyAlignment="1" applyProtection="1">
      <alignment horizontal="center" vertical="center"/>
      <protection locked="0"/>
    </xf>
    <xf numFmtId="2" fontId="1" fillId="7" borderId="68" xfId="12" applyNumberFormat="1" applyFont="1" applyFill="1" applyBorder="1" applyAlignment="1" applyProtection="1">
      <alignment horizontal="center" vertical="center"/>
      <protection locked="0"/>
    </xf>
    <xf numFmtId="4" fontId="1" fillId="7" borderId="68" xfId="10" applyNumberFormat="1" applyFont="1" applyFill="1" applyBorder="1" applyAlignment="1" applyProtection="1">
      <alignment horizontal="center" vertical="center"/>
      <protection locked="0"/>
    </xf>
    <xf numFmtId="0" fontId="1" fillId="0" borderId="23" xfId="10" applyFont="1" applyBorder="1"/>
    <xf numFmtId="0" fontId="1" fillId="0" borderId="25" xfId="10" applyFont="1" applyBorder="1" applyAlignment="1">
      <alignment wrapText="1"/>
    </xf>
    <xf numFmtId="165" fontId="1" fillId="7" borderId="68" xfId="10" applyNumberFormat="1" applyFont="1" applyFill="1" applyBorder="1" applyAlignment="1" applyProtection="1">
      <alignment horizontal="center" vertical="center"/>
      <protection locked="0"/>
    </xf>
    <xf numFmtId="0" fontId="19" fillId="0" borderId="68" xfId="10" applyFont="1" applyBorder="1" applyAlignment="1">
      <alignment horizontal="left" vertical="center" wrapText="1"/>
    </xf>
    <xf numFmtId="0" fontId="1" fillId="0" borderId="23" xfId="10" applyFont="1" applyBorder="1" applyAlignment="1">
      <alignment horizontal="left" vertical="center"/>
    </xf>
    <xf numFmtId="0" fontId="9" fillId="0" borderId="68" xfId="31" applyFont="1" applyBorder="1" applyAlignment="1" applyProtection="1">
      <alignment horizontal="center" vertical="center" wrapText="1"/>
      <protection locked="0"/>
    </xf>
    <xf numFmtId="0" fontId="43" fillId="0" borderId="27" xfId="0" applyFont="1" applyBorder="1" applyAlignment="1" applyProtection="1">
      <alignment horizontal="center" vertical="center" wrapText="1"/>
      <protection locked="0"/>
    </xf>
    <xf numFmtId="0" fontId="42" fillId="0" borderId="25" xfId="0" applyFont="1" applyBorder="1" applyAlignment="1" applyProtection="1">
      <alignment horizontal="center" vertical="center" wrapText="1"/>
      <protection locked="0"/>
    </xf>
    <xf numFmtId="0" fontId="44" fillId="0" borderId="27" xfId="0" applyFont="1" applyBorder="1" applyAlignment="1" applyProtection="1">
      <alignment horizontal="center" vertical="center" wrapText="1"/>
      <protection locked="0"/>
    </xf>
    <xf numFmtId="0" fontId="44" fillId="0" borderId="26" xfId="0" applyFont="1" applyBorder="1" applyAlignment="1" applyProtection="1">
      <alignment horizontal="center" vertical="center" wrapText="1"/>
      <protection locked="0"/>
    </xf>
    <xf numFmtId="0" fontId="44" fillId="0" borderId="25" xfId="0" applyFont="1" applyBorder="1" applyAlignment="1" applyProtection="1">
      <alignment horizontal="center" vertical="center" wrapText="1"/>
      <protection locked="0"/>
    </xf>
    <xf numFmtId="0" fontId="42" fillId="12" borderId="69" xfId="25" applyFont="1" applyFill="1" applyBorder="1" applyAlignment="1" applyProtection="1">
      <alignment horizontal="center" vertical="center" wrapText="1"/>
      <protection locked="0"/>
    </xf>
    <xf numFmtId="0" fontId="7" fillId="0" borderId="68" xfId="2" applyFont="1" applyBorder="1" applyAlignment="1">
      <alignment horizontal="left" vertical="center" wrapText="1"/>
    </xf>
    <xf numFmtId="0" fontId="7" fillId="0" borderId="1" xfId="19" applyFont="1" applyBorder="1" applyAlignment="1" applyProtection="1">
      <alignment horizontal="left" vertical="center" wrapText="1"/>
      <protection locked="0"/>
    </xf>
    <xf numFmtId="0" fontId="1" fillId="11" borderId="9" xfId="20" applyFont="1" applyFill="1" applyBorder="1" applyAlignment="1" applyProtection="1">
      <alignment horizontal="left" vertical="center" wrapText="1"/>
      <protection locked="0"/>
    </xf>
    <xf numFmtId="0" fontId="7" fillId="0" borderId="15" xfId="3" applyFont="1" applyBorder="1" applyAlignment="1" applyProtection="1">
      <alignment vertical="center" wrapText="1"/>
      <protection locked="0"/>
    </xf>
    <xf numFmtId="0" fontId="7" fillId="0" borderId="70" xfId="0" applyFont="1" applyBorder="1" applyAlignment="1">
      <alignment horizontal="center" vertical="center" wrapText="1"/>
    </xf>
    <xf numFmtId="0" fontId="7" fillId="0" borderId="71" xfId="0" applyFont="1" applyBorder="1" applyAlignment="1">
      <alignment horizontal="left" vertical="center" wrapText="1"/>
    </xf>
    <xf numFmtId="0" fontId="7" fillId="0" borderId="72" xfId="0" applyFont="1" applyBorder="1" applyAlignment="1">
      <alignment horizontal="left" vertical="center" wrapText="1"/>
    </xf>
    <xf numFmtId="0" fontId="7" fillId="11" borderId="48" xfId="0" applyFont="1" applyFill="1" applyBorder="1" applyAlignment="1">
      <alignment horizontal="left" vertical="top" wrapText="1"/>
    </xf>
    <xf numFmtId="0" fontId="7" fillId="0" borderId="68" xfId="2" applyFont="1" applyBorder="1" applyAlignment="1" applyProtection="1">
      <alignment horizontal="center" vertical="top" wrapText="1"/>
      <protection locked="0"/>
    </xf>
    <xf numFmtId="0" fontId="7" fillId="4" borderId="68" xfId="2" applyFont="1" applyFill="1" applyBorder="1" applyAlignment="1" applyProtection="1">
      <alignment horizontal="center" wrapText="1"/>
      <protection locked="0"/>
    </xf>
    <xf numFmtId="0" fontId="7" fillId="0" borderId="1" xfId="3" applyFont="1" applyBorder="1" applyAlignment="1" applyProtection="1">
      <alignment vertical="center" wrapText="1"/>
      <protection locked="0"/>
    </xf>
    <xf numFmtId="0" fontId="7" fillId="4" borderId="68" xfId="2" applyFont="1" applyFill="1" applyBorder="1" applyAlignment="1" applyProtection="1">
      <alignment horizontal="center" vertical="center" wrapText="1"/>
      <protection locked="0"/>
    </xf>
    <xf numFmtId="0" fontId="7" fillId="4" borderId="15" xfId="2" applyFont="1" applyFill="1" applyBorder="1" applyAlignment="1" applyProtection="1">
      <alignment horizontal="left" vertical="center" wrapText="1"/>
      <protection locked="0"/>
    </xf>
    <xf numFmtId="0" fontId="7" fillId="4" borderId="68" xfId="2" applyFont="1" applyFill="1" applyBorder="1" applyAlignment="1" applyProtection="1">
      <alignment horizontal="left" vertical="center"/>
      <protection locked="0"/>
    </xf>
    <xf numFmtId="0" fontId="7" fillId="0" borderId="68" xfId="31" applyFont="1" applyBorder="1" applyAlignment="1" applyProtection="1">
      <alignment horizontal="center" vertical="center" wrapText="1"/>
      <protection locked="0"/>
    </xf>
    <xf numFmtId="0" fontId="7" fillId="0" borderId="68" xfId="20" applyFont="1" applyBorder="1" applyAlignment="1" applyProtection="1">
      <alignment horizontal="left" vertical="center" wrapText="1"/>
      <protection locked="0"/>
    </xf>
    <xf numFmtId="0" fontId="7" fillId="11" borderId="68" xfId="20" applyFont="1" applyFill="1" applyBorder="1" applyAlignment="1" applyProtection="1">
      <alignment horizontal="left" vertical="center" wrapText="1"/>
      <protection locked="0"/>
    </xf>
    <xf numFmtId="0" fontId="7" fillId="0" borderId="9" xfId="31"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7" fillId="0" borderId="9" xfId="3" applyFont="1" applyBorder="1" applyAlignment="1" applyProtection="1">
      <alignment vertical="center" wrapText="1"/>
      <protection locked="0"/>
    </xf>
    <xf numFmtId="0" fontId="7" fillId="0" borderId="9" xfId="2" applyFont="1" applyBorder="1" applyAlignment="1">
      <alignment horizontal="left" vertical="center" wrapText="1"/>
    </xf>
    <xf numFmtId="0" fontId="7" fillId="0" borderId="9" xfId="2" applyFont="1" applyBorder="1" applyAlignment="1" applyProtection="1">
      <alignment horizontal="center" vertical="center" wrapText="1"/>
      <protection locked="0"/>
    </xf>
    <xf numFmtId="0" fontId="39" fillId="0" borderId="58" xfId="3" applyFont="1" applyBorder="1" applyAlignment="1" applyProtection="1">
      <alignment horizontal="left" vertical="center" wrapText="1"/>
      <protection locked="0"/>
    </xf>
    <xf numFmtId="0" fontId="37" fillId="9" borderId="0" xfId="0" applyFont="1" applyFill="1" applyAlignment="1" applyProtection="1">
      <alignment horizontal="left" vertical="center" wrapText="1"/>
      <protection locked="0"/>
    </xf>
    <xf numFmtId="0" fontId="37" fillId="0" borderId="0" xfId="3" applyFont="1" applyAlignment="1" applyProtection="1">
      <alignment horizontal="left" vertical="center" wrapText="1"/>
      <protection locked="0"/>
    </xf>
    <xf numFmtId="0" fontId="7" fillId="11" borderId="71" xfId="0" applyFont="1" applyFill="1" applyBorder="1" applyAlignment="1">
      <alignment horizontal="left" vertical="center" wrapText="1"/>
    </xf>
    <xf numFmtId="0" fontId="7" fillId="0" borderId="68" xfId="2" applyFont="1" applyBorder="1" applyAlignment="1" applyProtection="1">
      <alignment horizontal="left" vertical="center" wrapText="1"/>
      <protection locked="0"/>
    </xf>
    <xf numFmtId="0" fontId="7" fillId="0" borderId="67" xfId="2" applyFont="1" applyBorder="1" applyAlignment="1" applyProtection="1">
      <alignment horizontal="left" vertical="center" wrapText="1"/>
      <protection locked="0"/>
    </xf>
    <xf numFmtId="0" fontId="7" fillId="0" borderId="73" xfId="31" applyFont="1" applyBorder="1" applyAlignment="1" applyProtection="1">
      <alignment horizontal="center" vertical="center" wrapText="1"/>
      <protection locked="0"/>
    </xf>
    <xf numFmtId="0" fontId="7" fillId="0" borderId="66" xfId="31" applyFont="1" applyBorder="1" applyAlignment="1" applyProtection="1">
      <alignment horizontal="center" vertical="center" wrapText="1"/>
      <protection locked="0"/>
    </xf>
    <xf numFmtId="0" fontId="7" fillId="0" borderId="74" xfId="31" applyFont="1" applyBorder="1" applyAlignment="1" applyProtection="1">
      <alignment horizontal="center" vertical="center" wrapText="1"/>
      <protection locked="0"/>
    </xf>
    <xf numFmtId="0" fontId="7" fillId="4" borderId="68" xfId="3" applyFont="1" applyFill="1" applyBorder="1" applyAlignment="1" applyProtection="1">
      <alignment horizontal="left" vertical="center" wrapText="1"/>
      <protection locked="0"/>
    </xf>
    <xf numFmtId="0" fontId="1" fillId="4" borderId="68" xfId="2" applyFont="1" applyFill="1" applyBorder="1" applyAlignment="1" applyProtection="1">
      <alignment vertical="center" wrapText="1"/>
      <protection locked="0"/>
    </xf>
    <xf numFmtId="0" fontId="7" fillId="4" borderId="2" xfId="2" applyFont="1" applyFill="1" applyBorder="1" applyAlignment="1">
      <alignment horizontal="center" vertical="center" wrapText="1"/>
    </xf>
    <xf numFmtId="0" fontId="7" fillId="4" borderId="68" xfId="2" applyFont="1" applyFill="1" applyBorder="1" applyAlignment="1">
      <alignment horizontal="center" vertical="center" wrapText="1"/>
    </xf>
    <xf numFmtId="0" fontId="7" fillId="10" borderId="24" xfId="2" applyFont="1" applyFill="1" applyBorder="1" applyAlignment="1" applyProtection="1">
      <alignment horizontal="center" vertical="center"/>
      <protection locked="0"/>
    </xf>
    <xf numFmtId="0" fontId="9" fillId="10" borderId="0" xfId="14" applyFont="1" applyFill="1" applyAlignment="1">
      <alignment horizontal="center" vertical="center" wrapText="1"/>
    </xf>
    <xf numFmtId="0" fontId="20" fillId="10" borderId="0" xfId="0" applyFont="1" applyFill="1" applyAlignment="1">
      <alignment horizontal="center" vertical="center" wrapText="1"/>
    </xf>
    <xf numFmtId="0" fontId="6" fillId="10" borderId="0" xfId="3" applyFont="1" applyFill="1" applyAlignment="1">
      <alignment vertical="top" wrapText="1"/>
    </xf>
    <xf numFmtId="0" fontId="7" fillId="10" borderId="0" xfId="2" applyFont="1" applyFill="1" applyAlignment="1">
      <alignment horizontal="center" vertical="center" wrapText="1"/>
    </xf>
    <xf numFmtId="0" fontId="7" fillId="10" borderId="0" xfId="2" applyFont="1" applyFill="1" applyAlignment="1" applyProtection="1">
      <alignment horizontal="left" vertical="center" wrapText="1"/>
      <protection locked="0"/>
    </xf>
    <xf numFmtId="0" fontId="20" fillId="10" borderId="0" xfId="2" applyFont="1" applyFill="1" applyAlignment="1">
      <alignment horizontal="center" vertical="center" wrapText="1"/>
    </xf>
    <xf numFmtId="0" fontId="7" fillId="10" borderId="15" xfId="2" applyFont="1" applyFill="1" applyBorder="1" applyAlignment="1">
      <alignment horizontal="left" vertical="center" wrapText="1"/>
    </xf>
    <xf numFmtId="0" fontId="7" fillId="10" borderId="0" xfId="3" applyFont="1" applyFill="1" applyAlignment="1">
      <alignment horizontal="center" vertical="center" wrapText="1"/>
    </xf>
    <xf numFmtId="0" fontId="7" fillId="10" borderId="0" xfId="2" applyFont="1" applyFill="1" applyAlignment="1">
      <alignment horizontal="left" vertical="center" wrapText="1"/>
    </xf>
    <xf numFmtId="0" fontId="7" fillId="10" borderId="45" xfId="3" applyFont="1" applyFill="1" applyBorder="1" applyAlignment="1" applyProtection="1">
      <alignment horizontal="left" vertical="center" wrapText="1"/>
      <protection locked="0"/>
    </xf>
    <xf numFmtId="9" fontId="17" fillId="10" borderId="0" xfId="11" applyFont="1" applyFill="1" applyAlignment="1">
      <alignment horizontal="center" vertical="center"/>
    </xf>
    <xf numFmtId="0" fontId="7" fillId="10" borderId="0" xfId="0" applyFont="1" applyFill="1" applyAlignment="1" applyProtection="1">
      <alignment horizontal="center" vertical="center"/>
      <protection locked="0"/>
    </xf>
    <xf numFmtId="0" fontId="7" fillId="10" borderId="0" xfId="3" applyFont="1" applyFill="1" applyProtection="1">
      <protection locked="0"/>
    </xf>
    <xf numFmtId="0" fontId="9" fillId="10" borderId="0" xfId="3" applyFont="1" applyFill="1" applyAlignment="1">
      <alignment horizontal="center" vertical="center"/>
    </xf>
    <xf numFmtId="0" fontId="7" fillId="10" borderId="0" xfId="0" applyFont="1" applyFill="1" applyProtection="1">
      <protection locked="0"/>
    </xf>
    <xf numFmtId="164" fontId="17" fillId="10" borderId="0" xfId="0" applyNumberFormat="1" applyFont="1" applyFill="1" applyAlignment="1">
      <alignment horizontal="center" vertical="center"/>
    </xf>
    <xf numFmtId="0" fontId="7" fillId="10" borderId="2" xfId="2" applyFont="1" applyFill="1" applyBorder="1" applyAlignment="1">
      <alignment horizontal="center" vertical="center" wrapText="1"/>
    </xf>
    <xf numFmtId="0" fontId="52" fillId="10" borderId="68" xfId="31" applyFont="1" applyFill="1" applyBorder="1" applyAlignment="1" applyProtection="1">
      <alignment horizontal="center" vertical="center" wrapText="1"/>
      <protection locked="0"/>
    </xf>
    <xf numFmtId="0" fontId="7" fillId="10" borderId="68" xfId="2" applyFont="1" applyFill="1" applyBorder="1" applyAlignment="1" applyProtection="1">
      <alignment horizontal="center" vertical="center" wrapText="1"/>
      <protection locked="0"/>
    </xf>
    <xf numFmtId="0" fontId="7" fillId="10" borderId="68" xfId="2" applyFont="1" applyFill="1" applyBorder="1" applyAlignment="1" applyProtection="1">
      <alignment vertical="center" wrapText="1"/>
      <protection locked="0"/>
    </xf>
    <xf numFmtId="0" fontId="7" fillId="10" borderId="68" xfId="16" applyFont="1" applyFill="1" applyBorder="1" applyAlignment="1" applyProtection="1">
      <alignment horizontal="center" vertical="center" wrapText="1"/>
      <protection locked="0"/>
    </xf>
    <xf numFmtId="0" fontId="7" fillId="10" borderId="68" xfId="3" applyFont="1" applyFill="1" applyBorder="1" applyAlignment="1" applyProtection="1">
      <alignment horizontal="center" vertical="center" wrapText="1"/>
      <protection locked="0"/>
    </xf>
    <xf numFmtId="9" fontId="17" fillId="10" borderId="0" xfId="11" applyFont="1" applyFill="1" applyAlignment="1" applyProtection="1">
      <alignment horizontal="center" vertical="center"/>
      <protection locked="0"/>
    </xf>
    <xf numFmtId="0" fontId="9" fillId="10" borderId="0" xfId="3" applyFont="1" applyFill="1" applyAlignment="1" applyProtection="1">
      <alignment horizontal="center" vertical="center"/>
      <protection locked="0"/>
    </xf>
    <xf numFmtId="164" fontId="17" fillId="10" borderId="0" xfId="0" applyNumberFormat="1" applyFont="1" applyFill="1" applyAlignment="1" applyProtection="1">
      <alignment horizontal="center" vertical="center"/>
      <protection locked="0"/>
    </xf>
    <xf numFmtId="0" fontId="7" fillId="10" borderId="7" xfId="2" applyFont="1" applyFill="1" applyBorder="1" applyAlignment="1" applyProtection="1">
      <alignment horizontal="center" vertical="center"/>
      <protection locked="0"/>
    </xf>
    <xf numFmtId="0" fontId="9" fillId="10" borderId="68" xfId="14" applyFont="1" applyFill="1" applyBorder="1" applyAlignment="1" applyProtection="1">
      <alignment horizontal="center" vertical="center" wrapText="1"/>
      <protection locked="0"/>
    </xf>
    <xf numFmtId="0" fontId="7" fillId="10" borderId="68" xfId="0" applyFont="1" applyFill="1" applyBorder="1" applyAlignment="1" applyProtection="1">
      <alignment horizontal="left" vertical="center" wrapText="1"/>
      <protection locked="0"/>
    </xf>
    <xf numFmtId="0" fontId="7" fillId="10" borderId="68" xfId="2" applyFont="1" applyFill="1" applyBorder="1" applyAlignment="1" applyProtection="1">
      <alignment horizontal="left" vertical="center" wrapText="1"/>
      <protection locked="0"/>
    </xf>
    <xf numFmtId="0" fontId="7" fillId="10" borderId="2" xfId="2" applyFont="1" applyFill="1" applyBorder="1" applyAlignment="1">
      <alignment horizontal="center" vertical="center"/>
    </xf>
    <xf numFmtId="0" fontId="7" fillId="10" borderId="68" xfId="0" applyFont="1" applyFill="1" applyBorder="1" applyAlignment="1" applyProtection="1">
      <alignment horizontal="center" vertical="center" wrapText="1"/>
      <protection locked="0"/>
    </xf>
    <xf numFmtId="0" fontId="7" fillId="10" borderId="1" xfId="3" applyFont="1" applyFill="1" applyBorder="1" applyAlignment="1" applyProtection="1">
      <alignment vertical="center" wrapText="1"/>
      <protection locked="0"/>
    </xf>
    <xf numFmtId="0" fontId="7" fillId="10" borderId="15" xfId="3" applyFont="1" applyFill="1" applyBorder="1" applyAlignment="1" applyProtection="1">
      <alignment horizontal="center" vertical="center" wrapText="1"/>
      <protection locked="0"/>
    </xf>
    <xf numFmtId="0" fontId="7" fillId="10" borderId="68" xfId="3" applyFont="1" applyFill="1" applyBorder="1" applyAlignment="1" applyProtection="1">
      <alignment vertical="center" wrapText="1"/>
      <protection locked="0"/>
    </xf>
    <xf numFmtId="0" fontId="7" fillId="10" borderId="12" xfId="3" applyFont="1" applyFill="1" applyBorder="1" applyAlignment="1" applyProtection="1">
      <alignment vertical="center" wrapText="1"/>
      <protection locked="0"/>
    </xf>
    <xf numFmtId="0" fontId="7" fillId="0" borderId="75" xfId="2" applyFont="1" applyBorder="1" applyAlignment="1" applyProtection="1">
      <alignment horizontal="center" vertical="center"/>
      <protection locked="0"/>
    </xf>
    <xf numFmtId="0" fontId="7" fillId="4" borderId="2" xfId="31" applyFont="1" applyFill="1" applyBorder="1" applyAlignment="1">
      <alignment horizontal="center" vertical="center" wrapText="1"/>
    </xf>
    <xf numFmtId="0" fontId="7" fillId="4" borderId="67" xfId="3" applyFont="1" applyFill="1" applyBorder="1" applyAlignment="1">
      <alignment horizontal="left" vertical="center" wrapText="1"/>
    </xf>
    <xf numFmtId="0" fontId="7" fillId="4" borderId="67" xfId="2" applyFont="1" applyFill="1" applyBorder="1" applyAlignment="1">
      <alignment horizontal="center" vertical="center" wrapText="1"/>
    </xf>
    <xf numFmtId="0" fontId="7" fillId="11" borderId="2" xfId="20" applyFont="1" applyFill="1" applyBorder="1" applyAlignment="1" applyProtection="1">
      <alignment horizontal="left" vertical="center" wrapText="1"/>
      <protection locked="0"/>
    </xf>
    <xf numFmtId="0" fontId="7" fillId="4" borderId="2" xfId="3" applyFont="1" applyFill="1" applyBorder="1" applyAlignment="1">
      <alignment horizontal="center" vertical="center" wrapText="1"/>
    </xf>
    <xf numFmtId="0" fontId="7" fillId="4" borderId="68" xfId="31" applyFont="1" applyFill="1" applyBorder="1" applyAlignment="1">
      <alignment horizontal="center" vertical="center" wrapText="1"/>
    </xf>
    <xf numFmtId="0" fontId="7" fillId="4" borderId="1" xfId="3" applyFont="1" applyFill="1" applyBorder="1" applyAlignment="1">
      <alignment horizontal="left" vertical="center" wrapText="1"/>
    </xf>
    <xf numFmtId="0" fontId="7" fillId="4" borderId="1" xfId="2" applyFont="1" applyFill="1" applyBorder="1" applyAlignment="1">
      <alignment horizontal="center" vertical="center" wrapText="1"/>
    </xf>
    <xf numFmtId="0" fontId="7" fillId="4" borderId="68" xfId="3" applyFont="1" applyFill="1" applyBorder="1" applyAlignment="1">
      <alignment horizontal="center" vertical="center" wrapText="1"/>
    </xf>
    <xf numFmtId="0" fontId="7" fillId="4" borderId="68" xfId="3" applyFont="1" applyFill="1" applyBorder="1" applyAlignment="1">
      <alignment horizontal="left" vertical="center" wrapText="1"/>
    </xf>
    <xf numFmtId="0" fontId="7" fillId="4" borderId="9" xfId="3" applyFont="1" applyFill="1" applyBorder="1" applyAlignment="1">
      <alignment horizontal="left" vertical="center" wrapText="1"/>
    </xf>
    <xf numFmtId="0" fontId="37" fillId="0" borderId="68" xfId="31" applyFont="1" applyBorder="1" applyAlignment="1" applyProtection="1">
      <alignment horizontal="center" vertical="center" wrapText="1"/>
      <protection locked="0"/>
    </xf>
    <xf numFmtId="0" fontId="42" fillId="0" borderId="69" xfId="25" applyFont="1" applyBorder="1" applyAlignment="1" applyProtection="1">
      <alignment horizontal="center" vertical="center" wrapText="1"/>
      <protection locked="0"/>
    </xf>
    <xf numFmtId="0" fontId="51" fillId="10" borderId="68" xfId="31" applyFont="1" applyFill="1" applyBorder="1" applyAlignment="1" applyProtection="1">
      <alignment horizontal="center" vertical="center" wrapText="1"/>
      <protection locked="0"/>
    </xf>
    <xf numFmtId="0" fontId="53" fillId="10" borderId="2" xfId="2" applyFont="1" applyFill="1" applyBorder="1" applyAlignment="1" applyProtection="1">
      <alignment horizontal="left" vertical="center" wrapText="1"/>
      <protection locked="0"/>
    </xf>
    <xf numFmtId="0" fontId="7" fillId="10" borderId="2" xfId="2" applyFont="1" applyFill="1" applyBorder="1" applyAlignment="1" applyProtection="1">
      <alignment horizontal="left" vertical="center" wrapText="1"/>
      <protection locked="0"/>
    </xf>
    <xf numFmtId="0" fontId="10" fillId="10" borderId="12" xfId="3" applyFont="1" applyFill="1" applyBorder="1" applyAlignment="1" applyProtection="1">
      <alignment horizontal="left" vertical="center"/>
      <protection locked="0"/>
    </xf>
    <xf numFmtId="0" fontId="10" fillId="10" borderId="68" xfId="3" applyFont="1" applyFill="1" applyBorder="1" applyAlignment="1" applyProtection="1">
      <alignment vertical="center" wrapText="1"/>
      <protection locked="0"/>
    </xf>
    <xf numFmtId="0" fontId="10" fillId="10" borderId="2" xfId="2" applyFont="1" applyFill="1" applyBorder="1" applyAlignment="1" applyProtection="1">
      <alignment vertical="center" wrapText="1"/>
      <protection locked="0"/>
    </xf>
    <xf numFmtId="0" fontId="10" fillId="10" borderId="2" xfId="2" applyFont="1" applyFill="1" applyBorder="1" applyAlignment="1" applyProtection="1">
      <alignment vertical="top" wrapText="1"/>
      <protection locked="0"/>
    </xf>
    <xf numFmtId="0" fontId="10" fillId="10" borderId="2" xfId="2" applyFont="1" applyFill="1" applyBorder="1" applyAlignment="1" applyProtection="1">
      <alignment horizontal="left" vertical="center" wrapText="1"/>
      <protection locked="0"/>
    </xf>
    <xf numFmtId="0" fontId="10" fillId="10" borderId="70" xfId="0" applyFont="1" applyFill="1" applyBorder="1" applyAlignment="1">
      <alignment horizontal="left" vertical="center" wrapText="1"/>
    </xf>
    <xf numFmtId="0" fontId="10" fillId="10" borderId="70" xfId="0" applyFont="1" applyFill="1" applyBorder="1" applyAlignment="1">
      <alignment vertical="center" wrapText="1"/>
    </xf>
    <xf numFmtId="0" fontId="10" fillId="10" borderId="9" xfId="2" applyFont="1" applyFill="1" applyBorder="1" applyAlignment="1" applyProtection="1">
      <alignment vertical="center" wrapText="1"/>
      <protection locked="0"/>
    </xf>
    <xf numFmtId="0" fontId="10" fillId="10" borderId="15" xfId="3" applyFont="1" applyFill="1" applyBorder="1" applyAlignment="1" applyProtection="1">
      <alignment horizontal="left" vertical="center" wrapText="1"/>
      <protection locked="0"/>
    </xf>
    <xf numFmtId="0" fontId="10" fillId="10" borderId="12" xfId="3" applyFont="1" applyFill="1" applyBorder="1" applyAlignment="1" applyProtection="1">
      <alignment horizontal="left" vertical="center" wrapText="1"/>
      <protection locked="0"/>
    </xf>
    <xf numFmtId="0" fontId="7" fillId="10" borderId="68" xfId="2" applyFont="1" applyFill="1" applyBorder="1" applyAlignment="1">
      <alignment horizontal="left" vertical="center" wrapText="1"/>
    </xf>
    <xf numFmtId="0" fontId="7" fillId="0" borderId="68" xfId="2" applyFont="1" applyBorder="1" applyAlignment="1" applyProtection="1">
      <alignment horizontal="center" vertical="center"/>
      <protection locked="0"/>
    </xf>
    <xf numFmtId="0" fontId="7" fillId="0" borderId="68" xfId="3" applyFont="1" applyBorder="1" applyAlignment="1" applyProtection="1">
      <alignment horizontal="center" vertical="center"/>
      <protection locked="0"/>
    </xf>
    <xf numFmtId="0" fontId="7" fillId="0" borderId="12" xfId="3" applyFont="1" applyBorder="1" applyAlignment="1" applyProtection="1">
      <alignment horizontal="left" vertical="center"/>
      <protection locked="0"/>
    </xf>
    <xf numFmtId="0" fontId="7" fillId="0" borderId="15" xfId="3" applyFont="1" applyBorder="1" applyAlignment="1" applyProtection="1">
      <alignment horizontal="center" vertical="center"/>
      <protection locked="0"/>
    </xf>
    <xf numFmtId="0" fontId="7" fillId="0" borderId="13" xfId="3" applyFont="1" applyBorder="1" applyAlignment="1" applyProtection="1">
      <alignment horizontal="left" vertical="center"/>
      <protection locked="0"/>
    </xf>
    <xf numFmtId="0" fontId="7" fillId="0" borderId="33" xfId="3" applyFont="1" applyBorder="1" applyAlignment="1" applyProtection="1">
      <alignment horizontal="left" vertical="center"/>
      <protection locked="0"/>
    </xf>
    <xf numFmtId="0" fontId="7" fillId="0" borderId="68" xfId="3" applyFont="1" applyBorder="1" applyAlignment="1" applyProtection="1">
      <alignment horizontal="left" vertical="center"/>
      <protection locked="0"/>
    </xf>
    <xf numFmtId="0" fontId="7" fillId="0" borderId="68" xfId="3" applyFont="1" applyBorder="1" applyProtection="1">
      <protection locked="0"/>
    </xf>
    <xf numFmtId="0" fontId="7" fillId="0" borderId="12" xfId="3" applyFont="1" applyBorder="1" applyProtection="1">
      <protection locked="0"/>
    </xf>
    <xf numFmtId="0" fontId="13" fillId="0" borderId="68" xfId="3" applyFont="1" applyBorder="1" applyAlignment="1" applyProtection="1">
      <alignment vertical="center"/>
      <protection locked="0"/>
    </xf>
    <xf numFmtId="0" fontId="13" fillId="0" borderId="12" xfId="3" applyFont="1" applyBorder="1" applyAlignment="1" applyProtection="1">
      <alignment vertical="center"/>
      <protection locked="0"/>
    </xf>
    <xf numFmtId="0" fontId="52" fillId="10" borderId="68" xfId="3" applyFont="1" applyFill="1" applyBorder="1" applyAlignment="1" applyProtection="1">
      <alignment horizontal="left" vertical="center"/>
      <protection locked="0"/>
    </xf>
    <xf numFmtId="0" fontId="42" fillId="0" borderId="68" xfId="3" applyFont="1" applyBorder="1" applyAlignment="1" applyProtection="1">
      <alignment horizontal="left" vertical="center" wrapText="1"/>
      <protection locked="0"/>
    </xf>
    <xf numFmtId="0" fontId="7" fillId="10" borderId="2" xfId="20" applyFont="1" applyFill="1" applyBorder="1" applyAlignment="1" applyProtection="1">
      <alignment horizontal="left" vertical="center" wrapText="1"/>
      <protection locked="0"/>
    </xf>
    <xf numFmtId="0" fontId="37" fillId="0" borderId="2" xfId="2" applyFont="1" applyBorder="1" applyAlignment="1" applyProtection="1">
      <alignment horizontal="left" vertical="center"/>
      <protection locked="0"/>
    </xf>
    <xf numFmtId="0" fontId="7" fillId="0" borderId="2" xfId="2" applyFont="1" applyBorder="1" applyAlignment="1" applyProtection="1">
      <alignment horizontal="left" vertical="top" wrapText="1"/>
      <protection locked="0"/>
    </xf>
    <xf numFmtId="0" fontId="45" fillId="0" borderId="0" xfId="0" applyFont="1" applyProtection="1">
      <protection locked="0"/>
    </xf>
    <xf numFmtId="0" fontId="42" fillId="0" borderId="2" xfId="2" applyFont="1" applyBorder="1" applyAlignment="1" applyProtection="1">
      <alignment vertical="center" wrapText="1"/>
      <protection locked="0"/>
    </xf>
    <xf numFmtId="0" fontId="42" fillId="0" borderId="1" xfId="31" applyFont="1" applyBorder="1" applyAlignment="1" applyProtection="1">
      <alignment horizontal="center" vertical="center" wrapText="1"/>
      <protection locked="0"/>
    </xf>
    <xf numFmtId="0" fontId="42" fillId="0" borderId="1" xfId="25" applyFont="1" applyBorder="1" applyAlignment="1" applyProtection="1">
      <alignment horizontal="center" vertical="center" wrapText="1"/>
      <protection locked="0"/>
    </xf>
    <xf numFmtId="0" fontId="45" fillId="0" borderId="0" xfId="0" applyFont="1" applyAlignment="1" applyProtection="1">
      <alignment wrapText="1"/>
      <protection locked="0"/>
    </xf>
    <xf numFmtId="0" fontId="37" fillId="0" borderId="68" xfId="3" applyFont="1" applyBorder="1" applyAlignment="1" applyProtection="1">
      <alignment horizontal="left" vertical="center" wrapText="1"/>
      <protection locked="0"/>
    </xf>
    <xf numFmtId="0" fontId="51" fillId="10" borderId="2" xfId="0" applyFont="1" applyFill="1" applyBorder="1" applyAlignment="1" applyProtection="1">
      <alignment horizontal="center" vertical="center" wrapText="1"/>
      <protection locked="0"/>
    </xf>
    <xf numFmtId="0" fontId="7" fillId="0" borderId="68" xfId="20" applyFont="1" applyBorder="1" applyAlignment="1" applyProtection="1">
      <alignment horizontal="left" vertical="top" wrapText="1"/>
      <protection locked="0"/>
    </xf>
    <xf numFmtId="0" fontId="7" fillId="10" borderId="68" xfId="20" applyFont="1" applyFill="1" applyBorder="1" applyAlignment="1" applyProtection="1">
      <alignment horizontal="left" vertical="top" wrapText="1"/>
      <protection locked="0"/>
    </xf>
    <xf numFmtId="0" fontId="10" fillId="10" borderId="2" xfId="2" applyFont="1" applyFill="1" applyBorder="1" applyAlignment="1" applyProtection="1">
      <alignment horizontal="left" vertical="top" wrapText="1"/>
      <protection locked="0"/>
    </xf>
    <xf numFmtId="0" fontId="1" fillId="0" borderId="1" xfId="20" applyFont="1" applyBorder="1" applyAlignment="1" applyProtection="1">
      <alignment horizontal="left" vertical="top" wrapText="1"/>
      <protection locked="0"/>
    </xf>
    <xf numFmtId="0" fontId="1" fillId="0" borderId="68" xfId="20" applyFont="1" applyBorder="1" applyAlignment="1" applyProtection="1">
      <alignment horizontal="left" vertical="top" wrapText="1"/>
      <protection locked="0"/>
    </xf>
    <xf numFmtId="0" fontId="54" fillId="10" borderId="2" xfId="2" applyFont="1" applyFill="1" applyBorder="1" applyAlignment="1" applyProtection="1">
      <alignment vertical="center" wrapText="1"/>
      <protection locked="0"/>
    </xf>
    <xf numFmtId="0" fontId="7" fillId="10" borderId="5" xfId="2" applyFont="1" applyFill="1" applyBorder="1" applyAlignment="1" applyProtection="1">
      <alignment horizontal="center" vertical="center"/>
      <protection locked="0"/>
    </xf>
    <xf numFmtId="0" fontId="7" fillId="10" borderId="2" xfId="31" applyFont="1" applyFill="1" applyBorder="1" applyAlignment="1">
      <alignment horizontal="center" vertical="center" wrapText="1"/>
    </xf>
    <xf numFmtId="0" fontId="7" fillId="10" borderId="0" xfId="3" applyFont="1" applyFill="1" applyAlignment="1">
      <alignment horizontal="left" vertical="center" wrapText="1"/>
    </xf>
    <xf numFmtId="0" fontId="7" fillId="10" borderId="1" xfId="2" applyFont="1" applyFill="1" applyBorder="1" applyAlignment="1">
      <alignment horizontal="left" vertical="center" wrapText="1"/>
    </xf>
    <xf numFmtId="0" fontId="1" fillId="11" borderId="68" xfId="2" applyFont="1" applyFill="1" applyBorder="1" applyAlignment="1" applyProtection="1">
      <alignment horizontal="left" vertical="center" wrapText="1"/>
      <protection locked="0"/>
    </xf>
    <xf numFmtId="0" fontId="7" fillId="0" borderId="25" xfId="2" applyFont="1" applyBorder="1" applyAlignment="1">
      <alignment horizontal="center" vertical="center"/>
    </xf>
    <xf numFmtId="0" fontId="0" fillId="0" borderId="29" xfId="0" applyBorder="1"/>
    <xf numFmtId="0" fontId="0" fillId="0" borderId="30" xfId="0" applyBorder="1"/>
    <xf numFmtId="0" fontId="13" fillId="0" borderId="31" xfId="3" applyFont="1" applyBorder="1" applyAlignment="1" applyProtection="1">
      <alignment horizontal="center" vertical="center" wrapText="1"/>
      <protection locked="0"/>
    </xf>
    <xf numFmtId="0" fontId="0" fillId="0" borderId="26" xfId="0" applyBorder="1"/>
    <xf numFmtId="0" fontId="39" fillId="0" borderId="68" xfId="17" applyFont="1" applyBorder="1" applyAlignment="1" applyProtection="1">
      <alignment horizontal="left" vertical="center" wrapText="1"/>
      <protection locked="0"/>
    </xf>
    <xf numFmtId="0" fontId="0" fillId="0" borderId="67" xfId="0" applyBorder="1"/>
    <xf numFmtId="0" fontId="0" fillId="0" borderId="2" xfId="0" applyBorder="1"/>
    <xf numFmtId="0" fontId="7" fillId="2" borderId="24" xfId="14" applyFont="1" applyFill="1" applyBorder="1" applyAlignment="1">
      <alignment horizontal="center" vertical="center" wrapText="1"/>
    </xf>
    <xf numFmtId="0" fontId="9" fillId="0" borderId="0" xfId="0" applyFont="1" applyProtection="1">
      <protection locked="0"/>
    </xf>
    <xf numFmtId="0" fontId="7" fillId="0" borderId="0" xfId="0" applyFont="1" applyAlignment="1" applyProtection="1">
      <alignment horizontal="center"/>
      <protection locked="0"/>
    </xf>
    <xf numFmtId="0" fontId="7" fillId="0" borderId="0" xfId="0" applyFont="1" applyAlignment="1" applyProtection="1">
      <alignment wrapText="1"/>
      <protection locked="0"/>
    </xf>
    <xf numFmtId="0" fontId="7" fillId="0" borderId="0" xfId="0" applyFont="1" applyProtection="1">
      <protection locked="0"/>
    </xf>
    <xf numFmtId="0" fontId="7" fillId="3" borderId="59" xfId="14" applyFont="1" applyFill="1" applyBorder="1" applyAlignment="1">
      <alignment horizontal="center" vertical="center" wrapText="1"/>
    </xf>
    <xf numFmtId="0" fontId="0" fillId="0" borderId="60" xfId="0" applyBorder="1"/>
    <xf numFmtId="0" fontId="9" fillId="3" borderId="25" xfId="2" applyFont="1" applyFill="1" applyBorder="1" applyAlignment="1">
      <alignment horizontal="center" vertical="center" wrapText="1"/>
    </xf>
    <xf numFmtId="0" fontId="0" fillId="0" borderId="27" xfId="0" applyBorder="1"/>
    <xf numFmtId="0" fontId="7" fillId="5" borderId="25" xfId="2" applyFont="1" applyFill="1" applyBorder="1" applyAlignment="1">
      <alignment horizontal="center" vertical="center"/>
    </xf>
    <xf numFmtId="0" fontId="7" fillId="5" borderId="27" xfId="2" applyFont="1" applyFill="1" applyBorder="1" applyAlignment="1">
      <alignment horizontal="center" vertical="center"/>
    </xf>
    <xf numFmtId="0" fontId="0" fillId="0" borderId="63" xfId="0" applyBorder="1"/>
    <xf numFmtId="0" fontId="0" fillId="0" borderId="49" xfId="0" applyBorder="1"/>
    <xf numFmtId="0" fontId="25" fillId="0" borderId="33" xfId="3" applyFont="1" applyBorder="1" applyAlignment="1" applyProtection="1">
      <alignment horizontal="center" vertical="center" wrapText="1"/>
      <protection locked="0"/>
    </xf>
    <xf numFmtId="0" fontId="0" fillId="0" borderId="47" xfId="0" applyBorder="1"/>
    <xf numFmtId="0" fontId="1" fillId="0" borderId="25" xfId="10" applyFont="1" applyBorder="1" applyAlignment="1">
      <alignment horizontal="center" vertical="top" textRotation="90"/>
    </xf>
    <xf numFmtId="0" fontId="1" fillId="0" borderId="25" xfId="10" applyFont="1" applyBorder="1" applyAlignment="1">
      <alignment horizontal="center" vertical="top" textRotation="90" wrapText="1"/>
    </xf>
    <xf numFmtId="0" fontId="55" fillId="0" borderId="0" xfId="0" applyFont="1"/>
    <xf numFmtId="0" fontId="55" fillId="0" borderId="68" xfId="0" applyFont="1" applyBorder="1"/>
  </cellXfs>
  <cellStyles count="32">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2 2" xfId="25" xr:uid="{00000000-0005-0000-0000-000019000000}"/>
    <cellStyle name="Normal 2 2 3" xfId="14" xr:uid="{00000000-0005-0000-0000-00000E000000}"/>
    <cellStyle name="Normal 2 2 3 2" xfId="15" xr:uid="{00000000-0005-0000-0000-00000F000000}"/>
    <cellStyle name="Normal 2 2 3 2 2" xfId="21" xr:uid="{00000000-0005-0000-0000-000015000000}"/>
    <cellStyle name="Normal 2 2 3 2 2 2" xfId="31" xr:uid="{00000000-0005-0000-0000-00001F000000}"/>
    <cellStyle name="Normal 2 2 3 2 3" xfId="30" xr:uid="{00000000-0005-0000-0000-00001E000000}"/>
    <cellStyle name="Normal 2 2 3 3" xfId="29" xr:uid="{00000000-0005-0000-0000-00001D000000}"/>
    <cellStyle name="Normal 2 2 4" xfId="23" xr:uid="{00000000-0005-0000-0000-000017000000}"/>
    <cellStyle name="Normal 2 3" xfId="8" xr:uid="{00000000-0005-0000-0000-000008000000}"/>
    <cellStyle name="Normal 2 3 2" xfId="24" xr:uid="{00000000-0005-0000-0000-000018000000}"/>
    <cellStyle name="Normal 2 4" xfId="13" xr:uid="{00000000-0005-0000-0000-00000D000000}"/>
    <cellStyle name="Normal 2 4 2" xfId="28" xr:uid="{00000000-0005-0000-0000-00001C000000}"/>
    <cellStyle name="Normal 2 5" xfId="22" xr:uid="{00000000-0005-0000-0000-000016000000}"/>
    <cellStyle name="Normal 3" xfId="3" xr:uid="{00000000-0005-0000-0000-000003000000}"/>
    <cellStyle name="Normal 3 2" xfId="6" xr:uid="{00000000-0005-0000-0000-000006000000}"/>
    <cellStyle name="Normal 3 3" xfId="17" xr:uid="{00000000-0005-0000-0000-000011000000}"/>
    <cellStyle name="Normal 3 5 2" xfId="20" xr:uid="{00000000-0005-0000-0000-000014000000}"/>
    <cellStyle name="Normal 4" xfId="5" xr:uid="{00000000-0005-0000-0000-000005000000}"/>
    <cellStyle name="Normal 4 2" xfId="10" xr:uid="{00000000-0005-0000-0000-00000A000000}"/>
    <cellStyle name="Normal 4 2 2" xfId="12" xr:uid="{00000000-0005-0000-0000-00000C000000}"/>
    <cellStyle name="Normal 4 2 2 2" xfId="27" xr:uid="{00000000-0005-0000-0000-00001B000000}"/>
    <cellStyle name="Normal 4 2 3" xfId="26" xr:uid="{00000000-0005-0000-0000-00001A000000}"/>
    <cellStyle name="Normal 5" xfId="2" xr:uid="{00000000-0005-0000-0000-000002000000}"/>
    <cellStyle name="Normal 6" xfId="16" xr:uid="{00000000-0005-0000-0000-000010000000}"/>
    <cellStyle name="Normal 8 2" xfId="19" xr:uid="{00000000-0005-0000-0000-000013000000}"/>
    <cellStyle name="Percent" xfId="11" builtinId="5"/>
    <cellStyle name="Percent 3" xfId="18" xr:uid="{00000000-0005-0000-0000-000012000000}"/>
  </cellStyles>
  <dxfs count="1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BI225"/>
  <sheetViews>
    <sheetView topLeftCell="B1" zoomScale="80" zoomScaleNormal="100" workbookViewId="0">
      <pane xSplit="6" ySplit="4" topLeftCell="H5" activePane="bottomRight" state="frozen"/>
      <selection pane="topRight" activeCell="H1" sqref="H1"/>
      <selection pane="bottomLeft" activeCell="B5" sqref="B5"/>
      <selection pane="bottomRight" activeCell="E8" sqref="E8"/>
    </sheetView>
  </sheetViews>
  <sheetFormatPr baseColWidth="10" defaultColWidth="8.83203125" defaultRowHeight="16" outlineLevelCol="1" x14ac:dyDescent="0.2"/>
  <cols>
    <col min="1" max="1" width="7.5" style="69" hidden="1" customWidth="1"/>
    <col min="2" max="2" width="26" style="87" customWidth="1"/>
    <col min="3" max="3" width="19.6640625" style="86" customWidth="1"/>
    <col min="4" max="4" width="31.6640625" style="85" customWidth="1"/>
    <col min="5" max="5" width="10.5" style="69" customWidth="1"/>
    <col min="6" max="6" width="83.83203125" style="69" customWidth="1"/>
    <col min="7" max="7" width="10.5" style="69" customWidth="1"/>
    <col min="8" max="8" width="15.83203125" style="69" customWidth="1"/>
    <col min="9" max="9" width="17.6640625" style="69" hidden="1" customWidth="1"/>
    <col min="10" max="10" width="24.33203125" style="69" customWidth="1"/>
    <col min="11" max="11" width="32.6640625" style="69" bestFit="1" customWidth="1"/>
    <col min="12" max="12" width="41.6640625" style="69" bestFit="1" customWidth="1"/>
    <col min="13" max="13" width="33" style="69" hidden="1" customWidth="1"/>
    <col min="14" max="14" width="47.5" style="69" hidden="1" customWidth="1"/>
    <col min="15" max="15" width="22.5" style="69" hidden="1" customWidth="1"/>
    <col min="16" max="16" width="88" style="69" hidden="1" customWidth="1"/>
    <col min="17" max="17" width="15" style="127" hidden="1" customWidth="1"/>
    <col min="18" max="18" width="8.83203125" style="75" hidden="1" customWidth="1"/>
    <col min="19" max="19" width="8.83203125" style="69" hidden="1" customWidth="1"/>
    <col min="20" max="20" width="17.6640625" style="77" hidden="1" customWidth="1"/>
    <col min="21" max="21" width="6.33203125" style="69" hidden="1" customWidth="1" outlineLevel="1"/>
    <col min="22" max="22" width="7.5" style="69" hidden="1" customWidth="1"/>
    <col min="23" max="23" width="6.33203125" style="69" hidden="1" customWidth="1"/>
    <col min="24" max="24" width="19.5" style="126" hidden="1" customWidth="1"/>
    <col min="25" max="25" width="11.5" style="126" hidden="1" customWidth="1"/>
    <col min="26" max="26" width="15.83203125" style="69" hidden="1" customWidth="1" outlineLevel="1"/>
    <col min="27" max="28" width="8.83203125" style="69" hidden="1" customWidth="1"/>
    <col min="29" max="61" width="13" style="69" hidden="1" customWidth="1"/>
    <col min="62" max="62" width="5.83203125" style="69" customWidth="1"/>
    <col min="63" max="63" width="8.83203125" style="69" customWidth="1"/>
    <col min="64" max="16384" width="8.83203125" style="69"/>
  </cols>
  <sheetData>
    <row r="1" spans="1:26" ht="18.75" customHeight="1" thickBot="1" x14ac:dyDescent="0.25">
      <c r="A1" s="605" t="s">
        <v>0</v>
      </c>
      <c r="B1" s="606"/>
      <c r="C1" s="607"/>
      <c r="D1" s="608"/>
      <c r="E1" s="609"/>
      <c r="F1" s="609"/>
      <c r="G1" s="609"/>
      <c r="H1" s="609"/>
      <c r="I1" s="609"/>
      <c r="J1" s="609"/>
      <c r="K1" s="609"/>
      <c r="L1" s="609"/>
      <c r="M1" s="609"/>
      <c r="N1" s="609"/>
      <c r="O1" s="609"/>
      <c r="P1" s="609"/>
      <c r="Q1" s="139"/>
      <c r="R1" s="62"/>
      <c r="T1" s="62"/>
      <c r="X1" s="108"/>
      <c r="Y1" s="108"/>
    </row>
    <row r="2" spans="1:26" ht="15" customHeight="1" thickBot="1" x14ac:dyDescent="0.25">
      <c r="A2" s="610" t="s">
        <v>1</v>
      </c>
      <c r="B2" s="611"/>
      <c r="C2" s="611"/>
      <c r="D2" s="611"/>
      <c r="E2" s="611"/>
      <c r="F2" s="611"/>
      <c r="G2" s="611"/>
      <c r="H2" s="611"/>
      <c r="I2" s="611"/>
      <c r="J2" s="611"/>
      <c r="K2" s="611"/>
      <c r="L2" s="611"/>
      <c r="M2" s="611"/>
      <c r="N2" s="611"/>
      <c r="O2" s="611"/>
      <c r="P2" s="612" t="s">
        <v>2</v>
      </c>
      <c r="Q2" s="139"/>
      <c r="R2" s="62"/>
      <c r="X2" s="108"/>
      <c r="Y2" s="108"/>
    </row>
    <row r="3" spans="1:26" s="87" customFormat="1" ht="61.5" customHeight="1" thickBot="1" x14ac:dyDescent="0.25">
      <c r="A3" s="84" t="s">
        <v>3</v>
      </c>
      <c r="B3" s="83" t="s">
        <v>4</v>
      </c>
      <c r="C3" s="81" t="s">
        <v>5</v>
      </c>
      <c r="D3" s="83" t="s">
        <v>6</v>
      </c>
      <c r="E3" s="82" t="s">
        <v>7</v>
      </c>
      <c r="F3" s="82" t="s">
        <v>8</v>
      </c>
      <c r="G3" s="82" t="s">
        <v>7</v>
      </c>
      <c r="H3" s="83" t="s">
        <v>9</v>
      </c>
      <c r="I3" s="82" t="s">
        <v>10</v>
      </c>
      <c r="J3" s="81" t="s">
        <v>11</v>
      </c>
      <c r="K3" s="81" t="s">
        <v>12</v>
      </c>
      <c r="L3" s="80" t="s">
        <v>13</v>
      </c>
      <c r="M3" s="80" t="s">
        <v>14</v>
      </c>
      <c r="N3" s="79" t="s">
        <v>15</v>
      </c>
      <c r="O3" s="79" t="s">
        <v>16</v>
      </c>
      <c r="P3" s="613"/>
      <c r="Q3" s="106" t="s">
        <v>17</v>
      </c>
      <c r="R3" s="94"/>
      <c r="T3" s="140" t="s">
        <v>18</v>
      </c>
      <c r="X3" s="106" t="s">
        <v>19</v>
      </c>
      <c r="Y3" s="107" t="s">
        <v>20</v>
      </c>
      <c r="Z3" s="107" t="s">
        <v>21</v>
      </c>
    </row>
    <row r="4" spans="1:26" ht="18" customHeight="1" thickBot="1" x14ac:dyDescent="0.25">
      <c r="A4" s="614" t="s">
        <v>22</v>
      </c>
      <c r="B4" s="598"/>
      <c r="C4" s="598"/>
      <c r="D4" s="598"/>
      <c r="E4" s="598"/>
      <c r="F4" s="598"/>
      <c r="G4" s="598"/>
      <c r="H4" s="598"/>
      <c r="I4" s="598"/>
      <c r="J4" s="598"/>
      <c r="K4" s="598"/>
      <c r="L4" s="598"/>
      <c r="M4" s="598"/>
      <c r="N4" s="598"/>
      <c r="O4" s="598"/>
      <c r="P4" s="599"/>
      <c r="Q4" s="139"/>
      <c r="R4" s="62"/>
      <c r="T4" s="77" t="s">
        <v>23</v>
      </c>
      <c r="X4" s="108"/>
      <c r="Y4" s="191" t="str">
        <f>IF(X4="","",X4*V4)</f>
        <v/>
      </c>
      <c r="Z4" s="62" t="str">
        <f t="shared" ref="Z4:Z23" si="0">IF(T4="yes",Y4,"")</f>
        <v/>
      </c>
    </row>
    <row r="5" spans="1:26" ht="26.25" customHeight="1" x14ac:dyDescent="0.2">
      <c r="A5" s="17" t="s">
        <v>24</v>
      </c>
      <c r="B5" s="92" t="s">
        <v>25</v>
      </c>
      <c r="C5" s="212"/>
      <c r="D5" s="66" t="s">
        <v>25</v>
      </c>
      <c r="E5" s="65">
        <f t="shared" ref="E5:E19" si="1">LEN(D5)</f>
        <v>5</v>
      </c>
      <c r="F5" s="380" t="s">
        <v>25</v>
      </c>
      <c r="G5" s="65">
        <f t="shared" ref="G5:G19" si="2">LEN(F5)</f>
        <v>5</v>
      </c>
      <c r="H5" s="65" t="s">
        <v>26</v>
      </c>
      <c r="I5" s="65" t="s">
        <v>24</v>
      </c>
      <c r="J5" s="65" t="s">
        <v>24</v>
      </c>
      <c r="K5" s="65" t="s">
        <v>27</v>
      </c>
      <c r="L5" s="64" t="s">
        <v>28</v>
      </c>
      <c r="M5" s="78" t="s">
        <v>24</v>
      </c>
      <c r="N5" s="78" t="s">
        <v>24</v>
      </c>
      <c r="O5" s="11"/>
      <c r="P5" s="8"/>
      <c r="Q5" s="139"/>
      <c r="R5" s="62"/>
      <c r="T5" s="77" t="s">
        <v>23</v>
      </c>
      <c r="X5" s="192">
        <v>0</v>
      </c>
      <c r="Y5" s="191">
        <f t="shared" ref="Y5:Y23" si="3">IF(X5="","",X5*Q5)</f>
        <v>0</v>
      </c>
      <c r="Z5" s="62" t="str">
        <f t="shared" si="0"/>
        <v/>
      </c>
    </row>
    <row r="6" spans="1:26" s="354" customFormat="1" ht="34" customHeight="1" x14ac:dyDescent="0.2">
      <c r="A6" s="344" t="s">
        <v>24</v>
      </c>
      <c r="B6" s="345" t="s">
        <v>29</v>
      </c>
      <c r="C6" s="346" t="s">
        <v>29</v>
      </c>
      <c r="D6" s="399" t="s">
        <v>30</v>
      </c>
      <c r="E6" s="347">
        <f t="shared" si="1"/>
        <v>48</v>
      </c>
      <c r="F6" s="347"/>
      <c r="G6" s="347">
        <f t="shared" si="2"/>
        <v>0</v>
      </c>
      <c r="H6" s="347" t="s">
        <v>26</v>
      </c>
      <c r="I6" s="347" t="s">
        <v>24</v>
      </c>
      <c r="J6" s="347" t="s">
        <v>24</v>
      </c>
      <c r="K6" s="347" t="s">
        <v>27</v>
      </c>
      <c r="L6" s="348" t="s">
        <v>31</v>
      </c>
      <c r="M6" s="349" t="s">
        <v>24</v>
      </c>
      <c r="N6" s="349" t="s">
        <v>24</v>
      </c>
      <c r="O6" s="350"/>
      <c r="P6" s="351"/>
      <c r="Q6" s="352"/>
      <c r="R6" s="353"/>
      <c r="T6" s="355" t="s">
        <v>32</v>
      </c>
      <c r="X6" s="356">
        <v>0</v>
      </c>
      <c r="Y6" s="357">
        <f t="shared" si="3"/>
        <v>0</v>
      </c>
      <c r="Z6" s="353">
        <f t="shared" si="0"/>
        <v>0</v>
      </c>
    </row>
    <row r="7" spans="1:26" ht="157.5" customHeight="1" x14ac:dyDescent="0.2">
      <c r="A7" s="10" t="s">
        <v>24</v>
      </c>
      <c r="B7" s="400" t="s">
        <v>33</v>
      </c>
      <c r="C7" s="67" t="s">
        <v>33</v>
      </c>
      <c r="D7" s="401" t="s">
        <v>34</v>
      </c>
      <c r="E7" s="360">
        <f t="shared" si="1"/>
        <v>146</v>
      </c>
      <c r="F7" s="379" t="s">
        <v>35</v>
      </c>
      <c r="G7" s="360">
        <f t="shared" si="2"/>
        <v>210</v>
      </c>
      <c r="H7" s="402" t="s">
        <v>36</v>
      </c>
      <c r="I7" s="360" t="s">
        <v>24</v>
      </c>
      <c r="J7" s="360" t="s">
        <v>24</v>
      </c>
      <c r="K7" s="360" t="s">
        <v>37</v>
      </c>
      <c r="L7" s="72" t="s">
        <v>38</v>
      </c>
      <c r="M7" s="78" t="s">
        <v>24</v>
      </c>
      <c r="N7" s="215" t="s">
        <v>24</v>
      </c>
      <c r="O7" s="216"/>
      <c r="P7" s="9"/>
      <c r="Q7" s="139"/>
      <c r="R7" s="62"/>
      <c r="T7" s="77" t="s">
        <v>23</v>
      </c>
      <c r="X7" s="192">
        <v>14.69530773162842</v>
      </c>
      <c r="Y7" s="191">
        <f t="shared" si="3"/>
        <v>0</v>
      </c>
      <c r="Z7" s="62" t="str">
        <f t="shared" si="0"/>
        <v/>
      </c>
    </row>
    <row r="8" spans="1:26" ht="37.5" customHeight="1" x14ac:dyDescent="0.2">
      <c r="A8" s="10" t="s">
        <v>24</v>
      </c>
      <c r="B8" s="400" t="s">
        <v>39</v>
      </c>
      <c r="C8" s="67" t="s">
        <v>40</v>
      </c>
      <c r="D8" s="403" t="s">
        <v>41</v>
      </c>
      <c r="E8" s="360">
        <f t="shared" si="1"/>
        <v>29</v>
      </c>
      <c r="F8" s="379" t="s">
        <v>42</v>
      </c>
      <c r="G8" s="360">
        <f t="shared" si="2"/>
        <v>34</v>
      </c>
      <c r="H8" s="402" t="s">
        <v>24</v>
      </c>
      <c r="I8" s="402" t="s">
        <v>24</v>
      </c>
      <c r="J8" s="402" t="s">
        <v>24</v>
      </c>
      <c r="K8" s="402" t="s">
        <v>24</v>
      </c>
      <c r="L8" s="217" t="s">
        <v>43</v>
      </c>
      <c r="M8" s="78" t="s">
        <v>24</v>
      </c>
      <c r="N8" s="218" t="s">
        <v>24</v>
      </c>
      <c r="O8" s="219"/>
      <c r="P8" s="220"/>
      <c r="Q8" s="139"/>
      <c r="R8" s="62"/>
      <c r="T8" s="77" t="s">
        <v>23</v>
      </c>
      <c r="X8" s="192">
        <v>0</v>
      </c>
      <c r="Y8" s="191">
        <f t="shared" si="3"/>
        <v>0</v>
      </c>
      <c r="Z8" s="62" t="str">
        <f t="shared" si="0"/>
        <v/>
      </c>
    </row>
    <row r="9" spans="1:26" ht="37.5" customHeight="1" x14ac:dyDescent="0.2">
      <c r="A9" s="10" t="s">
        <v>24</v>
      </c>
      <c r="B9" s="400" t="s">
        <v>44</v>
      </c>
      <c r="C9" s="67" t="s">
        <v>45</v>
      </c>
      <c r="D9" s="403" t="s">
        <v>46</v>
      </c>
      <c r="E9" s="360">
        <f t="shared" si="1"/>
        <v>31</v>
      </c>
      <c r="F9" s="379" t="s">
        <v>47</v>
      </c>
      <c r="G9" s="360">
        <f t="shared" si="2"/>
        <v>32</v>
      </c>
      <c r="H9" s="402" t="s">
        <v>24</v>
      </c>
      <c r="I9" s="402" t="s">
        <v>24</v>
      </c>
      <c r="J9" s="402" t="s">
        <v>24</v>
      </c>
      <c r="K9" s="402" t="s">
        <v>24</v>
      </c>
      <c r="L9" s="217" t="s">
        <v>48</v>
      </c>
      <c r="M9" s="78" t="s">
        <v>24</v>
      </c>
      <c r="N9" s="218" t="s">
        <v>24</v>
      </c>
      <c r="O9" s="219"/>
      <c r="P9" s="220"/>
      <c r="Q9" s="139"/>
      <c r="R9" s="62"/>
      <c r="T9" s="77" t="s">
        <v>23</v>
      </c>
      <c r="X9" s="192">
        <v>0</v>
      </c>
      <c r="Y9" s="191">
        <f t="shared" si="3"/>
        <v>0</v>
      </c>
      <c r="Z9" s="62" t="str">
        <f t="shared" si="0"/>
        <v/>
      </c>
    </row>
    <row r="10" spans="1:26" ht="37.5" customHeight="1" x14ac:dyDescent="0.2">
      <c r="A10" s="10" t="s">
        <v>24</v>
      </c>
      <c r="B10" s="400" t="s">
        <v>49</v>
      </c>
      <c r="C10" s="67" t="s">
        <v>50</v>
      </c>
      <c r="D10" s="403" t="s">
        <v>51</v>
      </c>
      <c r="E10" s="360">
        <f t="shared" si="1"/>
        <v>34</v>
      </c>
      <c r="F10" s="379" t="s">
        <v>52</v>
      </c>
      <c r="G10" s="360">
        <f t="shared" si="2"/>
        <v>51</v>
      </c>
      <c r="H10" s="402" t="s">
        <v>24</v>
      </c>
      <c r="I10" s="402" t="s">
        <v>24</v>
      </c>
      <c r="J10" s="402" t="s">
        <v>24</v>
      </c>
      <c r="K10" s="402" t="s">
        <v>24</v>
      </c>
      <c r="L10" s="217" t="s">
        <v>53</v>
      </c>
      <c r="M10" s="78" t="s">
        <v>24</v>
      </c>
      <c r="N10" s="218" t="s">
        <v>24</v>
      </c>
      <c r="O10" s="219"/>
      <c r="P10" s="220"/>
      <c r="Q10" s="139"/>
      <c r="R10" s="62"/>
      <c r="T10" s="77" t="s">
        <v>23</v>
      </c>
      <c r="X10" s="192">
        <v>0</v>
      </c>
      <c r="Y10" s="191">
        <f t="shared" si="3"/>
        <v>0</v>
      </c>
      <c r="Z10" s="62" t="str">
        <f t="shared" si="0"/>
        <v/>
      </c>
    </row>
    <row r="11" spans="1:26" ht="37.5" customHeight="1" x14ac:dyDescent="0.2">
      <c r="A11" s="10" t="s">
        <v>24</v>
      </c>
      <c r="B11" s="400" t="s">
        <v>54</v>
      </c>
      <c r="C11" s="67" t="s">
        <v>55</v>
      </c>
      <c r="D11" s="403" t="s">
        <v>56</v>
      </c>
      <c r="E11" s="360">
        <f t="shared" si="1"/>
        <v>41</v>
      </c>
      <c r="F11" s="379" t="s">
        <v>57</v>
      </c>
      <c r="G11" s="360">
        <f t="shared" si="2"/>
        <v>75</v>
      </c>
      <c r="H11" s="402" t="s">
        <v>24</v>
      </c>
      <c r="I11" s="402" t="s">
        <v>24</v>
      </c>
      <c r="J11" s="402" t="s">
        <v>24</v>
      </c>
      <c r="K11" s="402" t="s">
        <v>24</v>
      </c>
      <c r="L11" s="217" t="s">
        <v>58</v>
      </c>
      <c r="M11" s="78" t="s">
        <v>24</v>
      </c>
      <c r="N11" s="218" t="s">
        <v>24</v>
      </c>
      <c r="O11" s="219"/>
      <c r="P11" s="220"/>
      <c r="Q11" s="139"/>
      <c r="R11" s="62"/>
      <c r="T11" s="77" t="s">
        <v>23</v>
      </c>
      <c r="X11" s="192">
        <v>0</v>
      </c>
      <c r="Y11" s="191">
        <f t="shared" si="3"/>
        <v>0</v>
      </c>
      <c r="Z11" s="62" t="str">
        <f t="shared" si="0"/>
        <v/>
      </c>
    </row>
    <row r="12" spans="1:26" ht="161.25" customHeight="1" x14ac:dyDescent="0.2">
      <c r="A12" s="10" t="s">
        <v>24</v>
      </c>
      <c r="B12" s="400" t="s">
        <v>59</v>
      </c>
      <c r="C12" s="67" t="s">
        <v>59</v>
      </c>
      <c r="D12" s="221" t="s">
        <v>60</v>
      </c>
      <c r="E12" s="360">
        <f t="shared" si="1"/>
        <v>134</v>
      </c>
      <c r="F12" s="379" t="s">
        <v>61</v>
      </c>
      <c r="G12" s="360">
        <f t="shared" si="2"/>
        <v>161</v>
      </c>
      <c r="H12" s="402" t="s">
        <v>36</v>
      </c>
      <c r="I12" s="360" t="s">
        <v>24</v>
      </c>
      <c r="J12" s="360" t="s">
        <v>24</v>
      </c>
      <c r="K12" s="360" t="s">
        <v>37</v>
      </c>
      <c r="L12" s="222" t="s">
        <v>62</v>
      </c>
      <c r="M12" s="78" t="s">
        <v>24</v>
      </c>
      <c r="N12" s="223" t="s">
        <v>63</v>
      </c>
      <c r="O12" s="224"/>
      <c r="P12" s="225" t="s">
        <v>64</v>
      </c>
      <c r="Q12" s="139"/>
      <c r="R12" s="62"/>
      <c r="T12" s="77" t="s">
        <v>23</v>
      </c>
      <c r="X12" s="192">
        <v>3.103272438049316</v>
      </c>
      <c r="Y12" s="191">
        <f t="shared" si="3"/>
        <v>0</v>
      </c>
      <c r="Z12" s="62" t="str">
        <f t="shared" si="0"/>
        <v/>
      </c>
    </row>
    <row r="13" spans="1:26" ht="393.75" customHeight="1" x14ac:dyDescent="0.2">
      <c r="A13" s="10" t="s">
        <v>24</v>
      </c>
      <c r="B13" s="400" t="s">
        <v>65</v>
      </c>
      <c r="C13" s="67" t="s">
        <v>65</v>
      </c>
      <c r="D13" s="404" t="s">
        <v>66</v>
      </c>
      <c r="E13" s="360">
        <f t="shared" si="1"/>
        <v>1133</v>
      </c>
      <c r="F13" s="562" t="s">
        <v>67</v>
      </c>
      <c r="G13" s="360">
        <f t="shared" si="2"/>
        <v>1652</v>
      </c>
      <c r="H13" s="402" t="s">
        <v>36</v>
      </c>
      <c r="I13" s="360" t="s">
        <v>24</v>
      </c>
      <c r="J13" s="360" t="s">
        <v>24</v>
      </c>
      <c r="K13" s="360" t="s">
        <v>37</v>
      </c>
      <c r="L13" s="72" t="s">
        <v>68</v>
      </c>
      <c r="M13" s="78" t="s">
        <v>24</v>
      </c>
      <c r="N13" s="223" t="s">
        <v>69</v>
      </c>
      <c r="O13" s="224"/>
      <c r="P13" s="225" t="s">
        <v>70</v>
      </c>
      <c r="Q13" s="139"/>
      <c r="R13" s="62"/>
      <c r="T13" s="77" t="s">
        <v>23</v>
      </c>
      <c r="X13" s="192">
        <v>37.418449401855469</v>
      </c>
      <c r="Y13" s="191">
        <f t="shared" si="3"/>
        <v>0</v>
      </c>
      <c r="Z13" s="62" t="str">
        <f t="shared" si="0"/>
        <v/>
      </c>
    </row>
    <row r="14" spans="1:26" s="68" customFormat="1" ht="150" customHeight="1" x14ac:dyDescent="0.2">
      <c r="A14" s="10" t="s">
        <v>24</v>
      </c>
      <c r="B14" s="400" t="s">
        <v>71</v>
      </c>
      <c r="C14" s="67" t="s">
        <v>72</v>
      </c>
      <c r="D14" s="401" t="s">
        <v>73</v>
      </c>
      <c r="E14" s="360">
        <f t="shared" si="1"/>
        <v>134</v>
      </c>
      <c r="F14" s="379" t="s">
        <v>74</v>
      </c>
      <c r="G14" s="360">
        <f t="shared" si="2"/>
        <v>181</v>
      </c>
      <c r="H14" s="402" t="s">
        <v>75</v>
      </c>
      <c r="I14" s="360" t="s">
        <v>24</v>
      </c>
      <c r="J14" s="360" t="s">
        <v>24</v>
      </c>
      <c r="K14" s="360" t="s">
        <v>37</v>
      </c>
      <c r="L14" s="72" t="s">
        <v>76</v>
      </c>
      <c r="M14" s="78" t="s">
        <v>24</v>
      </c>
      <c r="N14" s="72" t="s">
        <v>77</v>
      </c>
      <c r="O14" s="12"/>
      <c r="P14" s="9"/>
      <c r="Q14" s="139">
        <v>1</v>
      </c>
      <c r="R14" s="62"/>
      <c r="T14" s="77" t="s">
        <v>23</v>
      </c>
      <c r="U14" s="69"/>
      <c r="X14" s="192">
        <v>3.805951595306396</v>
      </c>
      <c r="Y14" s="191">
        <f t="shared" si="3"/>
        <v>3.805951595306396</v>
      </c>
      <c r="Z14" s="62" t="str">
        <f t="shared" si="0"/>
        <v/>
      </c>
    </row>
    <row r="15" spans="1:26" s="68" customFormat="1" ht="170.25" customHeight="1" x14ac:dyDescent="0.2">
      <c r="A15" s="10" t="s">
        <v>24</v>
      </c>
      <c r="B15" s="400" t="s">
        <v>78</v>
      </c>
      <c r="C15" s="67" t="s">
        <v>78</v>
      </c>
      <c r="D15" s="405" t="s">
        <v>79</v>
      </c>
      <c r="E15" s="360">
        <f t="shared" si="1"/>
        <v>153</v>
      </c>
      <c r="F15" s="379" t="s">
        <v>80</v>
      </c>
      <c r="G15" s="360">
        <f t="shared" si="2"/>
        <v>201</v>
      </c>
      <c r="H15" s="402" t="s">
        <v>81</v>
      </c>
      <c r="I15" s="360" t="s">
        <v>24</v>
      </c>
      <c r="J15" s="360" t="s">
        <v>24</v>
      </c>
      <c r="K15" s="360" t="s">
        <v>82</v>
      </c>
      <c r="L15" s="72" t="s">
        <v>83</v>
      </c>
      <c r="M15" s="78" t="s">
        <v>24</v>
      </c>
      <c r="N15" s="72" t="s">
        <v>84</v>
      </c>
      <c r="O15" s="12"/>
      <c r="P15" s="9"/>
      <c r="Q15" s="139">
        <v>1</v>
      </c>
      <c r="R15" s="62"/>
      <c r="T15" s="70" t="s">
        <v>23</v>
      </c>
      <c r="U15" s="69"/>
      <c r="X15" s="192">
        <v>0</v>
      </c>
      <c r="Y15" s="191">
        <f t="shared" si="3"/>
        <v>0</v>
      </c>
      <c r="Z15" s="62" t="str">
        <f t="shared" si="0"/>
        <v/>
      </c>
    </row>
    <row r="16" spans="1:26" s="68" customFormat="1" ht="107.25" customHeight="1" x14ac:dyDescent="0.2">
      <c r="A16" s="10" t="s">
        <v>24</v>
      </c>
      <c r="B16" s="400" t="s">
        <v>85</v>
      </c>
      <c r="C16" s="67" t="s">
        <v>86</v>
      </c>
      <c r="D16" s="401" t="s">
        <v>87</v>
      </c>
      <c r="E16" s="360">
        <f t="shared" si="1"/>
        <v>80</v>
      </c>
      <c r="F16" s="379" t="s">
        <v>88</v>
      </c>
      <c r="G16" s="360">
        <f t="shared" si="2"/>
        <v>112</v>
      </c>
      <c r="H16" s="402" t="s">
        <v>26</v>
      </c>
      <c r="I16" s="360" t="s">
        <v>24</v>
      </c>
      <c r="J16" s="360" t="s">
        <v>24</v>
      </c>
      <c r="K16" s="360" t="s">
        <v>89</v>
      </c>
      <c r="L16" s="72" t="s">
        <v>90</v>
      </c>
      <c r="M16" s="78" t="s">
        <v>24</v>
      </c>
      <c r="N16" s="72" t="s">
        <v>91</v>
      </c>
      <c r="O16" s="12"/>
      <c r="P16" s="9"/>
      <c r="Q16" s="139">
        <v>1</v>
      </c>
      <c r="R16" s="62"/>
      <c r="T16" s="70" t="s">
        <v>23</v>
      </c>
      <c r="U16" s="69"/>
      <c r="X16" s="192">
        <v>0</v>
      </c>
      <c r="Y16" s="191">
        <f t="shared" si="3"/>
        <v>0</v>
      </c>
      <c r="Z16" s="62" t="str">
        <f t="shared" si="0"/>
        <v/>
      </c>
    </row>
    <row r="17" spans="1:26" s="68" customFormat="1" ht="195.75" customHeight="1" x14ac:dyDescent="0.2">
      <c r="A17" s="10" t="s">
        <v>24</v>
      </c>
      <c r="B17" s="400" t="s">
        <v>92</v>
      </c>
      <c r="C17" s="67" t="s">
        <v>93</v>
      </c>
      <c r="D17" s="401" t="s">
        <v>94</v>
      </c>
      <c r="E17" s="360">
        <f t="shared" si="1"/>
        <v>176</v>
      </c>
      <c r="F17" s="379" t="s">
        <v>95</v>
      </c>
      <c r="G17" s="360">
        <f t="shared" si="2"/>
        <v>262</v>
      </c>
      <c r="H17" s="402" t="s">
        <v>26</v>
      </c>
      <c r="I17" s="360" t="s">
        <v>24</v>
      </c>
      <c r="J17" s="360" t="s">
        <v>24</v>
      </c>
      <c r="K17" s="360" t="s">
        <v>27</v>
      </c>
      <c r="L17" s="72" t="s">
        <v>96</v>
      </c>
      <c r="M17" s="78" t="s">
        <v>24</v>
      </c>
      <c r="N17" s="215" t="s">
        <v>24</v>
      </c>
      <c r="O17" s="216"/>
      <c r="P17" s="9"/>
      <c r="Q17" s="139">
        <v>1</v>
      </c>
      <c r="R17" s="62"/>
      <c r="T17" s="70" t="s">
        <v>23</v>
      </c>
      <c r="U17" s="69"/>
      <c r="X17" s="192">
        <v>0</v>
      </c>
      <c r="Y17" s="191">
        <f t="shared" si="3"/>
        <v>0</v>
      </c>
      <c r="Z17" s="62" t="str">
        <f t="shared" si="0"/>
        <v/>
      </c>
    </row>
    <row r="18" spans="1:26" s="68" customFormat="1" ht="50.25" customHeight="1" x14ac:dyDescent="0.2">
      <c r="A18" s="10" t="s">
        <v>24</v>
      </c>
      <c r="B18" s="400" t="s">
        <v>97</v>
      </c>
      <c r="C18" s="67" t="s">
        <v>24</v>
      </c>
      <c r="D18" s="401" t="s">
        <v>98</v>
      </c>
      <c r="E18" s="360">
        <f t="shared" si="1"/>
        <v>99</v>
      </c>
      <c r="F18" s="379" t="s">
        <v>99</v>
      </c>
      <c r="G18" s="360">
        <f t="shared" si="2"/>
        <v>209</v>
      </c>
      <c r="H18" s="402" t="s">
        <v>24</v>
      </c>
      <c r="I18" s="360" t="s">
        <v>24</v>
      </c>
      <c r="J18" s="360" t="s">
        <v>24</v>
      </c>
      <c r="K18" s="360" t="s">
        <v>24</v>
      </c>
      <c r="L18" s="72" t="s">
        <v>100</v>
      </c>
      <c r="M18" s="78" t="s">
        <v>24</v>
      </c>
      <c r="N18" s="215" t="s">
        <v>24</v>
      </c>
      <c r="O18" s="216"/>
      <c r="P18" s="9"/>
      <c r="Q18" s="139">
        <v>1</v>
      </c>
      <c r="R18" s="62"/>
      <c r="T18" s="70" t="s">
        <v>23</v>
      </c>
      <c r="U18" s="69"/>
      <c r="X18" s="192">
        <v>0</v>
      </c>
      <c r="Y18" s="191">
        <f t="shared" si="3"/>
        <v>0</v>
      </c>
      <c r="Z18" s="62" t="str">
        <f t="shared" si="0"/>
        <v/>
      </c>
    </row>
    <row r="19" spans="1:26" s="68" customFormat="1" ht="50.25" customHeight="1" thickBot="1" x14ac:dyDescent="0.25">
      <c r="A19" s="226" t="s">
        <v>24</v>
      </c>
      <c r="B19" s="227" t="s">
        <v>101</v>
      </c>
      <c r="C19" s="228" t="s">
        <v>102</v>
      </c>
      <c r="D19" s="229" t="s">
        <v>103</v>
      </c>
      <c r="E19" s="230">
        <f t="shared" si="1"/>
        <v>65</v>
      </c>
      <c r="F19" s="379" t="s">
        <v>104</v>
      </c>
      <c r="G19" s="360">
        <f t="shared" si="2"/>
        <v>98</v>
      </c>
      <c r="H19" s="231" t="s">
        <v>24</v>
      </c>
      <c r="I19" s="230" t="s">
        <v>24</v>
      </c>
      <c r="J19" s="230" t="s">
        <v>24</v>
      </c>
      <c r="K19" s="230" t="s">
        <v>24</v>
      </c>
      <c r="L19" s="232" t="s">
        <v>105</v>
      </c>
      <c r="M19" s="78" t="s">
        <v>24</v>
      </c>
      <c r="N19" s="215" t="s">
        <v>24</v>
      </c>
      <c r="O19" s="233"/>
      <c r="P19" s="234"/>
      <c r="Q19" s="139">
        <v>1</v>
      </c>
      <c r="R19" s="62"/>
      <c r="T19" s="70" t="s">
        <v>23</v>
      </c>
      <c r="U19" s="69"/>
      <c r="X19" s="192">
        <v>0</v>
      </c>
      <c r="Y19" s="191">
        <f t="shared" si="3"/>
        <v>0</v>
      </c>
      <c r="Z19" s="62" t="str">
        <f t="shared" si="0"/>
        <v/>
      </c>
    </row>
    <row r="20" spans="1:26" s="149" customFormat="1" ht="16.5" customHeight="1" thickBot="1" x14ac:dyDescent="0.25">
      <c r="A20" s="597" t="s">
        <v>106</v>
      </c>
      <c r="B20" s="598"/>
      <c r="C20" s="598"/>
      <c r="D20" s="598"/>
      <c r="E20" s="598"/>
      <c r="F20" s="598"/>
      <c r="G20" s="598"/>
      <c r="H20" s="598"/>
      <c r="I20" s="598"/>
      <c r="J20" s="598"/>
      <c r="K20" s="598"/>
      <c r="L20" s="598"/>
      <c r="M20" s="598"/>
      <c r="N20" s="598"/>
      <c r="O20" s="598"/>
      <c r="P20" s="599"/>
      <c r="Q20" s="105"/>
      <c r="R20" s="151"/>
      <c r="T20" s="150"/>
      <c r="U20" s="152"/>
      <c r="X20" s="191"/>
      <c r="Y20" s="191" t="str">
        <f t="shared" si="3"/>
        <v/>
      </c>
      <c r="Z20" s="151" t="str">
        <f t="shared" si="0"/>
        <v/>
      </c>
    </row>
    <row r="21" spans="1:26" s="68" customFormat="1" ht="146.25" customHeight="1" x14ac:dyDescent="0.2">
      <c r="A21" s="17">
        <v>1</v>
      </c>
      <c r="B21" s="235" t="s">
        <v>107</v>
      </c>
      <c r="C21" s="236" t="s">
        <v>107</v>
      </c>
      <c r="D21" s="66" t="s">
        <v>108</v>
      </c>
      <c r="E21" s="237">
        <f t="shared" ref="E21:E38" si="4">LEN(D21)</f>
        <v>177</v>
      </c>
      <c r="F21" s="394" t="s">
        <v>109</v>
      </c>
      <c r="G21" s="237">
        <f t="shared" ref="G21:G58" si="5">LEN(F21)</f>
        <v>210</v>
      </c>
      <c r="H21" s="237" t="s">
        <v>110</v>
      </c>
      <c r="I21" s="237" t="s">
        <v>24</v>
      </c>
      <c r="J21" s="237" t="s">
        <v>24</v>
      </c>
      <c r="K21" s="237" t="s">
        <v>27</v>
      </c>
      <c r="L21" s="64" t="s">
        <v>111</v>
      </c>
      <c r="M21" s="78" t="s">
        <v>24</v>
      </c>
      <c r="N21" s="238" t="s">
        <v>112</v>
      </c>
      <c r="O21" s="239"/>
      <c r="P21" s="240"/>
      <c r="Q21" s="105">
        <f>1</f>
        <v>1</v>
      </c>
      <c r="R21" s="62"/>
      <c r="T21" s="154" t="s">
        <v>32</v>
      </c>
      <c r="U21" s="69"/>
      <c r="X21" s="191">
        <v>9.8907184600830078</v>
      </c>
      <c r="Y21" s="191">
        <f t="shared" si="3"/>
        <v>9.8907184600830078</v>
      </c>
      <c r="Z21" s="62">
        <f t="shared" si="0"/>
        <v>9.8907184600830078</v>
      </c>
    </row>
    <row r="22" spans="1:26" s="68" customFormat="1" ht="141.75" customHeight="1" x14ac:dyDescent="0.2">
      <c r="A22" s="17">
        <f>A21+1</f>
        <v>2</v>
      </c>
      <c r="B22" s="400" t="s">
        <v>113</v>
      </c>
      <c r="C22" s="67" t="s">
        <v>113</v>
      </c>
      <c r="D22" s="401" t="s">
        <v>114</v>
      </c>
      <c r="E22" s="360">
        <f t="shared" si="4"/>
        <v>168</v>
      </c>
      <c r="F22" s="395" t="s">
        <v>115</v>
      </c>
      <c r="G22" s="237">
        <f t="shared" si="5"/>
        <v>192</v>
      </c>
      <c r="H22" s="402" t="s">
        <v>36</v>
      </c>
      <c r="I22" s="360" t="s">
        <v>24</v>
      </c>
      <c r="J22" s="360" t="s">
        <v>24</v>
      </c>
      <c r="K22" s="360" t="s">
        <v>37</v>
      </c>
      <c r="L22" s="72" t="s">
        <v>116</v>
      </c>
      <c r="M22" s="78" t="s">
        <v>24</v>
      </c>
      <c r="N22" s="64" t="s">
        <v>117</v>
      </c>
      <c r="O22" s="13"/>
      <c r="P22" s="9"/>
      <c r="Q22" s="105">
        <f>1</f>
        <v>1</v>
      </c>
      <c r="R22" s="62"/>
      <c r="T22" s="154" t="s">
        <v>32</v>
      </c>
      <c r="U22" s="69"/>
      <c r="X22" s="191">
        <v>1.7156481742858889</v>
      </c>
      <c r="Y22" s="191">
        <f t="shared" si="3"/>
        <v>1.7156481742858889</v>
      </c>
      <c r="Z22" s="62">
        <f t="shared" si="0"/>
        <v>1.7156481742858889</v>
      </c>
    </row>
    <row r="23" spans="1:26" s="68" customFormat="1" ht="408" customHeight="1" x14ac:dyDescent="0.2">
      <c r="A23" s="17">
        <v>3</v>
      </c>
      <c r="B23" s="92" t="s">
        <v>118</v>
      </c>
      <c r="C23" s="67" t="s">
        <v>118</v>
      </c>
      <c r="D23" s="381" t="s">
        <v>119</v>
      </c>
      <c r="E23" s="65">
        <f t="shared" si="4"/>
        <v>371</v>
      </c>
      <c r="F23" s="396" t="s">
        <v>120</v>
      </c>
      <c r="G23" s="237">
        <f t="shared" si="5"/>
        <v>451</v>
      </c>
      <c r="H23" s="73" t="s">
        <v>36</v>
      </c>
      <c r="I23" s="65" t="s">
        <v>24</v>
      </c>
      <c r="J23" s="65" t="s">
        <v>24</v>
      </c>
      <c r="K23" s="65" t="s">
        <v>121</v>
      </c>
      <c r="L23" s="393" t="s">
        <v>122</v>
      </c>
      <c r="M23" s="78" t="s">
        <v>24</v>
      </c>
      <c r="N23" s="383" t="s">
        <v>123</v>
      </c>
      <c r="O23" s="242"/>
      <c r="P23" s="9"/>
      <c r="Q23" s="105">
        <f>1</f>
        <v>1</v>
      </c>
      <c r="R23" s="62"/>
      <c r="T23" s="154" t="s">
        <v>32</v>
      </c>
      <c r="U23" s="69"/>
      <c r="X23" s="191">
        <v>13.957258919109851</v>
      </c>
      <c r="Y23" s="191">
        <f t="shared" si="3"/>
        <v>13.957258919109851</v>
      </c>
      <c r="Z23" s="62">
        <f t="shared" si="0"/>
        <v>13.957258919109851</v>
      </c>
    </row>
    <row r="24" spans="1:26" s="68" customFormat="1" ht="177" customHeight="1" x14ac:dyDescent="0.2">
      <c r="A24" s="17"/>
      <c r="B24" s="384" t="s">
        <v>124</v>
      </c>
      <c r="C24" s="385" t="s">
        <v>125</v>
      </c>
      <c r="D24" s="386" t="s">
        <v>126</v>
      </c>
      <c r="E24" s="387">
        <f t="shared" si="4"/>
        <v>403</v>
      </c>
      <c r="F24" s="464" t="s">
        <v>127</v>
      </c>
      <c r="G24" s="387">
        <f t="shared" si="5"/>
        <v>449</v>
      </c>
      <c r="H24" s="389" t="s">
        <v>36</v>
      </c>
      <c r="I24" s="387" t="s">
        <v>24</v>
      </c>
      <c r="J24" s="387" t="s">
        <v>24</v>
      </c>
      <c r="K24" s="387" t="s">
        <v>128</v>
      </c>
      <c r="L24" s="390" t="s">
        <v>129</v>
      </c>
      <c r="M24" s="390"/>
      <c r="N24" s="383"/>
      <c r="O24" s="242"/>
      <c r="P24" s="9"/>
      <c r="Q24" s="105"/>
      <c r="R24" s="62"/>
      <c r="T24" s="154"/>
      <c r="U24" s="69"/>
      <c r="X24" s="191"/>
      <c r="Y24" s="191"/>
      <c r="Z24" s="62"/>
    </row>
    <row r="25" spans="1:26" s="68" customFormat="1" ht="177" customHeight="1" x14ac:dyDescent="0.2">
      <c r="A25" s="17"/>
      <c r="B25" s="384" t="s">
        <v>130</v>
      </c>
      <c r="C25" s="385" t="s">
        <v>125</v>
      </c>
      <c r="D25" s="386" t="s">
        <v>131</v>
      </c>
      <c r="E25" s="387">
        <f t="shared" si="4"/>
        <v>411</v>
      </c>
      <c r="F25" s="464" t="s">
        <v>132</v>
      </c>
      <c r="G25" s="387">
        <f t="shared" si="5"/>
        <v>462</v>
      </c>
      <c r="H25" s="389" t="s">
        <v>36</v>
      </c>
      <c r="I25" s="387" t="s">
        <v>24</v>
      </c>
      <c r="J25" s="387" t="s">
        <v>24</v>
      </c>
      <c r="K25" s="387" t="s">
        <v>128</v>
      </c>
      <c r="L25" s="390" t="s">
        <v>133</v>
      </c>
      <c r="M25" s="390"/>
      <c r="N25" s="383"/>
      <c r="O25" s="242"/>
      <c r="P25" s="9"/>
      <c r="Q25" s="105"/>
      <c r="R25" s="62"/>
      <c r="T25" s="154"/>
      <c r="U25" s="69"/>
      <c r="X25" s="191"/>
      <c r="Y25" s="191"/>
      <c r="Z25" s="62"/>
    </row>
    <row r="26" spans="1:26" s="68" customFormat="1" ht="144.75" customHeight="1" x14ac:dyDescent="0.2">
      <c r="A26" s="17"/>
      <c r="B26" s="384" t="s">
        <v>134</v>
      </c>
      <c r="C26" s="385" t="s">
        <v>125</v>
      </c>
      <c r="D26" s="386" t="s">
        <v>135</v>
      </c>
      <c r="E26" s="387">
        <f t="shared" si="4"/>
        <v>198</v>
      </c>
      <c r="F26" s="464" t="s">
        <v>136</v>
      </c>
      <c r="G26" s="387">
        <f t="shared" si="5"/>
        <v>230</v>
      </c>
      <c r="H26" s="389" t="s">
        <v>36</v>
      </c>
      <c r="I26" s="387" t="s">
        <v>24</v>
      </c>
      <c r="J26" s="387" t="s">
        <v>24</v>
      </c>
      <c r="K26" s="387" t="s">
        <v>128</v>
      </c>
      <c r="L26" s="390" t="s">
        <v>137</v>
      </c>
      <c r="M26" s="390"/>
      <c r="N26" s="383"/>
      <c r="O26" s="242"/>
      <c r="P26" s="9"/>
      <c r="Q26" s="105"/>
      <c r="R26" s="62"/>
      <c r="T26" s="154"/>
      <c r="U26" s="69"/>
      <c r="X26" s="191"/>
      <c r="Y26" s="191"/>
      <c r="Z26" s="62"/>
    </row>
    <row r="27" spans="1:26" s="68" customFormat="1" ht="130.5" customHeight="1" x14ac:dyDescent="0.2">
      <c r="A27" s="17"/>
      <c r="B27" s="384" t="s">
        <v>138</v>
      </c>
      <c r="C27" s="385" t="s">
        <v>125</v>
      </c>
      <c r="D27" s="386" t="s">
        <v>139</v>
      </c>
      <c r="E27" s="387">
        <f t="shared" si="4"/>
        <v>297</v>
      </c>
      <c r="F27" s="465" t="s">
        <v>140</v>
      </c>
      <c r="G27" s="387">
        <f t="shared" si="5"/>
        <v>352</v>
      </c>
      <c r="H27" s="389" t="s">
        <v>36</v>
      </c>
      <c r="I27" s="387" t="s">
        <v>24</v>
      </c>
      <c r="J27" s="387" t="s">
        <v>24</v>
      </c>
      <c r="K27" s="387" t="s">
        <v>128</v>
      </c>
      <c r="L27" s="390" t="s">
        <v>141</v>
      </c>
      <c r="M27" s="390"/>
      <c r="N27" s="383"/>
      <c r="O27" s="242"/>
      <c r="P27" s="9"/>
      <c r="Q27" s="105"/>
      <c r="R27" s="62"/>
      <c r="T27" s="154"/>
      <c r="U27" s="69"/>
      <c r="X27" s="191"/>
      <c r="Y27" s="191"/>
      <c r="Z27" s="62"/>
    </row>
    <row r="28" spans="1:26" s="68" customFormat="1" ht="168" customHeight="1" x14ac:dyDescent="0.2">
      <c r="A28" s="17"/>
      <c r="B28" s="384" t="s">
        <v>142</v>
      </c>
      <c r="C28" s="385" t="s">
        <v>125</v>
      </c>
      <c r="D28" s="386" t="s">
        <v>143</v>
      </c>
      <c r="E28" s="387">
        <f t="shared" si="4"/>
        <v>175</v>
      </c>
      <c r="F28" s="465" t="s">
        <v>144</v>
      </c>
      <c r="G28" s="387">
        <f t="shared" si="5"/>
        <v>216</v>
      </c>
      <c r="H28" s="389" t="s">
        <v>36</v>
      </c>
      <c r="I28" s="387" t="s">
        <v>24</v>
      </c>
      <c r="J28" s="387" t="s">
        <v>24</v>
      </c>
      <c r="K28" s="387" t="s">
        <v>128</v>
      </c>
      <c r="L28" s="390" t="s">
        <v>145</v>
      </c>
      <c r="M28" s="390"/>
      <c r="N28" s="383"/>
      <c r="O28" s="242"/>
      <c r="P28" s="9"/>
      <c r="Q28" s="105"/>
      <c r="R28" s="62"/>
      <c r="T28" s="154"/>
      <c r="U28" s="69"/>
      <c r="X28" s="191"/>
      <c r="Y28" s="191"/>
      <c r="Z28" s="62"/>
    </row>
    <row r="29" spans="1:26" s="68" customFormat="1" ht="214.5" customHeight="1" x14ac:dyDescent="0.2">
      <c r="A29" s="17"/>
      <c r="B29" s="384" t="s">
        <v>146</v>
      </c>
      <c r="C29" s="385" t="s">
        <v>125</v>
      </c>
      <c r="D29" s="386" t="s">
        <v>147</v>
      </c>
      <c r="E29" s="387">
        <f t="shared" si="4"/>
        <v>193</v>
      </c>
      <c r="F29" s="465" t="s">
        <v>148</v>
      </c>
      <c r="G29" s="387">
        <f t="shared" si="5"/>
        <v>225</v>
      </c>
      <c r="H29" s="389" t="s">
        <v>36</v>
      </c>
      <c r="I29" s="387" t="s">
        <v>24</v>
      </c>
      <c r="J29" s="387" t="s">
        <v>24</v>
      </c>
      <c r="K29" s="387" t="s">
        <v>128</v>
      </c>
      <c r="L29" s="390" t="s">
        <v>145</v>
      </c>
      <c r="M29" s="390"/>
      <c r="N29" s="383"/>
      <c r="O29" s="242"/>
      <c r="P29" s="9"/>
      <c r="Q29" s="105"/>
      <c r="R29" s="62"/>
      <c r="T29" s="154"/>
      <c r="U29" s="69"/>
      <c r="X29" s="191"/>
      <c r="Y29" s="191"/>
      <c r="Z29" s="62"/>
    </row>
    <row r="30" spans="1:26" s="68" customFormat="1" ht="188.25" customHeight="1" x14ac:dyDescent="0.2">
      <c r="A30" s="17"/>
      <c r="B30" s="384" t="s">
        <v>149</v>
      </c>
      <c r="C30" s="385" t="s">
        <v>125</v>
      </c>
      <c r="D30" s="386" t="s">
        <v>150</v>
      </c>
      <c r="E30" s="387">
        <f t="shared" si="4"/>
        <v>370</v>
      </c>
      <c r="F30" s="392" t="s">
        <v>151</v>
      </c>
      <c r="G30" s="387">
        <f t="shared" si="5"/>
        <v>409</v>
      </c>
      <c r="H30" s="389" t="s">
        <v>36</v>
      </c>
      <c r="I30" s="387" t="s">
        <v>24</v>
      </c>
      <c r="J30" s="387" t="s">
        <v>24</v>
      </c>
      <c r="K30" s="387" t="s">
        <v>128</v>
      </c>
      <c r="L30" s="390" t="s">
        <v>152</v>
      </c>
      <c r="M30" s="390"/>
      <c r="N30" s="383"/>
      <c r="O30" s="242"/>
      <c r="P30" s="9"/>
      <c r="Q30" s="105"/>
      <c r="R30" s="62"/>
      <c r="T30" s="154"/>
      <c r="U30" s="69"/>
      <c r="X30" s="191"/>
      <c r="Y30" s="191"/>
      <c r="Z30" s="62"/>
    </row>
    <row r="31" spans="1:26" s="68" customFormat="1" ht="173.25" customHeight="1" x14ac:dyDescent="0.2">
      <c r="A31" s="17"/>
      <c r="B31" s="384" t="s">
        <v>153</v>
      </c>
      <c r="C31" s="385" t="s">
        <v>125</v>
      </c>
      <c r="D31" s="386" t="s">
        <v>154</v>
      </c>
      <c r="E31" s="387">
        <f t="shared" si="4"/>
        <v>457</v>
      </c>
      <c r="F31" s="391" t="s">
        <v>155</v>
      </c>
      <c r="G31" s="387">
        <f t="shared" si="5"/>
        <v>505</v>
      </c>
      <c r="H31" s="389" t="s">
        <v>36</v>
      </c>
      <c r="I31" s="387" t="s">
        <v>24</v>
      </c>
      <c r="J31" s="387" t="s">
        <v>24</v>
      </c>
      <c r="K31" s="387" t="s">
        <v>128</v>
      </c>
      <c r="L31" s="390" t="s">
        <v>133</v>
      </c>
      <c r="M31" s="390"/>
      <c r="N31" s="383"/>
      <c r="O31" s="242"/>
      <c r="P31" s="9"/>
      <c r="Q31" s="105"/>
      <c r="R31" s="62"/>
      <c r="T31" s="154"/>
      <c r="U31" s="69"/>
      <c r="X31" s="191"/>
      <c r="Y31" s="191"/>
      <c r="Z31" s="62"/>
    </row>
    <row r="32" spans="1:26" s="68" customFormat="1" ht="154.5" customHeight="1" x14ac:dyDescent="0.2">
      <c r="A32" s="17"/>
      <c r="B32" s="384" t="s">
        <v>156</v>
      </c>
      <c r="C32" s="385" t="s">
        <v>125</v>
      </c>
      <c r="D32" s="386" t="s">
        <v>157</v>
      </c>
      <c r="E32" s="387">
        <f t="shared" si="4"/>
        <v>215</v>
      </c>
      <c r="F32" s="388" t="s">
        <v>158</v>
      </c>
      <c r="G32" s="387">
        <f t="shared" si="5"/>
        <v>248</v>
      </c>
      <c r="H32" s="389" t="s">
        <v>36</v>
      </c>
      <c r="I32" s="387" t="s">
        <v>24</v>
      </c>
      <c r="J32" s="387" t="s">
        <v>24</v>
      </c>
      <c r="K32" s="387" t="s">
        <v>128</v>
      </c>
      <c r="L32" s="390" t="s">
        <v>159</v>
      </c>
      <c r="M32" s="390"/>
      <c r="N32" s="383"/>
      <c r="O32" s="242"/>
      <c r="P32" s="9"/>
      <c r="Q32" s="105"/>
      <c r="R32" s="62"/>
      <c r="T32" s="154"/>
      <c r="U32" s="69"/>
      <c r="X32" s="191"/>
      <c r="Y32" s="191"/>
      <c r="Z32" s="62"/>
    </row>
    <row r="33" spans="1:27" s="68" customFormat="1" ht="169.5" customHeight="1" x14ac:dyDescent="0.2">
      <c r="A33" s="17"/>
      <c r="B33" s="384" t="s">
        <v>160</v>
      </c>
      <c r="C33" s="385" t="s">
        <v>125</v>
      </c>
      <c r="D33" s="386" t="s">
        <v>161</v>
      </c>
      <c r="E33" s="387">
        <f t="shared" si="4"/>
        <v>289</v>
      </c>
      <c r="F33" s="388" t="s">
        <v>162</v>
      </c>
      <c r="G33" s="387">
        <f t="shared" si="5"/>
        <v>335</v>
      </c>
      <c r="H33" s="389" t="s">
        <v>36</v>
      </c>
      <c r="I33" s="387" t="s">
        <v>24</v>
      </c>
      <c r="J33" s="387" t="s">
        <v>24</v>
      </c>
      <c r="K33" s="387" t="s">
        <v>128</v>
      </c>
      <c r="L33" s="390" t="s">
        <v>141</v>
      </c>
      <c r="M33" s="390"/>
      <c r="N33" s="383"/>
      <c r="O33" s="242"/>
      <c r="P33" s="9"/>
      <c r="Q33" s="105"/>
      <c r="R33" s="62"/>
      <c r="T33" s="154"/>
      <c r="U33" s="69"/>
      <c r="X33" s="191"/>
      <c r="Y33" s="191"/>
      <c r="Z33" s="62"/>
    </row>
    <row r="34" spans="1:27" s="68" customFormat="1" ht="141.75" customHeight="1" x14ac:dyDescent="0.2">
      <c r="A34" s="17"/>
      <c r="B34" s="384" t="s">
        <v>163</v>
      </c>
      <c r="C34" s="385" t="s">
        <v>125</v>
      </c>
      <c r="D34" s="386" t="s">
        <v>164</v>
      </c>
      <c r="E34" s="387">
        <f t="shared" si="4"/>
        <v>479</v>
      </c>
      <c r="F34" s="388" t="s">
        <v>165</v>
      </c>
      <c r="G34" s="387">
        <f t="shared" si="5"/>
        <v>539</v>
      </c>
      <c r="H34" s="389" t="s">
        <v>36</v>
      </c>
      <c r="I34" s="387" t="s">
        <v>24</v>
      </c>
      <c r="J34" s="387" t="s">
        <v>24</v>
      </c>
      <c r="K34" s="387" t="s">
        <v>128</v>
      </c>
      <c r="L34" s="390" t="s">
        <v>166</v>
      </c>
      <c r="M34" s="390"/>
      <c r="N34" s="383"/>
      <c r="O34" s="242"/>
      <c r="P34" s="9"/>
      <c r="Q34" s="105"/>
      <c r="R34" s="62"/>
      <c r="T34" s="154"/>
      <c r="U34" s="69"/>
      <c r="X34" s="191"/>
      <c r="Y34" s="191"/>
      <c r="Z34" s="62"/>
    </row>
    <row r="35" spans="1:27" s="68" customFormat="1" ht="138" customHeight="1" x14ac:dyDescent="0.2">
      <c r="A35" s="17"/>
      <c r="B35" s="384" t="s">
        <v>167</v>
      </c>
      <c r="C35" s="385" t="s">
        <v>125</v>
      </c>
      <c r="D35" s="386" t="s">
        <v>168</v>
      </c>
      <c r="E35" s="387">
        <f t="shared" si="4"/>
        <v>711</v>
      </c>
      <c r="F35" s="388" t="s">
        <v>169</v>
      </c>
      <c r="G35" s="387">
        <f t="shared" si="5"/>
        <v>802</v>
      </c>
      <c r="H35" s="389" t="s">
        <v>36</v>
      </c>
      <c r="I35" s="387" t="s">
        <v>24</v>
      </c>
      <c r="J35" s="387" t="s">
        <v>24</v>
      </c>
      <c r="K35" s="387" t="s">
        <v>128</v>
      </c>
      <c r="L35" s="390" t="s">
        <v>170</v>
      </c>
      <c r="M35" s="390"/>
      <c r="N35" s="383"/>
      <c r="O35" s="242"/>
      <c r="P35" s="9"/>
      <c r="Q35" s="105"/>
      <c r="R35" s="62"/>
      <c r="T35" s="154"/>
      <c r="U35" s="69"/>
      <c r="X35" s="191"/>
      <c r="Y35" s="191"/>
      <c r="Z35" s="62"/>
    </row>
    <row r="36" spans="1:27" s="68" customFormat="1" ht="96.75" customHeight="1" x14ac:dyDescent="0.2">
      <c r="A36" s="17"/>
      <c r="B36" s="384" t="s">
        <v>171</v>
      </c>
      <c r="C36" s="385" t="s">
        <v>125</v>
      </c>
      <c r="D36" s="386" t="s">
        <v>172</v>
      </c>
      <c r="E36" s="387">
        <f t="shared" si="4"/>
        <v>216</v>
      </c>
      <c r="F36" s="388" t="s">
        <v>173</v>
      </c>
      <c r="G36" s="387">
        <f t="shared" si="5"/>
        <v>254</v>
      </c>
      <c r="H36" s="389" t="s">
        <v>36</v>
      </c>
      <c r="I36" s="387" t="s">
        <v>24</v>
      </c>
      <c r="J36" s="387" t="s">
        <v>24</v>
      </c>
      <c r="K36" s="387" t="s">
        <v>128</v>
      </c>
      <c r="L36" s="390" t="s">
        <v>159</v>
      </c>
      <c r="M36" s="390"/>
      <c r="N36" s="383"/>
      <c r="O36" s="242"/>
      <c r="P36" s="9"/>
      <c r="Q36" s="105"/>
      <c r="R36" s="62"/>
      <c r="T36" s="154"/>
      <c r="U36" s="69"/>
      <c r="X36" s="191"/>
      <c r="Y36" s="191"/>
      <c r="Z36" s="62"/>
    </row>
    <row r="37" spans="1:27" s="68" customFormat="1" ht="107.25" customHeight="1" x14ac:dyDescent="0.2">
      <c r="A37" s="17"/>
      <c r="B37" s="384" t="s">
        <v>174</v>
      </c>
      <c r="C37" s="385" t="s">
        <v>125</v>
      </c>
      <c r="D37" s="386" t="s">
        <v>175</v>
      </c>
      <c r="E37" s="387">
        <f t="shared" si="4"/>
        <v>731</v>
      </c>
      <c r="F37" s="388" t="s">
        <v>176</v>
      </c>
      <c r="G37" s="387">
        <f t="shared" si="5"/>
        <v>809</v>
      </c>
      <c r="H37" s="389" t="s">
        <v>36</v>
      </c>
      <c r="I37" s="387" t="s">
        <v>24</v>
      </c>
      <c r="J37" s="387" t="s">
        <v>24</v>
      </c>
      <c r="K37" s="387" t="s">
        <v>128</v>
      </c>
      <c r="L37" s="390" t="s">
        <v>177</v>
      </c>
      <c r="M37" s="390"/>
      <c r="N37" s="383"/>
      <c r="O37" s="242"/>
      <c r="P37" s="9"/>
      <c r="Q37" s="105"/>
      <c r="R37" s="62"/>
      <c r="T37" s="154"/>
      <c r="U37" s="69"/>
      <c r="X37" s="191"/>
      <c r="Y37" s="191"/>
      <c r="Z37" s="62"/>
    </row>
    <row r="38" spans="1:27" s="68" customFormat="1" ht="225.75" customHeight="1" x14ac:dyDescent="0.2">
      <c r="A38" s="18"/>
      <c r="B38" s="244" t="s">
        <v>178</v>
      </c>
      <c r="C38" s="406" t="s">
        <v>178</v>
      </c>
      <c r="D38" s="401" t="s">
        <v>179</v>
      </c>
      <c r="E38" s="360">
        <f t="shared" si="4"/>
        <v>218</v>
      </c>
      <c r="F38" s="382" t="s">
        <v>180</v>
      </c>
      <c r="G38" s="237">
        <f t="shared" si="5"/>
        <v>279</v>
      </c>
      <c r="H38" s="402" t="s">
        <v>36</v>
      </c>
      <c r="I38" s="402" t="s">
        <v>24</v>
      </c>
      <c r="J38" s="402" t="s">
        <v>24</v>
      </c>
      <c r="K38" s="402" t="s">
        <v>37</v>
      </c>
      <c r="L38" s="72" t="s">
        <v>181</v>
      </c>
      <c r="M38" s="78" t="s">
        <v>24</v>
      </c>
      <c r="N38" s="245"/>
      <c r="O38" s="246"/>
      <c r="P38" s="247"/>
      <c r="Q38" s="191"/>
      <c r="R38" s="191"/>
      <c r="S38" s="62"/>
      <c r="U38" s="77"/>
      <c r="V38" s="69"/>
      <c r="Y38" s="191"/>
      <c r="Z38" s="191"/>
      <c r="AA38" s="62"/>
    </row>
    <row r="39" spans="1:27" s="68" customFormat="1" ht="150" customHeight="1" x14ac:dyDescent="0.2">
      <c r="A39" s="17"/>
      <c r="B39" s="262" t="s">
        <v>182</v>
      </c>
      <c r="C39" s="241"/>
      <c r="D39" s="263" t="s">
        <v>183</v>
      </c>
      <c r="E39" s="258"/>
      <c r="F39" s="397" t="s">
        <v>184</v>
      </c>
      <c r="G39" s="237">
        <f t="shared" si="5"/>
        <v>203</v>
      </c>
      <c r="H39" s="241" t="s">
        <v>36</v>
      </c>
      <c r="I39" s="258"/>
      <c r="J39" s="258"/>
      <c r="K39" s="258"/>
      <c r="L39" s="13"/>
      <c r="M39" s="13"/>
      <c r="N39" s="13"/>
      <c r="O39" s="13"/>
      <c r="P39" s="214"/>
      <c r="Q39" s="139">
        <f>1</f>
        <v>1</v>
      </c>
      <c r="R39" s="62"/>
      <c r="T39" s="70"/>
      <c r="U39" s="69"/>
      <c r="X39" s="192"/>
      <c r="Y39" s="192" t="str">
        <f>IF(X39="","",X39*Q39)</f>
        <v/>
      </c>
      <c r="Z39" s="62" t="str">
        <f>IF(T39="yes",Y39,"")</f>
        <v/>
      </c>
    </row>
    <row r="40" spans="1:27" s="68" customFormat="1" ht="362.25" customHeight="1" thickBot="1" x14ac:dyDescent="0.25">
      <c r="A40" s="18" t="e">
        <f>#REF!+1</f>
        <v>#REF!</v>
      </c>
      <c r="B40" s="244" t="s">
        <v>185</v>
      </c>
      <c r="C40" s="248" t="s">
        <v>185</v>
      </c>
      <c r="D40" s="249" t="s">
        <v>186</v>
      </c>
      <c r="E40" s="59">
        <f t="shared" ref="E40:E56" si="6">LEN(D40)</f>
        <v>658</v>
      </c>
      <c r="F40" s="466" t="s">
        <v>187</v>
      </c>
      <c r="G40" s="237">
        <f t="shared" si="5"/>
        <v>934</v>
      </c>
      <c r="H40" s="250" t="s">
        <v>36</v>
      </c>
      <c r="I40" s="59" t="s">
        <v>24</v>
      </c>
      <c r="J40" s="59" t="s">
        <v>24</v>
      </c>
      <c r="K40" s="59" t="s">
        <v>37</v>
      </c>
      <c r="L40" s="546" t="s">
        <v>188</v>
      </c>
      <c r="M40" s="78" t="s">
        <v>24</v>
      </c>
      <c r="N40" s="74" t="s">
        <v>189</v>
      </c>
      <c r="O40" s="251"/>
      <c r="P40" s="252"/>
      <c r="Q40" s="105">
        <f>1</f>
        <v>1</v>
      </c>
      <c r="R40" s="62"/>
      <c r="T40" s="154" t="s">
        <v>32</v>
      </c>
      <c r="U40" s="69"/>
      <c r="X40" s="191">
        <v>24.41083908081055</v>
      </c>
      <c r="Y40" s="191">
        <f>IF(X40="","",X40*Q40)</f>
        <v>24.41083908081055</v>
      </c>
      <c r="Z40" s="62">
        <f>IF(T40="yes",Y40,"")</f>
        <v>24.41083908081055</v>
      </c>
    </row>
    <row r="41" spans="1:27" s="68" customFormat="1" ht="362.25" customHeight="1" x14ac:dyDescent="0.2">
      <c r="A41" s="535"/>
      <c r="B41" s="536" t="s">
        <v>190</v>
      </c>
      <c r="C41" s="536" t="s">
        <v>190</v>
      </c>
      <c r="D41" s="537" t="s">
        <v>191</v>
      </c>
      <c r="E41" s="538">
        <f t="shared" si="6"/>
        <v>431</v>
      </c>
      <c r="F41" s="539" t="s">
        <v>192</v>
      </c>
      <c r="G41" s="538">
        <f t="shared" si="5"/>
        <v>526</v>
      </c>
      <c r="H41" s="540" t="s">
        <v>36</v>
      </c>
      <c r="I41" s="497" t="s">
        <v>24</v>
      </c>
      <c r="J41" s="497" t="s">
        <v>24</v>
      </c>
      <c r="K41" s="497" t="s">
        <v>37</v>
      </c>
      <c r="L41" s="74" t="s">
        <v>193</v>
      </c>
      <c r="M41" s="78"/>
      <c r="N41" s="74"/>
      <c r="O41" s="251"/>
      <c r="P41" s="282"/>
      <c r="Q41" s="105"/>
      <c r="R41" s="62"/>
      <c r="T41" s="154"/>
      <c r="U41" s="69"/>
      <c r="X41" s="191"/>
      <c r="Y41" s="191"/>
      <c r="Z41" s="62"/>
    </row>
    <row r="42" spans="1:27" s="68" customFormat="1" ht="362.25" customHeight="1" x14ac:dyDescent="0.2">
      <c r="A42" s="535"/>
      <c r="B42" s="541" t="s">
        <v>194</v>
      </c>
      <c r="C42" s="541" t="s">
        <v>194</v>
      </c>
      <c r="D42" s="542" t="s">
        <v>195</v>
      </c>
      <c r="E42" s="543">
        <f t="shared" si="6"/>
        <v>414</v>
      </c>
      <c r="F42" s="480" t="s">
        <v>196</v>
      </c>
      <c r="G42" s="543">
        <f t="shared" si="5"/>
        <v>524</v>
      </c>
      <c r="H42" s="544" t="s">
        <v>36</v>
      </c>
      <c r="I42" s="498" t="s">
        <v>24</v>
      </c>
      <c r="J42" s="498" t="s">
        <v>24</v>
      </c>
      <c r="K42" s="498" t="s">
        <v>37</v>
      </c>
      <c r="L42" s="74" t="s">
        <v>193</v>
      </c>
      <c r="M42" s="78"/>
      <c r="N42" s="74"/>
      <c r="O42" s="251"/>
      <c r="P42" s="282"/>
      <c r="Q42" s="105"/>
      <c r="R42" s="62"/>
      <c r="T42" s="154"/>
      <c r="U42" s="69"/>
      <c r="X42" s="191"/>
      <c r="Y42" s="191"/>
      <c r="Z42" s="62"/>
    </row>
    <row r="43" spans="1:27" s="68" customFormat="1" ht="362.25" customHeight="1" x14ac:dyDescent="0.2">
      <c r="A43" s="535"/>
      <c r="B43" s="541" t="s">
        <v>197</v>
      </c>
      <c r="C43" s="541" t="s">
        <v>197</v>
      </c>
      <c r="D43" s="542" t="s">
        <v>198</v>
      </c>
      <c r="E43" s="543">
        <f t="shared" si="6"/>
        <v>395</v>
      </c>
      <c r="F43" s="480" t="s">
        <v>199</v>
      </c>
      <c r="G43" s="543">
        <f t="shared" si="5"/>
        <v>541</v>
      </c>
      <c r="H43" s="544" t="s">
        <v>36</v>
      </c>
      <c r="I43" s="498" t="s">
        <v>24</v>
      </c>
      <c r="J43" s="498" t="s">
        <v>24</v>
      </c>
      <c r="K43" s="498" t="s">
        <v>37</v>
      </c>
      <c r="L43" s="74" t="s">
        <v>193</v>
      </c>
      <c r="M43" s="78"/>
      <c r="N43" s="74"/>
      <c r="O43" s="251"/>
      <c r="P43" s="282"/>
      <c r="Q43" s="105"/>
      <c r="R43" s="62"/>
      <c r="T43" s="154"/>
      <c r="U43" s="69"/>
      <c r="X43" s="191"/>
      <c r="Y43" s="191"/>
      <c r="Z43" s="62"/>
    </row>
    <row r="44" spans="1:27" s="68" customFormat="1" ht="362.25" customHeight="1" x14ac:dyDescent="0.2">
      <c r="A44" s="535"/>
      <c r="B44" s="541" t="s">
        <v>200</v>
      </c>
      <c r="C44" s="541" t="s">
        <v>200</v>
      </c>
      <c r="D44" s="545" t="s">
        <v>201</v>
      </c>
      <c r="E44" s="498">
        <f t="shared" si="6"/>
        <v>400</v>
      </c>
      <c r="F44" s="480" t="s">
        <v>202</v>
      </c>
      <c r="G44" s="543">
        <f t="shared" si="5"/>
        <v>541</v>
      </c>
      <c r="H44" s="544" t="s">
        <v>36</v>
      </c>
      <c r="I44" s="498" t="s">
        <v>24</v>
      </c>
      <c r="J44" s="498" t="s">
        <v>24</v>
      </c>
      <c r="K44" s="498" t="s">
        <v>37</v>
      </c>
      <c r="L44" s="74" t="s">
        <v>193</v>
      </c>
      <c r="M44" s="78"/>
      <c r="N44" s="74"/>
      <c r="O44" s="251"/>
      <c r="P44" s="282"/>
      <c r="Q44" s="105"/>
      <c r="R44" s="62"/>
      <c r="T44" s="154"/>
      <c r="U44" s="69"/>
      <c r="X44" s="191"/>
      <c r="Y44" s="191"/>
      <c r="Z44" s="62"/>
    </row>
    <row r="45" spans="1:27" s="371" customFormat="1" ht="135" customHeight="1" x14ac:dyDescent="0.2">
      <c r="A45" s="259" t="e">
        <f>A40+1</f>
        <v>#REF!</v>
      </c>
      <c r="B45" s="368" t="s">
        <v>203</v>
      </c>
      <c r="C45" s="367" t="s">
        <v>203</v>
      </c>
      <c r="D45" s="260" t="s">
        <v>204</v>
      </c>
      <c r="E45" s="367">
        <f t="shared" si="6"/>
        <v>97</v>
      </c>
      <c r="F45" s="367"/>
      <c r="G45" s="237">
        <f t="shared" si="5"/>
        <v>0</v>
      </c>
      <c r="H45" s="367" t="s">
        <v>36</v>
      </c>
      <c r="I45" s="367" t="s">
        <v>24</v>
      </c>
      <c r="J45" s="367" t="s">
        <v>24</v>
      </c>
      <c r="K45" s="367" t="s">
        <v>37</v>
      </c>
      <c r="L45" s="245" t="s">
        <v>205</v>
      </c>
      <c r="M45" s="78" t="s">
        <v>24</v>
      </c>
      <c r="N45" s="245" t="s">
        <v>206</v>
      </c>
      <c r="O45" s="246"/>
      <c r="P45" s="247"/>
      <c r="Q45" s="369">
        <v>1</v>
      </c>
      <c r="R45" s="370"/>
      <c r="T45" s="372" t="s">
        <v>32</v>
      </c>
      <c r="U45" s="373"/>
      <c r="X45" s="374">
        <v>10.5</v>
      </c>
      <c r="Y45" s="191">
        <f>IF(X45="","",X45*Q45)</f>
        <v>10.5</v>
      </c>
      <c r="Z45" s="370">
        <f>IF(T45="yes",Y45,"")</f>
        <v>10.5</v>
      </c>
    </row>
    <row r="46" spans="1:27" s="68" customFormat="1" ht="126" customHeight="1" x14ac:dyDescent="0.2">
      <c r="A46" s="17" t="e">
        <f>A45+1</f>
        <v>#REF!</v>
      </c>
      <c r="B46" s="92" t="s">
        <v>207</v>
      </c>
      <c r="C46" s="67" t="s">
        <v>207</v>
      </c>
      <c r="D46" s="261" t="s">
        <v>208</v>
      </c>
      <c r="E46" s="65">
        <f t="shared" si="6"/>
        <v>116</v>
      </c>
      <c r="F46" s="394" t="s">
        <v>209</v>
      </c>
      <c r="G46" s="237">
        <f t="shared" si="5"/>
        <v>170</v>
      </c>
      <c r="H46" s="67" t="s">
        <v>36</v>
      </c>
      <c r="I46" s="65" t="s">
        <v>24</v>
      </c>
      <c r="J46" s="65" t="s">
        <v>24</v>
      </c>
      <c r="K46" s="65" t="s">
        <v>37</v>
      </c>
      <c r="L46" s="64" t="s">
        <v>210</v>
      </c>
      <c r="M46" s="78" t="s">
        <v>24</v>
      </c>
      <c r="N46" s="64" t="s">
        <v>211</v>
      </c>
      <c r="O46" s="13"/>
      <c r="P46" s="214"/>
      <c r="Q46" s="105">
        <f>1</f>
        <v>1</v>
      </c>
      <c r="R46" s="62"/>
      <c r="T46" s="150" t="s">
        <v>32</v>
      </c>
      <c r="U46" s="69"/>
      <c r="X46" s="191">
        <v>10.504533767700201</v>
      </c>
      <c r="Y46" s="191">
        <f>IF(X46="","",X46*Q46)</f>
        <v>10.504533767700201</v>
      </c>
      <c r="Z46" s="62">
        <f>IF(T46="yes",Y46,"")</f>
        <v>10.504533767700201</v>
      </c>
    </row>
    <row r="47" spans="1:27" s="68" customFormat="1" ht="108" customHeight="1" x14ac:dyDescent="0.2">
      <c r="A47" s="10" t="e">
        <f>A185+1</f>
        <v>#REF!</v>
      </c>
      <c r="B47" s="407" t="s">
        <v>212</v>
      </c>
      <c r="C47" s="408" t="s">
        <v>212</v>
      </c>
      <c r="D47" s="404" t="s">
        <v>213</v>
      </c>
      <c r="E47" s="361">
        <f t="shared" si="6"/>
        <v>269</v>
      </c>
      <c r="F47" s="398" t="s">
        <v>214</v>
      </c>
      <c r="G47" s="237">
        <f t="shared" si="5"/>
        <v>322</v>
      </c>
      <c r="H47" s="408" t="s">
        <v>110</v>
      </c>
      <c r="I47" s="361" t="s">
        <v>24</v>
      </c>
      <c r="J47" s="361" t="s">
        <v>24</v>
      </c>
      <c r="K47" s="361" t="s">
        <v>27</v>
      </c>
      <c r="L47" s="358" t="s">
        <v>215</v>
      </c>
      <c r="M47" s="11" t="s">
        <v>24</v>
      </c>
      <c r="N47" s="409" t="s">
        <v>216</v>
      </c>
      <c r="O47" s="11"/>
      <c r="P47" s="9"/>
      <c r="Q47" s="139">
        <f>1</f>
        <v>1</v>
      </c>
      <c r="R47" s="62"/>
      <c r="T47" s="70" t="s">
        <v>23</v>
      </c>
      <c r="U47" s="69"/>
      <c r="X47" s="192">
        <v>16.90229415893555</v>
      </c>
      <c r="Y47" s="192">
        <f>IF(X47="","",X47*Q47)</f>
        <v>16.90229415893555</v>
      </c>
      <c r="Z47" s="62" t="str">
        <f>IF(T47="yes",Y47,"")</f>
        <v/>
      </c>
    </row>
    <row r="48" spans="1:27" s="68" customFormat="1" ht="108" customHeight="1" x14ac:dyDescent="0.2">
      <c r="A48" s="17"/>
      <c r="B48" s="468" t="s">
        <v>217</v>
      </c>
      <c r="C48" s="468" t="s">
        <v>217</v>
      </c>
      <c r="D48" s="469" t="s">
        <v>218</v>
      </c>
      <c r="E48" s="258">
        <f t="shared" si="6"/>
        <v>485</v>
      </c>
      <c r="F48" s="471" t="s">
        <v>219</v>
      </c>
      <c r="G48" s="258">
        <f t="shared" si="5"/>
        <v>619</v>
      </c>
      <c r="H48" s="408" t="s">
        <v>36</v>
      </c>
      <c r="I48" s="360" t="s">
        <v>24</v>
      </c>
      <c r="J48" s="360" t="s">
        <v>24</v>
      </c>
      <c r="K48" s="65" t="s">
        <v>37</v>
      </c>
      <c r="L48" s="470" t="s">
        <v>220</v>
      </c>
      <c r="M48" s="11" t="s">
        <v>24</v>
      </c>
      <c r="N48" s="467"/>
      <c r="O48" s="11"/>
      <c r="P48" s="242"/>
      <c r="Q48" s="139"/>
      <c r="R48" s="62"/>
      <c r="T48" s="70"/>
      <c r="U48" s="69"/>
      <c r="X48" s="192"/>
      <c r="Y48" s="192"/>
      <c r="Z48" s="62"/>
    </row>
    <row r="49" spans="1:30" s="164" customFormat="1" ht="75" customHeight="1" x14ac:dyDescent="0.2">
      <c r="A49" s="264" t="e">
        <f>A47+1</f>
        <v>#REF!</v>
      </c>
      <c r="B49" s="265" t="s">
        <v>221</v>
      </c>
      <c r="C49" s="265" t="s">
        <v>221</v>
      </c>
      <c r="D49" s="410" t="s">
        <v>222</v>
      </c>
      <c r="E49" s="266">
        <f t="shared" si="6"/>
        <v>124</v>
      </c>
      <c r="F49" s="398" t="s">
        <v>223</v>
      </c>
      <c r="G49" s="237">
        <f t="shared" si="5"/>
        <v>128</v>
      </c>
      <c r="H49" s="408" t="s">
        <v>110</v>
      </c>
      <c r="I49" s="360" t="s">
        <v>24</v>
      </c>
      <c r="J49" s="360" t="s">
        <v>224</v>
      </c>
      <c r="K49" s="472" t="s">
        <v>225</v>
      </c>
      <c r="L49" s="13" t="s">
        <v>226</v>
      </c>
      <c r="M49" s="13"/>
      <c r="N49" s="267"/>
      <c r="O49" s="159"/>
      <c r="P49" s="602" t="s">
        <v>227</v>
      </c>
      <c r="Q49" s="159"/>
      <c r="R49" s="159"/>
      <c r="S49" s="160"/>
      <c r="T49" s="161"/>
      <c r="U49" s="193"/>
      <c r="V49" s="162"/>
      <c r="W49" s="193"/>
      <c r="X49" s="163"/>
      <c r="Z49" s="165"/>
      <c r="AA49" s="166"/>
      <c r="AD49" s="167"/>
    </row>
    <row r="50" spans="1:30" s="164" customFormat="1" ht="75" customHeight="1" x14ac:dyDescent="0.2">
      <c r="A50" s="264" t="e">
        <f>A49+1</f>
        <v>#REF!</v>
      </c>
      <c r="B50" s="265" t="s">
        <v>228</v>
      </c>
      <c r="C50" s="265" t="s">
        <v>228</v>
      </c>
      <c r="D50" s="410" t="s">
        <v>229</v>
      </c>
      <c r="E50" s="266">
        <f t="shared" si="6"/>
        <v>110</v>
      </c>
      <c r="F50" s="398" t="s">
        <v>230</v>
      </c>
      <c r="G50" s="237">
        <f t="shared" si="5"/>
        <v>126</v>
      </c>
      <c r="H50" s="408" t="s">
        <v>110</v>
      </c>
      <c r="I50" s="266"/>
      <c r="J50" s="360" t="s">
        <v>24</v>
      </c>
      <c r="K50" s="473" t="s">
        <v>231</v>
      </c>
      <c r="L50" s="13" t="s">
        <v>232</v>
      </c>
      <c r="M50" s="13"/>
      <c r="N50" s="267"/>
      <c r="O50" s="159"/>
      <c r="P50" s="603"/>
      <c r="Q50" s="159"/>
      <c r="R50" s="159"/>
      <c r="S50" s="160"/>
      <c r="T50" s="161"/>
      <c r="U50" s="193"/>
      <c r="V50" s="162"/>
      <c r="W50" s="193"/>
      <c r="X50" s="163"/>
      <c r="Z50" s="165"/>
      <c r="AA50" s="166"/>
      <c r="AD50" s="167"/>
    </row>
    <row r="51" spans="1:30" s="164" customFormat="1" ht="75" customHeight="1" x14ac:dyDescent="0.2">
      <c r="A51" s="264" t="e">
        <f>A50+1</f>
        <v>#REF!</v>
      </c>
      <c r="B51" s="265" t="s">
        <v>233</v>
      </c>
      <c r="C51" s="265" t="s">
        <v>233</v>
      </c>
      <c r="D51" s="410" t="s">
        <v>234</v>
      </c>
      <c r="E51" s="266">
        <f t="shared" si="6"/>
        <v>111</v>
      </c>
      <c r="F51" s="398" t="s">
        <v>235</v>
      </c>
      <c r="G51" s="237">
        <f t="shared" si="5"/>
        <v>119</v>
      </c>
      <c r="H51" s="408" t="s">
        <v>110</v>
      </c>
      <c r="I51" s="266"/>
      <c r="J51" s="360" t="s">
        <v>24</v>
      </c>
      <c r="K51" s="361" t="s">
        <v>236</v>
      </c>
      <c r="L51" s="13" t="s">
        <v>237</v>
      </c>
      <c r="M51" s="13" t="s">
        <v>237</v>
      </c>
      <c r="N51" s="267"/>
      <c r="O51" s="159"/>
      <c r="P51" s="603"/>
      <c r="Q51" s="159"/>
      <c r="R51" s="159"/>
      <c r="S51" s="160"/>
      <c r="T51" s="161"/>
      <c r="U51" s="193"/>
      <c r="V51" s="162"/>
      <c r="W51" s="193"/>
      <c r="X51" s="163"/>
      <c r="Z51" s="165"/>
      <c r="AA51" s="166"/>
      <c r="AD51" s="167"/>
    </row>
    <row r="52" spans="1:30" s="164" customFormat="1" ht="75" customHeight="1" x14ac:dyDescent="0.2">
      <c r="A52" s="264" t="e">
        <f>A51+1</f>
        <v>#REF!</v>
      </c>
      <c r="B52" s="265" t="s">
        <v>238</v>
      </c>
      <c r="C52" s="265" t="s">
        <v>238</v>
      </c>
      <c r="D52" s="410" t="s">
        <v>239</v>
      </c>
      <c r="E52" s="266">
        <f t="shared" si="6"/>
        <v>116</v>
      </c>
      <c r="F52" s="398" t="s">
        <v>240</v>
      </c>
      <c r="G52" s="237">
        <f t="shared" si="5"/>
        <v>113</v>
      </c>
      <c r="H52" s="408" t="s">
        <v>110</v>
      </c>
      <c r="I52" s="266"/>
      <c r="J52" s="360" t="s">
        <v>24</v>
      </c>
      <c r="K52" s="361" t="s">
        <v>241</v>
      </c>
      <c r="L52" s="13" t="s">
        <v>242</v>
      </c>
      <c r="M52" s="412"/>
      <c r="N52" s="267"/>
      <c r="O52" s="159"/>
      <c r="P52" s="604"/>
      <c r="Q52" s="159"/>
      <c r="R52" s="159"/>
      <c r="S52" s="160"/>
      <c r="T52" s="161"/>
      <c r="U52" s="193"/>
      <c r="V52" s="162"/>
      <c r="W52" s="193"/>
      <c r="X52" s="163"/>
      <c r="Z52" s="165"/>
      <c r="AA52" s="166"/>
      <c r="AD52" s="167"/>
    </row>
    <row r="53" spans="1:30" s="164" customFormat="1" ht="187.5" customHeight="1" x14ac:dyDescent="0.2">
      <c r="A53" s="264" t="e">
        <f>A52+1</f>
        <v>#REF!</v>
      </c>
      <c r="B53" s="265" t="s">
        <v>243</v>
      </c>
      <c r="C53" s="265" t="s">
        <v>243</v>
      </c>
      <c r="D53" s="410" t="s">
        <v>244</v>
      </c>
      <c r="E53" s="266">
        <f t="shared" si="6"/>
        <v>432</v>
      </c>
      <c r="F53" s="398" t="s">
        <v>245</v>
      </c>
      <c r="G53" s="237">
        <f t="shared" si="5"/>
        <v>649</v>
      </c>
      <c r="H53" s="408" t="s">
        <v>110</v>
      </c>
      <c r="I53" s="266"/>
      <c r="J53" s="360" t="s">
        <v>24</v>
      </c>
      <c r="K53" s="361" t="s">
        <v>246</v>
      </c>
      <c r="L53" s="13" t="s">
        <v>247</v>
      </c>
      <c r="M53" s="412"/>
      <c r="N53" s="267"/>
      <c r="O53" s="159"/>
      <c r="P53" s="268" t="s">
        <v>248</v>
      </c>
      <c r="Q53" s="159"/>
      <c r="R53" s="159"/>
      <c r="S53" s="160"/>
      <c r="T53" s="161"/>
      <c r="U53" s="193"/>
      <c r="V53" s="162"/>
      <c r="W53" s="193"/>
      <c r="X53" s="163"/>
      <c r="Z53" s="165"/>
      <c r="AA53" s="166"/>
      <c r="AD53" s="167"/>
    </row>
    <row r="54" spans="1:30" s="68" customFormat="1" ht="157.5" customHeight="1" x14ac:dyDescent="0.2">
      <c r="A54" s="10" t="e">
        <f>#REF!+1</f>
        <v>#REF!</v>
      </c>
      <c r="B54" s="253" t="s">
        <v>249</v>
      </c>
      <c r="C54" s="254" t="s">
        <v>249</v>
      </c>
      <c r="D54" s="269" t="s">
        <v>250</v>
      </c>
      <c r="E54" s="256">
        <f t="shared" si="6"/>
        <v>133</v>
      </c>
      <c r="F54" s="398" t="s">
        <v>251</v>
      </c>
      <c r="G54" s="237">
        <f t="shared" si="5"/>
        <v>179</v>
      </c>
      <c r="H54" s="408" t="s">
        <v>36</v>
      </c>
      <c r="I54" s="256" t="s">
        <v>24</v>
      </c>
      <c r="J54" s="360" t="s">
        <v>252</v>
      </c>
      <c r="K54" s="361" t="s">
        <v>37</v>
      </c>
      <c r="L54" s="13" t="s">
        <v>253</v>
      </c>
      <c r="M54" s="11" t="s">
        <v>24</v>
      </c>
      <c r="N54" s="409" t="s">
        <v>216</v>
      </c>
      <c r="O54" s="270"/>
      <c r="P54" s="9"/>
      <c r="Q54" s="139">
        <f>1</f>
        <v>1</v>
      </c>
      <c r="R54" s="62"/>
      <c r="T54" s="70" t="s">
        <v>23</v>
      </c>
      <c r="U54" s="69"/>
      <c r="X54" s="192">
        <v>7.02484130859375</v>
      </c>
      <c r="Y54" s="192">
        <f>IF(X54="","",X54*Q54)</f>
        <v>7.02484130859375</v>
      </c>
      <c r="Z54" s="62" t="str">
        <f>IF(T54="yes",Y54,"")</f>
        <v/>
      </c>
    </row>
    <row r="55" spans="1:30" s="68" customFormat="1" ht="249.75" customHeight="1" x14ac:dyDescent="0.2">
      <c r="A55" s="10" t="e">
        <f>A46+1</f>
        <v>#REF!</v>
      </c>
      <c r="B55" s="400" t="s">
        <v>254</v>
      </c>
      <c r="C55" s="67" t="s">
        <v>254</v>
      </c>
      <c r="D55" s="413" t="s">
        <v>255</v>
      </c>
      <c r="E55" s="360">
        <f t="shared" si="6"/>
        <v>314</v>
      </c>
      <c r="F55" s="398" t="s">
        <v>256</v>
      </c>
      <c r="G55" s="237">
        <f t="shared" si="5"/>
        <v>315</v>
      </c>
      <c r="H55" s="414" t="s">
        <v>36</v>
      </c>
      <c r="I55" s="360" t="s">
        <v>24</v>
      </c>
      <c r="J55" s="360" t="s">
        <v>24</v>
      </c>
      <c r="K55" s="360" t="s">
        <v>37</v>
      </c>
      <c r="L55" s="72" t="s">
        <v>257</v>
      </c>
      <c r="M55" s="78" t="s">
        <v>24</v>
      </c>
      <c r="N55" s="64" t="s">
        <v>258</v>
      </c>
      <c r="O55" s="13"/>
      <c r="P55" s="252"/>
      <c r="Q55" s="105">
        <f>1</f>
        <v>1</v>
      </c>
      <c r="R55" s="62"/>
      <c r="T55" s="150" t="s">
        <v>32</v>
      </c>
      <c r="U55" s="69"/>
      <c r="X55" s="191">
        <v>12.42189884185791</v>
      </c>
      <c r="Y55" s="191">
        <f>IF(X55="","",X55*Q55)</f>
        <v>12.42189884185791</v>
      </c>
      <c r="Z55" s="62">
        <f>IF(T55="yes",Y55,"")</f>
        <v>12.42189884185791</v>
      </c>
    </row>
    <row r="56" spans="1:30" s="68" customFormat="1" ht="252" customHeight="1" x14ac:dyDescent="0.2">
      <c r="A56" s="10">
        <v>10</v>
      </c>
      <c r="B56" s="407" t="s">
        <v>259</v>
      </c>
      <c r="C56" s="376" t="s">
        <v>259</v>
      </c>
      <c r="D56" s="404" t="s">
        <v>260</v>
      </c>
      <c r="E56" s="361">
        <f t="shared" si="6"/>
        <v>313</v>
      </c>
      <c r="F56" s="398" t="s">
        <v>261</v>
      </c>
      <c r="G56" s="237">
        <f t="shared" si="5"/>
        <v>398</v>
      </c>
      <c r="H56" s="408" t="s">
        <v>36</v>
      </c>
      <c r="I56" s="361" t="s">
        <v>24</v>
      </c>
      <c r="J56" s="361" t="s">
        <v>24</v>
      </c>
      <c r="K56" s="361" t="s">
        <v>37</v>
      </c>
      <c r="L56" s="474" t="s">
        <v>262</v>
      </c>
      <c r="M56" s="11" t="s">
        <v>24</v>
      </c>
      <c r="N56" s="409" t="s">
        <v>263</v>
      </c>
      <c r="O56" s="271"/>
      <c r="P56" s="600" t="s">
        <v>264</v>
      </c>
      <c r="Q56" s="139">
        <f>1</f>
        <v>1</v>
      </c>
      <c r="R56" s="62"/>
      <c r="T56" s="70" t="s">
        <v>32</v>
      </c>
      <c r="U56" s="69"/>
      <c r="X56" s="192">
        <v>16.615655899047852</v>
      </c>
      <c r="Y56" s="192">
        <f>IF(X56="","",X56*Q56)</f>
        <v>16.615655899047852</v>
      </c>
      <c r="Z56" s="62">
        <f>IF(T56="yes",Y56,"")</f>
        <v>16.615655899047852</v>
      </c>
    </row>
    <row r="57" spans="1:30" s="512" customFormat="1" ht="109" customHeight="1" x14ac:dyDescent="0.2">
      <c r="A57" s="525"/>
      <c r="B57" s="526" t="s">
        <v>265</v>
      </c>
      <c r="C57" s="526" t="s">
        <v>265</v>
      </c>
      <c r="D57" s="527" t="s">
        <v>266</v>
      </c>
      <c r="E57" s="518"/>
      <c r="F57" s="528" t="s">
        <v>267</v>
      </c>
      <c r="G57" s="529">
        <f t="shared" si="5"/>
        <v>142</v>
      </c>
      <c r="H57" s="530"/>
      <c r="I57" s="518"/>
      <c r="J57" s="518"/>
      <c r="K57" s="518"/>
      <c r="L57" s="531" t="s">
        <v>268</v>
      </c>
      <c r="M57" s="532"/>
      <c r="N57" s="533"/>
      <c r="O57" s="534"/>
      <c r="P57" s="601"/>
      <c r="Q57" s="522"/>
      <c r="R57" s="511"/>
      <c r="T57" s="523"/>
      <c r="U57" s="514"/>
      <c r="X57" s="524"/>
      <c r="Y57" s="524"/>
      <c r="Z57" s="511"/>
    </row>
    <row r="58" spans="1:30" s="512" customFormat="1" ht="121.5" customHeight="1" x14ac:dyDescent="0.2">
      <c r="A58" s="525"/>
      <c r="B58" s="526" t="s">
        <v>269</v>
      </c>
      <c r="C58" s="526" t="s">
        <v>269</v>
      </c>
      <c r="D58" s="527" t="s">
        <v>270</v>
      </c>
      <c r="E58" s="518"/>
      <c r="F58" s="528" t="s">
        <v>271</v>
      </c>
      <c r="G58" s="529">
        <f t="shared" si="5"/>
        <v>40</v>
      </c>
      <c r="H58" s="530"/>
      <c r="I58" s="518"/>
      <c r="J58" s="518"/>
      <c r="K58" s="518"/>
      <c r="L58" s="531"/>
      <c r="M58" s="532"/>
      <c r="N58" s="533"/>
      <c r="O58" s="534"/>
      <c r="P58" s="601"/>
      <c r="Q58" s="522"/>
      <c r="R58" s="511"/>
      <c r="T58" s="523"/>
      <c r="U58" s="514"/>
      <c r="X58" s="524"/>
      <c r="Y58" s="524"/>
      <c r="Z58" s="511"/>
    </row>
    <row r="59" spans="1:30" s="512" customFormat="1" ht="121.5" customHeight="1" x14ac:dyDescent="0.2">
      <c r="A59" s="525"/>
      <c r="B59" s="526" t="s">
        <v>272</v>
      </c>
      <c r="C59" s="526" t="s">
        <v>272</v>
      </c>
      <c r="D59" s="527" t="s">
        <v>273</v>
      </c>
      <c r="E59" s="518"/>
      <c r="F59" s="528" t="s">
        <v>274</v>
      </c>
      <c r="G59" s="529"/>
      <c r="H59" s="530"/>
      <c r="I59" s="518"/>
      <c r="J59" s="518"/>
      <c r="K59" s="518"/>
      <c r="L59" s="531" t="s">
        <v>275</v>
      </c>
      <c r="M59" s="532"/>
      <c r="N59" s="533"/>
      <c r="O59" s="534"/>
      <c r="P59" s="601"/>
      <c r="Q59" s="522"/>
      <c r="R59" s="511"/>
      <c r="T59" s="523"/>
      <c r="U59" s="514"/>
      <c r="X59" s="524"/>
      <c r="Y59" s="524"/>
      <c r="Z59" s="511"/>
    </row>
    <row r="60" spans="1:30" s="512" customFormat="1" ht="121.5" customHeight="1" x14ac:dyDescent="0.2">
      <c r="A60" s="525"/>
      <c r="B60" s="526" t="s">
        <v>276</v>
      </c>
      <c r="C60" s="526" t="s">
        <v>276</v>
      </c>
      <c r="D60" s="527" t="s">
        <v>277</v>
      </c>
      <c r="E60" s="518"/>
      <c r="F60" s="528" t="s">
        <v>271</v>
      </c>
      <c r="G60" s="529"/>
      <c r="H60" s="530"/>
      <c r="I60" s="518"/>
      <c r="J60" s="518"/>
      <c r="K60" s="518"/>
      <c r="L60" s="531"/>
      <c r="M60" s="532"/>
      <c r="N60" s="533"/>
      <c r="O60" s="534"/>
      <c r="P60" s="601"/>
      <c r="Q60" s="522"/>
      <c r="R60" s="511"/>
      <c r="T60" s="523"/>
      <c r="U60" s="514"/>
      <c r="X60" s="524"/>
      <c r="Y60" s="524"/>
      <c r="Z60" s="511"/>
    </row>
    <row r="61" spans="1:30" s="512" customFormat="1" ht="121.5" customHeight="1" x14ac:dyDescent="0.2">
      <c r="A61" s="525"/>
      <c r="B61" s="526" t="s">
        <v>278</v>
      </c>
      <c r="C61" s="526" t="s">
        <v>278</v>
      </c>
      <c r="D61" s="527" t="s">
        <v>279</v>
      </c>
      <c r="E61" s="518"/>
      <c r="F61" s="528" t="s">
        <v>280</v>
      </c>
      <c r="G61" s="529"/>
      <c r="H61" s="530"/>
      <c r="I61" s="518"/>
      <c r="J61" s="518"/>
      <c r="K61" s="518"/>
      <c r="L61" s="531" t="s">
        <v>281</v>
      </c>
      <c r="M61" s="532"/>
      <c r="N61" s="533"/>
      <c r="O61" s="534"/>
      <c r="P61" s="601"/>
      <c r="Q61" s="522"/>
      <c r="R61" s="511"/>
      <c r="T61" s="523"/>
      <c r="U61" s="514"/>
      <c r="X61" s="524"/>
      <c r="Y61" s="524"/>
      <c r="Z61" s="511"/>
    </row>
    <row r="62" spans="1:30" s="512" customFormat="1" ht="121.5" customHeight="1" x14ac:dyDescent="0.2">
      <c r="A62" s="525"/>
      <c r="B62" s="526" t="s">
        <v>282</v>
      </c>
      <c r="C62" s="526" t="s">
        <v>282</v>
      </c>
      <c r="D62" s="527" t="s">
        <v>277</v>
      </c>
      <c r="E62" s="518"/>
      <c r="F62" s="528" t="s">
        <v>271</v>
      </c>
      <c r="G62" s="529"/>
      <c r="H62" s="530"/>
      <c r="I62" s="518"/>
      <c r="J62" s="518"/>
      <c r="K62" s="518"/>
      <c r="L62" s="531"/>
      <c r="M62" s="532"/>
      <c r="N62" s="533"/>
      <c r="O62" s="534"/>
      <c r="P62" s="601"/>
      <c r="Q62" s="522"/>
      <c r="R62" s="511"/>
      <c r="T62" s="523"/>
      <c r="U62" s="514"/>
      <c r="X62" s="524"/>
      <c r="Y62" s="524"/>
      <c r="Z62" s="511"/>
    </row>
    <row r="63" spans="1:30" s="512" customFormat="1" ht="116.25" customHeight="1" x14ac:dyDescent="0.2">
      <c r="A63" s="525"/>
      <c r="B63" s="526" t="s">
        <v>283</v>
      </c>
      <c r="C63" s="526" t="s">
        <v>283</v>
      </c>
      <c r="D63" s="527" t="s">
        <v>284</v>
      </c>
      <c r="E63" s="518"/>
      <c r="F63" s="528" t="s">
        <v>285</v>
      </c>
      <c r="G63" s="529"/>
      <c r="H63" s="530"/>
      <c r="I63" s="518"/>
      <c r="J63" s="518"/>
      <c r="K63" s="518"/>
      <c r="L63" s="531" t="s">
        <v>286</v>
      </c>
      <c r="M63" s="532"/>
      <c r="N63" s="533"/>
      <c r="O63" s="534"/>
      <c r="P63" s="601"/>
      <c r="Q63" s="522"/>
      <c r="R63" s="511"/>
      <c r="T63" s="523"/>
      <c r="U63" s="514"/>
      <c r="X63" s="524"/>
      <c r="Y63" s="524"/>
      <c r="Z63" s="511"/>
    </row>
    <row r="64" spans="1:30" s="512" customFormat="1" ht="65.25" customHeight="1" x14ac:dyDescent="0.2">
      <c r="A64" s="525"/>
      <c r="B64" s="526" t="s">
        <v>287</v>
      </c>
      <c r="C64" s="526" t="s">
        <v>287</v>
      </c>
      <c r="D64" s="527" t="s">
        <v>277</v>
      </c>
      <c r="E64" s="518"/>
      <c r="F64" s="528" t="s">
        <v>271</v>
      </c>
      <c r="G64" s="529"/>
      <c r="H64" s="530"/>
      <c r="I64" s="518"/>
      <c r="J64" s="518"/>
      <c r="K64" s="518"/>
      <c r="L64" s="531"/>
      <c r="M64" s="532"/>
      <c r="N64" s="533"/>
      <c r="O64" s="534"/>
      <c r="P64" s="601"/>
      <c r="Q64" s="522"/>
      <c r="R64" s="511"/>
      <c r="T64" s="523"/>
      <c r="U64" s="514"/>
      <c r="X64" s="524"/>
      <c r="Y64" s="524"/>
      <c r="Z64" s="511"/>
    </row>
    <row r="65" spans="1:26" s="68" customFormat="1" ht="351" customHeight="1" thickBot="1" x14ac:dyDescent="0.25">
      <c r="A65" s="10"/>
      <c r="B65" s="376" t="s">
        <v>288</v>
      </c>
      <c r="C65" s="376" t="s">
        <v>288</v>
      </c>
      <c r="D65" s="404" t="s">
        <v>289</v>
      </c>
      <c r="E65" s="361"/>
      <c r="F65" s="398" t="s">
        <v>290</v>
      </c>
      <c r="G65" s="237">
        <f>LEN(F65)</f>
        <v>561</v>
      </c>
      <c r="H65" s="408" t="s">
        <v>36</v>
      </c>
      <c r="I65" s="361"/>
      <c r="J65" s="361"/>
      <c r="K65" s="361"/>
      <c r="L65" s="474" t="s">
        <v>291</v>
      </c>
      <c r="M65" s="11"/>
      <c r="N65" s="409"/>
      <c r="O65" s="271"/>
      <c r="P65" s="601"/>
      <c r="Q65" s="139"/>
      <c r="R65" s="62"/>
      <c r="T65" s="70"/>
      <c r="U65" s="69"/>
      <c r="X65" s="192"/>
      <c r="Y65" s="192"/>
      <c r="Z65" s="62"/>
    </row>
    <row r="66" spans="1:26" s="149" customFormat="1" ht="16.5" customHeight="1" thickBot="1" x14ac:dyDescent="0.25">
      <c r="A66" s="597" t="s">
        <v>292</v>
      </c>
      <c r="B66" s="598"/>
      <c r="C66" s="598"/>
      <c r="D66" s="598"/>
      <c r="E66" s="598"/>
      <c r="F66" s="598"/>
      <c r="G66" s="598"/>
      <c r="H66" s="598"/>
      <c r="I66" s="598"/>
      <c r="J66" s="598"/>
      <c r="K66" s="598"/>
      <c r="L66" s="598"/>
      <c r="M66" s="598"/>
      <c r="N66" s="598"/>
      <c r="O66" s="598"/>
      <c r="P66" s="599"/>
      <c r="Q66" s="105"/>
      <c r="R66" s="151"/>
      <c r="T66" s="150"/>
      <c r="U66" s="152"/>
      <c r="X66" s="191"/>
      <c r="Y66" s="191" t="str">
        <f>IF(X66="","",X66*Q66)</f>
        <v/>
      </c>
      <c r="Z66" s="151" t="str">
        <f>IF(T66="yes",Y66,"")</f>
        <v/>
      </c>
    </row>
    <row r="67" spans="1:26" s="68" customFormat="1" ht="106.5" customHeight="1" x14ac:dyDescent="0.2">
      <c r="A67" s="257"/>
      <c r="B67" s="265" t="s">
        <v>293</v>
      </c>
      <c r="C67" s="257"/>
      <c r="D67" s="272" t="s">
        <v>294</v>
      </c>
      <c r="E67" s="257">
        <f t="shared" ref="E67:E72" si="7">LEN(D67)</f>
        <v>107</v>
      </c>
      <c r="F67" s="398" t="s">
        <v>295</v>
      </c>
      <c r="G67" s="257">
        <f t="shared" ref="G67:G85" si="8">LEN(F67)</f>
        <v>125</v>
      </c>
      <c r="H67" s="273" t="s">
        <v>110</v>
      </c>
      <c r="I67" s="257"/>
      <c r="J67" s="257"/>
      <c r="K67" s="475" t="s">
        <v>296</v>
      </c>
      <c r="L67" s="476" t="s">
        <v>297</v>
      </c>
      <c r="M67" s="13"/>
      <c r="N67" s="257"/>
      <c r="O67" s="257"/>
      <c r="P67" s="214"/>
      <c r="Q67" s="139">
        <f>1</f>
        <v>1</v>
      </c>
      <c r="R67" s="62"/>
      <c r="T67" s="70"/>
      <c r="U67" s="69"/>
      <c r="X67" s="192"/>
      <c r="Y67" s="192" t="str">
        <f>IF(X67="","",X67*Q67)</f>
        <v/>
      </c>
      <c r="Z67" s="62" t="str">
        <f>IF(T67="yes",Y67,"")</f>
        <v/>
      </c>
    </row>
    <row r="68" spans="1:26" s="68" customFormat="1" ht="134.25" customHeight="1" x14ac:dyDescent="0.2">
      <c r="A68" s="274"/>
      <c r="B68" s="265" t="s">
        <v>298</v>
      </c>
      <c r="C68" s="257"/>
      <c r="D68" s="275" t="s">
        <v>299</v>
      </c>
      <c r="E68" s="257">
        <f t="shared" si="7"/>
        <v>119</v>
      </c>
      <c r="F68" s="398" t="s">
        <v>300</v>
      </c>
      <c r="G68" s="257">
        <f t="shared" si="8"/>
        <v>132</v>
      </c>
      <c r="H68" s="273" t="s">
        <v>110</v>
      </c>
      <c r="I68" s="257"/>
      <c r="J68" s="257"/>
      <c r="K68" s="257"/>
      <c r="L68" s="477" t="s">
        <v>301</v>
      </c>
      <c r="M68" s="13"/>
      <c r="N68" s="276"/>
      <c r="O68" s="276"/>
      <c r="P68" s="214"/>
      <c r="Q68" s="139"/>
      <c r="R68" s="62"/>
      <c r="T68" s="70"/>
      <c r="U68" s="69"/>
      <c r="X68" s="192"/>
      <c r="Y68" s="192"/>
      <c r="Z68" s="62"/>
    </row>
    <row r="69" spans="1:26" s="68" customFormat="1" ht="409.5" customHeight="1" x14ac:dyDescent="0.2">
      <c r="A69" s="17" t="e">
        <f>A54+1</f>
        <v>#REF!</v>
      </c>
      <c r="B69" s="92" t="s">
        <v>302</v>
      </c>
      <c r="C69" s="67" t="s">
        <v>302</v>
      </c>
      <c r="D69" s="66" t="s">
        <v>303</v>
      </c>
      <c r="E69" s="65">
        <f t="shared" si="7"/>
        <v>1218</v>
      </c>
      <c r="F69" s="398" t="s">
        <v>304</v>
      </c>
      <c r="G69" s="257">
        <f t="shared" si="8"/>
        <v>1470</v>
      </c>
      <c r="H69" s="67" t="s">
        <v>36</v>
      </c>
      <c r="I69" s="65" t="s">
        <v>24</v>
      </c>
      <c r="J69" s="65" t="s">
        <v>24</v>
      </c>
      <c r="K69" s="65" t="s">
        <v>305</v>
      </c>
      <c r="L69" s="64" t="s">
        <v>306</v>
      </c>
      <c r="M69" s="78" t="s">
        <v>24</v>
      </c>
      <c r="N69" s="71" t="s">
        <v>307</v>
      </c>
      <c r="O69" s="277"/>
      <c r="P69" s="214"/>
      <c r="Q69" s="105">
        <f>1</f>
        <v>1</v>
      </c>
      <c r="R69" s="62"/>
      <c r="T69" s="150" t="s">
        <v>32</v>
      </c>
      <c r="U69" s="69"/>
      <c r="X69" s="191">
        <v>31.888334274291989</v>
      </c>
      <c r="Y69" s="191">
        <f>IF(X69="","",X69*Q69)</f>
        <v>31.888334274291989</v>
      </c>
      <c r="Z69" s="62">
        <f>IF(T69="yes",Y69,"")</f>
        <v>31.888334274291989</v>
      </c>
    </row>
    <row r="70" spans="1:26" s="68" customFormat="1" ht="141.75" customHeight="1" x14ac:dyDescent="0.2">
      <c r="A70" s="17"/>
      <c r="B70" s="92" t="s">
        <v>308</v>
      </c>
      <c r="C70" s="212" t="s">
        <v>308</v>
      </c>
      <c r="D70" s="72" t="s">
        <v>309</v>
      </c>
      <c r="E70" s="65">
        <f t="shared" si="7"/>
        <v>143</v>
      </c>
      <c r="F70" s="398" t="s">
        <v>310</v>
      </c>
      <c r="G70" s="257">
        <f t="shared" si="8"/>
        <v>190</v>
      </c>
      <c r="H70" s="67" t="s">
        <v>36</v>
      </c>
      <c r="I70" s="65" t="s">
        <v>24</v>
      </c>
      <c r="J70" s="65" t="s">
        <v>24</v>
      </c>
      <c r="K70" s="65" t="s">
        <v>37</v>
      </c>
      <c r="L70" s="64" t="s">
        <v>311</v>
      </c>
      <c r="M70" s="78" t="s">
        <v>24</v>
      </c>
      <c r="N70" s="71" t="s">
        <v>312</v>
      </c>
      <c r="O70" s="277"/>
      <c r="P70" s="214"/>
      <c r="Q70" s="105">
        <f>1</f>
        <v>1</v>
      </c>
      <c r="R70" s="62"/>
      <c r="T70" s="150" t="s">
        <v>32</v>
      </c>
      <c r="U70" s="69"/>
      <c r="X70" s="191">
        <v>8</v>
      </c>
      <c r="Y70" s="191">
        <f>IF(X70="","",X70*Q70)</f>
        <v>8</v>
      </c>
      <c r="Z70" s="62">
        <f>IF(T70="yes",Y70,"")</f>
        <v>8</v>
      </c>
    </row>
    <row r="71" spans="1:26" s="68" customFormat="1" ht="136.5" customHeight="1" x14ac:dyDescent="0.2">
      <c r="A71" s="17"/>
      <c r="B71" s="92" t="s">
        <v>313</v>
      </c>
      <c r="C71" s="212" t="s">
        <v>313</v>
      </c>
      <c r="D71" s="72" t="s">
        <v>314</v>
      </c>
      <c r="E71" s="65">
        <f t="shared" si="7"/>
        <v>170</v>
      </c>
      <c r="F71" s="398" t="s">
        <v>315</v>
      </c>
      <c r="G71" s="257">
        <f t="shared" si="8"/>
        <v>196</v>
      </c>
      <c r="H71" s="67" t="s">
        <v>36</v>
      </c>
      <c r="I71" s="65" t="s">
        <v>24</v>
      </c>
      <c r="J71" s="65" t="s">
        <v>24</v>
      </c>
      <c r="K71" s="65" t="s">
        <v>37</v>
      </c>
      <c r="L71" s="64" t="s">
        <v>311</v>
      </c>
      <c r="M71" s="78" t="s">
        <v>24</v>
      </c>
      <c r="N71" s="71" t="s">
        <v>316</v>
      </c>
      <c r="O71" s="277"/>
      <c r="P71" s="214"/>
      <c r="Q71" s="105">
        <f>1</f>
        <v>1</v>
      </c>
      <c r="R71" s="62"/>
      <c r="T71" s="150" t="s">
        <v>32</v>
      </c>
      <c r="U71" s="69"/>
      <c r="X71" s="191">
        <v>8</v>
      </c>
      <c r="Y71" s="191">
        <f>IF(X71="","",X71*Q71)</f>
        <v>8</v>
      </c>
      <c r="Z71" s="62">
        <f>IF(T71="yes",Y71,"")</f>
        <v>8</v>
      </c>
    </row>
    <row r="72" spans="1:26" s="68" customFormat="1" ht="136.5" customHeight="1" x14ac:dyDescent="0.2">
      <c r="A72" s="17"/>
      <c r="B72" s="92" t="s">
        <v>317</v>
      </c>
      <c r="C72" s="212" t="s">
        <v>317</v>
      </c>
      <c r="D72" s="72" t="s">
        <v>318</v>
      </c>
      <c r="E72" s="65">
        <f t="shared" si="7"/>
        <v>176</v>
      </c>
      <c r="F72" s="398" t="s">
        <v>319</v>
      </c>
      <c r="G72" s="257">
        <f t="shared" si="8"/>
        <v>187</v>
      </c>
      <c r="H72" s="67" t="s">
        <v>36</v>
      </c>
      <c r="I72" s="65" t="s">
        <v>24</v>
      </c>
      <c r="J72" s="65" t="s">
        <v>24</v>
      </c>
      <c r="K72" s="65" t="s">
        <v>37</v>
      </c>
      <c r="L72" s="64" t="s">
        <v>311</v>
      </c>
      <c r="M72" s="78" t="s">
        <v>24</v>
      </c>
      <c r="N72" s="71" t="s">
        <v>320</v>
      </c>
      <c r="O72" s="277"/>
      <c r="P72" s="214"/>
      <c r="Q72" s="105">
        <f>1</f>
        <v>1</v>
      </c>
      <c r="R72" s="62"/>
      <c r="T72" s="150" t="s">
        <v>32</v>
      </c>
      <c r="U72" s="69"/>
      <c r="X72" s="191">
        <v>8</v>
      </c>
      <c r="Y72" s="191">
        <f>IF(X72="","",X72*Q72)</f>
        <v>8</v>
      </c>
      <c r="Z72" s="62">
        <f>IF(T72="yes",Y72,"")</f>
        <v>8</v>
      </c>
    </row>
    <row r="73" spans="1:26" s="68" customFormat="1" ht="173.25" customHeight="1" x14ac:dyDescent="0.2">
      <c r="A73" s="17"/>
      <c r="B73" s="265" t="s">
        <v>321</v>
      </c>
      <c r="C73" s="262"/>
      <c r="D73" s="278" t="s">
        <v>322</v>
      </c>
      <c r="E73" s="258"/>
      <c r="F73" s="398" t="s">
        <v>323</v>
      </c>
      <c r="G73" s="257">
        <f t="shared" si="8"/>
        <v>351</v>
      </c>
      <c r="H73" s="241" t="s">
        <v>36</v>
      </c>
      <c r="I73" s="258"/>
      <c r="J73" s="258"/>
      <c r="K73" s="258"/>
      <c r="L73" s="64" t="s">
        <v>311</v>
      </c>
      <c r="M73" s="279"/>
      <c r="N73" s="76"/>
      <c r="O73" s="76"/>
      <c r="P73" s="214"/>
      <c r="Q73" s="139">
        <f>1</f>
        <v>1</v>
      </c>
      <c r="R73" s="62"/>
      <c r="T73" s="70"/>
      <c r="U73" s="69"/>
      <c r="X73" s="192"/>
      <c r="Y73" s="192" t="str">
        <f>IF(X73="","",X73*Q73)</f>
        <v/>
      </c>
      <c r="Z73" s="62" t="str">
        <f>IF(T73="yes",Y73,"")</f>
        <v/>
      </c>
    </row>
    <row r="74" spans="1:26" s="68" customFormat="1" ht="78.75" customHeight="1" x14ac:dyDescent="0.2">
      <c r="A74" s="17"/>
      <c r="B74" s="265" t="s">
        <v>324</v>
      </c>
      <c r="C74" s="262"/>
      <c r="D74" s="280" t="s">
        <v>325</v>
      </c>
      <c r="E74" s="258"/>
      <c r="F74" s="398" t="s">
        <v>326</v>
      </c>
      <c r="G74" s="257">
        <f t="shared" si="8"/>
        <v>174</v>
      </c>
      <c r="H74" s="361" t="s">
        <v>110</v>
      </c>
      <c r="I74" s="258"/>
      <c r="J74" s="258"/>
      <c r="K74" s="361" t="s">
        <v>327</v>
      </c>
      <c r="L74" s="358" t="s">
        <v>328</v>
      </c>
      <c r="M74" s="281"/>
      <c r="N74" s="76"/>
      <c r="O74" s="76"/>
      <c r="P74" s="282"/>
      <c r="Q74" s="139"/>
      <c r="R74" s="62"/>
      <c r="T74" s="70"/>
      <c r="U74" s="69"/>
      <c r="X74" s="192"/>
      <c r="Y74" s="192"/>
      <c r="Z74" s="62"/>
    </row>
    <row r="75" spans="1:26" s="68" customFormat="1" ht="78.75" customHeight="1" x14ac:dyDescent="0.2">
      <c r="A75" s="17"/>
      <c r="B75" s="478" t="s">
        <v>329</v>
      </c>
      <c r="C75" s="478" t="s">
        <v>329</v>
      </c>
      <c r="D75" s="409" t="s">
        <v>330</v>
      </c>
      <c r="E75" s="360"/>
      <c r="F75" s="480" t="s">
        <v>331</v>
      </c>
      <c r="G75" s="65">
        <f t="shared" si="8"/>
        <v>245</v>
      </c>
      <c r="H75" s="257" t="s">
        <v>36</v>
      </c>
      <c r="I75" s="360" t="s">
        <v>24</v>
      </c>
      <c r="J75" s="360" t="s">
        <v>24</v>
      </c>
      <c r="K75" s="361" t="s">
        <v>37</v>
      </c>
      <c r="L75" s="358" t="s">
        <v>332</v>
      </c>
      <c r="M75" s="358" t="s">
        <v>332</v>
      </c>
      <c r="N75" s="76"/>
      <c r="O75" s="76"/>
      <c r="P75" s="282"/>
      <c r="Q75" s="139"/>
      <c r="R75" s="62"/>
      <c r="T75" s="70"/>
      <c r="U75" s="69"/>
      <c r="X75" s="192"/>
      <c r="Y75" s="192"/>
      <c r="Z75" s="62"/>
    </row>
    <row r="76" spans="1:26" s="68" customFormat="1" ht="189" customHeight="1" x14ac:dyDescent="0.2">
      <c r="A76" s="10" t="e">
        <f>#REF!+1</f>
        <v>#REF!</v>
      </c>
      <c r="B76" s="400" t="s">
        <v>333</v>
      </c>
      <c r="C76" s="67" t="s">
        <v>333</v>
      </c>
      <c r="D76" s="416" t="s">
        <v>334</v>
      </c>
      <c r="E76" s="360">
        <f>LEN(D76)</f>
        <v>294</v>
      </c>
      <c r="F76" s="398" t="s">
        <v>335</v>
      </c>
      <c r="G76" s="257">
        <f t="shared" si="8"/>
        <v>339</v>
      </c>
      <c r="H76" s="402" t="s">
        <v>36</v>
      </c>
      <c r="I76" s="360" t="s">
        <v>24</v>
      </c>
      <c r="J76" s="360" t="s">
        <v>24</v>
      </c>
      <c r="K76" s="360" t="s">
        <v>37</v>
      </c>
      <c r="L76" s="283" t="s">
        <v>336</v>
      </c>
      <c r="M76" s="78" t="s">
        <v>24</v>
      </c>
      <c r="N76" s="283" t="s">
        <v>337</v>
      </c>
      <c r="O76" s="279"/>
      <c r="P76" s="9"/>
      <c r="Q76" s="105">
        <f>1</f>
        <v>1</v>
      </c>
      <c r="R76" s="62"/>
      <c r="T76" s="150" t="s">
        <v>32</v>
      </c>
      <c r="U76" s="69"/>
      <c r="X76" s="191">
        <v>22.126214981079102</v>
      </c>
      <c r="Y76" s="191">
        <f>IF(X76="","",X76*Q76)</f>
        <v>22.126214981079102</v>
      </c>
      <c r="Z76" s="62">
        <f>IF(T76="yes",Y76,"")</f>
        <v>22.126214981079102</v>
      </c>
    </row>
    <row r="77" spans="1:26" s="68" customFormat="1" ht="157.5" customHeight="1" x14ac:dyDescent="0.2">
      <c r="A77" s="10"/>
      <c r="B77" s="415" t="s">
        <v>338</v>
      </c>
      <c r="C77" s="241"/>
      <c r="D77" s="409" t="s">
        <v>339</v>
      </c>
      <c r="E77" s="361"/>
      <c r="F77" s="398" t="s">
        <v>340</v>
      </c>
      <c r="G77" s="257">
        <f t="shared" si="8"/>
        <v>141</v>
      </c>
      <c r="H77" s="241" t="s">
        <v>36</v>
      </c>
      <c r="I77" s="361"/>
      <c r="J77" s="361"/>
      <c r="K77" s="361"/>
      <c r="L77" s="281"/>
      <c r="M77" s="279"/>
      <c r="N77" s="281"/>
      <c r="O77" s="281"/>
      <c r="P77" s="9"/>
      <c r="Q77" s="139">
        <f>1</f>
        <v>1</v>
      </c>
      <c r="R77" s="62"/>
      <c r="T77" s="70"/>
      <c r="U77" s="69"/>
      <c r="X77" s="192"/>
      <c r="Y77" s="192" t="str">
        <f>IF(X77="","",X77*Q77)</f>
        <v/>
      </c>
      <c r="Z77" s="62" t="str">
        <f>IF(T77="yes",Y77,"")</f>
        <v/>
      </c>
    </row>
    <row r="78" spans="1:26" s="68" customFormat="1" ht="157.5" customHeight="1" thickBot="1" x14ac:dyDescent="0.25">
      <c r="A78" s="10"/>
      <c r="B78" s="481" t="s">
        <v>338</v>
      </c>
      <c r="C78" s="482"/>
      <c r="D78" s="483" t="s">
        <v>339</v>
      </c>
      <c r="E78" s="230">
        <f t="shared" ref="E78:E84" si="9">LEN(D78)</f>
        <v>136</v>
      </c>
      <c r="F78" s="484" t="s">
        <v>340</v>
      </c>
      <c r="G78" s="65">
        <f t="shared" si="8"/>
        <v>141</v>
      </c>
      <c r="H78" s="482" t="s">
        <v>36</v>
      </c>
      <c r="I78" s="485"/>
      <c r="J78" s="230" t="s">
        <v>24</v>
      </c>
      <c r="K78" s="230" t="s">
        <v>37</v>
      </c>
      <c r="L78" s="484" t="s">
        <v>341</v>
      </c>
      <c r="M78" s="281"/>
      <c r="N78" s="281"/>
      <c r="O78" s="281"/>
      <c r="P78" s="9"/>
      <c r="Q78" s="139"/>
      <c r="R78" s="62"/>
      <c r="T78" s="70"/>
      <c r="U78" s="69"/>
      <c r="X78" s="192"/>
      <c r="Y78" s="192"/>
      <c r="Z78" s="62"/>
    </row>
    <row r="79" spans="1:26" s="68" customFormat="1" ht="408" customHeight="1" x14ac:dyDescent="0.2">
      <c r="A79" s="10" t="e">
        <f>A76+1</f>
        <v>#REF!</v>
      </c>
      <c r="B79" s="400" t="s">
        <v>342</v>
      </c>
      <c r="C79" s="67" t="s">
        <v>342</v>
      </c>
      <c r="D79" s="416" t="s">
        <v>343</v>
      </c>
      <c r="E79" s="360">
        <f t="shared" si="9"/>
        <v>1218</v>
      </c>
      <c r="F79" s="398" t="s">
        <v>344</v>
      </c>
      <c r="G79" s="257">
        <f t="shared" si="8"/>
        <v>1486</v>
      </c>
      <c r="H79" s="402" t="s">
        <v>36</v>
      </c>
      <c r="I79" s="360" t="s">
        <v>24</v>
      </c>
      <c r="J79" s="360" t="s">
        <v>24</v>
      </c>
      <c r="K79" s="360" t="s">
        <v>345</v>
      </c>
      <c r="L79" s="64" t="s">
        <v>346</v>
      </c>
      <c r="M79" s="78" t="s">
        <v>24</v>
      </c>
      <c r="N79" s="71" t="s">
        <v>347</v>
      </c>
      <c r="O79" s="277"/>
      <c r="P79" s="9"/>
      <c r="Q79" s="105">
        <f>1</f>
        <v>1</v>
      </c>
      <c r="R79" s="62"/>
      <c r="T79" s="150" t="s">
        <v>32</v>
      </c>
      <c r="U79" s="69"/>
      <c r="X79" s="191">
        <v>18.710653305053711</v>
      </c>
      <c r="Y79" s="191">
        <f>IF(X79="","",X79*Q79)</f>
        <v>18.710653305053711</v>
      </c>
      <c r="Z79" s="62">
        <f>IF(T79="yes",Y79,"")</f>
        <v>18.710653305053711</v>
      </c>
    </row>
    <row r="80" spans="1:26" s="91" customFormat="1" ht="182.25" customHeight="1" x14ac:dyDescent="0.2">
      <c r="A80" s="10"/>
      <c r="B80" s="92" t="s">
        <v>348</v>
      </c>
      <c r="C80" s="212" t="s">
        <v>348</v>
      </c>
      <c r="D80" s="72" t="s">
        <v>309</v>
      </c>
      <c r="E80" s="65">
        <f t="shared" si="9"/>
        <v>143</v>
      </c>
      <c r="F80" s="398" t="s">
        <v>310</v>
      </c>
      <c r="G80" s="257">
        <f t="shared" si="8"/>
        <v>190</v>
      </c>
      <c r="H80" s="67" t="s">
        <v>36</v>
      </c>
      <c r="I80" s="65" t="s">
        <v>24</v>
      </c>
      <c r="J80" s="65" t="s">
        <v>24</v>
      </c>
      <c r="K80" s="65" t="s">
        <v>37</v>
      </c>
      <c r="L80" s="401" t="s">
        <v>349</v>
      </c>
      <c r="M80" s="78" t="s">
        <v>24</v>
      </c>
      <c r="N80" s="71" t="s">
        <v>350</v>
      </c>
      <c r="O80" s="277"/>
      <c r="P80" s="214"/>
      <c r="Q80" s="144">
        <f>1</f>
        <v>1</v>
      </c>
      <c r="R80" s="63"/>
      <c r="T80" s="153" t="s">
        <v>32</v>
      </c>
      <c r="U80" s="85"/>
      <c r="X80" s="194">
        <v>8</v>
      </c>
      <c r="Y80" s="194">
        <f>IF(X80="","",X80*Q80)</f>
        <v>8</v>
      </c>
      <c r="Z80" s="63">
        <f>IF(T80="yes",Y80,"")</f>
        <v>8</v>
      </c>
    </row>
    <row r="81" spans="1:30" s="91" customFormat="1" ht="182.25" customHeight="1" x14ac:dyDescent="0.2">
      <c r="A81" s="10"/>
      <c r="B81" s="92" t="s">
        <v>351</v>
      </c>
      <c r="C81" s="212" t="s">
        <v>351</v>
      </c>
      <c r="D81" s="72" t="s">
        <v>314</v>
      </c>
      <c r="E81" s="65">
        <f t="shared" si="9"/>
        <v>170</v>
      </c>
      <c r="F81" s="398" t="s">
        <v>352</v>
      </c>
      <c r="G81" s="257">
        <f t="shared" si="8"/>
        <v>196</v>
      </c>
      <c r="H81" s="67" t="s">
        <v>36</v>
      </c>
      <c r="I81" s="65" t="s">
        <v>24</v>
      </c>
      <c r="J81" s="65" t="s">
        <v>24</v>
      </c>
      <c r="K81" s="65" t="s">
        <v>37</v>
      </c>
      <c r="L81" s="401" t="s">
        <v>349</v>
      </c>
      <c r="M81" s="78" t="s">
        <v>24</v>
      </c>
      <c r="N81" s="71" t="s">
        <v>353</v>
      </c>
      <c r="O81" s="277"/>
      <c r="P81" s="214"/>
      <c r="Q81" s="144">
        <f>1</f>
        <v>1</v>
      </c>
      <c r="R81" s="63"/>
      <c r="T81" s="153" t="s">
        <v>32</v>
      </c>
      <c r="U81" s="85"/>
      <c r="X81" s="194">
        <v>8</v>
      </c>
      <c r="Y81" s="194">
        <f>IF(X81="","",X81*Q81)</f>
        <v>8</v>
      </c>
      <c r="Z81" s="63">
        <f>IF(T81="yes",Y81,"")</f>
        <v>8</v>
      </c>
    </row>
    <row r="82" spans="1:30" s="68" customFormat="1" ht="182.25" customHeight="1" x14ac:dyDescent="0.2">
      <c r="A82" s="10"/>
      <c r="B82" s="92" t="s">
        <v>354</v>
      </c>
      <c r="C82" s="212" t="s">
        <v>354</v>
      </c>
      <c r="D82" s="72" t="s">
        <v>318</v>
      </c>
      <c r="E82" s="65">
        <f t="shared" si="9"/>
        <v>176</v>
      </c>
      <c r="F82" s="398" t="s">
        <v>355</v>
      </c>
      <c r="G82" s="257">
        <f t="shared" si="8"/>
        <v>188</v>
      </c>
      <c r="H82" s="67" t="s">
        <v>36</v>
      </c>
      <c r="I82" s="65" t="s">
        <v>24</v>
      </c>
      <c r="J82" s="65" t="s">
        <v>24</v>
      </c>
      <c r="K82" s="65" t="s">
        <v>37</v>
      </c>
      <c r="L82" s="401" t="s">
        <v>349</v>
      </c>
      <c r="M82" s="78" t="s">
        <v>24</v>
      </c>
      <c r="N82" s="71" t="s">
        <v>356</v>
      </c>
      <c r="O82" s="277"/>
      <c r="P82" s="214"/>
      <c r="Q82" s="105">
        <f>1</f>
        <v>1</v>
      </c>
      <c r="R82" s="62"/>
      <c r="T82" s="150" t="s">
        <v>32</v>
      </c>
      <c r="U82" s="69"/>
      <c r="X82" s="191">
        <v>8</v>
      </c>
      <c r="Y82" s="191">
        <f>IF(X82="","",X82*Q82)</f>
        <v>8</v>
      </c>
      <c r="Z82" s="62">
        <f>IF(T82="yes",Y82,"")</f>
        <v>8</v>
      </c>
    </row>
    <row r="83" spans="1:30" s="68" customFormat="1" ht="173.25" customHeight="1" x14ac:dyDescent="0.2">
      <c r="A83" s="17"/>
      <c r="B83" s="415" t="s">
        <v>357</v>
      </c>
      <c r="C83" s="415" t="s">
        <v>357</v>
      </c>
      <c r="D83" s="278" t="s">
        <v>358</v>
      </c>
      <c r="E83" s="258">
        <f t="shared" si="9"/>
        <v>321</v>
      </c>
      <c r="F83" s="398" t="s">
        <v>323</v>
      </c>
      <c r="G83" s="257">
        <f t="shared" si="8"/>
        <v>351</v>
      </c>
      <c r="H83" s="241" t="s">
        <v>36</v>
      </c>
      <c r="I83" s="258"/>
      <c r="J83" s="258"/>
      <c r="K83" s="258"/>
      <c r="L83" s="401" t="s">
        <v>349</v>
      </c>
      <c r="M83" s="279"/>
      <c r="N83" s="76"/>
      <c r="O83" s="76"/>
      <c r="P83" s="214"/>
      <c r="Q83" s="139">
        <f>1</f>
        <v>1</v>
      </c>
      <c r="R83" s="62"/>
      <c r="T83" s="70"/>
      <c r="U83" s="69"/>
      <c r="X83" s="192"/>
      <c r="Y83" s="192" t="str">
        <f>IF(X83="","",X83*Q83)</f>
        <v/>
      </c>
      <c r="Z83" s="62" t="str">
        <f>IF(T83="yes",Y83,"")</f>
        <v/>
      </c>
    </row>
    <row r="84" spans="1:30" s="68" customFormat="1" ht="300" customHeight="1" x14ac:dyDescent="0.2">
      <c r="A84" s="264">
        <f>A83+1</f>
        <v>1</v>
      </c>
      <c r="B84" s="284" t="s">
        <v>359</v>
      </c>
      <c r="C84" s="284" t="s">
        <v>324</v>
      </c>
      <c r="D84" s="285" t="s">
        <v>325</v>
      </c>
      <c r="E84" s="266">
        <f t="shared" si="9"/>
        <v>185</v>
      </c>
      <c r="F84" s="398" t="s">
        <v>326</v>
      </c>
      <c r="G84" s="257">
        <f t="shared" si="8"/>
        <v>174</v>
      </c>
      <c r="H84" s="382" t="s">
        <v>110</v>
      </c>
      <c r="I84" s="266">
        <f>LEN(H84)</f>
        <v>5</v>
      </c>
      <c r="J84" s="286" t="s">
        <v>110</v>
      </c>
      <c r="K84" s="361" t="s">
        <v>360</v>
      </c>
      <c r="L84" s="358" t="s">
        <v>361</v>
      </c>
      <c r="M84" s="358" t="s">
        <v>361</v>
      </c>
      <c r="N84" s="267"/>
      <c r="O84" s="287"/>
      <c r="P84" s="288"/>
      <c r="Q84" s="179" t="s">
        <v>362</v>
      </c>
      <c r="R84" s="179"/>
      <c r="S84" s="180" t="s">
        <v>363</v>
      </c>
      <c r="T84" s="181"/>
      <c r="U84" s="195">
        <v>17</v>
      </c>
      <c r="V84" s="162">
        <f>1</f>
        <v>1</v>
      </c>
      <c r="W84" s="195">
        <f>U84*V84</f>
        <v>17</v>
      </c>
      <c r="X84" s="62"/>
      <c r="Z84" s="70" t="s">
        <v>23</v>
      </c>
      <c r="AA84" s="69"/>
      <c r="AD84" s="182" t="s">
        <v>364</v>
      </c>
    </row>
    <row r="85" spans="1:30" s="68" customFormat="1" ht="300" customHeight="1" x14ac:dyDescent="0.2">
      <c r="A85" s="264"/>
      <c r="B85" s="478" t="s">
        <v>365</v>
      </c>
      <c r="C85" s="478" t="s">
        <v>365</v>
      </c>
      <c r="D85" s="409" t="s">
        <v>366</v>
      </c>
      <c r="E85" s="360"/>
      <c r="F85" s="479" t="s">
        <v>367</v>
      </c>
      <c r="G85" s="361">
        <f t="shared" si="8"/>
        <v>244</v>
      </c>
      <c r="H85" s="257" t="s">
        <v>36</v>
      </c>
      <c r="I85" s="360" t="s">
        <v>24</v>
      </c>
      <c r="J85" s="360" t="s">
        <v>24</v>
      </c>
      <c r="K85" s="361" t="s">
        <v>37</v>
      </c>
      <c r="L85" s="358" t="s">
        <v>368</v>
      </c>
      <c r="M85" s="13"/>
      <c r="N85" s="267"/>
      <c r="O85" s="287"/>
      <c r="P85" s="486"/>
      <c r="Q85" s="487"/>
      <c r="R85" s="487"/>
      <c r="S85" s="488"/>
      <c r="T85" s="488"/>
      <c r="U85" s="195"/>
      <c r="V85" s="162"/>
      <c r="W85" s="195"/>
      <c r="X85" s="62"/>
      <c r="Z85" s="70"/>
      <c r="AA85" s="69"/>
      <c r="AD85" s="182"/>
    </row>
    <row r="86" spans="1:30" s="68" customFormat="1" ht="189" customHeight="1" x14ac:dyDescent="0.2">
      <c r="A86" s="10" t="e">
        <f>#REF!+1</f>
        <v>#REF!</v>
      </c>
      <c r="B86" s="400" t="s">
        <v>369</v>
      </c>
      <c r="C86" s="67" t="s">
        <v>369</v>
      </c>
      <c r="D86" s="416" t="s">
        <v>370</v>
      </c>
      <c r="E86" s="360">
        <f t="shared" ref="E86:E91" si="10">LEN(D86)</f>
        <v>294</v>
      </c>
      <c r="F86" s="398" t="s">
        <v>371</v>
      </c>
      <c r="G86" s="360"/>
      <c r="H86" s="402" t="s">
        <v>36</v>
      </c>
      <c r="I86" s="360" t="s">
        <v>24</v>
      </c>
      <c r="J86" s="360" t="s">
        <v>24</v>
      </c>
      <c r="K86" s="360" t="s">
        <v>37</v>
      </c>
      <c r="L86" s="283" t="s">
        <v>372</v>
      </c>
      <c r="M86" s="78" t="s">
        <v>24</v>
      </c>
      <c r="N86" s="283" t="s">
        <v>373</v>
      </c>
      <c r="O86" s="279"/>
      <c r="P86" s="9"/>
      <c r="Q86" s="105">
        <f>1</f>
        <v>1</v>
      </c>
      <c r="R86" s="62"/>
      <c r="T86" s="150" t="s">
        <v>32</v>
      </c>
      <c r="U86" s="69"/>
      <c r="X86" s="191">
        <v>17.26140213012695</v>
      </c>
      <c r="Y86" s="191">
        <f t="shared" ref="Y86:Y91" si="11">IF(X86="","",X86*Q86)</f>
        <v>17.26140213012695</v>
      </c>
      <c r="Z86" s="62">
        <f t="shared" ref="Z86:Z91" si="12">IF(T86="yes",Y86,"")</f>
        <v>17.26140213012695</v>
      </c>
    </row>
    <row r="87" spans="1:30" s="68" customFormat="1" ht="409.5" customHeight="1" x14ac:dyDescent="0.2">
      <c r="A87" s="10" t="e">
        <f>A86+1</f>
        <v>#REF!</v>
      </c>
      <c r="B87" s="400" t="s">
        <v>374</v>
      </c>
      <c r="C87" s="67" t="s">
        <v>374</v>
      </c>
      <c r="D87" s="416" t="s">
        <v>375</v>
      </c>
      <c r="E87" s="360">
        <f t="shared" si="10"/>
        <v>1225</v>
      </c>
      <c r="F87" s="398" t="s">
        <v>376</v>
      </c>
      <c r="G87" s="360"/>
      <c r="H87" s="402" t="s">
        <v>36</v>
      </c>
      <c r="I87" s="360" t="s">
        <v>24</v>
      </c>
      <c r="J87" s="360" t="s">
        <v>24</v>
      </c>
      <c r="K87" s="65" t="s">
        <v>377</v>
      </c>
      <c r="L87" s="66" t="s">
        <v>378</v>
      </c>
      <c r="M87" s="78" t="s">
        <v>24</v>
      </c>
      <c r="N87" s="71" t="s">
        <v>379</v>
      </c>
      <c r="O87" s="277"/>
      <c r="P87" s="9"/>
      <c r="Q87" s="105">
        <f>1</f>
        <v>1</v>
      </c>
      <c r="R87" s="62"/>
      <c r="T87" s="150" t="s">
        <v>32</v>
      </c>
      <c r="U87" s="69"/>
      <c r="X87" s="191">
        <v>14.47539234161377</v>
      </c>
      <c r="Y87" s="191">
        <f t="shared" si="11"/>
        <v>14.47539234161377</v>
      </c>
      <c r="Z87" s="62">
        <f t="shared" si="12"/>
        <v>14.47539234161377</v>
      </c>
    </row>
    <row r="88" spans="1:30" s="91" customFormat="1" ht="182.25" customHeight="1" x14ac:dyDescent="0.2">
      <c r="A88" s="137"/>
      <c r="B88" s="92" t="s">
        <v>380</v>
      </c>
      <c r="C88" s="212" t="s">
        <v>380</v>
      </c>
      <c r="D88" s="72" t="s">
        <v>309</v>
      </c>
      <c r="E88" s="65">
        <f t="shared" si="10"/>
        <v>143</v>
      </c>
      <c r="F88" s="398" t="s">
        <v>381</v>
      </c>
      <c r="G88" s="65"/>
      <c r="H88" s="67" t="s">
        <v>36</v>
      </c>
      <c r="I88" s="65" t="s">
        <v>24</v>
      </c>
      <c r="J88" s="65" t="s">
        <v>24</v>
      </c>
      <c r="K88" s="65" t="s">
        <v>37</v>
      </c>
      <c r="L88" s="401" t="s">
        <v>382</v>
      </c>
      <c r="M88" s="78" t="s">
        <v>24</v>
      </c>
      <c r="N88" s="71" t="s">
        <v>383</v>
      </c>
      <c r="O88" s="277"/>
      <c r="P88" s="214"/>
      <c r="Q88" s="144">
        <f>1</f>
        <v>1</v>
      </c>
      <c r="R88" s="63"/>
      <c r="T88" s="153" t="s">
        <v>32</v>
      </c>
      <c r="U88" s="85"/>
      <c r="X88" s="194">
        <v>8</v>
      </c>
      <c r="Y88" s="194">
        <f t="shared" si="11"/>
        <v>8</v>
      </c>
      <c r="Z88" s="63">
        <f t="shared" si="12"/>
        <v>8</v>
      </c>
    </row>
    <row r="89" spans="1:30" s="91" customFormat="1" ht="182.25" customHeight="1" x14ac:dyDescent="0.2">
      <c r="A89" s="137"/>
      <c r="B89" s="92" t="s">
        <v>384</v>
      </c>
      <c r="C89" s="212" t="s">
        <v>384</v>
      </c>
      <c r="D89" s="72" t="s">
        <v>314</v>
      </c>
      <c r="E89" s="65">
        <f t="shared" si="10"/>
        <v>170</v>
      </c>
      <c r="F89" s="398" t="s">
        <v>385</v>
      </c>
      <c r="G89" s="65"/>
      <c r="H89" s="67" t="s">
        <v>36</v>
      </c>
      <c r="I89" s="65" t="s">
        <v>24</v>
      </c>
      <c r="J89" s="65" t="s">
        <v>24</v>
      </c>
      <c r="K89" s="65" t="s">
        <v>37</v>
      </c>
      <c r="L89" s="401" t="s">
        <v>382</v>
      </c>
      <c r="M89" s="78" t="s">
        <v>24</v>
      </c>
      <c r="N89" s="71" t="s">
        <v>386</v>
      </c>
      <c r="O89" s="277"/>
      <c r="P89" s="214"/>
      <c r="Q89" s="144">
        <f>1</f>
        <v>1</v>
      </c>
      <c r="R89" s="63"/>
      <c r="T89" s="153" t="s">
        <v>32</v>
      </c>
      <c r="U89" s="85"/>
      <c r="X89" s="194">
        <v>8</v>
      </c>
      <c r="Y89" s="194">
        <f t="shared" si="11"/>
        <v>8</v>
      </c>
      <c r="Z89" s="63">
        <f t="shared" si="12"/>
        <v>8</v>
      </c>
    </row>
    <row r="90" spans="1:30" s="68" customFormat="1" ht="182.25" customHeight="1" x14ac:dyDescent="0.2">
      <c r="A90" s="137"/>
      <c r="B90" s="92" t="s">
        <v>387</v>
      </c>
      <c r="C90" s="212" t="s">
        <v>387</v>
      </c>
      <c r="D90" s="72" t="s">
        <v>318</v>
      </c>
      <c r="E90" s="65">
        <f t="shared" si="10"/>
        <v>176</v>
      </c>
      <c r="F90" s="398" t="s">
        <v>355</v>
      </c>
      <c r="G90" s="65"/>
      <c r="H90" s="67" t="s">
        <v>36</v>
      </c>
      <c r="I90" s="65" t="s">
        <v>24</v>
      </c>
      <c r="J90" s="65" t="s">
        <v>24</v>
      </c>
      <c r="K90" s="65" t="s">
        <v>37</v>
      </c>
      <c r="L90" s="401" t="s">
        <v>382</v>
      </c>
      <c r="M90" s="78" t="s">
        <v>24</v>
      </c>
      <c r="N90" s="71" t="s">
        <v>388</v>
      </c>
      <c r="O90" s="277"/>
      <c r="P90" s="214"/>
      <c r="Q90" s="105">
        <f>1</f>
        <v>1</v>
      </c>
      <c r="R90" s="62"/>
      <c r="T90" s="150" t="s">
        <v>32</v>
      </c>
      <c r="U90" s="69"/>
      <c r="X90" s="191">
        <v>8</v>
      </c>
      <c r="Y90" s="191">
        <f t="shared" si="11"/>
        <v>8</v>
      </c>
      <c r="Z90" s="62">
        <f t="shared" si="12"/>
        <v>8</v>
      </c>
    </row>
    <row r="91" spans="1:30" s="68" customFormat="1" ht="173.25" customHeight="1" x14ac:dyDescent="0.2">
      <c r="A91" s="17"/>
      <c r="B91" s="265" t="s">
        <v>389</v>
      </c>
      <c r="C91" s="265" t="s">
        <v>389</v>
      </c>
      <c r="D91" s="278" t="s">
        <v>358</v>
      </c>
      <c r="E91" s="258">
        <f t="shared" si="10"/>
        <v>321</v>
      </c>
      <c r="F91" s="398" t="s">
        <v>390</v>
      </c>
      <c r="G91" s="258"/>
      <c r="H91" s="241" t="s">
        <v>36</v>
      </c>
      <c r="I91" s="258"/>
      <c r="J91" s="258"/>
      <c r="K91" s="258"/>
      <c r="L91" s="401" t="s">
        <v>391</v>
      </c>
      <c r="M91" s="279"/>
      <c r="N91" s="76"/>
      <c r="O91" s="76"/>
      <c r="P91" s="214"/>
      <c r="Q91" s="139">
        <f>1</f>
        <v>1</v>
      </c>
      <c r="R91" s="62"/>
      <c r="T91" s="70"/>
      <c r="U91" s="69"/>
      <c r="X91" s="192"/>
      <c r="Y91" s="192" t="str">
        <f t="shared" si="11"/>
        <v/>
      </c>
      <c r="Z91" s="62" t="str">
        <f t="shared" si="12"/>
        <v/>
      </c>
    </row>
    <row r="92" spans="1:30" s="68" customFormat="1" ht="93.75" customHeight="1" x14ac:dyDescent="0.2">
      <c r="A92" s="17"/>
      <c r="B92" s="289" t="s">
        <v>392</v>
      </c>
      <c r="C92" s="289" t="s">
        <v>392</v>
      </c>
      <c r="D92" s="290" t="s">
        <v>393</v>
      </c>
      <c r="E92" s="258"/>
      <c r="F92" s="398" t="s">
        <v>326</v>
      </c>
      <c r="G92" s="258"/>
      <c r="H92" s="241" t="s">
        <v>394</v>
      </c>
      <c r="I92" s="258"/>
      <c r="J92" s="258"/>
      <c r="K92" s="258"/>
      <c r="L92" s="358" t="s">
        <v>395</v>
      </c>
      <c r="M92" s="281"/>
      <c r="N92" s="76"/>
      <c r="O92" s="76"/>
      <c r="P92" s="282"/>
      <c r="Q92" s="139"/>
      <c r="R92" s="62"/>
      <c r="T92" s="70"/>
      <c r="U92" s="69"/>
      <c r="X92" s="192"/>
      <c r="Y92" s="192"/>
      <c r="Z92" s="62"/>
    </row>
    <row r="93" spans="1:30" s="68" customFormat="1" ht="93.75" customHeight="1" x14ac:dyDescent="0.2">
      <c r="A93" s="17"/>
      <c r="B93" s="478" t="s">
        <v>396</v>
      </c>
      <c r="C93" s="478" t="s">
        <v>396</v>
      </c>
      <c r="D93" s="409" t="s">
        <v>397</v>
      </c>
      <c r="E93" s="360"/>
      <c r="F93" s="480" t="s">
        <v>398</v>
      </c>
      <c r="G93" s="361">
        <f>LEN(F93)</f>
        <v>246</v>
      </c>
      <c r="H93" s="257" t="s">
        <v>36</v>
      </c>
      <c r="I93" s="360" t="s">
        <v>24</v>
      </c>
      <c r="J93" s="360" t="s">
        <v>24</v>
      </c>
      <c r="K93" s="361" t="s">
        <v>37</v>
      </c>
      <c r="L93" s="358" t="s">
        <v>399</v>
      </c>
      <c r="M93" s="281"/>
      <c r="N93" s="76"/>
      <c r="O93" s="76"/>
      <c r="P93" s="282"/>
      <c r="Q93" s="139"/>
      <c r="R93" s="62"/>
      <c r="T93" s="70"/>
      <c r="U93" s="69"/>
      <c r="X93" s="192"/>
      <c r="Y93" s="192"/>
      <c r="Z93" s="62"/>
    </row>
    <row r="94" spans="1:30" s="68" customFormat="1" ht="189" customHeight="1" x14ac:dyDescent="0.2">
      <c r="A94" s="10" t="e">
        <f>#REF!+1</f>
        <v>#REF!</v>
      </c>
      <c r="B94" s="400" t="s">
        <v>400</v>
      </c>
      <c r="C94" s="67" t="s">
        <v>400</v>
      </c>
      <c r="D94" s="417" t="s">
        <v>401</v>
      </c>
      <c r="E94" s="360">
        <f>LEN(D94)</f>
        <v>295</v>
      </c>
      <c r="F94" s="398" t="s">
        <v>402</v>
      </c>
      <c r="G94" s="360"/>
      <c r="H94" s="402" t="s">
        <v>36</v>
      </c>
      <c r="I94" s="360" t="s">
        <v>24</v>
      </c>
      <c r="J94" s="360" t="s">
        <v>24</v>
      </c>
      <c r="K94" s="360" t="s">
        <v>37</v>
      </c>
      <c r="L94" s="464" t="s">
        <v>403</v>
      </c>
      <c r="M94" s="78" t="s">
        <v>24</v>
      </c>
      <c r="N94" s="283" t="s">
        <v>404</v>
      </c>
      <c r="O94" s="279"/>
      <c r="P94" s="9"/>
      <c r="Q94" s="105">
        <f>1</f>
        <v>1</v>
      </c>
      <c r="R94" s="62"/>
      <c r="T94" s="150" t="s">
        <v>32</v>
      </c>
      <c r="U94" s="69"/>
      <c r="X94" s="191">
        <v>15.87650299072266</v>
      </c>
      <c r="Y94" s="191">
        <f>IF(X94="","",X94*Q94)</f>
        <v>15.87650299072266</v>
      </c>
      <c r="Z94" s="62">
        <f>IF(T94="yes",Y94,"")</f>
        <v>15.87650299072266</v>
      </c>
    </row>
    <row r="95" spans="1:30" s="68" customFormat="1" ht="78.75" customHeight="1" x14ac:dyDescent="0.2">
      <c r="A95" s="10"/>
      <c r="B95" s="415" t="s">
        <v>405</v>
      </c>
      <c r="C95" s="241"/>
      <c r="D95" s="418" t="s">
        <v>406</v>
      </c>
      <c r="E95" s="361"/>
      <c r="F95" s="489" t="s">
        <v>407</v>
      </c>
      <c r="G95" s="361"/>
      <c r="H95" s="411" t="s">
        <v>110</v>
      </c>
      <c r="I95" s="361"/>
      <c r="J95" s="361"/>
      <c r="K95" s="361"/>
      <c r="L95" s="358" t="s">
        <v>408</v>
      </c>
      <c r="M95" s="279"/>
      <c r="N95" s="279"/>
      <c r="O95" s="279"/>
      <c r="P95" s="9"/>
      <c r="Q95" s="139">
        <f>1</f>
        <v>1</v>
      </c>
      <c r="R95" s="62"/>
      <c r="T95" s="70"/>
      <c r="U95" s="69"/>
      <c r="X95" s="192"/>
      <c r="Y95" s="192" t="str">
        <f>IF(X95="","",X95*Q95)</f>
        <v/>
      </c>
      <c r="Z95" s="62" t="str">
        <f>IF(T95="yes",Y95,"")</f>
        <v/>
      </c>
    </row>
    <row r="96" spans="1:30" s="68" customFormat="1" ht="168.75" customHeight="1" x14ac:dyDescent="0.2">
      <c r="A96" s="10"/>
      <c r="B96" s="265" t="s">
        <v>409</v>
      </c>
      <c r="C96" s="241"/>
      <c r="D96" s="291" t="s">
        <v>410</v>
      </c>
      <c r="E96" s="361"/>
      <c r="F96" s="398" t="s">
        <v>411</v>
      </c>
      <c r="G96" s="361"/>
      <c r="H96" s="411" t="s">
        <v>36</v>
      </c>
      <c r="I96" s="361"/>
      <c r="J96" s="361"/>
      <c r="K96" s="361"/>
      <c r="L96" s="490" t="s">
        <v>412</v>
      </c>
      <c r="M96" s="281"/>
      <c r="N96" s="279"/>
      <c r="O96" s="279"/>
      <c r="P96" s="9"/>
      <c r="Q96" s="139"/>
      <c r="R96" s="62"/>
      <c r="T96" s="70"/>
      <c r="U96" s="69"/>
      <c r="X96" s="192"/>
      <c r="Y96" s="192"/>
      <c r="Z96" s="62"/>
    </row>
    <row r="97" spans="1:26" s="68" customFormat="1" ht="243.75" customHeight="1" x14ac:dyDescent="0.2">
      <c r="A97" s="10"/>
      <c r="B97" s="265" t="s">
        <v>413</v>
      </c>
      <c r="C97" s="241"/>
      <c r="D97" s="291" t="s">
        <v>414</v>
      </c>
      <c r="E97" s="361"/>
      <c r="F97" s="398" t="s">
        <v>415</v>
      </c>
      <c r="G97" s="361"/>
      <c r="H97" s="411" t="s">
        <v>36</v>
      </c>
      <c r="I97" s="361"/>
      <c r="J97" s="361"/>
      <c r="K97" s="361"/>
      <c r="L97" s="490" t="s">
        <v>416</v>
      </c>
      <c r="M97" s="281"/>
      <c r="N97" s="279"/>
      <c r="O97" s="279"/>
      <c r="P97" s="9"/>
      <c r="Q97" s="139"/>
      <c r="R97" s="62"/>
      <c r="T97" s="70"/>
      <c r="U97" s="69"/>
      <c r="X97" s="192"/>
      <c r="Y97" s="192"/>
      <c r="Z97" s="62"/>
    </row>
    <row r="98" spans="1:26" s="68" customFormat="1" ht="168.75" customHeight="1" x14ac:dyDescent="0.2">
      <c r="A98" s="10"/>
      <c r="B98" s="292" t="s">
        <v>417</v>
      </c>
      <c r="C98" s="241"/>
      <c r="D98" s="293" t="s">
        <v>418</v>
      </c>
      <c r="E98" s="361"/>
      <c r="F98" s="398" t="s">
        <v>419</v>
      </c>
      <c r="G98" s="361"/>
      <c r="H98" s="411" t="s">
        <v>110</v>
      </c>
      <c r="I98" s="361"/>
      <c r="J98" s="361"/>
      <c r="K98" s="361"/>
      <c r="L98" s="358" t="s">
        <v>420</v>
      </c>
      <c r="M98" s="281"/>
      <c r="N98" s="279"/>
      <c r="O98" s="279"/>
      <c r="P98" s="9"/>
      <c r="Q98" s="139"/>
      <c r="R98" s="62"/>
      <c r="T98" s="70"/>
      <c r="U98" s="69"/>
      <c r="X98" s="192"/>
      <c r="Y98" s="192"/>
      <c r="Z98" s="62"/>
    </row>
    <row r="99" spans="1:26" s="68" customFormat="1" ht="318.75" customHeight="1" x14ac:dyDescent="0.2">
      <c r="A99" s="10"/>
      <c r="B99" s="292" t="s">
        <v>421</v>
      </c>
      <c r="C99" s="241"/>
      <c r="D99" s="293" t="s">
        <v>422</v>
      </c>
      <c r="E99" s="361"/>
      <c r="F99" s="398" t="s">
        <v>423</v>
      </c>
      <c r="G99" s="361"/>
      <c r="H99" s="411" t="s">
        <v>36</v>
      </c>
      <c r="I99" s="361"/>
      <c r="J99" s="361"/>
      <c r="K99" s="361"/>
      <c r="L99" s="490" t="s">
        <v>424</v>
      </c>
      <c r="M99" s="281"/>
      <c r="N99" s="279"/>
      <c r="O99" s="279"/>
      <c r="P99" s="9"/>
      <c r="Q99" s="139"/>
      <c r="R99" s="62"/>
      <c r="T99" s="70"/>
      <c r="U99" s="69"/>
      <c r="X99" s="192"/>
      <c r="Y99" s="192"/>
      <c r="Z99" s="62"/>
    </row>
    <row r="100" spans="1:26" s="68" customFormat="1" ht="168.75" customHeight="1" x14ac:dyDescent="0.2">
      <c r="A100" s="10"/>
      <c r="B100" s="292" t="s">
        <v>425</v>
      </c>
      <c r="C100" s="241"/>
      <c r="D100" s="293" t="s">
        <v>426</v>
      </c>
      <c r="E100" s="361"/>
      <c r="F100" s="398" t="s">
        <v>427</v>
      </c>
      <c r="G100" s="361"/>
      <c r="H100" s="411" t="s">
        <v>36</v>
      </c>
      <c r="I100" s="361"/>
      <c r="J100" s="361"/>
      <c r="K100" s="361"/>
      <c r="L100" s="490" t="s">
        <v>428</v>
      </c>
      <c r="M100" s="281"/>
      <c r="N100" s="279"/>
      <c r="O100" s="279"/>
      <c r="P100" s="9"/>
      <c r="Q100" s="139"/>
      <c r="R100" s="62"/>
      <c r="T100" s="70"/>
      <c r="U100" s="69"/>
      <c r="X100" s="192"/>
      <c r="Y100" s="192"/>
      <c r="Z100" s="62"/>
    </row>
    <row r="101" spans="1:26" s="68" customFormat="1" ht="262.5" customHeight="1" x14ac:dyDescent="0.2">
      <c r="A101" s="10"/>
      <c r="B101" s="292" t="s">
        <v>429</v>
      </c>
      <c r="C101" s="241"/>
      <c r="D101" s="293" t="s">
        <v>430</v>
      </c>
      <c r="E101" s="361"/>
      <c r="F101" s="398" t="s">
        <v>431</v>
      </c>
      <c r="G101" s="361"/>
      <c r="H101" s="411" t="s">
        <v>36</v>
      </c>
      <c r="I101" s="361"/>
      <c r="J101" s="361"/>
      <c r="K101" s="361"/>
      <c r="L101" s="490" t="s">
        <v>432</v>
      </c>
      <c r="M101" s="281"/>
      <c r="N101" s="279"/>
      <c r="O101" s="279"/>
      <c r="P101" s="9"/>
      <c r="Q101" s="139"/>
      <c r="R101" s="62"/>
      <c r="T101" s="70"/>
      <c r="U101" s="69"/>
      <c r="X101" s="192"/>
      <c r="Y101" s="192"/>
      <c r="Z101" s="62"/>
    </row>
    <row r="102" spans="1:26" s="68" customFormat="1" ht="168.75" customHeight="1" x14ac:dyDescent="0.2">
      <c r="A102" s="10"/>
      <c r="B102" s="292" t="s">
        <v>433</v>
      </c>
      <c r="C102" s="241"/>
      <c r="D102" s="293" t="s">
        <v>434</v>
      </c>
      <c r="E102" s="361"/>
      <c r="F102" s="398" t="s">
        <v>435</v>
      </c>
      <c r="G102" s="361"/>
      <c r="H102" s="411" t="s">
        <v>36</v>
      </c>
      <c r="I102" s="361"/>
      <c r="J102" s="361"/>
      <c r="K102" s="361"/>
      <c r="L102" s="490" t="s">
        <v>436</v>
      </c>
      <c r="M102" s="281"/>
      <c r="N102" s="279"/>
      <c r="O102" s="279"/>
      <c r="P102" s="9"/>
      <c r="Q102" s="139"/>
      <c r="R102" s="62"/>
      <c r="T102" s="70"/>
      <c r="U102" s="69"/>
      <c r="X102" s="192"/>
      <c r="Y102" s="192"/>
      <c r="Z102" s="62"/>
    </row>
    <row r="103" spans="1:26" s="68" customFormat="1" ht="409" customHeight="1" x14ac:dyDescent="0.2">
      <c r="A103" s="10" t="e">
        <f>#REF!+1</f>
        <v>#REF!</v>
      </c>
      <c r="B103" s="400" t="s">
        <v>437</v>
      </c>
      <c r="C103" s="294" t="s">
        <v>438</v>
      </c>
      <c r="D103" s="419" t="s">
        <v>439</v>
      </c>
      <c r="E103" s="360">
        <f>LEN(D103)</f>
        <v>1440</v>
      </c>
      <c r="F103" s="398" t="s">
        <v>440</v>
      </c>
      <c r="G103" s="360"/>
      <c r="H103" s="402" t="s">
        <v>441</v>
      </c>
      <c r="I103" s="360" t="s">
        <v>24</v>
      </c>
      <c r="J103" s="360" t="s">
        <v>24</v>
      </c>
      <c r="K103" s="420" t="s">
        <v>442</v>
      </c>
      <c r="L103" s="283" t="s">
        <v>443</v>
      </c>
      <c r="M103" s="78" t="s">
        <v>444</v>
      </c>
      <c r="N103" s="283" t="s">
        <v>445</v>
      </c>
      <c r="O103" s="279"/>
      <c r="P103" s="9"/>
      <c r="Q103" s="105">
        <f>1</f>
        <v>1</v>
      </c>
      <c r="R103" s="62"/>
      <c r="T103" s="150" t="s">
        <v>32</v>
      </c>
      <c r="U103" s="69"/>
      <c r="X103" s="191">
        <v>37.853630065917969</v>
      </c>
      <c r="Y103" s="191">
        <f>IF(X103="","",X103*Q103)</f>
        <v>37.853630065917969</v>
      </c>
      <c r="Z103" s="62">
        <f>IF(T103="yes",Y103,"")</f>
        <v>37.853630065917969</v>
      </c>
    </row>
    <row r="104" spans="1:26" s="512" customFormat="1" ht="45.75" customHeight="1" x14ac:dyDescent="0.2">
      <c r="A104" s="499"/>
      <c r="B104" s="500" t="s">
        <v>446</v>
      </c>
      <c r="C104" s="501" t="s">
        <v>446</v>
      </c>
      <c r="D104" s="502" t="s">
        <v>447</v>
      </c>
      <c r="E104" s="503"/>
      <c r="F104" s="504"/>
      <c r="G104" s="503"/>
      <c r="H104" s="204" t="s">
        <v>36</v>
      </c>
      <c r="I104" s="503"/>
      <c r="J104" s="503" t="s">
        <v>448</v>
      </c>
      <c r="K104" s="505"/>
      <c r="L104" s="506" t="s">
        <v>449</v>
      </c>
      <c r="M104" s="507"/>
      <c r="N104" s="508"/>
      <c r="O104" s="504"/>
      <c r="P104" s="509"/>
      <c r="Q104" s="510"/>
      <c r="R104" s="511"/>
      <c r="T104" s="513"/>
      <c r="U104" s="514"/>
      <c r="X104" s="515"/>
      <c r="Y104" s="515"/>
      <c r="Z104" s="511"/>
    </row>
    <row r="105" spans="1:26" s="512" customFormat="1" ht="44.25" customHeight="1" x14ac:dyDescent="0.2">
      <c r="A105" s="499"/>
      <c r="B105" s="500" t="s">
        <v>450</v>
      </c>
      <c r="C105" s="501" t="s">
        <v>450</v>
      </c>
      <c r="D105" s="502" t="s">
        <v>451</v>
      </c>
      <c r="E105" s="503"/>
      <c r="F105" s="504"/>
      <c r="G105" s="503"/>
      <c r="H105" s="204" t="s">
        <v>36</v>
      </c>
      <c r="I105" s="503"/>
      <c r="J105" s="503"/>
      <c r="K105" s="505"/>
      <c r="L105" s="506" t="s">
        <v>452</v>
      </c>
      <c r="M105" s="507"/>
      <c r="N105" s="508"/>
      <c r="O105" s="504"/>
      <c r="P105" s="509"/>
      <c r="Q105" s="510"/>
      <c r="R105" s="511"/>
      <c r="T105" s="513"/>
      <c r="U105" s="514"/>
      <c r="X105" s="515"/>
      <c r="Y105" s="515"/>
      <c r="Z105" s="511"/>
    </row>
    <row r="106" spans="1:26" s="512" customFormat="1" ht="35.25" customHeight="1" x14ac:dyDescent="0.2">
      <c r="A106" s="499"/>
      <c r="B106" s="500" t="s">
        <v>453</v>
      </c>
      <c r="C106" s="501" t="s">
        <v>453</v>
      </c>
      <c r="D106" s="502" t="s">
        <v>454</v>
      </c>
      <c r="E106" s="503"/>
      <c r="F106" s="504"/>
      <c r="G106" s="503"/>
      <c r="H106" s="204" t="s">
        <v>36</v>
      </c>
      <c r="I106" s="503"/>
      <c r="J106" s="516" t="s">
        <v>455</v>
      </c>
      <c r="K106" s="505"/>
      <c r="L106" s="506" t="s">
        <v>456</v>
      </c>
      <c r="M106" s="507"/>
      <c r="N106" s="508"/>
      <c r="O106" s="504"/>
      <c r="P106" s="509"/>
      <c r="Q106" s="510"/>
      <c r="R106" s="511"/>
      <c r="T106" s="513"/>
      <c r="U106" s="514"/>
      <c r="X106" s="515"/>
      <c r="Y106" s="515"/>
      <c r="Z106" s="511"/>
    </row>
    <row r="107" spans="1:26" s="512" customFormat="1" ht="34" customHeight="1" x14ac:dyDescent="0.2">
      <c r="A107" s="499"/>
      <c r="B107" s="500" t="s">
        <v>457</v>
      </c>
      <c r="C107" s="501" t="s">
        <v>457</v>
      </c>
      <c r="D107" s="502" t="s">
        <v>458</v>
      </c>
      <c r="E107" s="503"/>
      <c r="F107" s="504"/>
      <c r="G107" s="503"/>
      <c r="H107" s="204" t="s">
        <v>36</v>
      </c>
      <c r="I107" s="503"/>
      <c r="J107" s="516" t="s">
        <v>459</v>
      </c>
      <c r="K107" s="505"/>
      <c r="L107" s="506" t="s">
        <v>460</v>
      </c>
      <c r="M107" s="507"/>
      <c r="N107" s="508"/>
      <c r="O107" s="504"/>
      <c r="P107" s="509"/>
      <c r="Q107" s="510"/>
      <c r="R107" s="511"/>
      <c r="T107" s="513"/>
      <c r="U107" s="514"/>
      <c r="X107" s="515"/>
      <c r="Y107" s="515"/>
      <c r="Z107" s="511"/>
    </row>
    <row r="108" spans="1:26" s="512" customFormat="1" ht="42.75" customHeight="1" thickBot="1" x14ac:dyDescent="0.25">
      <c r="A108" s="499"/>
      <c r="B108" s="500" t="s">
        <v>461</v>
      </c>
      <c r="C108" s="501" t="s">
        <v>461</v>
      </c>
      <c r="D108" s="502" t="s">
        <v>462</v>
      </c>
      <c r="E108" s="503"/>
      <c r="F108" s="504"/>
      <c r="G108" s="503"/>
      <c r="H108" s="204" t="s">
        <v>36</v>
      </c>
      <c r="I108" s="503"/>
      <c r="J108" s="503"/>
      <c r="K108" s="505"/>
      <c r="L108" s="508" t="s">
        <v>463</v>
      </c>
      <c r="M108" s="507"/>
      <c r="N108" s="508"/>
      <c r="O108" s="504"/>
      <c r="P108" s="509"/>
      <c r="Q108" s="510"/>
      <c r="R108" s="511"/>
      <c r="T108" s="513"/>
      <c r="U108" s="514"/>
      <c r="X108" s="515"/>
      <c r="Y108" s="515"/>
      <c r="Z108" s="511"/>
    </row>
    <row r="109" spans="1:26" s="149" customFormat="1" ht="16.5" customHeight="1" thickBot="1" x14ac:dyDescent="0.25">
      <c r="A109" s="597" t="s">
        <v>464</v>
      </c>
      <c r="B109" s="598"/>
      <c r="C109" s="598"/>
      <c r="D109" s="598"/>
      <c r="E109" s="598"/>
      <c r="F109" s="598"/>
      <c r="G109" s="598"/>
      <c r="H109" s="598"/>
      <c r="I109" s="598"/>
      <c r="J109" s="598"/>
      <c r="K109" s="598"/>
      <c r="L109" s="598"/>
      <c r="M109" s="598"/>
      <c r="N109" s="598"/>
      <c r="O109" s="598"/>
      <c r="P109" s="599"/>
      <c r="Q109" s="105"/>
      <c r="R109" s="151"/>
      <c r="T109" s="150"/>
      <c r="U109" s="152"/>
      <c r="X109" s="191"/>
      <c r="Y109" s="191" t="str">
        <f t="shared" ref="Y109:Y128" si="13">IF(X109="","",X109*Q109)</f>
        <v/>
      </c>
      <c r="Z109" s="151" t="str">
        <f t="shared" ref="Z109:Z128" si="14">IF(T109="yes",Y109,"")</f>
        <v/>
      </c>
    </row>
    <row r="110" spans="1:26" s="68" customFormat="1" ht="157.5" customHeight="1" x14ac:dyDescent="0.2">
      <c r="A110" s="17" t="e">
        <f>#REF!+1</f>
        <v>#REF!</v>
      </c>
      <c r="B110" s="213" t="s">
        <v>465</v>
      </c>
      <c r="C110" s="67" t="s">
        <v>465</v>
      </c>
      <c r="D110" s="295" t="s">
        <v>466</v>
      </c>
      <c r="E110" s="65">
        <f t="shared" ref="E110:E123" si="15">LEN(D110)</f>
        <v>223</v>
      </c>
      <c r="F110" s="398" t="s">
        <v>467</v>
      </c>
      <c r="G110" s="65"/>
      <c r="H110" s="73" t="s">
        <v>36</v>
      </c>
      <c r="I110" s="65" t="s">
        <v>24</v>
      </c>
      <c r="J110" s="65" t="s">
        <v>455</v>
      </c>
      <c r="K110" s="360" t="s">
        <v>37</v>
      </c>
      <c r="L110" s="296" t="s">
        <v>468</v>
      </c>
      <c r="M110" s="78" t="s">
        <v>24</v>
      </c>
      <c r="N110" s="71" t="s">
        <v>469</v>
      </c>
      <c r="O110" s="76"/>
      <c r="P110" s="297"/>
      <c r="Q110" s="139">
        <f>'Additional information'!$D$17</f>
        <v>0.91</v>
      </c>
      <c r="R110" s="62"/>
      <c r="T110" s="150" t="s">
        <v>32</v>
      </c>
      <c r="U110" s="69"/>
      <c r="X110" s="191">
        <v>7.3040728569030762</v>
      </c>
      <c r="Y110" s="191">
        <f t="shared" si="13"/>
        <v>6.6467062997817994</v>
      </c>
      <c r="Z110" s="62">
        <f t="shared" si="14"/>
        <v>6.6467062997817994</v>
      </c>
    </row>
    <row r="111" spans="1:26" s="93" customFormat="1" ht="94.5" customHeight="1" x14ac:dyDescent="0.2">
      <c r="A111" s="10"/>
      <c r="B111" s="421" t="s">
        <v>470</v>
      </c>
      <c r="C111" s="360" t="s">
        <v>470</v>
      </c>
      <c r="D111" s="416" t="s">
        <v>471</v>
      </c>
      <c r="E111" s="360">
        <f t="shared" si="15"/>
        <v>237</v>
      </c>
      <c r="F111" s="398" t="s">
        <v>472</v>
      </c>
      <c r="G111" s="360"/>
      <c r="H111" s="414" t="s">
        <v>110</v>
      </c>
      <c r="I111" s="360" t="s">
        <v>24</v>
      </c>
      <c r="J111" s="360" t="s">
        <v>24</v>
      </c>
      <c r="K111" s="360" t="s">
        <v>27</v>
      </c>
      <c r="L111" s="283" t="s">
        <v>473</v>
      </c>
      <c r="M111" s="78" t="s">
        <v>24</v>
      </c>
      <c r="N111" s="71" t="s">
        <v>474</v>
      </c>
      <c r="O111" s="298"/>
      <c r="P111" s="299"/>
      <c r="Q111" s="139">
        <f>'Additional information'!$D$17</f>
        <v>0.91</v>
      </c>
      <c r="R111" s="62"/>
      <c r="T111" s="150" t="s">
        <v>32</v>
      </c>
      <c r="U111" s="69"/>
      <c r="X111" s="191">
        <v>23.93990516662598</v>
      </c>
      <c r="Y111" s="191">
        <f t="shared" si="13"/>
        <v>21.785313701629644</v>
      </c>
      <c r="Z111" s="62">
        <f t="shared" si="14"/>
        <v>21.785313701629644</v>
      </c>
    </row>
    <row r="112" spans="1:26" s="93" customFormat="1" ht="173.25" customHeight="1" x14ac:dyDescent="0.2">
      <c r="A112" s="10"/>
      <c r="B112" s="421" t="s">
        <v>475</v>
      </c>
      <c r="C112" s="360" t="s">
        <v>475</v>
      </c>
      <c r="D112" s="416" t="s">
        <v>476</v>
      </c>
      <c r="E112" s="360">
        <f t="shared" si="15"/>
        <v>152</v>
      </c>
      <c r="F112" s="398" t="s">
        <v>477</v>
      </c>
      <c r="G112" s="360"/>
      <c r="H112" s="414" t="s">
        <v>36</v>
      </c>
      <c r="I112" s="360" t="s">
        <v>24</v>
      </c>
      <c r="J112" s="360" t="s">
        <v>24</v>
      </c>
      <c r="K112" s="360" t="s">
        <v>37</v>
      </c>
      <c r="L112" s="283" t="s">
        <v>478</v>
      </c>
      <c r="M112" s="78" t="s">
        <v>24</v>
      </c>
      <c r="N112" s="71" t="s">
        <v>479</v>
      </c>
      <c r="O112" s="76"/>
      <c r="P112" s="300"/>
      <c r="Q112" s="139">
        <f>'Additional information'!$D$17</f>
        <v>0.91</v>
      </c>
      <c r="R112" s="62"/>
      <c r="T112" s="150" t="s">
        <v>32</v>
      </c>
      <c r="U112" s="69"/>
      <c r="X112" s="191">
        <v>2.2494626045227051</v>
      </c>
      <c r="Y112" s="191">
        <f t="shared" si="13"/>
        <v>2.0470109701156618</v>
      </c>
      <c r="Z112" s="62">
        <f t="shared" si="14"/>
        <v>2.0470109701156618</v>
      </c>
    </row>
    <row r="113" spans="1:26" s="68" customFormat="1" ht="110.25" customHeight="1" x14ac:dyDescent="0.2">
      <c r="A113" s="17" t="e">
        <f>A110+1</f>
        <v>#REF!</v>
      </c>
      <c r="B113" s="92" t="s">
        <v>480</v>
      </c>
      <c r="C113" s="67" t="s">
        <v>480</v>
      </c>
      <c r="D113" s="295" t="s">
        <v>481</v>
      </c>
      <c r="E113" s="65">
        <f t="shared" si="15"/>
        <v>1489</v>
      </c>
      <c r="F113" s="398" t="s">
        <v>482</v>
      </c>
      <c r="G113" s="65"/>
      <c r="H113" s="73" t="s">
        <v>36</v>
      </c>
      <c r="I113" s="65" t="s">
        <v>24</v>
      </c>
      <c r="J113" s="65" t="s">
        <v>24</v>
      </c>
      <c r="K113" s="67" t="s">
        <v>483</v>
      </c>
      <c r="L113" s="296" t="s">
        <v>484</v>
      </c>
      <c r="M113" s="301" t="s">
        <v>485</v>
      </c>
      <c r="N113" s="302" t="s">
        <v>486</v>
      </c>
      <c r="O113" s="303"/>
      <c r="P113" s="214"/>
      <c r="Q113" s="139">
        <f>'Additional information'!$D$17</f>
        <v>0.91</v>
      </c>
      <c r="R113" s="62"/>
      <c r="T113" s="150" t="s">
        <v>32</v>
      </c>
      <c r="U113" s="69"/>
      <c r="X113" s="191">
        <v>23.440116882324219</v>
      </c>
      <c r="Y113" s="191">
        <f t="shared" si="13"/>
        <v>21.330506362915038</v>
      </c>
      <c r="Z113" s="62">
        <f t="shared" si="14"/>
        <v>21.330506362915038</v>
      </c>
    </row>
    <row r="114" spans="1:26" s="68" customFormat="1" ht="94.5" customHeight="1" x14ac:dyDescent="0.2">
      <c r="A114" s="17"/>
      <c r="B114" s="92" t="s">
        <v>487</v>
      </c>
      <c r="C114" s="67" t="s">
        <v>487</v>
      </c>
      <c r="D114" s="295" t="s">
        <v>488</v>
      </c>
      <c r="E114" s="65">
        <f t="shared" si="15"/>
        <v>193</v>
      </c>
      <c r="F114" s="398" t="s">
        <v>489</v>
      </c>
      <c r="G114" s="65"/>
      <c r="H114" s="73" t="s">
        <v>36</v>
      </c>
      <c r="I114" s="65" t="s">
        <v>24</v>
      </c>
      <c r="J114" s="65" t="s">
        <v>24</v>
      </c>
      <c r="K114" s="67" t="s">
        <v>37</v>
      </c>
      <c r="L114" s="296" t="s">
        <v>490</v>
      </c>
      <c r="M114" s="78" t="s">
        <v>24</v>
      </c>
      <c r="N114" s="304" t="s">
        <v>491</v>
      </c>
      <c r="O114" s="303"/>
      <c r="P114" s="214"/>
      <c r="Q114" s="139">
        <f>'Additional information'!$D$17</f>
        <v>0.91</v>
      </c>
      <c r="R114" s="62"/>
      <c r="T114" s="150" t="s">
        <v>32</v>
      </c>
      <c r="U114" s="69"/>
      <c r="X114" s="191">
        <v>7.7659573554992676</v>
      </c>
      <c r="Y114" s="191">
        <f t="shared" si="13"/>
        <v>7.0670211935043339</v>
      </c>
      <c r="Z114" s="62">
        <f t="shared" si="14"/>
        <v>7.0670211935043339</v>
      </c>
    </row>
    <row r="115" spans="1:26" s="68" customFormat="1" ht="202.5" customHeight="1" x14ac:dyDescent="0.2">
      <c r="A115" s="10" t="e">
        <f>A113+1</f>
        <v>#REF!</v>
      </c>
      <c r="B115" s="421" t="s">
        <v>492</v>
      </c>
      <c r="C115" s="360" t="s">
        <v>492</v>
      </c>
      <c r="D115" s="416" t="s">
        <v>493</v>
      </c>
      <c r="E115" s="360">
        <f t="shared" si="15"/>
        <v>331</v>
      </c>
      <c r="F115" s="398" t="s">
        <v>494</v>
      </c>
      <c r="G115" s="360"/>
      <c r="H115" s="414" t="s">
        <v>81</v>
      </c>
      <c r="I115" s="360" t="s">
        <v>24</v>
      </c>
      <c r="J115" s="360" t="s">
        <v>24</v>
      </c>
      <c r="K115" s="360" t="s">
        <v>82</v>
      </c>
      <c r="L115" s="283" t="s">
        <v>495</v>
      </c>
      <c r="M115" s="78" t="s">
        <v>24</v>
      </c>
      <c r="N115" s="304" t="s">
        <v>496</v>
      </c>
      <c r="O115" s="303"/>
      <c r="P115" s="9"/>
      <c r="Q115" s="139">
        <f>'Additional information'!$D$17</f>
        <v>0.91</v>
      </c>
      <c r="R115" s="62"/>
      <c r="T115" s="150" t="s">
        <v>32</v>
      </c>
      <c r="U115" s="69"/>
      <c r="X115" s="191">
        <v>16.481756210327148</v>
      </c>
      <c r="Y115" s="191">
        <f t="shared" si="13"/>
        <v>14.998398151397705</v>
      </c>
      <c r="Z115" s="62">
        <f t="shared" si="14"/>
        <v>14.998398151397705</v>
      </c>
    </row>
    <row r="116" spans="1:26" s="68" customFormat="1" ht="189" customHeight="1" x14ac:dyDescent="0.2">
      <c r="A116" s="10" t="e">
        <f>#REF!+1</f>
        <v>#REF!</v>
      </c>
      <c r="B116" s="400" t="s">
        <v>497</v>
      </c>
      <c r="C116" s="422" t="s">
        <v>497</v>
      </c>
      <c r="D116" s="416" t="s">
        <v>498</v>
      </c>
      <c r="E116" s="360">
        <f t="shared" si="15"/>
        <v>254</v>
      </c>
      <c r="F116" s="398" t="s">
        <v>499</v>
      </c>
      <c r="G116" s="360"/>
      <c r="H116" s="402" t="s">
        <v>36</v>
      </c>
      <c r="I116" s="360" t="s">
        <v>24</v>
      </c>
      <c r="J116" s="360" t="s">
        <v>24</v>
      </c>
      <c r="K116" s="360" t="s">
        <v>37</v>
      </c>
      <c r="L116" s="283" t="s">
        <v>500</v>
      </c>
      <c r="M116" s="78" t="s">
        <v>24</v>
      </c>
      <c r="N116" s="283" t="s">
        <v>501</v>
      </c>
      <c r="O116" s="279"/>
      <c r="P116" s="9"/>
      <c r="Q116" s="139">
        <f>'Additional information'!$D$17</f>
        <v>0.91</v>
      </c>
      <c r="R116" s="62"/>
      <c r="T116" s="150" t="s">
        <v>32</v>
      </c>
      <c r="U116" s="69"/>
      <c r="X116" s="191">
        <v>20.308681488037109</v>
      </c>
      <c r="Y116" s="191">
        <f t="shared" si="13"/>
        <v>18.480900154113769</v>
      </c>
      <c r="Z116" s="62">
        <f t="shared" si="14"/>
        <v>18.480900154113769</v>
      </c>
    </row>
    <row r="117" spans="1:26" s="68" customFormat="1" ht="189" customHeight="1" x14ac:dyDescent="0.2">
      <c r="A117" s="10" t="e">
        <f t="shared" ref="A117:A123" si="16">A116+1</f>
        <v>#REF!</v>
      </c>
      <c r="B117" s="421" t="s">
        <v>502</v>
      </c>
      <c r="C117" s="360" t="s">
        <v>502</v>
      </c>
      <c r="D117" s="416" t="s">
        <v>503</v>
      </c>
      <c r="E117" s="360">
        <f t="shared" si="15"/>
        <v>253</v>
      </c>
      <c r="F117" s="398" t="s">
        <v>504</v>
      </c>
      <c r="G117" s="360"/>
      <c r="H117" s="402" t="s">
        <v>36</v>
      </c>
      <c r="I117" s="360" t="s">
        <v>24</v>
      </c>
      <c r="J117" s="360" t="s">
        <v>24</v>
      </c>
      <c r="K117" s="360" t="s">
        <v>37</v>
      </c>
      <c r="L117" s="72" t="s">
        <v>505</v>
      </c>
      <c r="M117" s="78" t="s">
        <v>24</v>
      </c>
      <c r="N117" s="305" t="s">
        <v>506</v>
      </c>
      <c r="O117" s="306"/>
      <c r="P117" s="243"/>
      <c r="Q117" s="139">
        <f>'Additional information'!$D$17</f>
        <v>0.91</v>
      </c>
      <c r="R117" s="62"/>
      <c r="T117" s="150" t="s">
        <v>32</v>
      </c>
      <c r="U117" s="69"/>
      <c r="X117" s="191">
        <v>15.448612213134769</v>
      </c>
      <c r="Y117" s="191">
        <f t="shared" si="13"/>
        <v>14.058237113952641</v>
      </c>
      <c r="Z117" s="62">
        <f t="shared" si="14"/>
        <v>14.058237113952641</v>
      </c>
    </row>
    <row r="118" spans="1:26" s="68" customFormat="1" ht="78.75" customHeight="1" x14ac:dyDescent="0.2">
      <c r="A118" s="10" t="e">
        <f t="shared" si="16"/>
        <v>#REF!</v>
      </c>
      <c r="B118" s="307" t="s">
        <v>507</v>
      </c>
      <c r="C118" s="308" t="s">
        <v>507</v>
      </c>
      <c r="D118" s="404" t="s">
        <v>508</v>
      </c>
      <c r="E118" s="361">
        <f t="shared" si="15"/>
        <v>250</v>
      </c>
      <c r="F118" s="398" t="s">
        <v>509</v>
      </c>
      <c r="G118" s="362"/>
      <c r="H118" s="309" t="s">
        <v>110</v>
      </c>
      <c r="I118" s="361" t="s">
        <v>24</v>
      </c>
      <c r="J118" s="361" t="s">
        <v>24</v>
      </c>
      <c r="K118" s="361" t="s">
        <v>27</v>
      </c>
      <c r="L118" s="358" t="s">
        <v>510</v>
      </c>
      <c r="M118" s="11" t="s">
        <v>24</v>
      </c>
      <c r="N118" s="423" t="s">
        <v>511</v>
      </c>
      <c r="O118" s="310"/>
      <c r="P118" s="618" t="s">
        <v>512</v>
      </c>
      <c r="Q118" s="139">
        <f>'Additional information'!$D$17</f>
        <v>0.91</v>
      </c>
      <c r="R118" s="62"/>
      <c r="T118" s="70" t="s">
        <v>23</v>
      </c>
      <c r="U118" s="69"/>
      <c r="X118" s="192">
        <v>30.343915939331051</v>
      </c>
      <c r="Y118" s="192">
        <f t="shared" si="13"/>
        <v>27.612963504791256</v>
      </c>
      <c r="Z118" s="62" t="str">
        <f t="shared" si="14"/>
        <v/>
      </c>
    </row>
    <row r="119" spans="1:26" s="68" customFormat="1" ht="204.75" customHeight="1" x14ac:dyDescent="0.2">
      <c r="A119" s="10" t="e">
        <f t="shared" si="16"/>
        <v>#REF!</v>
      </c>
      <c r="B119" s="307" t="s">
        <v>513</v>
      </c>
      <c r="C119" s="308" t="s">
        <v>513</v>
      </c>
      <c r="D119" s="311" t="s">
        <v>514</v>
      </c>
      <c r="E119" s="361">
        <f t="shared" si="15"/>
        <v>175</v>
      </c>
      <c r="F119" s="398" t="s">
        <v>515</v>
      </c>
      <c r="G119" s="362"/>
      <c r="H119" s="309" t="s">
        <v>81</v>
      </c>
      <c r="I119" s="361" t="s">
        <v>24</v>
      </c>
      <c r="J119" s="361" t="s">
        <v>24</v>
      </c>
      <c r="K119" s="361" t="s">
        <v>516</v>
      </c>
      <c r="L119" s="358" t="s">
        <v>517</v>
      </c>
      <c r="M119" s="11" t="s">
        <v>24</v>
      </c>
      <c r="N119" s="423" t="s">
        <v>518</v>
      </c>
      <c r="O119" s="310"/>
      <c r="P119" s="601"/>
      <c r="Q119" s="139">
        <f>'Additional information'!$D$17</f>
        <v>0.91</v>
      </c>
      <c r="R119" s="62"/>
      <c r="T119" s="70" t="s">
        <v>23</v>
      </c>
      <c r="U119" s="69"/>
      <c r="X119" s="192">
        <v>5.4708995819091797</v>
      </c>
      <c r="Y119" s="192">
        <f t="shared" si="13"/>
        <v>4.9785186195373541</v>
      </c>
      <c r="Z119" s="62" t="str">
        <f t="shared" si="14"/>
        <v/>
      </c>
    </row>
    <row r="120" spans="1:26" s="68" customFormat="1" ht="63" customHeight="1" x14ac:dyDescent="0.2">
      <c r="A120" s="10" t="e">
        <f t="shared" si="16"/>
        <v>#REF!</v>
      </c>
      <c r="B120" s="307" t="s">
        <v>519</v>
      </c>
      <c r="C120" s="308" t="s">
        <v>519</v>
      </c>
      <c r="D120" s="311" t="s">
        <v>520</v>
      </c>
      <c r="E120" s="361">
        <f t="shared" si="15"/>
        <v>123</v>
      </c>
      <c r="F120" s="398" t="s">
        <v>521</v>
      </c>
      <c r="G120" s="362"/>
      <c r="H120" s="309" t="s">
        <v>110</v>
      </c>
      <c r="I120" s="361" t="s">
        <v>24</v>
      </c>
      <c r="J120" s="361" t="s">
        <v>24</v>
      </c>
      <c r="K120" s="361" t="s">
        <v>27</v>
      </c>
      <c r="L120" s="358" t="s">
        <v>522</v>
      </c>
      <c r="M120" s="11" t="s">
        <v>24</v>
      </c>
      <c r="N120" s="423" t="s">
        <v>523</v>
      </c>
      <c r="O120" s="310"/>
      <c r="P120" s="601"/>
      <c r="Q120" s="139">
        <f>'Additional information'!$D$17</f>
        <v>0.91</v>
      </c>
      <c r="R120" s="62"/>
      <c r="T120" s="70" t="s">
        <v>23</v>
      </c>
      <c r="U120" s="69"/>
      <c r="X120" s="192">
        <v>7.9054727554321289</v>
      </c>
      <c r="Y120" s="192">
        <f t="shared" si="13"/>
        <v>7.1939802074432375</v>
      </c>
      <c r="Z120" s="62" t="str">
        <f t="shared" si="14"/>
        <v/>
      </c>
    </row>
    <row r="121" spans="1:26" s="68" customFormat="1" ht="78.75" customHeight="1" x14ac:dyDescent="0.2">
      <c r="A121" s="10" t="e">
        <f t="shared" si="16"/>
        <v>#REF!</v>
      </c>
      <c r="B121" s="307" t="s">
        <v>524</v>
      </c>
      <c r="C121" s="308" t="s">
        <v>524</v>
      </c>
      <c r="D121" s="278" t="s">
        <v>525</v>
      </c>
      <c r="E121" s="361">
        <f t="shared" si="15"/>
        <v>218</v>
      </c>
      <c r="F121" s="398" t="s">
        <v>526</v>
      </c>
      <c r="G121" s="362"/>
      <c r="H121" s="309" t="s">
        <v>110</v>
      </c>
      <c r="I121" s="361" t="s">
        <v>24</v>
      </c>
      <c r="J121" s="361" t="s">
        <v>24</v>
      </c>
      <c r="K121" s="361" t="s">
        <v>27</v>
      </c>
      <c r="L121" s="358" t="s">
        <v>527</v>
      </c>
      <c r="M121" s="11" t="s">
        <v>24</v>
      </c>
      <c r="N121" s="423" t="s">
        <v>528</v>
      </c>
      <c r="O121" s="310"/>
      <c r="P121" s="619"/>
      <c r="Q121" s="139">
        <f>'Additional information'!$D$17</f>
        <v>0.91</v>
      </c>
      <c r="R121" s="62"/>
      <c r="T121" s="70" t="s">
        <v>23</v>
      </c>
      <c r="U121" s="69"/>
      <c r="X121" s="192">
        <v>16.435977935791019</v>
      </c>
      <c r="Y121" s="192">
        <f t="shared" si="13"/>
        <v>14.956739921569827</v>
      </c>
      <c r="Z121" s="62" t="str">
        <f t="shared" si="14"/>
        <v/>
      </c>
    </row>
    <row r="122" spans="1:26" s="68" customFormat="1" ht="141.75" customHeight="1" x14ac:dyDescent="0.2">
      <c r="A122" s="10" t="e">
        <f t="shared" si="16"/>
        <v>#REF!</v>
      </c>
      <c r="B122" s="421" t="s">
        <v>529</v>
      </c>
      <c r="C122" s="67" t="s">
        <v>529</v>
      </c>
      <c r="D122" s="401" t="s">
        <v>530</v>
      </c>
      <c r="E122" s="360">
        <f t="shared" si="15"/>
        <v>173</v>
      </c>
      <c r="F122" s="398" t="s">
        <v>531</v>
      </c>
      <c r="G122" s="360"/>
      <c r="H122" s="402" t="s">
        <v>36</v>
      </c>
      <c r="I122" s="360" t="s">
        <v>24</v>
      </c>
      <c r="J122" s="360" t="s">
        <v>24</v>
      </c>
      <c r="K122" s="360" t="s">
        <v>37</v>
      </c>
      <c r="L122" s="72" t="s">
        <v>532</v>
      </c>
      <c r="M122" s="78" t="s">
        <v>24</v>
      </c>
      <c r="N122" s="72" t="s">
        <v>533</v>
      </c>
      <c r="O122" s="12"/>
      <c r="P122" s="9"/>
      <c r="Q122" s="139">
        <f>'Additional information'!$D$17</f>
        <v>0.91</v>
      </c>
      <c r="R122" s="62"/>
      <c r="T122" s="150" t="s">
        <v>32</v>
      </c>
      <c r="U122" s="69"/>
      <c r="X122" s="191">
        <v>11.37532997131348</v>
      </c>
      <c r="Y122" s="191">
        <f t="shared" si="13"/>
        <v>10.351550273895267</v>
      </c>
      <c r="Z122" s="62">
        <f t="shared" si="14"/>
        <v>10.351550273895267</v>
      </c>
    </row>
    <row r="123" spans="1:26" s="68" customFormat="1" ht="409" customHeight="1" thickBot="1" x14ac:dyDescent="0.25">
      <c r="A123" s="18" t="e">
        <f t="shared" si="16"/>
        <v>#REF!</v>
      </c>
      <c r="B123" s="244" t="s">
        <v>534</v>
      </c>
      <c r="C123" s="414" t="s">
        <v>535</v>
      </c>
      <c r="D123" s="146" t="s">
        <v>536</v>
      </c>
      <c r="E123" s="59">
        <f t="shared" si="15"/>
        <v>775</v>
      </c>
      <c r="F123" s="398" t="s">
        <v>537</v>
      </c>
      <c r="G123" s="363"/>
      <c r="H123" s="67" t="s">
        <v>538</v>
      </c>
      <c r="I123" s="59" t="s">
        <v>24</v>
      </c>
      <c r="J123" s="59" t="s">
        <v>24</v>
      </c>
      <c r="K123" s="59" t="s">
        <v>539</v>
      </c>
      <c r="L123" s="145" t="s">
        <v>540</v>
      </c>
      <c r="M123" s="78" t="s">
        <v>541</v>
      </c>
      <c r="N123" s="401" t="s">
        <v>542</v>
      </c>
      <c r="O123" s="12"/>
      <c r="P123" s="9"/>
      <c r="Q123" s="139">
        <f>'Additional information'!$D$17</f>
        <v>0.91</v>
      </c>
      <c r="R123" s="62"/>
      <c r="T123" s="150" t="s">
        <v>32</v>
      </c>
      <c r="U123" s="69"/>
      <c r="X123" s="191">
        <v>25.844999313354489</v>
      </c>
      <c r="Y123" s="191">
        <f t="shared" si="13"/>
        <v>23.518949375152584</v>
      </c>
      <c r="Z123" s="62">
        <f t="shared" si="14"/>
        <v>23.518949375152584</v>
      </c>
    </row>
    <row r="124" spans="1:26" s="149" customFormat="1" ht="16.5" customHeight="1" thickBot="1" x14ac:dyDescent="0.25">
      <c r="A124" s="597" t="s">
        <v>543</v>
      </c>
      <c r="B124" s="598"/>
      <c r="C124" s="598"/>
      <c r="D124" s="598"/>
      <c r="E124" s="598"/>
      <c r="F124" s="598"/>
      <c r="G124" s="598"/>
      <c r="H124" s="598"/>
      <c r="I124" s="598"/>
      <c r="J124" s="598"/>
      <c r="K124" s="598"/>
      <c r="L124" s="598"/>
      <c r="M124" s="598"/>
      <c r="N124" s="598"/>
      <c r="O124" s="598"/>
      <c r="P124" s="599"/>
      <c r="Q124" s="105"/>
      <c r="R124" s="151"/>
      <c r="T124" s="150"/>
      <c r="U124" s="152"/>
      <c r="X124" s="191"/>
      <c r="Y124" s="191" t="str">
        <f t="shared" si="13"/>
        <v/>
      </c>
      <c r="Z124" s="151" t="str">
        <f t="shared" si="14"/>
        <v/>
      </c>
    </row>
    <row r="125" spans="1:26" s="68" customFormat="1" ht="283.5" customHeight="1" x14ac:dyDescent="0.2">
      <c r="A125" s="10"/>
      <c r="B125" s="400" t="s">
        <v>544</v>
      </c>
      <c r="C125" s="422" t="s">
        <v>544</v>
      </c>
      <c r="D125" s="313" t="s">
        <v>545</v>
      </c>
      <c r="E125" s="65">
        <f t="shared" ref="E125:E130" si="17">LEN(D125)</f>
        <v>1382</v>
      </c>
      <c r="F125" s="398" t="s">
        <v>546</v>
      </c>
      <c r="G125" s="65"/>
      <c r="H125" s="73" t="s">
        <v>36</v>
      </c>
      <c r="I125" s="360" t="s">
        <v>24</v>
      </c>
      <c r="J125" s="67" t="s">
        <v>547</v>
      </c>
      <c r="K125" s="65" t="s">
        <v>37</v>
      </c>
      <c r="L125" s="72" t="s">
        <v>548</v>
      </c>
      <c r="M125" s="301" t="s">
        <v>549</v>
      </c>
      <c r="N125" s="72" t="s">
        <v>550</v>
      </c>
      <c r="O125" s="12"/>
      <c r="P125" s="9"/>
      <c r="Q125" s="139">
        <f>'Additional information'!$D$17</f>
        <v>0.91</v>
      </c>
      <c r="R125" s="62"/>
      <c r="T125" s="150" t="s">
        <v>32</v>
      </c>
      <c r="U125" s="69"/>
      <c r="X125" s="191">
        <v>17.612014770507809</v>
      </c>
      <c r="Y125" s="191">
        <f t="shared" si="13"/>
        <v>16.026933441162107</v>
      </c>
      <c r="Z125" s="62">
        <f t="shared" si="14"/>
        <v>16.026933441162107</v>
      </c>
    </row>
    <row r="126" spans="1:26" s="68" customFormat="1" ht="222" customHeight="1" x14ac:dyDescent="0.2">
      <c r="A126" s="17" t="e">
        <f>A123+1</f>
        <v>#REF!</v>
      </c>
      <c r="B126" s="314" t="s">
        <v>551</v>
      </c>
      <c r="C126" s="67" t="s">
        <v>551</v>
      </c>
      <c r="D126" s="66" t="s">
        <v>552</v>
      </c>
      <c r="E126" s="65">
        <f t="shared" si="17"/>
        <v>167</v>
      </c>
      <c r="F126" s="398" t="s">
        <v>553</v>
      </c>
      <c r="G126" s="65"/>
      <c r="H126" s="73" t="s">
        <v>36</v>
      </c>
      <c r="I126" s="65" t="s">
        <v>24</v>
      </c>
      <c r="J126" s="67" t="s">
        <v>24</v>
      </c>
      <c r="K126" s="65" t="s">
        <v>37</v>
      </c>
      <c r="L126" s="64" t="s">
        <v>554</v>
      </c>
      <c r="M126" s="78" t="s">
        <v>24</v>
      </c>
      <c r="N126" s="64" t="s">
        <v>555</v>
      </c>
      <c r="O126" s="13"/>
      <c r="P126" s="214"/>
      <c r="Q126" s="139">
        <f>'Additional information'!$D$17</f>
        <v>0.91</v>
      </c>
      <c r="R126" s="62"/>
      <c r="T126" s="150" t="s">
        <v>32</v>
      </c>
      <c r="U126" s="69"/>
      <c r="X126" s="191">
        <v>10.457156181335449</v>
      </c>
      <c r="Y126" s="191">
        <f t="shared" si="13"/>
        <v>9.5160121250152585</v>
      </c>
      <c r="Z126" s="62">
        <f t="shared" si="14"/>
        <v>9.5160121250152585</v>
      </c>
    </row>
    <row r="127" spans="1:26" s="68" customFormat="1" ht="282.75" customHeight="1" x14ac:dyDescent="0.2">
      <c r="A127" s="10" t="e">
        <f>A126+1</f>
        <v>#REF!</v>
      </c>
      <c r="B127" s="400" t="s">
        <v>556</v>
      </c>
      <c r="C127" s="67" t="s">
        <v>557</v>
      </c>
      <c r="D127" s="146" t="s">
        <v>558</v>
      </c>
      <c r="E127" s="65">
        <f t="shared" si="17"/>
        <v>684</v>
      </c>
      <c r="F127" s="398" t="s">
        <v>559</v>
      </c>
      <c r="G127" s="65"/>
      <c r="H127" s="67" t="s">
        <v>538</v>
      </c>
      <c r="I127" s="360" t="s">
        <v>24</v>
      </c>
      <c r="J127" s="424" t="s">
        <v>24</v>
      </c>
      <c r="K127" s="360" t="s">
        <v>560</v>
      </c>
      <c r="L127" s="72" t="s">
        <v>561</v>
      </c>
      <c r="M127" s="78" t="s">
        <v>562</v>
      </c>
      <c r="N127" s="72" t="s">
        <v>563</v>
      </c>
      <c r="O127" s="12"/>
      <c r="P127" s="9"/>
      <c r="Q127" s="139">
        <f>'Additional information'!$D$17</f>
        <v>0.91</v>
      </c>
      <c r="R127" s="62"/>
      <c r="T127" s="150" t="s">
        <v>32</v>
      </c>
      <c r="U127" s="69"/>
      <c r="X127" s="191">
        <v>20.769962310791019</v>
      </c>
      <c r="Y127" s="191">
        <f t="shared" si="13"/>
        <v>18.900665702819829</v>
      </c>
      <c r="Z127" s="62">
        <f t="shared" si="14"/>
        <v>18.900665702819829</v>
      </c>
    </row>
    <row r="128" spans="1:26" s="68" customFormat="1" ht="261" customHeight="1" x14ac:dyDescent="0.2">
      <c r="A128" s="10" t="e">
        <f>A127+1</f>
        <v>#REF!</v>
      </c>
      <c r="B128" s="400" t="s">
        <v>564</v>
      </c>
      <c r="C128" s="67" t="s">
        <v>564</v>
      </c>
      <c r="D128" s="401" t="s">
        <v>565</v>
      </c>
      <c r="E128" s="360">
        <f t="shared" si="17"/>
        <v>340</v>
      </c>
      <c r="F128" s="398" t="s">
        <v>566</v>
      </c>
      <c r="G128" s="360"/>
      <c r="H128" s="402" t="s">
        <v>36</v>
      </c>
      <c r="I128" s="360" t="s">
        <v>24</v>
      </c>
      <c r="J128" s="360" t="s">
        <v>24</v>
      </c>
      <c r="K128" s="360" t="s">
        <v>37</v>
      </c>
      <c r="L128" s="283" t="s">
        <v>567</v>
      </c>
      <c r="M128" s="78" t="s">
        <v>24</v>
      </c>
      <c r="N128" s="71" t="s">
        <v>568</v>
      </c>
      <c r="O128" s="76"/>
      <c r="P128" s="9"/>
      <c r="Q128" s="139">
        <f>'Additional information'!$D$17</f>
        <v>0.91</v>
      </c>
      <c r="R128" s="62"/>
      <c r="T128" s="150" t="s">
        <v>32</v>
      </c>
      <c r="U128" s="69"/>
      <c r="X128" s="191">
        <v>23.569721221923832</v>
      </c>
      <c r="Y128" s="191">
        <f t="shared" si="13"/>
        <v>21.448446311950686</v>
      </c>
      <c r="Z128" s="62">
        <f t="shared" si="14"/>
        <v>21.448446311950686</v>
      </c>
    </row>
    <row r="129" spans="1:26" s="512" customFormat="1" ht="179.25" customHeight="1" x14ac:dyDescent="0.2">
      <c r="A129" s="499"/>
      <c r="B129" s="517" t="s">
        <v>569</v>
      </c>
      <c r="C129" s="517" t="s">
        <v>569</v>
      </c>
      <c r="D129" s="429" t="s">
        <v>570</v>
      </c>
      <c r="E129" s="518">
        <f t="shared" si="17"/>
        <v>197</v>
      </c>
      <c r="F129" s="519" t="s">
        <v>571</v>
      </c>
      <c r="G129" s="516">
        <f>LEN(F129)</f>
        <v>337</v>
      </c>
      <c r="H129" s="520" t="s">
        <v>36</v>
      </c>
      <c r="I129" s="518"/>
      <c r="J129" s="503" t="s">
        <v>448</v>
      </c>
      <c r="K129" s="206" t="s">
        <v>37</v>
      </c>
      <c r="L129" s="429" t="s">
        <v>572</v>
      </c>
      <c r="M129" s="521"/>
      <c r="N129" s="429"/>
      <c r="O129" s="429"/>
      <c r="P129" s="521"/>
      <c r="Q129" s="522"/>
      <c r="R129" s="511"/>
      <c r="T129" s="523"/>
      <c r="U129" s="514"/>
      <c r="X129" s="524"/>
      <c r="Y129" s="524"/>
      <c r="Z129" s="511"/>
    </row>
    <row r="130" spans="1:26" s="512" customFormat="1" ht="179.25" customHeight="1" thickBot="1" x14ac:dyDescent="0.25">
      <c r="A130" s="499"/>
      <c r="B130" s="517" t="s">
        <v>573</v>
      </c>
      <c r="C130" s="517" t="s">
        <v>573</v>
      </c>
      <c r="D130" s="429" t="s">
        <v>574</v>
      </c>
      <c r="E130" s="518">
        <f t="shared" si="17"/>
        <v>170</v>
      </c>
      <c r="F130" s="519" t="s">
        <v>575</v>
      </c>
      <c r="G130" s="516">
        <f>LEN(F130)</f>
        <v>317</v>
      </c>
      <c r="H130" s="520" t="s">
        <v>36</v>
      </c>
      <c r="I130" s="518"/>
      <c r="J130" s="206"/>
      <c r="K130" s="206" t="s">
        <v>37</v>
      </c>
      <c r="L130" s="429" t="s">
        <v>576</v>
      </c>
      <c r="M130" s="521"/>
      <c r="N130" s="429"/>
      <c r="O130" s="429"/>
      <c r="P130" s="521"/>
      <c r="Q130" s="522"/>
      <c r="R130" s="511"/>
      <c r="T130" s="523"/>
      <c r="U130" s="514"/>
      <c r="X130" s="524"/>
      <c r="Y130" s="524"/>
      <c r="Z130" s="511"/>
    </row>
    <row r="131" spans="1:26" s="149" customFormat="1" ht="16.5" customHeight="1" thickBot="1" x14ac:dyDescent="0.25">
      <c r="A131" s="597" t="s">
        <v>577</v>
      </c>
      <c r="B131" s="598"/>
      <c r="C131" s="598"/>
      <c r="D131" s="598"/>
      <c r="E131" s="598"/>
      <c r="F131" s="598"/>
      <c r="G131" s="598"/>
      <c r="H131" s="598"/>
      <c r="I131" s="598"/>
      <c r="J131" s="598"/>
      <c r="K131" s="598"/>
      <c r="L131" s="598"/>
      <c r="M131" s="598"/>
      <c r="N131" s="598"/>
      <c r="O131" s="598"/>
      <c r="P131" s="599"/>
      <c r="Q131" s="105"/>
      <c r="R131" s="151"/>
      <c r="T131" s="150"/>
      <c r="U131" s="152"/>
      <c r="X131" s="191"/>
      <c r="Y131" s="191" t="str">
        <f t="shared" ref="Y131:Y144" si="18">IF(X131="","",X131*Q131)</f>
        <v/>
      </c>
      <c r="Z131" s="151" t="str">
        <f t="shared" ref="Z131:Z144" si="19">IF(T131="yes",Y131,"")</f>
        <v/>
      </c>
    </row>
    <row r="132" spans="1:26" s="68" customFormat="1" ht="141.75" customHeight="1" x14ac:dyDescent="0.2">
      <c r="A132" s="17" t="e">
        <f>A128+1</f>
        <v>#REF!</v>
      </c>
      <c r="B132" s="315" t="s">
        <v>578</v>
      </c>
      <c r="C132" s="316" t="s">
        <v>578</v>
      </c>
      <c r="D132" s="317" t="s">
        <v>579</v>
      </c>
      <c r="E132" s="65">
        <f t="shared" ref="E132:E139" si="20">LEN(D132)</f>
        <v>173</v>
      </c>
      <c r="F132" s="398" t="s">
        <v>580</v>
      </c>
      <c r="G132" s="65"/>
      <c r="H132" s="65" t="s">
        <v>36</v>
      </c>
      <c r="I132" s="65" t="s">
        <v>24</v>
      </c>
      <c r="J132" s="65" t="s">
        <v>459</v>
      </c>
      <c r="K132" s="65" t="s">
        <v>37</v>
      </c>
      <c r="L132" s="64" t="s">
        <v>581</v>
      </c>
      <c r="M132" s="78" t="s">
        <v>24</v>
      </c>
      <c r="N132" s="71" t="s">
        <v>582</v>
      </c>
      <c r="O132" s="76"/>
      <c r="P132" s="8"/>
      <c r="Q132" s="105">
        <f>'Additional information'!$D$18</f>
        <v>0.91</v>
      </c>
      <c r="R132" s="62"/>
      <c r="T132" s="150" t="s">
        <v>32</v>
      </c>
      <c r="U132" s="69"/>
      <c r="X132" s="191">
        <v>4.5019583702087402</v>
      </c>
      <c r="Y132" s="191">
        <f t="shared" si="18"/>
        <v>4.0967821168899539</v>
      </c>
      <c r="Z132" s="62">
        <f t="shared" si="19"/>
        <v>4.0967821168899539</v>
      </c>
    </row>
    <row r="133" spans="1:26" s="68" customFormat="1" ht="299.25" customHeight="1" x14ac:dyDescent="0.2">
      <c r="A133" s="17" t="e">
        <f>A132+1</f>
        <v>#REF!</v>
      </c>
      <c r="B133" s="92" t="s">
        <v>583</v>
      </c>
      <c r="C133" s="67" t="s">
        <v>583</v>
      </c>
      <c r="D133" s="66" t="s">
        <v>584</v>
      </c>
      <c r="E133" s="65">
        <f t="shared" si="20"/>
        <v>579</v>
      </c>
      <c r="F133" s="398" t="s">
        <v>585</v>
      </c>
      <c r="G133" s="65"/>
      <c r="H133" s="65" t="s">
        <v>36</v>
      </c>
      <c r="I133" s="65" t="s">
        <v>24</v>
      </c>
      <c r="J133" s="65" t="s">
        <v>24</v>
      </c>
      <c r="K133" s="67" t="s">
        <v>586</v>
      </c>
      <c r="L133" s="64" t="s">
        <v>587</v>
      </c>
      <c r="M133" s="78" t="s">
        <v>24</v>
      </c>
      <c r="N133" s="71" t="s">
        <v>588</v>
      </c>
      <c r="O133" s="76"/>
      <c r="P133" s="214"/>
      <c r="Q133" s="105">
        <f>'Additional information'!$D$18</f>
        <v>0.91</v>
      </c>
      <c r="R133" s="62"/>
      <c r="T133" s="150" t="s">
        <v>32</v>
      </c>
      <c r="U133" s="69"/>
      <c r="X133" s="191">
        <v>17.402484893798832</v>
      </c>
      <c r="Y133" s="191">
        <f t="shared" si="18"/>
        <v>15.836261253356938</v>
      </c>
      <c r="Z133" s="62">
        <f t="shared" si="19"/>
        <v>15.836261253356938</v>
      </c>
    </row>
    <row r="134" spans="1:26" s="68" customFormat="1" ht="63" customHeight="1" x14ac:dyDescent="0.2">
      <c r="A134" s="10" t="e">
        <f>A133+1</f>
        <v>#REF!</v>
      </c>
      <c r="B134" s="400" t="s">
        <v>589</v>
      </c>
      <c r="C134" s="67" t="s">
        <v>589</v>
      </c>
      <c r="D134" s="401" t="s">
        <v>590</v>
      </c>
      <c r="E134" s="360">
        <f t="shared" si="20"/>
        <v>152</v>
      </c>
      <c r="F134" s="398" t="s">
        <v>591</v>
      </c>
      <c r="G134" s="360"/>
      <c r="H134" s="402" t="s">
        <v>110</v>
      </c>
      <c r="I134" s="360" t="s">
        <v>24</v>
      </c>
      <c r="J134" s="360" t="s">
        <v>24</v>
      </c>
      <c r="K134" s="360" t="s">
        <v>592</v>
      </c>
      <c r="L134" s="72" t="s">
        <v>593</v>
      </c>
      <c r="M134" s="78" t="s">
        <v>24</v>
      </c>
      <c r="N134" s="72" t="s">
        <v>594</v>
      </c>
      <c r="O134" s="13"/>
      <c r="P134" s="9"/>
      <c r="Q134" s="105">
        <f>'Additional information'!$D$18</f>
        <v>0.91</v>
      </c>
      <c r="R134" s="62"/>
      <c r="T134" s="150" t="s">
        <v>32</v>
      </c>
      <c r="U134" s="69"/>
      <c r="X134" s="191">
        <v>16.332881927490231</v>
      </c>
      <c r="Y134" s="191">
        <f t="shared" si="18"/>
        <v>14.862922554016111</v>
      </c>
      <c r="Z134" s="62">
        <f t="shared" si="19"/>
        <v>14.862922554016111</v>
      </c>
    </row>
    <row r="135" spans="1:26" s="68" customFormat="1" ht="63" customHeight="1" x14ac:dyDescent="0.2">
      <c r="A135" s="10" t="e">
        <f>A134+1</f>
        <v>#REF!</v>
      </c>
      <c r="B135" s="400" t="s">
        <v>595</v>
      </c>
      <c r="C135" s="67" t="s">
        <v>595</v>
      </c>
      <c r="D135" s="416" t="s">
        <v>596</v>
      </c>
      <c r="E135" s="360">
        <f t="shared" si="20"/>
        <v>128</v>
      </c>
      <c r="F135" s="398" t="s">
        <v>597</v>
      </c>
      <c r="G135" s="360"/>
      <c r="H135" s="402" t="s">
        <v>110</v>
      </c>
      <c r="I135" s="360" t="s">
        <v>24</v>
      </c>
      <c r="J135" s="360" t="s">
        <v>24</v>
      </c>
      <c r="K135" s="360" t="s">
        <v>592</v>
      </c>
      <c r="L135" s="72" t="s">
        <v>598</v>
      </c>
      <c r="M135" s="78" t="s">
        <v>24</v>
      </c>
      <c r="N135" s="72" t="s">
        <v>599</v>
      </c>
      <c r="O135" s="13"/>
      <c r="P135" s="9"/>
      <c r="Q135" s="105">
        <f>'Additional information'!$D$18</f>
        <v>0.91</v>
      </c>
      <c r="R135" s="62"/>
      <c r="T135" s="150" t="s">
        <v>32</v>
      </c>
      <c r="U135" s="69"/>
      <c r="X135" s="191">
        <v>7.4144525527954102</v>
      </c>
      <c r="Y135" s="191">
        <f t="shared" si="18"/>
        <v>6.7471518230438239</v>
      </c>
      <c r="Z135" s="62">
        <f t="shared" si="19"/>
        <v>6.7471518230438239</v>
      </c>
    </row>
    <row r="136" spans="1:26" s="68" customFormat="1" ht="409" customHeight="1" x14ac:dyDescent="0.2">
      <c r="A136" s="10">
        <v>44</v>
      </c>
      <c r="B136" s="400" t="s">
        <v>600</v>
      </c>
      <c r="C136" s="67" t="s">
        <v>601</v>
      </c>
      <c r="D136" s="146" t="s">
        <v>602</v>
      </c>
      <c r="E136" s="360">
        <f t="shared" si="20"/>
        <v>787</v>
      </c>
      <c r="F136" s="398" t="s">
        <v>603</v>
      </c>
      <c r="G136" s="65"/>
      <c r="H136" s="67" t="s">
        <v>538</v>
      </c>
      <c r="I136" s="360" t="s">
        <v>24</v>
      </c>
      <c r="J136" s="360" t="s">
        <v>24</v>
      </c>
      <c r="K136" s="360" t="s">
        <v>604</v>
      </c>
      <c r="L136" s="72" t="s">
        <v>605</v>
      </c>
      <c r="M136" s="78" t="s">
        <v>606</v>
      </c>
      <c r="N136" s="71" t="s">
        <v>607</v>
      </c>
      <c r="O136" s="76"/>
      <c r="P136" s="9"/>
      <c r="Q136" s="105">
        <f>'Additional information'!$D$18</f>
        <v>0.91</v>
      </c>
      <c r="R136" s="62"/>
      <c r="T136" s="150" t="s">
        <v>32</v>
      </c>
      <c r="U136" s="69"/>
      <c r="X136" s="191">
        <v>17.791135787963871</v>
      </c>
      <c r="Y136" s="191">
        <f t="shared" si="18"/>
        <v>16.189933567047124</v>
      </c>
      <c r="Z136" s="62">
        <f t="shared" si="19"/>
        <v>16.189933567047124</v>
      </c>
    </row>
    <row r="137" spans="1:26" s="68" customFormat="1" ht="238" customHeight="1" x14ac:dyDescent="0.2">
      <c r="A137" s="10">
        <v>45</v>
      </c>
      <c r="B137" s="407" t="s">
        <v>608</v>
      </c>
      <c r="C137" s="241" t="s">
        <v>609</v>
      </c>
      <c r="D137" s="358" t="s">
        <v>610</v>
      </c>
      <c r="E137" s="361">
        <f t="shared" si="20"/>
        <v>285</v>
      </c>
      <c r="F137" s="398" t="s">
        <v>611</v>
      </c>
      <c r="G137" s="258"/>
      <c r="H137" s="241" t="s">
        <v>538</v>
      </c>
      <c r="I137" s="361" t="s">
        <v>24</v>
      </c>
      <c r="J137" s="361" t="s">
        <v>24</v>
      </c>
      <c r="K137" s="361" t="s">
        <v>612</v>
      </c>
      <c r="L137" s="12" t="s">
        <v>613</v>
      </c>
      <c r="M137" s="11" t="s">
        <v>614</v>
      </c>
      <c r="N137" s="319" t="s">
        <v>615</v>
      </c>
      <c r="O137" s="298"/>
      <c r="P137" s="9"/>
      <c r="Q137" s="139">
        <f>'Additional information'!$D$18</f>
        <v>0.91</v>
      </c>
      <c r="R137" s="62"/>
      <c r="T137" s="70" t="s">
        <v>23</v>
      </c>
      <c r="U137" s="69"/>
      <c r="X137" s="192">
        <v>18.08681678771973</v>
      </c>
      <c r="Y137" s="192">
        <f t="shared" si="18"/>
        <v>16.459003276824955</v>
      </c>
      <c r="Z137" s="62" t="str">
        <f t="shared" si="19"/>
        <v/>
      </c>
    </row>
    <row r="138" spans="1:26" s="68" customFormat="1" ht="141.75" customHeight="1" x14ac:dyDescent="0.2">
      <c r="A138" s="10">
        <f>A137+1</f>
        <v>46</v>
      </c>
      <c r="B138" s="400" t="s">
        <v>616</v>
      </c>
      <c r="C138" s="67" t="s">
        <v>616</v>
      </c>
      <c r="D138" s="401" t="s">
        <v>617</v>
      </c>
      <c r="E138" s="360">
        <f t="shared" si="20"/>
        <v>167</v>
      </c>
      <c r="F138" s="398" t="s">
        <v>618</v>
      </c>
      <c r="G138" s="360"/>
      <c r="H138" s="402" t="s">
        <v>36</v>
      </c>
      <c r="I138" s="360" t="s">
        <v>24</v>
      </c>
      <c r="J138" s="360" t="s">
        <v>24</v>
      </c>
      <c r="K138" s="360" t="s">
        <v>37</v>
      </c>
      <c r="L138" s="72" t="s">
        <v>619</v>
      </c>
      <c r="M138" s="78" t="s">
        <v>24</v>
      </c>
      <c r="N138" s="72" t="s">
        <v>620</v>
      </c>
      <c r="O138" s="13"/>
      <c r="P138" s="9"/>
      <c r="Q138" s="105">
        <f>'Additional information'!$D$18</f>
        <v>0.91</v>
      </c>
      <c r="R138" s="62"/>
      <c r="T138" s="150" t="s">
        <v>32</v>
      </c>
      <c r="U138" s="69"/>
      <c r="X138" s="191">
        <v>10.37455940246582</v>
      </c>
      <c r="Y138" s="191">
        <f t="shared" si="18"/>
        <v>9.4408490562438967</v>
      </c>
      <c r="Z138" s="62">
        <f t="shared" si="19"/>
        <v>9.4408490562438967</v>
      </c>
    </row>
    <row r="139" spans="1:26" s="68" customFormat="1" ht="330.75" customHeight="1" thickBot="1" x14ac:dyDescent="0.25">
      <c r="A139" s="18">
        <f>A138+1</f>
        <v>47</v>
      </c>
      <c r="B139" s="244" t="s">
        <v>621</v>
      </c>
      <c r="C139" s="406" t="s">
        <v>622</v>
      </c>
      <c r="D139" s="401" t="s">
        <v>623</v>
      </c>
      <c r="E139" s="360">
        <f t="shared" si="20"/>
        <v>662</v>
      </c>
      <c r="F139" s="398" t="s">
        <v>624</v>
      </c>
      <c r="G139" s="65"/>
      <c r="H139" s="67" t="s">
        <v>538</v>
      </c>
      <c r="I139" s="360" t="s">
        <v>24</v>
      </c>
      <c r="J139" s="360" t="s">
        <v>24</v>
      </c>
      <c r="K139" s="360" t="s">
        <v>625</v>
      </c>
      <c r="L139" s="425" t="s">
        <v>626</v>
      </c>
      <c r="M139" s="78" t="s">
        <v>627</v>
      </c>
      <c r="N139" s="401" t="s">
        <v>628</v>
      </c>
      <c r="O139" s="12"/>
      <c r="P139" s="9"/>
      <c r="Q139" s="105">
        <f>'Additional information'!$D$18</f>
        <v>0.91</v>
      </c>
      <c r="R139" s="62"/>
      <c r="T139" s="150" t="s">
        <v>32</v>
      </c>
      <c r="U139" s="69"/>
      <c r="X139" s="191">
        <v>19.616762161254879</v>
      </c>
      <c r="Y139" s="191">
        <f t="shared" si="18"/>
        <v>17.851253566741942</v>
      </c>
      <c r="Z139" s="62">
        <f t="shared" si="19"/>
        <v>17.851253566741942</v>
      </c>
    </row>
    <row r="140" spans="1:26" s="149" customFormat="1" ht="16.5" customHeight="1" thickBot="1" x14ac:dyDescent="0.25">
      <c r="A140" s="597" t="s">
        <v>629</v>
      </c>
      <c r="B140" s="598"/>
      <c r="C140" s="598"/>
      <c r="D140" s="598"/>
      <c r="E140" s="598"/>
      <c r="F140" s="598"/>
      <c r="G140" s="598"/>
      <c r="H140" s="598"/>
      <c r="I140" s="598"/>
      <c r="J140" s="598"/>
      <c r="K140" s="598"/>
      <c r="L140" s="598"/>
      <c r="M140" s="598"/>
      <c r="N140" s="598"/>
      <c r="O140" s="598"/>
      <c r="P140" s="599"/>
      <c r="Q140" s="105"/>
      <c r="R140" s="151"/>
      <c r="T140" s="150"/>
      <c r="U140" s="152"/>
      <c r="X140" s="191"/>
      <c r="Y140" s="191" t="str">
        <f t="shared" si="18"/>
        <v/>
      </c>
      <c r="Z140" s="151" t="str">
        <f t="shared" si="19"/>
        <v/>
      </c>
    </row>
    <row r="141" spans="1:26" s="68" customFormat="1" ht="283.5" customHeight="1" x14ac:dyDescent="0.2">
      <c r="A141" s="17">
        <f>A139+1</f>
        <v>48</v>
      </c>
      <c r="B141" s="92" t="s">
        <v>630</v>
      </c>
      <c r="C141" s="67" t="s">
        <v>630</v>
      </c>
      <c r="D141" s="295" t="s">
        <v>631</v>
      </c>
      <c r="E141" s="65">
        <f t="shared" ref="E141:E146" si="21">LEN(D141)</f>
        <v>503</v>
      </c>
      <c r="F141" s="398" t="s">
        <v>632</v>
      </c>
      <c r="G141" s="65"/>
      <c r="H141" s="73" t="s">
        <v>36</v>
      </c>
      <c r="I141" s="65" t="s">
        <v>24</v>
      </c>
      <c r="J141" s="65" t="s">
        <v>633</v>
      </c>
      <c r="K141" s="67" t="s">
        <v>634</v>
      </c>
      <c r="L141" s="64" t="s">
        <v>635</v>
      </c>
      <c r="M141" s="78" t="s">
        <v>24</v>
      </c>
      <c r="N141" s="64" t="s">
        <v>636</v>
      </c>
      <c r="O141" s="13"/>
      <c r="P141" s="8"/>
      <c r="Q141" s="105">
        <f>'Additional information'!$D$18</f>
        <v>0.91</v>
      </c>
      <c r="R141" s="62"/>
      <c r="T141" s="150" t="s">
        <v>32</v>
      </c>
      <c r="U141" s="69"/>
      <c r="X141" s="191">
        <v>12.992362976074221</v>
      </c>
      <c r="Y141" s="191">
        <f t="shared" si="18"/>
        <v>11.823050308227542</v>
      </c>
      <c r="Z141" s="62">
        <f t="shared" si="19"/>
        <v>11.823050308227542</v>
      </c>
    </row>
    <row r="142" spans="1:26" s="68" customFormat="1" ht="141.75" customHeight="1" x14ac:dyDescent="0.2">
      <c r="A142" s="10">
        <f>A141+1</f>
        <v>49</v>
      </c>
      <c r="B142" s="421" t="s">
        <v>637</v>
      </c>
      <c r="C142" s="67" t="s">
        <v>637</v>
      </c>
      <c r="D142" s="401" t="s">
        <v>638</v>
      </c>
      <c r="E142" s="360">
        <f t="shared" si="21"/>
        <v>166</v>
      </c>
      <c r="F142" s="398" t="s">
        <v>639</v>
      </c>
      <c r="G142" s="360"/>
      <c r="H142" s="402" t="s">
        <v>36</v>
      </c>
      <c r="I142" s="360" t="s">
        <v>24</v>
      </c>
      <c r="J142" s="360" t="s">
        <v>24</v>
      </c>
      <c r="K142" s="360" t="s">
        <v>37</v>
      </c>
      <c r="L142" s="72" t="s">
        <v>640</v>
      </c>
      <c r="M142" s="78" t="s">
        <v>24</v>
      </c>
      <c r="N142" s="72" t="s">
        <v>641</v>
      </c>
      <c r="O142" s="12"/>
      <c r="P142" s="9"/>
      <c r="Q142" s="105">
        <f>'Additional information'!$D$18</f>
        <v>0.91</v>
      </c>
      <c r="R142" s="62"/>
      <c r="T142" s="150" t="s">
        <v>32</v>
      </c>
      <c r="U142" s="69"/>
      <c r="X142" s="191">
        <v>8.6295709609985352</v>
      </c>
      <c r="Y142" s="191">
        <f t="shared" si="18"/>
        <v>7.8529095745086677</v>
      </c>
      <c r="Z142" s="62">
        <f t="shared" si="19"/>
        <v>7.8529095745086677</v>
      </c>
    </row>
    <row r="143" spans="1:26" s="68" customFormat="1" ht="349.5" customHeight="1" x14ac:dyDescent="0.2">
      <c r="A143" s="10">
        <f>A142+1</f>
        <v>50</v>
      </c>
      <c r="B143" s="400" t="s">
        <v>642</v>
      </c>
      <c r="C143" s="67" t="s">
        <v>643</v>
      </c>
      <c r="D143" s="146" t="s">
        <v>644</v>
      </c>
      <c r="E143" s="360">
        <f t="shared" si="21"/>
        <v>751</v>
      </c>
      <c r="F143" s="398" t="s">
        <v>645</v>
      </c>
      <c r="G143" s="65"/>
      <c r="H143" s="67" t="s">
        <v>538</v>
      </c>
      <c r="I143" s="360" t="s">
        <v>24</v>
      </c>
      <c r="J143" s="360" t="s">
        <v>24</v>
      </c>
      <c r="K143" s="360" t="s">
        <v>646</v>
      </c>
      <c r="L143" s="72" t="s">
        <v>647</v>
      </c>
      <c r="M143" s="78" t="s">
        <v>648</v>
      </c>
      <c r="N143" s="72" t="s">
        <v>649</v>
      </c>
      <c r="O143" s="12"/>
      <c r="P143" s="9"/>
      <c r="Q143" s="105">
        <f>'Additional information'!$D$18</f>
        <v>0.91</v>
      </c>
      <c r="R143" s="62"/>
      <c r="T143" s="150" t="s">
        <v>32</v>
      </c>
      <c r="U143" s="69"/>
      <c r="X143" s="191">
        <v>18.256172180175781</v>
      </c>
      <c r="Y143" s="191">
        <f t="shared" si="18"/>
        <v>16.613116683959962</v>
      </c>
      <c r="Z143" s="62">
        <f t="shared" si="19"/>
        <v>16.613116683959962</v>
      </c>
    </row>
    <row r="144" spans="1:26" s="68" customFormat="1" ht="204.75" customHeight="1" x14ac:dyDescent="0.2">
      <c r="A144" s="10">
        <f>A143+1</f>
        <v>51</v>
      </c>
      <c r="B144" s="400" t="s">
        <v>650</v>
      </c>
      <c r="C144" s="67" t="s">
        <v>650</v>
      </c>
      <c r="D144" s="401" t="s">
        <v>651</v>
      </c>
      <c r="E144" s="360">
        <f t="shared" si="21"/>
        <v>338</v>
      </c>
      <c r="F144" s="398" t="s">
        <v>652</v>
      </c>
      <c r="G144" s="360"/>
      <c r="H144" s="402" t="s">
        <v>36</v>
      </c>
      <c r="I144" s="360" t="s">
        <v>24</v>
      </c>
      <c r="J144" s="360" t="s">
        <v>24</v>
      </c>
      <c r="K144" s="360" t="s">
        <v>37</v>
      </c>
      <c r="L144" s="283" t="s">
        <v>653</v>
      </c>
      <c r="M144" s="78" t="s">
        <v>24</v>
      </c>
      <c r="N144" s="283" t="s">
        <v>654</v>
      </c>
      <c r="O144" s="279"/>
      <c r="P144" s="9"/>
      <c r="Q144" s="105">
        <f>'Additional information'!$D$18</f>
        <v>0.91</v>
      </c>
      <c r="R144" s="62"/>
      <c r="T144" s="150" t="s">
        <v>32</v>
      </c>
      <c r="U144" s="69"/>
      <c r="X144" s="191">
        <v>15.45627975463867</v>
      </c>
      <c r="Y144" s="191">
        <f t="shared" si="18"/>
        <v>14.065214576721191</v>
      </c>
      <c r="Z144" s="62">
        <f t="shared" si="19"/>
        <v>14.065214576721191</v>
      </c>
    </row>
    <row r="145" spans="1:26" s="512" customFormat="1" ht="179.25" customHeight="1" x14ac:dyDescent="0.2">
      <c r="A145" s="499"/>
      <c r="B145" s="517" t="s">
        <v>655</v>
      </c>
      <c r="C145" s="517" t="s">
        <v>655</v>
      </c>
      <c r="D145" s="429" t="s">
        <v>656</v>
      </c>
      <c r="E145" s="518">
        <f t="shared" si="21"/>
        <v>188</v>
      </c>
      <c r="F145" s="519" t="s">
        <v>657</v>
      </c>
      <c r="G145" s="516">
        <f>LEN(F145)</f>
        <v>332</v>
      </c>
      <c r="H145" s="520" t="s">
        <v>36</v>
      </c>
      <c r="I145" s="518"/>
      <c r="J145" s="503" t="s">
        <v>448</v>
      </c>
      <c r="K145" s="206" t="s">
        <v>37</v>
      </c>
      <c r="L145" s="429" t="s">
        <v>658</v>
      </c>
      <c r="M145" s="521"/>
      <c r="N145" s="429"/>
      <c r="O145" s="429"/>
      <c r="P145" s="521"/>
      <c r="Q145" s="522"/>
      <c r="R145" s="511"/>
      <c r="T145" s="523"/>
      <c r="U145" s="514"/>
      <c r="X145" s="524"/>
      <c r="Y145" s="524"/>
      <c r="Z145" s="511"/>
    </row>
    <row r="146" spans="1:26" s="512" customFormat="1" ht="179.25" customHeight="1" thickBot="1" x14ac:dyDescent="0.25">
      <c r="A146" s="499"/>
      <c r="B146" s="517" t="s">
        <v>659</v>
      </c>
      <c r="C146" s="517" t="s">
        <v>659</v>
      </c>
      <c r="D146" s="429" t="s">
        <v>660</v>
      </c>
      <c r="E146" s="518">
        <f t="shared" si="21"/>
        <v>165</v>
      </c>
      <c r="F146" s="519" t="s">
        <v>661</v>
      </c>
      <c r="G146" s="516">
        <f>LEN(F146)</f>
        <v>315</v>
      </c>
      <c r="H146" s="520" t="s">
        <v>36</v>
      </c>
      <c r="I146" s="518"/>
      <c r="J146" s="206"/>
      <c r="K146" s="206" t="s">
        <v>37</v>
      </c>
      <c r="L146" s="429" t="s">
        <v>662</v>
      </c>
      <c r="M146" s="521"/>
      <c r="N146" s="429"/>
      <c r="O146" s="429"/>
      <c r="P146" s="521"/>
      <c r="Q146" s="522"/>
      <c r="R146" s="511"/>
      <c r="T146" s="523"/>
      <c r="U146" s="514"/>
      <c r="X146" s="524"/>
      <c r="Y146" s="524"/>
      <c r="Z146" s="511"/>
    </row>
    <row r="147" spans="1:26" s="149" customFormat="1" ht="16.5" customHeight="1" thickBot="1" x14ac:dyDescent="0.25">
      <c r="A147" s="597" t="s">
        <v>663</v>
      </c>
      <c r="B147" s="598"/>
      <c r="C147" s="598"/>
      <c r="D147" s="598"/>
      <c r="E147" s="598"/>
      <c r="F147" s="598"/>
      <c r="G147" s="598"/>
      <c r="H147" s="598"/>
      <c r="I147" s="598"/>
      <c r="J147" s="598"/>
      <c r="K147" s="598"/>
      <c r="L147" s="598"/>
      <c r="M147" s="598"/>
      <c r="N147" s="598"/>
      <c r="O147" s="598"/>
      <c r="P147" s="599"/>
      <c r="Q147" s="105"/>
      <c r="R147" s="151"/>
      <c r="T147" s="150"/>
      <c r="U147" s="152"/>
      <c r="X147" s="191"/>
      <c r="Y147" s="191" t="str">
        <f t="shared" ref="Y147:Y194" si="22">IF(X147="","",X147*Q147)</f>
        <v/>
      </c>
      <c r="Z147" s="151" t="str">
        <f t="shared" ref="Z147:Z194" si="23">IF(T147="yes",Y147,"")</f>
        <v/>
      </c>
    </row>
    <row r="148" spans="1:26" s="68" customFormat="1" ht="120" customHeight="1" x14ac:dyDescent="0.2">
      <c r="A148" s="17">
        <f>A144+1</f>
        <v>52</v>
      </c>
      <c r="B148" s="92" t="s">
        <v>664</v>
      </c>
      <c r="C148" s="67" t="s">
        <v>664</v>
      </c>
      <c r="D148" s="320" t="s">
        <v>665</v>
      </c>
      <c r="E148" s="65">
        <f t="shared" ref="E148:E153" si="24">LEN(D148)</f>
        <v>206</v>
      </c>
      <c r="F148" s="398" t="s">
        <v>666</v>
      </c>
      <c r="G148" s="65"/>
      <c r="H148" s="65" t="s">
        <v>36</v>
      </c>
      <c r="I148" s="65" t="s">
        <v>24</v>
      </c>
      <c r="J148" s="65" t="s">
        <v>667</v>
      </c>
      <c r="K148" s="360" t="s">
        <v>37</v>
      </c>
      <c r="L148" s="64" t="s">
        <v>668</v>
      </c>
      <c r="M148" s="78" t="s">
        <v>24</v>
      </c>
      <c r="N148" s="71" t="s">
        <v>669</v>
      </c>
      <c r="O148" s="76"/>
      <c r="P148" s="8"/>
      <c r="Q148" s="105">
        <f>'Additional information'!$D$19</f>
        <v>0.05</v>
      </c>
      <c r="R148" s="62"/>
      <c r="T148" s="150" t="s">
        <v>32</v>
      </c>
      <c r="U148" s="69"/>
      <c r="X148" s="191">
        <v>2.4801323413848881</v>
      </c>
      <c r="Y148" s="191">
        <f t="shared" si="22"/>
        <v>0.12400661706924442</v>
      </c>
      <c r="Z148" s="62">
        <f t="shared" si="23"/>
        <v>0.12400661706924442</v>
      </c>
    </row>
    <row r="149" spans="1:26" s="68" customFormat="1" ht="157.5" customHeight="1" x14ac:dyDescent="0.2">
      <c r="A149" s="17">
        <f>A148+1</f>
        <v>53</v>
      </c>
      <c r="B149" s="92" t="s">
        <v>670</v>
      </c>
      <c r="C149" s="322" t="s">
        <v>671</v>
      </c>
      <c r="D149" s="146" t="s">
        <v>672</v>
      </c>
      <c r="E149" s="65">
        <f t="shared" si="24"/>
        <v>282</v>
      </c>
      <c r="F149" s="398" t="s">
        <v>673</v>
      </c>
      <c r="G149" s="65"/>
      <c r="H149" s="67" t="s">
        <v>441</v>
      </c>
      <c r="I149" s="65" t="s">
        <v>24</v>
      </c>
      <c r="J149" s="65" t="s">
        <v>24</v>
      </c>
      <c r="K149" s="65" t="s">
        <v>674</v>
      </c>
      <c r="L149" s="64" t="s">
        <v>675</v>
      </c>
      <c r="M149" s="78" t="s">
        <v>676</v>
      </c>
      <c r="N149" s="64" t="s">
        <v>677</v>
      </c>
      <c r="O149" s="13"/>
      <c r="P149" s="214"/>
      <c r="Q149" s="105">
        <f>'Additional information'!$D$19</f>
        <v>0.05</v>
      </c>
      <c r="R149" s="62"/>
      <c r="T149" s="150" t="s">
        <v>32</v>
      </c>
      <c r="U149" s="69"/>
      <c r="X149" s="191">
        <v>12.71689510345459</v>
      </c>
      <c r="Y149" s="191">
        <f t="shared" si="22"/>
        <v>0.63584475517272954</v>
      </c>
      <c r="Z149" s="62">
        <f t="shared" si="23"/>
        <v>0.63584475517272954</v>
      </c>
    </row>
    <row r="150" spans="1:26" ht="182.25" customHeight="1" x14ac:dyDescent="0.2">
      <c r="A150" s="17">
        <f>A149+1</f>
        <v>54</v>
      </c>
      <c r="B150" s="426" t="s">
        <v>678</v>
      </c>
      <c r="C150" s="427" t="s">
        <v>678</v>
      </c>
      <c r="D150" s="146" t="s">
        <v>679</v>
      </c>
      <c r="E150" s="65">
        <f t="shared" si="24"/>
        <v>302</v>
      </c>
      <c r="F150" s="398" t="s">
        <v>680</v>
      </c>
      <c r="G150" s="65"/>
      <c r="H150" s="427" t="s">
        <v>36</v>
      </c>
      <c r="I150" s="427" t="s">
        <v>24</v>
      </c>
      <c r="J150" s="427" t="s">
        <v>24</v>
      </c>
      <c r="K150" s="427" t="s">
        <v>37</v>
      </c>
      <c r="L150" s="323" t="s">
        <v>681</v>
      </c>
      <c r="M150" s="78" t="s">
        <v>24</v>
      </c>
      <c r="N150" s="323" t="s">
        <v>682</v>
      </c>
      <c r="O150" s="321"/>
      <c r="P150" s="9"/>
      <c r="Q150" s="105">
        <f>'Additional information'!$D$19</f>
        <v>0.05</v>
      </c>
      <c r="R150" s="62"/>
      <c r="T150" s="150" t="s">
        <v>32</v>
      </c>
      <c r="X150" s="191">
        <v>10.51750373840332</v>
      </c>
      <c r="Y150" s="191">
        <f t="shared" si="22"/>
        <v>0.52587518692016599</v>
      </c>
      <c r="Z150" s="62">
        <f t="shared" si="23"/>
        <v>0.52587518692016599</v>
      </c>
    </row>
    <row r="151" spans="1:26" s="68" customFormat="1" ht="141.75" customHeight="1" x14ac:dyDescent="0.2">
      <c r="A151" s="17">
        <f>A150+1</f>
        <v>55</v>
      </c>
      <c r="B151" s="92" t="s">
        <v>683</v>
      </c>
      <c r="C151" s="67" t="s">
        <v>683</v>
      </c>
      <c r="D151" s="146" t="s">
        <v>684</v>
      </c>
      <c r="E151" s="65">
        <f t="shared" si="24"/>
        <v>169</v>
      </c>
      <c r="F151" s="398" t="s">
        <v>685</v>
      </c>
      <c r="G151" s="65"/>
      <c r="H151" s="73" t="s">
        <v>36</v>
      </c>
      <c r="I151" s="65" t="s">
        <v>24</v>
      </c>
      <c r="J151" s="65" t="s">
        <v>24</v>
      </c>
      <c r="K151" s="65" t="s">
        <v>37</v>
      </c>
      <c r="L151" s="64" t="s">
        <v>686</v>
      </c>
      <c r="M151" s="78" t="s">
        <v>24</v>
      </c>
      <c r="N151" s="72" t="s">
        <v>687</v>
      </c>
      <c r="O151" s="13"/>
      <c r="P151" s="9"/>
      <c r="Q151" s="105">
        <f>'Additional information'!$D$19</f>
        <v>0.05</v>
      </c>
      <c r="R151" s="62"/>
      <c r="T151" s="150" t="s">
        <v>32</v>
      </c>
      <c r="U151" s="69"/>
      <c r="X151" s="191">
        <v>6.4824962615966797</v>
      </c>
      <c r="Y151" s="191">
        <f t="shared" si="22"/>
        <v>0.32412481307983398</v>
      </c>
      <c r="Z151" s="62">
        <f t="shared" si="23"/>
        <v>0.32412481307983398</v>
      </c>
    </row>
    <row r="152" spans="1:26" s="68" customFormat="1" ht="334.5" customHeight="1" x14ac:dyDescent="0.2">
      <c r="A152" s="10">
        <f>A151+1</f>
        <v>56</v>
      </c>
      <c r="B152" s="92" t="s">
        <v>688</v>
      </c>
      <c r="C152" s="67" t="s">
        <v>689</v>
      </c>
      <c r="D152" s="146" t="s">
        <v>690</v>
      </c>
      <c r="E152" s="360">
        <f t="shared" si="24"/>
        <v>762</v>
      </c>
      <c r="F152" s="398" t="s">
        <v>691</v>
      </c>
      <c r="G152" s="65"/>
      <c r="H152" s="67" t="s">
        <v>538</v>
      </c>
      <c r="I152" s="360" t="s">
        <v>24</v>
      </c>
      <c r="J152" s="360" t="s">
        <v>24</v>
      </c>
      <c r="K152" s="360" t="s">
        <v>646</v>
      </c>
      <c r="L152" s="324" t="s">
        <v>692</v>
      </c>
      <c r="M152" s="78" t="s">
        <v>693</v>
      </c>
      <c r="N152" s="72" t="s">
        <v>694</v>
      </c>
      <c r="O152" s="12"/>
      <c r="P152" s="9"/>
      <c r="Q152" s="105">
        <f>'Additional information'!$D$19</f>
        <v>0.05</v>
      </c>
      <c r="R152" s="62"/>
      <c r="T152" s="150" t="s">
        <v>32</v>
      </c>
      <c r="U152" s="69"/>
      <c r="X152" s="191">
        <v>23.642156600952148</v>
      </c>
      <c r="Y152" s="191">
        <f t="shared" si="22"/>
        <v>1.1821078300476076</v>
      </c>
      <c r="Z152" s="62">
        <f t="shared" si="23"/>
        <v>1.1821078300476076</v>
      </c>
    </row>
    <row r="153" spans="1:26" s="68" customFormat="1" ht="285" customHeight="1" thickBot="1" x14ac:dyDescent="0.25">
      <c r="A153" s="10">
        <f>A152+1</f>
        <v>57</v>
      </c>
      <c r="B153" s="407" t="s">
        <v>695</v>
      </c>
      <c r="C153" s="408" t="s">
        <v>696</v>
      </c>
      <c r="D153" s="325" t="s">
        <v>697</v>
      </c>
      <c r="E153" s="361">
        <f t="shared" si="24"/>
        <v>327</v>
      </c>
      <c r="F153" s="398" t="s">
        <v>698</v>
      </c>
      <c r="G153" s="361"/>
      <c r="H153" s="408" t="s">
        <v>699</v>
      </c>
      <c r="I153" s="361" t="s">
        <v>24</v>
      </c>
      <c r="J153" s="361" t="s">
        <v>700</v>
      </c>
      <c r="K153" s="361" t="s">
        <v>701</v>
      </c>
      <c r="L153" s="12" t="s">
        <v>702</v>
      </c>
      <c r="M153" s="11" t="s">
        <v>703</v>
      </c>
      <c r="N153" s="12" t="s">
        <v>704</v>
      </c>
      <c r="O153" s="12"/>
      <c r="P153" s="326"/>
      <c r="Q153" s="139">
        <f>'Additional information'!$D$19</f>
        <v>0.05</v>
      </c>
      <c r="R153" s="62"/>
      <c r="T153" s="70" t="s">
        <v>23</v>
      </c>
      <c r="U153" s="69"/>
      <c r="X153" s="192">
        <v>19.20000076293945</v>
      </c>
      <c r="Y153" s="192">
        <f t="shared" si="22"/>
        <v>0.96000003814697255</v>
      </c>
      <c r="Z153" s="62" t="str">
        <f t="shared" si="23"/>
        <v/>
      </c>
    </row>
    <row r="154" spans="1:26" s="149" customFormat="1" ht="16.5" customHeight="1" thickBot="1" x14ac:dyDescent="0.25">
      <c r="A154" s="597" t="s">
        <v>705</v>
      </c>
      <c r="B154" s="598"/>
      <c r="C154" s="598"/>
      <c r="D154" s="598"/>
      <c r="E154" s="598"/>
      <c r="F154" s="598"/>
      <c r="G154" s="598"/>
      <c r="H154" s="598"/>
      <c r="I154" s="598"/>
      <c r="J154" s="598"/>
      <c r="K154" s="598"/>
      <c r="L154" s="598"/>
      <c r="M154" s="598"/>
      <c r="N154" s="598"/>
      <c r="O154" s="598"/>
      <c r="P154" s="599"/>
      <c r="Q154" s="105"/>
      <c r="R154" s="151"/>
      <c r="T154" s="150"/>
      <c r="U154" s="152"/>
      <c r="X154" s="191"/>
      <c r="Y154" s="191" t="str">
        <f t="shared" si="22"/>
        <v/>
      </c>
      <c r="Z154" s="151" t="str">
        <f t="shared" si="23"/>
        <v/>
      </c>
    </row>
    <row r="155" spans="1:26" s="68" customFormat="1" ht="204" customHeight="1" x14ac:dyDescent="0.2">
      <c r="A155" s="17">
        <f>A153+1</f>
        <v>58</v>
      </c>
      <c r="B155" s="92" t="s">
        <v>706</v>
      </c>
      <c r="C155" s="67" t="s">
        <v>706</v>
      </c>
      <c r="D155" s="327" t="s">
        <v>707</v>
      </c>
      <c r="E155" s="65">
        <f>LEN(D155)</f>
        <v>302</v>
      </c>
      <c r="F155" s="398" t="s">
        <v>708</v>
      </c>
      <c r="G155" s="65"/>
      <c r="H155" s="73" t="s">
        <v>81</v>
      </c>
      <c r="I155" s="65" t="s">
        <v>24</v>
      </c>
      <c r="J155" s="65" t="s">
        <v>24</v>
      </c>
      <c r="K155" s="65" t="s">
        <v>516</v>
      </c>
      <c r="L155" s="296" t="s">
        <v>709</v>
      </c>
      <c r="M155" s="78" t="s">
        <v>24</v>
      </c>
      <c r="N155" s="328" t="s">
        <v>710</v>
      </c>
      <c r="O155" s="329"/>
      <c r="P155" s="8"/>
      <c r="Q155" s="105">
        <f>'Additional information'!$D$19</f>
        <v>0.05</v>
      </c>
      <c r="R155" s="62"/>
      <c r="T155" s="150" t="s">
        <v>32</v>
      </c>
      <c r="U155" s="69"/>
      <c r="X155" s="191">
        <v>9.2754945755004883</v>
      </c>
      <c r="Y155" s="191">
        <f t="shared" si="22"/>
        <v>0.46377472877502446</v>
      </c>
      <c r="Z155" s="62">
        <f t="shared" si="23"/>
        <v>0.46377472877502446</v>
      </c>
    </row>
    <row r="156" spans="1:26" s="68" customFormat="1" ht="141.75" customHeight="1" x14ac:dyDescent="0.2">
      <c r="A156" s="10">
        <f>A155+1</f>
        <v>59</v>
      </c>
      <c r="B156" s="421" t="s">
        <v>711</v>
      </c>
      <c r="C156" s="360" t="s">
        <v>711</v>
      </c>
      <c r="D156" s="146" t="s">
        <v>712</v>
      </c>
      <c r="E156" s="360">
        <f>LEN(D156)</f>
        <v>179</v>
      </c>
      <c r="F156" s="398" t="s">
        <v>713</v>
      </c>
      <c r="G156" s="360"/>
      <c r="H156" s="402" t="s">
        <v>36</v>
      </c>
      <c r="I156" s="360" t="s">
        <v>24</v>
      </c>
      <c r="J156" s="360" t="s">
        <v>24</v>
      </c>
      <c r="K156" s="360" t="s">
        <v>37</v>
      </c>
      <c r="L156" s="72" t="s">
        <v>714</v>
      </c>
      <c r="M156" s="78" t="s">
        <v>24</v>
      </c>
      <c r="N156" s="330" t="s">
        <v>715</v>
      </c>
      <c r="O156" s="331"/>
      <c r="P156" s="9"/>
      <c r="Q156" s="105">
        <f>'Additional information'!$D$19</f>
        <v>0.05</v>
      </c>
      <c r="R156" s="62"/>
      <c r="T156" s="150" t="s">
        <v>32</v>
      </c>
      <c r="U156" s="69"/>
      <c r="X156" s="191">
        <v>6.4158415794372559</v>
      </c>
      <c r="Y156" s="191">
        <f t="shared" si="22"/>
        <v>0.32079207897186279</v>
      </c>
      <c r="Z156" s="62">
        <f t="shared" si="23"/>
        <v>0.32079207897186279</v>
      </c>
    </row>
    <row r="157" spans="1:26" s="68" customFormat="1" ht="331" customHeight="1" x14ac:dyDescent="0.2">
      <c r="A157" s="10">
        <f>A156+1</f>
        <v>60</v>
      </c>
      <c r="B157" s="400" t="s">
        <v>716</v>
      </c>
      <c r="C157" s="67" t="s">
        <v>717</v>
      </c>
      <c r="D157" s="146" t="s">
        <v>718</v>
      </c>
      <c r="E157" s="360">
        <f>LEN(D157)</f>
        <v>666</v>
      </c>
      <c r="F157" s="398" t="s">
        <v>719</v>
      </c>
      <c r="G157" s="65"/>
      <c r="H157" s="67" t="s">
        <v>538</v>
      </c>
      <c r="I157" s="360" t="s">
        <v>24</v>
      </c>
      <c r="J157" s="360" t="s">
        <v>24</v>
      </c>
      <c r="K157" s="360" t="s">
        <v>560</v>
      </c>
      <c r="L157" s="72" t="s">
        <v>720</v>
      </c>
      <c r="M157" s="78" t="s">
        <v>721</v>
      </c>
      <c r="N157" s="145" t="s">
        <v>722</v>
      </c>
      <c r="O157" s="14"/>
      <c r="P157" s="9"/>
      <c r="Q157" s="105">
        <f>'Additional information'!$D$19</f>
        <v>0.05</v>
      </c>
      <c r="R157" s="62"/>
      <c r="T157" s="150" t="s">
        <v>32</v>
      </c>
      <c r="U157" s="69"/>
      <c r="X157" s="191">
        <v>20.53435134887695</v>
      </c>
      <c r="Y157" s="191">
        <f t="shared" si="22"/>
        <v>1.0267175674438476</v>
      </c>
      <c r="Z157" s="62">
        <f t="shared" si="23"/>
        <v>1.0267175674438476</v>
      </c>
    </row>
    <row r="158" spans="1:26" s="68" customFormat="1" ht="258.75" customHeight="1" thickBot="1" x14ac:dyDescent="0.25">
      <c r="A158" s="18">
        <f>A157+1</f>
        <v>61</v>
      </c>
      <c r="B158" s="244" t="s">
        <v>723</v>
      </c>
      <c r="C158" s="414" t="s">
        <v>723</v>
      </c>
      <c r="D158" s="332" t="s">
        <v>724</v>
      </c>
      <c r="E158" s="59">
        <f>LEN(D158)</f>
        <v>354</v>
      </c>
      <c r="F158" s="398" t="s">
        <v>725</v>
      </c>
      <c r="G158" s="59"/>
      <c r="H158" s="250" t="s">
        <v>36</v>
      </c>
      <c r="I158" s="59" t="s">
        <v>24</v>
      </c>
      <c r="J158" s="59" t="s">
        <v>24</v>
      </c>
      <c r="K158" s="59" t="s">
        <v>37</v>
      </c>
      <c r="L158" s="145" t="s">
        <v>726</v>
      </c>
      <c r="M158" s="78" t="s">
        <v>24</v>
      </c>
      <c r="N158" s="145" t="s">
        <v>727</v>
      </c>
      <c r="O158" s="14"/>
      <c r="P158" s="9"/>
      <c r="Q158" s="105">
        <f>'Additional information'!$D$19</f>
        <v>0.05</v>
      </c>
      <c r="R158" s="62"/>
      <c r="T158" s="150" t="s">
        <v>32</v>
      </c>
      <c r="U158" s="69"/>
      <c r="X158" s="191">
        <v>8.3069305419921875</v>
      </c>
      <c r="Y158" s="191">
        <f t="shared" si="22"/>
        <v>0.4153465270996094</v>
      </c>
      <c r="Z158" s="62">
        <f t="shared" si="23"/>
        <v>0.4153465270996094</v>
      </c>
    </row>
    <row r="159" spans="1:26" s="149" customFormat="1" ht="16.5" customHeight="1" thickBot="1" x14ac:dyDescent="0.25">
      <c r="A159" s="597" t="s">
        <v>728</v>
      </c>
      <c r="B159" s="598"/>
      <c r="C159" s="598"/>
      <c r="D159" s="598"/>
      <c r="E159" s="598"/>
      <c r="F159" s="598"/>
      <c r="G159" s="598"/>
      <c r="H159" s="598"/>
      <c r="I159" s="598"/>
      <c r="J159" s="598"/>
      <c r="K159" s="598"/>
      <c r="L159" s="598"/>
      <c r="M159" s="598"/>
      <c r="N159" s="598"/>
      <c r="O159" s="598"/>
      <c r="P159" s="599"/>
      <c r="Q159" s="105"/>
      <c r="R159" s="151"/>
      <c r="T159" s="150"/>
      <c r="U159" s="152"/>
      <c r="X159" s="191"/>
      <c r="Y159" s="191" t="str">
        <f t="shared" si="22"/>
        <v/>
      </c>
      <c r="Z159" s="151" t="str">
        <f t="shared" si="23"/>
        <v/>
      </c>
    </row>
    <row r="160" spans="1:26" s="68" customFormat="1" ht="141.75" customHeight="1" x14ac:dyDescent="0.2">
      <c r="A160" s="17">
        <f>A158+1</f>
        <v>62</v>
      </c>
      <c r="B160" s="92" t="s">
        <v>729</v>
      </c>
      <c r="C160" s="212" t="s">
        <v>729</v>
      </c>
      <c r="D160" s="66" t="s">
        <v>730</v>
      </c>
      <c r="E160" s="65">
        <f t="shared" ref="E160:E203" si="25">LEN(D160)</f>
        <v>335</v>
      </c>
      <c r="F160" s="576" t="s">
        <v>731</v>
      </c>
      <c r="G160" s="65"/>
      <c r="H160" s="73" t="s">
        <v>36</v>
      </c>
      <c r="I160" s="65" t="s">
        <v>24</v>
      </c>
      <c r="J160" s="65" t="s">
        <v>24</v>
      </c>
      <c r="K160" s="65" t="s">
        <v>37</v>
      </c>
      <c r="L160" s="64" t="s">
        <v>732</v>
      </c>
      <c r="M160" s="78" t="s">
        <v>24</v>
      </c>
      <c r="N160" s="64" t="s">
        <v>733</v>
      </c>
      <c r="O160" s="13"/>
      <c r="P160" s="333" t="s">
        <v>734</v>
      </c>
      <c r="Q160" s="105">
        <v>1</v>
      </c>
      <c r="R160" s="62"/>
      <c r="T160" s="150" t="s">
        <v>32</v>
      </c>
      <c r="U160" s="69"/>
      <c r="X160" s="191">
        <v>8.0881662368774414</v>
      </c>
      <c r="Y160" s="191">
        <f t="shared" si="22"/>
        <v>8.0881662368774414</v>
      </c>
      <c r="Z160" s="62">
        <f t="shared" si="23"/>
        <v>8.0881662368774414</v>
      </c>
    </row>
    <row r="161" spans="1:26" s="68" customFormat="1" ht="157.5" customHeight="1" x14ac:dyDescent="0.2">
      <c r="A161" s="10">
        <f t="shared" ref="A161:A174" si="26">A160+1</f>
        <v>63</v>
      </c>
      <c r="B161" s="400" t="s">
        <v>735</v>
      </c>
      <c r="C161" s="67" t="s">
        <v>735</v>
      </c>
      <c r="D161" s="416" t="s">
        <v>736</v>
      </c>
      <c r="E161" s="360">
        <f t="shared" si="25"/>
        <v>236</v>
      </c>
      <c r="F161" s="379" t="s">
        <v>737</v>
      </c>
      <c r="G161" s="360"/>
      <c r="H161" s="402" t="s">
        <v>36</v>
      </c>
      <c r="I161" s="360" t="s">
        <v>24</v>
      </c>
      <c r="J161" s="360" t="s">
        <v>24</v>
      </c>
      <c r="K161" s="360" t="s">
        <v>37</v>
      </c>
      <c r="L161" s="72" t="s">
        <v>738</v>
      </c>
      <c r="M161" s="78" t="s">
        <v>24</v>
      </c>
      <c r="N161" s="334" t="s">
        <v>739</v>
      </c>
      <c r="O161" s="335"/>
      <c r="P161" s="9"/>
      <c r="Q161" s="105">
        <v>1</v>
      </c>
      <c r="R161" s="62"/>
      <c r="T161" s="150" t="s">
        <v>32</v>
      </c>
      <c r="U161" s="69"/>
      <c r="X161" s="191">
        <v>20.224567413330082</v>
      </c>
      <c r="Y161" s="191">
        <f t="shared" si="22"/>
        <v>20.224567413330082</v>
      </c>
      <c r="Z161" s="62">
        <f t="shared" si="23"/>
        <v>20.224567413330082</v>
      </c>
    </row>
    <row r="162" spans="1:26" s="68" customFormat="1" ht="157.5" customHeight="1" x14ac:dyDescent="0.2">
      <c r="A162" s="10">
        <f t="shared" si="26"/>
        <v>64</v>
      </c>
      <c r="B162" s="400" t="s">
        <v>740</v>
      </c>
      <c r="C162" s="67" t="s">
        <v>740</v>
      </c>
      <c r="D162" s="416" t="s">
        <v>741</v>
      </c>
      <c r="E162" s="360">
        <f t="shared" si="25"/>
        <v>234</v>
      </c>
      <c r="F162" s="379" t="s">
        <v>742</v>
      </c>
      <c r="G162" s="360"/>
      <c r="H162" s="402" t="s">
        <v>36</v>
      </c>
      <c r="I162" s="360" t="s">
        <v>24</v>
      </c>
      <c r="J162" s="360" t="s">
        <v>24</v>
      </c>
      <c r="K162" s="360" t="s">
        <v>37</v>
      </c>
      <c r="L162" s="72" t="s">
        <v>743</v>
      </c>
      <c r="M162" s="78" t="s">
        <v>24</v>
      </c>
      <c r="N162" s="334" t="s">
        <v>744</v>
      </c>
      <c r="O162" s="335"/>
      <c r="P162" s="9"/>
      <c r="Q162" s="105">
        <v>1</v>
      </c>
      <c r="R162" s="62"/>
      <c r="T162" s="150" t="s">
        <v>32</v>
      </c>
      <c r="U162" s="69"/>
      <c r="X162" s="191">
        <v>14.02606105804443</v>
      </c>
      <c r="Y162" s="191">
        <f t="shared" si="22"/>
        <v>14.02606105804443</v>
      </c>
      <c r="Z162" s="62">
        <f t="shared" si="23"/>
        <v>14.02606105804443</v>
      </c>
    </row>
    <row r="163" spans="1:26" s="68" customFormat="1" ht="157.5" customHeight="1" x14ac:dyDescent="0.2">
      <c r="A163" s="10">
        <f t="shared" si="26"/>
        <v>65</v>
      </c>
      <c r="B163" s="400" t="s">
        <v>745</v>
      </c>
      <c r="C163" s="67" t="s">
        <v>745</v>
      </c>
      <c r="D163" s="416" t="s">
        <v>746</v>
      </c>
      <c r="E163" s="360">
        <f t="shared" si="25"/>
        <v>217</v>
      </c>
      <c r="F163" s="550" t="s">
        <v>747</v>
      </c>
      <c r="G163" s="360"/>
      <c r="H163" s="402" t="s">
        <v>36</v>
      </c>
      <c r="I163" s="360" t="s">
        <v>24</v>
      </c>
      <c r="J163" s="360" t="s">
        <v>24</v>
      </c>
      <c r="K163" s="360" t="s">
        <v>37</v>
      </c>
      <c r="L163" s="72" t="s">
        <v>748</v>
      </c>
      <c r="M163" s="78" t="s">
        <v>24</v>
      </c>
      <c r="N163" s="334" t="s">
        <v>749</v>
      </c>
      <c r="O163" s="335"/>
      <c r="P163" s="9"/>
      <c r="Q163" s="105">
        <v>1</v>
      </c>
      <c r="R163" s="62"/>
      <c r="T163" s="150" t="s">
        <v>32</v>
      </c>
      <c r="U163" s="69"/>
      <c r="X163" s="191">
        <v>11.558505058288571</v>
      </c>
      <c r="Y163" s="191">
        <f t="shared" si="22"/>
        <v>11.558505058288571</v>
      </c>
      <c r="Z163" s="62">
        <f t="shared" si="23"/>
        <v>11.558505058288571</v>
      </c>
    </row>
    <row r="164" spans="1:26" s="68" customFormat="1" ht="157.5" customHeight="1" x14ac:dyDescent="0.2">
      <c r="A164" s="10">
        <f t="shared" si="26"/>
        <v>66</v>
      </c>
      <c r="B164" s="400" t="s">
        <v>750</v>
      </c>
      <c r="C164" s="67" t="s">
        <v>750</v>
      </c>
      <c r="D164" s="416" t="s">
        <v>751</v>
      </c>
      <c r="E164" s="360">
        <f t="shared" si="25"/>
        <v>218</v>
      </c>
      <c r="F164" s="551" t="s">
        <v>752</v>
      </c>
      <c r="G164" s="360"/>
      <c r="H164" s="402" t="s">
        <v>36</v>
      </c>
      <c r="I164" s="360" t="s">
        <v>24</v>
      </c>
      <c r="J164" s="360" t="s">
        <v>24</v>
      </c>
      <c r="K164" s="360" t="s">
        <v>37</v>
      </c>
      <c r="L164" s="72" t="s">
        <v>753</v>
      </c>
      <c r="M164" s="78" t="s">
        <v>24</v>
      </c>
      <c r="N164" s="72" t="s">
        <v>754</v>
      </c>
      <c r="O164" s="12"/>
      <c r="P164" s="9"/>
      <c r="Q164" s="105">
        <v>1</v>
      </c>
      <c r="R164" s="62"/>
      <c r="T164" s="150" t="s">
        <v>32</v>
      </c>
      <c r="U164" s="69"/>
      <c r="X164" s="191">
        <v>11.379257202148439</v>
      </c>
      <c r="Y164" s="191">
        <f t="shared" si="22"/>
        <v>11.379257202148439</v>
      </c>
      <c r="Z164" s="62">
        <f t="shared" si="23"/>
        <v>11.379257202148439</v>
      </c>
    </row>
    <row r="165" spans="1:26" s="68" customFormat="1" ht="157.5" customHeight="1" x14ac:dyDescent="0.2">
      <c r="A165" s="10">
        <f t="shared" si="26"/>
        <v>67</v>
      </c>
      <c r="B165" s="400" t="s">
        <v>755</v>
      </c>
      <c r="C165" s="67" t="s">
        <v>755</v>
      </c>
      <c r="D165" s="416" t="s">
        <v>756</v>
      </c>
      <c r="E165" s="360">
        <f t="shared" si="25"/>
        <v>224</v>
      </c>
      <c r="F165" s="551" t="s">
        <v>757</v>
      </c>
      <c r="G165" s="360"/>
      <c r="H165" s="402" t="s">
        <v>36</v>
      </c>
      <c r="I165" s="360" t="s">
        <v>24</v>
      </c>
      <c r="J165" s="360" t="s">
        <v>24</v>
      </c>
      <c r="K165" s="360" t="s">
        <v>37</v>
      </c>
      <c r="L165" s="72" t="s">
        <v>758</v>
      </c>
      <c r="M165" s="78" t="s">
        <v>24</v>
      </c>
      <c r="N165" s="72" t="s">
        <v>759</v>
      </c>
      <c r="O165" s="12"/>
      <c r="P165" s="9"/>
      <c r="Q165" s="105">
        <v>1</v>
      </c>
      <c r="R165" s="62"/>
      <c r="T165" s="150" t="s">
        <v>32</v>
      </c>
      <c r="U165" s="69"/>
      <c r="X165" s="191">
        <v>10.443217277526861</v>
      </c>
      <c r="Y165" s="191">
        <f t="shared" si="22"/>
        <v>10.443217277526861</v>
      </c>
      <c r="Z165" s="62">
        <f t="shared" si="23"/>
        <v>10.443217277526861</v>
      </c>
    </row>
    <row r="166" spans="1:26" s="68" customFormat="1" ht="136.5" customHeight="1" x14ac:dyDescent="0.2">
      <c r="A166" s="10">
        <f t="shared" si="26"/>
        <v>68</v>
      </c>
      <c r="B166" s="400" t="s">
        <v>760</v>
      </c>
      <c r="C166" s="422" t="s">
        <v>760</v>
      </c>
      <c r="D166" s="336" t="s">
        <v>761</v>
      </c>
      <c r="E166" s="360">
        <f t="shared" si="25"/>
        <v>182</v>
      </c>
      <c r="F166" s="275" t="s">
        <v>762</v>
      </c>
      <c r="G166" s="360"/>
      <c r="H166" s="402" t="s">
        <v>36</v>
      </c>
      <c r="I166" s="360" t="s">
        <v>24</v>
      </c>
      <c r="J166" s="360" t="s">
        <v>24</v>
      </c>
      <c r="K166" s="360" t="s">
        <v>37</v>
      </c>
      <c r="L166" s="72" t="s">
        <v>763</v>
      </c>
      <c r="M166" s="78" t="s">
        <v>24</v>
      </c>
      <c r="N166" s="334" t="s">
        <v>764</v>
      </c>
      <c r="O166" s="335"/>
      <c r="P166" s="9"/>
      <c r="Q166" s="105">
        <v>1</v>
      </c>
      <c r="R166" s="62"/>
      <c r="T166" s="150" t="s">
        <v>32</v>
      </c>
      <c r="U166" s="69"/>
      <c r="X166" s="191">
        <v>10.732010841369631</v>
      </c>
      <c r="Y166" s="191">
        <f t="shared" si="22"/>
        <v>10.732010841369631</v>
      </c>
      <c r="Z166" s="62">
        <f t="shared" si="23"/>
        <v>10.732010841369631</v>
      </c>
    </row>
    <row r="167" spans="1:26" s="138" customFormat="1" ht="137.25" customHeight="1" x14ac:dyDescent="0.2">
      <c r="A167" s="10">
        <f t="shared" si="26"/>
        <v>69</v>
      </c>
      <c r="B167" s="400" t="s">
        <v>765</v>
      </c>
      <c r="C167" s="422" t="s">
        <v>765</v>
      </c>
      <c r="D167" s="337" t="s">
        <v>766</v>
      </c>
      <c r="E167" s="360">
        <f t="shared" si="25"/>
        <v>214</v>
      </c>
      <c r="F167" s="379" t="s">
        <v>767</v>
      </c>
      <c r="G167" s="360"/>
      <c r="H167" s="402" t="s">
        <v>36</v>
      </c>
      <c r="I167" s="360" t="s">
        <v>24</v>
      </c>
      <c r="J167" s="360" t="s">
        <v>24</v>
      </c>
      <c r="K167" s="360" t="s">
        <v>37</v>
      </c>
      <c r="L167" s="72" t="s">
        <v>768</v>
      </c>
      <c r="M167" s="78" t="s">
        <v>24</v>
      </c>
      <c r="N167" s="72" t="s">
        <v>769</v>
      </c>
      <c r="O167" s="12"/>
      <c r="P167" s="9"/>
      <c r="Q167" s="105">
        <v>1</v>
      </c>
      <c r="R167" s="62"/>
      <c r="T167" s="150" t="s">
        <v>32</v>
      </c>
      <c r="U167" s="69"/>
      <c r="X167" s="191">
        <v>11.58613967895508</v>
      </c>
      <c r="Y167" s="191">
        <f t="shared" si="22"/>
        <v>11.58613967895508</v>
      </c>
      <c r="Z167" s="62">
        <f t="shared" si="23"/>
        <v>11.58613967895508</v>
      </c>
    </row>
    <row r="168" spans="1:26" s="68" customFormat="1" ht="136.5" customHeight="1" x14ac:dyDescent="0.2">
      <c r="A168" s="10">
        <f t="shared" si="26"/>
        <v>70</v>
      </c>
      <c r="B168" s="400" t="s">
        <v>770</v>
      </c>
      <c r="C168" s="67" t="s">
        <v>770</v>
      </c>
      <c r="D168" s="336" t="s">
        <v>771</v>
      </c>
      <c r="E168" s="360">
        <f t="shared" si="25"/>
        <v>184</v>
      </c>
      <c r="F168" s="464" t="s">
        <v>772</v>
      </c>
      <c r="G168" s="360"/>
      <c r="H168" s="402" t="s">
        <v>36</v>
      </c>
      <c r="I168" s="360" t="s">
        <v>24</v>
      </c>
      <c r="J168" s="360" t="s">
        <v>24</v>
      </c>
      <c r="K168" s="360" t="s">
        <v>37</v>
      </c>
      <c r="L168" s="72" t="s">
        <v>773</v>
      </c>
      <c r="M168" s="78" t="s">
        <v>24</v>
      </c>
      <c r="N168" s="334" t="s">
        <v>774</v>
      </c>
      <c r="O168" s="335"/>
      <c r="P168" s="9"/>
      <c r="Q168" s="105">
        <v>1</v>
      </c>
      <c r="R168" s="62"/>
      <c r="T168" s="150" t="s">
        <v>32</v>
      </c>
      <c r="U168" s="69"/>
      <c r="X168" s="191">
        <v>9.7552013397216797</v>
      </c>
      <c r="Y168" s="191">
        <f t="shared" si="22"/>
        <v>9.7552013397216797</v>
      </c>
      <c r="Z168" s="62">
        <f t="shared" si="23"/>
        <v>9.7552013397216797</v>
      </c>
    </row>
    <row r="169" spans="1:26" s="68" customFormat="1" ht="137.25" customHeight="1" x14ac:dyDescent="0.2">
      <c r="A169" s="10">
        <f t="shared" si="26"/>
        <v>71</v>
      </c>
      <c r="B169" s="400" t="s">
        <v>775</v>
      </c>
      <c r="C169" s="422" t="s">
        <v>775</v>
      </c>
      <c r="D169" s="337" t="s">
        <v>766</v>
      </c>
      <c r="E169" s="360">
        <f t="shared" si="25"/>
        <v>214</v>
      </c>
      <c r="F169" s="379" t="s">
        <v>767</v>
      </c>
      <c r="G169" s="360"/>
      <c r="H169" s="402" t="s">
        <v>36</v>
      </c>
      <c r="I169" s="360" t="s">
        <v>24</v>
      </c>
      <c r="J169" s="360" t="s">
        <v>24</v>
      </c>
      <c r="K169" s="360" t="s">
        <v>37</v>
      </c>
      <c r="L169" s="72" t="s">
        <v>776</v>
      </c>
      <c r="M169" s="78" t="s">
        <v>24</v>
      </c>
      <c r="N169" s="72" t="s">
        <v>777</v>
      </c>
      <c r="O169" s="12"/>
      <c r="P169" s="9"/>
      <c r="Q169" s="105">
        <v>1</v>
      </c>
      <c r="R169" s="62"/>
      <c r="T169" s="150" t="s">
        <v>32</v>
      </c>
      <c r="U169" s="69"/>
      <c r="X169" s="191">
        <v>7.9447951316833496</v>
      </c>
      <c r="Y169" s="191">
        <f t="shared" si="22"/>
        <v>7.9447951316833496</v>
      </c>
      <c r="Z169" s="62">
        <f t="shared" si="23"/>
        <v>7.9447951316833496</v>
      </c>
    </row>
    <row r="170" spans="1:26" s="68" customFormat="1" ht="152.25" customHeight="1" x14ac:dyDescent="0.2">
      <c r="A170" s="10">
        <f t="shared" si="26"/>
        <v>72</v>
      </c>
      <c r="B170" s="400" t="s">
        <v>778</v>
      </c>
      <c r="C170" s="67" t="s">
        <v>778</v>
      </c>
      <c r="D170" s="336" t="s">
        <v>779</v>
      </c>
      <c r="E170" s="360">
        <f t="shared" si="25"/>
        <v>212</v>
      </c>
      <c r="F170" s="491" t="s">
        <v>780</v>
      </c>
      <c r="G170" s="360"/>
      <c r="H170" s="402" t="s">
        <v>36</v>
      </c>
      <c r="I170" s="360" t="s">
        <v>24</v>
      </c>
      <c r="J170" s="360" t="s">
        <v>24</v>
      </c>
      <c r="K170" s="360" t="s">
        <v>37</v>
      </c>
      <c r="L170" s="72" t="s">
        <v>781</v>
      </c>
      <c r="M170" s="78" t="s">
        <v>24</v>
      </c>
      <c r="N170" s="334" t="s">
        <v>782</v>
      </c>
      <c r="O170" s="335"/>
      <c r="P170" s="9"/>
      <c r="Q170" s="105">
        <v>1</v>
      </c>
      <c r="R170" s="62"/>
      <c r="T170" s="150" t="s">
        <v>32</v>
      </c>
      <c r="U170" s="69"/>
      <c r="X170" s="191">
        <v>7.9312248229980469</v>
      </c>
      <c r="Y170" s="191">
        <f t="shared" si="22"/>
        <v>7.9312248229980469</v>
      </c>
      <c r="Z170" s="62">
        <f t="shared" si="23"/>
        <v>7.9312248229980469</v>
      </c>
    </row>
    <row r="171" spans="1:26" s="68" customFormat="1" ht="137.25" customHeight="1" x14ac:dyDescent="0.2">
      <c r="A171" s="10">
        <f t="shared" si="26"/>
        <v>73</v>
      </c>
      <c r="B171" s="400" t="s">
        <v>783</v>
      </c>
      <c r="C171" s="422" t="s">
        <v>783</v>
      </c>
      <c r="D171" s="337" t="s">
        <v>766</v>
      </c>
      <c r="E171" s="360">
        <f t="shared" si="25"/>
        <v>214</v>
      </c>
      <c r="F171" s="577" t="s">
        <v>767</v>
      </c>
      <c r="G171" s="360"/>
      <c r="H171" s="402" t="s">
        <v>36</v>
      </c>
      <c r="I171" s="360" t="s">
        <v>24</v>
      </c>
      <c r="J171" s="360" t="s">
        <v>24</v>
      </c>
      <c r="K171" s="360" t="s">
        <v>37</v>
      </c>
      <c r="L171" s="72" t="s">
        <v>784</v>
      </c>
      <c r="M171" s="78" t="s">
        <v>24</v>
      </c>
      <c r="N171" s="334" t="s">
        <v>785</v>
      </c>
      <c r="O171" s="335"/>
      <c r="P171" s="9"/>
      <c r="Q171" s="105">
        <v>1</v>
      </c>
      <c r="R171" s="62"/>
      <c r="T171" s="150" t="s">
        <v>32</v>
      </c>
      <c r="U171" s="69"/>
      <c r="X171" s="191">
        <v>5.3390059471130371</v>
      </c>
      <c r="Y171" s="191">
        <f t="shared" si="22"/>
        <v>5.3390059471130371</v>
      </c>
      <c r="Z171" s="62">
        <f t="shared" si="23"/>
        <v>5.3390059471130371</v>
      </c>
    </row>
    <row r="172" spans="1:26" s="68" customFormat="1" ht="72.75" customHeight="1" x14ac:dyDescent="0.2">
      <c r="A172" s="10">
        <f t="shared" si="26"/>
        <v>74</v>
      </c>
      <c r="B172" s="579" t="s">
        <v>786</v>
      </c>
      <c r="C172" s="286" t="s">
        <v>786</v>
      </c>
      <c r="D172" s="409" t="s">
        <v>787</v>
      </c>
      <c r="E172" s="361">
        <f t="shared" si="25"/>
        <v>142</v>
      </c>
      <c r="G172" s="361"/>
      <c r="H172" s="378" t="s">
        <v>36</v>
      </c>
      <c r="I172" s="361" t="s">
        <v>24</v>
      </c>
      <c r="J172" s="361" t="s">
        <v>24</v>
      </c>
      <c r="K172" s="361" t="s">
        <v>37</v>
      </c>
      <c r="L172" s="561" t="s">
        <v>788</v>
      </c>
      <c r="M172" s="11" t="s">
        <v>24</v>
      </c>
      <c r="N172" s="338"/>
      <c r="O172" s="339"/>
      <c r="P172" s="326" t="s">
        <v>789</v>
      </c>
      <c r="Q172" s="139">
        <v>1</v>
      </c>
      <c r="R172" s="62"/>
      <c r="T172" s="70" t="s">
        <v>23</v>
      </c>
      <c r="U172" s="69"/>
      <c r="X172" s="192">
        <v>3.816555500030518</v>
      </c>
      <c r="Y172" s="192">
        <f t="shared" si="22"/>
        <v>3.816555500030518</v>
      </c>
      <c r="Z172" s="62" t="str">
        <f t="shared" si="23"/>
        <v/>
      </c>
    </row>
    <row r="173" spans="1:26" s="68" customFormat="1" ht="68.25" customHeight="1" x14ac:dyDescent="0.2">
      <c r="A173" s="10">
        <f t="shared" si="26"/>
        <v>75</v>
      </c>
      <c r="B173" s="583" t="s">
        <v>790</v>
      </c>
      <c r="C173" s="241" t="s">
        <v>791</v>
      </c>
      <c r="D173" s="575" t="s">
        <v>792</v>
      </c>
      <c r="E173" s="361">
        <f t="shared" si="25"/>
        <v>424</v>
      </c>
      <c r="F173" s="588" t="s">
        <v>793</v>
      </c>
      <c r="G173" s="563"/>
      <c r="H173" s="564" t="s">
        <v>36</v>
      </c>
      <c r="I173" s="563" t="s">
        <v>24</v>
      </c>
      <c r="J173" s="563" t="s">
        <v>24</v>
      </c>
      <c r="K173" s="563" t="s">
        <v>37</v>
      </c>
      <c r="L173" s="552" t="s">
        <v>794</v>
      </c>
      <c r="M173" s="566" t="s">
        <v>24</v>
      </c>
      <c r="N173" s="567"/>
      <c r="O173" s="567"/>
      <c r="P173" s="568"/>
      <c r="Q173" s="139">
        <v>1</v>
      </c>
      <c r="R173" s="62"/>
      <c r="T173" s="70" t="s">
        <v>23</v>
      </c>
      <c r="U173" s="69"/>
      <c r="X173" s="192">
        <v>16.827030181884769</v>
      </c>
      <c r="Y173" s="192">
        <f t="shared" si="22"/>
        <v>16.827030181884769</v>
      </c>
      <c r="Z173" s="62" t="str">
        <f t="shared" si="23"/>
        <v/>
      </c>
    </row>
    <row r="174" spans="1:26" s="68" customFormat="1" ht="86.25" customHeight="1" x14ac:dyDescent="0.2">
      <c r="A174" s="10">
        <f t="shared" si="26"/>
        <v>76</v>
      </c>
      <c r="B174" s="585" t="s">
        <v>795</v>
      </c>
      <c r="C174" s="585" t="s">
        <v>795</v>
      </c>
      <c r="D174" s="575" t="s">
        <v>796</v>
      </c>
      <c r="E174" s="361">
        <f t="shared" si="25"/>
        <v>362</v>
      </c>
      <c r="F174" s="587" t="s">
        <v>797</v>
      </c>
      <c r="G174" s="563"/>
      <c r="H174" s="564" t="s">
        <v>36</v>
      </c>
      <c r="I174" s="563" t="s">
        <v>24</v>
      </c>
      <c r="J174" s="563" t="s">
        <v>24</v>
      </c>
      <c r="K174" s="563" t="s">
        <v>37</v>
      </c>
      <c r="L174" s="552" t="s">
        <v>798</v>
      </c>
      <c r="M174" s="566" t="s">
        <v>24</v>
      </c>
      <c r="N174" s="567"/>
      <c r="O174" s="567"/>
      <c r="P174" s="568"/>
      <c r="Q174" s="139">
        <v>1</v>
      </c>
      <c r="R174" s="62"/>
      <c r="T174" s="70" t="s">
        <v>23</v>
      </c>
      <c r="U174" s="69"/>
      <c r="X174" s="192">
        <v>12.211404800415041</v>
      </c>
      <c r="Y174" s="192">
        <f t="shared" si="22"/>
        <v>12.211404800415041</v>
      </c>
      <c r="Z174" s="62" t="str">
        <f t="shared" si="23"/>
        <v/>
      </c>
    </row>
    <row r="175" spans="1:26" s="68" customFormat="1" ht="64.5" customHeight="1" x14ac:dyDescent="0.2">
      <c r="A175" s="10" t="e">
        <f>#REF!+1</f>
        <v>#REF!</v>
      </c>
      <c r="B175" s="585" t="s">
        <v>799</v>
      </c>
      <c r="C175" s="585" t="s">
        <v>799</v>
      </c>
      <c r="D175" s="575" t="s">
        <v>800</v>
      </c>
      <c r="E175" s="361">
        <f t="shared" si="25"/>
        <v>389</v>
      </c>
      <c r="F175" s="586" t="s">
        <v>801</v>
      </c>
      <c r="G175" s="563"/>
      <c r="H175" s="564" t="s">
        <v>36</v>
      </c>
      <c r="I175" s="563" t="s">
        <v>24</v>
      </c>
      <c r="J175" s="563" t="s">
        <v>24</v>
      </c>
      <c r="K175" s="563" t="s">
        <v>37</v>
      </c>
      <c r="L175" s="552" t="s">
        <v>802</v>
      </c>
      <c r="M175" s="566" t="s">
        <v>24</v>
      </c>
      <c r="N175" s="567"/>
      <c r="O175" s="567"/>
      <c r="P175" s="568"/>
      <c r="Q175" s="139">
        <v>1</v>
      </c>
      <c r="R175" s="62"/>
      <c r="T175" s="70" t="s">
        <v>23</v>
      </c>
      <c r="U175" s="69"/>
      <c r="X175" s="192">
        <v>10.84387874603271</v>
      </c>
      <c r="Y175" s="192">
        <f t="shared" si="22"/>
        <v>10.84387874603271</v>
      </c>
      <c r="Z175" s="62" t="str">
        <f t="shared" si="23"/>
        <v/>
      </c>
    </row>
    <row r="176" spans="1:26" s="68" customFormat="1" ht="32.25" customHeight="1" x14ac:dyDescent="0.2">
      <c r="A176" s="10" t="e">
        <f>A175+1</f>
        <v>#REF!</v>
      </c>
      <c r="B176" s="585" t="s">
        <v>803</v>
      </c>
      <c r="C176" s="585" t="s">
        <v>803</v>
      </c>
      <c r="D176" s="584" t="s">
        <v>804</v>
      </c>
      <c r="E176" s="361">
        <f t="shared" si="25"/>
        <v>361</v>
      </c>
      <c r="F176" s="586" t="s">
        <v>805</v>
      </c>
      <c r="G176" s="563"/>
      <c r="H176" s="564" t="s">
        <v>36</v>
      </c>
      <c r="I176" s="563" t="s">
        <v>24</v>
      </c>
      <c r="J176" s="563" t="s">
        <v>24</v>
      </c>
      <c r="K176" s="563" t="s">
        <v>37</v>
      </c>
      <c r="L176" s="552" t="s">
        <v>806</v>
      </c>
      <c r="M176" s="566" t="s">
        <v>24</v>
      </c>
      <c r="N176" s="567"/>
      <c r="O176" s="567"/>
      <c r="P176" s="568"/>
      <c r="Q176" s="139">
        <v>1</v>
      </c>
      <c r="R176" s="62"/>
      <c r="T176" s="70" t="s">
        <v>23</v>
      </c>
      <c r="U176" s="69"/>
      <c r="X176" s="192">
        <v>8.2318143844604492</v>
      </c>
      <c r="Y176" s="192">
        <f t="shared" si="22"/>
        <v>8.2318143844604492</v>
      </c>
      <c r="Z176" s="62" t="str">
        <f t="shared" si="23"/>
        <v/>
      </c>
    </row>
    <row r="177" spans="1:26" s="68" customFormat="1" ht="91.5" customHeight="1" x14ac:dyDescent="0.2">
      <c r="A177" s="10" t="e">
        <f>#REF!+1</f>
        <v>#REF!</v>
      </c>
      <c r="B177" s="585" t="s">
        <v>807</v>
      </c>
      <c r="C177" s="585" t="s">
        <v>807</v>
      </c>
      <c r="D177" s="575" t="s">
        <v>808</v>
      </c>
      <c r="E177" s="361">
        <f t="shared" si="25"/>
        <v>443</v>
      </c>
      <c r="F177" s="586" t="s">
        <v>809</v>
      </c>
      <c r="G177" s="563"/>
      <c r="H177" s="564" t="s">
        <v>36</v>
      </c>
      <c r="I177" s="563" t="s">
        <v>24</v>
      </c>
      <c r="J177" s="563" t="s">
        <v>24</v>
      </c>
      <c r="K177" s="563" t="s">
        <v>37</v>
      </c>
      <c r="L177" s="552" t="s">
        <v>810</v>
      </c>
      <c r="M177" s="566" t="s">
        <v>24</v>
      </c>
      <c r="N177" s="567"/>
      <c r="O177" s="567"/>
      <c r="P177" s="568"/>
      <c r="Q177" s="139">
        <v>1</v>
      </c>
      <c r="R177" s="62"/>
      <c r="T177" s="70" t="s">
        <v>23</v>
      </c>
      <c r="U177" s="69"/>
      <c r="X177" s="192">
        <v>11.934056282043461</v>
      </c>
      <c r="Y177" s="192">
        <f t="shared" si="22"/>
        <v>11.934056282043461</v>
      </c>
      <c r="Z177" s="62" t="str">
        <f t="shared" si="23"/>
        <v/>
      </c>
    </row>
    <row r="178" spans="1:26" s="68" customFormat="1" ht="66" customHeight="1" x14ac:dyDescent="0.2">
      <c r="A178" s="10" t="e">
        <f>A177+1</f>
        <v>#REF!</v>
      </c>
      <c r="B178" s="585" t="s">
        <v>811</v>
      </c>
      <c r="C178" s="585" t="s">
        <v>811</v>
      </c>
      <c r="D178" s="575" t="s">
        <v>812</v>
      </c>
      <c r="E178" s="361">
        <f t="shared" si="25"/>
        <v>392</v>
      </c>
      <c r="F178" s="586" t="s">
        <v>813</v>
      </c>
      <c r="G178" s="563"/>
      <c r="H178" s="564" t="s">
        <v>36</v>
      </c>
      <c r="I178" s="563" t="s">
        <v>24</v>
      </c>
      <c r="J178" s="563" t="s">
        <v>24</v>
      </c>
      <c r="K178" s="563" t="s">
        <v>37</v>
      </c>
      <c r="L178" s="552" t="s">
        <v>814</v>
      </c>
      <c r="M178" s="566" t="s">
        <v>24</v>
      </c>
      <c r="N178" s="569"/>
      <c r="O178" s="565"/>
      <c r="P178" s="568"/>
      <c r="Q178" s="139">
        <v>1</v>
      </c>
      <c r="R178" s="62"/>
      <c r="T178" s="70" t="s">
        <v>23</v>
      </c>
      <c r="U178" s="69"/>
      <c r="X178" s="192">
        <v>11.36098480224609</v>
      </c>
      <c r="Y178" s="192">
        <f t="shared" si="22"/>
        <v>11.36098480224609</v>
      </c>
      <c r="Z178" s="62" t="str">
        <f t="shared" si="23"/>
        <v/>
      </c>
    </row>
    <row r="179" spans="1:26" s="68" customFormat="1" ht="57.75" customHeight="1" x14ac:dyDescent="0.2">
      <c r="A179" s="10" t="e">
        <f>A178+1</f>
        <v>#REF!</v>
      </c>
      <c r="B179" s="585" t="s">
        <v>815</v>
      </c>
      <c r="C179" s="585" t="s">
        <v>815</v>
      </c>
      <c r="D179" s="584" t="s">
        <v>816</v>
      </c>
      <c r="E179" s="361">
        <f t="shared" si="25"/>
        <v>417</v>
      </c>
      <c r="F179" s="586" t="s">
        <v>817</v>
      </c>
      <c r="G179" s="563"/>
      <c r="H179" s="564" t="s">
        <v>36</v>
      </c>
      <c r="I179" s="563" t="s">
        <v>24</v>
      </c>
      <c r="J179" s="563" t="s">
        <v>24</v>
      </c>
      <c r="K179" s="563" t="s">
        <v>37</v>
      </c>
      <c r="L179" s="552" t="s">
        <v>818</v>
      </c>
      <c r="M179" s="566" t="s">
        <v>24</v>
      </c>
      <c r="N179" s="570"/>
      <c r="O179" s="571"/>
      <c r="P179" s="568"/>
      <c r="Q179" s="139">
        <v>1</v>
      </c>
      <c r="R179" s="62"/>
      <c r="T179" s="70" t="s">
        <v>23</v>
      </c>
      <c r="U179" s="69"/>
      <c r="X179" s="192">
        <v>12.7567195892334</v>
      </c>
      <c r="Y179" s="192">
        <f t="shared" si="22"/>
        <v>12.7567195892334</v>
      </c>
      <c r="Z179" s="62" t="str">
        <f t="shared" si="23"/>
        <v/>
      </c>
    </row>
    <row r="180" spans="1:26" s="68" customFormat="1" ht="70.5" customHeight="1" x14ac:dyDescent="0.2">
      <c r="A180" s="10" t="e">
        <f>#REF!+1</f>
        <v>#REF!</v>
      </c>
      <c r="B180" s="585" t="s">
        <v>819</v>
      </c>
      <c r="C180" s="585" t="s">
        <v>819</v>
      </c>
      <c r="D180" s="584" t="s">
        <v>820</v>
      </c>
      <c r="E180" s="361">
        <f t="shared" si="25"/>
        <v>416</v>
      </c>
      <c r="F180" s="586" t="s">
        <v>821</v>
      </c>
      <c r="G180" s="563"/>
      <c r="H180" s="564" t="s">
        <v>36</v>
      </c>
      <c r="I180" s="563" t="s">
        <v>24</v>
      </c>
      <c r="J180" s="563" t="s">
        <v>24</v>
      </c>
      <c r="K180" s="563" t="s">
        <v>37</v>
      </c>
      <c r="L180" s="552" t="s">
        <v>822</v>
      </c>
      <c r="M180" s="566" t="s">
        <v>24</v>
      </c>
      <c r="N180" s="572"/>
      <c r="O180" s="573"/>
      <c r="P180" s="568"/>
      <c r="Q180" s="139">
        <v>1</v>
      </c>
      <c r="R180" s="62"/>
      <c r="T180" s="70" t="s">
        <v>23</v>
      </c>
      <c r="U180" s="69"/>
      <c r="X180" s="192">
        <v>9.5187292098999023</v>
      </c>
      <c r="Y180" s="192">
        <f t="shared" si="22"/>
        <v>9.5187292098999023</v>
      </c>
      <c r="Z180" s="62" t="str">
        <f t="shared" si="23"/>
        <v/>
      </c>
    </row>
    <row r="181" spans="1:26" s="68" customFormat="1" ht="92.25" customHeight="1" x14ac:dyDescent="0.2">
      <c r="A181" s="10" t="e">
        <f>#REF!+1</f>
        <v>#REF!</v>
      </c>
      <c r="B181" s="585" t="s">
        <v>823</v>
      </c>
      <c r="C181" s="585" t="s">
        <v>823</v>
      </c>
      <c r="D181" s="575" t="s">
        <v>824</v>
      </c>
      <c r="E181" s="361">
        <f t="shared" si="25"/>
        <v>367</v>
      </c>
      <c r="F181" s="587" t="s">
        <v>825</v>
      </c>
      <c r="G181" s="563"/>
      <c r="H181" s="564" t="s">
        <v>36</v>
      </c>
      <c r="I181" s="563" t="s">
        <v>24</v>
      </c>
      <c r="J181" s="563" t="s">
        <v>24</v>
      </c>
      <c r="K181" s="563" t="s">
        <v>37</v>
      </c>
      <c r="L181" s="552" t="s">
        <v>826</v>
      </c>
      <c r="M181" s="566" t="s">
        <v>24</v>
      </c>
      <c r="N181" s="572"/>
      <c r="O181" s="573"/>
      <c r="P181" s="568"/>
      <c r="Q181" s="139">
        <v>1</v>
      </c>
      <c r="R181" s="62"/>
      <c r="T181" s="70" t="s">
        <v>23</v>
      </c>
      <c r="U181" s="69"/>
      <c r="X181" s="192">
        <v>9.0632390975952148</v>
      </c>
      <c r="Y181" s="192">
        <f t="shared" si="22"/>
        <v>9.0632390975952148</v>
      </c>
      <c r="Z181" s="62" t="str">
        <f t="shared" si="23"/>
        <v/>
      </c>
    </row>
    <row r="182" spans="1:26" s="68" customFormat="1" ht="66" customHeight="1" x14ac:dyDescent="0.2">
      <c r="A182" s="10" t="e">
        <f>#REF!+1</f>
        <v>#REF!</v>
      </c>
      <c r="B182" s="585" t="s">
        <v>827</v>
      </c>
      <c r="C182" s="585" t="s">
        <v>827</v>
      </c>
      <c r="D182" s="575" t="s">
        <v>828</v>
      </c>
      <c r="E182" s="361">
        <f t="shared" si="25"/>
        <v>362</v>
      </c>
      <c r="F182" s="589" t="s">
        <v>829</v>
      </c>
      <c r="G182" s="563"/>
      <c r="H182" s="564" t="s">
        <v>36</v>
      </c>
      <c r="I182" s="563" t="s">
        <v>24</v>
      </c>
      <c r="J182" s="563" t="s">
        <v>24</v>
      </c>
      <c r="K182" s="563" t="s">
        <v>37</v>
      </c>
      <c r="L182" s="552" t="s">
        <v>830</v>
      </c>
      <c r="M182" s="566" t="s">
        <v>24</v>
      </c>
      <c r="N182" s="572"/>
      <c r="O182" s="573"/>
      <c r="P182" s="568"/>
      <c r="Q182" s="139">
        <v>1</v>
      </c>
      <c r="R182" s="62"/>
      <c r="T182" s="70" t="s">
        <v>23</v>
      </c>
      <c r="U182" s="69"/>
      <c r="X182" s="192">
        <v>11.21794319152832</v>
      </c>
      <c r="Y182" s="192">
        <f t="shared" si="22"/>
        <v>11.21794319152832</v>
      </c>
      <c r="Z182" s="62" t="str">
        <f t="shared" si="23"/>
        <v/>
      </c>
    </row>
    <row r="183" spans="1:26" s="68" customFormat="1" ht="69" customHeight="1" x14ac:dyDescent="0.2">
      <c r="A183" s="10" t="e">
        <f>A182+1</f>
        <v>#REF!</v>
      </c>
      <c r="B183" s="585" t="s">
        <v>831</v>
      </c>
      <c r="C183" s="585" t="s">
        <v>831</v>
      </c>
      <c r="D183" s="584" t="s">
        <v>832</v>
      </c>
      <c r="E183" s="361">
        <f t="shared" si="25"/>
        <v>393</v>
      </c>
      <c r="F183" s="586" t="s">
        <v>833</v>
      </c>
      <c r="G183" s="563"/>
      <c r="H183" s="564" t="s">
        <v>36</v>
      </c>
      <c r="I183" s="563" t="s">
        <v>24</v>
      </c>
      <c r="J183" s="563" t="s">
        <v>24</v>
      </c>
      <c r="K183" s="563" t="s">
        <v>37</v>
      </c>
      <c r="L183" s="552" t="s">
        <v>834</v>
      </c>
      <c r="M183" s="566" t="s">
        <v>24</v>
      </c>
      <c r="N183" s="572"/>
      <c r="O183" s="573"/>
      <c r="P183" s="568"/>
      <c r="Q183" s="139">
        <v>1</v>
      </c>
      <c r="R183" s="62"/>
      <c r="T183" s="70" t="s">
        <v>23</v>
      </c>
      <c r="U183" s="69"/>
      <c r="W183" s="75"/>
      <c r="X183" s="192">
        <v>6.2936897277832031</v>
      </c>
      <c r="Y183" s="192">
        <f t="shared" si="22"/>
        <v>6.2936897277832031</v>
      </c>
      <c r="Z183" s="62" t="str">
        <f t="shared" si="23"/>
        <v/>
      </c>
    </row>
    <row r="184" spans="1:26" s="68" customFormat="1" ht="81.75" customHeight="1" x14ac:dyDescent="0.2">
      <c r="A184" s="10" t="e">
        <f>A183+1</f>
        <v>#REF!</v>
      </c>
      <c r="B184" s="585" t="s">
        <v>835</v>
      </c>
      <c r="C184" s="585" t="s">
        <v>835</v>
      </c>
      <c r="D184" s="575" t="s">
        <v>836</v>
      </c>
      <c r="E184" s="361">
        <f t="shared" si="25"/>
        <v>353</v>
      </c>
      <c r="F184" s="590" t="s">
        <v>837</v>
      </c>
      <c r="G184" s="563"/>
      <c r="H184" s="564" t="s">
        <v>36</v>
      </c>
      <c r="I184" s="563" t="s">
        <v>24</v>
      </c>
      <c r="J184" s="563" t="s">
        <v>24</v>
      </c>
      <c r="K184" s="563" t="s">
        <v>37</v>
      </c>
      <c r="L184" s="574" t="s">
        <v>838</v>
      </c>
      <c r="M184" s="566" t="s">
        <v>24</v>
      </c>
      <c r="N184" s="572"/>
      <c r="O184" s="573"/>
      <c r="P184" s="568"/>
      <c r="Q184" s="139">
        <v>1</v>
      </c>
      <c r="R184" s="62"/>
      <c r="T184" s="70" t="s">
        <v>23</v>
      </c>
      <c r="U184" s="69"/>
      <c r="X184" s="192">
        <v>9.0649547576904297</v>
      </c>
      <c r="Y184" s="192">
        <f t="shared" si="22"/>
        <v>9.0649547576904297</v>
      </c>
      <c r="Z184" s="62" t="str">
        <f t="shared" si="23"/>
        <v/>
      </c>
    </row>
    <row r="185" spans="1:26" s="68" customFormat="1" ht="409.5" customHeight="1" x14ac:dyDescent="0.2">
      <c r="A185" s="10" t="e">
        <f>#REF!+1</f>
        <v>#REF!</v>
      </c>
      <c r="B185" s="457" t="s">
        <v>839</v>
      </c>
      <c r="C185" s="241" t="s">
        <v>839</v>
      </c>
      <c r="D185" s="428" t="s">
        <v>840</v>
      </c>
      <c r="E185" s="258">
        <f t="shared" si="25"/>
        <v>1333</v>
      </c>
      <c r="F185" s="578" t="s">
        <v>841</v>
      </c>
      <c r="G185" s="258"/>
      <c r="H185" s="241" t="s">
        <v>36</v>
      </c>
      <c r="I185" s="258" t="s">
        <v>24</v>
      </c>
      <c r="J185" s="258" t="s">
        <v>24</v>
      </c>
      <c r="K185" s="258" t="s">
        <v>37</v>
      </c>
      <c r="L185" s="318" t="s">
        <v>842</v>
      </c>
      <c r="M185" s="11" t="s">
        <v>24</v>
      </c>
      <c r="N185" s="409" t="s">
        <v>216</v>
      </c>
      <c r="O185" s="11"/>
      <c r="P185" s="214"/>
      <c r="Q185" s="139">
        <f>1</f>
        <v>1</v>
      </c>
      <c r="R185" s="62"/>
      <c r="T185" s="70" t="s">
        <v>23</v>
      </c>
      <c r="U185" s="69"/>
      <c r="X185" s="192">
        <v>13.22066497802734</v>
      </c>
      <c r="Y185" s="192">
        <f t="shared" si="22"/>
        <v>13.22066497802734</v>
      </c>
      <c r="Z185" s="62" t="str">
        <f t="shared" si="23"/>
        <v/>
      </c>
    </row>
    <row r="186" spans="1:26" s="68" customFormat="1" ht="101.25" customHeight="1" x14ac:dyDescent="0.2">
      <c r="A186" s="10" t="e">
        <f>#REF!+1</f>
        <v>#REF!</v>
      </c>
      <c r="B186" s="457" t="s">
        <v>843</v>
      </c>
      <c r="C186" s="547" t="s">
        <v>843</v>
      </c>
      <c r="D186" s="553" t="s">
        <v>844</v>
      </c>
      <c r="E186" s="361">
        <f t="shared" si="25"/>
        <v>442</v>
      </c>
      <c r="F186" s="555" t="s">
        <v>845</v>
      </c>
      <c r="G186" s="361"/>
      <c r="H186" s="378" t="s">
        <v>36</v>
      </c>
      <c r="I186" s="361" t="s">
        <v>24</v>
      </c>
      <c r="J186" s="361" t="s">
        <v>24</v>
      </c>
      <c r="K186" s="361" t="s">
        <v>37</v>
      </c>
      <c r="L186" s="552" t="s">
        <v>846</v>
      </c>
      <c r="M186" s="11" t="s">
        <v>24</v>
      </c>
      <c r="N186" s="12" t="s">
        <v>847</v>
      </c>
      <c r="O186" s="12"/>
      <c r="P186" s="340"/>
      <c r="Q186" s="139">
        <v>1</v>
      </c>
      <c r="R186" s="62"/>
      <c r="T186" s="70" t="s">
        <v>23</v>
      </c>
      <c r="U186" s="69"/>
      <c r="X186" s="192">
        <v>5.6449732780456543</v>
      </c>
      <c r="Y186" s="192">
        <f t="shared" si="22"/>
        <v>5.6449732780456543</v>
      </c>
      <c r="Z186" s="62" t="str">
        <f t="shared" si="23"/>
        <v/>
      </c>
    </row>
    <row r="187" spans="1:26" s="68" customFormat="1" ht="95.25" customHeight="1" thickBot="1" x14ac:dyDescent="0.25">
      <c r="A187" s="10" t="e">
        <f t="shared" ref="A187:A194" si="27">A186+1</f>
        <v>#REF!</v>
      </c>
      <c r="B187" s="458" t="s">
        <v>848</v>
      </c>
      <c r="C187" s="549" t="s">
        <v>848</v>
      </c>
      <c r="D187" s="359" t="s">
        <v>849</v>
      </c>
      <c r="E187" s="361">
        <f t="shared" si="25"/>
        <v>292</v>
      </c>
      <c r="F187" s="556" t="s">
        <v>850</v>
      </c>
      <c r="G187" s="361"/>
      <c r="H187" s="378" t="s">
        <v>110</v>
      </c>
      <c r="I187" s="361" t="s">
        <v>24</v>
      </c>
      <c r="J187" s="361" t="s">
        <v>24</v>
      </c>
      <c r="K187" s="361" t="s">
        <v>27</v>
      </c>
      <c r="L187" s="552" t="s">
        <v>851</v>
      </c>
      <c r="M187" s="11" t="s">
        <v>24</v>
      </c>
      <c r="N187" s="12" t="s">
        <v>852</v>
      </c>
      <c r="O187" s="12"/>
      <c r="P187" s="243"/>
      <c r="Q187" s="139">
        <v>1</v>
      </c>
      <c r="R187" s="62"/>
      <c r="T187" s="70" t="s">
        <v>23</v>
      </c>
      <c r="U187" s="69"/>
      <c r="X187" s="192">
        <v>26.998960494995121</v>
      </c>
      <c r="Y187" s="192">
        <f t="shared" si="22"/>
        <v>26.998960494995121</v>
      </c>
      <c r="Z187" s="62" t="str">
        <f t="shared" si="23"/>
        <v/>
      </c>
    </row>
    <row r="188" spans="1:26" s="68" customFormat="1" ht="95.25" customHeight="1" thickBot="1" x14ac:dyDescent="0.25">
      <c r="A188" s="10" t="e">
        <f t="shared" si="27"/>
        <v>#REF!</v>
      </c>
      <c r="B188" s="458" t="s">
        <v>853</v>
      </c>
      <c r="C188" s="549" t="s">
        <v>853</v>
      </c>
      <c r="D188" s="359" t="s">
        <v>854</v>
      </c>
      <c r="E188" s="361">
        <f t="shared" si="25"/>
        <v>267</v>
      </c>
      <c r="F188" s="556" t="s">
        <v>855</v>
      </c>
      <c r="G188" s="361"/>
      <c r="H188" s="378" t="s">
        <v>110</v>
      </c>
      <c r="I188" s="361" t="s">
        <v>24</v>
      </c>
      <c r="J188" s="361" t="s">
        <v>24</v>
      </c>
      <c r="K188" s="361" t="s">
        <v>27</v>
      </c>
      <c r="L188" s="552" t="s">
        <v>856</v>
      </c>
      <c r="M188" s="11" t="s">
        <v>24</v>
      </c>
      <c r="N188" s="12" t="s">
        <v>857</v>
      </c>
      <c r="O188" s="12"/>
      <c r="P188" s="243"/>
      <c r="Q188" s="139">
        <v>1</v>
      </c>
      <c r="R188" s="62"/>
      <c r="T188" s="70" t="s">
        <v>23</v>
      </c>
      <c r="U188" s="69"/>
      <c r="X188" s="192">
        <v>18.273832321166989</v>
      </c>
      <c r="Y188" s="192">
        <f t="shared" si="22"/>
        <v>18.273832321166989</v>
      </c>
      <c r="Z188" s="62" t="str">
        <f t="shared" si="23"/>
        <v/>
      </c>
    </row>
    <row r="189" spans="1:26" s="68" customFormat="1" ht="95.25" customHeight="1" thickBot="1" x14ac:dyDescent="0.25">
      <c r="A189" s="10" t="e">
        <f t="shared" si="27"/>
        <v>#REF!</v>
      </c>
      <c r="B189" s="458" t="s">
        <v>858</v>
      </c>
      <c r="C189" s="549" t="s">
        <v>858</v>
      </c>
      <c r="D189" s="553" t="s">
        <v>859</v>
      </c>
      <c r="E189" s="361">
        <f t="shared" si="25"/>
        <v>305</v>
      </c>
      <c r="F189" s="557" t="s">
        <v>860</v>
      </c>
      <c r="G189" s="361"/>
      <c r="H189" s="378" t="s">
        <v>110</v>
      </c>
      <c r="I189" s="361" t="s">
        <v>24</v>
      </c>
      <c r="J189" s="361" t="s">
        <v>24</v>
      </c>
      <c r="K189" s="361" t="s">
        <v>27</v>
      </c>
      <c r="L189" s="552" t="s">
        <v>861</v>
      </c>
      <c r="M189" s="11" t="s">
        <v>24</v>
      </c>
      <c r="N189" s="12" t="s">
        <v>862</v>
      </c>
      <c r="O189" s="12"/>
      <c r="P189" s="243"/>
      <c r="Q189" s="139">
        <v>1</v>
      </c>
      <c r="R189" s="62"/>
      <c r="T189" s="70" t="s">
        <v>23</v>
      </c>
      <c r="U189" s="69"/>
      <c r="X189" s="192">
        <v>16.352115631103519</v>
      </c>
      <c r="Y189" s="192">
        <f t="shared" si="22"/>
        <v>16.352115631103519</v>
      </c>
      <c r="Z189" s="62" t="str">
        <f t="shared" si="23"/>
        <v/>
      </c>
    </row>
    <row r="190" spans="1:26" s="68" customFormat="1" ht="79.5" customHeight="1" thickBot="1" x14ac:dyDescent="0.25">
      <c r="A190" s="10" t="e">
        <f t="shared" si="27"/>
        <v>#REF!</v>
      </c>
      <c r="B190" s="458" t="s">
        <v>863</v>
      </c>
      <c r="C190" s="549" t="s">
        <v>863</v>
      </c>
      <c r="D190" s="553" t="s">
        <v>864</v>
      </c>
      <c r="E190" s="361">
        <f t="shared" si="25"/>
        <v>252</v>
      </c>
      <c r="F190" s="558" t="s">
        <v>865</v>
      </c>
      <c r="G190" s="361"/>
      <c r="H190" s="378" t="s">
        <v>110</v>
      </c>
      <c r="I190" s="361" t="s">
        <v>24</v>
      </c>
      <c r="J190" s="361" t="s">
        <v>24</v>
      </c>
      <c r="K190" s="361" t="s">
        <v>27</v>
      </c>
      <c r="L190" s="552" t="s">
        <v>866</v>
      </c>
      <c r="M190" s="11" t="s">
        <v>24</v>
      </c>
      <c r="N190" s="12" t="s">
        <v>867</v>
      </c>
      <c r="O190" s="12"/>
      <c r="P190" s="243"/>
      <c r="Q190" s="139">
        <v>1</v>
      </c>
      <c r="R190" s="62"/>
      <c r="T190" s="70" t="s">
        <v>23</v>
      </c>
      <c r="U190" s="69"/>
      <c r="X190" s="192">
        <v>14.01507568359375</v>
      </c>
      <c r="Y190" s="192">
        <f t="shared" si="22"/>
        <v>14.01507568359375</v>
      </c>
      <c r="Z190" s="62" t="str">
        <f t="shared" si="23"/>
        <v/>
      </c>
    </row>
    <row r="191" spans="1:26" s="68" customFormat="1" ht="95.25" customHeight="1" thickBot="1" x14ac:dyDescent="0.25">
      <c r="A191" s="10" t="e">
        <f t="shared" si="27"/>
        <v>#REF!</v>
      </c>
      <c r="B191" s="458" t="s">
        <v>868</v>
      </c>
      <c r="C191" s="549" t="s">
        <v>868</v>
      </c>
      <c r="D191" s="359" t="s">
        <v>869</v>
      </c>
      <c r="E191" s="361">
        <f t="shared" si="25"/>
        <v>273</v>
      </c>
      <c r="F191" s="556" t="s">
        <v>870</v>
      </c>
      <c r="G191" s="361"/>
      <c r="H191" s="378" t="s">
        <v>110</v>
      </c>
      <c r="I191" s="361" t="s">
        <v>24</v>
      </c>
      <c r="J191" s="361" t="s">
        <v>24</v>
      </c>
      <c r="K191" s="361" t="s">
        <v>27</v>
      </c>
      <c r="L191" s="552" t="s">
        <v>871</v>
      </c>
      <c r="M191" s="11" t="s">
        <v>24</v>
      </c>
      <c r="N191" s="12" t="s">
        <v>872</v>
      </c>
      <c r="O191" s="12"/>
      <c r="P191" s="243"/>
      <c r="Q191" s="139">
        <v>1</v>
      </c>
      <c r="R191" s="62"/>
      <c r="T191" s="70" t="s">
        <v>23</v>
      </c>
      <c r="U191" s="69"/>
      <c r="X191" s="192">
        <v>17.22746658325195</v>
      </c>
      <c r="Y191" s="192">
        <f t="shared" si="22"/>
        <v>17.22746658325195</v>
      </c>
      <c r="Z191" s="62" t="str">
        <f t="shared" si="23"/>
        <v/>
      </c>
    </row>
    <row r="192" spans="1:26" s="68" customFormat="1" ht="95.25" customHeight="1" thickBot="1" x14ac:dyDescent="0.25">
      <c r="A192" s="10" t="e">
        <f t="shared" si="27"/>
        <v>#REF!</v>
      </c>
      <c r="B192" s="458" t="s">
        <v>873</v>
      </c>
      <c r="C192" s="549" t="s">
        <v>873</v>
      </c>
      <c r="D192" s="359" t="s">
        <v>874</v>
      </c>
      <c r="E192" s="361">
        <f t="shared" si="25"/>
        <v>307</v>
      </c>
      <c r="F192" s="554" t="s">
        <v>875</v>
      </c>
      <c r="G192" s="361"/>
      <c r="H192" s="378" t="s">
        <v>110</v>
      </c>
      <c r="I192" s="361" t="s">
        <v>24</v>
      </c>
      <c r="J192" s="361" t="s">
        <v>24</v>
      </c>
      <c r="K192" s="361" t="s">
        <v>27</v>
      </c>
      <c r="L192" s="552" t="s">
        <v>876</v>
      </c>
      <c r="M192" s="11" t="s">
        <v>24</v>
      </c>
      <c r="N192" s="12" t="s">
        <v>877</v>
      </c>
      <c r="O192" s="12"/>
      <c r="P192" s="243"/>
      <c r="Q192" s="139">
        <v>1</v>
      </c>
      <c r="R192" s="62"/>
      <c r="T192" s="70" t="s">
        <v>23</v>
      </c>
      <c r="U192" s="69"/>
      <c r="X192" s="192">
        <v>19.492774716706521</v>
      </c>
      <c r="Y192" s="192">
        <f t="shared" si="22"/>
        <v>19.492774716706521</v>
      </c>
      <c r="Z192" s="62" t="str">
        <f t="shared" si="23"/>
        <v/>
      </c>
    </row>
    <row r="193" spans="1:26" s="68" customFormat="1" ht="95.25" customHeight="1" x14ac:dyDescent="0.2">
      <c r="A193" s="10" t="e">
        <f t="shared" si="27"/>
        <v>#REF!</v>
      </c>
      <c r="B193" s="458" t="s">
        <v>878</v>
      </c>
      <c r="C193" s="549" t="s">
        <v>878</v>
      </c>
      <c r="D193" s="359" t="s">
        <v>879</v>
      </c>
      <c r="E193" s="361">
        <f t="shared" si="25"/>
        <v>292</v>
      </c>
      <c r="F193" s="554" t="s">
        <v>880</v>
      </c>
      <c r="G193" s="361"/>
      <c r="H193" s="378" t="s">
        <v>110</v>
      </c>
      <c r="I193" s="361" t="s">
        <v>24</v>
      </c>
      <c r="J193" s="361" t="s">
        <v>24</v>
      </c>
      <c r="K193" s="361" t="s">
        <v>27</v>
      </c>
      <c r="L193" s="552" t="s">
        <v>881</v>
      </c>
      <c r="M193" s="11" t="s">
        <v>24</v>
      </c>
      <c r="N193" s="12" t="s">
        <v>882</v>
      </c>
      <c r="O193" s="12"/>
      <c r="P193" s="243"/>
      <c r="Q193" s="139">
        <v>1</v>
      </c>
      <c r="R193" s="62"/>
      <c r="T193" s="70" t="s">
        <v>23</v>
      </c>
      <c r="U193" s="69"/>
      <c r="X193" s="192">
        <v>14.17413425445557</v>
      </c>
      <c r="Y193" s="192">
        <f t="shared" si="22"/>
        <v>14.17413425445557</v>
      </c>
      <c r="Z193" s="62" t="str">
        <f t="shared" si="23"/>
        <v/>
      </c>
    </row>
    <row r="194" spans="1:26" s="68" customFormat="1" ht="95.25" customHeight="1" x14ac:dyDescent="0.2">
      <c r="A194" s="10" t="e">
        <f t="shared" si="27"/>
        <v>#REF!</v>
      </c>
      <c r="B194" s="458" t="s">
        <v>883</v>
      </c>
      <c r="C194" s="549" t="s">
        <v>883</v>
      </c>
      <c r="D194" s="359" t="s">
        <v>884</v>
      </c>
      <c r="E194" s="361">
        <f t="shared" si="25"/>
        <v>262</v>
      </c>
      <c r="F194" s="559" t="s">
        <v>885</v>
      </c>
      <c r="G194" s="361"/>
      <c r="H194" s="378" t="s">
        <v>110</v>
      </c>
      <c r="I194" s="361" t="s">
        <v>24</v>
      </c>
      <c r="J194" s="361" t="s">
        <v>24</v>
      </c>
      <c r="K194" s="361" t="s">
        <v>27</v>
      </c>
      <c r="L194" s="552"/>
      <c r="M194" s="11" t="s">
        <v>24</v>
      </c>
      <c r="N194" s="12" t="s">
        <v>886</v>
      </c>
      <c r="O194" s="12"/>
      <c r="P194" s="243"/>
      <c r="Q194" s="139">
        <v>1</v>
      </c>
      <c r="R194" s="62"/>
      <c r="T194" s="70" t="s">
        <v>23</v>
      </c>
      <c r="U194" s="69"/>
      <c r="X194" s="192">
        <v>13.37862586975098</v>
      </c>
      <c r="Y194" s="192">
        <f t="shared" si="22"/>
        <v>13.37862586975098</v>
      </c>
      <c r="Z194" s="62" t="str">
        <f t="shared" si="23"/>
        <v/>
      </c>
    </row>
    <row r="195" spans="1:26" s="68" customFormat="1" ht="126.75" customHeight="1" x14ac:dyDescent="0.2">
      <c r="A195" s="10"/>
      <c r="B195" s="463" t="s">
        <v>887</v>
      </c>
      <c r="C195" s="548" t="s">
        <v>887</v>
      </c>
      <c r="D195" s="359" t="s">
        <v>888</v>
      </c>
      <c r="E195" s="364">
        <f t="shared" si="25"/>
        <v>154</v>
      </c>
      <c r="F195" s="580" t="s">
        <v>889</v>
      </c>
      <c r="G195" s="364"/>
      <c r="H195" s="378" t="s">
        <v>36</v>
      </c>
      <c r="I195" s="364"/>
      <c r="J195" s="364"/>
      <c r="K195" s="364"/>
      <c r="L195" s="341"/>
      <c r="M195" s="342"/>
      <c r="N195" s="341"/>
      <c r="O195" s="12"/>
      <c r="P195" s="243"/>
      <c r="Q195" s="139"/>
      <c r="R195" s="62"/>
      <c r="T195" s="70"/>
      <c r="U195" s="69"/>
      <c r="X195" s="192"/>
      <c r="Y195" s="192"/>
      <c r="Z195" s="62"/>
    </row>
    <row r="196" spans="1:26" s="68" customFormat="1" ht="145" customHeight="1" thickBot="1" x14ac:dyDescent="0.25">
      <c r="A196" s="10" t="e">
        <f>A194+1</f>
        <v>#REF!</v>
      </c>
      <c r="B196" s="459" t="s">
        <v>890</v>
      </c>
      <c r="C196" s="493" t="s">
        <v>891</v>
      </c>
      <c r="D196" s="359" t="s">
        <v>892</v>
      </c>
      <c r="E196" s="361">
        <f t="shared" si="25"/>
        <v>204</v>
      </c>
      <c r="F196" s="591" t="s">
        <v>893</v>
      </c>
      <c r="G196" s="361"/>
      <c r="H196" s="378" t="s">
        <v>36</v>
      </c>
      <c r="I196" s="361" t="s">
        <v>24</v>
      </c>
      <c r="J196" s="361" t="s">
        <v>24</v>
      </c>
      <c r="K196" s="361" t="s">
        <v>37</v>
      </c>
      <c r="L196" s="560" t="s">
        <v>894</v>
      </c>
      <c r="M196" s="11" t="s">
        <v>24</v>
      </c>
      <c r="N196" s="12" t="s">
        <v>895</v>
      </c>
      <c r="O196" s="12"/>
      <c r="P196" s="243"/>
      <c r="Q196" s="139">
        <v>1</v>
      </c>
      <c r="R196" s="62"/>
      <c r="T196" s="70" t="s">
        <v>23</v>
      </c>
      <c r="U196" s="69"/>
      <c r="X196" s="192">
        <v>5.8349170684814453</v>
      </c>
      <c r="Y196" s="192">
        <f t="shared" ref="Y196:Y201" si="28">IF(X196="","",X196*Q196)</f>
        <v>5.8349170684814453</v>
      </c>
      <c r="Z196" s="62" t="str">
        <f t="shared" ref="Z196:Z201" si="29">IF(T196="yes",Y196,"")</f>
        <v/>
      </c>
    </row>
    <row r="197" spans="1:26" s="68" customFormat="1" ht="120" customHeight="1" thickBot="1" x14ac:dyDescent="0.25">
      <c r="A197" s="10" t="e">
        <f>A196+1</f>
        <v>#REF!</v>
      </c>
      <c r="B197" s="460" t="s">
        <v>896</v>
      </c>
      <c r="C197" s="492" t="s">
        <v>897</v>
      </c>
      <c r="D197" s="359" t="s">
        <v>898</v>
      </c>
      <c r="E197" s="361">
        <f t="shared" si="25"/>
        <v>169</v>
      </c>
      <c r="F197" s="553" t="s">
        <v>899</v>
      </c>
      <c r="G197" s="361"/>
      <c r="H197" s="408" t="s">
        <v>110</v>
      </c>
      <c r="I197" s="361" t="s">
        <v>24</v>
      </c>
      <c r="J197" s="361" t="s">
        <v>24</v>
      </c>
      <c r="K197" s="361" t="s">
        <v>27</v>
      </c>
      <c r="L197" s="561" t="s">
        <v>900</v>
      </c>
      <c r="M197" s="11" t="s">
        <v>24</v>
      </c>
      <c r="N197" s="12" t="s">
        <v>901</v>
      </c>
      <c r="O197" s="12"/>
      <c r="P197" s="243"/>
      <c r="Q197" s="139">
        <v>1</v>
      </c>
      <c r="R197" s="62"/>
      <c r="T197" s="70" t="s">
        <v>23</v>
      </c>
      <c r="U197" s="69"/>
      <c r="X197" s="192">
        <v>28.608445494708722</v>
      </c>
      <c r="Y197" s="192">
        <f t="shared" si="28"/>
        <v>28.608445494708722</v>
      </c>
      <c r="Z197" s="62" t="str">
        <f t="shared" si="29"/>
        <v/>
      </c>
    </row>
    <row r="198" spans="1:26" s="68" customFormat="1" ht="137" customHeight="1" thickBot="1" x14ac:dyDescent="0.25">
      <c r="A198" s="10" t="e">
        <f>A197+1</f>
        <v>#REF!</v>
      </c>
      <c r="B198" s="460" t="s">
        <v>902</v>
      </c>
      <c r="C198" s="492" t="s">
        <v>903</v>
      </c>
      <c r="D198" s="359" t="s">
        <v>904</v>
      </c>
      <c r="E198" s="361">
        <f t="shared" si="25"/>
        <v>192</v>
      </c>
      <c r="F198" s="553" t="s">
        <v>905</v>
      </c>
      <c r="G198" s="361"/>
      <c r="H198" s="408" t="s">
        <v>110</v>
      </c>
      <c r="I198" s="361" t="s">
        <v>24</v>
      </c>
      <c r="J198" s="361" t="s">
        <v>24</v>
      </c>
      <c r="K198" s="361" t="s">
        <v>27</v>
      </c>
      <c r="L198" s="561" t="s">
        <v>906</v>
      </c>
      <c r="M198" s="11" t="s">
        <v>24</v>
      </c>
      <c r="N198" s="12" t="s">
        <v>907</v>
      </c>
      <c r="O198" s="12"/>
      <c r="P198" s="243"/>
      <c r="Q198" s="139">
        <v>1</v>
      </c>
      <c r="R198" s="62"/>
      <c r="T198" s="70" t="s">
        <v>23</v>
      </c>
      <c r="U198" s="69"/>
      <c r="X198" s="192">
        <v>14.61820602416992</v>
      </c>
      <c r="Y198" s="192">
        <f t="shared" si="28"/>
        <v>14.61820602416992</v>
      </c>
      <c r="Z198" s="62" t="str">
        <f t="shared" si="29"/>
        <v/>
      </c>
    </row>
    <row r="199" spans="1:26" s="68" customFormat="1" ht="137" customHeight="1" thickBot="1" x14ac:dyDescent="0.25">
      <c r="A199" s="10" t="e">
        <f>A198+1</f>
        <v>#REF!</v>
      </c>
      <c r="B199" s="461" t="s">
        <v>908</v>
      </c>
      <c r="C199" s="494" t="s">
        <v>909</v>
      </c>
      <c r="D199" s="359" t="s">
        <v>910</v>
      </c>
      <c r="E199" s="361">
        <f t="shared" si="25"/>
        <v>178</v>
      </c>
      <c r="F199" s="553" t="s">
        <v>911</v>
      </c>
      <c r="G199" s="361"/>
      <c r="H199" s="408" t="s">
        <v>110</v>
      </c>
      <c r="I199" s="361" t="s">
        <v>24</v>
      </c>
      <c r="J199" s="361" t="s">
        <v>24</v>
      </c>
      <c r="K199" s="361" t="s">
        <v>27</v>
      </c>
      <c r="L199" s="561" t="s">
        <v>912</v>
      </c>
      <c r="M199" s="11" t="s">
        <v>24</v>
      </c>
      <c r="N199" s="12" t="s">
        <v>913</v>
      </c>
      <c r="O199" s="12"/>
      <c r="P199" s="243"/>
      <c r="Q199" s="139">
        <v>1</v>
      </c>
      <c r="R199" s="62"/>
      <c r="T199" s="70" t="s">
        <v>23</v>
      </c>
      <c r="U199" s="69"/>
      <c r="X199" s="192">
        <v>13.777663230896</v>
      </c>
      <c r="Y199" s="192">
        <f t="shared" si="28"/>
        <v>13.777663230896</v>
      </c>
      <c r="Z199" s="62" t="str">
        <f t="shared" si="29"/>
        <v/>
      </c>
    </row>
    <row r="200" spans="1:26" s="68" customFormat="1" ht="119" customHeight="1" x14ac:dyDescent="0.2">
      <c r="A200" s="10" t="e">
        <f>A199+1</f>
        <v>#REF!</v>
      </c>
      <c r="B200" s="462" t="s">
        <v>914</v>
      </c>
      <c r="C200" s="492" t="s">
        <v>915</v>
      </c>
      <c r="D200" s="359" t="s">
        <v>916</v>
      </c>
      <c r="E200" s="361">
        <f t="shared" si="25"/>
        <v>169</v>
      </c>
      <c r="F200" s="553" t="s">
        <v>917</v>
      </c>
      <c r="G200" s="361"/>
      <c r="H200" s="408" t="s">
        <v>110</v>
      </c>
      <c r="I200" s="361" t="s">
        <v>24</v>
      </c>
      <c r="J200" s="361" t="s">
        <v>24</v>
      </c>
      <c r="K200" s="361" t="s">
        <v>27</v>
      </c>
      <c r="L200" s="561" t="s">
        <v>918</v>
      </c>
      <c r="M200" s="11" t="s">
        <v>24</v>
      </c>
      <c r="N200" s="12" t="s">
        <v>919</v>
      </c>
      <c r="O200" s="12"/>
      <c r="P200" s="340"/>
      <c r="Q200" s="139">
        <v>1</v>
      </c>
      <c r="R200" s="62"/>
      <c r="T200" s="70" t="s">
        <v>23</v>
      </c>
      <c r="U200" s="69"/>
      <c r="X200" s="192">
        <v>12.39977359771729</v>
      </c>
      <c r="Y200" s="192">
        <f t="shared" si="28"/>
        <v>12.39977359771729</v>
      </c>
      <c r="Z200" s="62" t="str">
        <f t="shared" si="29"/>
        <v/>
      </c>
    </row>
    <row r="201" spans="1:26" s="68" customFormat="1" ht="136" customHeight="1" x14ac:dyDescent="0.2">
      <c r="A201" s="10" t="e">
        <f>A200+1</f>
        <v>#REF!</v>
      </c>
      <c r="B201" s="460" t="s">
        <v>920</v>
      </c>
      <c r="C201" s="494" t="s">
        <v>921</v>
      </c>
      <c r="D201" s="255" t="s">
        <v>922</v>
      </c>
      <c r="E201" s="256">
        <f t="shared" si="25"/>
        <v>190</v>
      </c>
      <c r="F201" s="553" t="s">
        <v>923</v>
      </c>
      <c r="G201" s="256"/>
      <c r="H201" s="312" t="s">
        <v>110</v>
      </c>
      <c r="I201" s="375" t="s">
        <v>24</v>
      </c>
      <c r="J201" s="375" t="s">
        <v>24</v>
      </c>
      <c r="K201" s="256" t="s">
        <v>27</v>
      </c>
      <c r="L201" s="251" t="s">
        <v>924</v>
      </c>
      <c r="M201" s="53" t="s">
        <v>24</v>
      </c>
      <c r="N201" s="251" t="s">
        <v>925</v>
      </c>
      <c r="O201" s="251"/>
      <c r="P201" s="95"/>
      <c r="Q201" s="139">
        <v>1</v>
      </c>
      <c r="R201" s="62"/>
      <c r="T201" s="70" t="s">
        <v>23</v>
      </c>
      <c r="U201" s="69"/>
      <c r="X201" s="192">
        <v>13.343881607055661</v>
      </c>
      <c r="Y201" s="192">
        <f t="shared" si="28"/>
        <v>13.343881607055661</v>
      </c>
      <c r="Z201" s="62" t="str">
        <f t="shared" si="29"/>
        <v/>
      </c>
    </row>
    <row r="202" spans="1:26" s="68" customFormat="1" ht="179.25" customHeight="1" x14ac:dyDescent="0.2">
      <c r="A202" s="343"/>
      <c r="B202" s="457" t="s">
        <v>926</v>
      </c>
      <c r="C202" s="457" t="s">
        <v>927</v>
      </c>
      <c r="D202" s="495" t="s">
        <v>928</v>
      </c>
      <c r="E202" s="475">
        <f t="shared" si="25"/>
        <v>173</v>
      </c>
      <c r="F202" s="496" t="s">
        <v>929</v>
      </c>
      <c r="G202" s="361"/>
      <c r="H202" s="377" t="s">
        <v>36</v>
      </c>
      <c r="I202" s="361"/>
      <c r="J202" s="361"/>
      <c r="K202" s="361"/>
      <c r="L202" s="251" t="s">
        <v>930</v>
      </c>
      <c r="M202" s="378"/>
      <c r="N202" s="358"/>
      <c r="O202" s="358"/>
      <c r="P202" s="378"/>
      <c r="Q202" s="139"/>
      <c r="R202" s="62"/>
      <c r="T202" s="70"/>
      <c r="U202" s="69"/>
      <c r="X202" s="192"/>
      <c r="Y202" s="192"/>
      <c r="Z202" s="62"/>
    </row>
    <row r="203" spans="1:26" s="68" customFormat="1" ht="204.75" customHeight="1" x14ac:dyDescent="0.2">
      <c r="A203" s="343"/>
      <c r="B203" s="581" t="s">
        <v>931</v>
      </c>
      <c r="C203" s="582" t="s">
        <v>931</v>
      </c>
      <c r="D203" s="358" t="s">
        <v>932</v>
      </c>
      <c r="E203" s="361">
        <f t="shared" si="25"/>
        <v>256</v>
      </c>
      <c r="F203" s="580" t="s">
        <v>933</v>
      </c>
      <c r="G203" s="361"/>
      <c r="H203" s="377" t="s">
        <v>36</v>
      </c>
      <c r="I203" s="361"/>
      <c r="J203" s="361" t="s">
        <v>934</v>
      </c>
      <c r="K203" s="361"/>
      <c r="L203" s="251" t="s">
        <v>935</v>
      </c>
      <c r="M203" s="378"/>
      <c r="N203" s="358"/>
      <c r="O203" s="358"/>
      <c r="P203" s="378"/>
      <c r="Q203" s="139"/>
      <c r="R203" s="62"/>
      <c r="T203" s="70"/>
      <c r="U203" s="69"/>
      <c r="X203" s="192"/>
      <c r="Y203" s="192"/>
      <c r="Z203" s="62"/>
    </row>
    <row r="204" spans="1:26" s="149" customFormat="1" ht="16.5" customHeight="1" x14ac:dyDescent="0.2">
      <c r="A204" s="615" t="s">
        <v>936</v>
      </c>
      <c r="B204" s="616"/>
      <c r="C204" s="616"/>
      <c r="D204" s="616"/>
      <c r="E204" s="616"/>
      <c r="F204" s="616"/>
      <c r="G204" s="616"/>
      <c r="H204" s="616"/>
      <c r="I204" s="616"/>
      <c r="J204" s="616"/>
      <c r="K204" s="616"/>
      <c r="L204" s="616"/>
      <c r="M204" s="616"/>
      <c r="N204" s="616"/>
      <c r="O204" s="616"/>
      <c r="P204" s="617"/>
      <c r="Q204" s="105"/>
      <c r="R204" s="151"/>
      <c r="T204" s="150"/>
      <c r="U204" s="152"/>
      <c r="X204" s="191"/>
      <c r="Y204" s="191" t="str">
        <f>IF(X204="","",X204*Q204)</f>
        <v/>
      </c>
      <c r="Z204" s="151" t="str">
        <f>IF(T204="yes",Y204,"")</f>
        <v/>
      </c>
    </row>
    <row r="205" spans="1:26" s="91" customFormat="1" ht="283.5" customHeight="1" x14ac:dyDescent="0.2">
      <c r="A205" s="137" t="e">
        <f>A201+1</f>
        <v>#REF!</v>
      </c>
      <c r="B205" s="92" t="s">
        <v>937</v>
      </c>
      <c r="C205" s="67" t="s">
        <v>937</v>
      </c>
      <c r="D205" s="66" t="s">
        <v>938</v>
      </c>
      <c r="E205" s="65">
        <f>LEN(D205)</f>
        <v>222</v>
      </c>
      <c r="F205" s="398" t="s">
        <v>939</v>
      </c>
      <c r="G205" s="65"/>
      <c r="H205" s="73" t="s">
        <v>36</v>
      </c>
      <c r="I205" s="65" t="s">
        <v>24</v>
      </c>
      <c r="J205" s="360" t="s">
        <v>940</v>
      </c>
      <c r="K205" s="360" t="s">
        <v>37</v>
      </c>
      <c r="L205" s="64" t="s">
        <v>941</v>
      </c>
      <c r="M205" s="78" t="s">
        <v>24</v>
      </c>
      <c r="N205" s="64" t="s">
        <v>942</v>
      </c>
      <c r="O205" s="13"/>
      <c r="P205" s="8"/>
      <c r="Q205" s="105">
        <v>1</v>
      </c>
      <c r="R205" s="63"/>
      <c r="T205" s="153" t="s">
        <v>32</v>
      </c>
      <c r="U205" s="85"/>
      <c r="X205" s="194">
        <v>14.47277355194092</v>
      </c>
      <c r="Y205" s="191">
        <f>IF(X205="","",X205*Q205)</f>
        <v>14.47277355194092</v>
      </c>
      <c r="Z205" s="62">
        <f>IF(T205="yes",Y205,"")</f>
        <v>14.47277355194092</v>
      </c>
    </row>
    <row r="206" spans="1:26" s="68" customFormat="1" ht="409.5" customHeight="1" x14ac:dyDescent="0.2">
      <c r="A206" s="10" t="e">
        <f>A205+1</f>
        <v>#REF!</v>
      </c>
      <c r="B206" s="92" t="s">
        <v>943</v>
      </c>
      <c r="C206" s="147" t="s">
        <v>944</v>
      </c>
      <c r="D206" s="146" t="s">
        <v>945</v>
      </c>
      <c r="E206" s="360">
        <f>LEN(D206)</f>
        <v>1206</v>
      </c>
      <c r="F206" s="596" t="s">
        <v>946</v>
      </c>
      <c r="G206" s="360"/>
      <c r="H206" s="414" t="s">
        <v>699</v>
      </c>
      <c r="I206" s="360" t="s">
        <v>24</v>
      </c>
      <c r="J206" s="360" t="s">
        <v>24</v>
      </c>
      <c r="K206" s="360" t="s">
        <v>947</v>
      </c>
      <c r="L206" s="72" t="s">
        <v>948</v>
      </c>
      <c r="M206" s="78" t="s">
        <v>949</v>
      </c>
      <c r="N206" s="71" t="s">
        <v>950</v>
      </c>
      <c r="O206" s="76"/>
      <c r="P206" s="9"/>
      <c r="Q206" s="105">
        <v>1</v>
      </c>
      <c r="R206" s="62"/>
      <c r="T206" s="150" t="s">
        <v>32</v>
      </c>
      <c r="U206" s="69"/>
      <c r="X206" s="191">
        <v>33.740764617919922</v>
      </c>
      <c r="Y206" s="191">
        <f>IF(X206="","",X206*Q206)</f>
        <v>33.740764617919922</v>
      </c>
      <c r="Z206" s="62">
        <f>IF(T206="yes",Y206,"")</f>
        <v>33.740764617919922</v>
      </c>
    </row>
    <row r="207" spans="1:26" s="512" customFormat="1" ht="218.25" customHeight="1" x14ac:dyDescent="0.2">
      <c r="A207" s="592"/>
      <c r="B207" s="593" t="s">
        <v>951</v>
      </c>
      <c r="C207" s="202"/>
      <c r="D207" s="177" t="s">
        <v>952</v>
      </c>
      <c r="E207" s="203"/>
      <c r="F207" s="528" t="s">
        <v>953</v>
      </c>
      <c r="G207" s="365"/>
      <c r="H207" s="204" t="s">
        <v>36</v>
      </c>
      <c r="I207" s="203"/>
      <c r="J207" s="203"/>
      <c r="K207" s="203"/>
      <c r="L207" s="145" t="s">
        <v>954</v>
      </c>
      <c r="M207" s="175"/>
      <c r="N207" s="206" t="s">
        <v>955</v>
      </c>
      <c r="O207" s="178" t="s">
        <v>956</v>
      </c>
      <c r="P207" s="178" t="s">
        <v>957</v>
      </c>
      <c r="Q207" s="510"/>
      <c r="R207" s="511"/>
      <c r="T207" s="513"/>
      <c r="U207" s="514"/>
      <c r="X207" s="515"/>
      <c r="Y207" s="515"/>
      <c r="Z207" s="511"/>
    </row>
    <row r="208" spans="1:26" s="512" customFormat="1" ht="409.5" customHeight="1" x14ac:dyDescent="0.2">
      <c r="A208" s="592"/>
      <c r="B208" s="593" t="s">
        <v>958</v>
      </c>
      <c r="C208" s="176"/>
      <c r="D208" s="594" t="s">
        <v>959</v>
      </c>
      <c r="E208" s="207"/>
      <c r="F208" s="595" t="s">
        <v>960</v>
      </c>
      <c r="G208" s="207"/>
      <c r="H208" s="208" t="s">
        <v>699</v>
      </c>
      <c r="I208" s="207"/>
      <c r="J208" s="207"/>
      <c r="K208" s="207"/>
      <c r="L208" s="205" t="s">
        <v>961</v>
      </c>
      <c r="M208" s="429"/>
      <c r="N208" s="209"/>
      <c r="O208" s="210" t="s">
        <v>962</v>
      </c>
      <c r="P208" s="211"/>
      <c r="Q208" s="522">
        <v>1</v>
      </c>
      <c r="R208" s="511"/>
      <c r="T208" s="523"/>
      <c r="U208" s="514"/>
      <c r="X208" s="524"/>
      <c r="Y208" s="524" t="str">
        <f t="shared" ref="Y208:Y213" si="30">IF(X208="","",X208*Q208)</f>
        <v/>
      </c>
      <c r="Z208" s="511" t="str">
        <f t="shared" ref="Z208:Z213" si="31">IF(T208="yes",Y208,"")</f>
        <v/>
      </c>
    </row>
    <row r="209" spans="1:26" s="68" customFormat="1" ht="258.75" customHeight="1" thickBot="1" x14ac:dyDescent="0.25">
      <c r="A209" s="143" t="e">
        <f>A206+1</f>
        <v>#REF!</v>
      </c>
      <c r="B209" s="400" t="s">
        <v>963</v>
      </c>
      <c r="C209" s="414" t="s">
        <v>964</v>
      </c>
      <c r="D209" s="146" t="s">
        <v>965</v>
      </c>
      <c r="E209" s="59">
        <f>LEN(D209)</f>
        <v>497</v>
      </c>
      <c r="F209" s="398" t="s">
        <v>966</v>
      </c>
      <c r="G209" s="59"/>
      <c r="H209" s="148" t="s">
        <v>699</v>
      </c>
      <c r="I209" s="59" t="s">
        <v>24</v>
      </c>
      <c r="J209" s="59" t="s">
        <v>24</v>
      </c>
      <c r="K209" s="59" t="s">
        <v>967</v>
      </c>
      <c r="L209" s="145" t="s">
        <v>968</v>
      </c>
      <c r="M209" s="78" t="s">
        <v>969</v>
      </c>
      <c r="N209" s="145" t="s">
        <v>970</v>
      </c>
      <c r="O209" s="14"/>
      <c r="P209" s="9"/>
      <c r="Q209" s="139">
        <v>1</v>
      </c>
      <c r="R209" s="62"/>
      <c r="T209" s="150" t="s">
        <v>32</v>
      </c>
      <c r="U209" s="69"/>
      <c r="X209" s="191">
        <v>14.55059909820557</v>
      </c>
      <c r="Y209" s="191">
        <f t="shared" si="30"/>
        <v>14.55059909820557</v>
      </c>
      <c r="Z209" s="62">
        <f t="shared" si="31"/>
        <v>14.55059909820557</v>
      </c>
    </row>
    <row r="210" spans="1:26" s="149" customFormat="1" ht="16.5" customHeight="1" thickBot="1" x14ac:dyDescent="0.25">
      <c r="A210" s="614" t="s">
        <v>971</v>
      </c>
      <c r="B210" s="598"/>
      <c r="C210" s="598"/>
      <c r="D210" s="598"/>
      <c r="E210" s="598"/>
      <c r="F210" s="598"/>
      <c r="G210" s="598"/>
      <c r="H210" s="598"/>
      <c r="I210" s="598"/>
      <c r="J210" s="598"/>
      <c r="K210" s="598"/>
      <c r="L210" s="598"/>
      <c r="M210" s="598"/>
      <c r="N210" s="598"/>
      <c r="O210" s="598"/>
      <c r="P210" s="599"/>
      <c r="Q210" s="105"/>
      <c r="R210" s="151"/>
      <c r="T210" s="150"/>
      <c r="U210" s="152"/>
      <c r="X210" s="191"/>
      <c r="Y210" s="191" t="str">
        <f t="shared" si="30"/>
        <v/>
      </c>
      <c r="Z210" s="151" t="str">
        <f t="shared" si="31"/>
        <v/>
      </c>
    </row>
    <row r="211" spans="1:26" s="68" customFormat="1" ht="110.25" customHeight="1" x14ac:dyDescent="0.2">
      <c r="A211" s="17" t="s">
        <v>24</v>
      </c>
      <c r="B211" s="92" t="s">
        <v>972</v>
      </c>
      <c r="C211" s="67" t="s">
        <v>972</v>
      </c>
      <c r="D211" s="66" t="s">
        <v>973</v>
      </c>
      <c r="E211" s="65">
        <f>LEN(D211)</f>
        <v>162</v>
      </c>
      <c r="F211" s="65"/>
      <c r="G211" s="65"/>
      <c r="H211" s="65" t="s">
        <v>36</v>
      </c>
      <c r="I211" s="65" t="s">
        <v>24</v>
      </c>
      <c r="J211" s="65" t="s">
        <v>24</v>
      </c>
      <c r="K211" s="65" t="s">
        <v>37</v>
      </c>
      <c r="L211" s="64" t="s">
        <v>974</v>
      </c>
      <c r="M211" s="78" t="s">
        <v>24</v>
      </c>
      <c r="N211" s="64" t="s">
        <v>975</v>
      </c>
      <c r="O211" s="13"/>
      <c r="P211" s="8"/>
      <c r="Q211" s="105">
        <v>1</v>
      </c>
      <c r="R211" s="62"/>
      <c r="T211" s="150" t="s">
        <v>32</v>
      </c>
      <c r="U211" s="69"/>
      <c r="X211" s="191">
        <v>14.946464538574221</v>
      </c>
      <c r="Y211" s="191">
        <f t="shared" si="30"/>
        <v>14.946464538574221</v>
      </c>
      <c r="Z211" s="62">
        <f t="shared" si="31"/>
        <v>14.946464538574221</v>
      </c>
    </row>
    <row r="212" spans="1:26" s="113" customFormat="1" ht="150.75" customHeight="1" x14ac:dyDescent="0.2">
      <c r="A212" s="111"/>
      <c r="B212" s="183" t="s">
        <v>976</v>
      </c>
      <c r="C212" s="184" t="s">
        <v>976</v>
      </c>
      <c r="D212" s="185" t="s">
        <v>977</v>
      </c>
      <c r="E212" s="366">
        <f>LEN(D212)</f>
        <v>211</v>
      </c>
      <c r="F212" s="366"/>
      <c r="G212" s="366"/>
      <c r="H212" s="430" t="s">
        <v>36</v>
      </c>
      <c r="I212" s="366" t="s">
        <v>24</v>
      </c>
      <c r="J212" s="366" t="s">
        <v>24</v>
      </c>
      <c r="K212" s="366" t="s">
        <v>37</v>
      </c>
      <c r="L212" s="186" t="s">
        <v>978</v>
      </c>
      <c r="M212" s="11" t="s">
        <v>24</v>
      </c>
      <c r="N212" s="187" t="s">
        <v>979</v>
      </c>
      <c r="O212" s="116"/>
      <c r="P212" s="115"/>
      <c r="Q212" s="136">
        <f>1</f>
        <v>1</v>
      </c>
      <c r="R212" s="112"/>
      <c r="T212" s="110" t="s">
        <v>980</v>
      </c>
      <c r="U212" s="114"/>
      <c r="X212" s="196">
        <v>10.14181709289551</v>
      </c>
      <c r="Y212" s="192">
        <f t="shared" si="30"/>
        <v>10.14181709289551</v>
      </c>
      <c r="Z212" s="62" t="str">
        <f t="shared" si="31"/>
        <v/>
      </c>
    </row>
    <row r="213" spans="1:26" s="113" customFormat="1" ht="47.25" customHeight="1" x14ac:dyDescent="0.2">
      <c r="A213" s="111"/>
      <c r="B213" s="183" t="s">
        <v>981</v>
      </c>
      <c r="C213" s="184" t="s">
        <v>981</v>
      </c>
      <c r="D213" s="188" t="s">
        <v>982</v>
      </c>
      <c r="E213" s="366">
        <f>LEN(D213)</f>
        <v>73</v>
      </c>
      <c r="F213" s="366"/>
      <c r="G213" s="366"/>
      <c r="H213" s="430" t="s">
        <v>26</v>
      </c>
      <c r="I213" s="366" t="s">
        <v>24</v>
      </c>
      <c r="J213" s="366" t="s">
        <v>24</v>
      </c>
      <c r="K213" s="366" t="s">
        <v>27</v>
      </c>
      <c r="L213" s="186" t="s">
        <v>983</v>
      </c>
      <c r="M213" s="11" t="s">
        <v>24</v>
      </c>
      <c r="N213" s="431" t="s">
        <v>984</v>
      </c>
      <c r="O213" s="117"/>
      <c r="P213" s="115"/>
      <c r="Q213" s="136">
        <f>1</f>
        <v>1</v>
      </c>
      <c r="R213" s="112"/>
      <c r="T213" s="110" t="s">
        <v>980</v>
      </c>
      <c r="U213" s="114"/>
      <c r="X213" s="196">
        <v>21.659982681274411</v>
      </c>
      <c r="Y213" s="192">
        <f t="shared" si="30"/>
        <v>21.659982681274411</v>
      </c>
      <c r="Z213" s="62" t="str">
        <f t="shared" si="31"/>
        <v/>
      </c>
    </row>
    <row r="214" spans="1:26" s="113" customFormat="1" ht="393.75" customHeight="1" x14ac:dyDescent="0.2">
      <c r="A214" s="111"/>
      <c r="B214" s="183" t="s">
        <v>985</v>
      </c>
      <c r="C214" s="184"/>
      <c r="D214" s="432" t="s">
        <v>986</v>
      </c>
      <c r="E214" s="189"/>
      <c r="F214" s="189"/>
      <c r="G214" s="189"/>
      <c r="H214" s="190" t="s">
        <v>36</v>
      </c>
      <c r="I214" s="189"/>
      <c r="J214" s="189"/>
      <c r="K214" s="189"/>
      <c r="L214" s="186"/>
      <c r="M214" s="11"/>
      <c r="N214" s="186"/>
      <c r="O214" s="109"/>
      <c r="P214" s="115"/>
      <c r="Q214" s="136"/>
      <c r="R214" s="112"/>
      <c r="T214" s="110"/>
      <c r="U214" s="114"/>
      <c r="X214" s="196"/>
      <c r="Y214" s="192"/>
      <c r="Z214" s="62"/>
    </row>
    <row r="215" spans="1:26" s="113" customFormat="1" ht="187.5" customHeight="1" x14ac:dyDescent="0.2">
      <c r="A215" s="111"/>
      <c r="B215" s="433" t="s">
        <v>987</v>
      </c>
      <c r="C215" s="184"/>
      <c r="D215" s="432" t="s">
        <v>988</v>
      </c>
      <c r="E215" s="189"/>
      <c r="F215" s="189"/>
      <c r="G215" s="189"/>
      <c r="H215" s="190"/>
      <c r="I215" s="189"/>
      <c r="J215" s="189"/>
      <c r="K215" s="189"/>
      <c r="L215" s="186"/>
      <c r="M215" s="11"/>
      <c r="N215" s="186"/>
      <c r="O215" s="109"/>
      <c r="P215" s="115"/>
      <c r="Q215" s="136"/>
      <c r="R215" s="112"/>
      <c r="T215" s="110"/>
      <c r="U215" s="114"/>
      <c r="X215" s="196"/>
      <c r="Y215" s="192"/>
      <c r="Z215" s="62"/>
    </row>
    <row r="216" spans="1:26" s="113" customFormat="1" ht="56.25" customHeight="1" x14ac:dyDescent="0.2">
      <c r="A216" s="111"/>
      <c r="B216" s="433" t="s">
        <v>989</v>
      </c>
      <c r="C216" s="184"/>
      <c r="D216" s="432" t="s">
        <v>990</v>
      </c>
      <c r="E216" s="189"/>
      <c r="F216" s="189"/>
      <c r="G216" s="189"/>
      <c r="H216" s="190"/>
      <c r="I216" s="189"/>
      <c r="J216" s="189"/>
      <c r="K216" s="189"/>
      <c r="L216" s="186"/>
      <c r="M216" s="11"/>
      <c r="N216" s="186"/>
      <c r="O216" s="109"/>
      <c r="P216" s="115"/>
      <c r="Q216" s="136"/>
      <c r="R216" s="112"/>
      <c r="T216" s="110"/>
      <c r="U216" s="114"/>
      <c r="X216" s="196"/>
      <c r="Y216" s="192"/>
      <c r="Z216" s="62"/>
    </row>
    <row r="217" spans="1:26" s="113" customFormat="1" ht="393.75" customHeight="1" x14ac:dyDescent="0.2">
      <c r="A217" s="111"/>
      <c r="B217" s="434" t="s">
        <v>991</v>
      </c>
      <c r="C217" s="184"/>
      <c r="D217" s="432" t="s">
        <v>986</v>
      </c>
      <c r="E217" s="189"/>
      <c r="F217" s="189"/>
      <c r="G217" s="189"/>
      <c r="H217" s="190"/>
      <c r="I217" s="189"/>
      <c r="J217" s="189"/>
      <c r="K217" s="189"/>
      <c r="L217" s="186"/>
      <c r="M217" s="11"/>
      <c r="N217" s="186"/>
      <c r="O217" s="109"/>
      <c r="P217" s="115"/>
      <c r="Q217" s="136"/>
      <c r="R217" s="112"/>
      <c r="T217" s="110"/>
      <c r="U217" s="114"/>
      <c r="X217" s="196"/>
      <c r="Y217" s="192"/>
      <c r="Z217" s="62"/>
    </row>
    <row r="218" spans="1:26" s="60" customFormat="1" x14ac:dyDescent="0.2">
      <c r="A218" s="104"/>
      <c r="B218" s="103"/>
      <c r="C218" s="102"/>
      <c r="D218" s="101"/>
      <c r="E218" s="100"/>
      <c r="F218" s="100"/>
      <c r="G218" s="100"/>
      <c r="H218" s="100"/>
      <c r="I218" s="435"/>
      <c r="J218" s="435"/>
      <c r="K218" s="435"/>
      <c r="L218" s="99"/>
      <c r="M218" s="12"/>
      <c r="N218" s="99"/>
      <c r="O218" s="98"/>
      <c r="P218" s="97"/>
      <c r="Q218" s="139">
        <v>1</v>
      </c>
      <c r="R218" s="62"/>
      <c r="T218" s="61"/>
      <c r="X218" s="197"/>
      <c r="Y218" s="192" t="str">
        <f>IF(X218="","",X218*Q218)</f>
        <v/>
      </c>
      <c r="Z218" s="62" t="str">
        <f>IF(T218="yes",Y218,"")</f>
        <v/>
      </c>
    </row>
    <row r="219" spans="1:26" s="91" customFormat="1" ht="94.5" customHeight="1" thickBot="1" x14ac:dyDescent="0.25">
      <c r="A219" s="135" t="s">
        <v>24</v>
      </c>
      <c r="B219" s="436" t="s">
        <v>992</v>
      </c>
      <c r="C219" s="406" t="s">
        <v>992</v>
      </c>
      <c r="D219" s="170" t="s">
        <v>993</v>
      </c>
      <c r="E219" s="363">
        <f>LEN(D219)</f>
        <v>158</v>
      </c>
      <c r="F219" s="363"/>
      <c r="G219" s="363"/>
      <c r="H219" s="363" t="s">
        <v>36</v>
      </c>
      <c r="I219" s="363" t="s">
        <v>24</v>
      </c>
      <c r="J219" s="363" t="s">
        <v>24</v>
      </c>
      <c r="K219" s="363" t="s">
        <v>37</v>
      </c>
      <c r="L219" s="74" t="s">
        <v>994</v>
      </c>
      <c r="M219" s="78" t="s">
        <v>24</v>
      </c>
      <c r="N219" s="96" t="s">
        <v>24</v>
      </c>
      <c r="O219" s="53"/>
      <c r="P219" s="95"/>
      <c r="Q219" s="105">
        <v>1</v>
      </c>
      <c r="R219" s="62"/>
      <c r="T219" s="150" t="s">
        <v>32</v>
      </c>
      <c r="U219" s="69"/>
      <c r="X219" s="191">
        <v>17.309154088391789</v>
      </c>
      <c r="Y219" s="191">
        <f>IF(X219="","",X219*Q219)</f>
        <v>17.309154088391789</v>
      </c>
      <c r="Z219" s="62">
        <f>IF(T219="yes",Y219,"")</f>
        <v>17.309154088391789</v>
      </c>
    </row>
    <row r="220" spans="1:26" s="68" customFormat="1" ht="48" customHeight="1" thickBot="1" x14ac:dyDescent="0.25">
      <c r="A220" s="134" t="s">
        <v>24</v>
      </c>
      <c r="B220" s="90" t="s">
        <v>995</v>
      </c>
      <c r="C220" s="58" t="s">
        <v>995</v>
      </c>
      <c r="D220" s="57" t="s">
        <v>996</v>
      </c>
      <c r="E220" s="56">
        <f>LEN(D220)</f>
        <v>141</v>
      </c>
      <c r="F220" s="56"/>
      <c r="G220" s="56"/>
      <c r="H220" s="56" t="s">
        <v>24</v>
      </c>
      <c r="I220" s="56" t="s">
        <v>24</v>
      </c>
      <c r="J220" s="56" t="s">
        <v>24</v>
      </c>
      <c r="K220" s="56" t="s">
        <v>24</v>
      </c>
      <c r="L220" s="55" t="s">
        <v>24</v>
      </c>
      <c r="M220" s="55"/>
      <c r="N220" s="54" t="s">
        <v>24</v>
      </c>
      <c r="O220" s="15"/>
      <c r="P220" s="16"/>
      <c r="Q220" s="105">
        <v>1</v>
      </c>
      <c r="R220" s="69"/>
      <c r="T220" s="70" t="s">
        <v>23</v>
      </c>
      <c r="U220" s="69"/>
      <c r="X220" s="198"/>
      <c r="Y220" s="191" t="str">
        <f>IF(X220="","",X220*Q220)</f>
        <v/>
      </c>
      <c r="Z220" s="62" t="str">
        <f>IF(T220="yes",Y220,"")</f>
        <v/>
      </c>
    </row>
    <row r="221" spans="1:26" x14ac:dyDescent="0.2">
      <c r="X221" s="199"/>
    </row>
    <row r="222" spans="1:26" ht="16.5" customHeight="1" thickBot="1" x14ac:dyDescent="0.25"/>
    <row r="223" spans="1:26" ht="18" customHeight="1" thickBot="1" x14ac:dyDescent="0.25">
      <c r="D223" s="89" t="s">
        <v>997</v>
      </c>
      <c r="E223" s="88"/>
      <c r="F223" s="88"/>
      <c r="G223" s="88"/>
      <c r="H223" s="88"/>
      <c r="I223" s="88"/>
      <c r="J223" s="88"/>
      <c r="K223" s="88"/>
      <c r="L223" s="88"/>
      <c r="M223" s="88"/>
      <c r="N223" s="88"/>
      <c r="O223" s="88"/>
      <c r="P223" s="88"/>
      <c r="Q223" s="128"/>
      <c r="X223" s="129"/>
      <c r="Y223" s="156">
        <f>(SUM(Y5:Y221))/60</f>
        <v>23.550164683463713</v>
      </c>
      <c r="Z223" s="155">
        <f>SUM(Z2:Z220)/60</f>
        <v>15.01352129162556</v>
      </c>
    </row>
    <row r="224" spans="1:26" ht="16.5" hidden="1" customHeight="1" thickBot="1" x14ac:dyDescent="0.25">
      <c r="D224" s="133" t="s">
        <v>998</v>
      </c>
      <c r="E224" s="132"/>
      <c r="F224" s="132"/>
      <c r="G224" s="132"/>
      <c r="H224" s="132"/>
      <c r="I224" s="132"/>
      <c r="J224" s="132"/>
      <c r="K224" s="132"/>
      <c r="L224" s="132"/>
      <c r="M224" s="132"/>
      <c r="N224" s="132"/>
      <c r="O224" s="132"/>
      <c r="P224" s="132"/>
      <c r="Q224" s="130"/>
      <c r="X224" s="131"/>
      <c r="Y224" s="157">
        <f>(SUM(Y6:Y144)+SUM(Y160:Y221))/60</f>
        <v>23.45052151441827</v>
      </c>
    </row>
    <row r="225" spans="4:25" ht="16.5" customHeight="1" thickBot="1" x14ac:dyDescent="0.25">
      <c r="D225" s="89" t="s">
        <v>999</v>
      </c>
      <c r="E225" s="88"/>
      <c r="F225" s="88"/>
      <c r="G225" s="88"/>
      <c r="H225" s="88"/>
      <c r="I225" s="88"/>
      <c r="J225" s="88"/>
      <c r="K225" s="88"/>
      <c r="L225" s="88"/>
      <c r="M225" s="88"/>
      <c r="N225" s="88"/>
      <c r="O225" s="88"/>
      <c r="P225" s="88"/>
      <c r="Q225" s="128"/>
      <c r="X225" s="129"/>
      <c r="Y225" s="158">
        <f>(SUM(Y6:Y22)+SUM(Y23:Y144)+SUM(Y159:Y211)+SUM(Y218:Y221))/60</f>
        <v>22.9204915181821</v>
      </c>
    </row>
  </sheetData>
  <autoFilter ref="A3:XEP3" xr:uid="{00000000-0009-0000-0000-000000000000}"/>
  <mergeCells count="18">
    <mergeCell ref="A204:P204"/>
    <mergeCell ref="A210:P210"/>
    <mergeCell ref="A109:P109"/>
    <mergeCell ref="A124:P124"/>
    <mergeCell ref="A131:P131"/>
    <mergeCell ref="A140:P140"/>
    <mergeCell ref="A147:P147"/>
    <mergeCell ref="A159:P159"/>
    <mergeCell ref="P118:P121"/>
    <mergeCell ref="A66:P66"/>
    <mergeCell ref="A154:P154"/>
    <mergeCell ref="P56:P65"/>
    <mergeCell ref="P49:P52"/>
    <mergeCell ref="A1:P1"/>
    <mergeCell ref="A2:O2"/>
    <mergeCell ref="P2:P3"/>
    <mergeCell ref="A4:P4"/>
    <mergeCell ref="A20:P20"/>
  </mergeCells>
  <conditionalFormatting sqref="B14:B18">
    <cfRule type="duplicateValues" dxfId="154" priority="666"/>
  </conditionalFormatting>
  <conditionalFormatting sqref="B19">
    <cfRule type="duplicateValues" dxfId="153" priority="665"/>
  </conditionalFormatting>
  <conditionalFormatting sqref="B23">
    <cfRule type="duplicateValues" dxfId="152" priority="1426"/>
  </conditionalFormatting>
  <conditionalFormatting sqref="B24:B37">
    <cfRule type="duplicateValues" dxfId="151" priority="106"/>
    <cfRule type="duplicateValues" dxfId="150" priority="107"/>
  </conditionalFormatting>
  <conditionalFormatting sqref="B38">
    <cfRule type="duplicateValues" dxfId="149" priority="275"/>
  </conditionalFormatting>
  <conditionalFormatting sqref="B39">
    <cfRule type="duplicateValues" dxfId="148" priority="269"/>
    <cfRule type="duplicateValues" dxfId="147" priority="270"/>
  </conditionalFormatting>
  <conditionalFormatting sqref="B41:B44">
    <cfRule type="duplicateValues" dxfId="146" priority="19"/>
    <cfRule type="duplicateValues" dxfId="145" priority="20"/>
  </conditionalFormatting>
  <conditionalFormatting sqref="B49:B53">
    <cfRule type="duplicateValues" dxfId="144" priority="264"/>
    <cfRule type="duplicateValues" dxfId="143" priority="268"/>
  </conditionalFormatting>
  <conditionalFormatting sqref="B56:B64">
    <cfRule type="duplicateValues" dxfId="142" priority="677"/>
  </conditionalFormatting>
  <conditionalFormatting sqref="B65">
    <cfRule type="duplicateValues" dxfId="141" priority="73"/>
  </conditionalFormatting>
  <conditionalFormatting sqref="B67:B68">
    <cfRule type="duplicateValues" dxfId="140" priority="262"/>
  </conditionalFormatting>
  <conditionalFormatting sqref="B70:B72">
    <cfRule type="duplicateValues" dxfId="139" priority="1161"/>
  </conditionalFormatting>
  <conditionalFormatting sqref="B73:B74">
    <cfRule type="duplicateValues" dxfId="138" priority="261"/>
  </conditionalFormatting>
  <conditionalFormatting sqref="B75">
    <cfRule type="duplicateValues" dxfId="137" priority="71"/>
  </conditionalFormatting>
  <conditionalFormatting sqref="B77">
    <cfRule type="duplicateValues" dxfId="136" priority="260"/>
  </conditionalFormatting>
  <conditionalFormatting sqref="B78">
    <cfRule type="duplicateValues" dxfId="135" priority="70"/>
  </conditionalFormatting>
  <conditionalFormatting sqref="B80:B82">
    <cfRule type="duplicateValues" dxfId="134" priority="281"/>
  </conditionalFormatting>
  <conditionalFormatting sqref="B83">
    <cfRule type="duplicateValues" dxfId="133" priority="259"/>
  </conditionalFormatting>
  <conditionalFormatting sqref="B84">
    <cfRule type="duplicateValues" dxfId="132" priority="252"/>
    <cfRule type="duplicateValues" dxfId="131" priority="254"/>
  </conditionalFormatting>
  <conditionalFormatting sqref="B85">
    <cfRule type="duplicateValues" dxfId="130" priority="67"/>
  </conditionalFormatting>
  <conditionalFormatting sqref="B88:B90">
    <cfRule type="duplicateValues" dxfId="129" priority="277"/>
  </conditionalFormatting>
  <conditionalFormatting sqref="B91">
    <cfRule type="duplicateValues" dxfId="128" priority="258"/>
  </conditionalFormatting>
  <conditionalFormatting sqref="B92">
    <cfRule type="duplicateValues" dxfId="127" priority="250"/>
    <cfRule type="duplicateValues" dxfId="126" priority="251"/>
  </conditionalFormatting>
  <conditionalFormatting sqref="B93">
    <cfRule type="duplicateValues" dxfId="125" priority="62"/>
  </conditionalFormatting>
  <conditionalFormatting sqref="B94">
    <cfRule type="duplicateValues" dxfId="124" priority="1196"/>
  </conditionalFormatting>
  <conditionalFormatting sqref="B95">
    <cfRule type="duplicateValues" dxfId="123" priority="257"/>
  </conditionalFormatting>
  <conditionalFormatting sqref="B98:B99">
    <cfRule type="duplicateValues" dxfId="122" priority="256"/>
  </conditionalFormatting>
  <conditionalFormatting sqref="B100:B101">
    <cfRule type="duplicateValues" dxfId="121" priority="255"/>
  </conditionalFormatting>
  <conditionalFormatting sqref="B116:B117">
    <cfRule type="duplicateValues" dxfId="120" priority="1229"/>
  </conditionalFormatting>
  <conditionalFormatting sqref="B123">
    <cfRule type="duplicateValues" dxfId="119" priority="669"/>
  </conditionalFormatting>
  <conditionalFormatting sqref="B125">
    <cfRule type="duplicateValues" dxfId="118" priority="1265"/>
  </conditionalFormatting>
  <conditionalFormatting sqref="B137">
    <cfRule type="duplicateValues" dxfId="117" priority="670"/>
  </conditionalFormatting>
  <conditionalFormatting sqref="B139">
    <cfRule type="duplicateValues" dxfId="116" priority="667"/>
    <cfRule type="duplicateValues" dxfId="115" priority="668"/>
  </conditionalFormatting>
  <conditionalFormatting sqref="B143">
    <cfRule type="duplicateValues" dxfId="114" priority="1297"/>
  </conditionalFormatting>
  <conditionalFormatting sqref="B148">
    <cfRule type="duplicateValues" dxfId="113" priority="625"/>
  </conditionalFormatting>
  <conditionalFormatting sqref="B149">
    <cfRule type="duplicateValues" dxfId="112" priority="1329"/>
  </conditionalFormatting>
  <conditionalFormatting sqref="B156:B158">
    <cfRule type="duplicateValues" dxfId="111" priority="1361"/>
  </conditionalFormatting>
  <conditionalFormatting sqref="B160">
    <cfRule type="duplicateValues" dxfId="110" priority="273"/>
  </conditionalFormatting>
  <conditionalFormatting sqref="B166">
    <cfRule type="duplicateValues" dxfId="109" priority="650"/>
  </conditionalFormatting>
  <conditionalFormatting sqref="B167">
    <cfRule type="duplicateValues" dxfId="108" priority="648"/>
  </conditionalFormatting>
  <conditionalFormatting sqref="B169">
    <cfRule type="duplicateValues" dxfId="107" priority="646"/>
  </conditionalFormatting>
  <conditionalFormatting sqref="B171">
    <cfRule type="duplicateValues" dxfId="106" priority="644"/>
  </conditionalFormatting>
  <conditionalFormatting sqref="B186">
    <cfRule type="duplicateValues" dxfId="105" priority="675"/>
  </conditionalFormatting>
  <conditionalFormatting sqref="B207">
    <cfRule type="duplicateValues" dxfId="104" priority="2"/>
  </conditionalFormatting>
  <conditionalFormatting sqref="B208">
    <cfRule type="duplicateValues" dxfId="103" priority="1"/>
  </conditionalFormatting>
  <conditionalFormatting sqref="B212:B214">
    <cfRule type="duplicateValues" dxfId="102" priority="248"/>
  </conditionalFormatting>
  <conditionalFormatting sqref="B215:B217">
    <cfRule type="duplicateValues" dxfId="101" priority="189"/>
  </conditionalFormatting>
  <conditionalFormatting sqref="B219:B224 B211 B205:B206 B185 B122 B113:B114 B103:B108 B86:B87 B76 B69 B2:B3 B5 B7:B19 B21:B22 B40 B46:B47 B54:B55 B79 B126:B128 B133:B136 B138:B139 B141:B142 B144 B150:B153 B155 B161:B165 B168 B170 B226:B1048576 B209">
    <cfRule type="duplicateValues" dxfId="100" priority="672"/>
  </conditionalFormatting>
  <conditionalFormatting sqref="B225">
    <cfRule type="duplicateValues" dxfId="99" priority="440"/>
  </conditionalFormatting>
  <conditionalFormatting sqref="C40">
    <cfRule type="duplicateValues" dxfId="98" priority="1128"/>
  </conditionalFormatting>
  <conditionalFormatting sqref="C41:C44">
    <cfRule type="duplicateValues" dxfId="97" priority="21"/>
  </conditionalFormatting>
  <conditionalFormatting sqref="C49:C53">
    <cfRule type="duplicateValues" dxfId="96" priority="267"/>
  </conditionalFormatting>
  <conditionalFormatting sqref="C54">
    <cfRule type="duplicateValues" dxfId="95" priority="957"/>
  </conditionalFormatting>
  <conditionalFormatting sqref="C56 C65">
    <cfRule type="duplicateValues" dxfId="94" priority="974"/>
  </conditionalFormatting>
  <conditionalFormatting sqref="C57:C64">
    <cfRule type="duplicateValues" dxfId="93" priority="22"/>
  </conditionalFormatting>
  <conditionalFormatting sqref="C70">
    <cfRule type="duplicateValues" dxfId="92" priority="283"/>
  </conditionalFormatting>
  <conditionalFormatting sqref="C71">
    <cfRule type="duplicateValues" dxfId="91" priority="282"/>
  </conditionalFormatting>
  <conditionalFormatting sqref="C72">
    <cfRule type="duplicateValues" dxfId="90" priority="1163"/>
  </conditionalFormatting>
  <conditionalFormatting sqref="C73:C74">
    <cfRule type="duplicateValues" dxfId="89" priority="982"/>
  </conditionalFormatting>
  <conditionalFormatting sqref="C75">
    <cfRule type="duplicateValues" dxfId="88" priority="72"/>
  </conditionalFormatting>
  <conditionalFormatting sqref="C80">
    <cfRule type="duplicateValues" dxfId="87" priority="279"/>
  </conditionalFormatting>
  <conditionalFormatting sqref="C81">
    <cfRule type="duplicateValues" dxfId="86" priority="278"/>
  </conditionalFormatting>
  <conditionalFormatting sqref="C82">
    <cfRule type="duplicateValues" dxfId="85" priority="280"/>
  </conditionalFormatting>
  <conditionalFormatting sqref="C83">
    <cfRule type="duplicateValues" dxfId="84" priority="69"/>
  </conditionalFormatting>
  <conditionalFormatting sqref="C84">
    <cfRule type="duplicateValues" dxfId="83" priority="253"/>
  </conditionalFormatting>
  <conditionalFormatting sqref="C85">
    <cfRule type="duplicateValues" dxfId="82" priority="68"/>
  </conditionalFormatting>
  <conditionalFormatting sqref="C88:C90">
    <cfRule type="duplicateValues" dxfId="81" priority="276"/>
  </conditionalFormatting>
  <conditionalFormatting sqref="C91">
    <cfRule type="duplicateValues" dxfId="80" priority="66"/>
  </conditionalFormatting>
  <conditionalFormatting sqref="C92">
    <cfRule type="duplicateValues" dxfId="79" priority="64"/>
    <cfRule type="duplicateValues" dxfId="78" priority="65"/>
  </conditionalFormatting>
  <conditionalFormatting sqref="C93">
    <cfRule type="duplicateValues" dxfId="77" priority="63"/>
  </conditionalFormatting>
  <conditionalFormatting sqref="C116:C117">
    <cfRule type="duplicateValues" dxfId="76" priority="1232"/>
  </conditionalFormatting>
  <conditionalFormatting sqref="C125">
    <cfRule type="duplicateValues" dxfId="75" priority="980"/>
  </conditionalFormatting>
  <conditionalFormatting sqref="C156">
    <cfRule type="duplicateValues" dxfId="74" priority="950"/>
  </conditionalFormatting>
  <conditionalFormatting sqref="C160">
    <cfRule type="duplicateValues" dxfId="73" priority="272"/>
  </conditionalFormatting>
  <conditionalFormatting sqref="C166">
    <cfRule type="duplicateValues" dxfId="72" priority="951"/>
  </conditionalFormatting>
  <conditionalFormatting sqref="C167">
    <cfRule type="duplicateValues" dxfId="71" priority="952"/>
  </conditionalFormatting>
  <conditionalFormatting sqref="C169">
    <cfRule type="duplicateValues" dxfId="70" priority="953"/>
  </conditionalFormatting>
  <conditionalFormatting sqref="C171">
    <cfRule type="duplicateValues" dxfId="69" priority="954"/>
  </conditionalFormatting>
  <conditionalFormatting sqref="C186">
    <cfRule type="duplicateValues" dxfId="68" priority="961"/>
  </conditionalFormatting>
  <conditionalFormatting sqref="C187">
    <cfRule type="duplicateValues" dxfId="67" priority="18"/>
  </conditionalFormatting>
  <conditionalFormatting sqref="C188">
    <cfRule type="duplicateValues" dxfId="66" priority="17"/>
  </conditionalFormatting>
  <conditionalFormatting sqref="C189">
    <cfRule type="duplicateValues" dxfId="65" priority="16"/>
  </conditionalFormatting>
  <conditionalFormatting sqref="C190">
    <cfRule type="duplicateValues" dxfId="64" priority="15"/>
  </conditionalFormatting>
  <conditionalFormatting sqref="C191">
    <cfRule type="duplicateValues" dxfId="63" priority="14"/>
  </conditionalFormatting>
  <conditionalFormatting sqref="C192">
    <cfRule type="duplicateValues" dxfId="62" priority="13"/>
  </conditionalFormatting>
  <conditionalFormatting sqref="C193">
    <cfRule type="duplicateValues" dxfId="61" priority="12"/>
  </conditionalFormatting>
  <conditionalFormatting sqref="C194">
    <cfRule type="duplicateValues" dxfId="60" priority="11"/>
  </conditionalFormatting>
  <conditionalFormatting sqref="C196:C198">
    <cfRule type="duplicateValues" dxfId="59" priority="40"/>
  </conditionalFormatting>
  <conditionalFormatting sqref="C199">
    <cfRule type="duplicateValues" dxfId="58" priority="39"/>
  </conditionalFormatting>
  <conditionalFormatting sqref="C200">
    <cfRule type="duplicateValues" dxfId="57" priority="37"/>
  </conditionalFormatting>
  <conditionalFormatting sqref="C201">
    <cfRule type="duplicateValues" dxfId="56" priority="38"/>
  </conditionalFormatting>
  <conditionalFormatting sqref="C203">
    <cfRule type="duplicateValues" dxfId="55" priority="968"/>
  </conditionalFormatting>
  <conditionalFormatting sqref="C212:C217">
    <cfRule type="duplicateValues" dxfId="54" priority="249"/>
  </conditionalFormatting>
  <conditionalFormatting sqref="D46">
    <cfRule type="cellIs" dxfId="53" priority="636" operator="notEqual">
      <formula>$D$46</formula>
    </cfRule>
  </conditionalFormatting>
  <conditionalFormatting sqref="D212:D218">
    <cfRule type="expression" dxfId="52" priority="160" stopIfTrue="1">
      <formula>OR($A212="audio", $A212="video")</formula>
    </cfRule>
    <cfRule type="expression" dxfId="51" priority="161" stopIfTrue="1">
      <formula>OR($A212="audio", $A212="video")</formula>
    </cfRule>
    <cfRule type="expression" dxfId="50" priority="162" stopIfTrue="1">
      <formula>$A212="image"</formula>
    </cfRule>
    <cfRule type="expression" dxfId="49" priority="163" stopIfTrue="1">
      <formula>$A212="image"</formula>
    </cfRule>
    <cfRule type="expression" dxfId="48" priority="164" stopIfTrue="1">
      <formula>OR($A212="date", $A212="datetime")</formula>
    </cfRule>
    <cfRule type="expression" dxfId="47" priority="165" stopIfTrue="1">
      <formula>OR($A212="date", $A212="datetime")</formula>
    </cfRule>
    <cfRule type="expression" dxfId="46" priority="166" stopIfTrue="1">
      <formula>OR($A212="calculate", $A212="calculate_here")</formula>
    </cfRule>
    <cfRule type="expression" dxfId="45" priority="167" stopIfTrue="1">
      <formula>$A212="note"</formula>
    </cfRule>
    <cfRule type="expression" dxfId="44" priority="168" stopIfTrue="1">
      <formula>$A212="note"</formula>
    </cfRule>
    <cfRule type="expression" dxfId="43" priority="169" stopIfTrue="1">
      <formula>$A212="barcode"</formula>
    </cfRule>
    <cfRule type="expression" dxfId="42" priority="170" stopIfTrue="1">
      <formula>$A212="barcode"</formula>
    </cfRule>
    <cfRule type="expression" dxfId="41" priority="171" stopIfTrue="1">
      <formula>$A212="geopoint"</formula>
    </cfRule>
    <cfRule type="expression" dxfId="40" priority="172" stopIfTrue="1">
      <formula>$A212="geopoint"</formula>
    </cfRule>
    <cfRule type="expression" dxfId="39" priority="173" stopIfTrue="1">
      <formula>OR($A212="audio audit", $A212="text audit")</formula>
    </cfRule>
    <cfRule type="expression" dxfId="38" priority="174" stopIfTrue="1">
      <formula>OR($A212="username", $A212="phonenumber", $A212="start", $A212="end", $A212="deviceid", $A212="subscriberid", $A212="simserial")</formula>
    </cfRule>
    <cfRule type="expression" dxfId="37" priority="175" stopIfTrue="1">
      <formula>OR(AND(LEFT($A212, 16)="select_multiple ", LEN($A212)&gt;16, NOT(ISNUMBER(SEARCH(" ", $A212, 17)))), AND(LEFT($A212, 11)="select_one ", LEN($A212)&gt;11, NOT(ISNUMBER(SEARCH(" ", $A212, 12)))))</formula>
    </cfRule>
    <cfRule type="expression" dxfId="36" priority="176" stopIfTrue="1">
      <formula>OR(AND(LEFT($A212, 16)="select_multiple ", LEN($A212)&gt;16, NOT(ISNUMBER(SEARCH(" ", $A212, 17)))), AND(LEFT($A212, 11)="select_one ", LEN($A212)&gt;11, NOT(ISNUMBER(SEARCH(" ", $A212, 12)))))</formula>
    </cfRule>
    <cfRule type="expression" dxfId="35" priority="177" stopIfTrue="1">
      <formula>$A212="decimal"</formula>
    </cfRule>
    <cfRule type="expression" dxfId="34" priority="178" stopIfTrue="1">
      <formula>$A212="decimal"</formula>
    </cfRule>
    <cfRule type="expression" dxfId="33" priority="179" stopIfTrue="1">
      <formula>$A212="integer"</formula>
    </cfRule>
    <cfRule type="expression" dxfId="32" priority="180" stopIfTrue="1">
      <formula>$A212="integer"</formula>
    </cfRule>
    <cfRule type="expression" dxfId="31" priority="181" stopIfTrue="1">
      <formula>$A212="text"</formula>
    </cfRule>
    <cfRule type="expression" dxfId="30" priority="182" stopIfTrue="1">
      <formula>$A212="text"</formula>
    </cfRule>
    <cfRule type="expression" dxfId="29" priority="183" stopIfTrue="1">
      <formula>$A212="end repeat"</formula>
    </cfRule>
    <cfRule type="expression" dxfId="28" priority="184" stopIfTrue="1">
      <formula>$A212="begin repeat"</formula>
    </cfRule>
    <cfRule type="expression" dxfId="27" priority="185" stopIfTrue="1">
      <formula>$A212="begin repeat"</formula>
    </cfRule>
    <cfRule type="expression" dxfId="26" priority="186" stopIfTrue="1">
      <formula>$A212="end group"</formula>
    </cfRule>
    <cfRule type="expression" dxfId="25" priority="187" stopIfTrue="1">
      <formula>$A212="begin group"</formula>
    </cfRule>
    <cfRule type="expression" dxfId="24" priority="188" stopIfTrue="1">
      <formula>$A212="begin group"</formula>
    </cfRule>
  </conditionalFormatting>
  <conditionalFormatting sqref="F7:F12">
    <cfRule type="cellIs" dxfId="23" priority="116" operator="equal">
      <formula>#VALUE!</formula>
    </cfRule>
    <cfRule type="cellIs" dxfId="22" priority="117" operator="equal">
      <formula>#N/A</formula>
    </cfRule>
  </conditionalFormatting>
  <conditionalFormatting sqref="F14:F19">
    <cfRule type="cellIs" dxfId="21" priority="108" operator="equal">
      <formula>#VALUE!</formula>
    </cfRule>
    <cfRule type="cellIs" dxfId="20" priority="109" operator="equal">
      <formula>#N/A</formula>
    </cfRule>
  </conditionalFormatting>
  <conditionalFormatting sqref="F129:F130">
    <cfRule type="cellIs" dxfId="19" priority="27" operator="equal">
      <formula>#VALUE!</formula>
    </cfRule>
    <cfRule type="cellIs" dxfId="18" priority="28" operator="equal">
      <formula>#N/A</formula>
    </cfRule>
  </conditionalFormatting>
  <conditionalFormatting sqref="F145:F146">
    <cfRule type="cellIs" dxfId="17" priority="23" operator="equal">
      <formula>#VALUE!</formula>
    </cfRule>
    <cfRule type="cellIs" dxfId="16" priority="24" operator="equal">
      <formula>#N/A</formula>
    </cfRule>
  </conditionalFormatting>
  <conditionalFormatting sqref="F160">
    <cfRule type="cellIs" dxfId="15" priority="60" operator="equal">
      <formula>#VALUE!</formula>
    </cfRule>
    <cfRule type="cellIs" dxfId="14" priority="61" operator="equal">
      <formula>#N/A</formula>
    </cfRule>
  </conditionalFormatting>
  <conditionalFormatting sqref="F164:F166">
    <cfRule type="cellIs" dxfId="13" priority="54" operator="equal">
      <formula>#VALUE!</formula>
    </cfRule>
    <cfRule type="cellIs" dxfId="12" priority="55" operator="equal">
      <formula>#N/A</formula>
    </cfRule>
  </conditionalFormatting>
  <conditionalFormatting sqref="F170">
    <cfRule type="cellIs" dxfId="11" priority="52" operator="equal">
      <formula>#VALUE!</formula>
    </cfRule>
    <cfRule type="cellIs" dxfId="10" priority="53" operator="equal">
      <formula>#N/A</formula>
    </cfRule>
  </conditionalFormatting>
  <conditionalFormatting sqref="F186:F188">
    <cfRule type="cellIs" dxfId="9" priority="7" operator="equal">
      <formula>#VALUE!</formula>
    </cfRule>
    <cfRule type="cellIs" dxfId="8" priority="8" operator="equal">
      <formula>#N/A</formula>
    </cfRule>
  </conditionalFormatting>
  <conditionalFormatting sqref="F189:F190">
    <cfRule type="cellIs" dxfId="7" priority="5" operator="equal">
      <formula>#VALUE!</formula>
    </cfRule>
    <cfRule type="cellIs" dxfId="6" priority="6" operator="equal">
      <formula>#N/A</formula>
    </cfRule>
  </conditionalFormatting>
  <conditionalFormatting sqref="F191:F194">
    <cfRule type="cellIs" dxfId="5" priority="3" operator="equal">
      <formula>#VALUE!</formula>
    </cfRule>
    <cfRule type="cellIs" dxfId="4" priority="4" operator="equal">
      <formula>#N/A</formula>
    </cfRule>
  </conditionalFormatting>
  <conditionalFormatting sqref="F202">
    <cfRule type="cellIs" dxfId="3" priority="35" operator="equal">
      <formula>#VALUE!</formula>
    </cfRule>
    <cfRule type="cellIs" dxfId="2" priority="36" operator="equal">
      <formula>#N/A</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4"/>
  <sheetViews>
    <sheetView workbookViewId="0">
      <pane ySplit="3" topLeftCell="A22" activePane="bottomLeft" state="frozen"/>
      <selection activeCell="D69" sqref="D69"/>
      <selection pane="bottomLeft" activeCell="C76" sqref="C76"/>
    </sheetView>
  </sheetViews>
  <sheetFormatPr baseColWidth="10" defaultColWidth="10.83203125" defaultRowHeight="15" x14ac:dyDescent="0.2"/>
  <cols>
    <col min="1" max="2" width="10.83203125" style="1" customWidth="1"/>
    <col min="3" max="3" width="15.1640625" style="2" customWidth="1"/>
    <col min="4" max="4" width="10.83203125" style="120" hidden="1" customWidth="1"/>
    <col min="5" max="5" width="10.83203125" style="120" customWidth="1"/>
    <col min="6" max="6" width="41.5" style="1" customWidth="1"/>
    <col min="7" max="8" width="10.83203125" style="1" customWidth="1"/>
    <col min="9" max="16384" width="10.83203125" style="1"/>
  </cols>
  <sheetData>
    <row r="2" spans="2:6" x14ac:dyDescent="0.2">
      <c r="C2" s="4"/>
      <c r="D2" s="118"/>
      <c r="E2" s="118"/>
      <c r="F2" s="5"/>
    </row>
    <row r="3" spans="2:6" ht="30" customHeight="1" x14ac:dyDescent="0.2">
      <c r="B3" s="3"/>
      <c r="C3" s="437" t="s">
        <v>1000</v>
      </c>
      <c r="D3" s="438" t="s">
        <v>1001</v>
      </c>
      <c r="E3" s="438" t="s">
        <v>1002</v>
      </c>
      <c r="F3" s="438" t="s">
        <v>1003</v>
      </c>
    </row>
    <row r="4" spans="2:6" ht="15.75" customHeight="1" x14ac:dyDescent="0.2">
      <c r="B4" s="3"/>
      <c r="C4" s="439" t="s">
        <v>1004</v>
      </c>
      <c r="D4" s="440">
        <f t="array" ref="D4:D93">_xlfn.SEQUENCE(90,1,1,1)</f>
        <v>1</v>
      </c>
      <c r="E4" s="441" t="s">
        <v>1005</v>
      </c>
      <c r="F4" s="440" t="s">
        <v>1006</v>
      </c>
    </row>
    <row r="5" spans="2:6" ht="15.75" customHeight="1" x14ac:dyDescent="0.2">
      <c r="B5" s="3"/>
      <c r="C5" s="439" t="s">
        <v>1004</v>
      </c>
      <c r="D5" s="440">
        <v>2</v>
      </c>
      <c r="E5" s="441" t="s">
        <v>1007</v>
      </c>
      <c r="F5" s="440" t="s">
        <v>1008</v>
      </c>
    </row>
    <row r="6" spans="2:6" ht="15.75" customHeight="1" x14ac:dyDescent="0.2">
      <c r="B6" s="3"/>
      <c r="C6" s="439"/>
      <c r="D6" s="440">
        <v>3</v>
      </c>
      <c r="E6" s="441" t="s">
        <v>1009</v>
      </c>
      <c r="F6" s="440" t="s">
        <v>1010</v>
      </c>
    </row>
    <row r="7" spans="2:6" ht="15.75" customHeight="1" x14ac:dyDescent="0.2">
      <c r="B7" s="3"/>
      <c r="C7" s="439"/>
      <c r="D7" s="440">
        <v>4</v>
      </c>
      <c r="E7" s="441" t="s">
        <v>1011</v>
      </c>
      <c r="F7" s="440" t="s">
        <v>1012</v>
      </c>
    </row>
    <row r="8" spans="2:6" ht="15.75" customHeight="1" x14ac:dyDescent="0.2">
      <c r="B8" s="3"/>
      <c r="C8" s="439" t="s">
        <v>1004</v>
      </c>
      <c r="D8" s="440">
        <v>5</v>
      </c>
      <c r="E8" s="441" t="s">
        <v>1013</v>
      </c>
      <c r="F8" s="440" t="s">
        <v>1014</v>
      </c>
    </row>
    <row r="9" spans="2:6" ht="15.75" customHeight="1" x14ac:dyDescent="0.2">
      <c r="B9" s="3"/>
      <c r="C9" s="439"/>
      <c r="D9" s="440">
        <v>6</v>
      </c>
      <c r="E9" s="441" t="s">
        <v>1015</v>
      </c>
      <c r="F9" s="440" t="s">
        <v>1016</v>
      </c>
    </row>
    <row r="10" spans="2:6" ht="15.75" customHeight="1" x14ac:dyDescent="0.2">
      <c r="B10" s="3"/>
      <c r="C10" s="442"/>
      <c r="D10" s="440">
        <v>7</v>
      </c>
      <c r="E10" s="441" t="s">
        <v>1017</v>
      </c>
      <c r="F10" s="443" t="s">
        <v>1018</v>
      </c>
    </row>
    <row r="11" spans="2:6" ht="15.75" customHeight="1" x14ac:dyDescent="0.2">
      <c r="B11" s="3"/>
      <c r="C11" s="439"/>
      <c r="D11" s="440">
        <v>8</v>
      </c>
      <c r="E11" s="441" t="s">
        <v>1019</v>
      </c>
      <c r="F11" s="440" t="s">
        <v>1020</v>
      </c>
    </row>
    <row r="12" spans="2:6" ht="15.75" customHeight="1" x14ac:dyDescent="0.2">
      <c r="B12" s="3"/>
      <c r="C12" s="439" t="s">
        <v>1004</v>
      </c>
      <c r="D12" s="440">
        <v>9</v>
      </c>
      <c r="E12" s="441" t="s">
        <v>1021</v>
      </c>
      <c r="F12" s="440" t="s">
        <v>1022</v>
      </c>
    </row>
    <row r="13" spans="2:6" ht="15.75" customHeight="1" x14ac:dyDescent="0.2">
      <c r="B13" s="3"/>
      <c r="C13" s="439"/>
      <c r="D13" s="440">
        <v>10</v>
      </c>
      <c r="E13" s="441" t="s">
        <v>1023</v>
      </c>
      <c r="F13" s="440" t="s">
        <v>1024</v>
      </c>
    </row>
    <row r="14" spans="2:6" ht="15.75" customHeight="1" x14ac:dyDescent="0.2">
      <c r="B14" s="3"/>
      <c r="C14" s="439"/>
      <c r="D14" s="440">
        <v>11</v>
      </c>
      <c r="E14" s="441" t="s">
        <v>1025</v>
      </c>
      <c r="F14" s="440" t="s">
        <v>1026</v>
      </c>
    </row>
    <row r="15" spans="2:6" ht="15.75" customHeight="1" x14ac:dyDescent="0.2">
      <c r="B15" s="3"/>
      <c r="C15" s="439"/>
      <c r="D15" s="440">
        <v>12</v>
      </c>
      <c r="E15" s="441" t="s">
        <v>1027</v>
      </c>
      <c r="F15" s="440" t="s">
        <v>1028</v>
      </c>
    </row>
    <row r="16" spans="2:6" ht="15.75" customHeight="1" x14ac:dyDescent="0.2">
      <c r="B16" s="3"/>
      <c r="C16" s="439"/>
      <c r="D16" s="440">
        <v>13</v>
      </c>
      <c r="E16" s="441" t="s">
        <v>1029</v>
      </c>
      <c r="F16" s="440" t="s">
        <v>1030</v>
      </c>
    </row>
    <row r="17" spans="2:6" ht="15.75" customHeight="1" x14ac:dyDescent="0.2">
      <c r="B17" s="3"/>
      <c r="C17" s="442"/>
      <c r="D17" s="440">
        <v>14</v>
      </c>
      <c r="E17" s="441" t="s">
        <v>1031</v>
      </c>
      <c r="F17" s="443" t="s">
        <v>1032</v>
      </c>
    </row>
    <row r="18" spans="2:6" ht="15.75" customHeight="1" x14ac:dyDescent="0.2">
      <c r="B18" s="3"/>
      <c r="C18" s="439" t="s">
        <v>1004</v>
      </c>
      <c r="D18" s="440">
        <v>15</v>
      </c>
      <c r="E18" s="441" t="s">
        <v>1033</v>
      </c>
      <c r="F18" s="440" t="s">
        <v>1034</v>
      </c>
    </row>
    <row r="19" spans="2:6" ht="15.75" customHeight="1" x14ac:dyDescent="0.2">
      <c r="B19" s="3"/>
      <c r="C19" s="439"/>
      <c r="D19" s="440">
        <v>16</v>
      </c>
      <c r="E19" s="441" t="s">
        <v>1035</v>
      </c>
      <c r="F19" s="440" t="s">
        <v>1036</v>
      </c>
    </row>
    <row r="20" spans="2:6" ht="15.75" customHeight="1" x14ac:dyDescent="0.2">
      <c r="B20" s="3"/>
      <c r="C20" s="439"/>
      <c r="D20" s="440">
        <v>17</v>
      </c>
      <c r="E20" s="441" t="s">
        <v>1037</v>
      </c>
      <c r="F20" s="440" t="s">
        <v>1038</v>
      </c>
    </row>
    <row r="21" spans="2:6" ht="15.75" customHeight="1" x14ac:dyDescent="0.2">
      <c r="B21" s="3"/>
      <c r="C21" s="439"/>
      <c r="D21" s="440">
        <v>18</v>
      </c>
      <c r="E21" s="441" t="s">
        <v>1039</v>
      </c>
      <c r="F21" s="440" t="s">
        <v>1040</v>
      </c>
    </row>
    <row r="22" spans="2:6" ht="15.75" customHeight="1" x14ac:dyDescent="0.2">
      <c r="B22" s="3"/>
      <c r="C22" s="439"/>
      <c r="D22" s="440">
        <v>19</v>
      </c>
      <c r="E22" s="441" t="s">
        <v>1041</v>
      </c>
      <c r="F22" s="440" t="s">
        <v>1042</v>
      </c>
    </row>
    <row r="23" spans="2:6" ht="15.75" customHeight="1" x14ac:dyDescent="0.2">
      <c r="B23" s="3"/>
      <c r="C23" s="439"/>
      <c r="D23" s="440">
        <v>20</v>
      </c>
      <c r="E23" s="441" t="s">
        <v>1043</v>
      </c>
      <c r="F23" s="440" t="s">
        <v>1044</v>
      </c>
    </row>
    <row r="24" spans="2:6" ht="15.75" customHeight="1" x14ac:dyDescent="0.2">
      <c r="B24" s="3"/>
      <c r="C24" s="439"/>
      <c r="D24" s="440">
        <v>21</v>
      </c>
      <c r="E24" s="441" t="s">
        <v>1045</v>
      </c>
      <c r="F24" s="440" t="s">
        <v>1046</v>
      </c>
    </row>
    <row r="25" spans="2:6" ht="15.75" customHeight="1" x14ac:dyDescent="0.2">
      <c r="B25" s="3"/>
      <c r="C25" s="442"/>
      <c r="D25" s="440">
        <v>22</v>
      </c>
      <c r="E25" s="441" t="s">
        <v>1047</v>
      </c>
      <c r="F25" s="443" t="s">
        <v>1048</v>
      </c>
    </row>
    <row r="26" spans="2:6" ht="15.75" customHeight="1" x14ac:dyDescent="0.2">
      <c r="B26" s="3"/>
      <c r="C26" s="439"/>
      <c r="D26" s="440">
        <v>23</v>
      </c>
      <c r="E26" s="441" t="s">
        <v>1049</v>
      </c>
      <c r="F26" s="440" t="s">
        <v>1050</v>
      </c>
    </row>
    <row r="27" spans="2:6" ht="15.75" customHeight="1" x14ac:dyDescent="0.2">
      <c r="B27" s="3"/>
      <c r="C27" s="439"/>
      <c r="D27" s="440">
        <v>24</v>
      </c>
      <c r="E27" s="441" t="s">
        <v>1051</v>
      </c>
      <c r="F27" s="440" t="s">
        <v>1052</v>
      </c>
    </row>
    <row r="28" spans="2:6" ht="15.75" customHeight="1" x14ac:dyDescent="0.2">
      <c r="B28" s="3"/>
      <c r="C28" s="439"/>
      <c r="D28" s="440">
        <v>25</v>
      </c>
      <c r="E28" s="441" t="s">
        <v>1053</v>
      </c>
      <c r="F28" s="440" t="s">
        <v>1054</v>
      </c>
    </row>
    <row r="29" spans="2:6" ht="15.75" customHeight="1" x14ac:dyDescent="0.2">
      <c r="B29" s="3"/>
      <c r="C29" s="439"/>
      <c r="D29" s="440">
        <v>26</v>
      </c>
      <c r="E29" s="441" t="s">
        <v>1055</v>
      </c>
      <c r="F29" s="440" t="s">
        <v>1056</v>
      </c>
    </row>
    <row r="30" spans="2:6" ht="15.75" customHeight="1" x14ac:dyDescent="0.2">
      <c r="B30" s="3"/>
      <c r="C30" s="439"/>
      <c r="D30" s="440">
        <v>27</v>
      </c>
      <c r="E30" s="441" t="s">
        <v>1057</v>
      </c>
      <c r="F30" s="440" t="s">
        <v>1058</v>
      </c>
    </row>
    <row r="31" spans="2:6" ht="15.75" customHeight="1" x14ac:dyDescent="0.2">
      <c r="B31" s="3"/>
      <c r="C31" s="439"/>
      <c r="D31" s="440">
        <v>28</v>
      </c>
      <c r="E31" s="441" t="s">
        <v>1059</v>
      </c>
      <c r="F31" s="440" t="s">
        <v>1060</v>
      </c>
    </row>
    <row r="32" spans="2:6" ht="15.75" customHeight="1" x14ac:dyDescent="0.2">
      <c r="B32" s="3"/>
      <c r="C32" s="439"/>
      <c r="D32" s="440">
        <v>29</v>
      </c>
      <c r="E32" s="441" t="s">
        <v>1061</v>
      </c>
      <c r="F32" s="440" t="s">
        <v>1062</v>
      </c>
    </row>
    <row r="33" spans="2:6" ht="15.75" customHeight="1" x14ac:dyDescent="0.2">
      <c r="B33" s="3"/>
      <c r="C33" s="439"/>
      <c r="D33" s="440">
        <v>30</v>
      </c>
      <c r="E33" s="441" t="s">
        <v>1063</v>
      </c>
      <c r="F33" s="440" t="s">
        <v>1064</v>
      </c>
    </row>
    <row r="34" spans="2:6" ht="15.75" customHeight="1" x14ac:dyDescent="0.2">
      <c r="B34" s="3"/>
      <c r="C34" s="439"/>
      <c r="D34" s="440">
        <v>31</v>
      </c>
      <c r="E34" s="441" t="s">
        <v>1065</v>
      </c>
      <c r="F34" s="440" t="s">
        <v>1066</v>
      </c>
    </row>
    <row r="35" spans="2:6" ht="15.75" customHeight="1" x14ac:dyDescent="0.2">
      <c r="B35" s="3"/>
      <c r="C35" s="442"/>
      <c r="D35" s="440">
        <v>32</v>
      </c>
      <c r="E35" s="441" t="s">
        <v>1067</v>
      </c>
      <c r="F35" s="443" t="s">
        <v>1068</v>
      </c>
    </row>
    <row r="36" spans="2:6" ht="15.75" customHeight="1" x14ac:dyDescent="0.2">
      <c r="B36" s="3"/>
      <c r="C36" s="439"/>
      <c r="D36" s="440">
        <v>33</v>
      </c>
      <c r="E36" s="441" t="s">
        <v>1069</v>
      </c>
      <c r="F36" s="440" t="s">
        <v>1070</v>
      </c>
    </row>
    <row r="37" spans="2:6" ht="15.75" customHeight="1" x14ac:dyDescent="0.2">
      <c r="B37" s="3"/>
      <c r="C37" s="439"/>
      <c r="D37" s="440">
        <v>34</v>
      </c>
      <c r="E37" s="441" t="s">
        <v>1071</v>
      </c>
      <c r="F37" s="440" t="s">
        <v>1072</v>
      </c>
    </row>
    <row r="38" spans="2:6" ht="15.75" customHeight="1" x14ac:dyDescent="0.2">
      <c r="B38" s="3"/>
      <c r="C38" s="439"/>
      <c r="D38" s="440">
        <v>35</v>
      </c>
      <c r="E38" s="441" t="s">
        <v>1073</v>
      </c>
      <c r="F38" s="440" t="s">
        <v>1074</v>
      </c>
    </row>
    <row r="39" spans="2:6" ht="15.75" customHeight="1" x14ac:dyDescent="0.2">
      <c r="B39" s="3"/>
      <c r="C39" s="439"/>
      <c r="D39" s="440">
        <v>36</v>
      </c>
      <c r="E39" s="441" t="s">
        <v>1075</v>
      </c>
      <c r="F39" s="440" t="s">
        <v>1076</v>
      </c>
    </row>
    <row r="40" spans="2:6" ht="15.75" customHeight="1" x14ac:dyDescent="0.2">
      <c r="B40" s="3"/>
      <c r="C40" s="439"/>
      <c r="D40" s="440">
        <v>37</v>
      </c>
      <c r="E40" s="441" t="s">
        <v>1077</v>
      </c>
      <c r="F40" s="440" t="s">
        <v>1078</v>
      </c>
    </row>
    <row r="41" spans="2:6" ht="15.75" customHeight="1" x14ac:dyDescent="0.2">
      <c r="B41" s="3"/>
      <c r="C41" s="439"/>
      <c r="D41" s="440">
        <v>38</v>
      </c>
      <c r="E41" s="441" t="s">
        <v>1079</v>
      </c>
      <c r="F41" s="440" t="s">
        <v>1080</v>
      </c>
    </row>
    <row r="42" spans="2:6" ht="15.75" customHeight="1" x14ac:dyDescent="0.2">
      <c r="B42" s="3"/>
      <c r="C42" s="439"/>
      <c r="D42" s="440">
        <v>39</v>
      </c>
      <c r="E42" s="441" t="s">
        <v>1081</v>
      </c>
      <c r="F42" s="440" t="s">
        <v>1082</v>
      </c>
    </row>
    <row r="43" spans="2:6" ht="15.75" customHeight="1" x14ac:dyDescent="0.2">
      <c r="B43" s="3"/>
      <c r="C43" s="439" t="s">
        <v>1004</v>
      </c>
      <c r="D43" s="440">
        <v>40</v>
      </c>
      <c r="E43" s="441" t="s">
        <v>1083</v>
      </c>
      <c r="F43" s="440" t="s">
        <v>1084</v>
      </c>
    </row>
    <row r="44" spans="2:6" ht="15.75" customHeight="1" x14ac:dyDescent="0.2">
      <c r="B44" s="3"/>
      <c r="C44" s="439"/>
      <c r="D44" s="440">
        <v>41</v>
      </c>
      <c r="E44" s="441" t="s">
        <v>1085</v>
      </c>
      <c r="F44" s="440" t="s">
        <v>1086</v>
      </c>
    </row>
    <row r="45" spans="2:6" ht="15.75" customHeight="1" x14ac:dyDescent="0.2">
      <c r="B45" s="3"/>
      <c r="C45" s="439"/>
      <c r="D45" s="440">
        <v>42</v>
      </c>
      <c r="E45" s="441" t="s">
        <v>1087</v>
      </c>
      <c r="F45" s="440" t="s">
        <v>1088</v>
      </c>
    </row>
    <row r="46" spans="2:6" ht="15.75" customHeight="1" x14ac:dyDescent="0.2">
      <c r="B46" s="3"/>
      <c r="C46" s="439"/>
      <c r="D46" s="440">
        <v>43</v>
      </c>
      <c r="E46" s="441" t="s">
        <v>1089</v>
      </c>
      <c r="F46" s="440" t="s">
        <v>1090</v>
      </c>
    </row>
    <row r="47" spans="2:6" ht="15.75" customHeight="1" x14ac:dyDescent="0.2">
      <c r="B47" s="3"/>
      <c r="C47" s="442"/>
      <c r="D47" s="440">
        <v>44</v>
      </c>
      <c r="E47" s="441" t="s">
        <v>1091</v>
      </c>
      <c r="F47" s="443" t="s">
        <v>1092</v>
      </c>
    </row>
    <row r="48" spans="2:6" ht="15.75" customHeight="1" x14ac:dyDescent="0.2">
      <c r="B48" s="3"/>
      <c r="C48" s="439"/>
      <c r="D48" s="440">
        <v>45</v>
      </c>
      <c r="E48" s="441" t="s">
        <v>1093</v>
      </c>
      <c r="F48" s="440" t="s">
        <v>1094</v>
      </c>
    </row>
    <row r="49" spans="2:6" ht="15.75" customHeight="1" x14ac:dyDescent="0.2">
      <c r="B49" s="3"/>
      <c r="C49" s="439"/>
      <c r="D49" s="440">
        <v>46</v>
      </c>
      <c r="E49" s="441" t="s">
        <v>1095</v>
      </c>
      <c r="F49" s="440" t="s">
        <v>1096</v>
      </c>
    </row>
    <row r="50" spans="2:6" ht="15.75" customHeight="1" x14ac:dyDescent="0.2">
      <c r="B50" s="3"/>
      <c r="C50" s="439"/>
      <c r="D50" s="440">
        <v>47</v>
      </c>
      <c r="E50" s="441" t="s">
        <v>1097</v>
      </c>
      <c r="F50" s="440" t="s">
        <v>1098</v>
      </c>
    </row>
    <row r="51" spans="2:6" ht="15.75" customHeight="1" x14ac:dyDescent="0.2">
      <c r="B51" s="3"/>
      <c r="C51" s="439"/>
      <c r="D51" s="440">
        <v>48</v>
      </c>
      <c r="E51" s="441" t="s">
        <v>1099</v>
      </c>
      <c r="F51" s="440" t="s">
        <v>1100</v>
      </c>
    </row>
    <row r="52" spans="2:6" ht="15.75" customHeight="1" x14ac:dyDescent="0.2">
      <c r="B52" s="3"/>
      <c r="C52" s="442"/>
      <c r="D52" s="440">
        <v>49</v>
      </c>
      <c r="E52" s="441" t="s">
        <v>1101</v>
      </c>
      <c r="F52" s="443" t="s">
        <v>1102</v>
      </c>
    </row>
    <row r="53" spans="2:6" ht="15.75" customHeight="1" x14ac:dyDescent="0.2">
      <c r="B53" s="3"/>
      <c r="C53" s="439"/>
      <c r="D53" s="440">
        <v>50</v>
      </c>
      <c r="E53" s="441" t="s">
        <v>1103</v>
      </c>
      <c r="F53" s="440" t="s">
        <v>1104</v>
      </c>
    </row>
    <row r="54" spans="2:6" ht="15.75" customHeight="1" x14ac:dyDescent="0.2">
      <c r="B54" s="3"/>
      <c r="C54" s="439"/>
      <c r="D54" s="440">
        <v>51</v>
      </c>
      <c r="E54" s="441" t="s">
        <v>1105</v>
      </c>
      <c r="F54" s="440" t="s">
        <v>1106</v>
      </c>
    </row>
    <row r="55" spans="2:6" ht="15.75" customHeight="1" x14ac:dyDescent="0.2">
      <c r="B55" s="3"/>
      <c r="C55" s="439"/>
      <c r="D55" s="440">
        <v>52</v>
      </c>
      <c r="E55" s="441" t="s">
        <v>1107</v>
      </c>
      <c r="F55" s="440" t="s">
        <v>1108</v>
      </c>
    </row>
    <row r="56" spans="2:6" ht="15.75" customHeight="1" x14ac:dyDescent="0.2">
      <c r="B56" s="3"/>
      <c r="C56" s="439"/>
      <c r="D56" s="440">
        <v>53</v>
      </c>
      <c r="E56" s="441" t="s">
        <v>1109</v>
      </c>
      <c r="F56" s="440" t="s">
        <v>1110</v>
      </c>
    </row>
    <row r="57" spans="2:6" ht="15.75" customHeight="1" x14ac:dyDescent="0.2">
      <c r="B57" s="3"/>
      <c r="C57" s="439"/>
      <c r="D57" s="440">
        <v>54</v>
      </c>
      <c r="E57" s="441" t="s">
        <v>1111</v>
      </c>
      <c r="F57" s="440" t="s">
        <v>1112</v>
      </c>
    </row>
    <row r="58" spans="2:6" ht="15.75" customHeight="1" x14ac:dyDescent="0.2">
      <c r="B58" s="3"/>
      <c r="C58" s="439"/>
      <c r="D58" s="440">
        <v>55</v>
      </c>
      <c r="E58" s="441" t="s">
        <v>1113</v>
      </c>
      <c r="F58" s="440" t="s">
        <v>1114</v>
      </c>
    </row>
    <row r="59" spans="2:6" ht="15.75" customHeight="1" x14ac:dyDescent="0.2">
      <c r="B59" s="3"/>
      <c r="C59" s="439"/>
      <c r="D59" s="440">
        <v>56</v>
      </c>
      <c r="E59" s="441" t="s">
        <v>1115</v>
      </c>
      <c r="F59" s="440" t="s">
        <v>1116</v>
      </c>
    </row>
    <row r="60" spans="2:6" ht="15.75" customHeight="1" x14ac:dyDescent="0.2">
      <c r="B60" s="3"/>
      <c r="C60" s="439"/>
      <c r="D60" s="440">
        <v>57</v>
      </c>
      <c r="E60" s="441" t="s">
        <v>1117</v>
      </c>
      <c r="F60" s="440" t="s">
        <v>1118</v>
      </c>
    </row>
    <row r="61" spans="2:6" ht="15.75" customHeight="1" x14ac:dyDescent="0.2">
      <c r="B61" s="3"/>
      <c r="C61" s="439"/>
      <c r="D61" s="440">
        <v>58</v>
      </c>
      <c r="E61" s="441" t="s">
        <v>1119</v>
      </c>
      <c r="F61" s="440" t="s">
        <v>1120</v>
      </c>
    </row>
    <row r="62" spans="2:6" ht="15.75" customHeight="1" x14ac:dyDescent="0.2">
      <c r="B62" s="3"/>
      <c r="C62" s="439"/>
      <c r="D62" s="440">
        <v>59</v>
      </c>
      <c r="E62" s="441" t="s">
        <v>1121</v>
      </c>
      <c r="F62" s="440" t="s">
        <v>1122</v>
      </c>
    </row>
    <row r="63" spans="2:6" ht="15.75" customHeight="1" x14ac:dyDescent="0.2">
      <c r="B63" s="3"/>
      <c r="C63" s="439"/>
      <c r="D63" s="440">
        <v>60</v>
      </c>
      <c r="E63" s="441" t="s">
        <v>1123</v>
      </c>
      <c r="F63" s="440" t="s">
        <v>1124</v>
      </c>
    </row>
    <row r="64" spans="2:6" ht="15.75" customHeight="1" x14ac:dyDescent="0.2">
      <c r="B64" s="3"/>
      <c r="C64" s="439"/>
      <c r="D64" s="440">
        <v>61</v>
      </c>
      <c r="E64" s="441" t="s">
        <v>1125</v>
      </c>
      <c r="F64" s="440" t="s">
        <v>1126</v>
      </c>
    </row>
    <row r="65" spans="2:6" ht="15.75" customHeight="1" x14ac:dyDescent="0.2">
      <c r="B65" s="3"/>
      <c r="C65" s="439"/>
      <c r="D65" s="440">
        <v>62</v>
      </c>
      <c r="E65" s="441" t="s">
        <v>1127</v>
      </c>
      <c r="F65" s="440" t="s">
        <v>1128</v>
      </c>
    </row>
    <row r="66" spans="2:6" ht="15.75" customHeight="1" x14ac:dyDescent="0.2">
      <c r="B66" s="3"/>
      <c r="C66" s="439"/>
      <c r="D66" s="440">
        <v>63</v>
      </c>
      <c r="E66" s="441" t="s">
        <v>1129</v>
      </c>
      <c r="F66" s="440" t="s">
        <v>1130</v>
      </c>
    </row>
    <row r="67" spans="2:6" ht="15.75" customHeight="1" x14ac:dyDescent="0.2">
      <c r="B67" s="3"/>
      <c r="C67" s="439"/>
      <c r="D67" s="440">
        <v>64</v>
      </c>
      <c r="E67" s="441" t="s">
        <v>1131</v>
      </c>
      <c r="F67" s="440" t="s">
        <v>1132</v>
      </c>
    </row>
    <row r="68" spans="2:6" ht="15.75" customHeight="1" x14ac:dyDescent="0.2">
      <c r="B68" s="3"/>
      <c r="C68" s="439"/>
      <c r="D68" s="440">
        <v>65</v>
      </c>
      <c r="E68" s="441" t="s">
        <v>1133</v>
      </c>
      <c r="F68" s="440" t="s">
        <v>1134</v>
      </c>
    </row>
    <row r="69" spans="2:6" ht="15.75" customHeight="1" x14ac:dyDescent="0.2">
      <c r="B69" s="3"/>
      <c r="C69" s="439"/>
      <c r="D69" s="440">
        <v>66</v>
      </c>
      <c r="E69" s="441" t="s">
        <v>1135</v>
      </c>
      <c r="F69" s="440" t="s">
        <v>1136</v>
      </c>
    </row>
    <row r="70" spans="2:6" ht="15.75" customHeight="1" x14ac:dyDescent="0.2">
      <c r="B70" s="3"/>
      <c r="C70" s="439"/>
      <c r="D70" s="440">
        <v>67</v>
      </c>
      <c r="E70" s="441" t="s">
        <v>1137</v>
      </c>
      <c r="F70" s="440" t="s">
        <v>1138</v>
      </c>
    </row>
    <row r="71" spans="2:6" ht="15.75" customHeight="1" x14ac:dyDescent="0.2">
      <c r="B71" s="3"/>
      <c r="C71" s="442"/>
      <c r="D71" s="440">
        <v>68</v>
      </c>
      <c r="E71" s="441" t="s">
        <v>1139</v>
      </c>
      <c r="F71" s="443" t="s">
        <v>1140</v>
      </c>
    </row>
    <row r="72" spans="2:6" ht="15.75" customHeight="1" x14ac:dyDescent="0.2">
      <c r="B72" s="3"/>
      <c r="C72" s="439"/>
      <c r="D72" s="440">
        <v>69</v>
      </c>
      <c r="E72" s="441" t="s">
        <v>1141</v>
      </c>
      <c r="F72" s="440" t="s">
        <v>1142</v>
      </c>
    </row>
    <row r="73" spans="2:6" ht="15.75" customHeight="1" x14ac:dyDescent="0.2">
      <c r="B73" s="3"/>
      <c r="C73" s="439" t="s">
        <v>1004</v>
      </c>
      <c r="D73" s="440">
        <v>70</v>
      </c>
      <c r="E73" s="441" t="s">
        <v>1143</v>
      </c>
      <c r="F73" s="440" t="s">
        <v>1144</v>
      </c>
    </row>
    <row r="74" spans="2:6" ht="15.75" customHeight="1" x14ac:dyDescent="0.2">
      <c r="B74" s="3"/>
      <c r="C74" s="439"/>
      <c r="D74" s="440">
        <v>71</v>
      </c>
      <c r="E74" s="441" t="s">
        <v>1145</v>
      </c>
      <c r="F74" s="440" t="s">
        <v>1146</v>
      </c>
    </row>
    <row r="75" spans="2:6" ht="15.75" customHeight="1" x14ac:dyDescent="0.2">
      <c r="B75" s="3"/>
      <c r="C75" s="439"/>
      <c r="D75" s="440">
        <v>72</v>
      </c>
      <c r="E75" s="441" t="s">
        <v>1147</v>
      </c>
      <c r="F75" s="440" t="s">
        <v>1148</v>
      </c>
    </row>
    <row r="76" spans="2:6" ht="15.75" customHeight="1" x14ac:dyDescent="0.2">
      <c r="B76" s="3"/>
      <c r="C76" s="439" t="s">
        <v>1004</v>
      </c>
      <c r="D76" s="440">
        <v>73</v>
      </c>
      <c r="E76" s="441" t="s">
        <v>1149</v>
      </c>
      <c r="F76" s="440" t="s">
        <v>1150</v>
      </c>
    </row>
    <row r="77" spans="2:6" ht="15.75" customHeight="1" x14ac:dyDescent="0.2">
      <c r="B77" s="3"/>
      <c r="C77" s="439"/>
      <c r="D77" s="440">
        <v>74</v>
      </c>
      <c r="E77" s="441" t="s">
        <v>1151</v>
      </c>
      <c r="F77" s="440" t="s">
        <v>1152</v>
      </c>
    </row>
    <row r="78" spans="2:6" ht="15.75" customHeight="1" x14ac:dyDescent="0.2">
      <c r="B78" s="3"/>
      <c r="C78" s="439"/>
      <c r="D78" s="440">
        <v>75</v>
      </c>
      <c r="E78" s="441" t="s">
        <v>1153</v>
      </c>
      <c r="F78" s="440" t="s">
        <v>1154</v>
      </c>
    </row>
    <row r="79" spans="2:6" ht="15.75" customHeight="1" x14ac:dyDescent="0.2">
      <c r="B79" s="3"/>
      <c r="C79" s="439"/>
      <c r="D79" s="440">
        <v>76</v>
      </c>
      <c r="E79" s="441" t="s">
        <v>1155</v>
      </c>
      <c r="F79" s="440" t="s">
        <v>1156</v>
      </c>
    </row>
    <row r="80" spans="2:6" ht="15.75" customHeight="1" x14ac:dyDescent="0.2">
      <c r="B80" s="3"/>
      <c r="C80" s="442"/>
      <c r="D80" s="440">
        <v>77</v>
      </c>
      <c r="E80" s="441" t="s">
        <v>1157</v>
      </c>
      <c r="F80" s="443" t="s">
        <v>1158</v>
      </c>
    </row>
    <row r="81" spans="2:6" ht="15.75" customHeight="1" x14ac:dyDescent="0.2">
      <c r="B81" s="3"/>
      <c r="C81" s="439"/>
      <c r="D81" s="440">
        <v>78</v>
      </c>
      <c r="E81" s="441" t="s">
        <v>1159</v>
      </c>
      <c r="F81" s="440" t="s">
        <v>1160</v>
      </c>
    </row>
    <row r="82" spans="2:6" ht="15.75" customHeight="1" x14ac:dyDescent="0.2">
      <c r="B82" s="3"/>
      <c r="C82" s="439"/>
      <c r="D82" s="440">
        <v>79</v>
      </c>
      <c r="E82" s="441" t="s">
        <v>1161</v>
      </c>
      <c r="F82" s="440" t="s">
        <v>1162</v>
      </c>
    </row>
    <row r="83" spans="2:6" ht="15.75" customHeight="1" x14ac:dyDescent="0.2">
      <c r="B83" s="3"/>
      <c r="C83" s="439"/>
      <c r="D83" s="440">
        <v>80</v>
      </c>
      <c r="E83" s="441" t="s">
        <v>1163</v>
      </c>
      <c r="F83" s="440" t="s">
        <v>1164</v>
      </c>
    </row>
    <row r="84" spans="2:6" ht="15.75" customHeight="1" x14ac:dyDescent="0.2">
      <c r="B84" s="3"/>
      <c r="C84" s="439" t="s">
        <v>1004</v>
      </c>
      <c r="D84" s="440">
        <v>81</v>
      </c>
      <c r="E84" s="441" t="s">
        <v>1165</v>
      </c>
      <c r="F84" s="440" t="s">
        <v>1166</v>
      </c>
    </row>
    <row r="85" spans="2:6" ht="15.75" customHeight="1" x14ac:dyDescent="0.2">
      <c r="B85" s="3"/>
      <c r="C85" s="439"/>
      <c r="D85" s="440">
        <v>82</v>
      </c>
      <c r="E85" s="441" t="s">
        <v>1167</v>
      </c>
      <c r="F85" s="440" t="s">
        <v>1168</v>
      </c>
    </row>
    <row r="86" spans="2:6" ht="15.75" customHeight="1" x14ac:dyDescent="0.2">
      <c r="B86" s="3"/>
      <c r="C86" s="442"/>
      <c r="D86" s="440">
        <v>83</v>
      </c>
      <c r="E86" s="441" t="s">
        <v>1169</v>
      </c>
      <c r="F86" s="443" t="s">
        <v>1170</v>
      </c>
    </row>
    <row r="87" spans="2:6" ht="15.75" customHeight="1" x14ac:dyDescent="0.2">
      <c r="B87" s="3"/>
      <c r="C87" s="439"/>
      <c r="D87" s="440">
        <v>84</v>
      </c>
      <c r="E87" s="441" t="s">
        <v>1171</v>
      </c>
      <c r="F87" s="440" t="s">
        <v>1172</v>
      </c>
    </row>
    <row r="88" spans="2:6" ht="15.75" customHeight="1" x14ac:dyDescent="0.2">
      <c r="B88" s="3"/>
      <c r="C88" s="439"/>
      <c r="D88" s="440">
        <v>85</v>
      </c>
      <c r="E88" s="441" t="s">
        <v>1173</v>
      </c>
      <c r="F88" s="440" t="s">
        <v>1174</v>
      </c>
    </row>
    <row r="89" spans="2:6" ht="15.75" customHeight="1" x14ac:dyDescent="0.2">
      <c r="B89" s="3"/>
      <c r="C89" s="439"/>
      <c r="D89" s="440">
        <v>86</v>
      </c>
      <c r="E89" s="441" t="s">
        <v>1175</v>
      </c>
      <c r="F89" s="440" t="s">
        <v>1176</v>
      </c>
    </row>
    <row r="90" spans="2:6" ht="15.75" customHeight="1" x14ac:dyDescent="0.2">
      <c r="B90" s="3"/>
      <c r="C90" s="439"/>
      <c r="D90" s="440">
        <v>87</v>
      </c>
      <c r="E90" s="441" t="s">
        <v>1177</v>
      </c>
      <c r="F90" s="440" t="s">
        <v>1178</v>
      </c>
    </row>
    <row r="91" spans="2:6" ht="15.75" customHeight="1" x14ac:dyDescent="0.2">
      <c r="B91" s="3"/>
      <c r="C91" s="439" t="s">
        <v>1004</v>
      </c>
      <c r="D91" s="440">
        <v>88</v>
      </c>
      <c r="E91" s="441" t="s">
        <v>1179</v>
      </c>
      <c r="F91" s="440" t="s">
        <v>1180</v>
      </c>
    </row>
    <row r="92" spans="2:6" ht="15.75" customHeight="1" x14ac:dyDescent="0.2">
      <c r="B92" s="3"/>
      <c r="C92" s="439"/>
      <c r="D92" s="440">
        <v>89</v>
      </c>
      <c r="E92" s="441" t="s">
        <v>1181</v>
      </c>
      <c r="F92" s="440" t="s">
        <v>1182</v>
      </c>
    </row>
    <row r="93" spans="2:6" ht="15.75" customHeight="1" x14ac:dyDescent="0.2">
      <c r="B93" s="3"/>
      <c r="C93" s="442"/>
      <c r="D93" s="440">
        <v>90</v>
      </c>
      <c r="E93" s="441" t="s">
        <v>1183</v>
      </c>
      <c r="F93" s="443" t="s">
        <v>1184</v>
      </c>
    </row>
    <row r="94" spans="2:6" x14ac:dyDescent="0.2">
      <c r="C94" s="6"/>
      <c r="D94" s="119"/>
      <c r="E94" s="119"/>
      <c r="F94" s="7"/>
    </row>
  </sheetData>
  <sheetProtection algorithmName="SHA-512" hashValue="8W6xvTwwwCeUOLf1n5pI0ajNkuWE8Dd5ozY0kcc6X3x4W6f8yZ2fkjcIaB7SB2maxNjLqvcLYRUhK6dxTUH8uw==" saltValue="3rytHyRKSHNjHTY05+X/Ug==" spinCount="100000" sheet="1" selectLockedCells="1"/>
  <autoFilter ref="C3:F93" xr:uid="{00000000-0009-0000-0000-000001000000}"/>
  <conditionalFormatting sqref="D1:D84 D86:D1048576">
    <cfRule type="duplicateValues" dxfId="1" priority="2"/>
  </conditionalFormatting>
  <conditionalFormatting sqref="D85">
    <cfRule type="duplicateValues" dxfId="0" priority="1"/>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zoomScale="75" zoomScaleNormal="90" workbookViewId="0">
      <selection activeCell="D9" sqref="D9"/>
    </sheetView>
  </sheetViews>
  <sheetFormatPr baseColWidth="10" defaultColWidth="10.83203125" defaultRowHeight="16" x14ac:dyDescent="0.2"/>
  <cols>
    <col min="1" max="1" width="10.83203125" style="19" customWidth="1"/>
    <col min="2" max="2" width="8.83203125" style="19" customWidth="1"/>
    <col min="3" max="3" width="27.5" style="19" customWidth="1"/>
    <col min="4" max="4" width="28" style="19" customWidth="1"/>
    <col min="5" max="5" width="51.1640625" style="50" customWidth="1"/>
    <col min="6" max="6" width="22.83203125" style="19" customWidth="1"/>
    <col min="7" max="8" width="10.83203125" style="19" customWidth="1"/>
    <col min="9" max="9" width="44" style="19" customWidth="1"/>
    <col min="10" max="11" width="10.83203125" style="19" customWidth="1"/>
    <col min="12" max="16384" width="10.83203125" style="19"/>
  </cols>
  <sheetData>
    <row r="1" spans="1:10" ht="40" customHeight="1" thickBot="1" x14ac:dyDescent="0.25">
      <c r="A1" s="171"/>
      <c r="B1" s="171"/>
      <c r="C1" s="444"/>
      <c r="D1" s="444"/>
      <c r="E1" s="445"/>
      <c r="F1" s="444"/>
      <c r="G1" s="171"/>
      <c r="H1" s="171"/>
      <c r="I1" s="171"/>
      <c r="J1" s="171"/>
    </row>
    <row r="2" spans="1:10" ht="16.5" customHeight="1" thickBot="1" x14ac:dyDescent="0.25">
      <c r="A2" s="446"/>
      <c r="B2" s="447"/>
      <c r="C2" s="20" t="s">
        <v>1185</v>
      </c>
      <c r="D2" s="21" t="s">
        <v>1186</v>
      </c>
      <c r="E2" s="41" t="s">
        <v>1187</v>
      </c>
      <c r="F2" s="22" t="s">
        <v>1188</v>
      </c>
      <c r="G2" s="448"/>
      <c r="H2" s="171"/>
      <c r="I2" s="171"/>
      <c r="J2" s="171"/>
    </row>
    <row r="3" spans="1:10" ht="32.25" customHeight="1" x14ac:dyDescent="0.2">
      <c r="A3" s="446"/>
      <c r="B3" s="621" t="s">
        <v>1189</v>
      </c>
      <c r="C3" s="23" t="s">
        <v>1190</v>
      </c>
      <c r="D3" s="168" t="s">
        <v>1191</v>
      </c>
      <c r="E3" s="42" t="s">
        <v>1192</v>
      </c>
      <c r="F3" s="24" t="s">
        <v>1193</v>
      </c>
      <c r="G3" s="448"/>
      <c r="H3" s="171"/>
      <c r="I3" s="171"/>
      <c r="J3" s="171"/>
    </row>
    <row r="4" spans="1:10" ht="30" customHeight="1" x14ac:dyDescent="0.2">
      <c r="A4" s="446"/>
      <c r="B4" s="601"/>
      <c r="C4" s="25" t="s">
        <v>1194</v>
      </c>
      <c r="D4" s="449" t="s">
        <v>1195</v>
      </c>
      <c r="E4" s="43" t="s">
        <v>1196</v>
      </c>
      <c r="F4" s="26" t="s">
        <v>1197</v>
      </c>
      <c r="G4" s="448"/>
      <c r="H4" s="171"/>
      <c r="I4" s="171"/>
      <c r="J4" s="171"/>
    </row>
    <row r="5" spans="1:10" ht="75" customHeight="1" x14ac:dyDescent="0.2">
      <c r="A5" s="446"/>
      <c r="B5" s="601"/>
      <c r="C5" s="25" t="s">
        <v>1198</v>
      </c>
      <c r="D5" s="449" t="s">
        <v>1199</v>
      </c>
      <c r="E5" s="43" t="s">
        <v>1200</v>
      </c>
      <c r="F5" s="26" t="s">
        <v>1199</v>
      </c>
      <c r="G5" s="448"/>
      <c r="H5" s="171"/>
      <c r="I5" s="171"/>
      <c r="J5" s="171"/>
    </row>
    <row r="6" spans="1:10" ht="76" customHeight="1" x14ac:dyDescent="0.2">
      <c r="A6" s="446"/>
      <c r="B6" s="601"/>
      <c r="C6" s="25" t="s">
        <v>1201</v>
      </c>
      <c r="D6" s="449" t="s">
        <v>1202</v>
      </c>
      <c r="E6" s="44" t="s">
        <v>1203</v>
      </c>
      <c r="F6" s="27" t="s">
        <v>1204</v>
      </c>
      <c r="G6" s="448"/>
      <c r="H6" s="171"/>
      <c r="I6" s="171"/>
      <c r="J6" s="171"/>
    </row>
    <row r="7" spans="1:10" ht="76" customHeight="1" x14ac:dyDescent="0.2">
      <c r="A7" s="446"/>
      <c r="B7" s="601"/>
      <c r="C7" s="25" t="s">
        <v>1205</v>
      </c>
      <c r="D7" s="449" t="s">
        <v>1206</v>
      </c>
      <c r="E7" s="44" t="s">
        <v>1207</v>
      </c>
      <c r="F7" s="27" t="s">
        <v>1208</v>
      </c>
      <c r="G7" s="448"/>
      <c r="H7" s="171"/>
      <c r="I7" s="171"/>
      <c r="J7" s="171"/>
    </row>
    <row r="8" spans="1:10" ht="76" customHeight="1" x14ac:dyDescent="0.2">
      <c r="A8" s="446"/>
      <c r="B8" s="601"/>
      <c r="C8" s="31" t="s">
        <v>1209</v>
      </c>
      <c r="D8" s="449" t="s">
        <v>1210</v>
      </c>
      <c r="E8" s="125" t="s">
        <v>1211</v>
      </c>
      <c r="F8" s="27" t="s">
        <v>1212</v>
      </c>
      <c r="G8" s="448"/>
      <c r="H8" s="171"/>
      <c r="I8" s="171"/>
      <c r="J8" s="171"/>
    </row>
    <row r="9" spans="1:10" ht="50.25" customHeight="1" thickBot="1" x14ac:dyDescent="0.25">
      <c r="A9" s="446"/>
      <c r="B9" s="613"/>
      <c r="C9" s="142" t="s">
        <v>1213</v>
      </c>
      <c r="D9" s="172"/>
      <c r="E9" s="121" t="s">
        <v>1214</v>
      </c>
      <c r="F9" s="141">
        <v>0.2</v>
      </c>
      <c r="G9" s="448"/>
      <c r="H9" s="171"/>
      <c r="I9" s="171"/>
      <c r="J9" s="171"/>
    </row>
    <row r="10" spans="1:10" ht="32.25" customHeight="1" x14ac:dyDescent="0.2">
      <c r="A10" s="446"/>
      <c r="B10" s="621" t="s">
        <v>1215</v>
      </c>
      <c r="C10" s="29" t="s">
        <v>1216</v>
      </c>
      <c r="D10" s="169" t="s">
        <v>1217</v>
      </c>
      <c r="E10" s="46" t="s">
        <v>1218</v>
      </c>
      <c r="F10" s="30" t="s">
        <v>1219</v>
      </c>
      <c r="G10" s="448"/>
      <c r="H10" s="171"/>
      <c r="I10" s="171"/>
      <c r="J10" s="171"/>
    </row>
    <row r="11" spans="1:10" ht="94" customHeight="1" x14ac:dyDescent="0.2">
      <c r="A11" s="446"/>
      <c r="B11" s="601"/>
      <c r="C11" s="122" t="s">
        <v>1220</v>
      </c>
      <c r="D11" s="450">
        <v>100</v>
      </c>
      <c r="E11" s="123" t="s">
        <v>1221</v>
      </c>
      <c r="F11" s="124">
        <v>5</v>
      </c>
      <c r="G11" s="448"/>
      <c r="H11" s="171"/>
      <c r="I11" s="444"/>
      <c r="J11" s="171"/>
    </row>
    <row r="12" spans="1:10" ht="158.25" customHeight="1" x14ac:dyDescent="0.2">
      <c r="A12" s="446"/>
      <c r="B12" s="601"/>
      <c r="C12" s="25" t="s">
        <v>1222</v>
      </c>
      <c r="D12" s="451">
        <v>5000000</v>
      </c>
      <c r="E12" s="44" t="s">
        <v>1223</v>
      </c>
      <c r="F12" s="51">
        <v>5000000</v>
      </c>
      <c r="G12" s="448"/>
      <c r="H12" s="446"/>
      <c r="I12" s="52"/>
      <c r="J12" s="448"/>
    </row>
    <row r="13" spans="1:10" ht="116.25" customHeight="1" x14ac:dyDescent="0.2">
      <c r="A13" s="446"/>
      <c r="B13" s="601"/>
      <c r="C13" s="122" t="s">
        <v>1224</v>
      </c>
      <c r="D13" s="450"/>
      <c r="E13" s="125" t="s">
        <v>1225</v>
      </c>
      <c r="F13" s="51">
        <v>1200000</v>
      </c>
      <c r="G13" s="448"/>
      <c r="H13" s="171"/>
      <c r="I13" s="452"/>
      <c r="J13" s="171"/>
    </row>
    <row r="14" spans="1:10" ht="50.25" customHeight="1" x14ac:dyDescent="0.2">
      <c r="A14" s="446"/>
      <c r="B14" s="601"/>
      <c r="C14" s="31" t="s">
        <v>1226</v>
      </c>
      <c r="D14" s="449"/>
      <c r="E14" s="44" t="s">
        <v>1227</v>
      </c>
      <c r="F14" s="27" t="s">
        <v>1228</v>
      </c>
      <c r="G14" s="448"/>
      <c r="H14" s="171"/>
      <c r="I14" s="171"/>
      <c r="J14" s="171"/>
    </row>
    <row r="15" spans="1:10" ht="50.25" customHeight="1" thickBot="1" x14ac:dyDescent="0.25">
      <c r="A15" s="446"/>
      <c r="B15" s="613"/>
      <c r="C15" s="32" t="s">
        <v>1229</v>
      </c>
      <c r="D15" s="173"/>
      <c r="E15" s="47" t="s">
        <v>1230</v>
      </c>
      <c r="F15" s="28" t="s">
        <v>1231</v>
      </c>
      <c r="G15" s="448"/>
      <c r="H15" s="171"/>
      <c r="I15" s="171"/>
      <c r="J15" s="171"/>
    </row>
    <row r="16" spans="1:10" ht="5.5" customHeight="1" thickBot="1" x14ac:dyDescent="0.25">
      <c r="A16" s="446"/>
      <c r="B16" s="453"/>
      <c r="C16" s="33"/>
      <c r="D16" s="174"/>
      <c r="E16" s="45"/>
      <c r="F16" s="34"/>
      <c r="G16" s="448"/>
      <c r="H16" s="171"/>
      <c r="I16" s="171"/>
      <c r="J16" s="171"/>
    </row>
    <row r="17" spans="1:7" ht="165" customHeight="1" x14ac:dyDescent="0.2">
      <c r="A17" s="446"/>
      <c r="B17" s="620" t="s">
        <v>1232</v>
      </c>
      <c r="C17" s="35" t="s">
        <v>1233</v>
      </c>
      <c r="D17" s="200">
        <v>0.91</v>
      </c>
      <c r="E17" s="48" t="s">
        <v>1234</v>
      </c>
      <c r="F17" s="36">
        <v>0.91</v>
      </c>
      <c r="G17" s="448"/>
    </row>
    <row r="18" spans="1:7" ht="150" customHeight="1" x14ac:dyDescent="0.2">
      <c r="A18" s="446"/>
      <c r="B18" s="601"/>
      <c r="C18" s="37" t="s">
        <v>1235</v>
      </c>
      <c r="D18" s="454">
        <v>0.91</v>
      </c>
      <c r="E18" s="455" t="s">
        <v>1236</v>
      </c>
      <c r="F18" s="38">
        <v>0.91</v>
      </c>
      <c r="G18" s="448"/>
    </row>
    <row r="19" spans="1:7" ht="135.75" customHeight="1" thickBot="1" x14ac:dyDescent="0.25">
      <c r="A19" s="446"/>
      <c r="B19" s="613"/>
      <c r="C19" s="39" t="s">
        <v>1237</v>
      </c>
      <c r="D19" s="201">
        <v>0.05</v>
      </c>
      <c r="E19" s="49" t="s">
        <v>1238</v>
      </c>
      <c r="F19" s="40">
        <v>0.05</v>
      </c>
      <c r="G19" s="448"/>
    </row>
    <row r="20" spans="1:7" x14ac:dyDescent="0.2">
      <c r="A20" s="171"/>
      <c r="B20" s="452"/>
      <c r="C20" s="452"/>
      <c r="D20" s="452"/>
      <c r="E20" s="456"/>
      <c r="F20" s="452"/>
      <c r="G20" s="171"/>
    </row>
  </sheetData>
  <sheetProtection algorithmName="SHA-512" hashValue="CdvLnQOY8o+ziHme3dCGOtXl8lyYebn9y2nk/IKyWBrW8M2xeNl2S7BOCnPwqWaAMLyC3CB458Y4riYteIKNBw==" saltValue="ZItfXca2FqD9bLvgyCCOAg==" spinCount="100000" sheet="1" formatCells="0"/>
  <mergeCells count="3">
    <mergeCell ref="B17:B19"/>
    <mergeCell ref="B3:B9"/>
    <mergeCell ref="B10:B15"/>
  </mergeCells>
  <dataValidations count="2">
    <dataValidation type="list" showInputMessage="1" showErrorMessage="1" sqref="D7" xr:uid="{00000000-0002-0000-0200-000000000000}">
      <formula1>"Not yet in season,Land preparation,Planting,Early growing,Growing,Maturing,Harvesting,Recently finished "</formula1>
    </dataValidation>
    <dataValidation type="list" showInputMessage="1" showErrorMessage="1" sqref="D5" xr:uid="{00000000-0002-0000-0200-000001000000}">
      <formula1>"last year, a normal year"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31"/>
  <sheetViews>
    <sheetView tabSelected="1" workbookViewId="0">
      <selection activeCell="D26" sqref="D26"/>
    </sheetView>
  </sheetViews>
  <sheetFormatPr baseColWidth="10" defaultColWidth="8.83203125" defaultRowHeight="15" x14ac:dyDescent="0.2"/>
  <cols>
    <col min="1" max="1" width="19.6640625" bestFit="1" customWidth="1"/>
    <col min="2" max="2" width="21.6640625" bestFit="1" customWidth="1"/>
    <col min="3" max="3" width="13.5" bestFit="1" customWidth="1"/>
    <col min="4" max="4" width="25.83203125" bestFit="1" customWidth="1"/>
    <col min="5" max="5" width="13.5" bestFit="1" customWidth="1"/>
    <col min="6" max="6" width="13" bestFit="1" customWidth="1"/>
    <col min="7" max="7" width="13.5" bestFit="1" customWidth="1"/>
    <col min="8" max="8" width="13" bestFit="1" customWidth="1"/>
    <col min="9" max="10" width="12.33203125" bestFit="1" customWidth="1"/>
  </cols>
  <sheetData>
    <row r="1" spans="1:10" x14ac:dyDescent="0.2">
      <c r="A1" s="623" t="s">
        <v>1433</v>
      </c>
      <c r="B1" s="623" t="s">
        <v>1434</v>
      </c>
      <c r="C1" s="623" t="s">
        <v>1435</v>
      </c>
      <c r="D1" s="623" t="s">
        <v>1239</v>
      </c>
      <c r="E1" s="623" t="s">
        <v>1240</v>
      </c>
      <c r="F1" s="623" t="s">
        <v>1241</v>
      </c>
      <c r="G1" s="623" t="s">
        <v>1242</v>
      </c>
      <c r="H1" s="623" t="s">
        <v>1243</v>
      </c>
      <c r="I1" s="623" t="s">
        <v>1244</v>
      </c>
      <c r="J1" s="623" t="s">
        <v>1436</v>
      </c>
    </row>
    <row r="2" spans="1:10" x14ac:dyDescent="0.2">
      <c r="A2" s="622" t="s">
        <v>1437</v>
      </c>
      <c r="B2" s="622" t="s">
        <v>1438</v>
      </c>
      <c r="C2" s="622" t="s">
        <v>1439</v>
      </c>
      <c r="D2" s="622" t="s">
        <v>1311</v>
      </c>
      <c r="E2" s="622" t="s">
        <v>1312</v>
      </c>
      <c r="F2" s="622" t="s">
        <v>1303</v>
      </c>
      <c r="G2" s="622" t="s">
        <v>1304</v>
      </c>
      <c r="H2" s="622" t="s">
        <v>1249</v>
      </c>
      <c r="I2" s="622" t="s">
        <v>1250</v>
      </c>
      <c r="J2" s="622">
        <v>104</v>
      </c>
    </row>
    <row r="3" spans="1:10" x14ac:dyDescent="0.2">
      <c r="A3" s="622" t="s">
        <v>1440</v>
      </c>
      <c r="B3" s="622" t="s">
        <v>1441</v>
      </c>
      <c r="C3" s="622" t="s">
        <v>1442</v>
      </c>
      <c r="D3" s="622" t="s">
        <v>1301</v>
      </c>
      <c r="E3" s="622" t="s">
        <v>1302</v>
      </c>
      <c r="F3" s="622" t="s">
        <v>1303</v>
      </c>
      <c r="G3" s="622" t="s">
        <v>1304</v>
      </c>
      <c r="H3" s="622" t="s">
        <v>1249</v>
      </c>
      <c r="I3" s="622" t="s">
        <v>1250</v>
      </c>
      <c r="J3" s="622">
        <v>104</v>
      </c>
    </row>
    <row r="4" spans="1:10" x14ac:dyDescent="0.2">
      <c r="A4" s="622" t="s">
        <v>1311</v>
      </c>
      <c r="B4" s="622" t="s">
        <v>1443</v>
      </c>
      <c r="C4" s="622" t="s">
        <v>1444</v>
      </c>
      <c r="D4" s="622" t="s">
        <v>1311</v>
      </c>
      <c r="E4" s="622" t="s">
        <v>1312</v>
      </c>
      <c r="F4" s="622" t="s">
        <v>1303</v>
      </c>
      <c r="G4" s="622" t="s">
        <v>1304</v>
      </c>
      <c r="H4" s="622" t="s">
        <v>1249</v>
      </c>
      <c r="I4" s="622" t="s">
        <v>1250</v>
      </c>
      <c r="J4" s="622">
        <v>104</v>
      </c>
    </row>
    <row r="5" spans="1:10" x14ac:dyDescent="0.2">
      <c r="A5" s="622" t="s">
        <v>1429</v>
      </c>
      <c r="B5" s="622" t="s">
        <v>1445</v>
      </c>
      <c r="C5" s="622" t="s">
        <v>1446</v>
      </c>
      <c r="D5" s="622" t="s">
        <v>1429</v>
      </c>
      <c r="E5" s="622" t="s">
        <v>1430</v>
      </c>
      <c r="F5" s="622" t="s">
        <v>1421</v>
      </c>
      <c r="G5" s="622" t="s">
        <v>1422</v>
      </c>
      <c r="H5" s="622" t="s">
        <v>1249</v>
      </c>
      <c r="I5" s="622" t="s">
        <v>1250</v>
      </c>
      <c r="J5" s="622">
        <v>104</v>
      </c>
    </row>
    <row r="6" spans="1:10" x14ac:dyDescent="0.2">
      <c r="A6" s="622" t="s">
        <v>1447</v>
      </c>
      <c r="B6" s="622" t="s">
        <v>1448</v>
      </c>
      <c r="C6" s="622" t="s">
        <v>1449</v>
      </c>
      <c r="D6" s="622" t="s">
        <v>1423</v>
      </c>
      <c r="E6" s="622" t="s">
        <v>1424</v>
      </c>
      <c r="F6" s="622" t="s">
        <v>1421</v>
      </c>
      <c r="G6" s="622" t="s">
        <v>1422</v>
      </c>
      <c r="H6" s="622" t="s">
        <v>1249</v>
      </c>
      <c r="I6" s="622" t="s">
        <v>1250</v>
      </c>
      <c r="J6" s="622">
        <v>104</v>
      </c>
    </row>
    <row r="7" spans="1:10" x14ac:dyDescent="0.2">
      <c r="A7" s="622" t="s">
        <v>1450</v>
      </c>
      <c r="B7" s="622" t="s">
        <v>1451</v>
      </c>
      <c r="C7" s="622" t="s">
        <v>1452</v>
      </c>
      <c r="D7" s="622" t="s">
        <v>1419</v>
      </c>
      <c r="E7" s="622" t="s">
        <v>1420</v>
      </c>
      <c r="F7" s="622" t="s">
        <v>1421</v>
      </c>
      <c r="G7" s="622" t="s">
        <v>1422</v>
      </c>
      <c r="H7" s="622" t="s">
        <v>1249</v>
      </c>
      <c r="I7" s="622" t="s">
        <v>1250</v>
      </c>
      <c r="J7" s="622">
        <v>104</v>
      </c>
    </row>
    <row r="8" spans="1:10" x14ac:dyDescent="0.2">
      <c r="A8" s="622" t="s">
        <v>1301</v>
      </c>
      <c r="B8" s="622" t="s">
        <v>1453</v>
      </c>
      <c r="C8" s="622" t="s">
        <v>1454</v>
      </c>
      <c r="D8" s="622" t="s">
        <v>1301</v>
      </c>
      <c r="E8" s="622" t="s">
        <v>1302</v>
      </c>
      <c r="F8" s="622" t="s">
        <v>1303</v>
      </c>
      <c r="G8" s="622" t="s">
        <v>1304</v>
      </c>
      <c r="H8" s="622" t="s">
        <v>1249</v>
      </c>
      <c r="I8" s="622" t="s">
        <v>1250</v>
      </c>
      <c r="J8" s="622">
        <v>104</v>
      </c>
    </row>
    <row r="9" spans="1:10" x14ac:dyDescent="0.2">
      <c r="A9" s="622" t="s">
        <v>1455</v>
      </c>
      <c r="B9" s="622" t="s">
        <v>1456</v>
      </c>
      <c r="C9" s="622" t="s">
        <v>1457</v>
      </c>
      <c r="D9" s="622" t="s">
        <v>1352</v>
      </c>
      <c r="E9" s="622" t="s">
        <v>1353</v>
      </c>
      <c r="F9" s="622" t="s">
        <v>1350</v>
      </c>
      <c r="G9" s="622" t="s">
        <v>1351</v>
      </c>
      <c r="H9" s="622" t="s">
        <v>1249</v>
      </c>
      <c r="I9" s="622" t="s">
        <v>1250</v>
      </c>
      <c r="J9" s="622">
        <v>104</v>
      </c>
    </row>
    <row r="10" spans="1:10" x14ac:dyDescent="0.2">
      <c r="A10" s="622" t="s">
        <v>1458</v>
      </c>
      <c r="B10" s="622" t="s">
        <v>1459</v>
      </c>
      <c r="C10" s="622" t="s">
        <v>1460</v>
      </c>
      <c r="D10" s="622" t="s">
        <v>1323</v>
      </c>
      <c r="E10" s="622" t="s">
        <v>1324</v>
      </c>
      <c r="F10" s="622" t="s">
        <v>1321</v>
      </c>
      <c r="G10" s="622" t="s">
        <v>1322</v>
      </c>
      <c r="H10" s="622" t="s">
        <v>1249</v>
      </c>
      <c r="I10" s="622" t="s">
        <v>1250</v>
      </c>
      <c r="J10" s="622">
        <v>104</v>
      </c>
    </row>
    <row r="11" spans="1:10" x14ac:dyDescent="0.2">
      <c r="A11" s="622" t="s">
        <v>1461</v>
      </c>
      <c r="B11" s="622" t="s">
        <v>1462</v>
      </c>
      <c r="C11" s="622" t="s">
        <v>1463</v>
      </c>
      <c r="D11" s="622" t="s">
        <v>1342</v>
      </c>
      <c r="E11" s="622" t="s">
        <v>1343</v>
      </c>
      <c r="F11" s="622" t="s">
        <v>1340</v>
      </c>
      <c r="G11" s="622" t="s">
        <v>1341</v>
      </c>
      <c r="H11" s="622" t="s">
        <v>1249</v>
      </c>
      <c r="I11" s="622" t="s">
        <v>1250</v>
      </c>
      <c r="J11" s="622">
        <v>104</v>
      </c>
    </row>
    <row r="12" spans="1:10" x14ac:dyDescent="0.2">
      <c r="A12" s="622" t="s">
        <v>1464</v>
      </c>
      <c r="B12" s="622" t="s">
        <v>1465</v>
      </c>
      <c r="C12" s="622" t="s">
        <v>1466</v>
      </c>
      <c r="D12" s="622" t="s">
        <v>1419</v>
      </c>
      <c r="E12" s="622" t="s">
        <v>1420</v>
      </c>
      <c r="F12" s="622" t="s">
        <v>1421</v>
      </c>
      <c r="G12" s="622" t="s">
        <v>1422</v>
      </c>
      <c r="H12" s="622" t="s">
        <v>1249</v>
      </c>
      <c r="I12" s="622" t="s">
        <v>1250</v>
      </c>
      <c r="J12" s="622">
        <v>104</v>
      </c>
    </row>
    <row r="13" spans="1:10" x14ac:dyDescent="0.2">
      <c r="A13" s="622" t="s">
        <v>1419</v>
      </c>
      <c r="B13" s="622" t="s">
        <v>1467</v>
      </c>
      <c r="C13" s="622" t="s">
        <v>1468</v>
      </c>
      <c r="D13" s="622" t="s">
        <v>1419</v>
      </c>
      <c r="E13" s="622" t="s">
        <v>1420</v>
      </c>
      <c r="F13" s="622" t="s">
        <v>1421</v>
      </c>
      <c r="G13" s="622" t="s">
        <v>1422</v>
      </c>
      <c r="H13" s="622" t="s">
        <v>1249</v>
      </c>
      <c r="I13" s="622" t="s">
        <v>1250</v>
      </c>
      <c r="J13" s="622">
        <v>104</v>
      </c>
    </row>
    <row r="14" spans="1:10" x14ac:dyDescent="0.2">
      <c r="A14" s="622" t="s">
        <v>1469</v>
      </c>
      <c r="B14" s="622" t="s">
        <v>1470</v>
      </c>
      <c r="C14" s="622" t="s">
        <v>1471</v>
      </c>
      <c r="D14" s="622" t="s">
        <v>1311</v>
      </c>
      <c r="E14" s="622" t="s">
        <v>1312</v>
      </c>
      <c r="F14" s="622" t="s">
        <v>1303</v>
      </c>
      <c r="G14" s="622" t="s">
        <v>1304</v>
      </c>
      <c r="H14" s="622" t="s">
        <v>1249</v>
      </c>
      <c r="I14" s="622" t="s">
        <v>1250</v>
      </c>
      <c r="J14" s="622">
        <v>104</v>
      </c>
    </row>
    <row r="15" spans="1:10" x14ac:dyDescent="0.2">
      <c r="A15" s="622" t="s">
        <v>1472</v>
      </c>
      <c r="B15" s="622" t="s">
        <v>1473</v>
      </c>
      <c r="C15" s="622" t="s">
        <v>1474</v>
      </c>
      <c r="D15" s="622" t="s">
        <v>1301</v>
      </c>
      <c r="E15" s="622" t="s">
        <v>1302</v>
      </c>
      <c r="F15" s="622" t="s">
        <v>1303</v>
      </c>
      <c r="G15" s="622" t="s">
        <v>1304</v>
      </c>
      <c r="H15" s="622" t="s">
        <v>1249</v>
      </c>
      <c r="I15" s="622" t="s">
        <v>1250</v>
      </c>
      <c r="J15" s="622">
        <v>104</v>
      </c>
    </row>
    <row r="16" spans="1:10" x14ac:dyDescent="0.2">
      <c r="A16" s="622" t="s">
        <v>1352</v>
      </c>
      <c r="B16" s="622" t="s">
        <v>1475</v>
      </c>
      <c r="C16" s="622" t="s">
        <v>1476</v>
      </c>
      <c r="D16" s="622" t="s">
        <v>1352</v>
      </c>
      <c r="E16" s="622" t="s">
        <v>1353</v>
      </c>
      <c r="F16" s="622" t="s">
        <v>1350</v>
      </c>
      <c r="G16" s="622" t="s">
        <v>1351</v>
      </c>
      <c r="H16" s="622" t="s">
        <v>1249</v>
      </c>
      <c r="I16" s="622" t="s">
        <v>1250</v>
      </c>
      <c r="J16" s="622">
        <v>104</v>
      </c>
    </row>
    <row r="17" spans="1:10" x14ac:dyDescent="0.2">
      <c r="A17" s="622" t="s">
        <v>1477</v>
      </c>
      <c r="B17" s="622" t="s">
        <v>1478</v>
      </c>
      <c r="C17" s="622" t="s">
        <v>1479</v>
      </c>
      <c r="D17" s="622" t="s">
        <v>1348</v>
      </c>
      <c r="E17" s="622" t="s">
        <v>1349</v>
      </c>
      <c r="F17" s="622" t="s">
        <v>1350</v>
      </c>
      <c r="G17" s="622" t="s">
        <v>1351</v>
      </c>
      <c r="H17" s="622" t="s">
        <v>1249</v>
      </c>
      <c r="I17" s="622" t="s">
        <v>1250</v>
      </c>
      <c r="J17" s="622">
        <v>104</v>
      </c>
    </row>
    <row r="18" spans="1:10" x14ac:dyDescent="0.2">
      <c r="A18" s="622" t="s">
        <v>1480</v>
      </c>
      <c r="B18" s="622" t="s">
        <v>1481</v>
      </c>
      <c r="C18" s="622" t="s">
        <v>1482</v>
      </c>
      <c r="D18" s="622" t="s">
        <v>1323</v>
      </c>
      <c r="E18" s="622" t="s">
        <v>1324</v>
      </c>
      <c r="F18" s="622" t="s">
        <v>1321</v>
      </c>
      <c r="G18" s="622" t="s">
        <v>1322</v>
      </c>
      <c r="H18" s="622" t="s">
        <v>1249</v>
      </c>
      <c r="I18" s="622" t="s">
        <v>1250</v>
      </c>
      <c r="J18" s="622">
        <v>104</v>
      </c>
    </row>
    <row r="19" spans="1:10" x14ac:dyDescent="0.2">
      <c r="A19" s="622" t="s">
        <v>1483</v>
      </c>
      <c r="B19" s="622" t="s">
        <v>1484</v>
      </c>
      <c r="C19" s="622" t="s">
        <v>1485</v>
      </c>
      <c r="D19" s="622" t="s">
        <v>1348</v>
      </c>
      <c r="E19" s="622" t="s">
        <v>1349</v>
      </c>
      <c r="F19" s="622" t="s">
        <v>1350</v>
      </c>
      <c r="G19" s="622" t="s">
        <v>1351</v>
      </c>
      <c r="H19" s="622" t="s">
        <v>1249</v>
      </c>
      <c r="I19" s="622" t="s">
        <v>1250</v>
      </c>
      <c r="J19" s="622">
        <v>104</v>
      </c>
    </row>
    <row r="20" spans="1:10" x14ac:dyDescent="0.2">
      <c r="A20" s="622" t="s">
        <v>1486</v>
      </c>
      <c r="B20" s="622" t="s">
        <v>1487</v>
      </c>
      <c r="C20" s="622" t="s">
        <v>1488</v>
      </c>
      <c r="D20" s="622" t="s">
        <v>1354</v>
      </c>
      <c r="E20" s="622" t="s">
        <v>1355</v>
      </c>
      <c r="F20" s="622" t="s">
        <v>1350</v>
      </c>
      <c r="G20" s="622" t="s">
        <v>1351</v>
      </c>
      <c r="H20" s="622" t="s">
        <v>1249</v>
      </c>
      <c r="I20" s="622" t="s">
        <v>1250</v>
      </c>
      <c r="J20" s="622">
        <v>104</v>
      </c>
    </row>
    <row r="21" spans="1:10" x14ac:dyDescent="0.2">
      <c r="A21" s="622" t="s">
        <v>1323</v>
      </c>
      <c r="B21" s="622" t="s">
        <v>1489</v>
      </c>
      <c r="C21" s="622" t="s">
        <v>1490</v>
      </c>
      <c r="D21" s="622" t="s">
        <v>1323</v>
      </c>
      <c r="E21" s="622" t="s">
        <v>1324</v>
      </c>
      <c r="F21" s="622" t="s">
        <v>1321</v>
      </c>
      <c r="G21" s="622" t="s">
        <v>1322</v>
      </c>
      <c r="H21" s="622" t="s">
        <v>1249</v>
      </c>
      <c r="I21" s="622" t="s">
        <v>1250</v>
      </c>
      <c r="J21" s="622">
        <v>104</v>
      </c>
    </row>
    <row r="22" spans="1:10" x14ac:dyDescent="0.2">
      <c r="A22" s="622" t="s">
        <v>1382</v>
      </c>
      <c r="B22" s="622" t="s">
        <v>1491</v>
      </c>
      <c r="C22" s="622" t="s">
        <v>1492</v>
      </c>
      <c r="D22" s="622" t="s">
        <v>1382</v>
      </c>
      <c r="E22" s="622" t="s">
        <v>1383</v>
      </c>
      <c r="F22" s="622" t="s">
        <v>1376</v>
      </c>
      <c r="G22" s="622" t="s">
        <v>1377</v>
      </c>
      <c r="H22" s="622" t="s">
        <v>1249</v>
      </c>
      <c r="I22" s="622" t="s">
        <v>1250</v>
      </c>
      <c r="J22" s="622">
        <v>104</v>
      </c>
    </row>
    <row r="23" spans="1:10" x14ac:dyDescent="0.2">
      <c r="A23" s="622" t="s">
        <v>1493</v>
      </c>
      <c r="B23" s="622" t="s">
        <v>1494</v>
      </c>
      <c r="C23" s="622" t="s">
        <v>1495</v>
      </c>
      <c r="D23" s="622" t="s">
        <v>1307</v>
      </c>
      <c r="E23" s="622" t="s">
        <v>1308</v>
      </c>
      <c r="F23" s="622" t="s">
        <v>1303</v>
      </c>
      <c r="G23" s="622" t="s">
        <v>1304</v>
      </c>
      <c r="H23" s="622" t="s">
        <v>1249</v>
      </c>
      <c r="I23" s="622" t="s">
        <v>1250</v>
      </c>
      <c r="J23" s="622">
        <v>104</v>
      </c>
    </row>
    <row r="24" spans="1:10" x14ac:dyDescent="0.2">
      <c r="A24" s="622" t="s">
        <v>1496</v>
      </c>
      <c r="B24" s="622" t="s">
        <v>1497</v>
      </c>
      <c r="C24" s="622" t="s">
        <v>1498</v>
      </c>
      <c r="D24" s="622" t="s">
        <v>1311</v>
      </c>
      <c r="E24" s="622" t="s">
        <v>1312</v>
      </c>
      <c r="F24" s="622" t="s">
        <v>1303</v>
      </c>
      <c r="G24" s="622" t="s">
        <v>1304</v>
      </c>
      <c r="H24" s="622" t="s">
        <v>1249</v>
      </c>
      <c r="I24" s="622" t="s">
        <v>1250</v>
      </c>
      <c r="J24" s="622">
        <v>104</v>
      </c>
    </row>
    <row r="25" spans="1:10" x14ac:dyDescent="0.2">
      <c r="A25" s="622" t="s">
        <v>1499</v>
      </c>
      <c r="B25" s="622" t="s">
        <v>1500</v>
      </c>
      <c r="C25" s="622" t="s">
        <v>1501</v>
      </c>
      <c r="D25" s="622" t="s">
        <v>1305</v>
      </c>
      <c r="E25" s="622" t="s">
        <v>1306</v>
      </c>
      <c r="F25" s="622" t="s">
        <v>1303</v>
      </c>
      <c r="G25" s="622" t="s">
        <v>1304</v>
      </c>
      <c r="H25" s="622" t="s">
        <v>1249</v>
      </c>
      <c r="I25" s="622" t="s">
        <v>1250</v>
      </c>
      <c r="J25" s="622">
        <v>104</v>
      </c>
    </row>
    <row r="26" spans="1:10" x14ac:dyDescent="0.2">
      <c r="A26" s="622" t="s">
        <v>1502</v>
      </c>
      <c r="B26" s="622" t="s">
        <v>1503</v>
      </c>
      <c r="C26" s="622" t="s">
        <v>1504</v>
      </c>
      <c r="D26" s="622" t="s">
        <v>1305</v>
      </c>
      <c r="E26" s="622" t="s">
        <v>1306</v>
      </c>
      <c r="F26" s="622" t="s">
        <v>1303</v>
      </c>
      <c r="G26" s="622" t="s">
        <v>1304</v>
      </c>
      <c r="H26" s="622" t="s">
        <v>1249</v>
      </c>
      <c r="I26" s="622" t="s">
        <v>1250</v>
      </c>
      <c r="J26" s="622">
        <v>104</v>
      </c>
    </row>
    <row r="27" spans="1:10" x14ac:dyDescent="0.2">
      <c r="A27" s="622" t="s">
        <v>1505</v>
      </c>
      <c r="B27" s="622" t="s">
        <v>1506</v>
      </c>
      <c r="C27" s="622" t="s">
        <v>1507</v>
      </c>
      <c r="D27" s="622" t="s">
        <v>1414</v>
      </c>
      <c r="E27" s="622" t="s">
        <v>1415</v>
      </c>
      <c r="F27" s="622" t="s">
        <v>1412</v>
      </c>
      <c r="G27" s="622" t="s">
        <v>1413</v>
      </c>
      <c r="H27" s="622" t="s">
        <v>1249</v>
      </c>
      <c r="I27" s="622" t="s">
        <v>1250</v>
      </c>
      <c r="J27" s="622">
        <v>104</v>
      </c>
    </row>
    <row r="28" spans="1:10" x14ac:dyDescent="0.2">
      <c r="A28" s="622" t="s">
        <v>1508</v>
      </c>
      <c r="B28" s="622" t="s">
        <v>1509</v>
      </c>
      <c r="C28" s="622" t="s">
        <v>1510</v>
      </c>
      <c r="D28" s="622" t="s">
        <v>1416</v>
      </c>
      <c r="E28" s="622" t="s">
        <v>1417</v>
      </c>
      <c r="F28" s="622" t="s">
        <v>1412</v>
      </c>
      <c r="G28" s="622" t="s">
        <v>1413</v>
      </c>
      <c r="H28" s="622" t="s">
        <v>1249</v>
      </c>
      <c r="I28" s="622" t="s">
        <v>1250</v>
      </c>
      <c r="J28" s="622">
        <v>104</v>
      </c>
    </row>
    <row r="29" spans="1:10" x14ac:dyDescent="0.2">
      <c r="A29" s="622" t="s">
        <v>1511</v>
      </c>
      <c r="B29" s="622" t="s">
        <v>1512</v>
      </c>
      <c r="C29" s="622" t="s">
        <v>1513</v>
      </c>
      <c r="D29" s="622" t="s">
        <v>1342</v>
      </c>
      <c r="E29" s="622" t="s">
        <v>1343</v>
      </c>
      <c r="F29" s="622" t="s">
        <v>1340</v>
      </c>
      <c r="G29" s="622" t="s">
        <v>1341</v>
      </c>
      <c r="H29" s="622" t="s">
        <v>1249</v>
      </c>
      <c r="I29" s="622" t="s">
        <v>1250</v>
      </c>
      <c r="J29" s="622">
        <v>104</v>
      </c>
    </row>
    <row r="30" spans="1:10" x14ac:dyDescent="0.2">
      <c r="A30" s="622" t="s">
        <v>1514</v>
      </c>
      <c r="B30" s="622" t="s">
        <v>1515</v>
      </c>
      <c r="C30" s="622" t="s">
        <v>1516</v>
      </c>
      <c r="D30" s="622" t="s">
        <v>1354</v>
      </c>
      <c r="E30" s="622" t="s">
        <v>1355</v>
      </c>
      <c r="F30" s="622" t="s">
        <v>1350</v>
      </c>
      <c r="G30" s="622" t="s">
        <v>1351</v>
      </c>
      <c r="H30" s="622" t="s">
        <v>1249</v>
      </c>
      <c r="I30" s="622" t="s">
        <v>1250</v>
      </c>
      <c r="J30" s="622">
        <v>104</v>
      </c>
    </row>
    <row r="31" spans="1:10" x14ac:dyDescent="0.2">
      <c r="A31" s="622" t="s">
        <v>1517</v>
      </c>
      <c r="B31" s="622" t="s">
        <v>1518</v>
      </c>
      <c r="C31" s="622" t="s">
        <v>1519</v>
      </c>
      <c r="D31" s="622" t="s">
        <v>1319</v>
      </c>
      <c r="E31" s="622" t="s">
        <v>1320</v>
      </c>
      <c r="F31" s="622" t="s">
        <v>1321</v>
      </c>
      <c r="G31" s="622" t="s">
        <v>1322</v>
      </c>
      <c r="H31" s="622" t="s">
        <v>1249</v>
      </c>
      <c r="I31" s="622" t="s">
        <v>1250</v>
      </c>
      <c r="J31" s="622">
        <v>104</v>
      </c>
    </row>
    <row r="32" spans="1:10" x14ac:dyDescent="0.2">
      <c r="A32" s="622" t="s">
        <v>1520</v>
      </c>
      <c r="B32" s="622" t="s">
        <v>1521</v>
      </c>
      <c r="C32" s="622" t="s">
        <v>1522</v>
      </c>
      <c r="D32" s="622" t="s">
        <v>1346</v>
      </c>
      <c r="E32" s="622" t="s">
        <v>1347</v>
      </c>
      <c r="F32" s="622" t="s">
        <v>1340</v>
      </c>
      <c r="G32" s="622" t="s">
        <v>1341</v>
      </c>
      <c r="H32" s="622" t="s">
        <v>1249</v>
      </c>
      <c r="I32" s="622" t="s">
        <v>1250</v>
      </c>
      <c r="J32" s="622">
        <v>104</v>
      </c>
    </row>
    <row r="33" spans="1:10" x14ac:dyDescent="0.2">
      <c r="A33" s="622" t="s">
        <v>1523</v>
      </c>
      <c r="B33" s="622" t="s">
        <v>1524</v>
      </c>
      <c r="C33" s="622" t="s">
        <v>1525</v>
      </c>
      <c r="D33" s="622" t="s">
        <v>1346</v>
      </c>
      <c r="E33" s="622" t="s">
        <v>1347</v>
      </c>
      <c r="F33" s="622" t="s">
        <v>1340</v>
      </c>
      <c r="G33" s="622" t="s">
        <v>1341</v>
      </c>
      <c r="H33" s="622" t="s">
        <v>1249</v>
      </c>
      <c r="I33" s="622" t="s">
        <v>1250</v>
      </c>
      <c r="J33" s="622">
        <v>104</v>
      </c>
    </row>
    <row r="34" spans="1:10" x14ac:dyDescent="0.2">
      <c r="A34" s="622" t="s">
        <v>1526</v>
      </c>
      <c r="B34" s="622" t="s">
        <v>1527</v>
      </c>
      <c r="C34" s="622" t="s">
        <v>1528</v>
      </c>
      <c r="D34" s="622" t="s">
        <v>1344</v>
      </c>
      <c r="E34" s="622" t="s">
        <v>1345</v>
      </c>
      <c r="F34" s="622" t="s">
        <v>1340</v>
      </c>
      <c r="G34" s="622" t="s">
        <v>1341</v>
      </c>
      <c r="H34" s="622" t="s">
        <v>1249</v>
      </c>
      <c r="I34" s="622" t="s">
        <v>1250</v>
      </c>
      <c r="J34" s="622">
        <v>104</v>
      </c>
    </row>
    <row r="35" spans="1:10" x14ac:dyDescent="0.2">
      <c r="A35" s="622" t="s">
        <v>1529</v>
      </c>
      <c r="B35" s="622" t="s">
        <v>1530</v>
      </c>
      <c r="C35" s="622" t="s">
        <v>1531</v>
      </c>
      <c r="D35" s="622" t="s">
        <v>1363</v>
      </c>
      <c r="E35" s="622" t="s">
        <v>1364</v>
      </c>
      <c r="F35" s="622" t="s">
        <v>1365</v>
      </c>
      <c r="G35" s="622" t="s">
        <v>1366</v>
      </c>
      <c r="H35" s="622" t="s">
        <v>1249</v>
      </c>
      <c r="I35" s="622" t="s">
        <v>1250</v>
      </c>
      <c r="J35" s="622">
        <v>104</v>
      </c>
    </row>
    <row r="36" spans="1:10" x14ac:dyDescent="0.2">
      <c r="A36" s="622" t="s">
        <v>1361</v>
      </c>
      <c r="B36" s="622" t="s">
        <v>1532</v>
      </c>
      <c r="C36" s="622" t="s">
        <v>1533</v>
      </c>
      <c r="D36" s="622" t="s">
        <v>1361</v>
      </c>
      <c r="E36" s="622" t="s">
        <v>1362</v>
      </c>
      <c r="F36" s="622" t="s">
        <v>1327</v>
      </c>
      <c r="G36" s="622" t="s">
        <v>1328</v>
      </c>
      <c r="H36" s="622" t="s">
        <v>1249</v>
      </c>
      <c r="I36" s="622" t="s">
        <v>1250</v>
      </c>
      <c r="J36" s="622">
        <v>104</v>
      </c>
    </row>
    <row r="37" spans="1:10" x14ac:dyDescent="0.2">
      <c r="A37" s="622" t="s">
        <v>1534</v>
      </c>
      <c r="B37" s="622" t="s">
        <v>1535</v>
      </c>
      <c r="C37" s="622" t="s">
        <v>1536</v>
      </c>
      <c r="D37" s="622" t="s">
        <v>1251</v>
      </c>
      <c r="E37" s="622" t="s">
        <v>1252</v>
      </c>
      <c r="F37" s="622" t="s">
        <v>1247</v>
      </c>
      <c r="G37" s="622" t="s">
        <v>1248</v>
      </c>
      <c r="H37" s="622" t="s">
        <v>1249</v>
      </c>
      <c r="I37" s="622" t="s">
        <v>1250</v>
      </c>
      <c r="J37" s="622">
        <v>104</v>
      </c>
    </row>
    <row r="38" spans="1:10" x14ac:dyDescent="0.2">
      <c r="A38" s="622" t="s">
        <v>1251</v>
      </c>
      <c r="B38" s="622" t="s">
        <v>1537</v>
      </c>
      <c r="C38" s="622" t="s">
        <v>1538</v>
      </c>
      <c r="D38" s="622" t="s">
        <v>1251</v>
      </c>
      <c r="E38" s="622" t="s">
        <v>1252</v>
      </c>
      <c r="F38" s="622" t="s">
        <v>1247</v>
      </c>
      <c r="G38" s="622" t="s">
        <v>1248</v>
      </c>
      <c r="H38" s="622" t="s">
        <v>1249</v>
      </c>
      <c r="I38" s="622" t="s">
        <v>1250</v>
      </c>
      <c r="J38" s="622">
        <v>104</v>
      </c>
    </row>
    <row r="39" spans="1:10" x14ac:dyDescent="0.2">
      <c r="A39" s="622" t="s">
        <v>1539</v>
      </c>
      <c r="B39" s="622" t="s">
        <v>1540</v>
      </c>
      <c r="C39" s="622" t="s">
        <v>1541</v>
      </c>
      <c r="D39" s="622" t="s">
        <v>1344</v>
      </c>
      <c r="E39" s="622" t="s">
        <v>1345</v>
      </c>
      <c r="F39" s="622" t="s">
        <v>1340</v>
      </c>
      <c r="G39" s="622" t="s">
        <v>1341</v>
      </c>
      <c r="H39" s="622" t="s">
        <v>1249</v>
      </c>
      <c r="I39" s="622" t="s">
        <v>1250</v>
      </c>
      <c r="J39" s="622">
        <v>104</v>
      </c>
    </row>
    <row r="40" spans="1:10" x14ac:dyDescent="0.2">
      <c r="A40" s="622" t="s">
        <v>1542</v>
      </c>
      <c r="B40" s="622" t="s">
        <v>1543</v>
      </c>
      <c r="C40" s="622" t="s">
        <v>1544</v>
      </c>
      <c r="D40" s="622" t="s">
        <v>1414</v>
      </c>
      <c r="E40" s="622" t="s">
        <v>1415</v>
      </c>
      <c r="F40" s="622" t="s">
        <v>1412</v>
      </c>
      <c r="G40" s="622" t="s">
        <v>1413</v>
      </c>
      <c r="H40" s="622" t="s">
        <v>1249</v>
      </c>
      <c r="I40" s="622" t="s">
        <v>1250</v>
      </c>
      <c r="J40" s="622">
        <v>104</v>
      </c>
    </row>
    <row r="41" spans="1:10" x14ac:dyDescent="0.2">
      <c r="A41" s="622" t="s">
        <v>1545</v>
      </c>
      <c r="B41" s="622" t="s">
        <v>1546</v>
      </c>
      <c r="C41" s="622" t="s">
        <v>1547</v>
      </c>
      <c r="D41" s="622" t="s">
        <v>1346</v>
      </c>
      <c r="E41" s="622" t="s">
        <v>1347</v>
      </c>
      <c r="F41" s="622" t="s">
        <v>1340</v>
      </c>
      <c r="G41" s="622" t="s">
        <v>1341</v>
      </c>
      <c r="H41" s="622" t="s">
        <v>1249</v>
      </c>
      <c r="I41" s="622" t="s">
        <v>1250</v>
      </c>
      <c r="J41" s="622">
        <v>104</v>
      </c>
    </row>
    <row r="42" spans="1:10" x14ac:dyDescent="0.2">
      <c r="A42" s="622" t="s">
        <v>1548</v>
      </c>
      <c r="B42" s="622" t="s">
        <v>1549</v>
      </c>
      <c r="C42" s="622" t="s">
        <v>1550</v>
      </c>
      <c r="D42" s="622" t="s">
        <v>1342</v>
      </c>
      <c r="E42" s="622" t="s">
        <v>1343</v>
      </c>
      <c r="F42" s="622" t="s">
        <v>1340</v>
      </c>
      <c r="G42" s="622" t="s">
        <v>1341</v>
      </c>
      <c r="H42" s="622" t="s">
        <v>1249</v>
      </c>
      <c r="I42" s="622" t="s">
        <v>1250</v>
      </c>
      <c r="J42" s="622">
        <v>104</v>
      </c>
    </row>
    <row r="43" spans="1:10" x14ac:dyDescent="0.2">
      <c r="A43" s="622" t="s">
        <v>1551</v>
      </c>
      <c r="B43" s="622" t="s">
        <v>1552</v>
      </c>
      <c r="C43" s="622" t="s">
        <v>1553</v>
      </c>
      <c r="D43" s="622" t="s">
        <v>1338</v>
      </c>
      <c r="E43" s="622" t="s">
        <v>1339</v>
      </c>
      <c r="F43" s="622" t="s">
        <v>1340</v>
      </c>
      <c r="G43" s="622" t="s">
        <v>1341</v>
      </c>
      <c r="H43" s="622" t="s">
        <v>1249</v>
      </c>
      <c r="I43" s="622" t="s">
        <v>1250</v>
      </c>
      <c r="J43" s="622">
        <v>104</v>
      </c>
    </row>
    <row r="44" spans="1:10" x14ac:dyDescent="0.2">
      <c r="A44" s="622" t="s">
        <v>1554</v>
      </c>
      <c r="B44" s="622" t="s">
        <v>1555</v>
      </c>
      <c r="C44" s="622" t="s">
        <v>1556</v>
      </c>
      <c r="D44" s="622" t="s">
        <v>1346</v>
      </c>
      <c r="E44" s="622" t="s">
        <v>1347</v>
      </c>
      <c r="F44" s="622" t="s">
        <v>1340</v>
      </c>
      <c r="G44" s="622" t="s">
        <v>1341</v>
      </c>
      <c r="H44" s="622" t="s">
        <v>1249</v>
      </c>
      <c r="I44" s="622" t="s">
        <v>1250</v>
      </c>
      <c r="J44" s="622">
        <v>104</v>
      </c>
    </row>
    <row r="45" spans="1:10" x14ac:dyDescent="0.2">
      <c r="A45" s="622" t="s">
        <v>1557</v>
      </c>
      <c r="B45" s="622" t="s">
        <v>1558</v>
      </c>
      <c r="C45" s="622" t="s">
        <v>1559</v>
      </c>
      <c r="D45" s="622" t="s">
        <v>1338</v>
      </c>
      <c r="E45" s="622" t="s">
        <v>1339</v>
      </c>
      <c r="F45" s="622" t="s">
        <v>1340</v>
      </c>
      <c r="G45" s="622" t="s">
        <v>1341</v>
      </c>
      <c r="H45" s="622" t="s">
        <v>1249</v>
      </c>
      <c r="I45" s="622" t="s">
        <v>1250</v>
      </c>
      <c r="J45" s="622">
        <v>104</v>
      </c>
    </row>
    <row r="46" spans="1:10" x14ac:dyDescent="0.2">
      <c r="A46" s="622" t="s">
        <v>1560</v>
      </c>
      <c r="B46" s="622" t="s">
        <v>1561</v>
      </c>
      <c r="C46" s="622" t="s">
        <v>1562</v>
      </c>
      <c r="D46" s="622" t="s">
        <v>1346</v>
      </c>
      <c r="E46" s="622" t="s">
        <v>1347</v>
      </c>
      <c r="F46" s="622" t="s">
        <v>1340</v>
      </c>
      <c r="G46" s="622" t="s">
        <v>1341</v>
      </c>
      <c r="H46" s="622" t="s">
        <v>1249</v>
      </c>
      <c r="I46" s="622" t="s">
        <v>1250</v>
      </c>
      <c r="J46" s="622">
        <v>104</v>
      </c>
    </row>
    <row r="47" spans="1:10" x14ac:dyDescent="0.2">
      <c r="A47" s="622" t="s">
        <v>1563</v>
      </c>
      <c r="B47" s="622" t="s">
        <v>1564</v>
      </c>
      <c r="C47" s="622" t="s">
        <v>1565</v>
      </c>
      <c r="D47" s="622" t="s">
        <v>1338</v>
      </c>
      <c r="E47" s="622" t="s">
        <v>1339</v>
      </c>
      <c r="F47" s="622" t="s">
        <v>1340</v>
      </c>
      <c r="G47" s="622" t="s">
        <v>1341</v>
      </c>
      <c r="H47" s="622" t="s">
        <v>1249</v>
      </c>
      <c r="I47" s="622" t="s">
        <v>1250</v>
      </c>
      <c r="J47" s="622">
        <v>104</v>
      </c>
    </row>
    <row r="48" spans="1:10" x14ac:dyDescent="0.2">
      <c r="A48" s="622" t="s">
        <v>1566</v>
      </c>
      <c r="B48" s="622" t="s">
        <v>1567</v>
      </c>
      <c r="C48" s="622" t="s">
        <v>1568</v>
      </c>
      <c r="D48" s="622" t="s">
        <v>1344</v>
      </c>
      <c r="E48" s="622" t="s">
        <v>1345</v>
      </c>
      <c r="F48" s="622" t="s">
        <v>1340</v>
      </c>
      <c r="G48" s="622" t="s">
        <v>1341</v>
      </c>
      <c r="H48" s="622" t="s">
        <v>1249</v>
      </c>
      <c r="I48" s="622" t="s">
        <v>1250</v>
      </c>
      <c r="J48" s="622">
        <v>104</v>
      </c>
    </row>
    <row r="49" spans="1:10" x14ac:dyDescent="0.2">
      <c r="A49" s="622" t="s">
        <v>1569</v>
      </c>
      <c r="B49" s="622" t="s">
        <v>1570</v>
      </c>
      <c r="C49" s="622" t="s">
        <v>1571</v>
      </c>
      <c r="D49" s="622" t="s">
        <v>1344</v>
      </c>
      <c r="E49" s="622" t="s">
        <v>1345</v>
      </c>
      <c r="F49" s="622" t="s">
        <v>1340</v>
      </c>
      <c r="G49" s="622" t="s">
        <v>1341</v>
      </c>
      <c r="H49" s="622" t="s">
        <v>1249</v>
      </c>
      <c r="I49" s="622" t="s">
        <v>1250</v>
      </c>
      <c r="J49" s="622">
        <v>104</v>
      </c>
    </row>
    <row r="50" spans="1:10" x14ac:dyDescent="0.2">
      <c r="A50" s="622" t="s">
        <v>1572</v>
      </c>
      <c r="B50" s="622" t="s">
        <v>1573</v>
      </c>
      <c r="C50" s="622" t="s">
        <v>1574</v>
      </c>
      <c r="D50" s="622" t="s">
        <v>1346</v>
      </c>
      <c r="E50" s="622" t="s">
        <v>1347</v>
      </c>
      <c r="F50" s="622" t="s">
        <v>1340</v>
      </c>
      <c r="G50" s="622" t="s">
        <v>1341</v>
      </c>
      <c r="H50" s="622" t="s">
        <v>1249</v>
      </c>
      <c r="I50" s="622" t="s">
        <v>1250</v>
      </c>
      <c r="J50" s="622">
        <v>104</v>
      </c>
    </row>
    <row r="51" spans="1:10" x14ac:dyDescent="0.2">
      <c r="A51" s="622" t="s">
        <v>1575</v>
      </c>
      <c r="B51" s="622" t="s">
        <v>1576</v>
      </c>
      <c r="C51" s="622" t="s">
        <v>1577</v>
      </c>
      <c r="D51" s="622" t="s">
        <v>1423</v>
      </c>
      <c r="E51" s="622" t="s">
        <v>1424</v>
      </c>
      <c r="F51" s="622" t="s">
        <v>1421</v>
      </c>
      <c r="G51" s="622" t="s">
        <v>1422</v>
      </c>
      <c r="H51" s="622" t="s">
        <v>1249</v>
      </c>
      <c r="I51" s="622" t="s">
        <v>1250</v>
      </c>
      <c r="J51" s="622">
        <v>104</v>
      </c>
    </row>
    <row r="52" spans="1:10" x14ac:dyDescent="0.2">
      <c r="A52" s="622" t="s">
        <v>1578</v>
      </c>
      <c r="B52" s="622" t="s">
        <v>1579</v>
      </c>
      <c r="C52" s="622" t="s">
        <v>1580</v>
      </c>
      <c r="D52" s="622" t="s">
        <v>1338</v>
      </c>
      <c r="E52" s="622" t="s">
        <v>1339</v>
      </c>
      <c r="F52" s="622" t="s">
        <v>1340</v>
      </c>
      <c r="G52" s="622" t="s">
        <v>1341</v>
      </c>
      <c r="H52" s="622" t="s">
        <v>1249</v>
      </c>
      <c r="I52" s="622" t="s">
        <v>1250</v>
      </c>
      <c r="J52" s="622">
        <v>104</v>
      </c>
    </row>
    <row r="53" spans="1:10" x14ac:dyDescent="0.2">
      <c r="A53" s="622" t="s">
        <v>1581</v>
      </c>
      <c r="B53" s="622" t="s">
        <v>1582</v>
      </c>
      <c r="C53" s="622" t="s">
        <v>1583</v>
      </c>
      <c r="D53" s="622" t="s">
        <v>1410</v>
      </c>
      <c r="E53" s="622" t="s">
        <v>1411</v>
      </c>
      <c r="F53" s="622" t="s">
        <v>1412</v>
      </c>
      <c r="G53" s="622" t="s">
        <v>1413</v>
      </c>
      <c r="H53" s="622" t="s">
        <v>1249</v>
      </c>
      <c r="I53" s="622" t="s">
        <v>1250</v>
      </c>
      <c r="J53" s="622">
        <v>104</v>
      </c>
    </row>
    <row r="54" spans="1:10" x14ac:dyDescent="0.2">
      <c r="A54" s="622" t="s">
        <v>1584</v>
      </c>
      <c r="B54" s="622" t="s">
        <v>1585</v>
      </c>
      <c r="C54" s="622" t="s">
        <v>1586</v>
      </c>
      <c r="D54" s="622" t="s">
        <v>1431</v>
      </c>
      <c r="E54" s="622" t="s">
        <v>1432</v>
      </c>
      <c r="F54" s="622" t="s">
        <v>1421</v>
      </c>
      <c r="G54" s="622" t="s">
        <v>1422</v>
      </c>
      <c r="H54" s="622" t="s">
        <v>1249</v>
      </c>
      <c r="I54" s="622" t="s">
        <v>1250</v>
      </c>
      <c r="J54" s="622">
        <v>104</v>
      </c>
    </row>
    <row r="55" spans="1:10" x14ac:dyDescent="0.2">
      <c r="A55" s="622" t="s">
        <v>1587</v>
      </c>
      <c r="B55" s="622" t="s">
        <v>1588</v>
      </c>
      <c r="C55" s="622" t="s">
        <v>1589</v>
      </c>
      <c r="D55" s="622" t="s">
        <v>1346</v>
      </c>
      <c r="E55" s="622" t="s">
        <v>1347</v>
      </c>
      <c r="F55" s="622" t="s">
        <v>1340</v>
      </c>
      <c r="G55" s="622" t="s">
        <v>1341</v>
      </c>
      <c r="H55" s="622" t="s">
        <v>1249</v>
      </c>
      <c r="I55" s="622" t="s">
        <v>1250</v>
      </c>
      <c r="J55" s="622">
        <v>104</v>
      </c>
    </row>
    <row r="56" spans="1:10" x14ac:dyDescent="0.2">
      <c r="A56" s="622" t="s">
        <v>1590</v>
      </c>
      <c r="B56" s="622" t="s">
        <v>1591</v>
      </c>
      <c r="C56" s="622" t="s">
        <v>1592</v>
      </c>
      <c r="D56" s="622" t="s">
        <v>1338</v>
      </c>
      <c r="E56" s="622" t="s">
        <v>1339</v>
      </c>
      <c r="F56" s="622" t="s">
        <v>1340</v>
      </c>
      <c r="G56" s="622" t="s">
        <v>1341</v>
      </c>
      <c r="H56" s="622" t="s">
        <v>1249</v>
      </c>
      <c r="I56" s="622" t="s">
        <v>1250</v>
      </c>
      <c r="J56" s="622">
        <v>104</v>
      </c>
    </row>
    <row r="57" spans="1:10" x14ac:dyDescent="0.2">
      <c r="A57" s="622" t="s">
        <v>1593</v>
      </c>
      <c r="B57" s="622" t="s">
        <v>1594</v>
      </c>
      <c r="C57" s="622" t="s">
        <v>1595</v>
      </c>
      <c r="D57" s="622" t="s">
        <v>1338</v>
      </c>
      <c r="E57" s="622" t="s">
        <v>1339</v>
      </c>
      <c r="F57" s="622" t="s">
        <v>1340</v>
      </c>
      <c r="G57" s="622" t="s">
        <v>1341</v>
      </c>
      <c r="H57" s="622" t="s">
        <v>1249</v>
      </c>
      <c r="I57" s="622" t="s">
        <v>1250</v>
      </c>
      <c r="J57" s="622">
        <v>104</v>
      </c>
    </row>
    <row r="58" spans="1:10" x14ac:dyDescent="0.2">
      <c r="A58" s="622" t="s">
        <v>1596</v>
      </c>
      <c r="B58" s="622" t="s">
        <v>1597</v>
      </c>
      <c r="C58" s="622" t="s">
        <v>1598</v>
      </c>
      <c r="D58" s="622" t="s">
        <v>1427</v>
      </c>
      <c r="E58" s="622" t="s">
        <v>1428</v>
      </c>
      <c r="F58" s="622" t="s">
        <v>1421</v>
      </c>
      <c r="G58" s="622" t="s">
        <v>1422</v>
      </c>
      <c r="H58" s="622" t="s">
        <v>1249</v>
      </c>
      <c r="I58" s="622" t="s">
        <v>1250</v>
      </c>
      <c r="J58" s="622">
        <v>104</v>
      </c>
    </row>
    <row r="59" spans="1:10" x14ac:dyDescent="0.2">
      <c r="A59" s="622" t="s">
        <v>1599</v>
      </c>
      <c r="B59" s="622" t="s">
        <v>1600</v>
      </c>
      <c r="C59" s="622" t="s">
        <v>1601</v>
      </c>
      <c r="D59" s="622" t="s">
        <v>1346</v>
      </c>
      <c r="E59" s="622" t="s">
        <v>1347</v>
      </c>
      <c r="F59" s="622" t="s">
        <v>1340</v>
      </c>
      <c r="G59" s="622" t="s">
        <v>1341</v>
      </c>
      <c r="H59" s="622" t="s">
        <v>1249</v>
      </c>
      <c r="I59" s="622" t="s">
        <v>1250</v>
      </c>
      <c r="J59" s="622">
        <v>104</v>
      </c>
    </row>
    <row r="60" spans="1:10" x14ac:dyDescent="0.2">
      <c r="A60" s="622" t="s">
        <v>1602</v>
      </c>
      <c r="B60" s="622" t="s">
        <v>1603</v>
      </c>
      <c r="C60" s="622" t="s">
        <v>1604</v>
      </c>
      <c r="D60" s="622" t="s">
        <v>1338</v>
      </c>
      <c r="E60" s="622" t="s">
        <v>1339</v>
      </c>
      <c r="F60" s="622" t="s">
        <v>1340</v>
      </c>
      <c r="G60" s="622" t="s">
        <v>1341</v>
      </c>
      <c r="H60" s="622" t="s">
        <v>1249</v>
      </c>
      <c r="I60" s="622" t="s">
        <v>1250</v>
      </c>
      <c r="J60" s="622">
        <v>104</v>
      </c>
    </row>
    <row r="61" spans="1:10" x14ac:dyDescent="0.2">
      <c r="A61" s="622" t="s">
        <v>1605</v>
      </c>
      <c r="B61" s="622" t="s">
        <v>1606</v>
      </c>
      <c r="C61" s="622" t="s">
        <v>1607</v>
      </c>
      <c r="D61" s="622" t="s">
        <v>1338</v>
      </c>
      <c r="E61" s="622" t="s">
        <v>1339</v>
      </c>
      <c r="F61" s="622" t="s">
        <v>1340</v>
      </c>
      <c r="G61" s="622" t="s">
        <v>1341</v>
      </c>
      <c r="H61" s="622" t="s">
        <v>1249</v>
      </c>
      <c r="I61" s="622" t="s">
        <v>1250</v>
      </c>
      <c r="J61" s="622">
        <v>104</v>
      </c>
    </row>
    <row r="62" spans="1:10" x14ac:dyDescent="0.2">
      <c r="A62" s="622" t="s">
        <v>1608</v>
      </c>
      <c r="B62" s="622" t="s">
        <v>1609</v>
      </c>
      <c r="C62" s="622" t="s">
        <v>1610</v>
      </c>
      <c r="D62" s="622" t="s">
        <v>1431</v>
      </c>
      <c r="E62" s="622" t="s">
        <v>1432</v>
      </c>
      <c r="F62" s="622" t="s">
        <v>1421</v>
      </c>
      <c r="G62" s="622" t="s">
        <v>1422</v>
      </c>
      <c r="H62" s="622" t="s">
        <v>1249</v>
      </c>
      <c r="I62" s="622" t="s">
        <v>1250</v>
      </c>
      <c r="J62" s="622">
        <v>104</v>
      </c>
    </row>
    <row r="63" spans="1:10" x14ac:dyDescent="0.2">
      <c r="A63" s="622" t="s">
        <v>1611</v>
      </c>
      <c r="B63" s="622" t="s">
        <v>1612</v>
      </c>
      <c r="C63" s="622" t="s">
        <v>1613</v>
      </c>
      <c r="D63" s="622" t="s">
        <v>1410</v>
      </c>
      <c r="E63" s="622" t="s">
        <v>1411</v>
      </c>
      <c r="F63" s="622" t="s">
        <v>1412</v>
      </c>
      <c r="G63" s="622" t="s">
        <v>1413</v>
      </c>
      <c r="H63" s="622" t="s">
        <v>1249</v>
      </c>
      <c r="I63" s="622" t="s">
        <v>1250</v>
      </c>
      <c r="J63" s="622">
        <v>104</v>
      </c>
    </row>
    <row r="64" spans="1:10" x14ac:dyDescent="0.2">
      <c r="A64" s="622" t="s">
        <v>1614</v>
      </c>
      <c r="B64" s="622" t="s">
        <v>1615</v>
      </c>
      <c r="C64" s="622" t="s">
        <v>1616</v>
      </c>
      <c r="D64" s="622" t="s">
        <v>1338</v>
      </c>
      <c r="E64" s="622" t="s">
        <v>1339</v>
      </c>
      <c r="F64" s="622" t="s">
        <v>1340</v>
      </c>
      <c r="G64" s="622" t="s">
        <v>1341</v>
      </c>
      <c r="H64" s="622" t="s">
        <v>1249</v>
      </c>
      <c r="I64" s="622" t="s">
        <v>1250</v>
      </c>
      <c r="J64" s="622">
        <v>104</v>
      </c>
    </row>
    <row r="65" spans="1:10" x14ac:dyDescent="0.2">
      <c r="A65" s="622" t="s">
        <v>1617</v>
      </c>
      <c r="B65" s="622" t="s">
        <v>1618</v>
      </c>
      <c r="C65" s="622" t="s">
        <v>1619</v>
      </c>
      <c r="D65" s="622" t="s">
        <v>1338</v>
      </c>
      <c r="E65" s="622" t="s">
        <v>1339</v>
      </c>
      <c r="F65" s="622" t="s">
        <v>1340</v>
      </c>
      <c r="G65" s="622" t="s">
        <v>1341</v>
      </c>
      <c r="H65" s="622" t="s">
        <v>1249</v>
      </c>
      <c r="I65" s="622" t="s">
        <v>1250</v>
      </c>
      <c r="J65" s="622">
        <v>104</v>
      </c>
    </row>
    <row r="66" spans="1:10" x14ac:dyDescent="0.2">
      <c r="A66" s="622" t="s">
        <v>1431</v>
      </c>
      <c r="B66" s="622" t="s">
        <v>1620</v>
      </c>
      <c r="C66" s="622" t="s">
        <v>1621</v>
      </c>
      <c r="D66" s="622" t="s">
        <v>1431</v>
      </c>
      <c r="E66" s="622" t="s">
        <v>1432</v>
      </c>
      <c r="F66" s="622" t="s">
        <v>1421</v>
      </c>
      <c r="G66" s="622" t="s">
        <v>1422</v>
      </c>
      <c r="H66" s="622" t="s">
        <v>1249</v>
      </c>
      <c r="I66" s="622" t="s">
        <v>1250</v>
      </c>
      <c r="J66" s="622">
        <v>104</v>
      </c>
    </row>
    <row r="67" spans="1:10" x14ac:dyDescent="0.2">
      <c r="A67" s="622" t="s">
        <v>1622</v>
      </c>
      <c r="B67" s="622" t="s">
        <v>1623</v>
      </c>
      <c r="C67" s="622" t="s">
        <v>1624</v>
      </c>
      <c r="D67" s="622" t="s">
        <v>1427</v>
      </c>
      <c r="E67" s="622" t="s">
        <v>1428</v>
      </c>
      <c r="F67" s="622" t="s">
        <v>1421</v>
      </c>
      <c r="G67" s="622" t="s">
        <v>1422</v>
      </c>
      <c r="H67" s="622" t="s">
        <v>1249</v>
      </c>
      <c r="I67" s="622" t="s">
        <v>1250</v>
      </c>
      <c r="J67" s="622">
        <v>104</v>
      </c>
    </row>
    <row r="68" spans="1:10" x14ac:dyDescent="0.2">
      <c r="A68" s="622" t="s">
        <v>1625</v>
      </c>
      <c r="B68" s="622" t="s">
        <v>1626</v>
      </c>
      <c r="C68" s="622" t="s">
        <v>1627</v>
      </c>
      <c r="D68" s="622" t="s">
        <v>1338</v>
      </c>
      <c r="E68" s="622" t="s">
        <v>1339</v>
      </c>
      <c r="F68" s="622" t="s">
        <v>1340</v>
      </c>
      <c r="G68" s="622" t="s">
        <v>1341</v>
      </c>
      <c r="H68" s="622" t="s">
        <v>1249</v>
      </c>
      <c r="I68" s="622" t="s">
        <v>1250</v>
      </c>
      <c r="J68" s="622">
        <v>104</v>
      </c>
    </row>
    <row r="69" spans="1:10" x14ac:dyDescent="0.2">
      <c r="A69" s="622" t="s">
        <v>1628</v>
      </c>
      <c r="B69" s="622" t="s">
        <v>1629</v>
      </c>
      <c r="C69" s="622" t="s">
        <v>1630</v>
      </c>
      <c r="D69" s="622" t="s">
        <v>1342</v>
      </c>
      <c r="E69" s="622" t="s">
        <v>1343</v>
      </c>
      <c r="F69" s="622" t="s">
        <v>1340</v>
      </c>
      <c r="G69" s="622" t="s">
        <v>1341</v>
      </c>
      <c r="H69" s="622" t="s">
        <v>1249</v>
      </c>
      <c r="I69" s="622" t="s">
        <v>1250</v>
      </c>
      <c r="J69" s="622">
        <v>104</v>
      </c>
    </row>
    <row r="70" spans="1:10" x14ac:dyDescent="0.2">
      <c r="A70" s="622" t="s">
        <v>1631</v>
      </c>
      <c r="B70" s="622" t="s">
        <v>1632</v>
      </c>
      <c r="C70" s="622" t="s">
        <v>1633</v>
      </c>
      <c r="D70" s="622" t="s">
        <v>1410</v>
      </c>
      <c r="E70" s="622" t="s">
        <v>1411</v>
      </c>
      <c r="F70" s="622" t="s">
        <v>1412</v>
      </c>
      <c r="G70" s="622" t="s">
        <v>1413</v>
      </c>
      <c r="H70" s="622" t="s">
        <v>1249</v>
      </c>
      <c r="I70" s="622" t="s">
        <v>1250</v>
      </c>
      <c r="J70" s="622">
        <v>104</v>
      </c>
    </row>
    <row r="71" spans="1:10" x14ac:dyDescent="0.2">
      <c r="A71" s="622" t="s">
        <v>1634</v>
      </c>
      <c r="B71" s="622" t="s">
        <v>1635</v>
      </c>
      <c r="C71" s="622" t="s">
        <v>1636</v>
      </c>
      <c r="D71" s="622" t="s">
        <v>1414</v>
      </c>
      <c r="E71" s="622" t="s">
        <v>1415</v>
      </c>
      <c r="F71" s="622" t="s">
        <v>1412</v>
      </c>
      <c r="G71" s="622" t="s">
        <v>1413</v>
      </c>
      <c r="H71" s="622" t="s">
        <v>1249</v>
      </c>
      <c r="I71" s="622" t="s">
        <v>1250</v>
      </c>
      <c r="J71" s="622">
        <v>104</v>
      </c>
    </row>
    <row r="72" spans="1:10" x14ac:dyDescent="0.2">
      <c r="A72" s="622" t="s">
        <v>1637</v>
      </c>
      <c r="B72" s="622" t="s">
        <v>1638</v>
      </c>
      <c r="C72" s="622" t="s">
        <v>1639</v>
      </c>
      <c r="D72" s="622" t="s">
        <v>1412</v>
      </c>
      <c r="E72" s="622" t="s">
        <v>1418</v>
      </c>
      <c r="F72" s="622" t="s">
        <v>1412</v>
      </c>
      <c r="G72" s="622" t="s">
        <v>1413</v>
      </c>
      <c r="H72" s="622" t="s">
        <v>1249</v>
      </c>
      <c r="I72" s="622" t="s">
        <v>1250</v>
      </c>
      <c r="J72" s="622">
        <v>104</v>
      </c>
    </row>
    <row r="73" spans="1:10" x14ac:dyDescent="0.2">
      <c r="A73" s="622" t="s">
        <v>1640</v>
      </c>
      <c r="B73" s="622" t="s">
        <v>1641</v>
      </c>
      <c r="C73" s="622" t="s">
        <v>1642</v>
      </c>
      <c r="D73" s="622" t="s">
        <v>1319</v>
      </c>
      <c r="E73" s="622" t="s">
        <v>1320</v>
      </c>
      <c r="F73" s="622" t="s">
        <v>1321</v>
      </c>
      <c r="G73" s="622" t="s">
        <v>1322</v>
      </c>
      <c r="H73" s="622" t="s">
        <v>1249</v>
      </c>
      <c r="I73" s="622" t="s">
        <v>1250</v>
      </c>
      <c r="J73" s="622">
        <v>104</v>
      </c>
    </row>
    <row r="74" spans="1:10" x14ac:dyDescent="0.2">
      <c r="A74" s="622" t="s">
        <v>1643</v>
      </c>
      <c r="B74" s="622" t="s">
        <v>1644</v>
      </c>
      <c r="C74" s="622" t="s">
        <v>1645</v>
      </c>
      <c r="D74" s="622" t="s">
        <v>1354</v>
      </c>
      <c r="E74" s="622" t="s">
        <v>1355</v>
      </c>
      <c r="F74" s="622" t="s">
        <v>1350</v>
      </c>
      <c r="G74" s="622" t="s">
        <v>1351</v>
      </c>
      <c r="H74" s="622" t="s">
        <v>1249</v>
      </c>
      <c r="I74" s="622" t="s">
        <v>1250</v>
      </c>
      <c r="J74" s="622">
        <v>104</v>
      </c>
    </row>
    <row r="75" spans="1:10" x14ac:dyDescent="0.2">
      <c r="A75" s="622" t="s">
        <v>1380</v>
      </c>
      <c r="B75" s="622" t="s">
        <v>1646</v>
      </c>
      <c r="C75" s="622" t="s">
        <v>1647</v>
      </c>
      <c r="D75" s="622" t="s">
        <v>1380</v>
      </c>
      <c r="E75" s="622" t="s">
        <v>1381</v>
      </c>
      <c r="F75" s="622" t="s">
        <v>1376</v>
      </c>
      <c r="G75" s="622" t="s">
        <v>1377</v>
      </c>
      <c r="H75" s="622" t="s">
        <v>1249</v>
      </c>
      <c r="I75" s="622" t="s">
        <v>1250</v>
      </c>
      <c r="J75" s="622">
        <v>104</v>
      </c>
    </row>
    <row r="76" spans="1:10" x14ac:dyDescent="0.2">
      <c r="A76" s="622" t="s">
        <v>1648</v>
      </c>
      <c r="B76" s="622" t="s">
        <v>1649</v>
      </c>
      <c r="C76" s="622" t="s">
        <v>1650</v>
      </c>
      <c r="D76" s="622" t="s">
        <v>1388</v>
      </c>
      <c r="E76" s="622" t="s">
        <v>1389</v>
      </c>
      <c r="F76" s="622" t="s">
        <v>1386</v>
      </c>
      <c r="G76" s="622" t="s">
        <v>1387</v>
      </c>
      <c r="H76" s="622" t="s">
        <v>1249</v>
      </c>
      <c r="I76" s="622" t="s">
        <v>1250</v>
      </c>
      <c r="J76" s="622">
        <v>104</v>
      </c>
    </row>
    <row r="77" spans="1:10" x14ac:dyDescent="0.2">
      <c r="A77" s="622" t="s">
        <v>1651</v>
      </c>
      <c r="B77" s="622" t="s">
        <v>1652</v>
      </c>
      <c r="C77" s="622" t="s">
        <v>1653</v>
      </c>
      <c r="D77" s="622" t="s">
        <v>1327</v>
      </c>
      <c r="E77" s="622" t="s">
        <v>1337</v>
      </c>
      <c r="F77" s="622" t="s">
        <v>1327</v>
      </c>
      <c r="G77" s="622" t="s">
        <v>1328</v>
      </c>
      <c r="H77" s="622" t="s">
        <v>1249</v>
      </c>
      <c r="I77" s="622" t="s">
        <v>1250</v>
      </c>
      <c r="J77" s="622">
        <v>104</v>
      </c>
    </row>
    <row r="78" spans="1:10" x14ac:dyDescent="0.2">
      <c r="A78" s="622" t="s">
        <v>1654</v>
      </c>
      <c r="B78" s="622" t="s">
        <v>1655</v>
      </c>
      <c r="C78" s="622" t="s">
        <v>1656</v>
      </c>
      <c r="D78" s="622" t="s">
        <v>1307</v>
      </c>
      <c r="E78" s="622" t="s">
        <v>1308</v>
      </c>
      <c r="F78" s="622" t="s">
        <v>1303</v>
      </c>
      <c r="G78" s="622" t="s">
        <v>1304</v>
      </c>
      <c r="H78" s="622" t="s">
        <v>1249</v>
      </c>
      <c r="I78" s="622" t="s">
        <v>1250</v>
      </c>
      <c r="J78" s="622">
        <v>104</v>
      </c>
    </row>
    <row r="79" spans="1:10" x14ac:dyDescent="0.2">
      <c r="A79" s="622" t="s">
        <v>1657</v>
      </c>
      <c r="B79" s="622" t="s">
        <v>1658</v>
      </c>
      <c r="C79" s="622" t="s">
        <v>1659</v>
      </c>
      <c r="D79" s="622" t="s">
        <v>1327</v>
      </c>
      <c r="E79" s="622" t="s">
        <v>1337</v>
      </c>
      <c r="F79" s="622" t="s">
        <v>1327</v>
      </c>
      <c r="G79" s="622" t="s">
        <v>1328</v>
      </c>
      <c r="H79" s="622" t="s">
        <v>1249</v>
      </c>
      <c r="I79" s="622" t="s">
        <v>1250</v>
      </c>
      <c r="J79" s="622">
        <v>104</v>
      </c>
    </row>
    <row r="80" spans="1:10" x14ac:dyDescent="0.2">
      <c r="A80" s="622" t="s">
        <v>1660</v>
      </c>
      <c r="B80" s="622" t="s">
        <v>1661</v>
      </c>
      <c r="C80" s="622" t="s">
        <v>1662</v>
      </c>
      <c r="D80" s="622" t="s">
        <v>1327</v>
      </c>
      <c r="E80" s="622" t="s">
        <v>1337</v>
      </c>
      <c r="F80" s="622" t="s">
        <v>1327</v>
      </c>
      <c r="G80" s="622" t="s">
        <v>1328</v>
      </c>
      <c r="H80" s="622" t="s">
        <v>1249</v>
      </c>
      <c r="I80" s="622" t="s">
        <v>1250</v>
      </c>
      <c r="J80" s="622">
        <v>104</v>
      </c>
    </row>
    <row r="81" spans="1:10" x14ac:dyDescent="0.2">
      <c r="A81" s="622" t="s">
        <v>1663</v>
      </c>
      <c r="B81" s="622" t="s">
        <v>1664</v>
      </c>
      <c r="C81" s="622" t="s">
        <v>1665</v>
      </c>
      <c r="D81" s="622" t="s">
        <v>1356</v>
      </c>
      <c r="E81" s="622" t="s">
        <v>1357</v>
      </c>
      <c r="F81" s="622" t="s">
        <v>1247</v>
      </c>
      <c r="G81" s="622" t="s">
        <v>1248</v>
      </c>
      <c r="H81" s="622" t="s">
        <v>1249</v>
      </c>
      <c r="I81" s="622" t="s">
        <v>1250</v>
      </c>
      <c r="J81" s="622">
        <v>104</v>
      </c>
    </row>
    <row r="82" spans="1:10" x14ac:dyDescent="0.2">
      <c r="A82" s="622" t="s">
        <v>1325</v>
      </c>
      <c r="B82" s="622" t="s">
        <v>1666</v>
      </c>
      <c r="C82" s="622" t="s">
        <v>1667</v>
      </c>
      <c r="D82" s="622" t="s">
        <v>1325</v>
      </c>
      <c r="E82" s="622" t="s">
        <v>1326</v>
      </c>
      <c r="F82" s="622" t="s">
        <v>1327</v>
      </c>
      <c r="G82" s="622" t="s">
        <v>1328</v>
      </c>
      <c r="H82" s="622" t="s">
        <v>1249</v>
      </c>
      <c r="I82" s="622" t="s">
        <v>1250</v>
      </c>
      <c r="J82" s="622">
        <v>104</v>
      </c>
    </row>
    <row r="83" spans="1:10" x14ac:dyDescent="0.2">
      <c r="A83" s="622" t="s">
        <v>1668</v>
      </c>
      <c r="B83" s="622" t="s">
        <v>1669</v>
      </c>
      <c r="C83" s="622" t="s">
        <v>1670</v>
      </c>
      <c r="D83" s="622" t="s">
        <v>1329</v>
      </c>
      <c r="E83" s="622" t="s">
        <v>1330</v>
      </c>
      <c r="F83" s="622" t="s">
        <v>1327</v>
      </c>
      <c r="G83" s="622" t="s">
        <v>1328</v>
      </c>
      <c r="H83" s="622" t="s">
        <v>1249</v>
      </c>
      <c r="I83" s="622" t="s">
        <v>1250</v>
      </c>
      <c r="J83" s="622">
        <v>104</v>
      </c>
    </row>
    <row r="84" spans="1:10" x14ac:dyDescent="0.2">
      <c r="A84" s="622" t="s">
        <v>1671</v>
      </c>
      <c r="B84" s="622" t="s">
        <v>1672</v>
      </c>
      <c r="C84" s="622" t="s">
        <v>1673</v>
      </c>
      <c r="D84" s="622" t="s">
        <v>1293</v>
      </c>
      <c r="E84" s="622" t="s">
        <v>1294</v>
      </c>
      <c r="F84" s="622" t="s">
        <v>1281</v>
      </c>
      <c r="G84" s="622" t="s">
        <v>1282</v>
      </c>
      <c r="H84" s="622" t="s">
        <v>1249</v>
      </c>
      <c r="I84" s="622" t="s">
        <v>1250</v>
      </c>
      <c r="J84" s="622">
        <v>104</v>
      </c>
    </row>
    <row r="85" spans="1:10" x14ac:dyDescent="0.2">
      <c r="A85" s="622" t="s">
        <v>1674</v>
      </c>
      <c r="B85" s="622" t="s">
        <v>1675</v>
      </c>
      <c r="C85" s="622" t="s">
        <v>1676</v>
      </c>
      <c r="D85" s="622" t="s">
        <v>1287</v>
      </c>
      <c r="E85" s="622" t="s">
        <v>1288</v>
      </c>
      <c r="F85" s="622" t="s">
        <v>1281</v>
      </c>
      <c r="G85" s="622" t="s">
        <v>1282</v>
      </c>
      <c r="H85" s="622" t="s">
        <v>1249</v>
      </c>
      <c r="I85" s="622" t="s">
        <v>1250</v>
      </c>
      <c r="J85" s="622">
        <v>104</v>
      </c>
    </row>
    <row r="86" spans="1:10" x14ac:dyDescent="0.2">
      <c r="A86" s="622" t="s">
        <v>1677</v>
      </c>
      <c r="B86" s="622" t="s">
        <v>1678</v>
      </c>
      <c r="C86" s="622" t="s">
        <v>1679</v>
      </c>
      <c r="D86" s="622" t="s">
        <v>1291</v>
      </c>
      <c r="E86" s="622" t="s">
        <v>1292</v>
      </c>
      <c r="F86" s="622" t="s">
        <v>1281</v>
      </c>
      <c r="G86" s="622" t="s">
        <v>1282</v>
      </c>
      <c r="H86" s="622" t="s">
        <v>1249</v>
      </c>
      <c r="I86" s="622" t="s">
        <v>1250</v>
      </c>
      <c r="J86" s="622">
        <v>104</v>
      </c>
    </row>
    <row r="87" spans="1:10" x14ac:dyDescent="0.2">
      <c r="A87" s="622" t="s">
        <v>1680</v>
      </c>
      <c r="B87" s="622" t="s">
        <v>1681</v>
      </c>
      <c r="C87" s="622" t="s">
        <v>1682</v>
      </c>
      <c r="D87" s="622" t="s">
        <v>1329</v>
      </c>
      <c r="E87" s="622" t="s">
        <v>1330</v>
      </c>
      <c r="F87" s="622" t="s">
        <v>1327</v>
      </c>
      <c r="G87" s="622" t="s">
        <v>1328</v>
      </c>
      <c r="H87" s="622" t="s">
        <v>1249</v>
      </c>
      <c r="I87" s="622" t="s">
        <v>1250</v>
      </c>
      <c r="J87" s="622">
        <v>104</v>
      </c>
    </row>
    <row r="88" spans="1:10" x14ac:dyDescent="0.2">
      <c r="A88" s="622" t="s">
        <v>1683</v>
      </c>
      <c r="B88" s="622" t="s">
        <v>1684</v>
      </c>
      <c r="C88" s="622" t="s">
        <v>1685</v>
      </c>
      <c r="D88" s="622" t="s">
        <v>1327</v>
      </c>
      <c r="E88" s="622" t="s">
        <v>1337</v>
      </c>
      <c r="F88" s="622" t="s">
        <v>1327</v>
      </c>
      <c r="G88" s="622" t="s">
        <v>1328</v>
      </c>
      <c r="H88" s="622" t="s">
        <v>1249</v>
      </c>
      <c r="I88" s="622" t="s">
        <v>1250</v>
      </c>
      <c r="J88" s="622">
        <v>104</v>
      </c>
    </row>
    <row r="89" spans="1:10" x14ac:dyDescent="0.2">
      <c r="A89" s="622" t="s">
        <v>1299</v>
      </c>
      <c r="B89" s="622" t="s">
        <v>1686</v>
      </c>
      <c r="C89" s="622" t="s">
        <v>1687</v>
      </c>
      <c r="D89" s="622" t="s">
        <v>1299</v>
      </c>
      <c r="E89" s="622" t="s">
        <v>1300</v>
      </c>
      <c r="F89" s="622" t="s">
        <v>1281</v>
      </c>
      <c r="G89" s="622" t="s">
        <v>1282</v>
      </c>
      <c r="H89" s="622" t="s">
        <v>1249</v>
      </c>
      <c r="I89" s="622" t="s">
        <v>1250</v>
      </c>
      <c r="J89" s="622">
        <v>104</v>
      </c>
    </row>
    <row r="90" spans="1:10" x14ac:dyDescent="0.2">
      <c r="A90" s="622" t="s">
        <v>1279</v>
      </c>
      <c r="B90" s="622" t="s">
        <v>1688</v>
      </c>
      <c r="C90" s="622" t="s">
        <v>1689</v>
      </c>
      <c r="D90" s="622" t="s">
        <v>1279</v>
      </c>
      <c r="E90" s="622" t="s">
        <v>1280</v>
      </c>
      <c r="F90" s="622" t="s">
        <v>1281</v>
      </c>
      <c r="G90" s="622" t="s">
        <v>1282</v>
      </c>
      <c r="H90" s="622" t="s">
        <v>1249</v>
      </c>
      <c r="I90" s="622" t="s">
        <v>1250</v>
      </c>
      <c r="J90" s="622">
        <v>104</v>
      </c>
    </row>
    <row r="91" spans="1:10" x14ac:dyDescent="0.2">
      <c r="A91" s="622" t="s">
        <v>1358</v>
      </c>
      <c r="B91" s="622" t="s">
        <v>1690</v>
      </c>
      <c r="C91" s="622" t="s">
        <v>1691</v>
      </c>
      <c r="D91" s="622" t="s">
        <v>1358</v>
      </c>
      <c r="E91" s="622" t="s">
        <v>1359</v>
      </c>
      <c r="F91" s="622" t="s">
        <v>1281</v>
      </c>
      <c r="G91" s="622" t="s">
        <v>1282</v>
      </c>
      <c r="H91" s="622" t="s">
        <v>1249</v>
      </c>
      <c r="I91" s="622" t="s">
        <v>1250</v>
      </c>
      <c r="J91" s="622">
        <v>104</v>
      </c>
    </row>
    <row r="92" spans="1:10" x14ac:dyDescent="0.2">
      <c r="A92" s="622" t="s">
        <v>1692</v>
      </c>
      <c r="B92" s="622" t="s">
        <v>1693</v>
      </c>
      <c r="C92" s="622" t="s">
        <v>1694</v>
      </c>
      <c r="D92" s="622" t="s">
        <v>1358</v>
      </c>
      <c r="E92" s="622" t="s">
        <v>1359</v>
      </c>
      <c r="F92" s="622" t="s">
        <v>1281</v>
      </c>
      <c r="G92" s="622" t="s">
        <v>1282</v>
      </c>
      <c r="H92" s="622" t="s">
        <v>1249</v>
      </c>
      <c r="I92" s="622" t="s">
        <v>1250</v>
      </c>
      <c r="J92" s="622">
        <v>104</v>
      </c>
    </row>
    <row r="93" spans="1:10" x14ac:dyDescent="0.2">
      <c r="A93" s="622" t="s">
        <v>1695</v>
      </c>
      <c r="B93" s="622" t="s">
        <v>1696</v>
      </c>
      <c r="C93" s="622" t="s">
        <v>1697</v>
      </c>
      <c r="D93" s="622" t="s">
        <v>1317</v>
      </c>
      <c r="E93" s="622" t="s">
        <v>1318</v>
      </c>
      <c r="F93" s="622" t="s">
        <v>1315</v>
      </c>
      <c r="G93" s="622" t="s">
        <v>1316</v>
      </c>
      <c r="H93" s="622" t="s">
        <v>1249</v>
      </c>
      <c r="I93" s="622" t="s">
        <v>1250</v>
      </c>
      <c r="J93" s="622">
        <v>104</v>
      </c>
    </row>
    <row r="94" spans="1:10" x14ac:dyDescent="0.2">
      <c r="A94" s="622" t="s">
        <v>1698</v>
      </c>
      <c r="B94" s="622" t="s">
        <v>1699</v>
      </c>
      <c r="C94" s="622" t="s">
        <v>1700</v>
      </c>
      <c r="D94" s="622" t="s">
        <v>1279</v>
      </c>
      <c r="E94" s="622" t="s">
        <v>1280</v>
      </c>
      <c r="F94" s="622" t="s">
        <v>1281</v>
      </c>
      <c r="G94" s="622" t="s">
        <v>1282</v>
      </c>
      <c r="H94" s="622" t="s">
        <v>1249</v>
      </c>
      <c r="I94" s="622" t="s">
        <v>1250</v>
      </c>
      <c r="J94" s="622">
        <v>104</v>
      </c>
    </row>
    <row r="95" spans="1:10" x14ac:dyDescent="0.2">
      <c r="A95" s="622" t="s">
        <v>1701</v>
      </c>
      <c r="B95" s="622" t="s">
        <v>1702</v>
      </c>
      <c r="C95" s="622" t="s">
        <v>1703</v>
      </c>
      <c r="D95" s="622" t="s">
        <v>1287</v>
      </c>
      <c r="E95" s="622" t="s">
        <v>1288</v>
      </c>
      <c r="F95" s="622" t="s">
        <v>1281</v>
      </c>
      <c r="G95" s="622" t="s">
        <v>1282</v>
      </c>
      <c r="H95" s="622" t="s">
        <v>1249</v>
      </c>
      <c r="I95" s="622" t="s">
        <v>1250</v>
      </c>
      <c r="J95" s="622">
        <v>104</v>
      </c>
    </row>
    <row r="96" spans="1:10" x14ac:dyDescent="0.2">
      <c r="A96" s="622" t="s">
        <v>1704</v>
      </c>
      <c r="B96" s="622" t="s">
        <v>1705</v>
      </c>
      <c r="C96" s="622" t="s">
        <v>1706</v>
      </c>
      <c r="D96" s="622" t="s">
        <v>1367</v>
      </c>
      <c r="E96" s="622" t="s">
        <v>1368</v>
      </c>
      <c r="F96" s="622" t="s">
        <v>1365</v>
      </c>
      <c r="G96" s="622" t="s">
        <v>1366</v>
      </c>
      <c r="H96" s="622" t="s">
        <v>1249</v>
      </c>
      <c r="I96" s="622" t="s">
        <v>1250</v>
      </c>
      <c r="J96" s="622">
        <v>104</v>
      </c>
    </row>
    <row r="97" spans="1:10" x14ac:dyDescent="0.2">
      <c r="A97" s="622" t="s">
        <v>1707</v>
      </c>
      <c r="B97" s="622" t="s">
        <v>1708</v>
      </c>
      <c r="C97" s="622" t="s">
        <v>1709</v>
      </c>
      <c r="D97" s="622" t="s">
        <v>1327</v>
      </c>
      <c r="E97" s="622" t="s">
        <v>1337</v>
      </c>
      <c r="F97" s="622" t="s">
        <v>1327</v>
      </c>
      <c r="G97" s="622" t="s">
        <v>1328</v>
      </c>
      <c r="H97" s="622" t="s">
        <v>1249</v>
      </c>
      <c r="I97" s="622" t="s">
        <v>1250</v>
      </c>
      <c r="J97" s="622">
        <v>104</v>
      </c>
    </row>
    <row r="98" spans="1:10" x14ac:dyDescent="0.2">
      <c r="A98" s="622" t="s">
        <v>1329</v>
      </c>
      <c r="B98" s="622" t="s">
        <v>1710</v>
      </c>
      <c r="C98" s="622" t="s">
        <v>1711</v>
      </c>
      <c r="D98" s="622" t="s">
        <v>1329</v>
      </c>
      <c r="E98" s="622" t="s">
        <v>1330</v>
      </c>
      <c r="F98" s="622" t="s">
        <v>1327</v>
      </c>
      <c r="G98" s="622" t="s">
        <v>1328</v>
      </c>
      <c r="H98" s="622" t="s">
        <v>1249</v>
      </c>
      <c r="I98" s="622" t="s">
        <v>1250</v>
      </c>
      <c r="J98" s="622">
        <v>104</v>
      </c>
    </row>
    <row r="99" spans="1:10" x14ac:dyDescent="0.2">
      <c r="A99" s="622" t="s">
        <v>1712</v>
      </c>
      <c r="B99" s="622" t="s">
        <v>1713</v>
      </c>
      <c r="C99" s="622" t="s">
        <v>1714</v>
      </c>
      <c r="D99" s="622" t="s">
        <v>1361</v>
      </c>
      <c r="E99" s="622" t="s">
        <v>1362</v>
      </c>
      <c r="F99" s="622" t="s">
        <v>1327</v>
      </c>
      <c r="G99" s="622" t="s">
        <v>1328</v>
      </c>
      <c r="H99" s="622" t="s">
        <v>1249</v>
      </c>
      <c r="I99" s="622" t="s">
        <v>1250</v>
      </c>
      <c r="J99" s="622">
        <v>104</v>
      </c>
    </row>
    <row r="100" spans="1:10" x14ac:dyDescent="0.2">
      <c r="A100" s="622" t="s">
        <v>1295</v>
      </c>
      <c r="B100" s="622" t="s">
        <v>1715</v>
      </c>
      <c r="C100" s="622" t="s">
        <v>1716</v>
      </c>
      <c r="D100" s="622" t="s">
        <v>1295</v>
      </c>
      <c r="E100" s="622" t="s">
        <v>1296</v>
      </c>
      <c r="F100" s="622" t="s">
        <v>1281</v>
      </c>
      <c r="G100" s="622" t="s">
        <v>1282</v>
      </c>
      <c r="H100" s="622" t="s">
        <v>1249</v>
      </c>
      <c r="I100" s="622" t="s">
        <v>1250</v>
      </c>
      <c r="J100" s="622">
        <v>104</v>
      </c>
    </row>
    <row r="101" spans="1:10" x14ac:dyDescent="0.2">
      <c r="A101" s="622" t="s">
        <v>1717</v>
      </c>
      <c r="B101" s="622" t="s">
        <v>1718</v>
      </c>
      <c r="C101" s="622" t="s">
        <v>1719</v>
      </c>
      <c r="D101" s="622" t="s">
        <v>1327</v>
      </c>
      <c r="E101" s="622" t="s">
        <v>1337</v>
      </c>
      <c r="F101" s="622" t="s">
        <v>1327</v>
      </c>
      <c r="G101" s="622" t="s">
        <v>1328</v>
      </c>
      <c r="H101" s="622" t="s">
        <v>1249</v>
      </c>
      <c r="I101" s="622" t="s">
        <v>1250</v>
      </c>
      <c r="J101" s="622">
        <v>104</v>
      </c>
    </row>
    <row r="102" spans="1:10" x14ac:dyDescent="0.2">
      <c r="A102" s="622" t="s">
        <v>1720</v>
      </c>
      <c r="B102" s="622" t="s">
        <v>1721</v>
      </c>
      <c r="C102" s="622" t="s">
        <v>1722</v>
      </c>
      <c r="D102" s="622" t="s">
        <v>1313</v>
      </c>
      <c r="E102" s="622" t="s">
        <v>1314</v>
      </c>
      <c r="F102" s="622" t="s">
        <v>1315</v>
      </c>
      <c r="G102" s="622" t="s">
        <v>1316</v>
      </c>
      <c r="H102" s="622" t="s">
        <v>1249</v>
      </c>
      <c r="I102" s="622" t="s">
        <v>1250</v>
      </c>
      <c r="J102" s="622">
        <v>104</v>
      </c>
    </row>
    <row r="103" spans="1:10" x14ac:dyDescent="0.2">
      <c r="A103" s="622" t="s">
        <v>1723</v>
      </c>
      <c r="B103" s="622" t="s">
        <v>1724</v>
      </c>
      <c r="C103" s="622" t="s">
        <v>1725</v>
      </c>
      <c r="D103" s="622" t="s">
        <v>1365</v>
      </c>
      <c r="E103" s="622" t="s">
        <v>1371</v>
      </c>
      <c r="F103" s="622" t="s">
        <v>1365</v>
      </c>
      <c r="G103" s="622" t="s">
        <v>1366</v>
      </c>
      <c r="H103" s="622" t="s">
        <v>1249</v>
      </c>
      <c r="I103" s="622" t="s">
        <v>1250</v>
      </c>
      <c r="J103" s="622">
        <v>104</v>
      </c>
    </row>
    <row r="104" spans="1:10" x14ac:dyDescent="0.2">
      <c r="A104" s="622" t="s">
        <v>1726</v>
      </c>
      <c r="B104" s="622" t="s">
        <v>1727</v>
      </c>
      <c r="C104" s="622" t="s">
        <v>1728</v>
      </c>
      <c r="D104" s="622" t="s">
        <v>1365</v>
      </c>
      <c r="E104" s="622" t="s">
        <v>1371</v>
      </c>
      <c r="F104" s="622" t="s">
        <v>1365</v>
      </c>
      <c r="G104" s="622" t="s">
        <v>1366</v>
      </c>
      <c r="H104" s="622" t="s">
        <v>1249</v>
      </c>
      <c r="I104" s="622" t="s">
        <v>1250</v>
      </c>
      <c r="J104" s="622">
        <v>104</v>
      </c>
    </row>
    <row r="105" spans="1:10" x14ac:dyDescent="0.2">
      <c r="A105" s="622" t="s">
        <v>1729</v>
      </c>
      <c r="B105" s="622" t="s">
        <v>1730</v>
      </c>
      <c r="C105" s="622" t="s">
        <v>1731</v>
      </c>
      <c r="D105" s="622" t="s">
        <v>1255</v>
      </c>
      <c r="E105" s="622" t="s">
        <v>1256</v>
      </c>
      <c r="F105" s="622" t="s">
        <v>1247</v>
      </c>
      <c r="G105" s="622" t="s">
        <v>1248</v>
      </c>
      <c r="H105" s="622" t="s">
        <v>1249</v>
      </c>
      <c r="I105" s="622" t="s">
        <v>1250</v>
      </c>
      <c r="J105" s="622">
        <v>104</v>
      </c>
    </row>
    <row r="106" spans="1:10" x14ac:dyDescent="0.2">
      <c r="A106" s="622" t="s">
        <v>1277</v>
      </c>
      <c r="B106" s="622" t="s">
        <v>1732</v>
      </c>
      <c r="C106" s="622" t="s">
        <v>1733</v>
      </c>
      <c r="D106" s="622" t="s">
        <v>1277</v>
      </c>
      <c r="E106" s="622" t="s">
        <v>1278</v>
      </c>
      <c r="F106" s="622" t="s">
        <v>1247</v>
      </c>
      <c r="G106" s="622" t="s">
        <v>1248</v>
      </c>
      <c r="H106" s="622" t="s">
        <v>1249</v>
      </c>
      <c r="I106" s="622" t="s">
        <v>1250</v>
      </c>
      <c r="J106" s="622">
        <v>104</v>
      </c>
    </row>
    <row r="107" spans="1:10" x14ac:dyDescent="0.2">
      <c r="A107" s="622" t="s">
        <v>1275</v>
      </c>
      <c r="B107" s="622" t="s">
        <v>1734</v>
      </c>
      <c r="C107" s="622" t="s">
        <v>1735</v>
      </c>
      <c r="D107" s="622" t="s">
        <v>1275</v>
      </c>
      <c r="E107" s="622" t="s">
        <v>1276</v>
      </c>
      <c r="F107" s="622" t="s">
        <v>1247</v>
      </c>
      <c r="G107" s="622" t="s">
        <v>1248</v>
      </c>
      <c r="H107" s="622" t="s">
        <v>1249</v>
      </c>
      <c r="I107" s="622" t="s">
        <v>1250</v>
      </c>
      <c r="J107" s="622">
        <v>104</v>
      </c>
    </row>
    <row r="108" spans="1:10" x14ac:dyDescent="0.2">
      <c r="A108" s="622" t="s">
        <v>1384</v>
      </c>
      <c r="B108" s="622" t="s">
        <v>1736</v>
      </c>
      <c r="C108" s="622" t="s">
        <v>1737</v>
      </c>
      <c r="D108" s="622" t="s">
        <v>1384</v>
      </c>
      <c r="E108" s="622" t="s">
        <v>1385</v>
      </c>
      <c r="F108" s="622" t="s">
        <v>1386</v>
      </c>
      <c r="G108" s="622" t="s">
        <v>1387</v>
      </c>
      <c r="H108" s="622" t="s">
        <v>1249</v>
      </c>
      <c r="I108" s="622" t="s">
        <v>1250</v>
      </c>
      <c r="J108" s="622">
        <v>104</v>
      </c>
    </row>
    <row r="109" spans="1:10" x14ac:dyDescent="0.2">
      <c r="A109" s="622" t="s">
        <v>1738</v>
      </c>
      <c r="B109" s="622" t="s">
        <v>1739</v>
      </c>
      <c r="C109" s="622" t="s">
        <v>1740</v>
      </c>
      <c r="D109" s="622" t="s">
        <v>1369</v>
      </c>
      <c r="E109" s="622" t="s">
        <v>1370</v>
      </c>
      <c r="F109" s="622" t="s">
        <v>1365</v>
      </c>
      <c r="G109" s="622" t="s">
        <v>1366</v>
      </c>
      <c r="H109" s="622" t="s">
        <v>1249</v>
      </c>
      <c r="I109" s="622" t="s">
        <v>1250</v>
      </c>
      <c r="J109" s="622">
        <v>104</v>
      </c>
    </row>
    <row r="110" spans="1:10" x14ac:dyDescent="0.2">
      <c r="A110" s="622" t="s">
        <v>1741</v>
      </c>
      <c r="B110" s="622" t="s">
        <v>1742</v>
      </c>
      <c r="C110" s="622" t="s">
        <v>1743</v>
      </c>
      <c r="D110" s="622" t="s">
        <v>1263</v>
      </c>
      <c r="E110" s="622" t="s">
        <v>1264</v>
      </c>
      <c r="F110" s="622" t="s">
        <v>1247</v>
      </c>
      <c r="G110" s="622" t="s">
        <v>1248</v>
      </c>
      <c r="H110" s="622" t="s">
        <v>1249</v>
      </c>
      <c r="I110" s="622" t="s">
        <v>1250</v>
      </c>
      <c r="J110" s="622">
        <v>104</v>
      </c>
    </row>
    <row r="111" spans="1:10" x14ac:dyDescent="0.2">
      <c r="A111" s="622" t="s">
        <v>1744</v>
      </c>
      <c r="B111" s="622" t="s">
        <v>1745</v>
      </c>
      <c r="C111" s="622" t="s">
        <v>1746</v>
      </c>
      <c r="D111" s="622" t="s">
        <v>1261</v>
      </c>
      <c r="E111" s="622" t="s">
        <v>1262</v>
      </c>
      <c r="F111" s="622" t="s">
        <v>1247</v>
      </c>
      <c r="G111" s="622" t="s">
        <v>1248</v>
      </c>
      <c r="H111" s="622" t="s">
        <v>1249</v>
      </c>
      <c r="I111" s="622" t="s">
        <v>1250</v>
      </c>
      <c r="J111" s="622">
        <v>104</v>
      </c>
    </row>
    <row r="112" spans="1:10" x14ac:dyDescent="0.2">
      <c r="A112" s="622" t="s">
        <v>1747</v>
      </c>
      <c r="B112" s="622" t="s">
        <v>1748</v>
      </c>
      <c r="C112" s="622" t="s">
        <v>1749</v>
      </c>
      <c r="D112" s="622" t="s">
        <v>1335</v>
      </c>
      <c r="E112" s="622" t="s">
        <v>1336</v>
      </c>
      <c r="F112" s="622" t="s">
        <v>1327</v>
      </c>
      <c r="G112" s="622" t="s">
        <v>1328</v>
      </c>
      <c r="H112" s="622" t="s">
        <v>1249</v>
      </c>
      <c r="I112" s="622" t="s">
        <v>1250</v>
      </c>
      <c r="J112" s="622">
        <v>104</v>
      </c>
    </row>
    <row r="113" spans="1:10" x14ac:dyDescent="0.2">
      <c r="A113" s="622" t="s">
        <v>1750</v>
      </c>
      <c r="B113" s="622" t="s">
        <v>1751</v>
      </c>
      <c r="C113" s="622" t="s">
        <v>1752</v>
      </c>
      <c r="D113" s="622" t="s">
        <v>1346</v>
      </c>
      <c r="E113" s="622" t="s">
        <v>1347</v>
      </c>
      <c r="F113" s="622" t="s">
        <v>1340</v>
      </c>
      <c r="G113" s="622" t="s">
        <v>1341</v>
      </c>
      <c r="H113" s="622" t="s">
        <v>1249</v>
      </c>
      <c r="I113" s="622" t="s">
        <v>1250</v>
      </c>
      <c r="J113" s="622">
        <v>104</v>
      </c>
    </row>
    <row r="114" spans="1:10" x14ac:dyDescent="0.2">
      <c r="A114" s="622" t="s">
        <v>1753</v>
      </c>
      <c r="B114" s="622" t="s">
        <v>1754</v>
      </c>
      <c r="C114" s="622" t="s">
        <v>1755</v>
      </c>
      <c r="D114" s="622" t="s">
        <v>1361</v>
      </c>
      <c r="E114" s="622" t="s">
        <v>1362</v>
      </c>
      <c r="F114" s="622" t="s">
        <v>1327</v>
      </c>
      <c r="G114" s="622" t="s">
        <v>1328</v>
      </c>
      <c r="H114" s="622" t="s">
        <v>1249</v>
      </c>
      <c r="I114" s="622" t="s">
        <v>1250</v>
      </c>
      <c r="J114" s="622">
        <v>104</v>
      </c>
    </row>
    <row r="115" spans="1:10" x14ac:dyDescent="0.2">
      <c r="A115" s="622" t="s">
        <v>1367</v>
      </c>
      <c r="B115" s="622" t="s">
        <v>1756</v>
      </c>
      <c r="C115" s="622" t="s">
        <v>1757</v>
      </c>
      <c r="D115" s="622" t="s">
        <v>1367</v>
      </c>
      <c r="E115" s="622" t="s">
        <v>1368</v>
      </c>
      <c r="F115" s="622" t="s">
        <v>1365</v>
      </c>
      <c r="G115" s="622" t="s">
        <v>1366</v>
      </c>
      <c r="H115" s="622" t="s">
        <v>1249</v>
      </c>
      <c r="I115" s="622" t="s">
        <v>1250</v>
      </c>
      <c r="J115" s="622">
        <v>104</v>
      </c>
    </row>
    <row r="116" spans="1:10" x14ac:dyDescent="0.2">
      <c r="A116" s="622" t="s">
        <v>1758</v>
      </c>
      <c r="B116" s="622" t="s">
        <v>1759</v>
      </c>
      <c r="C116" s="622" t="s">
        <v>1760</v>
      </c>
      <c r="D116" s="622" t="s">
        <v>1346</v>
      </c>
      <c r="E116" s="622" t="s">
        <v>1347</v>
      </c>
      <c r="F116" s="622" t="s">
        <v>1340</v>
      </c>
      <c r="G116" s="622" t="s">
        <v>1341</v>
      </c>
      <c r="H116" s="622" t="s">
        <v>1249</v>
      </c>
      <c r="I116" s="622" t="s">
        <v>1250</v>
      </c>
      <c r="J116" s="622">
        <v>104</v>
      </c>
    </row>
    <row r="117" spans="1:10" x14ac:dyDescent="0.2">
      <c r="A117" s="622" t="s">
        <v>1761</v>
      </c>
      <c r="B117" s="622" t="s">
        <v>1762</v>
      </c>
      <c r="C117" s="622" t="s">
        <v>1763</v>
      </c>
      <c r="D117" s="622" t="s">
        <v>1365</v>
      </c>
      <c r="E117" s="622" t="s">
        <v>1371</v>
      </c>
      <c r="F117" s="622" t="s">
        <v>1365</v>
      </c>
      <c r="G117" s="622" t="s">
        <v>1366</v>
      </c>
      <c r="H117" s="622" t="s">
        <v>1249</v>
      </c>
      <c r="I117" s="622" t="s">
        <v>1250</v>
      </c>
      <c r="J117" s="622">
        <v>104</v>
      </c>
    </row>
    <row r="118" spans="1:10" x14ac:dyDescent="0.2">
      <c r="A118" s="622" t="s">
        <v>1764</v>
      </c>
      <c r="B118" s="622" t="s">
        <v>1765</v>
      </c>
      <c r="C118" s="622" t="s">
        <v>1766</v>
      </c>
      <c r="D118" s="622" t="s">
        <v>1317</v>
      </c>
      <c r="E118" s="622" t="s">
        <v>1318</v>
      </c>
      <c r="F118" s="622" t="s">
        <v>1315</v>
      </c>
      <c r="G118" s="622" t="s">
        <v>1316</v>
      </c>
      <c r="H118" s="622" t="s">
        <v>1249</v>
      </c>
      <c r="I118" s="622" t="s">
        <v>1250</v>
      </c>
      <c r="J118" s="622">
        <v>104</v>
      </c>
    </row>
    <row r="119" spans="1:10" x14ac:dyDescent="0.2">
      <c r="A119" s="622" t="s">
        <v>1273</v>
      </c>
      <c r="B119" s="622" t="s">
        <v>1767</v>
      </c>
      <c r="C119" s="622" t="s">
        <v>1768</v>
      </c>
      <c r="D119" s="622" t="s">
        <v>1273</v>
      </c>
      <c r="E119" s="622" t="s">
        <v>1274</v>
      </c>
      <c r="F119" s="622" t="s">
        <v>1247</v>
      </c>
      <c r="G119" s="622" t="s">
        <v>1248</v>
      </c>
      <c r="H119" s="622" t="s">
        <v>1249</v>
      </c>
      <c r="I119" s="622" t="s">
        <v>1250</v>
      </c>
      <c r="J119" s="622">
        <v>104</v>
      </c>
    </row>
    <row r="120" spans="1:10" x14ac:dyDescent="0.2">
      <c r="A120" s="622" t="s">
        <v>1769</v>
      </c>
      <c r="B120" s="622" t="s">
        <v>1770</v>
      </c>
      <c r="C120" s="622" t="s">
        <v>1771</v>
      </c>
      <c r="D120" s="622" t="s">
        <v>1253</v>
      </c>
      <c r="E120" s="622" t="s">
        <v>1254</v>
      </c>
      <c r="F120" s="622" t="s">
        <v>1247</v>
      </c>
      <c r="G120" s="622" t="s">
        <v>1248</v>
      </c>
      <c r="H120" s="622" t="s">
        <v>1249</v>
      </c>
      <c r="I120" s="622" t="s">
        <v>1250</v>
      </c>
      <c r="J120" s="622">
        <v>104</v>
      </c>
    </row>
    <row r="121" spans="1:10" x14ac:dyDescent="0.2">
      <c r="A121" s="622" t="s">
        <v>1772</v>
      </c>
      <c r="B121" s="622" t="s">
        <v>1773</v>
      </c>
      <c r="C121" s="622" t="s">
        <v>1774</v>
      </c>
      <c r="D121" s="622" t="s">
        <v>1425</v>
      </c>
      <c r="E121" s="622" t="s">
        <v>1426</v>
      </c>
      <c r="F121" s="622" t="s">
        <v>1421</v>
      </c>
      <c r="G121" s="622" t="s">
        <v>1422</v>
      </c>
      <c r="H121" s="622" t="s">
        <v>1249</v>
      </c>
      <c r="I121" s="622" t="s">
        <v>1250</v>
      </c>
      <c r="J121" s="622">
        <v>104</v>
      </c>
    </row>
    <row r="122" spans="1:10" x14ac:dyDescent="0.2">
      <c r="A122" s="622" t="s">
        <v>1425</v>
      </c>
      <c r="B122" s="622" t="s">
        <v>1775</v>
      </c>
      <c r="C122" s="622" t="s">
        <v>1776</v>
      </c>
      <c r="D122" s="622" t="s">
        <v>1425</v>
      </c>
      <c r="E122" s="622" t="s">
        <v>1426</v>
      </c>
      <c r="F122" s="622" t="s">
        <v>1421</v>
      </c>
      <c r="G122" s="622" t="s">
        <v>1422</v>
      </c>
      <c r="H122" s="622" t="s">
        <v>1249</v>
      </c>
      <c r="I122" s="622" t="s">
        <v>1250</v>
      </c>
      <c r="J122" s="622">
        <v>104</v>
      </c>
    </row>
    <row r="123" spans="1:10" x14ac:dyDescent="0.2">
      <c r="A123" s="622" t="s">
        <v>1777</v>
      </c>
      <c r="B123" s="622" t="s">
        <v>1778</v>
      </c>
      <c r="C123" s="622" t="s">
        <v>1779</v>
      </c>
      <c r="D123" s="622" t="s">
        <v>1423</v>
      </c>
      <c r="E123" s="622" t="s">
        <v>1424</v>
      </c>
      <c r="F123" s="622" t="s">
        <v>1421</v>
      </c>
      <c r="G123" s="622" t="s">
        <v>1422</v>
      </c>
      <c r="H123" s="622" t="s">
        <v>1249</v>
      </c>
      <c r="I123" s="622" t="s">
        <v>1250</v>
      </c>
      <c r="J123" s="622">
        <v>104</v>
      </c>
    </row>
    <row r="124" spans="1:10" x14ac:dyDescent="0.2">
      <c r="A124" s="622" t="s">
        <v>1780</v>
      </c>
      <c r="B124" s="622" t="s">
        <v>1781</v>
      </c>
      <c r="C124" s="622" t="s">
        <v>1782</v>
      </c>
      <c r="D124" s="622" t="s">
        <v>1423</v>
      </c>
      <c r="E124" s="622" t="s">
        <v>1424</v>
      </c>
      <c r="F124" s="622" t="s">
        <v>1421</v>
      </c>
      <c r="G124" s="622" t="s">
        <v>1422</v>
      </c>
      <c r="H124" s="622" t="s">
        <v>1249</v>
      </c>
      <c r="I124" s="622" t="s">
        <v>1250</v>
      </c>
      <c r="J124" s="622">
        <v>104</v>
      </c>
    </row>
    <row r="125" spans="1:10" x14ac:dyDescent="0.2">
      <c r="A125" s="622" t="s">
        <v>1783</v>
      </c>
      <c r="B125" s="622" t="s">
        <v>1784</v>
      </c>
      <c r="C125" s="622" t="s">
        <v>1785</v>
      </c>
      <c r="D125" s="622" t="s">
        <v>1423</v>
      </c>
      <c r="E125" s="622" t="s">
        <v>1424</v>
      </c>
      <c r="F125" s="622" t="s">
        <v>1421</v>
      </c>
      <c r="G125" s="622" t="s">
        <v>1422</v>
      </c>
      <c r="H125" s="622" t="s">
        <v>1249</v>
      </c>
      <c r="I125" s="622" t="s">
        <v>1250</v>
      </c>
      <c r="J125" s="622">
        <v>104</v>
      </c>
    </row>
    <row r="126" spans="1:10" x14ac:dyDescent="0.2">
      <c r="A126" s="622" t="s">
        <v>1786</v>
      </c>
      <c r="B126" s="622" t="s">
        <v>1787</v>
      </c>
      <c r="C126" s="622" t="s">
        <v>1788</v>
      </c>
      <c r="D126" s="622" t="s">
        <v>1419</v>
      </c>
      <c r="E126" s="622" t="s">
        <v>1420</v>
      </c>
      <c r="F126" s="622" t="s">
        <v>1421</v>
      </c>
      <c r="G126" s="622" t="s">
        <v>1422</v>
      </c>
      <c r="H126" s="622" t="s">
        <v>1249</v>
      </c>
      <c r="I126" s="622" t="s">
        <v>1250</v>
      </c>
      <c r="J126" s="622">
        <v>104</v>
      </c>
    </row>
    <row r="127" spans="1:10" x14ac:dyDescent="0.2">
      <c r="A127" s="622" t="s">
        <v>1789</v>
      </c>
      <c r="B127" s="622" t="s">
        <v>1790</v>
      </c>
      <c r="C127" s="622" t="s">
        <v>1791</v>
      </c>
      <c r="D127" s="622" t="s">
        <v>1431</v>
      </c>
      <c r="E127" s="622" t="s">
        <v>1432</v>
      </c>
      <c r="F127" s="622" t="s">
        <v>1421</v>
      </c>
      <c r="G127" s="622" t="s">
        <v>1422</v>
      </c>
      <c r="H127" s="622" t="s">
        <v>1249</v>
      </c>
      <c r="I127" s="622" t="s">
        <v>1250</v>
      </c>
      <c r="J127" s="622">
        <v>104</v>
      </c>
    </row>
    <row r="128" spans="1:10" x14ac:dyDescent="0.2">
      <c r="A128" s="622" t="s">
        <v>1792</v>
      </c>
      <c r="B128" s="622" t="s">
        <v>1793</v>
      </c>
      <c r="C128" s="622" t="s">
        <v>1794</v>
      </c>
      <c r="D128" s="622" t="s">
        <v>1342</v>
      </c>
      <c r="E128" s="622" t="s">
        <v>1343</v>
      </c>
      <c r="F128" s="622" t="s">
        <v>1340</v>
      </c>
      <c r="G128" s="622" t="s">
        <v>1341</v>
      </c>
      <c r="H128" s="622" t="s">
        <v>1249</v>
      </c>
      <c r="I128" s="622" t="s">
        <v>1250</v>
      </c>
      <c r="J128" s="622">
        <v>104</v>
      </c>
    </row>
    <row r="129" spans="1:10" x14ac:dyDescent="0.2">
      <c r="A129" s="622" t="s">
        <v>1795</v>
      </c>
      <c r="B129" s="622" t="s">
        <v>1796</v>
      </c>
      <c r="C129" s="622" t="s">
        <v>1797</v>
      </c>
      <c r="D129" s="622" t="s">
        <v>1346</v>
      </c>
      <c r="E129" s="622" t="s">
        <v>1347</v>
      </c>
      <c r="F129" s="622" t="s">
        <v>1340</v>
      </c>
      <c r="G129" s="622" t="s">
        <v>1341</v>
      </c>
      <c r="H129" s="622" t="s">
        <v>1249</v>
      </c>
      <c r="I129" s="622" t="s">
        <v>1250</v>
      </c>
      <c r="J129" s="622">
        <v>104</v>
      </c>
    </row>
    <row r="130" spans="1:10" x14ac:dyDescent="0.2">
      <c r="A130" s="622" t="s">
        <v>1798</v>
      </c>
      <c r="B130" s="622" t="s">
        <v>1799</v>
      </c>
      <c r="C130" s="622" t="s">
        <v>1800</v>
      </c>
      <c r="D130" s="622" t="s">
        <v>1344</v>
      </c>
      <c r="E130" s="622" t="s">
        <v>1345</v>
      </c>
      <c r="F130" s="622" t="s">
        <v>1340</v>
      </c>
      <c r="G130" s="622" t="s">
        <v>1341</v>
      </c>
      <c r="H130" s="622" t="s">
        <v>1249</v>
      </c>
      <c r="I130" s="622" t="s">
        <v>1250</v>
      </c>
      <c r="J130" s="622">
        <v>104</v>
      </c>
    </row>
    <row r="131" spans="1:10" x14ac:dyDescent="0.2">
      <c r="A131" s="622" t="s">
        <v>1271</v>
      </c>
      <c r="B131" s="622" t="s">
        <v>1801</v>
      </c>
      <c r="C131" s="622" t="s">
        <v>1802</v>
      </c>
      <c r="D131" s="622" t="s">
        <v>1271</v>
      </c>
      <c r="E131" s="622" t="s">
        <v>1272</v>
      </c>
      <c r="F131" s="622" t="s">
        <v>1247</v>
      </c>
      <c r="G131" s="622" t="s">
        <v>1248</v>
      </c>
      <c r="H131" s="622" t="s">
        <v>1249</v>
      </c>
      <c r="I131" s="622" t="s">
        <v>1250</v>
      </c>
      <c r="J131" s="622">
        <v>104</v>
      </c>
    </row>
    <row r="132" spans="1:10" x14ac:dyDescent="0.2">
      <c r="A132" s="622" t="s">
        <v>1803</v>
      </c>
      <c r="B132" s="622" t="s">
        <v>1804</v>
      </c>
      <c r="C132" s="622" t="s">
        <v>1805</v>
      </c>
      <c r="D132" s="622" t="s">
        <v>1398</v>
      </c>
      <c r="E132" s="622" t="s">
        <v>1399</v>
      </c>
      <c r="F132" s="622" t="s">
        <v>1392</v>
      </c>
      <c r="G132" s="622" t="s">
        <v>1393</v>
      </c>
      <c r="H132" s="622" t="s">
        <v>1249</v>
      </c>
      <c r="I132" s="622" t="s">
        <v>1250</v>
      </c>
      <c r="J132" s="622">
        <v>104</v>
      </c>
    </row>
    <row r="133" spans="1:10" x14ac:dyDescent="0.2">
      <c r="A133" s="622" t="s">
        <v>1806</v>
      </c>
      <c r="B133" s="622" t="s">
        <v>1807</v>
      </c>
      <c r="C133" s="622" t="s">
        <v>1808</v>
      </c>
      <c r="D133" s="622" t="s">
        <v>1263</v>
      </c>
      <c r="E133" s="622" t="s">
        <v>1264</v>
      </c>
      <c r="F133" s="622" t="s">
        <v>1247</v>
      </c>
      <c r="G133" s="622" t="s">
        <v>1248</v>
      </c>
      <c r="H133" s="622" t="s">
        <v>1249</v>
      </c>
      <c r="I133" s="622" t="s">
        <v>1250</v>
      </c>
      <c r="J133" s="622">
        <v>104</v>
      </c>
    </row>
    <row r="134" spans="1:10" x14ac:dyDescent="0.2">
      <c r="A134" s="622" t="s">
        <v>1809</v>
      </c>
      <c r="B134" s="622" t="s">
        <v>1810</v>
      </c>
      <c r="C134" s="622" t="s">
        <v>1811</v>
      </c>
      <c r="D134" s="622" t="s">
        <v>1273</v>
      </c>
      <c r="E134" s="622" t="s">
        <v>1274</v>
      </c>
      <c r="F134" s="622" t="s">
        <v>1247</v>
      </c>
      <c r="G134" s="622" t="s">
        <v>1248</v>
      </c>
      <c r="H134" s="622" t="s">
        <v>1249</v>
      </c>
      <c r="I134" s="622" t="s">
        <v>1250</v>
      </c>
      <c r="J134" s="622">
        <v>104</v>
      </c>
    </row>
    <row r="135" spans="1:10" x14ac:dyDescent="0.2">
      <c r="A135" s="622" t="s">
        <v>1812</v>
      </c>
      <c r="B135" s="622" t="s">
        <v>1813</v>
      </c>
      <c r="C135" s="622" t="s">
        <v>1814</v>
      </c>
      <c r="D135" s="622" t="s">
        <v>1344</v>
      </c>
      <c r="E135" s="622" t="s">
        <v>1345</v>
      </c>
      <c r="F135" s="622" t="s">
        <v>1340</v>
      </c>
      <c r="G135" s="622" t="s">
        <v>1341</v>
      </c>
      <c r="H135" s="622" t="s">
        <v>1249</v>
      </c>
      <c r="I135" s="622" t="s">
        <v>1250</v>
      </c>
      <c r="J135" s="622">
        <v>104</v>
      </c>
    </row>
    <row r="136" spans="1:10" x14ac:dyDescent="0.2">
      <c r="A136" s="622" t="s">
        <v>1267</v>
      </c>
      <c r="B136" s="622" t="s">
        <v>1815</v>
      </c>
      <c r="C136" s="622" t="s">
        <v>1816</v>
      </c>
      <c r="D136" s="622" t="s">
        <v>1267</v>
      </c>
      <c r="E136" s="622" t="s">
        <v>1268</v>
      </c>
      <c r="F136" s="622" t="s">
        <v>1247</v>
      </c>
      <c r="G136" s="622" t="s">
        <v>1248</v>
      </c>
      <c r="H136" s="622" t="s">
        <v>1249</v>
      </c>
      <c r="I136" s="622" t="s">
        <v>1250</v>
      </c>
      <c r="J136" s="622">
        <v>104</v>
      </c>
    </row>
    <row r="137" spans="1:10" x14ac:dyDescent="0.2">
      <c r="A137" s="622" t="s">
        <v>1817</v>
      </c>
      <c r="B137" s="622" t="s">
        <v>1818</v>
      </c>
      <c r="C137" s="622" t="s">
        <v>1819</v>
      </c>
      <c r="D137" s="622" t="s">
        <v>1329</v>
      </c>
      <c r="E137" s="622" t="s">
        <v>1330</v>
      </c>
      <c r="F137" s="622" t="s">
        <v>1327</v>
      </c>
      <c r="G137" s="622" t="s">
        <v>1328</v>
      </c>
      <c r="H137" s="622" t="s">
        <v>1249</v>
      </c>
      <c r="I137" s="622" t="s">
        <v>1250</v>
      </c>
      <c r="J137" s="622">
        <v>104</v>
      </c>
    </row>
    <row r="138" spans="1:10" x14ac:dyDescent="0.2">
      <c r="A138" s="622" t="s">
        <v>1820</v>
      </c>
      <c r="B138" s="622" t="s">
        <v>1821</v>
      </c>
      <c r="C138" s="622" t="s">
        <v>1822</v>
      </c>
      <c r="D138" s="622" t="s">
        <v>1382</v>
      </c>
      <c r="E138" s="622" t="s">
        <v>1383</v>
      </c>
      <c r="F138" s="622" t="s">
        <v>1376</v>
      </c>
      <c r="G138" s="622" t="s">
        <v>1377</v>
      </c>
      <c r="H138" s="622" t="s">
        <v>1249</v>
      </c>
      <c r="I138" s="622" t="s">
        <v>1250</v>
      </c>
      <c r="J138" s="622">
        <v>104</v>
      </c>
    </row>
    <row r="139" spans="1:10" x14ac:dyDescent="0.2">
      <c r="A139" s="622" t="s">
        <v>1823</v>
      </c>
      <c r="B139" s="622" t="s">
        <v>1824</v>
      </c>
      <c r="C139" s="622" t="s">
        <v>1825</v>
      </c>
      <c r="D139" s="622" t="s">
        <v>1319</v>
      </c>
      <c r="E139" s="622" t="s">
        <v>1320</v>
      </c>
      <c r="F139" s="622" t="s">
        <v>1321</v>
      </c>
      <c r="G139" s="622" t="s">
        <v>1322</v>
      </c>
      <c r="H139" s="622" t="s">
        <v>1249</v>
      </c>
      <c r="I139" s="622" t="s">
        <v>1250</v>
      </c>
      <c r="J139" s="622">
        <v>104</v>
      </c>
    </row>
    <row r="140" spans="1:10" x14ac:dyDescent="0.2">
      <c r="A140" s="622" t="s">
        <v>1354</v>
      </c>
      <c r="B140" s="622" t="s">
        <v>1826</v>
      </c>
      <c r="C140" s="622" t="s">
        <v>1827</v>
      </c>
      <c r="D140" s="622" t="s">
        <v>1354</v>
      </c>
      <c r="E140" s="622" t="s">
        <v>1355</v>
      </c>
      <c r="F140" s="622" t="s">
        <v>1350</v>
      </c>
      <c r="G140" s="622" t="s">
        <v>1351</v>
      </c>
      <c r="H140" s="622" t="s">
        <v>1249</v>
      </c>
      <c r="I140" s="622" t="s">
        <v>1250</v>
      </c>
      <c r="J140" s="622">
        <v>104</v>
      </c>
    </row>
    <row r="141" spans="1:10" x14ac:dyDescent="0.2">
      <c r="A141" s="622" t="s">
        <v>1828</v>
      </c>
      <c r="B141" s="622" t="s">
        <v>1829</v>
      </c>
      <c r="C141" s="622" t="s">
        <v>1830</v>
      </c>
      <c r="D141" s="622" t="s">
        <v>1363</v>
      </c>
      <c r="E141" s="622" t="s">
        <v>1364</v>
      </c>
      <c r="F141" s="622" t="s">
        <v>1365</v>
      </c>
      <c r="G141" s="622" t="s">
        <v>1366</v>
      </c>
      <c r="H141" s="622" t="s">
        <v>1249</v>
      </c>
      <c r="I141" s="622" t="s">
        <v>1250</v>
      </c>
      <c r="J141" s="622">
        <v>104</v>
      </c>
    </row>
    <row r="142" spans="1:10" x14ac:dyDescent="0.2">
      <c r="A142" s="622" t="s">
        <v>1831</v>
      </c>
      <c r="B142" s="622" t="s">
        <v>1832</v>
      </c>
      <c r="C142" s="622" t="s">
        <v>1833</v>
      </c>
      <c r="D142" s="622" t="s">
        <v>1342</v>
      </c>
      <c r="E142" s="622" t="s">
        <v>1343</v>
      </c>
      <c r="F142" s="622" t="s">
        <v>1340</v>
      </c>
      <c r="G142" s="622" t="s">
        <v>1341</v>
      </c>
      <c r="H142" s="622" t="s">
        <v>1249</v>
      </c>
      <c r="I142" s="622" t="s">
        <v>1250</v>
      </c>
      <c r="J142" s="622">
        <v>104</v>
      </c>
    </row>
    <row r="143" spans="1:10" x14ac:dyDescent="0.2">
      <c r="A143" s="622" t="s">
        <v>1834</v>
      </c>
      <c r="B143" s="622" t="s">
        <v>1835</v>
      </c>
      <c r="C143" s="622" t="s">
        <v>1836</v>
      </c>
      <c r="D143" s="622" t="s">
        <v>1412</v>
      </c>
      <c r="E143" s="622" t="s">
        <v>1418</v>
      </c>
      <c r="F143" s="622" t="s">
        <v>1412</v>
      </c>
      <c r="G143" s="622" t="s">
        <v>1413</v>
      </c>
      <c r="H143" s="622" t="s">
        <v>1249</v>
      </c>
      <c r="I143" s="622" t="s">
        <v>1250</v>
      </c>
      <c r="J143" s="622">
        <v>104</v>
      </c>
    </row>
    <row r="144" spans="1:10" x14ac:dyDescent="0.2">
      <c r="A144" s="622" t="s">
        <v>1837</v>
      </c>
      <c r="B144" s="622" t="s">
        <v>1838</v>
      </c>
      <c r="C144" s="622" t="s">
        <v>1839</v>
      </c>
      <c r="D144" s="622" t="s">
        <v>1342</v>
      </c>
      <c r="E144" s="622" t="s">
        <v>1343</v>
      </c>
      <c r="F144" s="622" t="s">
        <v>1340</v>
      </c>
      <c r="G144" s="622" t="s">
        <v>1341</v>
      </c>
      <c r="H144" s="622" t="s">
        <v>1249</v>
      </c>
      <c r="I144" s="622" t="s">
        <v>1250</v>
      </c>
      <c r="J144" s="622">
        <v>104</v>
      </c>
    </row>
    <row r="145" spans="1:10" x14ac:dyDescent="0.2">
      <c r="A145" s="622" t="s">
        <v>1840</v>
      </c>
      <c r="B145" s="622" t="s">
        <v>1841</v>
      </c>
      <c r="C145" s="622" t="s">
        <v>1842</v>
      </c>
      <c r="D145" s="622" t="s">
        <v>1394</v>
      </c>
      <c r="E145" s="622" t="s">
        <v>1395</v>
      </c>
      <c r="F145" s="622" t="s">
        <v>1392</v>
      </c>
      <c r="G145" s="622" t="s">
        <v>1393</v>
      </c>
      <c r="H145" s="622" t="s">
        <v>1249</v>
      </c>
      <c r="I145" s="622" t="s">
        <v>1250</v>
      </c>
      <c r="J145" s="622">
        <v>104</v>
      </c>
    </row>
    <row r="146" spans="1:10" x14ac:dyDescent="0.2">
      <c r="A146" s="622" t="s">
        <v>1390</v>
      </c>
      <c r="B146" s="622" t="s">
        <v>1843</v>
      </c>
      <c r="C146" s="622" t="s">
        <v>1844</v>
      </c>
      <c r="D146" s="622" t="s">
        <v>1390</v>
      </c>
      <c r="E146" s="622" t="s">
        <v>1391</v>
      </c>
      <c r="F146" s="622" t="s">
        <v>1392</v>
      </c>
      <c r="G146" s="622" t="s">
        <v>1393</v>
      </c>
      <c r="H146" s="622" t="s">
        <v>1249</v>
      </c>
      <c r="I146" s="622" t="s">
        <v>1250</v>
      </c>
      <c r="J146" s="622">
        <v>104</v>
      </c>
    </row>
    <row r="147" spans="1:10" x14ac:dyDescent="0.2">
      <c r="A147" s="622" t="s">
        <v>1845</v>
      </c>
      <c r="B147" s="622" t="s">
        <v>1846</v>
      </c>
      <c r="C147" s="622" t="s">
        <v>1847</v>
      </c>
      <c r="D147" s="622" t="s">
        <v>1390</v>
      </c>
      <c r="E147" s="622" t="s">
        <v>1391</v>
      </c>
      <c r="F147" s="622" t="s">
        <v>1392</v>
      </c>
      <c r="G147" s="622" t="s">
        <v>1393</v>
      </c>
      <c r="H147" s="622" t="s">
        <v>1249</v>
      </c>
      <c r="I147" s="622" t="s">
        <v>1250</v>
      </c>
      <c r="J147" s="622">
        <v>104</v>
      </c>
    </row>
    <row r="148" spans="1:10" x14ac:dyDescent="0.2">
      <c r="A148" s="622" t="s">
        <v>1848</v>
      </c>
      <c r="B148" s="622" t="s">
        <v>1849</v>
      </c>
      <c r="C148" s="622" t="s">
        <v>1850</v>
      </c>
      <c r="D148" s="622" t="s">
        <v>1412</v>
      </c>
      <c r="E148" s="622" t="s">
        <v>1418</v>
      </c>
      <c r="F148" s="622" t="s">
        <v>1412</v>
      </c>
      <c r="G148" s="622" t="s">
        <v>1413</v>
      </c>
      <c r="H148" s="622" t="s">
        <v>1249</v>
      </c>
      <c r="I148" s="622" t="s">
        <v>1250</v>
      </c>
      <c r="J148" s="622">
        <v>104</v>
      </c>
    </row>
    <row r="149" spans="1:10" x14ac:dyDescent="0.2">
      <c r="A149" s="622" t="s">
        <v>1851</v>
      </c>
      <c r="B149" s="622" t="s">
        <v>1852</v>
      </c>
      <c r="C149" s="622" t="s">
        <v>1853</v>
      </c>
      <c r="D149" s="622" t="s">
        <v>1412</v>
      </c>
      <c r="E149" s="622" t="s">
        <v>1418</v>
      </c>
      <c r="F149" s="622" t="s">
        <v>1412</v>
      </c>
      <c r="G149" s="622" t="s">
        <v>1413</v>
      </c>
      <c r="H149" s="622" t="s">
        <v>1249</v>
      </c>
      <c r="I149" s="622" t="s">
        <v>1250</v>
      </c>
      <c r="J149" s="622">
        <v>104</v>
      </c>
    </row>
    <row r="150" spans="1:10" x14ac:dyDescent="0.2">
      <c r="A150" s="622" t="s">
        <v>1854</v>
      </c>
      <c r="B150" s="622" t="s">
        <v>1855</v>
      </c>
      <c r="C150" s="622" t="s">
        <v>1856</v>
      </c>
      <c r="D150" s="622" t="s">
        <v>1412</v>
      </c>
      <c r="E150" s="622" t="s">
        <v>1418</v>
      </c>
      <c r="F150" s="622" t="s">
        <v>1412</v>
      </c>
      <c r="G150" s="622" t="s">
        <v>1413</v>
      </c>
      <c r="H150" s="622" t="s">
        <v>1249</v>
      </c>
      <c r="I150" s="622" t="s">
        <v>1250</v>
      </c>
      <c r="J150" s="622">
        <v>104</v>
      </c>
    </row>
    <row r="151" spans="1:10" x14ac:dyDescent="0.2">
      <c r="A151" s="622" t="s">
        <v>1857</v>
      </c>
      <c r="B151" s="622" t="s">
        <v>1858</v>
      </c>
      <c r="C151" s="622" t="s">
        <v>1859</v>
      </c>
      <c r="D151" s="622" t="s">
        <v>1412</v>
      </c>
      <c r="E151" s="622" t="s">
        <v>1418</v>
      </c>
      <c r="F151" s="622" t="s">
        <v>1412</v>
      </c>
      <c r="G151" s="622" t="s">
        <v>1413</v>
      </c>
      <c r="H151" s="622" t="s">
        <v>1249</v>
      </c>
      <c r="I151" s="622" t="s">
        <v>1250</v>
      </c>
      <c r="J151" s="622">
        <v>104</v>
      </c>
    </row>
    <row r="152" spans="1:10" x14ac:dyDescent="0.2">
      <c r="A152" s="622" t="s">
        <v>1860</v>
      </c>
      <c r="B152" s="622" t="s">
        <v>1861</v>
      </c>
      <c r="C152" s="622" t="s">
        <v>1862</v>
      </c>
      <c r="D152" s="622" t="s">
        <v>1412</v>
      </c>
      <c r="E152" s="622" t="s">
        <v>1418</v>
      </c>
      <c r="F152" s="622" t="s">
        <v>1412</v>
      </c>
      <c r="G152" s="622" t="s">
        <v>1413</v>
      </c>
      <c r="H152" s="622" t="s">
        <v>1249</v>
      </c>
      <c r="I152" s="622" t="s">
        <v>1250</v>
      </c>
      <c r="J152" s="622">
        <v>104</v>
      </c>
    </row>
    <row r="153" spans="1:10" x14ac:dyDescent="0.2">
      <c r="A153" s="622" t="s">
        <v>1863</v>
      </c>
      <c r="B153" s="622" t="s">
        <v>1864</v>
      </c>
      <c r="C153" s="622" t="s">
        <v>1865</v>
      </c>
      <c r="D153" s="622" t="s">
        <v>1363</v>
      </c>
      <c r="E153" s="622" t="s">
        <v>1364</v>
      </c>
      <c r="F153" s="622" t="s">
        <v>1365</v>
      </c>
      <c r="G153" s="622" t="s">
        <v>1366</v>
      </c>
      <c r="H153" s="622" t="s">
        <v>1249</v>
      </c>
      <c r="I153" s="622" t="s">
        <v>1250</v>
      </c>
      <c r="J153" s="622">
        <v>104</v>
      </c>
    </row>
    <row r="154" spans="1:10" x14ac:dyDescent="0.2">
      <c r="A154" s="622" t="s">
        <v>1866</v>
      </c>
      <c r="B154" s="622" t="s">
        <v>1867</v>
      </c>
      <c r="C154" s="622" t="s">
        <v>1868</v>
      </c>
      <c r="D154" s="622" t="s">
        <v>1313</v>
      </c>
      <c r="E154" s="622" t="s">
        <v>1314</v>
      </c>
      <c r="F154" s="622" t="s">
        <v>1315</v>
      </c>
      <c r="G154" s="622" t="s">
        <v>1316</v>
      </c>
      <c r="H154" s="622" t="s">
        <v>1249</v>
      </c>
      <c r="I154" s="622" t="s">
        <v>1250</v>
      </c>
      <c r="J154" s="622">
        <v>104</v>
      </c>
    </row>
    <row r="155" spans="1:10" x14ac:dyDescent="0.2">
      <c r="A155" s="622" t="s">
        <v>1869</v>
      </c>
      <c r="B155" s="622" t="s">
        <v>1870</v>
      </c>
      <c r="C155" s="622" t="s">
        <v>1871</v>
      </c>
      <c r="D155" s="622" t="s">
        <v>1255</v>
      </c>
      <c r="E155" s="622" t="s">
        <v>1256</v>
      </c>
      <c r="F155" s="622" t="s">
        <v>1247</v>
      </c>
      <c r="G155" s="622" t="s">
        <v>1248</v>
      </c>
      <c r="H155" s="622" t="s">
        <v>1249</v>
      </c>
      <c r="I155" s="622" t="s">
        <v>1250</v>
      </c>
      <c r="J155" s="622">
        <v>104</v>
      </c>
    </row>
    <row r="156" spans="1:10" x14ac:dyDescent="0.2">
      <c r="A156" s="622" t="s">
        <v>1872</v>
      </c>
      <c r="B156" s="622" t="s">
        <v>1873</v>
      </c>
      <c r="C156" s="622" t="s">
        <v>1874</v>
      </c>
      <c r="D156" s="622" t="s">
        <v>1313</v>
      </c>
      <c r="E156" s="622" t="s">
        <v>1314</v>
      </c>
      <c r="F156" s="622" t="s">
        <v>1315</v>
      </c>
      <c r="G156" s="622" t="s">
        <v>1316</v>
      </c>
      <c r="H156" s="622" t="s">
        <v>1249</v>
      </c>
      <c r="I156" s="622" t="s">
        <v>1250</v>
      </c>
      <c r="J156" s="622">
        <v>104</v>
      </c>
    </row>
    <row r="157" spans="1:10" x14ac:dyDescent="0.2">
      <c r="A157" s="622" t="s">
        <v>1875</v>
      </c>
      <c r="B157" s="622" t="s">
        <v>1876</v>
      </c>
      <c r="C157" s="622" t="s">
        <v>1877</v>
      </c>
      <c r="D157" s="622" t="s">
        <v>1317</v>
      </c>
      <c r="E157" s="622" t="s">
        <v>1318</v>
      </c>
      <c r="F157" s="622" t="s">
        <v>1315</v>
      </c>
      <c r="G157" s="622" t="s">
        <v>1316</v>
      </c>
      <c r="H157" s="622" t="s">
        <v>1249</v>
      </c>
      <c r="I157" s="622" t="s">
        <v>1250</v>
      </c>
      <c r="J157" s="622">
        <v>104</v>
      </c>
    </row>
    <row r="158" spans="1:10" x14ac:dyDescent="0.2">
      <c r="A158" s="622" t="s">
        <v>1878</v>
      </c>
      <c r="B158" s="622" t="s">
        <v>1879</v>
      </c>
      <c r="C158" s="622" t="s">
        <v>1880</v>
      </c>
      <c r="D158" s="622" t="s">
        <v>1356</v>
      </c>
      <c r="E158" s="622" t="s">
        <v>1357</v>
      </c>
      <c r="F158" s="622" t="s">
        <v>1247</v>
      </c>
      <c r="G158" s="622" t="s">
        <v>1248</v>
      </c>
      <c r="H158" s="622" t="s">
        <v>1249</v>
      </c>
      <c r="I158" s="622" t="s">
        <v>1250</v>
      </c>
      <c r="J158" s="622">
        <v>104</v>
      </c>
    </row>
    <row r="159" spans="1:10" x14ac:dyDescent="0.2">
      <c r="A159" s="622" t="s">
        <v>1881</v>
      </c>
      <c r="B159" s="622" t="s">
        <v>1882</v>
      </c>
      <c r="C159" s="622" t="s">
        <v>1883</v>
      </c>
      <c r="D159" s="622" t="s">
        <v>1382</v>
      </c>
      <c r="E159" s="622" t="s">
        <v>1383</v>
      </c>
      <c r="F159" s="622" t="s">
        <v>1376</v>
      </c>
      <c r="G159" s="622" t="s">
        <v>1377</v>
      </c>
      <c r="H159" s="622" t="s">
        <v>1249</v>
      </c>
      <c r="I159" s="622" t="s">
        <v>1250</v>
      </c>
      <c r="J159" s="622">
        <v>104</v>
      </c>
    </row>
    <row r="160" spans="1:10" x14ac:dyDescent="0.2">
      <c r="A160" s="622" t="s">
        <v>1884</v>
      </c>
      <c r="B160" s="622" t="s">
        <v>1885</v>
      </c>
      <c r="C160" s="622" t="s">
        <v>1886</v>
      </c>
      <c r="D160" s="622" t="s">
        <v>1342</v>
      </c>
      <c r="E160" s="622" t="s">
        <v>1343</v>
      </c>
      <c r="F160" s="622" t="s">
        <v>1340</v>
      </c>
      <c r="G160" s="622" t="s">
        <v>1341</v>
      </c>
      <c r="H160" s="622" t="s">
        <v>1249</v>
      </c>
      <c r="I160" s="622" t="s">
        <v>1250</v>
      </c>
      <c r="J160" s="622">
        <v>104</v>
      </c>
    </row>
    <row r="161" spans="1:10" x14ac:dyDescent="0.2">
      <c r="A161" s="622" t="s">
        <v>1412</v>
      </c>
      <c r="B161" s="622" t="s">
        <v>1887</v>
      </c>
      <c r="C161" s="622" t="s">
        <v>1888</v>
      </c>
      <c r="D161" s="622" t="s">
        <v>1412</v>
      </c>
      <c r="E161" s="622" t="s">
        <v>1418</v>
      </c>
      <c r="F161" s="622" t="s">
        <v>1412</v>
      </c>
      <c r="G161" s="622" t="s">
        <v>1413</v>
      </c>
      <c r="H161" s="622" t="s">
        <v>1249</v>
      </c>
      <c r="I161" s="622" t="s">
        <v>1250</v>
      </c>
      <c r="J161" s="622">
        <v>104</v>
      </c>
    </row>
    <row r="162" spans="1:10" x14ac:dyDescent="0.2">
      <c r="A162" s="622" t="s">
        <v>1388</v>
      </c>
      <c r="B162" s="622" t="s">
        <v>1889</v>
      </c>
      <c r="C162" s="622" t="s">
        <v>1890</v>
      </c>
      <c r="D162" s="622" t="s">
        <v>1388</v>
      </c>
      <c r="E162" s="622" t="s">
        <v>1389</v>
      </c>
      <c r="F162" s="622" t="s">
        <v>1386</v>
      </c>
      <c r="G162" s="622" t="s">
        <v>1387</v>
      </c>
      <c r="H162" s="622" t="s">
        <v>1249</v>
      </c>
      <c r="I162" s="622" t="s">
        <v>1250</v>
      </c>
      <c r="J162" s="622">
        <v>104</v>
      </c>
    </row>
    <row r="163" spans="1:10" x14ac:dyDescent="0.2">
      <c r="A163" s="622" t="s">
        <v>1891</v>
      </c>
      <c r="B163" s="622" t="s">
        <v>1892</v>
      </c>
      <c r="C163" s="622" t="s">
        <v>1893</v>
      </c>
      <c r="D163" s="622" t="s">
        <v>1251</v>
      </c>
      <c r="E163" s="622" t="s">
        <v>1252</v>
      </c>
      <c r="F163" s="622" t="s">
        <v>1247</v>
      </c>
      <c r="G163" s="622" t="s">
        <v>1248</v>
      </c>
      <c r="H163" s="622" t="s">
        <v>1249</v>
      </c>
      <c r="I163" s="622" t="s">
        <v>1250</v>
      </c>
      <c r="J163" s="622">
        <v>104</v>
      </c>
    </row>
    <row r="164" spans="1:10" x14ac:dyDescent="0.2">
      <c r="A164" s="622" t="s">
        <v>1894</v>
      </c>
      <c r="B164" s="622" t="s">
        <v>1895</v>
      </c>
      <c r="C164" s="622" t="s">
        <v>1896</v>
      </c>
      <c r="D164" s="622" t="s">
        <v>1356</v>
      </c>
      <c r="E164" s="622" t="s">
        <v>1357</v>
      </c>
      <c r="F164" s="622" t="s">
        <v>1247</v>
      </c>
      <c r="G164" s="622" t="s">
        <v>1248</v>
      </c>
      <c r="H164" s="622" t="s">
        <v>1249</v>
      </c>
      <c r="I164" s="622" t="s">
        <v>1250</v>
      </c>
      <c r="J164" s="622">
        <v>104</v>
      </c>
    </row>
    <row r="165" spans="1:10" x14ac:dyDescent="0.2">
      <c r="A165" s="622" t="s">
        <v>1897</v>
      </c>
      <c r="B165" s="622" t="s">
        <v>1898</v>
      </c>
      <c r="C165" s="622" t="s">
        <v>1899</v>
      </c>
      <c r="D165" s="622" t="s">
        <v>1344</v>
      </c>
      <c r="E165" s="622" t="s">
        <v>1345</v>
      </c>
      <c r="F165" s="622" t="s">
        <v>1340</v>
      </c>
      <c r="G165" s="622" t="s">
        <v>1341</v>
      </c>
      <c r="H165" s="622" t="s">
        <v>1249</v>
      </c>
      <c r="I165" s="622" t="s">
        <v>1250</v>
      </c>
      <c r="J165" s="622">
        <v>104</v>
      </c>
    </row>
    <row r="166" spans="1:10" x14ac:dyDescent="0.2">
      <c r="A166" s="622" t="s">
        <v>1900</v>
      </c>
      <c r="B166" s="622" t="s">
        <v>1901</v>
      </c>
      <c r="C166" s="622" t="s">
        <v>1902</v>
      </c>
      <c r="D166" s="622" t="s">
        <v>1427</v>
      </c>
      <c r="E166" s="622" t="s">
        <v>1428</v>
      </c>
      <c r="F166" s="622" t="s">
        <v>1421</v>
      </c>
      <c r="G166" s="622" t="s">
        <v>1422</v>
      </c>
      <c r="H166" s="622" t="s">
        <v>1249</v>
      </c>
      <c r="I166" s="622" t="s">
        <v>1250</v>
      </c>
      <c r="J166" s="622">
        <v>104</v>
      </c>
    </row>
    <row r="167" spans="1:10" x14ac:dyDescent="0.2">
      <c r="A167" s="622" t="s">
        <v>1903</v>
      </c>
      <c r="B167" s="622" t="s">
        <v>1904</v>
      </c>
      <c r="C167" s="622" t="s">
        <v>1905</v>
      </c>
      <c r="D167" s="622" t="s">
        <v>1344</v>
      </c>
      <c r="E167" s="622" t="s">
        <v>1345</v>
      </c>
      <c r="F167" s="622" t="s">
        <v>1340</v>
      </c>
      <c r="G167" s="622" t="s">
        <v>1341</v>
      </c>
      <c r="H167" s="622" t="s">
        <v>1249</v>
      </c>
      <c r="I167" s="622" t="s">
        <v>1250</v>
      </c>
      <c r="J167" s="622">
        <v>104</v>
      </c>
    </row>
    <row r="168" spans="1:10" x14ac:dyDescent="0.2">
      <c r="A168" s="622" t="s">
        <v>1906</v>
      </c>
      <c r="B168" s="622" t="s">
        <v>1907</v>
      </c>
      <c r="C168" s="622" t="s">
        <v>1908</v>
      </c>
      <c r="D168" s="622" t="s">
        <v>1431</v>
      </c>
      <c r="E168" s="622" t="s">
        <v>1432</v>
      </c>
      <c r="F168" s="622" t="s">
        <v>1421</v>
      </c>
      <c r="G168" s="622" t="s">
        <v>1422</v>
      </c>
      <c r="H168" s="622" t="s">
        <v>1249</v>
      </c>
      <c r="I168" s="622" t="s">
        <v>1250</v>
      </c>
      <c r="J168" s="622">
        <v>104</v>
      </c>
    </row>
    <row r="169" spans="1:10" x14ac:dyDescent="0.2">
      <c r="A169" s="622" t="s">
        <v>1909</v>
      </c>
      <c r="B169" s="622" t="s">
        <v>1910</v>
      </c>
      <c r="C169" s="622" t="s">
        <v>1911</v>
      </c>
      <c r="D169" s="622" t="s">
        <v>1429</v>
      </c>
      <c r="E169" s="622" t="s">
        <v>1430</v>
      </c>
      <c r="F169" s="622" t="s">
        <v>1421</v>
      </c>
      <c r="G169" s="622" t="s">
        <v>1422</v>
      </c>
      <c r="H169" s="622" t="s">
        <v>1249</v>
      </c>
      <c r="I169" s="622" t="s">
        <v>1250</v>
      </c>
      <c r="J169" s="622">
        <v>104</v>
      </c>
    </row>
    <row r="170" spans="1:10" x14ac:dyDescent="0.2">
      <c r="A170" s="622" t="s">
        <v>1912</v>
      </c>
      <c r="B170" s="622" t="s">
        <v>1913</v>
      </c>
      <c r="C170" s="622" t="s">
        <v>1914</v>
      </c>
      <c r="D170" s="622" t="s">
        <v>1425</v>
      </c>
      <c r="E170" s="622" t="s">
        <v>1426</v>
      </c>
      <c r="F170" s="622" t="s">
        <v>1421</v>
      </c>
      <c r="G170" s="622" t="s">
        <v>1422</v>
      </c>
      <c r="H170" s="622" t="s">
        <v>1249</v>
      </c>
      <c r="I170" s="622" t="s">
        <v>1250</v>
      </c>
      <c r="J170" s="622">
        <v>104</v>
      </c>
    </row>
    <row r="171" spans="1:10" x14ac:dyDescent="0.2">
      <c r="A171" s="622" t="s">
        <v>1423</v>
      </c>
      <c r="B171" s="622" t="s">
        <v>1915</v>
      </c>
      <c r="C171" s="622" t="s">
        <v>1916</v>
      </c>
      <c r="D171" s="622" t="s">
        <v>1423</v>
      </c>
      <c r="E171" s="622" t="s">
        <v>1424</v>
      </c>
      <c r="F171" s="622" t="s">
        <v>1421</v>
      </c>
      <c r="G171" s="622" t="s">
        <v>1422</v>
      </c>
      <c r="H171" s="622" t="s">
        <v>1249</v>
      </c>
      <c r="I171" s="622" t="s">
        <v>1250</v>
      </c>
      <c r="J171" s="622">
        <v>104</v>
      </c>
    </row>
    <row r="172" spans="1:10" x14ac:dyDescent="0.2">
      <c r="A172" s="622" t="s">
        <v>1427</v>
      </c>
      <c r="B172" s="622" t="s">
        <v>1917</v>
      </c>
      <c r="C172" s="622" t="s">
        <v>1918</v>
      </c>
      <c r="D172" s="622" t="s">
        <v>1427</v>
      </c>
      <c r="E172" s="622" t="s">
        <v>1428</v>
      </c>
      <c r="F172" s="622" t="s">
        <v>1421</v>
      </c>
      <c r="G172" s="622" t="s">
        <v>1422</v>
      </c>
      <c r="H172" s="622" t="s">
        <v>1249</v>
      </c>
      <c r="I172" s="622" t="s">
        <v>1250</v>
      </c>
      <c r="J172" s="622">
        <v>104</v>
      </c>
    </row>
    <row r="173" spans="1:10" x14ac:dyDescent="0.2">
      <c r="A173" s="622" t="s">
        <v>1919</v>
      </c>
      <c r="B173" s="622" t="s">
        <v>1920</v>
      </c>
      <c r="C173" s="622" t="s">
        <v>1921</v>
      </c>
      <c r="D173" s="622" t="s">
        <v>1342</v>
      </c>
      <c r="E173" s="622" t="s">
        <v>1343</v>
      </c>
      <c r="F173" s="622" t="s">
        <v>1340</v>
      </c>
      <c r="G173" s="622" t="s">
        <v>1341</v>
      </c>
      <c r="H173" s="622" t="s">
        <v>1249</v>
      </c>
      <c r="I173" s="622" t="s">
        <v>1250</v>
      </c>
      <c r="J173" s="622">
        <v>104</v>
      </c>
    </row>
    <row r="174" spans="1:10" x14ac:dyDescent="0.2">
      <c r="A174" s="622" t="s">
        <v>1350</v>
      </c>
      <c r="B174" s="622" t="s">
        <v>1922</v>
      </c>
      <c r="C174" s="622" t="s">
        <v>1923</v>
      </c>
      <c r="D174" s="622" t="s">
        <v>1348</v>
      </c>
      <c r="E174" s="622" t="s">
        <v>1349</v>
      </c>
      <c r="F174" s="622" t="s">
        <v>1350</v>
      </c>
      <c r="G174" s="622" t="s">
        <v>1351</v>
      </c>
      <c r="H174" s="622" t="s">
        <v>1249</v>
      </c>
      <c r="I174" s="622" t="s">
        <v>1250</v>
      </c>
      <c r="J174" s="622">
        <v>104</v>
      </c>
    </row>
    <row r="175" spans="1:10" x14ac:dyDescent="0.2">
      <c r="A175" s="622" t="s">
        <v>1319</v>
      </c>
      <c r="B175" s="622" t="s">
        <v>1924</v>
      </c>
      <c r="C175" s="622" t="s">
        <v>1925</v>
      </c>
      <c r="D175" s="622" t="s">
        <v>1319</v>
      </c>
      <c r="E175" s="622" t="s">
        <v>1320</v>
      </c>
      <c r="F175" s="622" t="s">
        <v>1321</v>
      </c>
      <c r="G175" s="622" t="s">
        <v>1322</v>
      </c>
      <c r="H175" s="622" t="s">
        <v>1249</v>
      </c>
      <c r="I175" s="622" t="s">
        <v>1250</v>
      </c>
      <c r="J175" s="622">
        <v>104</v>
      </c>
    </row>
    <row r="176" spans="1:10" x14ac:dyDescent="0.2">
      <c r="A176" s="622" t="s">
        <v>1926</v>
      </c>
      <c r="B176" s="622" t="s">
        <v>1927</v>
      </c>
      <c r="C176" s="622" t="s">
        <v>1928</v>
      </c>
      <c r="D176" s="622" t="s">
        <v>1378</v>
      </c>
      <c r="E176" s="622" t="s">
        <v>1379</v>
      </c>
      <c r="F176" s="622" t="s">
        <v>1376</v>
      </c>
      <c r="G176" s="622" t="s">
        <v>1377</v>
      </c>
      <c r="H176" s="622" t="s">
        <v>1249</v>
      </c>
      <c r="I176" s="622" t="s">
        <v>1250</v>
      </c>
      <c r="J176" s="622">
        <v>104</v>
      </c>
    </row>
    <row r="177" spans="1:10" x14ac:dyDescent="0.2">
      <c r="A177" s="622" t="s">
        <v>1929</v>
      </c>
      <c r="B177" s="622" t="s">
        <v>1930</v>
      </c>
      <c r="C177" s="622" t="s">
        <v>1931</v>
      </c>
      <c r="D177" s="622" t="s">
        <v>1317</v>
      </c>
      <c r="E177" s="622" t="s">
        <v>1318</v>
      </c>
      <c r="F177" s="622" t="s">
        <v>1315</v>
      </c>
      <c r="G177" s="622" t="s">
        <v>1316</v>
      </c>
      <c r="H177" s="622" t="s">
        <v>1249</v>
      </c>
      <c r="I177" s="622" t="s">
        <v>1250</v>
      </c>
      <c r="J177" s="622">
        <v>104</v>
      </c>
    </row>
    <row r="178" spans="1:10" x14ac:dyDescent="0.2">
      <c r="A178" s="622" t="s">
        <v>1932</v>
      </c>
      <c r="B178" s="622" t="s">
        <v>1933</v>
      </c>
      <c r="C178" s="622" t="s">
        <v>1934</v>
      </c>
      <c r="D178" s="622" t="s">
        <v>1404</v>
      </c>
      <c r="E178" s="622" t="s">
        <v>1405</v>
      </c>
      <c r="F178" s="622" t="s">
        <v>1402</v>
      </c>
      <c r="G178" s="622" t="s">
        <v>1403</v>
      </c>
      <c r="H178" s="622" t="s">
        <v>1249</v>
      </c>
      <c r="I178" s="622" t="s">
        <v>1250</v>
      </c>
      <c r="J178" s="622">
        <v>104</v>
      </c>
    </row>
    <row r="179" spans="1:10" x14ac:dyDescent="0.2">
      <c r="A179" s="622" t="s">
        <v>1935</v>
      </c>
      <c r="B179" s="622" t="s">
        <v>1936</v>
      </c>
      <c r="C179" s="622" t="s">
        <v>1937</v>
      </c>
      <c r="D179" s="622" t="s">
        <v>1400</v>
      </c>
      <c r="E179" s="622" t="s">
        <v>1401</v>
      </c>
      <c r="F179" s="622" t="s">
        <v>1402</v>
      </c>
      <c r="G179" s="622" t="s">
        <v>1403</v>
      </c>
      <c r="H179" s="622" t="s">
        <v>1249</v>
      </c>
      <c r="I179" s="622" t="s">
        <v>1250</v>
      </c>
      <c r="J179" s="622">
        <v>104</v>
      </c>
    </row>
    <row r="180" spans="1:10" x14ac:dyDescent="0.2">
      <c r="A180" s="622" t="s">
        <v>1938</v>
      </c>
      <c r="B180" s="622" t="s">
        <v>1939</v>
      </c>
      <c r="C180" s="622" t="s">
        <v>1940</v>
      </c>
      <c r="D180" s="622" t="s">
        <v>1307</v>
      </c>
      <c r="E180" s="622" t="s">
        <v>1308</v>
      </c>
      <c r="F180" s="622" t="s">
        <v>1303</v>
      </c>
      <c r="G180" s="622" t="s">
        <v>1304</v>
      </c>
      <c r="H180" s="622" t="s">
        <v>1249</v>
      </c>
      <c r="I180" s="622" t="s">
        <v>1250</v>
      </c>
      <c r="J180" s="622">
        <v>104</v>
      </c>
    </row>
    <row r="181" spans="1:10" x14ac:dyDescent="0.2">
      <c r="A181" s="622" t="s">
        <v>1307</v>
      </c>
      <c r="B181" s="622" t="s">
        <v>1941</v>
      </c>
      <c r="C181" s="622" t="s">
        <v>1942</v>
      </c>
      <c r="D181" s="622" t="s">
        <v>1307</v>
      </c>
      <c r="E181" s="622" t="s">
        <v>1308</v>
      </c>
      <c r="F181" s="622" t="s">
        <v>1303</v>
      </c>
      <c r="G181" s="622" t="s">
        <v>1304</v>
      </c>
      <c r="H181" s="622" t="s">
        <v>1249</v>
      </c>
      <c r="I181" s="622" t="s">
        <v>1250</v>
      </c>
      <c r="J181" s="622">
        <v>104</v>
      </c>
    </row>
    <row r="182" spans="1:10" x14ac:dyDescent="0.2">
      <c r="A182" s="622" t="s">
        <v>1943</v>
      </c>
      <c r="B182" s="622" t="s">
        <v>1944</v>
      </c>
      <c r="C182" s="622" t="s">
        <v>1945</v>
      </c>
      <c r="D182" s="622" t="s">
        <v>1309</v>
      </c>
      <c r="E182" s="622" t="s">
        <v>1310</v>
      </c>
      <c r="F182" s="622" t="s">
        <v>1303</v>
      </c>
      <c r="G182" s="622" t="s">
        <v>1304</v>
      </c>
      <c r="H182" s="622" t="s">
        <v>1249</v>
      </c>
      <c r="I182" s="622" t="s">
        <v>1250</v>
      </c>
      <c r="J182" s="622">
        <v>104</v>
      </c>
    </row>
    <row r="183" spans="1:10" x14ac:dyDescent="0.2">
      <c r="A183" s="622" t="s">
        <v>1378</v>
      </c>
      <c r="B183" s="622" t="s">
        <v>1946</v>
      </c>
      <c r="C183" s="622" t="s">
        <v>1947</v>
      </c>
      <c r="D183" s="622" t="s">
        <v>1378</v>
      </c>
      <c r="E183" s="622" t="s">
        <v>1379</v>
      </c>
      <c r="F183" s="622" t="s">
        <v>1376</v>
      </c>
      <c r="G183" s="622" t="s">
        <v>1377</v>
      </c>
      <c r="H183" s="622" t="s">
        <v>1249</v>
      </c>
      <c r="I183" s="622" t="s">
        <v>1250</v>
      </c>
      <c r="J183" s="622">
        <v>104</v>
      </c>
    </row>
    <row r="184" spans="1:10" x14ac:dyDescent="0.2">
      <c r="A184" s="622" t="s">
        <v>1948</v>
      </c>
      <c r="B184" s="622" t="s">
        <v>1949</v>
      </c>
      <c r="C184" s="622" t="s">
        <v>1950</v>
      </c>
      <c r="D184" s="622" t="s">
        <v>1323</v>
      </c>
      <c r="E184" s="622" t="s">
        <v>1324</v>
      </c>
      <c r="F184" s="622" t="s">
        <v>1321</v>
      </c>
      <c r="G184" s="622" t="s">
        <v>1322</v>
      </c>
      <c r="H184" s="622" t="s">
        <v>1249</v>
      </c>
      <c r="I184" s="622" t="s">
        <v>1250</v>
      </c>
      <c r="J184" s="622">
        <v>104</v>
      </c>
    </row>
    <row r="185" spans="1:10" x14ac:dyDescent="0.2">
      <c r="A185" s="622" t="s">
        <v>1309</v>
      </c>
      <c r="B185" s="622" t="s">
        <v>1951</v>
      </c>
      <c r="C185" s="622" t="s">
        <v>1952</v>
      </c>
      <c r="D185" s="622" t="s">
        <v>1309</v>
      </c>
      <c r="E185" s="622" t="s">
        <v>1310</v>
      </c>
      <c r="F185" s="622" t="s">
        <v>1303</v>
      </c>
      <c r="G185" s="622" t="s">
        <v>1304</v>
      </c>
      <c r="H185" s="622" t="s">
        <v>1249</v>
      </c>
      <c r="I185" s="622" t="s">
        <v>1250</v>
      </c>
      <c r="J185" s="622">
        <v>104</v>
      </c>
    </row>
    <row r="186" spans="1:10" x14ac:dyDescent="0.2">
      <c r="A186" s="622" t="s">
        <v>1348</v>
      </c>
      <c r="B186" s="622" t="s">
        <v>1953</v>
      </c>
      <c r="C186" s="622" t="s">
        <v>1954</v>
      </c>
      <c r="D186" s="622" t="s">
        <v>1348</v>
      </c>
      <c r="E186" s="622" t="s">
        <v>1349</v>
      </c>
      <c r="F186" s="622" t="s">
        <v>1350</v>
      </c>
      <c r="G186" s="622" t="s">
        <v>1351</v>
      </c>
      <c r="H186" s="622" t="s">
        <v>1249</v>
      </c>
      <c r="I186" s="622" t="s">
        <v>1250</v>
      </c>
      <c r="J186" s="622">
        <v>104</v>
      </c>
    </row>
    <row r="187" spans="1:10" x14ac:dyDescent="0.2">
      <c r="A187" s="622" t="s">
        <v>1955</v>
      </c>
      <c r="B187" s="622" t="s">
        <v>1956</v>
      </c>
      <c r="C187" s="622" t="s">
        <v>1957</v>
      </c>
      <c r="D187" s="622" t="s">
        <v>1323</v>
      </c>
      <c r="E187" s="622" t="s">
        <v>1324</v>
      </c>
      <c r="F187" s="622" t="s">
        <v>1321</v>
      </c>
      <c r="G187" s="622" t="s">
        <v>1322</v>
      </c>
      <c r="H187" s="622" t="s">
        <v>1249</v>
      </c>
      <c r="I187" s="622" t="s">
        <v>1250</v>
      </c>
      <c r="J187" s="622">
        <v>104</v>
      </c>
    </row>
    <row r="188" spans="1:10" x14ac:dyDescent="0.2">
      <c r="A188" s="622" t="s">
        <v>1958</v>
      </c>
      <c r="B188" s="622" t="s">
        <v>1959</v>
      </c>
      <c r="C188" s="622" t="s">
        <v>1960</v>
      </c>
      <c r="D188" s="622" t="s">
        <v>1323</v>
      </c>
      <c r="E188" s="622" t="s">
        <v>1324</v>
      </c>
      <c r="F188" s="622" t="s">
        <v>1321</v>
      </c>
      <c r="G188" s="622" t="s">
        <v>1322</v>
      </c>
      <c r="H188" s="622" t="s">
        <v>1249</v>
      </c>
      <c r="I188" s="622" t="s">
        <v>1250</v>
      </c>
      <c r="J188" s="622">
        <v>104</v>
      </c>
    </row>
    <row r="189" spans="1:10" x14ac:dyDescent="0.2">
      <c r="A189" s="622" t="s">
        <v>1961</v>
      </c>
      <c r="B189" s="622" t="s">
        <v>1962</v>
      </c>
      <c r="C189" s="622" t="s">
        <v>1963</v>
      </c>
      <c r="D189" s="622" t="s">
        <v>1369</v>
      </c>
      <c r="E189" s="622" t="s">
        <v>1370</v>
      </c>
      <c r="F189" s="622" t="s">
        <v>1365</v>
      </c>
      <c r="G189" s="622" t="s">
        <v>1366</v>
      </c>
      <c r="H189" s="622" t="s">
        <v>1249</v>
      </c>
      <c r="I189" s="622" t="s">
        <v>1250</v>
      </c>
      <c r="J189" s="622">
        <v>104</v>
      </c>
    </row>
    <row r="190" spans="1:10" x14ac:dyDescent="0.2">
      <c r="A190" s="622" t="s">
        <v>1964</v>
      </c>
      <c r="B190" s="622" t="s">
        <v>1965</v>
      </c>
      <c r="C190" s="622" t="s">
        <v>1966</v>
      </c>
      <c r="D190" s="622" t="s">
        <v>1369</v>
      </c>
      <c r="E190" s="622" t="s">
        <v>1370</v>
      </c>
      <c r="F190" s="622" t="s">
        <v>1365</v>
      </c>
      <c r="G190" s="622" t="s">
        <v>1366</v>
      </c>
      <c r="H190" s="622" t="s">
        <v>1249</v>
      </c>
      <c r="I190" s="622" t="s">
        <v>1250</v>
      </c>
      <c r="J190" s="622">
        <v>104</v>
      </c>
    </row>
    <row r="191" spans="1:10" x14ac:dyDescent="0.2">
      <c r="A191" s="622" t="s">
        <v>1967</v>
      </c>
      <c r="B191" s="622" t="s">
        <v>1968</v>
      </c>
      <c r="C191" s="622" t="s">
        <v>1969</v>
      </c>
      <c r="D191" s="622" t="s">
        <v>1305</v>
      </c>
      <c r="E191" s="622" t="s">
        <v>1306</v>
      </c>
      <c r="F191" s="622" t="s">
        <v>1303</v>
      </c>
      <c r="G191" s="622" t="s">
        <v>1304</v>
      </c>
      <c r="H191" s="622" t="s">
        <v>1249</v>
      </c>
      <c r="I191" s="622" t="s">
        <v>1250</v>
      </c>
      <c r="J191" s="622">
        <v>104</v>
      </c>
    </row>
    <row r="192" spans="1:10" x14ac:dyDescent="0.2">
      <c r="A192" s="622" t="s">
        <v>1305</v>
      </c>
      <c r="B192" s="622" t="s">
        <v>1970</v>
      </c>
      <c r="C192" s="622" t="s">
        <v>1971</v>
      </c>
      <c r="D192" s="622" t="s">
        <v>1305</v>
      </c>
      <c r="E192" s="622" t="s">
        <v>1306</v>
      </c>
      <c r="F192" s="622" t="s">
        <v>1303</v>
      </c>
      <c r="G192" s="622" t="s">
        <v>1304</v>
      </c>
      <c r="H192" s="622" t="s">
        <v>1249</v>
      </c>
      <c r="I192" s="622" t="s">
        <v>1250</v>
      </c>
      <c r="J192" s="622">
        <v>104</v>
      </c>
    </row>
    <row r="193" spans="1:10" x14ac:dyDescent="0.2">
      <c r="A193" s="622" t="s">
        <v>1972</v>
      </c>
      <c r="B193" s="622" t="s">
        <v>1973</v>
      </c>
      <c r="C193" s="622" t="s">
        <v>1974</v>
      </c>
      <c r="D193" s="622" t="s">
        <v>1313</v>
      </c>
      <c r="E193" s="622" t="s">
        <v>1314</v>
      </c>
      <c r="F193" s="622" t="s">
        <v>1315</v>
      </c>
      <c r="G193" s="622" t="s">
        <v>1316</v>
      </c>
      <c r="H193" s="622" t="s">
        <v>1249</v>
      </c>
      <c r="I193" s="622" t="s">
        <v>1250</v>
      </c>
      <c r="J193" s="622">
        <v>104</v>
      </c>
    </row>
    <row r="194" spans="1:10" x14ac:dyDescent="0.2">
      <c r="A194" s="622" t="s">
        <v>1975</v>
      </c>
      <c r="B194" s="622" t="s">
        <v>1976</v>
      </c>
      <c r="C194" s="622" t="s">
        <v>1977</v>
      </c>
      <c r="D194" s="622" t="s">
        <v>1287</v>
      </c>
      <c r="E194" s="622" t="s">
        <v>1288</v>
      </c>
      <c r="F194" s="622" t="s">
        <v>1281</v>
      </c>
      <c r="G194" s="622" t="s">
        <v>1282</v>
      </c>
      <c r="H194" s="622" t="s">
        <v>1249</v>
      </c>
      <c r="I194" s="622" t="s">
        <v>1250</v>
      </c>
      <c r="J194" s="622">
        <v>104</v>
      </c>
    </row>
    <row r="195" spans="1:10" x14ac:dyDescent="0.2">
      <c r="A195" s="622" t="s">
        <v>1978</v>
      </c>
      <c r="B195" s="622" t="s">
        <v>1979</v>
      </c>
      <c r="C195" s="622" t="s">
        <v>1980</v>
      </c>
      <c r="D195" s="622" t="s">
        <v>1358</v>
      </c>
      <c r="E195" s="622" t="s">
        <v>1359</v>
      </c>
      <c r="F195" s="622" t="s">
        <v>1281</v>
      </c>
      <c r="G195" s="622" t="s">
        <v>1282</v>
      </c>
      <c r="H195" s="622" t="s">
        <v>1249</v>
      </c>
      <c r="I195" s="622" t="s">
        <v>1250</v>
      </c>
      <c r="J195" s="622">
        <v>104</v>
      </c>
    </row>
    <row r="196" spans="1:10" x14ac:dyDescent="0.2">
      <c r="A196" s="622" t="s">
        <v>1981</v>
      </c>
      <c r="B196" s="622" t="s">
        <v>1982</v>
      </c>
      <c r="C196" s="622" t="s">
        <v>1983</v>
      </c>
      <c r="D196" s="622" t="s">
        <v>1358</v>
      </c>
      <c r="E196" s="622" t="s">
        <v>1359</v>
      </c>
      <c r="F196" s="622" t="s">
        <v>1281</v>
      </c>
      <c r="G196" s="622" t="s">
        <v>1282</v>
      </c>
      <c r="H196" s="622" t="s">
        <v>1249</v>
      </c>
      <c r="I196" s="622" t="s">
        <v>1250</v>
      </c>
      <c r="J196" s="622">
        <v>104</v>
      </c>
    </row>
    <row r="197" spans="1:10" x14ac:dyDescent="0.2">
      <c r="A197" s="622" t="s">
        <v>1984</v>
      </c>
      <c r="B197" s="622" t="s">
        <v>1985</v>
      </c>
      <c r="C197" s="622" t="s">
        <v>1986</v>
      </c>
      <c r="D197" s="622" t="s">
        <v>1281</v>
      </c>
      <c r="E197" s="622" t="s">
        <v>1360</v>
      </c>
      <c r="F197" s="622" t="s">
        <v>1281</v>
      </c>
      <c r="G197" s="622" t="s">
        <v>1282</v>
      </c>
      <c r="H197" s="622" t="s">
        <v>1249</v>
      </c>
      <c r="I197" s="622" t="s">
        <v>1250</v>
      </c>
      <c r="J197" s="622">
        <v>104</v>
      </c>
    </row>
    <row r="198" spans="1:10" x14ac:dyDescent="0.2">
      <c r="A198" s="622" t="s">
        <v>1287</v>
      </c>
      <c r="B198" s="622" t="s">
        <v>1987</v>
      </c>
      <c r="C198" s="622" t="s">
        <v>1988</v>
      </c>
      <c r="D198" s="622" t="s">
        <v>1287</v>
      </c>
      <c r="E198" s="622" t="s">
        <v>1288</v>
      </c>
      <c r="F198" s="622" t="s">
        <v>1281</v>
      </c>
      <c r="G198" s="622" t="s">
        <v>1282</v>
      </c>
      <c r="H198" s="622" t="s">
        <v>1249</v>
      </c>
      <c r="I198" s="622" t="s">
        <v>1250</v>
      </c>
      <c r="J198" s="622">
        <v>104</v>
      </c>
    </row>
    <row r="199" spans="1:10" x14ac:dyDescent="0.2">
      <c r="A199" s="622" t="s">
        <v>1989</v>
      </c>
      <c r="B199" s="622" t="s">
        <v>1990</v>
      </c>
      <c r="C199" s="622" t="s">
        <v>1991</v>
      </c>
      <c r="D199" s="622" t="s">
        <v>1338</v>
      </c>
      <c r="E199" s="622" t="s">
        <v>1339</v>
      </c>
      <c r="F199" s="622" t="s">
        <v>1340</v>
      </c>
      <c r="G199" s="622" t="s">
        <v>1341</v>
      </c>
      <c r="H199" s="622" t="s">
        <v>1249</v>
      </c>
      <c r="I199" s="622" t="s">
        <v>1250</v>
      </c>
      <c r="J199" s="622">
        <v>104</v>
      </c>
    </row>
    <row r="200" spans="1:10" x14ac:dyDescent="0.2">
      <c r="A200" s="622" t="s">
        <v>1992</v>
      </c>
      <c r="B200" s="622" t="s">
        <v>1993</v>
      </c>
      <c r="C200" s="622" t="s">
        <v>1994</v>
      </c>
      <c r="D200" s="622" t="s">
        <v>1363</v>
      </c>
      <c r="E200" s="622" t="s">
        <v>1364</v>
      </c>
      <c r="F200" s="622" t="s">
        <v>1365</v>
      </c>
      <c r="G200" s="622" t="s">
        <v>1366</v>
      </c>
      <c r="H200" s="622" t="s">
        <v>1249</v>
      </c>
      <c r="I200" s="622" t="s">
        <v>1250</v>
      </c>
      <c r="J200" s="622">
        <v>104</v>
      </c>
    </row>
    <row r="201" spans="1:10" x14ac:dyDescent="0.2">
      <c r="A201" s="622" t="s">
        <v>1995</v>
      </c>
      <c r="B201" s="622" t="s">
        <v>1996</v>
      </c>
      <c r="C201" s="622" t="s">
        <v>1997</v>
      </c>
      <c r="D201" s="622" t="s">
        <v>1277</v>
      </c>
      <c r="E201" s="622" t="s">
        <v>1278</v>
      </c>
      <c r="F201" s="622" t="s">
        <v>1247</v>
      </c>
      <c r="G201" s="622" t="s">
        <v>1248</v>
      </c>
      <c r="H201" s="622" t="s">
        <v>1249</v>
      </c>
      <c r="I201" s="622" t="s">
        <v>1250</v>
      </c>
      <c r="J201" s="622">
        <v>104</v>
      </c>
    </row>
    <row r="202" spans="1:10" x14ac:dyDescent="0.2">
      <c r="A202" s="622" t="s">
        <v>1998</v>
      </c>
      <c r="B202" s="622" t="s">
        <v>1999</v>
      </c>
      <c r="C202" s="622" t="s">
        <v>2000</v>
      </c>
      <c r="D202" s="622" t="s">
        <v>1277</v>
      </c>
      <c r="E202" s="622" t="s">
        <v>1278</v>
      </c>
      <c r="F202" s="622" t="s">
        <v>1247</v>
      </c>
      <c r="G202" s="622" t="s">
        <v>1248</v>
      </c>
      <c r="H202" s="622" t="s">
        <v>1249</v>
      </c>
      <c r="I202" s="622" t="s">
        <v>1250</v>
      </c>
      <c r="J202" s="622">
        <v>104</v>
      </c>
    </row>
    <row r="203" spans="1:10" x14ac:dyDescent="0.2">
      <c r="A203" s="622" t="s">
        <v>1269</v>
      </c>
      <c r="B203" s="622" t="s">
        <v>2001</v>
      </c>
      <c r="C203" s="622" t="s">
        <v>2002</v>
      </c>
      <c r="D203" s="622" t="s">
        <v>1269</v>
      </c>
      <c r="E203" s="622" t="s">
        <v>1270</v>
      </c>
      <c r="F203" s="622" t="s">
        <v>1247</v>
      </c>
      <c r="G203" s="622" t="s">
        <v>1248</v>
      </c>
      <c r="H203" s="622" t="s">
        <v>1249</v>
      </c>
      <c r="I203" s="622" t="s">
        <v>1250</v>
      </c>
      <c r="J203" s="622">
        <v>104</v>
      </c>
    </row>
    <row r="204" spans="1:10" x14ac:dyDescent="0.2">
      <c r="A204" s="622" t="s">
        <v>2003</v>
      </c>
      <c r="B204" s="622" t="s">
        <v>2004</v>
      </c>
      <c r="C204" s="622" t="s">
        <v>2005</v>
      </c>
      <c r="D204" s="622" t="s">
        <v>1277</v>
      </c>
      <c r="E204" s="622" t="s">
        <v>1278</v>
      </c>
      <c r="F204" s="622" t="s">
        <v>1247</v>
      </c>
      <c r="G204" s="622" t="s">
        <v>1248</v>
      </c>
      <c r="H204" s="622" t="s">
        <v>1249</v>
      </c>
      <c r="I204" s="622" t="s">
        <v>1250</v>
      </c>
      <c r="J204" s="622">
        <v>104</v>
      </c>
    </row>
    <row r="205" spans="1:10" x14ac:dyDescent="0.2">
      <c r="A205" s="622" t="s">
        <v>2006</v>
      </c>
      <c r="B205" s="622" t="s">
        <v>2007</v>
      </c>
      <c r="C205" s="622" t="s">
        <v>2008</v>
      </c>
      <c r="D205" s="622" t="s">
        <v>1390</v>
      </c>
      <c r="E205" s="622" t="s">
        <v>1391</v>
      </c>
      <c r="F205" s="622" t="s">
        <v>1392</v>
      </c>
      <c r="G205" s="622" t="s">
        <v>1393</v>
      </c>
      <c r="H205" s="622" t="s">
        <v>1249</v>
      </c>
      <c r="I205" s="622" t="s">
        <v>1250</v>
      </c>
      <c r="J205" s="622">
        <v>104</v>
      </c>
    </row>
    <row r="206" spans="1:10" x14ac:dyDescent="0.2">
      <c r="A206" s="622" t="s">
        <v>2009</v>
      </c>
      <c r="B206" s="622" t="s">
        <v>2010</v>
      </c>
      <c r="C206" s="622" t="s">
        <v>2011</v>
      </c>
      <c r="D206" s="622" t="s">
        <v>1390</v>
      </c>
      <c r="E206" s="622" t="s">
        <v>1391</v>
      </c>
      <c r="F206" s="622" t="s">
        <v>1392</v>
      </c>
      <c r="G206" s="622" t="s">
        <v>1393</v>
      </c>
      <c r="H206" s="622" t="s">
        <v>1249</v>
      </c>
      <c r="I206" s="622" t="s">
        <v>1250</v>
      </c>
      <c r="J206" s="622">
        <v>104</v>
      </c>
    </row>
    <row r="207" spans="1:10" x14ac:dyDescent="0.2">
      <c r="A207" s="622" t="s">
        <v>2012</v>
      </c>
      <c r="B207" s="622" t="s">
        <v>2013</v>
      </c>
      <c r="C207" s="622" t="s">
        <v>2014</v>
      </c>
      <c r="D207" s="622" t="s">
        <v>1394</v>
      </c>
      <c r="E207" s="622" t="s">
        <v>1395</v>
      </c>
      <c r="F207" s="622" t="s">
        <v>1392</v>
      </c>
      <c r="G207" s="622" t="s">
        <v>1393</v>
      </c>
      <c r="H207" s="622" t="s">
        <v>1249</v>
      </c>
      <c r="I207" s="622" t="s">
        <v>1250</v>
      </c>
      <c r="J207" s="622">
        <v>104</v>
      </c>
    </row>
    <row r="208" spans="1:10" x14ac:dyDescent="0.2">
      <c r="A208" s="622" t="s">
        <v>1394</v>
      </c>
      <c r="B208" s="622" t="s">
        <v>2015</v>
      </c>
      <c r="C208" s="622" t="s">
        <v>2016</v>
      </c>
      <c r="D208" s="622" t="s">
        <v>1394</v>
      </c>
      <c r="E208" s="622" t="s">
        <v>1395</v>
      </c>
      <c r="F208" s="622" t="s">
        <v>1392</v>
      </c>
      <c r="G208" s="622" t="s">
        <v>1393</v>
      </c>
      <c r="H208" s="622" t="s">
        <v>1249</v>
      </c>
      <c r="I208" s="622" t="s">
        <v>1250</v>
      </c>
      <c r="J208" s="622">
        <v>104</v>
      </c>
    </row>
    <row r="209" spans="1:10" x14ac:dyDescent="0.2">
      <c r="A209" s="622" t="s">
        <v>2017</v>
      </c>
      <c r="B209" s="622" t="s">
        <v>2018</v>
      </c>
      <c r="C209" s="622" t="s">
        <v>2019</v>
      </c>
      <c r="D209" s="622" t="s">
        <v>1273</v>
      </c>
      <c r="E209" s="622" t="s">
        <v>1274</v>
      </c>
      <c r="F209" s="622" t="s">
        <v>1247</v>
      </c>
      <c r="G209" s="622" t="s">
        <v>1248</v>
      </c>
      <c r="H209" s="622" t="s">
        <v>1249</v>
      </c>
      <c r="I209" s="622" t="s">
        <v>1250</v>
      </c>
      <c r="J209" s="622">
        <v>104</v>
      </c>
    </row>
    <row r="210" spans="1:10" x14ac:dyDescent="0.2">
      <c r="A210" s="622" t="s">
        <v>2020</v>
      </c>
      <c r="B210" s="622" t="s">
        <v>2021</v>
      </c>
      <c r="C210" s="622" t="s">
        <v>2022</v>
      </c>
      <c r="D210" s="622" t="s">
        <v>1271</v>
      </c>
      <c r="E210" s="622" t="s">
        <v>1272</v>
      </c>
      <c r="F210" s="622" t="s">
        <v>1247</v>
      </c>
      <c r="G210" s="622" t="s">
        <v>1248</v>
      </c>
      <c r="H210" s="622" t="s">
        <v>1249</v>
      </c>
      <c r="I210" s="622" t="s">
        <v>1250</v>
      </c>
      <c r="J210" s="622">
        <v>104</v>
      </c>
    </row>
    <row r="211" spans="1:10" x14ac:dyDescent="0.2">
      <c r="A211" s="622" t="s">
        <v>2023</v>
      </c>
      <c r="B211" s="622" t="s">
        <v>2024</v>
      </c>
      <c r="C211" s="622" t="s">
        <v>2025</v>
      </c>
      <c r="D211" s="622" t="s">
        <v>1271</v>
      </c>
      <c r="E211" s="622" t="s">
        <v>1272</v>
      </c>
      <c r="F211" s="622" t="s">
        <v>1247</v>
      </c>
      <c r="G211" s="622" t="s">
        <v>1248</v>
      </c>
      <c r="H211" s="622" t="s">
        <v>1249</v>
      </c>
      <c r="I211" s="622" t="s">
        <v>1250</v>
      </c>
      <c r="J211" s="622">
        <v>104</v>
      </c>
    </row>
    <row r="212" spans="1:10" x14ac:dyDescent="0.2">
      <c r="A212" s="622" t="s">
        <v>2026</v>
      </c>
      <c r="B212" s="622" t="s">
        <v>2027</v>
      </c>
      <c r="C212" s="622" t="s">
        <v>2028</v>
      </c>
      <c r="D212" s="622" t="s">
        <v>1257</v>
      </c>
      <c r="E212" s="622" t="s">
        <v>1258</v>
      </c>
      <c r="F212" s="622" t="s">
        <v>1247</v>
      </c>
      <c r="G212" s="622" t="s">
        <v>1248</v>
      </c>
      <c r="H212" s="622" t="s">
        <v>1249</v>
      </c>
      <c r="I212" s="622" t="s">
        <v>1250</v>
      </c>
      <c r="J212" s="622">
        <v>104</v>
      </c>
    </row>
    <row r="213" spans="1:10" x14ac:dyDescent="0.2">
      <c r="A213" s="622" t="s">
        <v>2029</v>
      </c>
      <c r="B213" s="622" t="s">
        <v>2030</v>
      </c>
      <c r="C213" s="622" t="s">
        <v>2031</v>
      </c>
      <c r="D213" s="622" t="s">
        <v>1257</v>
      </c>
      <c r="E213" s="622" t="s">
        <v>1258</v>
      </c>
      <c r="F213" s="622" t="s">
        <v>1247</v>
      </c>
      <c r="G213" s="622" t="s">
        <v>1248</v>
      </c>
      <c r="H213" s="622" t="s">
        <v>1249</v>
      </c>
      <c r="I213" s="622" t="s">
        <v>1250</v>
      </c>
      <c r="J213" s="622">
        <v>104</v>
      </c>
    </row>
    <row r="214" spans="1:10" x14ac:dyDescent="0.2">
      <c r="A214" s="622" t="s">
        <v>2032</v>
      </c>
      <c r="B214" s="622" t="s">
        <v>2033</v>
      </c>
      <c r="C214" s="622" t="s">
        <v>2034</v>
      </c>
      <c r="D214" s="622" t="s">
        <v>1384</v>
      </c>
      <c r="E214" s="622" t="s">
        <v>1385</v>
      </c>
      <c r="F214" s="622" t="s">
        <v>1386</v>
      </c>
      <c r="G214" s="622" t="s">
        <v>1387</v>
      </c>
      <c r="H214" s="622" t="s">
        <v>1249</v>
      </c>
      <c r="I214" s="622" t="s">
        <v>1250</v>
      </c>
      <c r="J214" s="622">
        <v>104</v>
      </c>
    </row>
    <row r="215" spans="1:10" x14ac:dyDescent="0.2">
      <c r="A215" s="622" t="s">
        <v>2035</v>
      </c>
      <c r="B215" s="622" t="s">
        <v>2036</v>
      </c>
      <c r="C215" s="622" t="s">
        <v>2037</v>
      </c>
      <c r="D215" s="622" t="s">
        <v>1259</v>
      </c>
      <c r="E215" s="622" t="s">
        <v>1260</v>
      </c>
      <c r="F215" s="622" t="s">
        <v>1247</v>
      </c>
      <c r="G215" s="622" t="s">
        <v>1248</v>
      </c>
      <c r="H215" s="622" t="s">
        <v>1249</v>
      </c>
      <c r="I215" s="622" t="s">
        <v>1250</v>
      </c>
      <c r="J215" s="622">
        <v>104</v>
      </c>
    </row>
    <row r="216" spans="1:10" x14ac:dyDescent="0.2">
      <c r="A216" s="622" t="s">
        <v>2038</v>
      </c>
      <c r="B216" s="622" t="s">
        <v>2039</v>
      </c>
      <c r="C216" s="622" t="s">
        <v>2040</v>
      </c>
      <c r="D216" s="622" t="s">
        <v>1275</v>
      </c>
      <c r="E216" s="622" t="s">
        <v>1276</v>
      </c>
      <c r="F216" s="622" t="s">
        <v>1247</v>
      </c>
      <c r="G216" s="622" t="s">
        <v>1248</v>
      </c>
      <c r="H216" s="622" t="s">
        <v>1249</v>
      </c>
      <c r="I216" s="622" t="s">
        <v>1250</v>
      </c>
      <c r="J216" s="622">
        <v>104</v>
      </c>
    </row>
    <row r="217" spans="1:10" x14ac:dyDescent="0.2">
      <c r="A217" s="622" t="s">
        <v>1259</v>
      </c>
      <c r="B217" s="622" t="s">
        <v>2041</v>
      </c>
      <c r="C217" s="622" t="s">
        <v>2042</v>
      </c>
      <c r="D217" s="622" t="s">
        <v>1259</v>
      </c>
      <c r="E217" s="622" t="s">
        <v>1260</v>
      </c>
      <c r="F217" s="622" t="s">
        <v>1247</v>
      </c>
      <c r="G217" s="622" t="s">
        <v>1248</v>
      </c>
      <c r="H217" s="622" t="s">
        <v>1249</v>
      </c>
      <c r="I217" s="622" t="s">
        <v>1250</v>
      </c>
      <c r="J217" s="622">
        <v>104</v>
      </c>
    </row>
    <row r="218" spans="1:10" x14ac:dyDescent="0.2">
      <c r="A218" s="622" t="s">
        <v>2043</v>
      </c>
      <c r="B218" s="622" t="s">
        <v>2044</v>
      </c>
      <c r="C218" s="622" t="s">
        <v>2045</v>
      </c>
      <c r="D218" s="622" t="s">
        <v>1259</v>
      </c>
      <c r="E218" s="622" t="s">
        <v>1260</v>
      </c>
      <c r="F218" s="622" t="s">
        <v>1247</v>
      </c>
      <c r="G218" s="622" t="s">
        <v>1248</v>
      </c>
      <c r="H218" s="622" t="s">
        <v>1249</v>
      </c>
      <c r="I218" s="622" t="s">
        <v>1250</v>
      </c>
      <c r="J218" s="622">
        <v>104</v>
      </c>
    </row>
    <row r="219" spans="1:10" x14ac:dyDescent="0.2">
      <c r="A219" s="622" t="s">
        <v>2046</v>
      </c>
      <c r="B219" s="622" t="s">
        <v>2047</v>
      </c>
      <c r="C219" s="622" t="s">
        <v>2048</v>
      </c>
      <c r="D219" s="622" t="s">
        <v>1269</v>
      </c>
      <c r="E219" s="622" t="s">
        <v>1270</v>
      </c>
      <c r="F219" s="622" t="s">
        <v>1247</v>
      </c>
      <c r="G219" s="622" t="s">
        <v>1248</v>
      </c>
      <c r="H219" s="622" t="s">
        <v>1249</v>
      </c>
      <c r="I219" s="622" t="s">
        <v>1250</v>
      </c>
      <c r="J219" s="622">
        <v>104</v>
      </c>
    </row>
    <row r="220" spans="1:10" x14ac:dyDescent="0.2">
      <c r="A220" s="622" t="s">
        <v>2049</v>
      </c>
      <c r="B220" s="622" t="s">
        <v>2050</v>
      </c>
      <c r="C220" s="622" t="s">
        <v>2051</v>
      </c>
      <c r="D220" s="622" t="s">
        <v>1269</v>
      </c>
      <c r="E220" s="622" t="s">
        <v>1270</v>
      </c>
      <c r="F220" s="622" t="s">
        <v>1247</v>
      </c>
      <c r="G220" s="622" t="s">
        <v>1248</v>
      </c>
      <c r="H220" s="622" t="s">
        <v>1249</v>
      </c>
      <c r="I220" s="622" t="s">
        <v>1250</v>
      </c>
      <c r="J220" s="622">
        <v>104</v>
      </c>
    </row>
    <row r="221" spans="1:10" x14ac:dyDescent="0.2">
      <c r="A221" s="622" t="s">
        <v>2052</v>
      </c>
      <c r="B221" s="622" t="s">
        <v>2053</v>
      </c>
      <c r="C221" s="622" t="s">
        <v>2054</v>
      </c>
      <c r="D221" s="622" t="s">
        <v>1259</v>
      </c>
      <c r="E221" s="622" t="s">
        <v>1260</v>
      </c>
      <c r="F221" s="622" t="s">
        <v>1247</v>
      </c>
      <c r="G221" s="622" t="s">
        <v>1248</v>
      </c>
      <c r="H221" s="622" t="s">
        <v>1249</v>
      </c>
      <c r="I221" s="622" t="s">
        <v>1250</v>
      </c>
      <c r="J221" s="622">
        <v>104</v>
      </c>
    </row>
    <row r="222" spans="1:10" x14ac:dyDescent="0.2">
      <c r="A222" s="622" t="s">
        <v>2055</v>
      </c>
      <c r="B222" s="622" t="s">
        <v>2056</v>
      </c>
      <c r="C222" s="622" t="s">
        <v>2057</v>
      </c>
      <c r="D222" s="622" t="s">
        <v>1245</v>
      </c>
      <c r="E222" s="622" t="s">
        <v>1246</v>
      </c>
      <c r="F222" s="622" t="s">
        <v>1247</v>
      </c>
      <c r="G222" s="622" t="s">
        <v>1248</v>
      </c>
      <c r="H222" s="622" t="s">
        <v>1249</v>
      </c>
      <c r="I222" s="622" t="s">
        <v>1250</v>
      </c>
      <c r="J222" s="622">
        <v>104</v>
      </c>
    </row>
    <row r="223" spans="1:10" x14ac:dyDescent="0.2">
      <c r="A223" s="622" t="s">
        <v>2058</v>
      </c>
      <c r="B223" s="622" t="s">
        <v>2059</v>
      </c>
      <c r="C223" s="622" t="s">
        <v>2060</v>
      </c>
      <c r="D223" s="622" t="s">
        <v>1245</v>
      </c>
      <c r="E223" s="622" t="s">
        <v>1246</v>
      </c>
      <c r="F223" s="622" t="s">
        <v>1247</v>
      </c>
      <c r="G223" s="622" t="s">
        <v>1248</v>
      </c>
      <c r="H223" s="622" t="s">
        <v>1249</v>
      </c>
      <c r="I223" s="622" t="s">
        <v>1250</v>
      </c>
      <c r="J223" s="622">
        <v>104</v>
      </c>
    </row>
    <row r="224" spans="1:10" x14ac:dyDescent="0.2">
      <c r="A224" s="622" t="s">
        <v>1245</v>
      </c>
      <c r="B224" s="622" t="s">
        <v>2061</v>
      </c>
      <c r="C224" s="622" t="s">
        <v>2062</v>
      </c>
      <c r="D224" s="622" t="s">
        <v>1245</v>
      </c>
      <c r="E224" s="622" t="s">
        <v>1246</v>
      </c>
      <c r="F224" s="622" t="s">
        <v>1247</v>
      </c>
      <c r="G224" s="622" t="s">
        <v>1248</v>
      </c>
      <c r="H224" s="622" t="s">
        <v>1249</v>
      </c>
      <c r="I224" s="622" t="s">
        <v>1250</v>
      </c>
      <c r="J224" s="622">
        <v>104</v>
      </c>
    </row>
    <row r="225" spans="1:10" x14ac:dyDescent="0.2">
      <c r="A225" s="622" t="s">
        <v>2063</v>
      </c>
      <c r="B225" s="622" t="s">
        <v>2064</v>
      </c>
      <c r="C225" s="622" t="s">
        <v>2065</v>
      </c>
      <c r="D225" s="622" t="s">
        <v>1255</v>
      </c>
      <c r="E225" s="622" t="s">
        <v>1256</v>
      </c>
      <c r="F225" s="622" t="s">
        <v>1247</v>
      </c>
      <c r="G225" s="622" t="s">
        <v>1248</v>
      </c>
      <c r="H225" s="622" t="s">
        <v>1249</v>
      </c>
      <c r="I225" s="622" t="s">
        <v>1250</v>
      </c>
      <c r="J225" s="622">
        <v>104</v>
      </c>
    </row>
    <row r="226" spans="1:10" x14ac:dyDescent="0.2">
      <c r="A226" s="622" t="s">
        <v>1356</v>
      </c>
      <c r="B226" s="622" t="s">
        <v>2066</v>
      </c>
      <c r="C226" s="622" t="s">
        <v>2067</v>
      </c>
      <c r="D226" s="622" t="s">
        <v>1356</v>
      </c>
      <c r="E226" s="622" t="s">
        <v>1357</v>
      </c>
      <c r="F226" s="622" t="s">
        <v>1247</v>
      </c>
      <c r="G226" s="622" t="s">
        <v>1248</v>
      </c>
      <c r="H226" s="622" t="s">
        <v>1249</v>
      </c>
      <c r="I226" s="622" t="s">
        <v>1250</v>
      </c>
      <c r="J226" s="622">
        <v>104</v>
      </c>
    </row>
    <row r="227" spans="1:10" x14ac:dyDescent="0.2">
      <c r="A227" s="622" t="s">
        <v>2068</v>
      </c>
      <c r="B227" s="622" t="s">
        <v>2069</v>
      </c>
      <c r="C227" s="622" t="s">
        <v>2070</v>
      </c>
      <c r="D227" s="622" t="s">
        <v>1277</v>
      </c>
      <c r="E227" s="622" t="s">
        <v>1278</v>
      </c>
      <c r="F227" s="622" t="s">
        <v>1247</v>
      </c>
      <c r="G227" s="622" t="s">
        <v>1248</v>
      </c>
      <c r="H227" s="622" t="s">
        <v>1249</v>
      </c>
      <c r="I227" s="622" t="s">
        <v>1250</v>
      </c>
      <c r="J227" s="622">
        <v>104</v>
      </c>
    </row>
    <row r="228" spans="1:10" x14ac:dyDescent="0.2">
      <c r="A228" s="622" t="s">
        <v>2071</v>
      </c>
      <c r="B228" s="622" t="s">
        <v>2072</v>
      </c>
      <c r="C228" s="622" t="s">
        <v>2073</v>
      </c>
      <c r="D228" s="622" t="s">
        <v>1257</v>
      </c>
      <c r="E228" s="622" t="s">
        <v>1258</v>
      </c>
      <c r="F228" s="622" t="s">
        <v>1247</v>
      </c>
      <c r="G228" s="622" t="s">
        <v>1248</v>
      </c>
      <c r="H228" s="622" t="s">
        <v>1249</v>
      </c>
      <c r="I228" s="622" t="s">
        <v>1250</v>
      </c>
      <c r="J228" s="622">
        <v>104</v>
      </c>
    </row>
    <row r="229" spans="1:10" x14ac:dyDescent="0.2">
      <c r="A229" s="622" t="s">
        <v>2074</v>
      </c>
      <c r="B229" s="622" t="s">
        <v>2075</v>
      </c>
      <c r="C229" s="622" t="s">
        <v>2076</v>
      </c>
      <c r="D229" s="622" t="s">
        <v>1257</v>
      </c>
      <c r="E229" s="622" t="s">
        <v>1258</v>
      </c>
      <c r="F229" s="622" t="s">
        <v>1247</v>
      </c>
      <c r="G229" s="622" t="s">
        <v>1248</v>
      </c>
      <c r="H229" s="622" t="s">
        <v>1249</v>
      </c>
      <c r="I229" s="622" t="s">
        <v>1250</v>
      </c>
      <c r="J229" s="622">
        <v>104</v>
      </c>
    </row>
    <row r="230" spans="1:10" x14ac:dyDescent="0.2">
      <c r="A230" s="622" t="s">
        <v>1257</v>
      </c>
      <c r="B230" s="622" t="s">
        <v>2077</v>
      </c>
      <c r="C230" s="622" t="s">
        <v>2078</v>
      </c>
      <c r="D230" s="622" t="s">
        <v>1257</v>
      </c>
      <c r="E230" s="622" t="s">
        <v>1258</v>
      </c>
      <c r="F230" s="622" t="s">
        <v>1247</v>
      </c>
      <c r="G230" s="622" t="s">
        <v>1248</v>
      </c>
      <c r="H230" s="622" t="s">
        <v>1249</v>
      </c>
      <c r="I230" s="622" t="s">
        <v>1250</v>
      </c>
      <c r="J230" s="622">
        <v>104</v>
      </c>
    </row>
    <row r="231" spans="1:10" x14ac:dyDescent="0.2">
      <c r="A231" s="622" t="s">
        <v>2079</v>
      </c>
      <c r="B231" s="622" t="s">
        <v>2080</v>
      </c>
      <c r="C231" s="622" t="s">
        <v>2081</v>
      </c>
      <c r="D231" s="622" t="s">
        <v>1251</v>
      </c>
      <c r="E231" s="622" t="s">
        <v>1252</v>
      </c>
      <c r="F231" s="622" t="s">
        <v>1247</v>
      </c>
      <c r="G231" s="622" t="s">
        <v>1248</v>
      </c>
      <c r="H231" s="622" t="s">
        <v>1249</v>
      </c>
      <c r="I231" s="622" t="s">
        <v>1250</v>
      </c>
      <c r="J231" s="622">
        <v>104</v>
      </c>
    </row>
    <row r="232" spans="1:10" x14ac:dyDescent="0.2">
      <c r="A232" s="622" t="s">
        <v>2082</v>
      </c>
      <c r="B232" s="622" t="s">
        <v>2083</v>
      </c>
      <c r="C232" s="622" t="s">
        <v>2084</v>
      </c>
      <c r="D232" s="622" t="s">
        <v>1346</v>
      </c>
      <c r="E232" s="622" t="s">
        <v>1347</v>
      </c>
      <c r="F232" s="622" t="s">
        <v>1340</v>
      </c>
      <c r="G232" s="622" t="s">
        <v>1341</v>
      </c>
      <c r="H232" s="622" t="s">
        <v>1249</v>
      </c>
      <c r="I232" s="622" t="s">
        <v>1250</v>
      </c>
      <c r="J232" s="622">
        <v>104</v>
      </c>
    </row>
    <row r="233" spans="1:10" x14ac:dyDescent="0.2">
      <c r="A233" s="622" t="s">
        <v>2085</v>
      </c>
      <c r="B233" s="622" t="s">
        <v>2086</v>
      </c>
      <c r="C233" s="622" t="s">
        <v>2087</v>
      </c>
      <c r="D233" s="622" t="s">
        <v>1346</v>
      </c>
      <c r="E233" s="622" t="s">
        <v>1347</v>
      </c>
      <c r="F233" s="622" t="s">
        <v>1340</v>
      </c>
      <c r="G233" s="622" t="s">
        <v>1341</v>
      </c>
      <c r="H233" s="622" t="s">
        <v>1249</v>
      </c>
      <c r="I233" s="622" t="s">
        <v>1250</v>
      </c>
      <c r="J233" s="622">
        <v>104</v>
      </c>
    </row>
    <row r="234" spans="1:10" x14ac:dyDescent="0.2">
      <c r="A234" s="622" t="s">
        <v>2088</v>
      </c>
      <c r="B234" s="622" t="s">
        <v>2089</v>
      </c>
      <c r="C234" s="622" t="s">
        <v>2090</v>
      </c>
      <c r="D234" s="622" t="s">
        <v>1344</v>
      </c>
      <c r="E234" s="622" t="s">
        <v>1345</v>
      </c>
      <c r="F234" s="622" t="s">
        <v>1340</v>
      </c>
      <c r="G234" s="622" t="s">
        <v>1341</v>
      </c>
      <c r="H234" s="622" t="s">
        <v>1249</v>
      </c>
      <c r="I234" s="622" t="s">
        <v>1250</v>
      </c>
      <c r="J234" s="622">
        <v>104</v>
      </c>
    </row>
    <row r="235" spans="1:10" x14ac:dyDescent="0.2">
      <c r="A235" s="622" t="s">
        <v>2091</v>
      </c>
      <c r="B235" s="622" t="s">
        <v>2092</v>
      </c>
      <c r="C235" s="622" t="s">
        <v>2093</v>
      </c>
      <c r="D235" s="622" t="s">
        <v>1346</v>
      </c>
      <c r="E235" s="622" t="s">
        <v>1347</v>
      </c>
      <c r="F235" s="622" t="s">
        <v>1340</v>
      </c>
      <c r="G235" s="622" t="s">
        <v>1341</v>
      </c>
      <c r="H235" s="622" t="s">
        <v>1249</v>
      </c>
      <c r="I235" s="622" t="s">
        <v>1250</v>
      </c>
      <c r="J235" s="622">
        <v>104</v>
      </c>
    </row>
    <row r="236" spans="1:10" x14ac:dyDescent="0.2">
      <c r="A236" s="622" t="s">
        <v>2094</v>
      </c>
      <c r="B236" s="622" t="s">
        <v>2095</v>
      </c>
      <c r="C236" s="622" t="s">
        <v>2096</v>
      </c>
      <c r="D236" s="622" t="s">
        <v>1423</v>
      </c>
      <c r="E236" s="622" t="s">
        <v>1424</v>
      </c>
      <c r="F236" s="622" t="s">
        <v>1421</v>
      </c>
      <c r="G236" s="622" t="s">
        <v>1422</v>
      </c>
      <c r="H236" s="622" t="s">
        <v>1249</v>
      </c>
      <c r="I236" s="622" t="s">
        <v>1250</v>
      </c>
      <c r="J236" s="622">
        <v>104</v>
      </c>
    </row>
    <row r="237" spans="1:10" x14ac:dyDescent="0.2">
      <c r="A237" s="622" t="s">
        <v>1281</v>
      </c>
      <c r="B237" s="622" t="s">
        <v>2097</v>
      </c>
      <c r="C237" s="622" t="s">
        <v>2098</v>
      </c>
      <c r="D237" s="622" t="s">
        <v>1281</v>
      </c>
      <c r="E237" s="622" t="s">
        <v>1360</v>
      </c>
      <c r="F237" s="622" t="s">
        <v>1281</v>
      </c>
      <c r="G237" s="622" t="s">
        <v>1282</v>
      </c>
      <c r="H237" s="622" t="s">
        <v>1249</v>
      </c>
      <c r="I237" s="622" t="s">
        <v>1250</v>
      </c>
      <c r="J237" s="622">
        <v>104</v>
      </c>
    </row>
    <row r="238" spans="1:10" x14ac:dyDescent="0.2">
      <c r="A238" s="622" t="s">
        <v>2099</v>
      </c>
      <c r="B238" s="622" t="s">
        <v>2100</v>
      </c>
      <c r="C238" s="622" t="s">
        <v>2101</v>
      </c>
      <c r="D238" s="622" t="s">
        <v>1327</v>
      </c>
      <c r="E238" s="622" t="s">
        <v>1337</v>
      </c>
      <c r="F238" s="622" t="s">
        <v>1327</v>
      </c>
      <c r="G238" s="622" t="s">
        <v>1328</v>
      </c>
      <c r="H238" s="622" t="s">
        <v>1249</v>
      </c>
      <c r="I238" s="622" t="s">
        <v>1250</v>
      </c>
      <c r="J238" s="622">
        <v>104</v>
      </c>
    </row>
    <row r="239" spans="1:10" x14ac:dyDescent="0.2">
      <c r="A239" s="622" t="s">
        <v>2102</v>
      </c>
      <c r="B239" s="622" t="s">
        <v>2103</v>
      </c>
      <c r="C239" s="622" t="s">
        <v>2104</v>
      </c>
      <c r="D239" s="622" t="s">
        <v>1356</v>
      </c>
      <c r="E239" s="622" t="s">
        <v>1357</v>
      </c>
      <c r="F239" s="622" t="s">
        <v>1247</v>
      </c>
      <c r="G239" s="622" t="s">
        <v>1248</v>
      </c>
      <c r="H239" s="622" t="s">
        <v>1249</v>
      </c>
      <c r="I239" s="622" t="s">
        <v>1250</v>
      </c>
      <c r="J239" s="622">
        <v>104</v>
      </c>
    </row>
    <row r="240" spans="1:10" x14ac:dyDescent="0.2">
      <c r="A240" s="622" t="s">
        <v>2105</v>
      </c>
      <c r="B240" s="622" t="s">
        <v>2106</v>
      </c>
      <c r="C240" s="622" t="s">
        <v>2107</v>
      </c>
      <c r="D240" s="622" t="s">
        <v>1384</v>
      </c>
      <c r="E240" s="622" t="s">
        <v>1385</v>
      </c>
      <c r="F240" s="622" t="s">
        <v>1386</v>
      </c>
      <c r="G240" s="622" t="s">
        <v>1387</v>
      </c>
      <c r="H240" s="622" t="s">
        <v>1249</v>
      </c>
      <c r="I240" s="622" t="s">
        <v>1250</v>
      </c>
      <c r="J240" s="622">
        <v>104</v>
      </c>
    </row>
    <row r="241" spans="1:10" x14ac:dyDescent="0.2">
      <c r="A241" s="622" t="s">
        <v>2108</v>
      </c>
      <c r="B241" s="622" t="s">
        <v>2109</v>
      </c>
      <c r="C241" s="622" t="s">
        <v>2110</v>
      </c>
      <c r="D241" s="622" t="s">
        <v>1363</v>
      </c>
      <c r="E241" s="622" t="s">
        <v>1364</v>
      </c>
      <c r="F241" s="622" t="s">
        <v>1365</v>
      </c>
      <c r="G241" s="622" t="s">
        <v>1366</v>
      </c>
      <c r="H241" s="622" t="s">
        <v>1249</v>
      </c>
      <c r="I241" s="622" t="s">
        <v>1250</v>
      </c>
      <c r="J241" s="622">
        <v>104</v>
      </c>
    </row>
    <row r="242" spans="1:10" x14ac:dyDescent="0.2">
      <c r="A242" s="622" t="s">
        <v>2111</v>
      </c>
      <c r="B242" s="622" t="s">
        <v>2112</v>
      </c>
      <c r="C242" s="622" t="s">
        <v>2113</v>
      </c>
      <c r="D242" s="622" t="s">
        <v>1390</v>
      </c>
      <c r="E242" s="622" t="s">
        <v>1391</v>
      </c>
      <c r="F242" s="622" t="s">
        <v>1392</v>
      </c>
      <c r="G242" s="622" t="s">
        <v>1393</v>
      </c>
      <c r="H242" s="622" t="s">
        <v>1249</v>
      </c>
      <c r="I242" s="622" t="s">
        <v>1250</v>
      </c>
      <c r="J242" s="622">
        <v>104</v>
      </c>
    </row>
    <row r="243" spans="1:10" x14ac:dyDescent="0.2">
      <c r="A243" s="622" t="s">
        <v>1416</v>
      </c>
      <c r="B243" s="622" t="s">
        <v>2114</v>
      </c>
      <c r="C243" s="622" t="s">
        <v>2115</v>
      </c>
      <c r="D243" s="622" t="s">
        <v>1416</v>
      </c>
      <c r="E243" s="622" t="s">
        <v>1417</v>
      </c>
      <c r="F243" s="622" t="s">
        <v>1412</v>
      </c>
      <c r="G243" s="622" t="s">
        <v>1413</v>
      </c>
      <c r="H243" s="622" t="s">
        <v>1249</v>
      </c>
      <c r="I243" s="622" t="s">
        <v>1250</v>
      </c>
      <c r="J243" s="622">
        <v>104</v>
      </c>
    </row>
    <row r="244" spans="1:10" x14ac:dyDescent="0.2">
      <c r="A244" s="622" t="s">
        <v>2116</v>
      </c>
      <c r="B244" s="622" t="s">
        <v>2117</v>
      </c>
      <c r="C244" s="622" t="s">
        <v>2118</v>
      </c>
      <c r="D244" s="622" t="s">
        <v>1396</v>
      </c>
      <c r="E244" s="622" t="s">
        <v>1397</v>
      </c>
      <c r="F244" s="622" t="s">
        <v>1392</v>
      </c>
      <c r="G244" s="622" t="s">
        <v>1393</v>
      </c>
      <c r="H244" s="622" t="s">
        <v>1249</v>
      </c>
      <c r="I244" s="622" t="s">
        <v>1250</v>
      </c>
      <c r="J244" s="622">
        <v>104</v>
      </c>
    </row>
    <row r="245" spans="1:10" x14ac:dyDescent="0.2">
      <c r="A245" s="622" t="s">
        <v>1396</v>
      </c>
      <c r="B245" s="622" t="s">
        <v>2119</v>
      </c>
      <c r="C245" s="622" t="s">
        <v>2120</v>
      </c>
      <c r="D245" s="622" t="s">
        <v>1396</v>
      </c>
      <c r="E245" s="622" t="s">
        <v>1397</v>
      </c>
      <c r="F245" s="622" t="s">
        <v>1392</v>
      </c>
      <c r="G245" s="622" t="s">
        <v>1393</v>
      </c>
      <c r="H245" s="622" t="s">
        <v>1249</v>
      </c>
      <c r="I245" s="622" t="s">
        <v>1250</v>
      </c>
      <c r="J245" s="622">
        <v>104</v>
      </c>
    </row>
    <row r="246" spans="1:10" x14ac:dyDescent="0.2">
      <c r="A246" s="622" t="s">
        <v>2121</v>
      </c>
      <c r="B246" s="622" t="s">
        <v>2122</v>
      </c>
      <c r="C246" s="622" t="s">
        <v>2123</v>
      </c>
      <c r="D246" s="622" t="s">
        <v>1285</v>
      </c>
      <c r="E246" s="622" t="s">
        <v>1286</v>
      </c>
      <c r="F246" s="622" t="s">
        <v>1281</v>
      </c>
      <c r="G246" s="622" t="s">
        <v>1282</v>
      </c>
      <c r="H246" s="622" t="s">
        <v>1249</v>
      </c>
      <c r="I246" s="622" t="s">
        <v>1250</v>
      </c>
      <c r="J246" s="622">
        <v>104</v>
      </c>
    </row>
    <row r="247" spans="1:10" x14ac:dyDescent="0.2">
      <c r="A247" s="622" t="s">
        <v>1414</v>
      </c>
      <c r="B247" s="622" t="s">
        <v>2124</v>
      </c>
      <c r="C247" s="622" t="s">
        <v>2125</v>
      </c>
      <c r="D247" s="622" t="s">
        <v>1414</v>
      </c>
      <c r="E247" s="622" t="s">
        <v>1415</v>
      </c>
      <c r="F247" s="622" t="s">
        <v>1412</v>
      </c>
      <c r="G247" s="622" t="s">
        <v>1413</v>
      </c>
      <c r="H247" s="622" t="s">
        <v>1249</v>
      </c>
      <c r="I247" s="622" t="s">
        <v>1250</v>
      </c>
      <c r="J247" s="622">
        <v>104</v>
      </c>
    </row>
    <row r="248" spans="1:10" x14ac:dyDescent="0.2">
      <c r="A248" s="622" t="s">
        <v>2126</v>
      </c>
      <c r="B248" s="622" t="s">
        <v>2127</v>
      </c>
      <c r="C248" s="622" t="s">
        <v>2128</v>
      </c>
      <c r="D248" s="622" t="s">
        <v>1414</v>
      </c>
      <c r="E248" s="622" t="s">
        <v>1415</v>
      </c>
      <c r="F248" s="622" t="s">
        <v>1412</v>
      </c>
      <c r="G248" s="622" t="s">
        <v>1413</v>
      </c>
      <c r="H248" s="622" t="s">
        <v>1249</v>
      </c>
      <c r="I248" s="622" t="s">
        <v>1250</v>
      </c>
      <c r="J248" s="622">
        <v>104</v>
      </c>
    </row>
    <row r="249" spans="1:10" x14ac:dyDescent="0.2">
      <c r="A249" s="622" t="s">
        <v>2129</v>
      </c>
      <c r="B249" s="622" t="s">
        <v>2130</v>
      </c>
      <c r="C249" s="622" t="s">
        <v>2131</v>
      </c>
      <c r="D249" s="622" t="s">
        <v>1410</v>
      </c>
      <c r="E249" s="622" t="s">
        <v>1411</v>
      </c>
      <c r="F249" s="622" t="s">
        <v>1412</v>
      </c>
      <c r="G249" s="622" t="s">
        <v>1413</v>
      </c>
      <c r="H249" s="622" t="s">
        <v>1249</v>
      </c>
      <c r="I249" s="622" t="s">
        <v>1250</v>
      </c>
      <c r="J249" s="622">
        <v>104</v>
      </c>
    </row>
    <row r="250" spans="1:10" x14ac:dyDescent="0.2">
      <c r="A250" s="622" t="s">
        <v>2132</v>
      </c>
      <c r="B250" s="622" t="s">
        <v>2133</v>
      </c>
      <c r="C250" s="622" t="s">
        <v>2134</v>
      </c>
      <c r="D250" s="622" t="s">
        <v>1342</v>
      </c>
      <c r="E250" s="622" t="s">
        <v>1343</v>
      </c>
      <c r="F250" s="622" t="s">
        <v>1340</v>
      </c>
      <c r="G250" s="622" t="s">
        <v>1341</v>
      </c>
      <c r="H250" s="622" t="s">
        <v>1249</v>
      </c>
      <c r="I250" s="622" t="s">
        <v>1250</v>
      </c>
      <c r="J250" s="622">
        <v>104</v>
      </c>
    </row>
    <row r="251" spans="1:10" x14ac:dyDescent="0.2">
      <c r="A251" s="622" t="s">
        <v>2135</v>
      </c>
      <c r="B251" s="622" t="s">
        <v>2136</v>
      </c>
      <c r="C251" s="622" t="s">
        <v>2137</v>
      </c>
      <c r="D251" s="622" t="s">
        <v>1414</v>
      </c>
      <c r="E251" s="622" t="s">
        <v>1415</v>
      </c>
      <c r="F251" s="622" t="s">
        <v>1412</v>
      </c>
      <c r="G251" s="622" t="s">
        <v>1413</v>
      </c>
      <c r="H251" s="622" t="s">
        <v>1249</v>
      </c>
      <c r="I251" s="622" t="s">
        <v>1250</v>
      </c>
      <c r="J251" s="622">
        <v>104</v>
      </c>
    </row>
    <row r="252" spans="1:10" x14ac:dyDescent="0.2">
      <c r="A252" s="622" t="s">
        <v>2138</v>
      </c>
      <c r="B252" s="622" t="s">
        <v>2139</v>
      </c>
      <c r="C252" s="622" t="s">
        <v>2140</v>
      </c>
      <c r="D252" s="622" t="s">
        <v>1431</v>
      </c>
      <c r="E252" s="622" t="s">
        <v>1432</v>
      </c>
      <c r="F252" s="622" t="s">
        <v>1421</v>
      </c>
      <c r="G252" s="622" t="s">
        <v>1422</v>
      </c>
      <c r="H252" s="622" t="s">
        <v>1249</v>
      </c>
      <c r="I252" s="622" t="s">
        <v>1250</v>
      </c>
      <c r="J252" s="622">
        <v>104</v>
      </c>
    </row>
    <row r="253" spans="1:10" x14ac:dyDescent="0.2">
      <c r="A253" s="622" t="s">
        <v>1374</v>
      </c>
      <c r="B253" s="622" t="s">
        <v>2141</v>
      </c>
      <c r="C253" s="622" t="s">
        <v>2142</v>
      </c>
      <c r="D253" s="622" t="s">
        <v>1374</v>
      </c>
      <c r="E253" s="622" t="s">
        <v>1375</v>
      </c>
      <c r="F253" s="622" t="s">
        <v>1376</v>
      </c>
      <c r="G253" s="622" t="s">
        <v>1377</v>
      </c>
      <c r="H253" s="622" t="s">
        <v>1249</v>
      </c>
      <c r="I253" s="622" t="s">
        <v>1250</v>
      </c>
      <c r="J253" s="622">
        <v>104</v>
      </c>
    </row>
    <row r="254" spans="1:10" x14ac:dyDescent="0.2">
      <c r="A254" s="622" t="s">
        <v>2143</v>
      </c>
      <c r="B254" s="622" t="s">
        <v>2144</v>
      </c>
      <c r="C254" s="622" t="s">
        <v>2145</v>
      </c>
      <c r="D254" s="622" t="s">
        <v>1408</v>
      </c>
      <c r="E254" s="622" t="s">
        <v>1409</v>
      </c>
      <c r="F254" s="622" t="s">
        <v>1402</v>
      </c>
      <c r="G254" s="622" t="s">
        <v>1403</v>
      </c>
      <c r="H254" s="622" t="s">
        <v>1249</v>
      </c>
      <c r="I254" s="622" t="s">
        <v>1250</v>
      </c>
      <c r="J254" s="622">
        <v>104</v>
      </c>
    </row>
    <row r="255" spans="1:10" x14ac:dyDescent="0.2">
      <c r="A255" s="622" t="s">
        <v>2146</v>
      </c>
      <c r="B255" s="622" t="s">
        <v>2147</v>
      </c>
      <c r="C255" s="622" t="s">
        <v>2148</v>
      </c>
      <c r="D255" s="622" t="s">
        <v>1291</v>
      </c>
      <c r="E255" s="622" t="s">
        <v>1292</v>
      </c>
      <c r="F255" s="622" t="s">
        <v>1281</v>
      </c>
      <c r="G255" s="622" t="s">
        <v>1282</v>
      </c>
      <c r="H255" s="622" t="s">
        <v>1249</v>
      </c>
      <c r="I255" s="622" t="s">
        <v>1250</v>
      </c>
      <c r="J255" s="622">
        <v>104</v>
      </c>
    </row>
    <row r="256" spans="1:10" x14ac:dyDescent="0.2">
      <c r="A256" s="622" t="s">
        <v>1293</v>
      </c>
      <c r="B256" s="622" t="s">
        <v>2149</v>
      </c>
      <c r="C256" s="622" t="s">
        <v>2150</v>
      </c>
      <c r="D256" s="622" t="s">
        <v>1293</v>
      </c>
      <c r="E256" s="622" t="s">
        <v>1294</v>
      </c>
      <c r="F256" s="622" t="s">
        <v>1281</v>
      </c>
      <c r="G256" s="622" t="s">
        <v>1282</v>
      </c>
      <c r="H256" s="622" t="s">
        <v>1249</v>
      </c>
      <c r="I256" s="622" t="s">
        <v>1250</v>
      </c>
      <c r="J256" s="622">
        <v>104</v>
      </c>
    </row>
    <row r="257" spans="1:10" x14ac:dyDescent="0.2">
      <c r="A257" s="622" t="s">
        <v>1283</v>
      </c>
      <c r="B257" s="622" t="s">
        <v>2151</v>
      </c>
      <c r="C257" s="622" t="s">
        <v>2152</v>
      </c>
      <c r="D257" s="622" t="s">
        <v>1283</v>
      </c>
      <c r="E257" s="622" t="s">
        <v>1284</v>
      </c>
      <c r="F257" s="622" t="s">
        <v>1281</v>
      </c>
      <c r="G257" s="622" t="s">
        <v>1282</v>
      </c>
      <c r="H257" s="622" t="s">
        <v>1249</v>
      </c>
      <c r="I257" s="622" t="s">
        <v>1250</v>
      </c>
      <c r="J257" s="622">
        <v>104</v>
      </c>
    </row>
    <row r="258" spans="1:10" x14ac:dyDescent="0.2">
      <c r="A258" s="622" t="s">
        <v>1408</v>
      </c>
      <c r="B258" s="622" t="s">
        <v>2153</v>
      </c>
      <c r="C258" s="622" t="s">
        <v>2154</v>
      </c>
      <c r="D258" s="622" t="s">
        <v>1408</v>
      </c>
      <c r="E258" s="622" t="s">
        <v>1409</v>
      </c>
      <c r="F258" s="622" t="s">
        <v>1402</v>
      </c>
      <c r="G258" s="622" t="s">
        <v>1403</v>
      </c>
      <c r="H258" s="622" t="s">
        <v>1249</v>
      </c>
      <c r="I258" s="622" t="s">
        <v>1250</v>
      </c>
      <c r="J258" s="622">
        <v>104</v>
      </c>
    </row>
    <row r="259" spans="1:10" x14ac:dyDescent="0.2">
      <c r="A259" s="622" t="s">
        <v>2155</v>
      </c>
      <c r="B259" s="622" t="s">
        <v>2156</v>
      </c>
      <c r="C259" s="622" t="s">
        <v>2157</v>
      </c>
      <c r="D259" s="622" t="s">
        <v>1406</v>
      </c>
      <c r="E259" s="622" t="s">
        <v>1407</v>
      </c>
      <c r="F259" s="622" t="s">
        <v>1402</v>
      </c>
      <c r="G259" s="622" t="s">
        <v>1403</v>
      </c>
      <c r="H259" s="622" t="s">
        <v>1249</v>
      </c>
      <c r="I259" s="622" t="s">
        <v>1250</v>
      </c>
      <c r="J259" s="622">
        <v>104</v>
      </c>
    </row>
    <row r="260" spans="1:10" x14ac:dyDescent="0.2">
      <c r="A260" s="622" t="s">
        <v>2158</v>
      </c>
      <c r="B260" s="622" t="s">
        <v>2159</v>
      </c>
      <c r="C260" s="622" t="s">
        <v>2160</v>
      </c>
      <c r="D260" s="622" t="s">
        <v>1279</v>
      </c>
      <c r="E260" s="622" t="s">
        <v>1280</v>
      </c>
      <c r="F260" s="622" t="s">
        <v>1281</v>
      </c>
      <c r="G260" s="622" t="s">
        <v>1282</v>
      </c>
      <c r="H260" s="622" t="s">
        <v>1249</v>
      </c>
      <c r="I260" s="622" t="s">
        <v>1250</v>
      </c>
      <c r="J260" s="622">
        <v>104</v>
      </c>
    </row>
    <row r="261" spans="1:10" x14ac:dyDescent="0.2">
      <c r="A261" s="622" t="s">
        <v>1404</v>
      </c>
      <c r="B261" s="622" t="s">
        <v>2161</v>
      </c>
      <c r="C261" s="622" t="s">
        <v>2162</v>
      </c>
      <c r="D261" s="622" t="s">
        <v>1404</v>
      </c>
      <c r="E261" s="622" t="s">
        <v>1405</v>
      </c>
      <c r="F261" s="622" t="s">
        <v>1402</v>
      </c>
      <c r="G261" s="622" t="s">
        <v>1403</v>
      </c>
      <c r="H261" s="622" t="s">
        <v>1249</v>
      </c>
      <c r="I261" s="622" t="s">
        <v>1250</v>
      </c>
      <c r="J261" s="622">
        <v>104</v>
      </c>
    </row>
    <row r="262" spans="1:10" x14ac:dyDescent="0.2">
      <c r="A262" s="622" t="s">
        <v>1363</v>
      </c>
      <c r="B262" s="622" t="s">
        <v>2163</v>
      </c>
      <c r="C262" s="622" t="s">
        <v>2164</v>
      </c>
      <c r="D262" s="622" t="s">
        <v>1363</v>
      </c>
      <c r="E262" s="622" t="s">
        <v>1364</v>
      </c>
      <c r="F262" s="622" t="s">
        <v>1365</v>
      </c>
      <c r="G262" s="622" t="s">
        <v>1366</v>
      </c>
      <c r="H262" s="622" t="s">
        <v>1249</v>
      </c>
      <c r="I262" s="622" t="s">
        <v>1250</v>
      </c>
      <c r="J262" s="622">
        <v>104</v>
      </c>
    </row>
    <row r="263" spans="1:10" x14ac:dyDescent="0.2">
      <c r="A263" s="622" t="s">
        <v>2165</v>
      </c>
      <c r="B263" s="622" t="s">
        <v>2166</v>
      </c>
      <c r="C263" s="622" t="s">
        <v>2167</v>
      </c>
      <c r="D263" s="622" t="s">
        <v>1281</v>
      </c>
      <c r="E263" s="622" t="s">
        <v>1360</v>
      </c>
      <c r="F263" s="622" t="s">
        <v>1281</v>
      </c>
      <c r="G263" s="622" t="s">
        <v>1282</v>
      </c>
      <c r="H263" s="622" t="s">
        <v>1249</v>
      </c>
      <c r="I263" s="622" t="s">
        <v>1250</v>
      </c>
      <c r="J263" s="622">
        <v>104</v>
      </c>
    </row>
    <row r="264" spans="1:10" x14ac:dyDescent="0.2">
      <c r="A264" s="622" t="s">
        <v>2168</v>
      </c>
      <c r="B264" s="622" t="s">
        <v>2169</v>
      </c>
      <c r="C264" s="622" t="s">
        <v>2170</v>
      </c>
      <c r="D264" s="622" t="s">
        <v>1367</v>
      </c>
      <c r="E264" s="622" t="s">
        <v>1368</v>
      </c>
      <c r="F264" s="622" t="s">
        <v>1365</v>
      </c>
      <c r="G264" s="622" t="s">
        <v>1366</v>
      </c>
      <c r="H264" s="622" t="s">
        <v>1249</v>
      </c>
      <c r="I264" s="622" t="s">
        <v>1250</v>
      </c>
      <c r="J264" s="622">
        <v>104</v>
      </c>
    </row>
    <row r="265" spans="1:10" x14ac:dyDescent="0.2">
      <c r="A265" s="622" t="s">
        <v>2171</v>
      </c>
      <c r="B265" s="622" t="s">
        <v>2172</v>
      </c>
      <c r="C265" s="622" t="s">
        <v>2173</v>
      </c>
      <c r="D265" s="622" t="s">
        <v>1367</v>
      </c>
      <c r="E265" s="622" t="s">
        <v>1368</v>
      </c>
      <c r="F265" s="622" t="s">
        <v>1365</v>
      </c>
      <c r="G265" s="622" t="s">
        <v>1366</v>
      </c>
      <c r="H265" s="622" t="s">
        <v>1249</v>
      </c>
      <c r="I265" s="622" t="s">
        <v>1250</v>
      </c>
      <c r="J265" s="622">
        <v>104</v>
      </c>
    </row>
    <row r="266" spans="1:10" x14ac:dyDescent="0.2">
      <c r="A266" s="622" t="s">
        <v>2174</v>
      </c>
      <c r="B266" s="622" t="s">
        <v>2175</v>
      </c>
      <c r="C266" s="622" t="s">
        <v>2176</v>
      </c>
      <c r="D266" s="622" t="s">
        <v>1285</v>
      </c>
      <c r="E266" s="622" t="s">
        <v>1286</v>
      </c>
      <c r="F266" s="622" t="s">
        <v>1281</v>
      </c>
      <c r="G266" s="622" t="s">
        <v>1282</v>
      </c>
      <c r="H266" s="622" t="s">
        <v>1249</v>
      </c>
      <c r="I266" s="622" t="s">
        <v>1250</v>
      </c>
      <c r="J266" s="622">
        <v>104</v>
      </c>
    </row>
    <row r="267" spans="1:10" x14ac:dyDescent="0.2">
      <c r="A267" s="622" t="s">
        <v>2177</v>
      </c>
      <c r="B267" s="622" t="s">
        <v>2178</v>
      </c>
      <c r="C267" s="622" t="s">
        <v>2179</v>
      </c>
      <c r="D267" s="622" t="s">
        <v>1285</v>
      </c>
      <c r="E267" s="622" t="s">
        <v>1286</v>
      </c>
      <c r="F267" s="622" t="s">
        <v>1281</v>
      </c>
      <c r="G267" s="622" t="s">
        <v>1282</v>
      </c>
      <c r="H267" s="622" t="s">
        <v>1249</v>
      </c>
      <c r="I267" s="622" t="s">
        <v>1250</v>
      </c>
      <c r="J267" s="622">
        <v>104</v>
      </c>
    </row>
    <row r="268" spans="1:10" x14ac:dyDescent="0.2">
      <c r="A268" s="622" t="s">
        <v>2180</v>
      </c>
      <c r="B268" s="622" t="s">
        <v>2181</v>
      </c>
      <c r="C268" s="622" t="s">
        <v>2182</v>
      </c>
      <c r="D268" s="622" t="s">
        <v>1358</v>
      </c>
      <c r="E268" s="622" t="s">
        <v>1359</v>
      </c>
      <c r="F268" s="622" t="s">
        <v>1281</v>
      </c>
      <c r="G268" s="622" t="s">
        <v>1282</v>
      </c>
      <c r="H268" s="622" t="s">
        <v>1249</v>
      </c>
      <c r="I268" s="622" t="s">
        <v>1250</v>
      </c>
      <c r="J268" s="622">
        <v>104</v>
      </c>
    </row>
    <row r="269" spans="1:10" x14ac:dyDescent="0.2">
      <c r="A269" s="622" t="s">
        <v>1406</v>
      </c>
      <c r="B269" s="622" t="s">
        <v>2183</v>
      </c>
      <c r="C269" s="622" t="s">
        <v>2184</v>
      </c>
      <c r="D269" s="622" t="s">
        <v>1406</v>
      </c>
      <c r="E269" s="622" t="s">
        <v>1407</v>
      </c>
      <c r="F269" s="622" t="s">
        <v>1402</v>
      </c>
      <c r="G269" s="622" t="s">
        <v>1403</v>
      </c>
      <c r="H269" s="622" t="s">
        <v>1249</v>
      </c>
      <c r="I269" s="622" t="s">
        <v>1250</v>
      </c>
      <c r="J269" s="622">
        <v>104</v>
      </c>
    </row>
    <row r="270" spans="1:10" x14ac:dyDescent="0.2">
      <c r="A270" s="622" t="s">
        <v>1372</v>
      </c>
      <c r="B270" s="622" t="s">
        <v>2185</v>
      </c>
      <c r="C270" s="622" t="s">
        <v>2186</v>
      </c>
      <c r="D270" s="622" t="s">
        <v>1372</v>
      </c>
      <c r="E270" s="622" t="s">
        <v>1373</v>
      </c>
      <c r="F270" s="622" t="s">
        <v>1365</v>
      </c>
      <c r="G270" s="622" t="s">
        <v>1366</v>
      </c>
      <c r="H270" s="622" t="s">
        <v>1249</v>
      </c>
      <c r="I270" s="622" t="s">
        <v>1250</v>
      </c>
      <c r="J270" s="622">
        <v>104</v>
      </c>
    </row>
    <row r="271" spans="1:10" x14ac:dyDescent="0.2">
      <c r="A271" s="622" t="s">
        <v>2187</v>
      </c>
      <c r="B271" s="622" t="s">
        <v>2188</v>
      </c>
      <c r="C271" s="622" t="s">
        <v>2189</v>
      </c>
      <c r="D271" s="622" t="s">
        <v>1325</v>
      </c>
      <c r="E271" s="622" t="s">
        <v>1326</v>
      </c>
      <c r="F271" s="622" t="s">
        <v>1327</v>
      </c>
      <c r="G271" s="622" t="s">
        <v>1328</v>
      </c>
      <c r="H271" s="622" t="s">
        <v>1249</v>
      </c>
      <c r="I271" s="622" t="s">
        <v>1250</v>
      </c>
      <c r="J271" s="622">
        <v>104</v>
      </c>
    </row>
    <row r="272" spans="1:10" x14ac:dyDescent="0.2">
      <c r="A272" s="622" t="s">
        <v>2190</v>
      </c>
      <c r="B272" s="622" t="s">
        <v>2191</v>
      </c>
      <c r="C272" s="622" t="s">
        <v>2192</v>
      </c>
      <c r="D272" s="622" t="s">
        <v>1408</v>
      </c>
      <c r="E272" s="622" t="s">
        <v>1409</v>
      </c>
      <c r="F272" s="622" t="s">
        <v>1402</v>
      </c>
      <c r="G272" s="622" t="s">
        <v>1403</v>
      </c>
      <c r="H272" s="622" t="s">
        <v>1249</v>
      </c>
      <c r="I272" s="622" t="s">
        <v>1250</v>
      </c>
      <c r="J272" s="622">
        <v>104</v>
      </c>
    </row>
    <row r="273" spans="1:10" x14ac:dyDescent="0.2">
      <c r="A273" s="622" t="s">
        <v>1331</v>
      </c>
      <c r="B273" s="622" t="s">
        <v>2193</v>
      </c>
      <c r="C273" s="622" t="s">
        <v>2194</v>
      </c>
      <c r="D273" s="622" t="s">
        <v>1331</v>
      </c>
      <c r="E273" s="622" t="s">
        <v>1332</v>
      </c>
      <c r="F273" s="622" t="s">
        <v>1327</v>
      </c>
      <c r="G273" s="622" t="s">
        <v>1328</v>
      </c>
      <c r="H273" s="622" t="s">
        <v>1249</v>
      </c>
      <c r="I273" s="622" t="s">
        <v>1250</v>
      </c>
      <c r="J273" s="622">
        <v>104</v>
      </c>
    </row>
    <row r="274" spans="1:10" x14ac:dyDescent="0.2">
      <c r="A274" s="622" t="s">
        <v>2195</v>
      </c>
      <c r="B274" s="622" t="s">
        <v>2196</v>
      </c>
      <c r="C274" s="622" t="s">
        <v>2197</v>
      </c>
      <c r="D274" s="622" t="s">
        <v>1369</v>
      </c>
      <c r="E274" s="622" t="s">
        <v>1370</v>
      </c>
      <c r="F274" s="622" t="s">
        <v>1365</v>
      </c>
      <c r="G274" s="622" t="s">
        <v>1366</v>
      </c>
      <c r="H274" s="622" t="s">
        <v>1249</v>
      </c>
      <c r="I274" s="622" t="s">
        <v>1250</v>
      </c>
      <c r="J274" s="622">
        <v>104</v>
      </c>
    </row>
    <row r="275" spans="1:10" x14ac:dyDescent="0.2">
      <c r="A275" s="622" t="s">
        <v>1335</v>
      </c>
      <c r="B275" s="622" t="s">
        <v>2198</v>
      </c>
      <c r="C275" s="622" t="s">
        <v>2199</v>
      </c>
      <c r="D275" s="622" t="s">
        <v>1335</v>
      </c>
      <c r="E275" s="622" t="s">
        <v>1336</v>
      </c>
      <c r="F275" s="622" t="s">
        <v>1327</v>
      </c>
      <c r="G275" s="622" t="s">
        <v>1328</v>
      </c>
      <c r="H275" s="622" t="s">
        <v>1249</v>
      </c>
      <c r="I275" s="622" t="s">
        <v>1250</v>
      </c>
      <c r="J275" s="622">
        <v>104</v>
      </c>
    </row>
    <row r="276" spans="1:10" x14ac:dyDescent="0.2">
      <c r="A276" s="622" t="s">
        <v>1291</v>
      </c>
      <c r="B276" s="622" t="s">
        <v>2200</v>
      </c>
      <c r="C276" s="622" t="s">
        <v>2201</v>
      </c>
      <c r="D276" s="622" t="s">
        <v>1291</v>
      </c>
      <c r="E276" s="622" t="s">
        <v>1292</v>
      </c>
      <c r="F276" s="622" t="s">
        <v>1281</v>
      </c>
      <c r="G276" s="622" t="s">
        <v>1282</v>
      </c>
      <c r="H276" s="622" t="s">
        <v>1249</v>
      </c>
      <c r="I276" s="622" t="s">
        <v>1250</v>
      </c>
      <c r="J276" s="622">
        <v>104</v>
      </c>
    </row>
    <row r="277" spans="1:10" x14ac:dyDescent="0.2">
      <c r="A277" s="622" t="s">
        <v>2202</v>
      </c>
      <c r="B277" s="622" t="s">
        <v>2203</v>
      </c>
      <c r="C277" s="622" t="s">
        <v>2204</v>
      </c>
      <c r="D277" s="622" t="s">
        <v>1335</v>
      </c>
      <c r="E277" s="622" t="s">
        <v>1336</v>
      </c>
      <c r="F277" s="622" t="s">
        <v>1327</v>
      </c>
      <c r="G277" s="622" t="s">
        <v>1328</v>
      </c>
      <c r="H277" s="622" t="s">
        <v>1249</v>
      </c>
      <c r="I277" s="622" t="s">
        <v>1250</v>
      </c>
      <c r="J277" s="622">
        <v>104</v>
      </c>
    </row>
    <row r="278" spans="1:10" x14ac:dyDescent="0.2">
      <c r="A278" s="622" t="s">
        <v>2205</v>
      </c>
      <c r="B278" s="622" t="s">
        <v>2206</v>
      </c>
      <c r="C278" s="622" t="s">
        <v>2207</v>
      </c>
      <c r="D278" s="622" t="s">
        <v>1333</v>
      </c>
      <c r="E278" s="622" t="s">
        <v>1334</v>
      </c>
      <c r="F278" s="622" t="s">
        <v>1327</v>
      </c>
      <c r="G278" s="622" t="s">
        <v>1328</v>
      </c>
      <c r="H278" s="622" t="s">
        <v>1249</v>
      </c>
      <c r="I278" s="622" t="s">
        <v>1250</v>
      </c>
      <c r="J278" s="622">
        <v>104</v>
      </c>
    </row>
    <row r="279" spans="1:10" x14ac:dyDescent="0.2">
      <c r="A279" s="622" t="s">
        <v>2208</v>
      </c>
      <c r="B279" s="622" t="s">
        <v>2209</v>
      </c>
      <c r="C279" s="622" t="s">
        <v>2210</v>
      </c>
      <c r="D279" s="622" t="s">
        <v>1398</v>
      </c>
      <c r="E279" s="622" t="s">
        <v>1399</v>
      </c>
      <c r="F279" s="622" t="s">
        <v>1392</v>
      </c>
      <c r="G279" s="622" t="s">
        <v>1393</v>
      </c>
      <c r="H279" s="622" t="s">
        <v>1249</v>
      </c>
      <c r="I279" s="622" t="s">
        <v>1250</v>
      </c>
      <c r="J279" s="622">
        <v>104</v>
      </c>
    </row>
    <row r="280" spans="1:10" x14ac:dyDescent="0.2">
      <c r="A280" s="622" t="s">
        <v>2211</v>
      </c>
      <c r="B280" s="622" t="s">
        <v>2212</v>
      </c>
      <c r="C280" s="622" t="s">
        <v>2213</v>
      </c>
      <c r="D280" s="622" t="s">
        <v>1394</v>
      </c>
      <c r="E280" s="622" t="s">
        <v>1395</v>
      </c>
      <c r="F280" s="622" t="s">
        <v>1392</v>
      </c>
      <c r="G280" s="622" t="s">
        <v>1393</v>
      </c>
      <c r="H280" s="622" t="s">
        <v>1249</v>
      </c>
      <c r="I280" s="622" t="s">
        <v>1250</v>
      </c>
      <c r="J280" s="622">
        <v>104</v>
      </c>
    </row>
    <row r="281" spans="1:10" x14ac:dyDescent="0.2">
      <c r="A281" s="622" t="s">
        <v>2214</v>
      </c>
      <c r="B281" s="622" t="s">
        <v>2215</v>
      </c>
      <c r="C281" s="622" t="s">
        <v>2216</v>
      </c>
      <c r="D281" s="622" t="s">
        <v>1253</v>
      </c>
      <c r="E281" s="622" t="s">
        <v>1254</v>
      </c>
      <c r="F281" s="622" t="s">
        <v>1247</v>
      </c>
      <c r="G281" s="622" t="s">
        <v>1248</v>
      </c>
      <c r="H281" s="622" t="s">
        <v>1249</v>
      </c>
      <c r="I281" s="622" t="s">
        <v>1250</v>
      </c>
      <c r="J281" s="622">
        <v>104</v>
      </c>
    </row>
    <row r="282" spans="1:10" x14ac:dyDescent="0.2">
      <c r="A282" s="622" t="s">
        <v>2217</v>
      </c>
      <c r="B282" s="622" t="s">
        <v>2218</v>
      </c>
      <c r="C282" s="622" t="s">
        <v>2219</v>
      </c>
      <c r="D282" s="622" t="s">
        <v>1394</v>
      </c>
      <c r="E282" s="622" t="s">
        <v>1395</v>
      </c>
      <c r="F282" s="622" t="s">
        <v>1392</v>
      </c>
      <c r="G282" s="622" t="s">
        <v>1393</v>
      </c>
      <c r="H282" s="622" t="s">
        <v>1249</v>
      </c>
      <c r="I282" s="622" t="s">
        <v>1250</v>
      </c>
      <c r="J282" s="622">
        <v>104</v>
      </c>
    </row>
    <row r="283" spans="1:10" x14ac:dyDescent="0.2">
      <c r="A283" s="622" t="s">
        <v>2220</v>
      </c>
      <c r="B283" s="622" t="s">
        <v>2221</v>
      </c>
      <c r="C283" s="622" t="s">
        <v>2222</v>
      </c>
      <c r="D283" s="622" t="s">
        <v>1394</v>
      </c>
      <c r="E283" s="622" t="s">
        <v>1395</v>
      </c>
      <c r="F283" s="622" t="s">
        <v>1392</v>
      </c>
      <c r="G283" s="622" t="s">
        <v>1393</v>
      </c>
      <c r="H283" s="622" t="s">
        <v>1249</v>
      </c>
      <c r="I283" s="622" t="s">
        <v>1250</v>
      </c>
      <c r="J283" s="622">
        <v>104</v>
      </c>
    </row>
    <row r="284" spans="1:10" x14ac:dyDescent="0.2">
      <c r="A284" s="622" t="s">
        <v>1398</v>
      </c>
      <c r="B284" s="622" t="s">
        <v>2223</v>
      </c>
      <c r="C284" s="622" t="s">
        <v>2224</v>
      </c>
      <c r="D284" s="622" t="s">
        <v>1398</v>
      </c>
      <c r="E284" s="622" t="s">
        <v>1399</v>
      </c>
      <c r="F284" s="622" t="s">
        <v>1392</v>
      </c>
      <c r="G284" s="622" t="s">
        <v>1393</v>
      </c>
      <c r="H284" s="622" t="s">
        <v>1249</v>
      </c>
      <c r="I284" s="622" t="s">
        <v>1250</v>
      </c>
      <c r="J284" s="622">
        <v>104</v>
      </c>
    </row>
    <row r="285" spans="1:10" x14ac:dyDescent="0.2">
      <c r="A285" s="622" t="s">
        <v>2225</v>
      </c>
      <c r="B285" s="622" t="s">
        <v>2226</v>
      </c>
      <c r="C285" s="622" t="s">
        <v>2227</v>
      </c>
      <c r="D285" s="622" t="s">
        <v>1265</v>
      </c>
      <c r="E285" s="622" t="s">
        <v>1266</v>
      </c>
      <c r="F285" s="622" t="s">
        <v>1247</v>
      </c>
      <c r="G285" s="622" t="s">
        <v>1248</v>
      </c>
      <c r="H285" s="622" t="s">
        <v>1249</v>
      </c>
      <c r="I285" s="622" t="s">
        <v>1250</v>
      </c>
      <c r="J285" s="622">
        <v>104</v>
      </c>
    </row>
    <row r="286" spans="1:10" x14ac:dyDescent="0.2">
      <c r="A286" s="622" t="s">
        <v>2228</v>
      </c>
      <c r="B286" s="622" t="s">
        <v>2229</v>
      </c>
      <c r="C286" s="622" t="s">
        <v>2230</v>
      </c>
      <c r="D286" s="622" t="s">
        <v>1265</v>
      </c>
      <c r="E286" s="622" t="s">
        <v>1266</v>
      </c>
      <c r="F286" s="622" t="s">
        <v>1247</v>
      </c>
      <c r="G286" s="622" t="s">
        <v>1248</v>
      </c>
      <c r="H286" s="622" t="s">
        <v>1249</v>
      </c>
      <c r="I286" s="622" t="s">
        <v>1250</v>
      </c>
      <c r="J286" s="622">
        <v>104</v>
      </c>
    </row>
    <row r="287" spans="1:10" x14ac:dyDescent="0.2">
      <c r="A287" s="622" t="s">
        <v>2231</v>
      </c>
      <c r="B287" s="622" t="s">
        <v>2232</v>
      </c>
      <c r="C287" s="622" t="s">
        <v>2233</v>
      </c>
      <c r="D287" s="622" t="s">
        <v>1267</v>
      </c>
      <c r="E287" s="622" t="s">
        <v>1268</v>
      </c>
      <c r="F287" s="622" t="s">
        <v>1247</v>
      </c>
      <c r="G287" s="622" t="s">
        <v>1248</v>
      </c>
      <c r="H287" s="622" t="s">
        <v>1249</v>
      </c>
      <c r="I287" s="622" t="s">
        <v>1250</v>
      </c>
      <c r="J287" s="622">
        <v>104</v>
      </c>
    </row>
    <row r="288" spans="1:10" x14ac:dyDescent="0.2">
      <c r="A288" s="622" t="s">
        <v>2234</v>
      </c>
      <c r="B288" s="622" t="s">
        <v>2235</v>
      </c>
      <c r="C288" s="622" t="s">
        <v>2236</v>
      </c>
      <c r="D288" s="622" t="s">
        <v>1396</v>
      </c>
      <c r="E288" s="622" t="s">
        <v>1397</v>
      </c>
      <c r="F288" s="622" t="s">
        <v>1392</v>
      </c>
      <c r="G288" s="622" t="s">
        <v>1393</v>
      </c>
      <c r="H288" s="622" t="s">
        <v>1249</v>
      </c>
      <c r="I288" s="622" t="s">
        <v>1250</v>
      </c>
      <c r="J288" s="622">
        <v>104</v>
      </c>
    </row>
    <row r="289" spans="1:10" x14ac:dyDescent="0.2">
      <c r="A289" s="622" t="s">
        <v>2237</v>
      </c>
      <c r="B289" s="622" t="s">
        <v>2238</v>
      </c>
      <c r="C289" s="622" t="s">
        <v>2239</v>
      </c>
      <c r="D289" s="622" t="s">
        <v>1416</v>
      </c>
      <c r="E289" s="622" t="s">
        <v>1417</v>
      </c>
      <c r="F289" s="622" t="s">
        <v>1412</v>
      </c>
      <c r="G289" s="622" t="s">
        <v>1413</v>
      </c>
      <c r="H289" s="622" t="s">
        <v>1249</v>
      </c>
      <c r="I289" s="622" t="s">
        <v>1250</v>
      </c>
      <c r="J289" s="622">
        <v>104</v>
      </c>
    </row>
    <row r="290" spans="1:10" x14ac:dyDescent="0.2">
      <c r="A290" s="622" t="s">
        <v>2240</v>
      </c>
      <c r="B290" s="622" t="s">
        <v>2241</v>
      </c>
      <c r="C290" s="622" t="s">
        <v>2242</v>
      </c>
      <c r="D290" s="622" t="s">
        <v>1398</v>
      </c>
      <c r="E290" s="622" t="s">
        <v>1399</v>
      </c>
      <c r="F290" s="622" t="s">
        <v>1392</v>
      </c>
      <c r="G290" s="622" t="s">
        <v>1393</v>
      </c>
      <c r="H290" s="622" t="s">
        <v>1249</v>
      </c>
      <c r="I290" s="622" t="s">
        <v>1250</v>
      </c>
      <c r="J290" s="622">
        <v>104</v>
      </c>
    </row>
    <row r="291" spans="1:10" x14ac:dyDescent="0.2">
      <c r="A291" s="622" t="s">
        <v>2243</v>
      </c>
      <c r="B291" s="622" t="s">
        <v>2244</v>
      </c>
      <c r="C291" s="622" t="s">
        <v>2245</v>
      </c>
      <c r="D291" s="622" t="s">
        <v>1261</v>
      </c>
      <c r="E291" s="622" t="s">
        <v>1262</v>
      </c>
      <c r="F291" s="622" t="s">
        <v>1247</v>
      </c>
      <c r="G291" s="622" t="s">
        <v>1248</v>
      </c>
      <c r="H291" s="622" t="s">
        <v>1249</v>
      </c>
      <c r="I291" s="622" t="s">
        <v>1250</v>
      </c>
      <c r="J291" s="622">
        <v>104</v>
      </c>
    </row>
    <row r="292" spans="1:10" x14ac:dyDescent="0.2">
      <c r="A292" s="622" t="s">
        <v>2246</v>
      </c>
      <c r="B292" s="622" t="s">
        <v>2247</v>
      </c>
      <c r="C292" s="622" t="s">
        <v>2248</v>
      </c>
      <c r="D292" s="622" t="s">
        <v>1416</v>
      </c>
      <c r="E292" s="622" t="s">
        <v>1417</v>
      </c>
      <c r="F292" s="622" t="s">
        <v>1412</v>
      </c>
      <c r="G292" s="622" t="s">
        <v>1413</v>
      </c>
      <c r="H292" s="622" t="s">
        <v>1249</v>
      </c>
      <c r="I292" s="622" t="s">
        <v>1250</v>
      </c>
      <c r="J292" s="622">
        <v>104</v>
      </c>
    </row>
    <row r="293" spans="1:10" x14ac:dyDescent="0.2">
      <c r="A293" s="622" t="s">
        <v>2249</v>
      </c>
      <c r="B293" s="622" t="s">
        <v>2250</v>
      </c>
      <c r="C293" s="622" t="s">
        <v>2251</v>
      </c>
      <c r="D293" s="622" t="s">
        <v>1416</v>
      </c>
      <c r="E293" s="622" t="s">
        <v>1417</v>
      </c>
      <c r="F293" s="622" t="s">
        <v>1412</v>
      </c>
      <c r="G293" s="622" t="s">
        <v>1413</v>
      </c>
      <c r="H293" s="622" t="s">
        <v>1249</v>
      </c>
      <c r="I293" s="622" t="s">
        <v>1250</v>
      </c>
      <c r="J293" s="622">
        <v>104</v>
      </c>
    </row>
    <row r="294" spans="1:10" x14ac:dyDescent="0.2">
      <c r="A294" s="622" t="s">
        <v>1897</v>
      </c>
      <c r="B294" s="622" t="s">
        <v>1898</v>
      </c>
      <c r="C294" s="622" t="s">
        <v>2252</v>
      </c>
      <c r="D294" s="622" t="s">
        <v>1416</v>
      </c>
      <c r="E294" s="622" t="s">
        <v>1417</v>
      </c>
      <c r="F294" s="622" t="s">
        <v>1412</v>
      </c>
      <c r="G294" s="622" t="s">
        <v>1413</v>
      </c>
      <c r="H294" s="622" t="s">
        <v>1249</v>
      </c>
      <c r="I294" s="622" t="s">
        <v>1250</v>
      </c>
      <c r="J294" s="622">
        <v>104</v>
      </c>
    </row>
    <row r="295" spans="1:10" x14ac:dyDescent="0.2">
      <c r="A295" s="622" t="s">
        <v>2253</v>
      </c>
      <c r="B295" s="622" t="s">
        <v>2254</v>
      </c>
      <c r="C295" s="622" t="s">
        <v>2255</v>
      </c>
      <c r="D295" s="622" t="s">
        <v>1388</v>
      </c>
      <c r="E295" s="622" t="s">
        <v>1389</v>
      </c>
      <c r="F295" s="622" t="s">
        <v>1386</v>
      </c>
      <c r="G295" s="622" t="s">
        <v>1387</v>
      </c>
      <c r="H295" s="622" t="s">
        <v>1249</v>
      </c>
      <c r="I295" s="622" t="s">
        <v>1250</v>
      </c>
      <c r="J295" s="622">
        <v>104</v>
      </c>
    </row>
    <row r="296" spans="1:10" x14ac:dyDescent="0.2">
      <c r="A296" s="622" t="s">
        <v>2256</v>
      </c>
      <c r="B296" s="622" t="s">
        <v>2257</v>
      </c>
      <c r="C296" s="622" t="s">
        <v>2258</v>
      </c>
      <c r="D296" s="622" t="s">
        <v>1384</v>
      </c>
      <c r="E296" s="622" t="s">
        <v>1385</v>
      </c>
      <c r="F296" s="622" t="s">
        <v>1386</v>
      </c>
      <c r="G296" s="622" t="s">
        <v>1387</v>
      </c>
      <c r="H296" s="622" t="s">
        <v>1249</v>
      </c>
      <c r="I296" s="622" t="s">
        <v>1250</v>
      </c>
      <c r="J296" s="622">
        <v>104</v>
      </c>
    </row>
    <row r="297" spans="1:10" x14ac:dyDescent="0.2">
      <c r="A297" s="622" t="s">
        <v>2259</v>
      </c>
      <c r="B297" s="622" t="s">
        <v>2260</v>
      </c>
      <c r="C297" s="622" t="s">
        <v>2261</v>
      </c>
      <c r="D297" s="622" t="s">
        <v>1361</v>
      </c>
      <c r="E297" s="622" t="s">
        <v>1362</v>
      </c>
      <c r="F297" s="622" t="s">
        <v>1327</v>
      </c>
      <c r="G297" s="622" t="s">
        <v>1328</v>
      </c>
      <c r="H297" s="622" t="s">
        <v>1249</v>
      </c>
      <c r="I297" s="622" t="s">
        <v>1250</v>
      </c>
      <c r="J297" s="622">
        <v>104</v>
      </c>
    </row>
    <row r="298" spans="1:10" x14ac:dyDescent="0.2">
      <c r="A298" s="622" t="s">
        <v>2108</v>
      </c>
      <c r="B298" s="622" t="s">
        <v>2109</v>
      </c>
      <c r="C298" s="622" t="s">
        <v>2262</v>
      </c>
      <c r="D298" s="622" t="s">
        <v>1410</v>
      </c>
      <c r="E298" s="622" t="s">
        <v>1411</v>
      </c>
      <c r="F298" s="622" t="s">
        <v>1412</v>
      </c>
      <c r="G298" s="622" t="s">
        <v>1413</v>
      </c>
      <c r="H298" s="622" t="s">
        <v>1249</v>
      </c>
      <c r="I298" s="622" t="s">
        <v>1250</v>
      </c>
      <c r="J298" s="622">
        <v>104</v>
      </c>
    </row>
    <row r="299" spans="1:10" x14ac:dyDescent="0.2">
      <c r="A299" s="622" t="s">
        <v>2263</v>
      </c>
      <c r="B299" s="622" t="s">
        <v>2264</v>
      </c>
      <c r="C299" s="622" t="s">
        <v>2265</v>
      </c>
      <c r="D299" s="622" t="s">
        <v>1410</v>
      </c>
      <c r="E299" s="622" t="s">
        <v>1411</v>
      </c>
      <c r="F299" s="622" t="s">
        <v>1412</v>
      </c>
      <c r="G299" s="622" t="s">
        <v>1413</v>
      </c>
      <c r="H299" s="622" t="s">
        <v>1249</v>
      </c>
      <c r="I299" s="622" t="s">
        <v>1250</v>
      </c>
      <c r="J299" s="622">
        <v>104</v>
      </c>
    </row>
    <row r="300" spans="1:10" x14ac:dyDescent="0.2">
      <c r="A300" s="622" t="s">
        <v>1410</v>
      </c>
      <c r="B300" s="622" t="s">
        <v>2266</v>
      </c>
      <c r="C300" s="622" t="s">
        <v>2267</v>
      </c>
      <c r="D300" s="622" t="s">
        <v>1410</v>
      </c>
      <c r="E300" s="622" t="s">
        <v>1411</v>
      </c>
      <c r="F300" s="622" t="s">
        <v>1412</v>
      </c>
      <c r="G300" s="622" t="s">
        <v>1413</v>
      </c>
      <c r="H300" s="622" t="s">
        <v>1249</v>
      </c>
      <c r="I300" s="622" t="s">
        <v>1250</v>
      </c>
      <c r="J300" s="622">
        <v>104</v>
      </c>
    </row>
    <row r="301" spans="1:10" x14ac:dyDescent="0.2">
      <c r="A301" s="622" t="s">
        <v>2268</v>
      </c>
      <c r="B301" s="622" t="s">
        <v>2269</v>
      </c>
      <c r="C301" s="622" t="s">
        <v>2270</v>
      </c>
      <c r="D301" s="622" t="s">
        <v>1410</v>
      </c>
      <c r="E301" s="622" t="s">
        <v>1411</v>
      </c>
      <c r="F301" s="622" t="s">
        <v>1412</v>
      </c>
      <c r="G301" s="622" t="s">
        <v>1413</v>
      </c>
      <c r="H301" s="622" t="s">
        <v>1249</v>
      </c>
      <c r="I301" s="622" t="s">
        <v>1250</v>
      </c>
      <c r="J301" s="622">
        <v>104</v>
      </c>
    </row>
    <row r="302" spans="1:10" x14ac:dyDescent="0.2">
      <c r="A302" s="622" t="s">
        <v>2271</v>
      </c>
      <c r="B302" s="622" t="s">
        <v>2272</v>
      </c>
      <c r="C302" s="622" t="s">
        <v>2273</v>
      </c>
      <c r="D302" s="622" t="s">
        <v>1365</v>
      </c>
      <c r="E302" s="622" t="s">
        <v>1371</v>
      </c>
      <c r="F302" s="622" t="s">
        <v>1365</v>
      </c>
      <c r="G302" s="622" t="s">
        <v>1366</v>
      </c>
      <c r="H302" s="622" t="s">
        <v>1249</v>
      </c>
      <c r="I302" s="622" t="s">
        <v>1250</v>
      </c>
      <c r="J302" s="622">
        <v>104</v>
      </c>
    </row>
    <row r="303" spans="1:10" x14ac:dyDescent="0.2">
      <c r="A303" s="622" t="s">
        <v>2274</v>
      </c>
      <c r="B303" s="622" t="s">
        <v>2275</v>
      </c>
      <c r="C303" s="622" t="s">
        <v>2276</v>
      </c>
      <c r="D303" s="622" t="s">
        <v>1279</v>
      </c>
      <c r="E303" s="622" t="s">
        <v>1280</v>
      </c>
      <c r="F303" s="622" t="s">
        <v>1281</v>
      </c>
      <c r="G303" s="622" t="s">
        <v>1282</v>
      </c>
      <c r="H303" s="622" t="s">
        <v>1249</v>
      </c>
      <c r="I303" s="622" t="s">
        <v>1250</v>
      </c>
      <c r="J303" s="622">
        <v>104</v>
      </c>
    </row>
    <row r="304" spans="1:10" x14ac:dyDescent="0.2">
      <c r="A304" s="622" t="s">
        <v>1333</v>
      </c>
      <c r="B304" s="622" t="s">
        <v>2277</v>
      </c>
      <c r="C304" s="622" t="s">
        <v>2278</v>
      </c>
      <c r="D304" s="622" t="s">
        <v>1333</v>
      </c>
      <c r="E304" s="622" t="s">
        <v>1334</v>
      </c>
      <c r="F304" s="622" t="s">
        <v>1327</v>
      </c>
      <c r="G304" s="622" t="s">
        <v>1328</v>
      </c>
      <c r="H304" s="622" t="s">
        <v>1249</v>
      </c>
      <c r="I304" s="622" t="s">
        <v>1250</v>
      </c>
      <c r="J304" s="622">
        <v>104</v>
      </c>
    </row>
    <row r="305" spans="1:10" x14ac:dyDescent="0.2">
      <c r="A305" s="622" t="s">
        <v>2279</v>
      </c>
      <c r="B305" s="622" t="s">
        <v>2280</v>
      </c>
      <c r="C305" s="622" t="s">
        <v>2281</v>
      </c>
      <c r="D305" s="622" t="s">
        <v>1333</v>
      </c>
      <c r="E305" s="622" t="s">
        <v>1334</v>
      </c>
      <c r="F305" s="622" t="s">
        <v>1327</v>
      </c>
      <c r="G305" s="622" t="s">
        <v>1328</v>
      </c>
      <c r="H305" s="622" t="s">
        <v>1249</v>
      </c>
      <c r="I305" s="622" t="s">
        <v>1250</v>
      </c>
      <c r="J305" s="622">
        <v>104</v>
      </c>
    </row>
    <row r="306" spans="1:10" x14ac:dyDescent="0.2">
      <c r="A306" s="622" t="s">
        <v>2282</v>
      </c>
      <c r="B306" s="622" t="s">
        <v>2283</v>
      </c>
      <c r="C306" s="622" t="s">
        <v>2284</v>
      </c>
      <c r="D306" s="622" t="s">
        <v>1329</v>
      </c>
      <c r="E306" s="622" t="s">
        <v>1330</v>
      </c>
      <c r="F306" s="622" t="s">
        <v>1327</v>
      </c>
      <c r="G306" s="622" t="s">
        <v>1328</v>
      </c>
      <c r="H306" s="622" t="s">
        <v>1249</v>
      </c>
      <c r="I306" s="622" t="s">
        <v>1250</v>
      </c>
      <c r="J306" s="622">
        <v>104</v>
      </c>
    </row>
    <row r="307" spans="1:10" x14ac:dyDescent="0.2">
      <c r="A307" s="622" t="s">
        <v>1289</v>
      </c>
      <c r="B307" s="622" t="s">
        <v>2285</v>
      </c>
      <c r="C307" s="622" t="s">
        <v>2286</v>
      </c>
      <c r="D307" s="622" t="s">
        <v>1289</v>
      </c>
      <c r="E307" s="622" t="s">
        <v>1290</v>
      </c>
      <c r="F307" s="622" t="s">
        <v>1281</v>
      </c>
      <c r="G307" s="622" t="s">
        <v>1282</v>
      </c>
      <c r="H307" s="622" t="s">
        <v>1249</v>
      </c>
      <c r="I307" s="622" t="s">
        <v>1250</v>
      </c>
      <c r="J307" s="622">
        <v>104</v>
      </c>
    </row>
    <row r="308" spans="1:10" x14ac:dyDescent="0.2">
      <c r="A308" s="622" t="s">
        <v>2287</v>
      </c>
      <c r="B308" s="622" t="s">
        <v>2288</v>
      </c>
      <c r="C308" s="622" t="s">
        <v>2289</v>
      </c>
      <c r="D308" s="622" t="s">
        <v>1297</v>
      </c>
      <c r="E308" s="622" t="s">
        <v>1298</v>
      </c>
      <c r="F308" s="622" t="s">
        <v>1281</v>
      </c>
      <c r="G308" s="622" t="s">
        <v>1282</v>
      </c>
      <c r="H308" s="622" t="s">
        <v>1249</v>
      </c>
      <c r="I308" s="622" t="s">
        <v>1250</v>
      </c>
      <c r="J308" s="622">
        <v>104</v>
      </c>
    </row>
    <row r="309" spans="1:10" x14ac:dyDescent="0.2">
      <c r="A309" s="622" t="s">
        <v>2290</v>
      </c>
      <c r="B309" s="622" t="s">
        <v>2291</v>
      </c>
      <c r="C309" s="622" t="s">
        <v>2292</v>
      </c>
      <c r="D309" s="622" t="s">
        <v>1293</v>
      </c>
      <c r="E309" s="622" t="s">
        <v>1294</v>
      </c>
      <c r="F309" s="622" t="s">
        <v>1281</v>
      </c>
      <c r="G309" s="622" t="s">
        <v>1282</v>
      </c>
      <c r="H309" s="622" t="s">
        <v>1249</v>
      </c>
      <c r="I309" s="622" t="s">
        <v>1250</v>
      </c>
      <c r="J309" s="622">
        <v>104</v>
      </c>
    </row>
    <row r="310" spans="1:10" x14ac:dyDescent="0.2">
      <c r="A310" s="622" t="s">
        <v>2293</v>
      </c>
      <c r="B310" s="622" t="s">
        <v>2294</v>
      </c>
      <c r="C310" s="622" t="s">
        <v>2295</v>
      </c>
      <c r="D310" s="622" t="s">
        <v>1372</v>
      </c>
      <c r="E310" s="622" t="s">
        <v>1373</v>
      </c>
      <c r="F310" s="622" t="s">
        <v>1365</v>
      </c>
      <c r="G310" s="622" t="s">
        <v>1366</v>
      </c>
      <c r="H310" s="622" t="s">
        <v>1249</v>
      </c>
      <c r="I310" s="622" t="s">
        <v>1250</v>
      </c>
      <c r="J310" s="622">
        <v>104</v>
      </c>
    </row>
    <row r="311" spans="1:10" x14ac:dyDescent="0.2">
      <c r="A311" s="622" t="s">
        <v>2296</v>
      </c>
      <c r="B311" s="622" t="s">
        <v>2297</v>
      </c>
      <c r="C311" s="622" t="s">
        <v>2298</v>
      </c>
      <c r="D311" s="622" t="s">
        <v>1295</v>
      </c>
      <c r="E311" s="622" t="s">
        <v>1296</v>
      </c>
      <c r="F311" s="622" t="s">
        <v>1281</v>
      </c>
      <c r="G311" s="622" t="s">
        <v>1282</v>
      </c>
      <c r="H311" s="622" t="s">
        <v>1249</v>
      </c>
      <c r="I311" s="622" t="s">
        <v>1250</v>
      </c>
      <c r="J311" s="622">
        <v>104</v>
      </c>
    </row>
    <row r="312" spans="1:10" x14ac:dyDescent="0.2">
      <c r="A312" s="622" t="s">
        <v>2299</v>
      </c>
      <c r="B312" s="622" t="s">
        <v>2300</v>
      </c>
      <c r="C312" s="622" t="s">
        <v>2301</v>
      </c>
      <c r="D312" s="622" t="s">
        <v>1289</v>
      </c>
      <c r="E312" s="622" t="s">
        <v>1290</v>
      </c>
      <c r="F312" s="622" t="s">
        <v>1281</v>
      </c>
      <c r="G312" s="622" t="s">
        <v>1282</v>
      </c>
      <c r="H312" s="622" t="s">
        <v>1249</v>
      </c>
      <c r="I312" s="622" t="s">
        <v>1250</v>
      </c>
      <c r="J312" s="622">
        <v>104</v>
      </c>
    </row>
    <row r="313" spans="1:10" x14ac:dyDescent="0.2">
      <c r="A313" s="622" t="s">
        <v>2302</v>
      </c>
      <c r="B313" s="622" t="s">
        <v>2303</v>
      </c>
      <c r="C313" s="622" t="s">
        <v>2304</v>
      </c>
      <c r="D313" s="622" t="s">
        <v>1297</v>
      </c>
      <c r="E313" s="622" t="s">
        <v>1298</v>
      </c>
      <c r="F313" s="622" t="s">
        <v>1281</v>
      </c>
      <c r="G313" s="622" t="s">
        <v>1282</v>
      </c>
      <c r="H313" s="622" t="s">
        <v>1249</v>
      </c>
      <c r="I313" s="622" t="s">
        <v>1250</v>
      </c>
      <c r="J313" s="622">
        <v>104</v>
      </c>
    </row>
    <row r="314" spans="1:10" x14ac:dyDescent="0.2">
      <c r="A314" s="622" t="s">
        <v>2305</v>
      </c>
      <c r="B314" s="622" t="s">
        <v>2306</v>
      </c>
      <c r="C314" s="622" t="s">
        <v>2307</v>
      </c>
      <c r="D314" s="622" t="s">
        <v>1372</v>
      </c>
      <c r="E314" s="622" t="s">
        <v>1373</v>
      </c>
      <c r="F314" s="622" t="s">
        <v>1365</v>
      </c>
      <c r="G314" s="622" t="s">
        <v>1366</v>
      </c>
      <c r="H314" s="622" t="s">
        <v>1249</v>
      </c>
      <c r="I314" s="622" t="s">
        <v>1250</v>
      </c>
      <c r="J314" s="622">
        <v>104</v>
      </c>
    </row>
    <row r="315" spans="1:10" x14ac:dyDescent="0.2">
      <c r="A315" s="622" t="s">
        <v>1400</v>
      </c>
      <c r="B315" s="622" t="s">
        <v>2308</v>
      </c>
      <c r="C315" s="622" t="s">
        <v>2309</v>
      </c>
      <c r="D315" s="622" t="s">
        <v>1400</v>
      </c>
      <c r="E315" s="622" t="s">
        <v>1401</v>
      </c>
      <c r="F315" s="622" t="s">
        <v>1402</v>
      </c>
      <c r="G315" s="622" t="s">
        <v>1403</v>
      </c>
      <c r="H315" s="622" t="s">
        <v>1249</v>
      </c>
      <c r="I315" s="622" t="s">
        <v>1250</v>
      </c>
      <c r="J315" s="622">
        <v>104</v>
      </c>
    </row>
    <row r="316" spans="1:10" x14ac:dyDescent="0.2">
      <c r="A316" s="622" t="s">
        <v>2310</v>
      </c>
      <c r="B316" s="622" t="s">
        <v>2311</v>
      </c>
      <c r="C316" s="622" t="s">
        <v>2312</v>
      </c>
      <c r="D316" s="622" t="s">
        <v>1333</v>
      </c>
      <c r="E316" s="622" t="s">
        <v>1334</v>
      </c>
      <c r="F316" s="622" t="s">
        <v>1327</v>
      </c>
      <c r="G316" s="622" t="s">
        <v>1328</v>
      </c>
      <c r="H316" s="622" t="s">
        <v>1249</v>
      </c>
      <c r="I316" s="622" t="s">
        <v>1250</v>
      </c>
      <c r="J316" s="622">
        <v>104</v>
      </c>
    </row>
    <row r="317" spans="1:10" x14ac:dyDescent="0.2">
      <c r="A317" s="622" t="s">
        <v>2313</v>
      </c>
      <c r="B317" s="622" t="s">
        <v>2314</v>
      </c>
      <c r="C317" s="622" t="s">
        <v>2315</v>
      </c>
      <c r="D317" s="622" t="s">
        <v>1299</v>
      </c>
      <c r="E317" s="622" t="s">
        <v>1300</v>
      </c>
      <c r="F317" s="622" t="s">
        <v>1281</v>
      </c>
      <c r="G317" s="622" t="s">
        <v>1282</v>
      </c>
      <c r="H317" s="622" t="s">
        <v>1249</v>
      </c>
      <c r="I317" s="622" t="s">
        <v>1250</v>
      </c>
      <c r="J317" s="622">
        <v>104</v>
      </c>
    </row>
    <row r="318" spans="1:10" x14ac:dyDescent="0.2">
      <c r="A318" s="622" t="s">
        <v>2316</v>
      </c>
      <c r="B318" s="622" t="s">
        <v>2317</v>
      </c>
      <c r="C318" s="622" t="s">
        <v>2318</v>
      </c>
      <c r="D318" s="622" t="s">
        <v>1293</v>
      </c>
      <c r="E318" s="622" t="s">
        <v>1294</v>
      </c>
      <c r="F318" s="622" t="s">
        <v>1281</v>
      </c>
      <c r="G318" s="622" t="s">
        <v>1282</v>
      </c>
      <c r="H318" s="622" t="s">
        <v>1249</v>
      </c>
      <c r="I318" s="622" t="s">
        <v>1250</v>
      </c>
      <c r="J318" s="622">
        <v>104</v>
      </c>
    </row>
    <row r="319" spans="1:10" x14ac:dyDescent="0.2">
      <c r="A319" s="622" t="s">
        <v>1365</v>
      </c>
      <c r="B319" s="622" t="s">
        <v>2319</v>
      </c>
      <c r="C319" s="622" t="s">
        <v>2320</v>
      </c>
      <c r="D319" s="622" t="s">
        <v>1365</v>
      </c>
      <c r="E319" s="622" t="s">
        <v>1371</v>
      </c>
      <c r="F319" s="622" t="s">
        <v>1365</v>
      </c>
      <c r="G319" s="622" t="s">
        <v>1366</v>
      </c>
      <c r="H319" s="622" t="s">
        <v>1249</v>
      </c>
      <c r="I319" s="622" t="s">
        <v>1250</v>
      </c>
      <c r="J319" s="622">
        <v>104</v>
      </c>
    </row>
    <row r="320" spans="1:10" x14ac:dyDescent="0.2">
      <c r="A320" s="622" t="s">
        <v>2321</v>
      </c>
      <c r="B320" s="622" t="s">
        <v>2322</v>
      </c>
      <c r="C320" s="622" t="s">
        <v>2323</v>
      </c>
      <c r="D320" s="622" t="s">
        <v>1365</v>
      </c>
      <c r="E320" s="622" t="s">
        <v>1371</v>
      </c>
      <c r="F320" s="622" t="s">
        <v>1365</v>
      </c>
      <c r="G320" s="622" t="s">
        <v>1366</v>
      </c>
      <c r="H320" s="622" t="s">
        <v>1249</v>
      </c>
      <c r="I320" s="622" t="s">
        <v>1250</v>
      </c>
      <c r="J320" s="622">
        <v>104</v>
      </c>
    </row>
    <row r="321" spans="1:10" x14ac:dyDescent="0.2">
      <c r="A321" s="622" t="s">
        <v>2324</v>
      </c>
      <c r="B321" s="622" t="s">
        <v>2325</v>
      </c>
      <c r="C321" s="622" t="s">
        <v>2326</v>
      </c>
      <c r="D321" s="622" t="s">
        <v>1358</v>
      </c>
      <c r="E321" s="622" t="s">
        <v>1359</v>
      </c>
      <c r="F321" s="622" t="s">
        <v>1281</v>
      </c>
      <c r="G321" s="622" t="s">
        <v>1282</v>
      </c>
      <c r="H321" s="622" t="s">
        <v>1249</v>
      </c>
      <c r="I321" s="622" t="s">
        <v>1250</v>
      </c>
      <c r="J321" s="622">
        <v>104</v>
      </c>
    </row>
    <row r="322" spans="1:10" x14ac:dyDescent="0.2">
      <c r="A322" s="622" t="s">
        <v>2327</v>
      </c>
      <c r="B322" s="622" t="s">
        <v>2328</v>
      </c>
      <c r="C322" s="622" t="s">
        <v>2329</v>
      </c>
      <c r="D322" s="622" t="s">
        <v>1331</v>
      </c>
      <c r="E322" s="622" t="s">
        <v>1332</v>
      </c>
      <c r="F322" s="622" t="s">
        <v>1327</v>
      </c>
      <c r="G322" s="622" t="s">
        <v>1328</v>
      </c>
      <c r="H322" s="622" t="s">
        <v>1249</v>
      </c>
      <c r="I322" s="622" t="s">
        <v>1250</v>
      </c>
      <c r="J322" s="622">
        <v>104</v>
      </c>
    </row>
    <row r="323" spans="1:10" x14ac:dyDescent="0.2">
      <c r="A323" s="622" t="s">
        <v>2330</v>
      </c>
      <c r="B323" s="622" t="s">
        <v>2331</v>
      </c>
      <c r="C323" s="622" t="s">
        <v>2332</v>
      </c>
      <c r="D323" s="622" t="s">
        <v>1335</v>
      </c>
      <c r="E323" s="622" t="s">
        <v>1336</v>
      </c>
      <c r="F323" s="622" t="s">
        <v>1327</v>
      </c>
      <c r="G323" s="622" t="s">
        <v>1328</v>
      </c>
      <c r="H323" s="622" t="s">
        <v>1249</v>
      </c>
      <c r="I323" s="622" t="s">
        <v>1250</v>
      </c>
      <c r="J323" s="622">
        <v>104</v>
      </c>
    </row>
    <row r="324" spans="1:10" x14ac:dyDescent="0.2">
      <c r="A324" s="622" t="s">
        <v>1369</v>
      </c>
      <c r="B324" s="622" t="s">
        <v>2333</v>
      </c>
      <c r="C324" s="622" t="s">
        <v>2334</v>
      </c>
      <c r="D324" s="622" t="s">
        <v>1369</v>
      </c>
      <c r="E324" s="622" t="s">
        <v>1370</v>
      </c>
      <c r="F324" s="622" t="s">
        <v>1365</v>
      </c>
      <c r="G324" s="622" t="s">
        <v>1366</v>
      </c>
      <c r="H324" s="622" t="s">
        <v>1249</v>
      </c>
      <c r="I324" s="622" t="s">
        <v>1250</v>
      </c>
      <c r="J324" s="622">
        <v>104</v>
      </c>
    </row>
    <row r="325" spans="1:10" x14ac:dyDescent="0.2">
      <c r="A325" s="622" t="s">
        <v>1297</v>
      </c>
      <c r="B325" s="622" t="s">
        <v>2335</v>
      </c>
      <c r="C325" s="622" t="s">
        <v>2336</v>
      </c>
      <c r="D325" s="622" t="s">
        <v>1297</v>
      </c>
      <c r="E325" s="622" t="s">
        <v>1298</v>
      </c>
      <c r="F325" s="622" t="s">
        <v>1281</v>
      </c>
      <c r="G325" s="622" t="s">
        <v>1282</v>
      </c>
      <c r="H325" s="622" t="s">
        <v>1249</v>
      </c>
      <c r="I325" s="622" t="s">
        <v>1250</v>
      </c>
      <c r="J325" s="622">
        <v>104</v>
      </c>
    </row>
    <row r="326" spans="1:10" x14ac:dyDescent="0.2">
      <c r="A326" s="622" t="s">
        <v>2337</v>
      </c>
      <c r="B326" s="622" t="s">
        <v>2338</v>
      </c>
      <c r="C326" s="622" t="s">
        <v>2339</v>
      </c>
      <c r="D326" s="622" t="s">
        <v>1367</v>
      </c>
      <c r="E326" s="622" t="s">
        <v>1368</v>
      </c>
      <c r="F326" s="622" t="s">
        <v>1365</v>
      </c>
      <c r="G326" s="622" t="s">
        <v>1366</v>
      </c>
      <c r="H326" s="622" t="s">
        <v>1249</v>
      </c>
      <c r="I326" s="622" t="s">
        <v>1250</v>
      </c>
      <c r="J326" s="622">
        <v>104</v>
      </c>
    </row>
    <row r="327" spans="1:10" x14ac:dyDescent="0.2">
      <c r="A327" s="622" t="s">
        <v>2340</v>
      </c>
      <c r="B327" s="622" t="s">
        <v>2341</v>
      </c>
      <c r="C327" s="622" t="s">
        <v>2342</v>
      </c>
      <c r="D327" s="622" t="s">
        <v>1257</v>
      </c>
      <c r="E327" s="622" t="s">
        <v>1258</v>
      </c>
      <c r="F327" s="622" t="s">
        <v>1247</v>
      </c>
      <c r="G327" s="622" t="s">
        <v>1248</v>
      </c>
      <c r="H327" s="622" t="s">
        <v>1249</v>
      </c>
      <c r="I327" s="622" t="s">
        <v>1250</v>
      </c>
      <c r="J327" s="622">
        <v>104</v>
      </c>
    </row>
    <row r="328" spans="1:10" x14ac:dyDescent="0.2">
      <c r="A328" s="622" t="s">
        <v>2343</v>
      </c>
      <c r="B328" s="622" t="s">
        <v>2344</v>
      </c>
      <c r="C328" s="622" t="s">
        <v>2345</v>
      </c>
      <c r="D328" s="622" t="s">
        <v>1257</v>
      </c>
      <c r="E328" s="622" t="s">
        <v>1258</v>
      </c>
      <c r="F328" s="622" t="s">
        <v>1247</v>
      </c>
      <c r="G328" s="622" t="s">
        <v>1248</v>
      </c>
      <c r="H328" s="622" t="s">
        <v>1249</v>
      </c>
      <c r="I328" s="622" t="s">
        <v>1250</v>
      </c>
      <c r="J328" s="622">
        <v>104</v>
      </c>
    </row>
    <row r="329" spans="1:10" x14ac:dyDescent="0.2">
      <c r="A329" s="622" t="s">
        <v>2346</v>
      </c>
      <c r="B329" s="622" t="s">
        <v>2347</v>
      </c>
      <c r="C329" s="622" t="s">
        <v>2348</v>
      </c>
      <c r="D329" s="622" t="s">
        <v>1245</v>
      </c>
      <c r="E329" s="622" t="s">
        <v>1246</v>
      </c>
      <c r="F329" s="622" t="s">
        <v>1247</v>
      </c>
      <c r="G329" s="622" t="s">
        <v>1248</v>
      </c>
      <c r="H329" s="622" t="s">
        <v>1249</v>
      </c>
      <c r="I329" s="622" t="s">
        <v>1250</v>
      </c>
      <c r="J329" s="622">
        <v>104</v>
      </c>
    </row>
    <row r="330" spans="1:10" x14ac:dyDescent="0.2">
      <c r="A330" s="622" t="s">
        <v>2349</v>
      </c>
      <c r="B330" s="622" t="s">
        <v>2350</v>
      </c>
      <c r="C330" s="622" t="s">
        <v>2351</v>
      </c>
      <c r="D330" s="622" t="s">
        <v>1245</v>
      </c>
      <c r="E330" s="622" t="s">
        <v>1246</v>
      </c>
      <c r="F330" s="622" t="s">
        <v>1247</v>
      </c>
      <c r="G330" s="622" t="s">
        <v>1248</v>
      </c>
      <c r="H330" s="622" t="s">
        <v>1249</v>
      </c>
      <c r="I330" s="622" t="s">
        <v>1250</v>
      </c>
      <c r="J330" s="622">
        <v>104</v>
      </c>
    </row>
    <row r="331" spans="1:10" x14ac:dyDescent="0.2">
      <c r="A331" s="622" t="s">
        <v>1265</v>
      </c>
      <c r="B331" s="622" t="s">
        <v>2352</v>
      </c>
      <c r="C331" s="622" t="s">
        <v>2353</v>
      </c>
      <c r="D331" s="622" t="s">
        <v>1265</v>
      </c>
      <c r="E331" s="622" t="s">
        <v>1266</v>
      </c>
      <c r="F331" s="622" t="s">
        <v>1247</v>
      </c>
      <c r="G331" s="622" t="s">
        <v>1248</v>
      </c>
      <c r="H331" s="622" t="s">
        <v>1249</v>
      </c>
      <c r="I331" s="622" t="s">
        <v>1250</v>
      </c>
      <c r="J331" s="622">
        <v>104</v>
      </c>
    </row>
  </sheetData>
  <autoFilter ref="A1:J331"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3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2024-03-05T11:21:09Z</dcterms:modified>
</cp:coreProperties>
</file>