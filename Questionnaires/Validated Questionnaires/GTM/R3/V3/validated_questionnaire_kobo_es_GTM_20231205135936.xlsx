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GTM/R3/V3/"/>
    </mc:Choice>
  </mc:AlternateContent>
  <xr:revisionPtr revIDLastSave="0" documentId="13_ncr:1_{C2F17020-0128-4945-8A1A-0AD2ECC0C7BD}" xr6:coauthVersionLast="47" xr6:coauthVersionMax="47" xr10:uidLastSave="{00000000-0000-0000-0000-000000000000}"/>
  <bookViews>
    <workbookView xWindow="0" yWindow="0" windowWidth="33600" windowHeight="21000" tabRatio="500" activeTab="4"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2" i="5"/>
  <c r="E11" i="5"/>
  <c r="E9" i="5"/>
  <c r="E7" i="5"/>
  <c r="E6" i="5"/>
  <c r="E5" i="5"/>
  <c r="E4" i="5"/>
  <c r="E3" i="5"/>
  <c r="X342" i="1"/>
  <c r="X339" i="1"/>
  <c r="W339" i="1"/>
  <c r="X338" i="1"/>
  <c r="W338" i="1"/>
  <c r="X337" i="1"/>
  <c r="W337" i="1"/>
  <c r="X336" i="1"/>
  <c r="W336" i="1"/>
  <c r="X335" i="1"/>
  <c r="W335" i="1"/>
  <c r="X334" i="1"/>
  <c r="W334" i="1"/>
  <c r="X333" i="1"/>
  <c r="W333" i="1"/>
  <c r="X332" i="1"/>
  <c r="W332" i="1"/>
  <c r="X331" i="1"/>
  <c r="W331" i="1"/>
  <c r="X330" i="1"/>
  <c r="W330" i="1"/>
  <c r="X329" i="1"/>
  <c r="W329" i="1"/>
  <c r="X328" i="1"/>
  <c r="W328" i="1"/>
  <c r="X327" i="1"/>
  <c r="W327" i="1"/>
  <c r="X324" i="1"/>
  <c r="W324" i="1"/>
  <c r="X323" i="1"/>
  <c r="W323" i="1"/>
  <c r="X322" i="1"/>
  <c r="W322" i="1"/>
  <c r="X321" i="1"/>
  <c r="W321" i="1"/>
  <c r="X320" i="1"/>
  <c r="W320" i="1"/>
  <c r="X319" i="1"/>
  <c r="W319" i="1"/>
  <c r="X318" i="1"/>
  <c r="W318" i="1"/>
  <c r="X317" i="1"/>
  <c r="W317" i="1"/>
  <c r="X316" i="1"/>
  <c r="W316" i="1"/>
  <c r="X315" i="1"/>
  <c r="W315" i="1"/>
  <c r="X314" i="1"/>
  <c r="W314" i="1"/>
  <c r="X313" i="1"/>
  <c r="W313" i="1"/>
  <c r="X312" i="1"/>
  <c r="W312" i="1"/>
  <c r="X311" i="1"/>
  <c r="W311" i="1"/>
  <c r="X310" i="1"/>
  <c r="W310" i="1"/>
  <c r="X309" i="1"/>
  <c r="W309" i="1"/>
  <c r="X308" i="1"/>
  <c r="W308" i="1"/>
  <c r="X307" i="1"/>
  <c r="W307" i="1"/>
  <c r="X306" i="1"/>
  <c r="W306" i="1"/>
  <c r="X305" i="1"/>
  <c r="W305" i="1"/>
  <c r="X304" i="1"/>
  <c r="W304" i="1"/>
  <c r="X303" i="1"/>
  <c r="W303" i="1"/>
  <c r="X302" i="1"/>
  <c r="W302" i="1"/>
  <c r="X301" i="1"/>
  <c r="W301" i="1"/>
  <c r="X300" i="1"/>
  <c r="W300" i="1"/>
  <c r="X299" i="1"/>
  <c r="W299" i="1"/>
  <c r="X298" i="1"/>
  <c r="W298" i="1"/>
  <c r="X297" i="1"/>
  <c r="W297" i="1"/>
  <c r="X296" i="1"/>
  <c r="W296" i="1"/>
  <c r="X295" i="1"/>
  <c r="W295" i="1"/>
  <c r="X294" i="1"/>
  <c r="W294" i="1"/>
  <c r="X293" i="1"/>
  <c r="W293" i="1"/>
  <c r="X292" i="1"/>
  <c r="W292" i="1"/>
  <c r="X290" i="1"/>
  <c r="W290" i="1"/>
  <c r="X289" i="1"/>
  <c r="W289" i="1"/>
  <c r="X284" i="1"/>
  <c r="W284" i="1"/>
  <c r="X282" i="1"/>
  <c r="W282" i="1"/>
  <c r="X281" i="1"/>
  <c r="W281" i="1"/>
  <c r="X280" i="1"/>
  <c r="W280" i="1"/>
  <c r="X279" i="1"/>
  <c r="W279" i="1"/>
  <c r="X278" i="1"/>
  <c r="W278" i="1"/>
  <c r="X277" i="1"/>
  <c r="W277" i="1"/>
  <c r="X275" i="1"/>
  <c r="W275" i="1"/>
  <c r="X274" i="1"/>
  <c r="W274" i="1"/>
  <c r="X273" i="1"/>
  <c r="W273" i="1"/>
  <c r="X272" i="1"/>
  <c r="W272" i="1"/>
  <c r="X270" i="1"/>
  <c r="W270" i="1"/>
  <c r="X269" i="1"/>
  <c r="W269" i="1"/>
  <c r="X268" i="1"/>
  <c r="W268" i="1"/>
  <c r="X266" i="1"/>
  <c r="W266" i="1"/>
  <c r="X265" i="1"/>
  <c r="W265" i="1"/>
  <c r="X264" i="1"/>
  <c r="W264" i="1"/>
  <c r="X263" i="1"/>
  <c r="W263" i="1"/>
  <c r="X261" i="1"/>
  <c r="W261"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33" i="1"/>
  <c r="W233" i="1"/>
  <c r="X232" i="1"/>
  <c r="W232" i="1"/>
  <c r="X231" i="1"/>
  <c r="W231" i="1"/>
  <c r="X230" i="1"/>
  <c r="W230" i="1"/>
  <c r="X229" i="1"/>
  <c r="W229" i="1"/>
  <c r="X228" i="1"/>
  <c r="W228" i="1"/>
  <c r="X227" i="1"/>
  <c r="W227" i="1"/>
  <c r="X226" i="1"/>
  <c r="W226"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X210" i="1"/>
  <c r="W210" i="1"/>
  <c r="X209" i="1"/>
  <c r="W209" i="1"/>
  <c r="X208" i="1"/>
  <c r="W208" i="1"/>
  <c r="X207" i="1"/>
  <c r="W207" i="1"/>
  <c r="X206" i="1"/>
  <c r="W206" i="1"/>
  <c r="X205" i="1"/>
  <c r="W205" i="1"/>
  <c r="X204" i="1"/>
  <c r="W204" i="1"/>
  <c r="X203" i="1"/>
  <c r="W203" i="1"/>
  <c r="X202" i="1"/>
  <c r="W202" i="1"/>
  <c r="X201" i="1"/>
  <c r="W201" i="1"/>
  <c r="X200" i="1"/>
  <c r="W200" i="1"/>
  <c r="X199" i="1"/>
  <c r="W199" i="1"/>
  <c r="X198" i="1"/>
  <c r="W198" i="1"/>
  <c r="X197" i="1"/>
  <c r="W197" i="1"/>
  <c r="X196" i="1"/>
  <c r="W196" i="1"/>
  <c r="X195" i="1"/>
  <c r="W195" i="1"/>
  <c r="X194" i="1"/>
  <c r="W194" i="1"/>
  <c r="X193" i="1"/>
  <c r="W193" i="1"/>
  <c r="X192" i="1"/>
  <c r="W192" i="1"/>
  <c r="X191" i="1"/>
  <c r="W191" i="1"/>
  <c r="X190" i="1"/>
  <c r="W190" i="1"/>
  <c r="X189" i="1"/>
  <c r="W189" i="1"/>
  <c r="X188" i="1"/>
  <c r="W188" i="1"/>
  <c r="X187" i="1"/>
  <c r="W187" i="1"/>
  <c r="X186" i="1"/>
  <c r="W186" i="1"/>
  <c r="X185" i="1"/>
  <c r="W185" i="1"/>
  <c r="X184" i="1"/>
  <c r="W184" i="1"/>
  <c r="X183" i="1"/>
  <c r="W183" i="1"/>
  <c r="X182" i="1"/>
  <c r="W182" i="1"/>
  <c r="X181" i="1"/>
  <c r="W181" i="1"/>
  <c r="X179" i="1"/>
  <c r="W179" i="1"/>
  <c r="X178" i="1"/>
  <c r="W178" i="1"/>
  <c r="X177" i="1"/>
  <c r="W177" i="1"/>
  <c r="X176" i="1"/>
  <c r="W176" i="1"/>
  <c r="W172" i="1"/>
  <c r="W171" i="1"/>
  <c r="X170" i="1"/>
  <c r="W170" i="1"/>
  <c r="X169" i="1"/>
  <c r="W169" i="1"/>
  <c r="X168" i="1"/>
  <c r="W168" i="1"/>
  <c r="V168" i="1"/>
  <c r="X164" i="1"/>
  <c r="W164" i="1"/>
  <c r="X163" i="1"/>
  <c r="W163" i="1"/>
  <c r="X162" i="1"/>
  <c r="W162" i="1"/>
  <c r="X161" i="1"/>
  <c r="W161" i="1"/>
  <c r="X160" i="1"/>
  <c r="W160" i="1"/>
  <c r="X159" i="1"/>
  <c r="W159" i="1"/>
  <c r="X158" i="1"/>
  <c r="W158" i="1"/>
  <c r="X157" i="1"/>
  <c r="W157" i="1"/>
  <c r="X156" i="1"/>
  <c r="W156" i="1"/>
  <c r="X155" i="1"/>
  <c r="W155" i="1"/>
  <c r="X154" i="1"/>
  <c r="W154" i="1"/>
  <c r="X153" i="1"/>
  <c r="W153" i="1"/>
  <c r="X152" i="1"/>
  <c r="W152" i="1"/>
  <c r="X151" i="1"/>
  <c r="W151" i="1"/>
  <c r="X150" i="1"/>
  <c r="W150" i="1"/>
  <c r="X149" i="1"/>
  <c r="W149" i="1"/>
  <c r="X148" i="1"/>
  <c r="W148" i="1"/>
  <c r="X145" i="1"/>
  <c r="W145" i="1"/>
  <c r="X144" i="1"/>
  <c r="W144" i="1"/>
  <c r="X143" i="1"/>
  <c r="W143" i="1"/>
  <c r="X142" i="1"/>
  <c r="W142" i="1"/>
  <c r="X141" i="1"/>
  <c r="W141" i="1"/>
  <c r="X140" i="1"/>
  <c r="W140" i="1"/>
  <c r="X139" i="1"/>
  <c r="W139" i="1"/>
  <c r="X138" i="1"/>
  <c r="W138" i="1"/>
  <c r="X137" i="1"/>
  <c r="W137" i="1"/>
  <c r="X136" i="1"/>
  <c r="W136" i="1"/>
  <c r="X135" i="1"/>
  <c r="W135" i="1"/>
  <c r="V135" i="1"/>
  <c r="X134" i="1"/>
  <c r="W134" i="1"/>
  <c r="X133" i="1"/>
  <c r="W133" i="1"/>
  <c r="X132" i="1"/>
  <c r="W132" i="1"/>
  <c r="X131" i="1"/>
  <c r="W131" i="1"/>
  <c r="V129" i="1"/>
  <c r="W129" i="1" s="1"/>
  <c r="V127" i="1"/>
  <c r="W127" i="1" s="1"/>
  <c r="V126" i="1"/>
  <c r="W126" i="1" s="1"/>
  <c r="V125" i="1"/>
  <c r="W125" i="1" s="1"/>
  <c r="X124" i="1"/>
  <c r="W124" i="1"/>
  <c r="V124" i="1"/>
  <c r="X123" i="1"/>
  <c r="W123" i="1"/>
  <c r="V123" i="1"/>
  <c r="X122" i="1"/>
  <c r="V122" i="1"/>
  <c r="W122" i="1" s="1"/>
  <c r="X121" i="1"/>
  <c r="W121" i="1"/>
  <c r="V121" i="1"/>
  <c r="V120" i="1"/>
  <c r="X120" i="1" s="1"/>
  <c r="X113" i="1"/>
  <c r="W113" i="1"/>
  <c r="V113" i="1"/>
  <c r="V112" i="1"/>
  <c r="X112" i="1" s="1"/>
  <c r="X111" i="1"/>
  <c r="W111" i="1"/>
  <c r="V111" i="1"/>
  <c r="X108" i="1"/>
  <c r="W108" i="1"/>
  <c r="V108" i="1"/>
  <c r="X107" i="1"/>
  <c r="V107" i="1"/>
  <c r="W107" i="1" s="1"/>
  <c r="X106" i="1"/>
  <c r="W106" i="1"/>
  <c r="V106" i="1"/>
  <c r="X105" i="1"/>
  <c r="W105" i="1"/>
  <c r="V105" i="1"/>
  <c r="V104" i="1"/>
  <c r="X104" i="1" s="1"/>
  <c r="V103" i="1"/>
  <c r="W103" i="1" s="1"/>
  <c r="X102" i="1"/>
  <c r="W102" i="1"/>
  <c r="V102" i="1"/>
  <c r="X101" i="1"/>
  <c r="W101" i="1"/>
  <c r="V101" i="1"/>
  <c r="V100" i="1"/>
  <c r="X100" i="1" s="1"/>
  <c r="X99" i="1"/>
  <c r="W99" i="1"/>
  <c r="V99" i="1"/>
  <c r="V98" i="1"/>
  <c r="X98" i="1" s="1"/>
  <c r="X97" i="1"/>
  <c r="W97" i="1"/>
  <c r="V97" i="1"/>
  <c r="X94" i="1"/>
  <c r="W94" i="1"/>
  <c r="V94" i="1"/>
  <c r="X93" i="1"/>
  <c r="V93" i="1"/>
  <c r="W93" i="1" s="1"/>
  <c r="X92" i="1"/>
  <c r="V92" i="1"/>
  <c r="W92" i="1" s="1"/>
  <c r="X91" i="1"/>
  <c r="W91" i="1"/>
  <c r="V91" i="1"/>
  <c r="V90" i="1"/>
  <c r="X90" i="1" s="1"/>
  <c r="X89" i="1"/>
  <c r="V89" i="1"/>
  <c r="W89" i="1" s="1"/>
  <c r="X88" i="1"/>
  <c r="W88" i="1"/>
  <c r="V88" i="1"/>
  <c r="X87" i="1"/>
  <c r="W87" i="1"/>
  <c r="V87" i="1"/>
  <c r="V86" i="1"/>
  <c r="X86" i="1" s="1"/>
  <c r="X85" i="1"/>
  <c r="W85" i="1"/>
  <c r="V85" i="1"/>
  <c r="X84" i="1"/>
  <c r="W84" i="1"/>
  <c r="V84" i="1"/>
  <c r="X83" i="1"/>
  <c r="W83" i="1"/>
  <c r="V83" i="1"/>
  <c r="X79" i="1"/>
  <c r="V79" i="1"/>
  <c r="W79" i="1" s="1"/>
  <c r="X78" i="1"/>
  <c r="V78" i="1"/>
  <c r="W78" i="1" s="1"/>
  <c r="X77" i="1"/>
  <c r="W77" i="1"/>
  <c r="V77" i="1"/>
  <c r="X76" i="1"/>
  <c r="W76" i="1"/>
  <c r="V76" i="1"/>
  <c r="V75" i="1"/>
  <c r="X75" i="1" s="1"/>
  <c r="X74" i="1"/>
  <c r="V74" i="1"/>
  <c r="W74" i="1" s="1"/>
  <c r="X73" i="1"/>
  <c r="W73" i="1"/>
  <c r="V73" i="1"/>
  <c r="V72" i="1"/>
  <c r="X72" i="1" s="1"/>
  <c r="X71" i="1"/>
  <c r="W71" i="1"/>
  <c r="V71" i="1"/>
  <c r="X70" i="1"/>
  <c r="W70" i="1"/>
  <c r="V70" i="1"/>
  <c r="X69" i="1"/>
  <c r="W69" i="1"/>
  <c r="V69" i="1"/>
  <c r="X67" i="1"/>
  <c r="W67" i="1"/>
  <c r="V67" i="1"/>
  <c r="X66" i="1"/>
  <c r="V66" i="1"/>
  <c r="W66" i="1" s="1"/>
  <c r="X65" i="1"/>
  <c r="V65" i="1"/>
  <c r="W65" i="1" s="1"/>
  <c r="X64" i="1"/>
  <c r="W64" i="1"/>
  <c r="V64" i="1"/>
  <c r="X63" i="1"/>
  <c r="V63" i="1"/>
  <c r="W63" i="1" s="1"/>
  <c r="X62" i="1"/>
  <c r="V62" i="1"/>
  <c r="W62" i="1" s="1"/>
  <c r="X61" i="1"/>
  <c r="V61" i="1"/>
  <c r="W61" i="1" s="1"/>
  <c r="X60" i="1"/>
  <c r="W60" i="1"/>
  <c r="V60" i="1"/>
  <c r="X59" i="1"/>
  <c r="W59" i="1"/>
  <c r="V59" i="1"/>
  <c r="V58" i="1"/>
  <c r="X58" i="1" s="1"/>
  <c r="X57" i="1"/>
  <c r="V57" i="1"/>
  <c r="W57" i="1" s="1"/>
  <c r="X56" i="1"/>
  <c r="W56" i="1"/>
  <c r="V56" i="1"/>
  <c r="V55" i="1"/>
  <c r="X55" i="1" s="1"/>
  <c r="X54" i="1"/>
  <c r="W54" i="1"/>
  <c r="V54" i="1"/>
  <c r="X53" i="1"/>
  <c r="V53" i="1"/>
  <c r="W53" i="1" s="1"/>
  <c r="X51" i="1"/>
  <c r="W51" i="1"/>
  <c r="V51" i="1"/>
  <c r="X50" i="1"/>
  <c r="W50" i="1"/>
  <c r="X49" i="1"/>
  <c r="W49" i="1"/>
  <c r="X48" i="1"/>
  <c r="W48" i="1"/>
  <c r="V48" i="1"/>
  <c r="V47" i="1"/>
  <c r="W47" i="1" s="1"/>
  <c r="X46" i="1"/>
  <c r="W46" i="1"/>
  <c r="V46" i="1"/>
  <c r="X45" i="1"/>
  <c r="W45" i="1"/>
  <c r="V45" i="1"/>
  <c r="X44" i="1"/>
  <c r="W44" i="1"/>
  <c r="V44" i="1"/>
  <c r="V43" i="1"/>
  <c r="X43" i="1" s="1"/>
  <c r="X42" i="1"/>
  <c r="W42" i="1"/>
  <c r="V42" i="1"/>
  <c r="X41" i="1"/>
  <c r="W41" i="1"/>
  <c r="V41" i="1"/>
  <c r="X40" i="1"/>
  <c r="W40" i="1"/>
  <c r="V40" i="1"/>
  <c r="X39" i="1"/>
  <c r="V39" i="1"/>
  <c r="W39" i="1" s="1"/>
  <c r="X38" i="1"/>
  <c r="V38" i="1"/>
  <c r="W38" i="1" s="1"/>
  <c r="X37" i="1"/>
  <c r="V37" i="1"/>
  <c r="W37" i="1" s="1"/>
  <c r="X36" i="1"/>
  <c r="V36" i="1"/>
  <c r="W36" i="1" s="1"/>
  <c r="X35" i="1"/>
  <c r="V35" i="1"/>
  <c r="W35" i="1" s="1"/>
  <c r="X34" i="1"/>
  <c r="W34" i="1"/>
  <c r="V34" i="1"/>
  <c r="X33" i="1"/>
  <c r="V33" i="1"/>
  <c r="W33" i="1" s="1"/>
  <c r="X32" i="1"/>
  <c r="W32" i="1"/>
  <c r="V32" i="1"/>
  <c r="X31" i="1"/>
  <c r="V31" i="1"/>
  <c r="W31" i="1" s="1"/>
  <c r="X30" i="1"/>
  <c r="W30" i="1"/>
  <c r="V30" i="1"/>
  <c r="V29" i="1"/>
  <c r="X29" i="1" s="1"/>
  <c r="X28" i="1"/>
  <c r="W28" i="1"/>
  <c r="V28" i="1"/>
  <c r="V27" i="1"/>
  <c r="X27" i="1" s="1"/>
  <c r="V26" i="1"/>
  <c r="X26" i="1" s="1"/>
  <c r="X25" i="1"/>
  <c r="W25" i="1"/>
  <c r="X24" i="1"/>
  <c r="W24" i="1"/>
  <c r="X22" i="1"/>
  <c r="W22" i="1"/>
  <c r="X21" i="1"/>
  <c r="W21" i="1"/>
  <c r="Y20" i="1"/>
  <c r="X20" i="1"/>
  <c r="Y19" i="1"/>
  <c r="X19" i="1"/>
  <c r="V18" i="1"/>
  <c r="X18" i="1" s="1"/>
  <c r="X17" i="1"/>
  <c r="W17" i="1"/>
  <c r="Y15" i="1"/>
  <c r="X15" i="1"/>
  <c r="Y14" i="1"/>
  <c r="X14" i="1"/>
  <c r="Y13" i="1"/>
  <c r="X13" i="1"/>
  <c r="Y12" i="1"/>
  <c r="X12" i="1"/>
  <c r="X11" i="1"/>
  <c r="W11" i="1"/>
  <c r="X10" i="1"/>
  <c r="W10" i="1"/>
  <c r="X5" i="1"/>
  <c r="W5" i="1"/>
  <c r="X4" i="1"/>
  <c r="W4" i="1"/>
  <c r="X3" i="1"/>
  <c r="W3" i="1"/>
  <c r="X2" i="1"/>
  <c r="W2" i="1"/>
  <c r="W29" i="1" l="1"/>
  <c r="W58" i="1"/>
  <c r="W75" i="1"/>
  <c r="W120" i="1"/>
  <c r="W90" i="1"/>
  <c r="W98" i="1"/>
  <c r="W72" i="1"/>
  <c r="W104" i="1"/>
  <c r="W26" i="1"/>
  <c r="X103" i="1"/>
  <c r="X349" i="1" s="1"/>
  <c r="W18" i="1"/>
  <c r="W349" i="1" s="1"/>
  <c r="W55" i="1"/>
  <c r="W112" i="1"/>
  <c r="W86" i="1"/>
  <c r="W27" i="1"/>
  <c r="W43" i="1"/>
  <c r="W100" i="1"/>
</calcChain>
</file>

<file path=xl/sharedStrings.xml><?xml version="1.0" encoding="utf-8"?>
<sst xmlns="http://schemas.openxmlformats.org/spreadsheetml/2006/main" count="7066" uniqueCount="3060">
  <si>
    <t>type</t>
  </si>
  <si>
    <t>name</t>
  </si>
  <si>
    <t>label::English (en)</t>
  </si>
  <si>
    <t>label::Spanish (es)</t>
  </si>
  <si>
    <t>hint::English (en)</t>
  </si>
  <si>
    <t>hint::Spanish (es)</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</si>
  <si>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</si>
  <si>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</si>
  <si>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</si>
  <si>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</si>
  <si>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</si>
  <si>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</si>
  <si>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</si>
  <si>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</si>
  <si>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</si>
  <si>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</si>
  <si>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</si>
  <si>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</si>
  <si>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</si>
  <si>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</si>
  <si>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</si>
  <si>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</si>
  <si>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</si>
  <si>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</si>
  <si>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</si>
  <si>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</si>
  <si>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</si>
  <si>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</si>
  <si>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</si>
  <si>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</si>
  <si>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</si>
  <si>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</si>
  <si>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</si>
  <si>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</si>
  <si>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</si>
  <si>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</si>
  <si>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</si>
  <si>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</si>
  <si>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</si>
  <si>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</si>
  <si>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</si>
  <si>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</si>
  <si>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</si>
  <si>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text</t>
  </si>
  <si>
    <t>phone_number</t>
  </si>
  <si>
    <t>Input the phone number that you are contacting:</t>
  </si>
  <si>
    <t>Inserte el número de teléfono contactado</t>
  </si>
  <si>
    <t>use the format 502********</t>
  </si>
  <si>
    <t>utilisez le format 502********</t>
  </si>
  <si>
    <t>numbers</t>
  </si>
  <si>
    <t>regex(.,’^[0-9]{11}$’)</t>
  </si>
  <si>
    <t>Please enter the telephone number in the correct format.</t>
  </si>
  <si>
    <t>no</t>
  </si>
  <si>
    <t>hh_id</t>
  </si>
  <si>
    <t>Input the household ID, if applicable:</t>
  </si>
  <si>
    <t>Inserte el número de identificación del hogar (household ID), si aplica</t>
  </si>
  <si>
    <t>false</t>
  </si>
  <si>
    <t>select_one calldispo</t>
  </si>
  <si>
    <t>calldispo</t>
  </si>
  <si>
    <t>Call status:</t>
  </si>
  <si>
    <t>Estatus de la llamada</t>
  </si>
  <si>
    <t>begin_group</t>
  </si>
  <si>
    <t>callstat</t>
  </si>
  <si>
    <t>${calldispo} = '1'</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</si>
  <si>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</si>
  <si>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</si>
  <si>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</si>
  <si>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</si>
  <si>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</si>
  <si>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 xml:space="preserve"> </t>
  </si>
  <si>
    <t>select_one participate</t>
  </si>
  <si>
    <t>resp_agree</t>
  </si>
  <si>
    <t>Are you interested in participating in this survey?</t>
  </si>
  <si>
    <t>¿Está interesado en participar en esta encuesta?</t>
  </si>
  <si>
    <t>datetime</t>
  </si>
  <si>
    <t>WhenCallBack</t>
  </si>
  <si>
    <t>When would it be a good time to call you back?</t>
  </si>
  <si>
    <t>En qué momento lo puedo volver a llamar?</t>
  </si>
  <si>
    <t>[RECORD HH/MM/DD/MM OF CALLBACK]</t>
  </si>
  <si>
    <t>[NOTEZ HH/MM/JJ/MM DU RAPPEL]</t>
  </si>
  <si>
    <t>${resp_agree} = '3'</t>
  </si>
  <si>
    <t>CallbackMessageEN</t>
  </si>
  <si>
    <t>Thank you, we will call you back at the time and date requested. Thank you again and have a great day!</t>
  </si>
  <si>
    <t>Gracias, lo volveremos a llamar a la hora y fecha indicadas. Nuevamente gracias y que tenga un excelente dia!</t>
  </si>
  <si>
    <t>[OPERATOR: ENTER CALL NOTES BELOW, WHO YOU SPOKE TO AND WHAT THEY SAID]</t>
  </si>
  <si>
    <t>[OPERATEUR/OPERATRICE : SAISIR LES DONNÉES D'APPEL CI-DESSOUS, LE PERSONNE A QUI VOUS AVEZ PARLE ET CE QU'ELLE A DIT]</t>
  </si>
  <si>
    <t>Refusal</t>
  </si>
  <si>
    <t>Thank you for your time, you will be removed from today's survey.</t>
  </si>
  <si>
    <t xml:space="preserve">Gracias por su tiempo, será descartado para la encuesta de hoy. </t>
  </si>
  <si>
    <t>${resp_agree} = '2'</t>
  </si>
  <si>
    <t>end_group</t>
  </si>
  <si>
    <t>eligibility</t>
  </si>
  <si>
    <t>ELIGIBILITY CRITERIA</t>
  </si>
  <si>
    <t>Criterios de eligibilidad</t>
  </si>
  <si>
    <t>${resp_agree} = '1'</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</si>
  <si>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</si>
  <si>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</si>
  <si>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</si>
  <si>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</si>
  <si>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</si>
  <si>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</si>
  <si>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</si>
  <si>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</si>
  <si>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</si>
  <si>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</si>
  <si>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</si>
  <si>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</si>
  <si>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</si>
  <si>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</si>
  <si>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</si>
  <si>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</si>
  <si>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nan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</si>
  <si>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</si>
  <si>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</si>
  <si>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</si>
  <si>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</si>
  <si>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</si>
  <si>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</si>
  <si>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</si>
  <si>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</si>
  <si>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</si>
  <si>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Please enter the telephone number in the correct format, e.g. nan</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</si>
  <si>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</si>
  <si>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</si>
  <si>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</si>
  <si>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</si>
  <si>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</si>
  <si>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</si>
  <si>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</si>
  <si>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</si>
  <si>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</si>
  <si>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</si>
  <si>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</si>
  <si>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</si>
  <si>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</si>
  <si>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</si>
  <si>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</si>
  <si>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</si>
  <si>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</si>
  <si>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</si>
  <si>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</si>
  <si>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</si>
  <si>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</si>
  <si>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Actualmente, ¿en qué Departamento reside su hogar?</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</si>
  <si>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</si>
  <si>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</si>
  <si>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</si>
  <si>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</si>
  <si>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</si>
  <si>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</si>
  <si>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</si>
  <si>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</si>
  <si>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Actualmente, ¿en qué Municipio reside su hogar?</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</si>
  <si>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</si>
  <si>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</si>
  <si>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</si>
  <si>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</si>
  <si>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</si>
  <si>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</si>
  <si>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</si>
  <si>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</si>
  <si>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</si>
  <si>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select_one yes_no</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</si>
  <si>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</si>
  <si>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</si>
  <si>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</si>
  <si>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</si>
  <si>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</si>
  <si>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</si>
  <si>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</si>
  <si>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</si>
  <si>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</si>
  <si>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</si>
  <si>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</si>
  <si>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</si>
  <si>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</si>
  <si>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</si>
  <si>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</si>
  <si>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</si>
  <si>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</si>
  <si>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</si>
  <si>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</si>
  <si>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</si>
  <si>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</si>
  <si>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</si>
  <si>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</si>
  <si>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</si>
  <si>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</si>
  <si>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</si>
  <si>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</si>
  <si>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</si>
  <si>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</si>
  <si>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</si>
  <si>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</si>
  <si>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</si>
  <si>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</si>
  <si>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</si>
  <si>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</si>
  <si>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</si>
  <si>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</si>
  <si>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</si>
  <si>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</si>
  <si>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</si>
  <si>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</si>
  <si>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</si>
  <si>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</si>
  <si>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</si>
  <si>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</si>
  <si>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</si>
  <si>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</si>
  <si>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</si>
  <si>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</si>
  <si>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</si>
  <si>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</si>
  <si>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</si>
  <si>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</si>
  <si>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</si>
  <si>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</si>
  <si>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</si>
  <si>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o_hh_maritalstat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</si>
  <si>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</si>
  <si>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</si>
  <si>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</si>
  <si>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</si>
  <si>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</si>
  <si>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</si>
  <si>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select_one o_pueblos</t>
  </si>
  <si>
    <t>o_hh_pueblos</t>
  </si>
  <si>
    <t>Do you identify with one of the following ethnic group?</t>
  </si>
  <si>
    <t>Se identifica usted con alguno de los siguientes grupos étnicos?</t>
  </si>
  <si>
    <t>Income_Shocks_group</t>
  </si>
  <si>
    <t>INCOME SOURCES, LIVELIHOODS AND SHOCKS</t>
  </si>
  <si>
    <t>FUENTES DE INGRESO, MEDIOS DE VIDA Y CHOQUES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</si>
  <si>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</si>
  <si>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</si>
  <si>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</si>
  <si>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</si>
  <si>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</si>
  <si>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</si>
  <si>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</si>
  <si>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</si>
  <si>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</si>
  <si>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</si>
  <si>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</si>
  <si>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</si>
  <si>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</si>
  <si>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</si>
  <si>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</si>
  <si>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</si>
  <si>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</si>
  <si>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</si>
  <si>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</si>
  <si>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</si>
  <si>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</si>
  <si>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</si>
  <si>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</si>
  <si>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Quetzal) from your main income source, ${incomemain}, in the past 3 months ?</t>
  </si>
  <si>
    <t>¿Cuánto ganó (en Quetzal)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</si>
  <si>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</si>
  <si>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</si>
  <si>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1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</si>
  <si>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</si>
  <si>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</si>
  <si>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</si>
  <si>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</si>
  <si>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</si>
  <si>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80000, CLICK ON CONTINUE. OTHERWISE, GO BACK AND CHANGE THE AMOUNT ENTERED.]</t>
  </si>
  <si>
    <t>[ENCUESTADOR/A: SI LA CANTIDAD GANADA POR ESTA FUENTE DE INGRESOS EN LOS ÚLTIMOS 3 MESES ESTÁ POR ENCIMA DE 80000 ,HAGA CLICK EN CONTINUAR. DE LO CONTRARIO, REGRESE Y CAMBIE LA CANTIDAD INGRESADA.]</t>
  </si>
  <si>
    <t xml:space="preserve">${income_main_amount} &gt; 80000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</si>
  <si>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</si>
  <si>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</si>
  <si>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</si>
  <si>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</si>
  <si>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</si>
  <si>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</si>
  <si>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</si>
  <si>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</si>
  <si>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</si>
  <si>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</si>
  <si>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nan?</t>
  </si>
  <si>
    <t>En los últimos 3 meses, ¿han cambiado los ingresos del hogar provenientes de la ${incomemain} comparado con el mismo periodo en el año pasado?</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</si>
  <si>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</si>
  <si>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</si>
  <si>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</si>
  <si>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</si>
  <si>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</si>
  <si>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</si>
  <si>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</si>
  <si>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</si>
  <si>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</si>
  <si>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</si>
  <si>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</si>
  <si>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</si>
  <si>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</si>
  <si>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</si>
  <si>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</si>
  <si>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</si>
  <si>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</si>
  <si>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Quetzal) from your second main income source, ${incomesec}, in the past 3 months ?</t>
  </si>
  <si>
    <t>¿Cuánto ganó (en Quetzal) por la segunda fuente de ingresos, ${incomesec}, en los últimos 3 meses?</t>
  </si>
  <si>
    <t xml:space="preserve">${income_main} != '19' and ${income_main} != '20' and ${income_sec} != '19' and ${income_sec} != '20' and ${income_sec} != '21' </t>
  </si>
  <si>
    <t>income_sec_amount_conf</t>
  </si>
  <si>
    <t>${income_sec_amount} &gt; 80000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</si>
  <si>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</si>
  <si>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</si>
  <si>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</si>
  <si>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nan?</t>
  </si>
  <si>
    <t>En los últimos 3 meses, ¿han cambiado los ingresos del hogar provenientes de la ${incomesec} comparado con el mismo periodo en el año pasado?</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</si>
  <si>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</si>
  <si>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</si>
  <si>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</si>
  <si>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</si>
  <si>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</si>
  <si>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</si>
  <si>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</si>
  <si>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</si>
  <si>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</si>
  <si>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</si>
  <si>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</si>
  <si>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</si>
  <si>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</si>
  <si>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</si>
  <si>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</si>
  <si>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Quetzal) from your third main income source, ${incomethird}, in the past 3 months ?</t>
  </si>
  <si>
    <t>¿Cuánto ganó (en Quetzal)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</si>
  <si>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</si>
  <si>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</si>
  <si>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${income_third_amount} &gt; 80000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</si>
  <si>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</si>
  <si>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</si>
  <si>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</si>
  <si>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nan?</t>
  </si>
  <si>
    <t>En los últimos 3 meses, ¿han cambiado los ingresos del hogar provenientes de la ${incomethird} comparado con el mismo periodo en el año pasado?</t>
  </si>
  <si>
    <t>o_farm_laborer</t>
  </si>
  <si>
    <t>A member of the household receives income as a farm laborer throughout the year?</t>
  </si>
  <si>
    <t>Algún miembro del hogar recibe ingresos como jornalero agrícola durante el año?</t>
  </si>
  <si>
    <t>[INSTRUCTIONS: SINGLE RESPONSE.]</t>
  </si>
  <si>
    <t>[ENCUESTADOR/A: RESPUESTA ÚNICA.]</t>
  </si>
  <si>
    <t>select_one o_crop_laborer</t>
  </si>
  <si>
    <t>o_crop_laborer</t>
  </si>
  <si>
    <t>In which crop it carries out agricultural work?</t>
  </si>
  <si>
    <t>En qué cultivo realiza labores agropecuarias?</t>
  </si>
  <si>
    <t>if(selected(., 'dk') or selected(., 'ref'), count-selected(.) = 1, count-selected(.) &gt;= 1)</t>
  </si>
  <si>
    <t>${o_farm_laborer} = 1</t>
  </si>
  <si>
    <t>o_cost_wages</t>
  </si>
  <si>
    <t>What is the cost of the daily agricultural wage (in Quetzal) in the main agricultural work?</t>
  </si>
  <si>
    <t>¿Cuál es el monto por dia del jornal agrícola (en Quetzal) de la labor agropecuaria principal?</t>
  </si>
  <si>
    <t>[ENCUESTADOR/A: RESPUESTA ÚNICA. INDICAR EL MONTO DEL JORNAL, POR DIA, EN QUETZALES]</t>
  </si>
  <si>
    <t>o_time_wages</t>
  </si>
  <si>
    <t>How long (in months) do you work as an agricultural laborer during the year?</t>
  </si>
  <si>
    <t>¿Cuánto tiempo (en meses) realiza labores como jornalero agrícola durante el año?</t>
  </si>
  <si>
    <t>[ENCUESTADOR/A: RESPUESTA ÚNICA. INDICAR LA CANTIDAD DE MESES QUE LOS MIEMBROS DEL HOGAR TRABAJAN COMO JORNALEROS EN LA LABOR AGROPECUARIA PRINCIPAL.]</t>
  </si>
  <si>
    <t>o_days_wages</t>
  </si>
  <si>
    <t>How many days in the week do you work as an agricultural laborer in average during the casual work season?</t>
  </si>
  <si>
    <t>Cuantos dias a la semana realiza labores como jornalero agricola en promedio durante la temporada de jornal?</t>
  </si>
  <si>
    <t>select_one o_remittance_use</t>
  </si>
  <si>
    <t>o_remittance_use</t>
  </si>
  <si>
    <t>If you receive remittances at home, explain or define what you mainly use the money from remittances for?</t>
  </si>
  <si>
    <t>Si en su hogar reciben remesas, explique o defina en qué utiliza principalmente el dinero de las remesas?</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</si>
  <si>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</si>
  <si>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</si>
  <si>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</si>
  <si>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</si>
  <si>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</si>
  <si>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</si>
  <si>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</si>
  <si>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</si>
  <si>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</si>
  <si>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el hogar se vio afectado recientemente por un impacto importante objeto de esta evaluación [por ejemplo, un terremoto], con sus propias palabras, ¿Cuáles cree que son las consecuencias [esperadas] para su hogar?</t>
  </si>
  <si>
    <t>[INSTRUCTIONS: RECORD IN FEW WORDS THE MAIN CONSEQUENCE OF THE RECENT SHOCKS. ENTER 888 FOR DON'T KNOW AND 999 FOR REFUSED.]</t>
  </si>
  <si>
    <t>[ENCUESTADOR/A: REGISTRE EN POCAS PALABRAS LA PRINCIPAL CONSECUENCIA DE LOS CHOQUES RECIENTES. ESCRIBA 888 PARA "NO SABE" Y 999 PARA "NO RESPONDE".]</t>
  </si>
  <si>
    <t>${shock} != 'noshock' and ${shock} != 'dk' and ${shock} != 'ref'</t>
  </si>
  <si>
    <t>o_corn_price_market</t>
  </si>
  <si>
    <t>What is the current cost (in Quetzal) of the quintal of corn in the market?</t>
  </si>
  <si>
    <t>¿Cuál es el precio actual (en Quetzal) del quintal de maíz en el mercado?</t>
  </si>
  <si>
    <t>. &gt;= 0</t>
  </si>
  <si>
    <t>o_beans_price_market</t>
  </si>
  <si>
    <t>What is the current cost (in Quetzal) of the quintal of beans in the market?</t>
  </si>
  <si>
    <t>¿Cuál es el precio actual (en Quetzal) del quintal de frijol en el mercado?</t>
  </si>
  <si>
    <t>o_corn_reserve</t>
  </si>
  <si>
    <t>How many quintals of reserve corn do you currently have in your home?</t>
  </si>
  <si>
    <t>Cuántos quintales de maíz de reserva tiene actualmente en su hogar?</t>
  </si>
  <si>
    <t>o_corn_reserve_month</t>
  </si>
  <si>
    <t>How many months do you expect the corn reserve to last?</t>
  </si>
  <si>
    <t>Cuantos meses espera que dure la reserva de maiz?</t>
  </si>
  <si>
    <t>o_beans_reserve</t>
  </si>
  <si>
    <t>How many quintals of reserve beans do you currently have in your home?</t>
  </si>
  <si>
    <t>Cuántos quintales de frijol de reserva tiene actualmente en su hogar?</t>
  </si>
  <si>
    <t>o_beans_reserve_month</t>
  </si>
  <si>
    <t>How many months do you expect the bean reserve to last?</t>
  </si>
  <si>
    <t>Cuantos meses espera que dure la reserva de frijol?</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</si>
  <si>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</si>
  <si>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</si>
  <si>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</si>
  <si>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</si>
  <si>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</si>
  <si>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primera.</t>
  </si>
  <si>
    <t>Ahora me gustaría preguntarle sobre la producción de cultivos. Estas preguntas aplican para usted o cualquier miembro de su hogar que esté involucrado/a en la producción de cultivos. Todas las preguntas se refieren a lo producido durante primera.</t>
  </si>
  <si>
    <t>select_one o_production_use</t>
  </si>
  <si>
    <t>o_production_use</t>
  </si>
  <si>
    <t>Your crop production is intended for consumption, sale or both?</t>
  </si>
  <si>
    <t>¿Su producción de cultivos es destinada al consumo, venta o ambos?</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</si>
  <si>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</si>
  <si>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</si>
  <si>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</si>
  <si>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</si>
  <si>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</si>
  <si>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</si>
  <si>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</si>
  <si>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</si>
  <si>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</si>
  <si>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</si>
  <si>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</si>
  <si>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</si>
  <si>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select_one crop</t>
  </si>
  <si>
    <t>crp_main</t>
  </si>
  <si>
    <t>What is the main crop that your household grows for food or income generation in primera, if any?</t>
  </si>
  <si>
    <t>De haber alguno, ¿cuál es el principal cultivo que su hogar produce para la alimentación o la generación de ingresos en primera?</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</si>
  <si>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</si>
  <si>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</si>
  <si>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</si>
  <si>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</si>
  <si>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</si>
  <si>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</si>
  <si>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primera?</t>
  </si>
  <si>
    <t>¿Por qué no produjo ningún cultivo en primera</t>
  </si>
  <si>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</si>
  <si>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</si>
  <si>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</si>
  <si>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</si>
  <si>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</si>
  <si>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</si>
  <si>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</si>
  <si>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If other, 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</si>
  <si>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</si>
  <si>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</si>
  <si>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</si>
  <si>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</si>
  <si>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</si>
  <si>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</si>
  <si>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</si>
  <si>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</si>
  <si>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</si>
  <si>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</si>
  <si>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</si>
  <si>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</si>
  <si>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</si>
  <si>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</si>
  <si>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</si>
  <si>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</si>
  <si>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</si>
  <si>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</si>
  <si>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</si>
  <si>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primera compare to nan?</t>
  </si>
  <si>
    <t>¿Cómo se compara el ***área sembrada*** de ${crpmain} en primera con respecto a el año pasado?</t>
  </si>
  <si>
    <t>crp_harv_change</t>
  </si>
  <si>
    <t xml:space="preserve">How does the  ***harvest*** of ${crpmain} in the primera compare to nan? </t>
  </si>
  <si>
    <t>¿Cómo compara la ***cosecha***  para su ${crpmain} en primera comparado con el año pasado?</t>
  </si>
  <si>
    <t>crp_harv_vol</t>
  </si>
  <si>
    <t>How much (threshed) ${crpmain} did you harvest this primera?</t>
  </si>
  <si>
    <t>¿Cuánto ${crpmain} (trillado) cosechó en primera</t>
  </si>
  <si>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</si>
  <si>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</si>
  <si>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</si>
  <si>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</si>
  <si>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</si>
  <si>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</si>
  <si>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</si>
  <si>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</si>
  <si>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</si>
  <si>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</si>
  <si>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</si>
  <si>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</si>
  <si>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</si>
  <si>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</si>
  <si>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</si>
  <si>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</si>
  <si>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</si>
  <si>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¿Cuántos ${crp_harvunit} de ${crpmain} (grano) cosechó en primera el año pasado?</t>
  </si>
  <si>
    <t>${crp_harv_vol} != '888' and ${crp_harv_vol} != '999' and (${crp_main} != '777' and ${crp_main} != '888' and ${crp_main} != '999')</t>
  </si>
  <si>
    <t>crp_proddif</t>
  </si>
  <si>
    <t>Has your household faced any significant difficulty ***in terms of crop production*** in primera?</t>
  </si>
  <si>
    <t xml:space="preserve">¿Ha enfrentado su hogar algún tipo de dificultad con la ***producción de cultivos*** en primera? </t>
  </si>
  <si>
    <t>${crp_main} != '888' and ${crp_main} != '999' and ${crp_main_check} != 1</t>
  </si>
  <si>
    <t>select_multiple cropproddiff</t>
  </si>
  <si>
    <t>crp_proddif_</t>
  </si>
  <si>
    <t>Which difficulties has your household faced with crop production in primera?</t>
  </si>
  <si>
    <t>¿Cuáles dificultades ha enfrentado su hogar con la producción de cultivos en primera?</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</si>
  <si>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</si>
  <si>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</si>
  <si>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</si>
  <si>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o_segunda_cosecha</t>
  </si>
  <si>
    <t>o_segunda_cosecha_2023</t>
  </si>
  <si>
    <t>How does the expected harvest of your main crop in the second season of 2023 compare to the second season of 2022?</t>
  </si>
  <si>
    <t>¿Como considera que será la segunda cosecha del 2023 para su cultivo principal comparado con la segunda cosecha del 2022?</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</si>
  <si>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</si>
  <si>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</si>
  <si>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</si>
  <si>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</si>
  <si>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</si>
  <si>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</si>
  <si>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</si>
  <si>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</si>
  <si>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</si>
  <si>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</si>
  <si>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</si>
  <si>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</si>
  <si>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</si>
  <si>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o_fertilizer_price</t>
  </si>
  <si>
    <t>How the current price of chemical fertilizers compares to last year?</t>
  </si>
  <si>
    <t>Como se compara el precio actual de los fertilizantes químicos respecto al año pasado?</t>
  </si>
  <si>
    <t>o_affected_fertilizer_price</t>
  </si>
  <si>
    <t>Have you been affected by the high costs of fertilizers?</t>
  </si>
  <si>
    <t>Ha sido afectado por los altos costos de los fertilizantes?</t>
  </si>
  <si>
    <t>select_one o_alternative_fertilizerprice</t>
  </si>
  <si>
    <t>o_impact_fertilizerprice</t>
  </si>
  <si>
    <t>What would you expect to be the main impact of the high cost of fertilizers?</t>
  </si>
  <si>
    <t>Cuál esperaría que fuera el principal impacto por el alto costo de los fertilizantes?</t>
  </si>
  <si>
    <t>o_date_planting</t>
  </si>
  <si>
    <t>Do you consider that the average planting date has changed in the last 10 years?</t>
  </si>
  <si>
    <t>Considera que la fecha de siembra promedio ha cambiado en los últimos 10 años?</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</si>
  <si>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</si>
  <si>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</si>
  <si>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</si>
  <si>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</si>
  <si>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</si>
  <si>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</si>
  <si>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</si>
  <si>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select_one crop3</t>
  </si>
  <si>
    <t>crp_sales_main_2</t>
  </si>
  <si>
    <t>What was the main crop that you sold over the *last 3 months*?</t>
  </si>
  <si>
    <t>¿Cuál ha sido el principal producto que ha vendido en los *últimos 3 meses*?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</si>
  <si>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</si>
  <si>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</si>
  <si>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</si>
  <si>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</si>
  <si>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</si>
  <si>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</si>
  <si>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</si>
  <si>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</si>
  <si>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</si>
  <si>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</si>
  <si>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</si>
  <si>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</si>
  <si>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</si>
  <si>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 xml:space="preserve">${crp_salesdif} = '1' </t>
  </si>
  <si>
    <t>crp_salesprice</t>
  </si>
  <si>
    <t>How does the current price of your household's ${crp_sales_main} compare to the average price in the same period of nan?</t>
  </si>
  <si>
    <t>¿Cómo compararía el precio actual de la cosecha principal de su hogar ${crp_sales_main} con respecto al precio promedio en el año pasado?</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</si>
  <si>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</si>
  <si>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</si>
  <si>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</si>
  <si>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</si>
  <si>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</si>
  <si>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</si>
  <si>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</si>
  <si>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</si>
  <si>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</si>
  <si>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</si>
  <si>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</si>
  <si>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</si>
  <si>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</si>
  <si>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</si>
  <si>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</si>
  <si>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</si>
  <si>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</si>
  <si>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</si>
  <si>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</si>
  <si>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</si>
  <si>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</si>
  <si>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</si>
  <si>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</si>
  <si>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</si>
  <si>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</si>
  <si>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</si>
  <si>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</si>
  <si>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</si>
  <si>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</si>
  <si>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Cambio en ${lsmain}:</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</si>
  <si>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</si>
  <si>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</si>
  <si>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</si>
  <si>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</si>
  <si>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</si>
  <si>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</si>
  <si>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</si>
  <si>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</si>
  <si>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</si>
  <si>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</si>
  <si>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alimento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</si>
  <si>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</si>
  <si>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</si>
  <si>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</si>
  <si>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</si>
  <si>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</si>
  <si>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</si>
  <si>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</si>
  <si>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</si>
  <si>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</si>
  <si>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</si>
  <si>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</si>
  <si>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</si>
  <si>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</si>
  <si>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</si>
  <si>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</si>
  <si>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${ls_main} != '10' and ${ls_main} != '11'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</si>
  <si>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</si>
  <si>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</si>
  <si>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</si>
  <si>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</si>
  <si>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</si>
  <si>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</si>
  <si>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</si>
  <si>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</si>
  <si>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o producto de origen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</si>
  <si>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</si>
  <si>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</si>
  <si>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</si>
  <si>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</si>
  <si>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</si>
  <si>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</si>
  <si>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</si>
  <si>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</si>
  <si>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</si>
  <si>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</si>
  <si>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</si>
  <si>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nan?</t>
  </si>
  <si>
    <t>¿Cómo se compara el precio actual del ${lssalesmain} con el precio promedio para la misma época del año en el año pasado?</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</si>
  <si>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</si>
  <si>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</si>
  <si>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</si>
  <si>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</si>
  <si>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</si>
  <si>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</si>
  <si>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</si>
  <si>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</si>
  <si>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</si>
  <si>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</si>
  <si>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</si>
  <si>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</si>
  <si>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</si>
  <si>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</si>
  <si>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</si>
  <si>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</si>
  <si>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</si>
  <si>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</si>
  <si>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</si>
  <si>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</si>
  <si>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</si>
  <si>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</si>
  <si>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</si>
  <si>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</si>
  <si>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</si>
  <si>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</si>
  <si>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</si>
  <si>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</si>
  <si>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</si>
  <si>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</si>
  <si>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</si>
  <si>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</si>
  <si>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</si>
  <si>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</si>
  <si>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</si>
  <si>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</si>
  <si>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</si>
  <si>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</si>
  <si>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</si>
  <si>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</si>
  <si>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</si>
  <si>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</si>
  <si>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</si>
  <si>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</si>
  <si>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</si>
  <si>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</si>
  <si>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</si>
  <si>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</si>
  <si>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</si>
  <si>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</si>
  <si>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</si>
  <si>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</si>
  <si>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</si>
  <si>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</si>
  <si>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</si>
  <si>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</si>
  <si>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</si>
  <si>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</si>
  <si>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</si>
  <si>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</si>
  <si>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</si>
  <si>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nan? </t>
  </si>
  <si>
    <t>¿Cómo se compara el precio actual de ${fishsalesmain} vendido por su hogar, con respecto con el precio promedio para el mismo periodo/cosecha de el año pasado?</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</si>
  <si>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</si>
  <si>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</si>
  <si>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</si>
  <si>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</si>
  <si>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</si>
  <si>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</si>
  <si>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</si>
  <si>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</si>
  <si>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</si>
  <si>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</si>
  <si>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</si>
  <si>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</si>
  <si>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</si>
  <si>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</si>
  <si>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</si>
  <si>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</si>
  <si>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</si>
  <si>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</si>
  <si>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</si>
  <si>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</si>
  <si>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</si>
  <si>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</si>
  <si>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</si>
  <si>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</si>
  <si>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</si>
  <si>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</si>
  <si>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</si>
  <si>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</si>
  <si>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</si>
  <si>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</si>
  <si>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</si>
  <si>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</si>
  <si>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</si>
  <si>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</si>
  <si>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</si>
  <si>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</si>
  <si>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</si>
  <si>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</si>
  <si>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</si>
  <si>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</si>
  <si>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</si>
  <si>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</si>
  <si>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</si>
  <si>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</si>
  <si>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</si>
  <si>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</si>
  <si>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</si>
  <si>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</si>
  <si>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</si>
  <si>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</si>
  <si>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</si>
  <si>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cs_stress_borrowed_or_helped</t>
  </si>
  <si>
    <t>**Borrow food or relied on help from friends or relatives **</t>
  </si>
  <si>
    <t>**Pedir alimentos prestados o contar con la ayuda de un familiar o amigo**</t>
  </si>
  <si>
    <t>cs_stress_eat_elsewhere</t>
  </si>
  <si>
    <t>**Send household members to eat elsewhere**</t>
  </si>
  <si>
    <t>**Enviar miembros del hogar a comer a otro lugar**</t>
  </si>
  <si>
    <t>cs_stress_borrowed_money</t>
  </si>
  <si>
    <t>**Borrow money**</t>
  </si>
  <si>
    <t>**Pedir prestado dinero**</t>
  </si>
  <si>
    <t>cs_stress_credit</t>
  </si>
  <si>
    <t>**Purchase food on credit or borrowed food**</t>
  </si>
  <si>
    <t>**Comprar comida a crédito o adquirir comida prestada**</t>
  </si>
  <si>
    <t>cs_crisis_sold_prod_assets</t>
  </si>
  <si>
    <t>**Sell productive assets or means of transport** (sewing machine, wheelbarrow, bicycle, car, etc.)</t>
  </si>
  <si>
    <t>**Vender activos productivos o medios de transporte (máquina de coser, carreta, bicicleta, automóvil, etc)**</t>
  </si>
  <si>
    <t>cs_crisis_hh_assets</t>
  </si>
  <si>
    <t>**Sell household assets/goods** (radio, furniture, television, jewelry etc.)</t>
  </si>
  <si>
    <t>**Vender bienes / bienes domésticos** (radio, muebles, televisor, joyería, etc.)**</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</si>
  <si>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</si>
  <si>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</si>
  <si>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</si>
  <si>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</si>
  <si>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</si>
  <si>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</si>
  <si>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</si>
  <si>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</si>
  <si>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</si>
  <si>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</si>
  <si>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</si>
  <si>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</si>
  <si>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</si>
  <si>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</si>
  <si>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</si>
  <si>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</si>
  <si>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</si>
  <si>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</si>
  <si>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</si>
  <si>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</si>
  <si>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</si>
  <si>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</si>
  <si>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</si>
  <si>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</si>
  <si>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</si>
  <si>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</si>
  <si>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grp_gasto</t>
  </si>
  <si>
    <t>Gastos</t>
  </si>
  <si>
    <t>o_gastos_intro</t>
  </si>
  <si>
    <t>Now I would like to ask you about your household expenses</t>
  </si>
  <si>
    <t>Ahora me gustaría consultarle sobre los gastos en su hogar.</t>
  </si>
  <si>
    <t>o_gastos</t>
  </si>
  <si>
    <t>How much is the amount of monthly household expenses including food, transportation, housing, education, recreation, health, etc.</t>
  </si>
  <si>
    <t>Cuanto es el gasto total en su hogar mensualmente incluyedo, alimentos, transporte, vivienda, educación, recreación, salud, etc.</t>
  </si>
  <si>
    <t>o_alimentos</t>
  </si>
  <si>
    <t>Now could you tell me what the amount is only on food in a month, including food prepared at home or purchased.</t>
  </si>
  <si>
    <t>Ahora me podría indicar cual es el gasto solamente en alimentos en un mes, incluyendo alimentos preparados en casa o comprados.</t>
  </si>
  <si>
    <t>o_Gastos_confirmation</t>
  </si>
  <si>
    <t>[ENUMERATOR: remember that food expenditure cannot be greater than the total household expenditure.]</t>
  </si>
  <si>
    <t>[ENCUESTADOR/A: recuerde que el gasto en alimentos no puede ser mayor al gasto total del hogar.]</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</si>
  <si>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</si>
  <si>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</si>
  <si>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</si>
  <si>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</si>
  <si>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</si>
  <si>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</si>
  <si>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</si>
  <si>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</si>
  <si>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</si>
  <si>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</si>
  <si>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</si>
  <si>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</si>
  <si>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</si>
  <si>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</si>
  <si>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</si>
  <si>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</si>
  <si>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chipilin, loroco, hierba mora, quilete and/or other leaves/vegetables?</t>
  </si>
  <si>
    <t>¿Durante cuántos días en los *últimos 7 días* consumió usted o su hogar **vegetales y hojas** como chipilin, loroco, hierba mora, quilete y/o otras hojas/verduras?</t>
  </si>
  <si>
    <t>fcs_fruit_days</t>
  </si>
  <si>
    <t>How many days over *the last 7 days*, did members of your household eat **fruit** such as Anona, mango, banano, papaya and/or other fruits?</t>
  </si>
  <si>
    <t>¿Durante cuántos días en los *últimos 7 días* consumió usted o su hogar **frutas** como Anona, mango, banano, papaya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</si>
  <si>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</si>
  <si>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</si>
  <si>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</si>
  <si>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</si>
  <si>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</si>
  <si>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</si>
  <si>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</si>
  <si>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</si>
  <si>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</si>
  <si>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</si>
  <si>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</si>
  <si>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</si>
  <si>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</si>
  <si>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</si>
  <si>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</si>
  <si>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</si>
  <si>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</si>
  <si>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</si>
  <si>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</si>
  <si>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</si>
  <si>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</si>
  <si>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</si>
  <si>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</si>
  <si>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</si>
  <si>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</si>
  <si>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</si>
  <si>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</si>
  <si>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</si>
  <si>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</si>
  <si>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</si>
  <si>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</si>
  <si>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</si>
  <si>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</si>
  <si>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</si>
  <si>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</si>
  <si>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</si>
  <si>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</si>
  <si>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</si>
  <si>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</si>
  <si>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NECESIDADES DE ASISTENCIA</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</si>
  <si>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</si>
  <si>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</si>
  <si>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</si>
  <si>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</si>
  <si>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</si>
  <si>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</si>
  <si>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</si>
  <si>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</si>
  <si>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</si>
  <si>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</si>
  <si>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</si>
  <si>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</si>
  <si>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</si>
  <si>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</si>
  <si>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</si>
  <si>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</si>
  <si>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</si>
  <si>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</si>
  <si>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</si>
  <si>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</si>
  <si>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</si>
  <si>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</si>
  <si>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</si>
  <si>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</si>
  <si>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</si>
  <si>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</si>
  <si>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</si>
  <si>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</si>
  <si>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</si>
  <si>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</si>
  <si>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</si>
  <si>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</si>
  <si>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</si>
  <si>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</si>
  <si>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select_one month</t>
  </si>
  <si>
    <t>o_need_month</t>
  </si>
  <si>
    <t>In which month do you consider it critical to start receiving economic resources or food?</t>
  </si>
  <si>
    <t xml:space="preserve">En que mes considera que iniciara el periodo critico para conseguir recursos económicos o alimentos en su hogar? </t>
  </si>
  <si>
    <t>closing</t>
  </si>
  <si>
    <t>CLOSING</t>
  </si>
  <si>
    <t>CIERRE</t>
  </si>
  <si>
    <t>select_one yesno</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</si>
  <si>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</si>
  <si>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</si>
  <si>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</si>
  <si>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</si>
  <si>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</si>
  <si>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</si>
  <si>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</si>
  <si>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</si>
  <si>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</si>
  <si>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</si>
  <si>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</si>
  <si>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</si>
  <si>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</si>
  <si>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</si>
  <si>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</si>
  <si>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</si>
  <si>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</si>
  <si>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</si>
  <si>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</si>
  <si>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</si>
  <si>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</si>
  <si>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</si>
  <si>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</si>
  <si>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</si>
  <si>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</si>
  <si>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</si>
  <si>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</si>
  <si>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</si>
  <si>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</si>
  <si>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</si>
  <si>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</si>
  <si>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</si>
  <si>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</si>
  <si>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</si>
  <si>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</si>
  <si>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</si>
  <si>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</si>
  <si>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</si>
  <si>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</si>
  <si>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</si>
  <si>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</si>
  <si>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</si>
  <si>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</si>
  <si>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</si>
  <si>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Alejandra Morales</t>
  </si>
  <si>
    <t>María Simón</t>
  </si>
  <si>
    <t>Juana Tzum</t>
  </si>
  <si>
    <t>Nathalia Escalante</t>
  </si>
  <si>
    <t>Liseth Vásquez</t>
  </si>
  <si>
    <t>Isis Rojas</t>
  </si>
  <si>
    <t>Cindy Velasquez</t>
  </si>
  <si>
    <t>Wendy Rosales</t>
  </si>
  <si>
    <t>Claudia Morales</t>
  </si>
  <si>
    <t>Leticia Pérez</t>
  </si>
  <si>
    <t>Kenia Puluc</t>
  </si>
  <si>
    <t>Abigail Sique</t>
  </si>
  <si>
    <t>Olga Xoy</t>
  </si>
  <si>
    <t>Viviana Hernández</t>
  </si>
  <si>
    <t>Dayana Barrios</t>
  </si>
  <si>
    <t>Clara Mazariegos</t>
  </si>
  <si>
    <t>Paola Martínez</t>
  </si>
  <si>
    <t>Suli Cuyuch</t>
  </si>
  <si>
    <t>Matilde Orantes</t>
  </si>
  <si>
    <t>Alfredo Ventura</t>
  </si>
  <si>
    <t>Carlos Segura</t>
  </si>
  <si>
    <t>Vilma de la Cruz</t>
  </si>
  <si>
    <t>enumerator name 23</t>
  </si>
  <si>
    <t>nombre de encuestador 23</t>
  </si>
  <si>
    <t>enumerator name 24</t>
  </si>
  <si>
    <t>nombre de encuestador 24</t>
  </si>
  <si>
    <t>enumerator name 25</t>
  </si>
  <si>
    <t>nombre de encuestador 25</t>
  </si>
  <si>
    <t>enumerator name 26</t>
  </si>
  <si>
    <t>nombre de encuestador 26</t>
  </si>
  <si>
    <t>enumerator name 27</t>
  </si>
  <si>
    <t>nombre de encuestador 27</t>
  </si>
  <si>
    <t>enumerator name 28</t>
  </si>
  <si>
    <t>nombre de encuestador 28</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</si>
  <si>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</si>
  <si>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</si>
  <si>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</si>
  <si>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</si>
  <si>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</si>
  <si>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</si>
  <si>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</si>
  <si>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</si>
  <si>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</si>
  <si>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</si>
  <si>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</si>
  <si>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</si>
  <si>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</si>
  <si>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</si>
  <si>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</si>
  <si>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</si>
  <si>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</si>
  <si>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</si>
  <si>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</si>
  <si>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</si>
  <si>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</si>
  <si>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</si>
  <si>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</si>
  <si>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</si>
  <si>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</si>
  <si>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</si>
  <si>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</si>
  <si>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</si>
  <si>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</si>
  <si>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</si>
  <si>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</si>
  <si>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</si>
  <si>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</si>
  <si>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</si>
  <si>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</si>
  <si>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</si>
  <si>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</si>
  <si>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</si>
  <si>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</si>
  <si>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</si>
  <si>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</si>
  <si>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</si>
  <si>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</si>
  <si>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</si>
  <si>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</si>
  <si>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</si>
  <si>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</si>
  <si>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</si>
  <si>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</si>
  <si>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</si>
  <si>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</si>
  <si>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</si>
  <si>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</si>
  <si>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</si>
  <si>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</si>
  <si>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</si>
  <si>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</si>
  <si>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</si>
  <si>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</si>
  <si>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</si>
  <si>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</si>
  <si>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</si>
  <si>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</si>
  <si>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</si>
  <si>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</si>
  <si>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</si>
  <si>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</si>
  <si>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</si>
  <si>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</si>
  <si>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</si>
  <si>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</si>
  <si>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</si>
  <si>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</si>
  <si>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</si>
  <si>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</si>
  <si>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</si>
  <si>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</si>
  <si>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</si>
  <si>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</si>
  <si>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</si>
  <si>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</si>
  <si>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</si>
  <si>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</si>
  <si>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</si>
  <si>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</si>
  <si>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</si>
  <si>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</si>
  <si>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</si>
  <si>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</si>
  <si>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</si>
  <si>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</si>
  <si>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</si>
  <si>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</si>
  <si>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</si>
  <si>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</si>
  <si>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</si>
  <si>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</si>
  <si>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</si>
  <si>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</si>
  <si>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</si>
  <si>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</si>
  <si>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</si>
  <si>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</si>
  <si>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</si>
  <si>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</si>
  <si>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</si>
  <si>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</si>
  <si>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</si>
  <si>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</si>
  <si>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</si>
  <si>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</si>
  <si>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</si>
  <si>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</si>
  <si>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</si>
  <si>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</si>
  <si>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</si>
  <si>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</si>
  <si>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</si>
  <si>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</si>
  <si>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</si>
  <si>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</si>
  <si>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</si>
  <si>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</si>
  <si>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</si>
  <si>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</si>
  <si>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</si>
  <si>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</si>
  <si>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</si>
  <si>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</si>
  <si>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</si>
  <si>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</si>
  <si>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</si>
  <si>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</si>
  <si>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</si>
  <si>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</si>
  <si>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</si>
  <si>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</si>
  <si>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</si>
  <si>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</si>
  <si>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</si>
  <si>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</si>
  <si>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</si>
  <si>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</si>
  <si>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</si>
  <si>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</si>
  <si>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</si>
  <si>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</si>
  <si>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</si>
  <si>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</si>
  <si>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</si>
  <si>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</si>
  <si>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</si>
  <si>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</si>
  <si>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</si>
  <si>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</si>
  <si>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</si>
  <si>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</si>
  <si>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</si>
  <si>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</si>
  <si>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</si>
  <si>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</si>
  <si>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</si>
  <si>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</si>
  <si>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</si>
  <si>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</si>
  <si>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</si>
  <si>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Free union</t>
  </si>
  <si>
    <t>Union libre</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</si>
  <si>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</si>
  <si>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</si>
  <si>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</si>
  <si>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</si>
  <si>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</si>
  <si>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</si>
  <si>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</si>
  <si>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</si>
  <si>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</si>
  <si>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</si>
  <si>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</si>
  <si>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</si>
  <si>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</si>
  <si>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</si>
  <si>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</si>
  <si>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</si>
  <si>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</si>
  <si>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</si>
  <si>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</si>
  <si>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</si>
  <si>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</si>
  <si>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</si>
  <si>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</si>
  <si>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</si>
  <si>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</si>
  <si>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</si>
  <si>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</si>
  <si>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</si>
  <si>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</si>
  <si>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</si>
  <si>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</si>
  <si>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</si>
  <si>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</si>
  <si>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</si>
  <si>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</si>
  <si>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</si>
  <si>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</si>
  <si>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</si>
  <si>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</si>
  <si>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</si>
  <si>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</si>
  <si>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</si>
  <si>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</si>
  <si>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</si>
  <si>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</si>
  <si>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</si>
  <si>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</si>
  <si>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</si>
  <si>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</si>
  <si>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</si>
  <si>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</si>
  <si>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</si>
  <si>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</si>
  <si>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</si>
  <si>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</si>
  <si>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</si>
  <si>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</si>
  <si>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</si>
  <si>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</si>
  <si>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</si>
  <si>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</si>
  <si>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</si>
  <si>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</si>
  <si>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</si>
  <si>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</si>
  <si>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</si>
  <si>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</si>
  <si>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</si>
  <si>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</si>
  <si>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</si>
  <si>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</si>
  <si>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</si>
  <si>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</si>
  <si>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</si>
  <si>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</si>
  <si>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</si>
  <si>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</si>
  <si>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</si>
  <si>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</si>
  <si>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</si>
  <si>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</si>
  <si>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</si>
  <si>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</si>
  <si>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</si>
  <si>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</si>
  <si>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</si>
  <si>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</si>
  <si>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</si>
  <si>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</si>
  <si>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</si>
  <si>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</si>
  <si>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</si>
  <si>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</si>
  <si>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</si>
  <si>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</si>
  <si>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</si>
  <si>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</si>
  <si>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</si>
  <si>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</si>
  <si>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</si>
  <si>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</si>
  <si>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</si>
  <si>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</si>
  <si>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</si>
  <si>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</si>
  <si>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</si>
  <si>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</si>
  <si>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</si>
  <si>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</si>
  <si>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</si>
  <si>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</si>
  <si>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</si>
  <si>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</si>
  <si>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</si>
  <si>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</si>
  <si>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</si>
  <si>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</si>
  <si>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</si>
  <si>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</si>
  <si>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</si>
  <si>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</si>
  <si>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</si>
  <si>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</si>
  <si>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</si>
  <si>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</si>
  <si>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</si>
  <si>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</si>
  <si>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</si>
  <si>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</si>
  <si>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</si>
  <si>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</si>
  <si>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</si>
  <si>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</si>
  <si>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</si>
  <si>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</si>
  <si>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</si>
  <si>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</si>
  <si>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</si>
  <si>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</si>
  <si>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</si>
  <si>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</si>
  <si>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</si>
  <si>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</si>
  <si>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</si>
  <si>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</si>
  <si>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</si>
  <si>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</si>
  <si>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</si>
  <si>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</si>
  <si>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</si>
  <si>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</si>
  <si>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</si>
  <si>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</si>
  <si>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</si>
  <si>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</si>
  <si>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</si>
  <si>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</si>
  <si>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</si>
  <si>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</si>
  <si>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</si>
  <si>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</si>
  <si>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</si>
  <si>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</si>
  <si>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</si>
  <si>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</si>
  <si>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</si>
  <si>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</si>
  <si>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</si>
  <si>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</si>
  <si>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</si>
  <si>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</si>
  <si>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</si>
  <si>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</si>
  <si>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</si>
  <si>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</si>
  <si>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</si>
  <si>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</si>
  <si>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</si>
  <si>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</si>
  <si>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</si>
  <si>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</si>
  <si>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</si>
  <si>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</si>
  <si>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</si>
  <si>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</si>
  <si>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</si>
  <si>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</si>
  <si>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</si>
  <si>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</si>
  <si>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</si>
  <si>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</si>
  <si>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Manzanas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</si>
  <si>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</si>
  <si>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</si>
  <si>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</si>
  <si>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</si>
  <si>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</si>
  <si>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</si>
  <si>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</si>
  <si>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</si>
  <si>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</si>
  <si>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</si>
  <si>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</si>
  <si>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</si>
  <si>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</si>
  <si>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</si>
  <si>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</si>
  <si>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</si>
  <si>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</si>
  <si>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</si>
  <si>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</si>
  <si>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</si>
  <si>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</si>
  <si>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</si>
  <si>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</si>
  <si>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</si>
  <si>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</si>
  <si>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</si>
  <si>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</si>
  <si>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</si>
  <si>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</si>
  <si>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</si>
  <si>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</si>
  <si>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</si>
  <si>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</si>
  <si>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</si>
  <si>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</si>
  <si>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</si>
  <si>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</si>
  <si>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</si>
  <si>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</si>
  <si>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</si>
  <si>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</si>
  <si>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</si>
  <si>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</si>
  <si>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</si>
  <si>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</si>
  <si>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</si>
  <si>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</si>
  <si>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</si>
  <si>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</si>
  <si>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</si>
  <si>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</si>
  <si>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</si>
  <si>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</si>
  <si>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</si>
  <si>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</si>
  <si>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</si>
  <si>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</si>
  <si>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</si>
  <si>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</si>
  <si>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</si>
  <si>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</si>
  <si>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</si>
  <si>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</si>
  <si>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</si>
  <si>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</si>
  <si>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</si>
  <si>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</si>
  <si>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</si>
  <si>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</si>
  <si>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</si>
  <si>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</si>
  <si>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</si>
  <si>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</si>
  <si>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</si>
  <si>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</si>
  <si>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</si>
  <si>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</si>
  <si>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</si>
  <si>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</si>
  <si>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</si>
  <si>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</si>
  <si>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</si>
  <si>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</si>
  <si>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</si>
  <si>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</si>
  <si>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</si>
  <si>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</si>
  <si>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</si>
  <si>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</si>
  <si>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</si>
  <si>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</si>
  <si>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</si>
  <si>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</si>
  <si>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</si>
  <si>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</si>
  <si>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</si>
  <si>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</si>
  <si>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</si>
  <si>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</si>
  <si>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</si>
  <si>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</si>
  <si>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</si>
  <si>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</si>
  <si>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</si>
  <si>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</si>
  <si>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</si>
  <si>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</si>
  <si>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</si>
  <si>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</si>
  <si>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</si>
  <si>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</si>
  <si>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</si>
  <si>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</si>
  <si>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</si>
  <si>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</si>
  <si>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</si>
  <si>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</si>
  <si>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</si>
  <si>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</si>
  <si>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</si>
  <si>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</si>
  <si>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</si>
  <si>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</si>
  <si>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</si>
  <si>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</si>
  <si>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</si>
  <si>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</si>
  <si>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</si>
  <si>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</si>
  <si>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</si>
  <si>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</si>
  <si>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</si>
  <si>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</si>
  <si>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</si>
  <si>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</si>
  <si>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</si>
  <si>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</si>
  <si>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</si>
  <si>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</si>
  <si>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</si>
  <si>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</si>
  <si>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</si>
  <si>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</si>
  <si>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</si>
  <si>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</si>
  <si>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</si>
  <si>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</si>
  <si>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</si>
  <si>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</si>
  <si>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</si>
  <si>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</si>
  <si>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</si>
  <si>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</si>
  <si>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</si>
  <si>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</si>
  <si>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</si>
  <si>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</si>
  <si>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</si>
  <si>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</si>
  <si>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</si>
  <si>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</si>
  <si>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</si>
  <si>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</si>
  <si>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</si>
  <si>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</si>
  <si>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</si>
  <si>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</si>
  <si>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</si>
  <si>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</si>
  <si>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</si>
  <si>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</si>
  <si>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</si>
  <si>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</si>
  <si>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</si>
  <si>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</si>
  <si>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</si>
  <si>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</si>
  <si>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</si>
  <si>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</si>
  <si>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</si>
  <si>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</si>
  <si>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</si>
  <si>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</si>
  <si>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</si>
  <si>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</si>
  <si>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</si>
  <si>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</si>
  <si>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</si>
  <si>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</si>
  <si>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</si>
  <si>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</si>
  <si>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</si>
  <si>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</si>
  <si>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</si>
  <si>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</si>
  <si>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</si>
  <si>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</si>
  <si>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</si>
  <si>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</si>
  <si>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</si>
  <si>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</si>
  <si>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</si>
  <si>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</si>
  <si>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</si>
  <si>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</si>
  <si>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</si>
  <si>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</si>
  <si>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</si>
  <si>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</si>
  <si>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</si>
  <si>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</si>
  <si>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</si>
  <si>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</si>
  <si>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</si>
  <si>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</si>
  <si>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</si>
  <si>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</si>
  <si>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</si>
  <si>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</si>
  <si>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</si>
  <si>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</si>
  <si>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</si>
  <si>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</si>
  <si>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</si>
  <si>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</si>
  <si>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</si>
  <si>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</si>
  <si>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</si>
  <si>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</si>
  <si>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</si>
  <si>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</si>
  <si>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</si>
  <si>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</si>
  <si>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</si>
  <si>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</si>
  <si>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</si>
  <si>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</si>
  <si>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</si>
  <si>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</si>
  <si>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</si>
  <si>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</si>
  <si>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</si>
  <si>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</si>
  <si>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</si>
  <si>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</si>
  <si>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</si>
  <si>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</si>
  <si>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</si>
  <si>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</si>
  <si>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</si>
  <si>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</si>
  <si>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</si>
  <si>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</si>
  <si>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</si>
  <si>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</si>
  <si>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</si>
  <si>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</si>
  <si>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</si>
  <si>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</si>
  <si>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</si>
  <si>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</si>
  <si>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</si>
  <si>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</si>
  <si>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</si>
  <si>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</si>
  <si>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</si>
  <si>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</si>
  <si>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</si>
  <si>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</si>
  <si>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</si>
  <si>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</si>
  <si>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</si>
  <si>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</si>
  <si>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</si>
  <si>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</si>
  <si>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</si>
  <si>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</si>
  <si>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</si>
  <si>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</si>
  <si>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</si>
  <si>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</si>
  <si>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</si>
  <si>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</si>
  <si>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</si>
  <si>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</si>
  <si>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</si>
  <si>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</si>
  <si>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</si>
  <si>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</si>
  <si>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</si>
  <si>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</si>
  <si>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</si>
  <si>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</si>
  <si>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</si>
  <si>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</si>
  <si>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</si>
  <si>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</si>
  <si>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</si>
  <si>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</si>
  <si>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</si>
  <si>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</si>
  <si>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</si>
  <si>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</si>
  <si>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</si>
  <si>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</si>
  <si>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</si>
  <si>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</si>
  <si>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</si>
  <si>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</si>
  <si>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</si>
  <si>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</si>
  <si>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</si>
  <si>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</si>
  <si>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</si>
  <si>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</si>
  <si>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</si>
  <si>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</si>
  <si>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</si>
  <si>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</si>
  <si>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</si>
  <si>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</si>
  <si>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</si>
  <si>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</si>
  <si>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</si>
  <si>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</si>
  <si>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</si>
  <si>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</si>
  <si>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</si>
  <si>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</si>
  <si>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</si>
  <si>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</si>
  <si>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</si>
  <si>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</si>
  <si>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</si>
  <si>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</si>
  <si>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</si>
  <si>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</si>
  <si>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</si>
  <si>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</si>
  <si>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</si>
  <si>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</si>
  <si>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</si>
  <si>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</si>
  <si>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</si>
  <si>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</si>
  <si>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</si>
  <si>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</si>
  <si>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</si>
  <si>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</si>
  <si>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</si>
  <si>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</si>
  <si>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</si>
  <si>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</si>
  <si>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</si>
  <si>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</si>
  <si>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</si>
  <si>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</si>
  <si>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</si>
  <si>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</si>
  <si>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</si>
  <si>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</si>
  <si>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</si>
  <si>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</si>
  <si>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</si>
  <si>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</si>
  <si>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</si>
  <si>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</si>
  <si>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</si>
  <si>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</si>
  <si>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</si>
  <si>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</si>
  <si>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</si>
  <si>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</si>
  <si>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</si>
  <si>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</si>
  <si>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</si>
  <si>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</si>
  <si>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</si>
  <si>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</si>
  <si>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</si>
  <si>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</si>
  <si>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</si>
  <si>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</si>
  <si>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</si>
  <si>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</si>
  <si>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</si>
  <si>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</si>
  <si>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</si>
  <si>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</si>
  <si>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</si>
  <si>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</si>
  <si>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</si>
  <si>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</si>
  <si>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</si>
  <si>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</si>
  <si>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</si>
  <si>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</si>
  <si>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</si>
  <si>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</si>
  <si>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</si>
  <si>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</si>
  <si>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</si>
  <si>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</si>
  <si>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</si>
  <si>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</si>
  <si>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</si>
  <si>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</si>
  <si>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</si>
  <si>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</si>
  <si>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</si>
  <si>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</si>
  <si>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</si>
  <si>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</si>
  <si>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</si>
  <si>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</si>
  <si>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</si>
  <si>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</si>
  <si>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</si>
  <si>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</si>
  <si>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</si>
  <si>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</si>
  <si>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</si>
  <si>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</si>
  <si>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</si>
  <si>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</si>
  <si>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</si>
  <si>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</si>
  <si>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</si>
  <si>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</si>
  <si>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</si>
  <si>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</si>
  <si>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</si>
  <si>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</si>
  <si>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</si>
  <si>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</si>
  <si>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</si>
  <si>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</si>
  <si>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</si>
  <si>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</si>
  <si>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</si>
  <si>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</si>
  <si>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</si>
  <si>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</si>
  <si>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</si>
  <si>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</si>
  <si>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</si>
  <si>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</si>
  <si>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</si>
  <si>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</si>
  <si>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</si>
  <si>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</si>
  <si>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</si>
  <si>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</si>
  <si>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</si>
  <si>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</si>
  <si>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</si>
  <si>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</si>
  <si>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</si>
  <si>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</si>
  <si>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</si>
  <si>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</si>
  <si>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</si>
  <si>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</si>
  <si>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</si>
  <si>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</si>
  <si>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</si>
  <si>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</si>
  <si>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</si>
  <si>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</si>
  <si>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</si>
  <si>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</si>
  <si>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</si>
  <si>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</si>
  <si>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</si>
  <si>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</si>
  <si>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</si>
  <si>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</si>
  <si>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</si>
  <si>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</si>
  <si>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</si>
  <si>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</si>
  <si>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</si>
  <si>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</si>
  <si>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</si>
  <si>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</si>
  <si>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</si>
  <si>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</si>
  <si>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</si>
  <si>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</si>
  <si>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</si>
  <si>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</si>
  <si>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</si>
  <si>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</si>
  <si>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</si>
  <si>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</si>
  <si>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</si>
  <si>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</si>
  <si>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</si>
  <si>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</si>
  <si>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</si>
  <si>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</si>
  <si>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</si>
  <si>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</si>
  <si>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</si>
  <si>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</si>
  <si>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</si>
  <si>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</si>
  <si>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</si>
  <si>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</si>
  <si>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</si>
  <si>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</si>
  <si>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</si>
  <si>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</si>
  <si>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</si>
  <si>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</si>
  <si>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</si>
  <si>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</si>
  <si>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</si>
  <si>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</si>
  <si>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o_segunda_cosecha</t>
  </si>
  <si>
    <t>Very good</t>
  </si>
  <si>
    <t>Muy buena</t>
  </si>
  <si>
    <t>Good</t>
  </si>
  <si>
    <t>Buena</t>
  </si>
  <si>
    <t>Regular</t>
  </si>
  <si>
    <t>Bad</t>
  </si>
  <si>
    <t>Mala</t>
  </si>
  <si>
    <t>Really bad</t>
  </si>
  <si>
    <t>Muy mala</t>
  </si>
  <si>
    <t>Coffee</t>
  </si>
  <si>
    <t>Café</t>
  </si>
  <si>
    <t>Cardamom</t>
  </si>
  <si>
    <t>Cardamomo</t>
  </si>
  <si>
    <t>Sugar cane</t>
  </si>
  <si>
    <t>Caña de Azúcar</t>
  </si>
  <si>
    <t>Basic grains</t>
  </si>
  <si>
    <t>Granos básicos</t>
  </si>
  <si>
    <t>Livestock</t>
  </si>
  <si>
    <t>Fincas ganaderas</t>
  </si>
  <si>
    <t>Banana farms</t>
  </si>
  <si>
    <t>Fincas bananeras</t>
  </si>
  <si>
    <t>Vegetables</t>
  </si>
  <si>
    <t>Cultivo de hortalizas</t>
  </si>
  <si>
    <t>African palm</t>
  </si>
  <si>
    <t>Palma Africana</t>
  </si>
  <si>
    <t>o_alternative_fertilizerprice</t>
  </si>
  <si>
    <t>Production of organic fertilizer</t>
  </si>
  <si>
    <t>Producción de abono orgánico</t>
  </si>
  <si>
    <t>Buy organic fertilizer or another cheaper option</t>
  </si>
  <si>
    <t>Comprar abono orgánico u otra opción más económica</t>
  </si>
  <si>
    <t>Do not fertilize</t>
  </si>
  <si>
    <t>No fertilizar</t>
  </si>
  <si>
    <t>Use varieties with low nutritional requirements</t>
  </si>
  <si>
    <t>Utilizar variedades con bajos requerimientos nutricionales</t>
  </si>
  <si>
    <t>Decrease planting area</t>
  </si>
  <si>
    <t>Disminuir área de siembra</t>
  </si>
  <si>
    <t>Do not sow</t>
  </si>
  <si>
    <t>No sembrar</t>
  </si>
  <si>
    <t>Use less chemical fertilizer</t>
  </si>
  <si>
    <t>Utilizar una menor cantidad de fertilizante químico</t>
  </si>
  <si>
    <t>Ninguna</t>
  </si>
  <si>
    <t>Self-consumption</t>
  </si>
  <si>
    <t>Autoconsumo</t>
  </si>
  <si>
    <t>Sales</t>
  </si>
  <si>
    <t>Venta</t>
  </si>
  <si>
    <t>Both</t>
  </si>
  <si>
    <t>Expenses for household supplies or equipment</t>
  </si>
  <si>
    <t>Gastos para insumos o equipo en el hogar</t>
  </si>
  <si>
    <t>Expenditures for agricultural inputs (seeds, fertilizers, agro-inputs, crop tools)</t>
  </si>
  <si>
    <t>Gastos para insumos agrícolas (semillas, fertilizantes, agroinsumos, herramientas para cultivos)</t>
  </si>
  <si>
    <t>Expenditure for livestock production (chickens, chumpipes, pigs, cows)</t>
  </si>
  <si>
    <t>Gastos para producción pecuaria (gallinas, chumpipes, cerdos, vacas)</t>
  </si>
  <si>
    <t>Expenses for construction or improvement of housing</t>
  </si>
  <si>
    <t>Gastos para construcción o mejoramiento de vivienda</t>
  </si>
  <si>
    <t>Vehicle expenses</t>
  </si>
  <si>
    <t>Gastos para vehículos</t>
  </si>
  <si>
    <t>Ventures or businesses</t>
  </si>
  <si>
    <t>Emprendimientos o negocios</t>
  </si>
  <si>
    <t>Food expenses</t>
  </si>
  <si>
    <t>Gastos en alimentos</t>
  </si>
  <si>
    <t>Medicine expenses</t>
  </si>
  <si>
    <t>Gastos en medicamentos</t>
  </si>
  <si>
    <t>Debt payment</t>
  </si>
  <si>
    <t>Pago de deudas</t>
  </si>
  <si>
    <t>Education</t>
  </si>
  <si>
    <t>Educacion</t>
  </si>
  <si>
    <t>Others</t>
  </si>
  <si>
    <t>Otros</t>
  </si>
  <si>
    <t>Does not receive remittances</t>
  </si>
  <si>
    <t>No recibe remesas</t>
  </si>
  <si>
    <t>o_pueblos</t>
  </si>
  <si>
    <t>Maya</t>
  </si>
  <si>
    <t>Xinca</t>
  </si>
  <si>
    <t>Garifuna</t>
  </si>
  <si>
    <t>Ladino/mestizo</t>
  </si>
  <si>
    <t>Refuse</t>
  </si>
  <si>
    <t>No responde</t>
  </si>
  <si>
    <t>month</t>
  </si>
  <si>
    <t>January</t>
  </si>
  <si>
    <t>Enero</t>
  </si>
  <si>
    <t>February</t>
  </si>
  <si>
    <t>Febrero</t>
  </si>
  <si>
    <t>March</t>
  </si>
  <si>
    <t>Marzo</t>
  </si>
  <si>
    <t>April</t>
  </si>
  <si>
    <t>Abril</t>
  </si>
  <si>
    <t>May</t>
  </si>
  <si>
    <t>Mayo</t>
  </si>
  <si>
    <t>June</t>
  </si>
  <si>
    <t>Junio</t>
  </si>
  <si>
    <t>July</t>
  </si>
  <si>
    <t>Julio</t>
  </si>
  <si>
    <t>August</t>
  </si>
  <si>
    <t>Agosto</t>
  </si>
  <si>
    <t>September</t>
  </si>
  <si>
    <t>Septiembre</t>
  </si>
  <si>
    <t>October</t>
  </si>
  <si>
    <t>Octubre</t>
  </si>
  <si>
    <t>November</t>
  </si>
  <si>
    <t>Noviembre</t>
  </si>
  <si>
    <t>December</t>
  </si>
  <si>
    <t>Diciembre</t>
  </si>
  <si>
    <t>participate</t>
  </si>
  <si>
    <t>Not now</t>
  </si>
  <si>
    <t>Ahora no</t>
  </si>
  <si>
    <t>Someone answers</t>
  </si>
  <si>
    <t>Alguien contesta</t>
  </si>
  <si>
    <t>Answering machine</t>
  </si>
  <si>
    <t>Contestadora automatica</t>
  </si>
  <si>
    <t>No answer</t>
  </si>
  <si>
    <t>Sin respuesta</t>
  </si>
  <si>
    <t>Hang up or refusal</t>
  </si>
  <si>
    <t>Cuelga/no contesta</t>
  </si>
  <si>
    <t>Disconnected</t>
  </si>
  <si>
    <t>Desconectado</t>
  </si>
  <si>
    <t>crop</t>
  </si>
  <si>
    <t>1.4</t>
  </si>
  <si>
    <t>Sorghum</t>
  </si>
  <si>
    <t>Sorgo</t>
  </si>
  <si>
    <t>1.5</t>
  </si>
  <si>
    <t>Maize</t>
  </si>
  <si>
    <t>Maíz</t>
  </si>
  <si>
    <t>2.2</t>
  </si>
  <si>
    <t>Potatoe</t>
  </si>
  <si>
    <t>Patatas</t>
  </si>
  <si>
    <t>3.1</t>
  </si>
  <si>
    <t>Beans</t>
  </si>
  <si>
    <t>Frijoles</t>
  </si>
  <si>
    <t>4.2</t>
  </si>
  <si>
    <t>Lettuce</t>
  </si>
  <si>
    <t>Lechuga</t>
  </si>
  <si>
    <t>4.3</t>
  </si>
  <si>
    <t>Spinach-Amaranth</t>
  </si>
  <si>
    <t>Espinacas-amaranto</t>
  </si>
  <si>
    <t>4.9</t>
  </si>
  <si>
    <t>Green salad herbs (thyme, parsley, mint, rocca, other)</t>
  </si>
  <si>
    <t>Hierbas verdes para ensalada (tomillo, perejil, menta, rocca, otras)</t>
  </si>
  <si>
    <t>5.1</t>
  </si>
  <si>
    <t>Tomatoes</t>
  </si>
  <si>
    <t>Tomates</t>
  </si>
  <si>
    <t>5.8</t>
  </si>
  <si>
    <t>Onions</t>
  </si>
  <si>
    <t>Cebollas</t>
  </si>
  <si>
    <t>9.2</t>
  </si>
  <si>
    <t>1.1</t>
  </si>
  <si>
    <t>Rice</t>
  </si>
  <si>
    <t>Arroz</t>
  </si>
  <si>
    <t>1.2</t>
  </si>
  <si>
    <t>Wheat</t>
  </si>
  <si>
    <t>Trigo</t>
  </si>
  <si>
    <t>1.3</t>
  </si>
  <si>
    <t>Millet</t>
  </si>
  <si>
    <t>Mijo</t>
  </si>
  <si>
    <t>1.6</t>
  </si>
  <si>
    <t>Barley</t>
  </si>
  <si>
    <t>Cebada</t>
  </si>
  <si>
    <t>1.99</t>
  </si>
  <si>
    <t>Other Cereal</t>
  </si>
  <si>
    <t>Otros cereales</t>
  </si>
  <si>
    <t>2.1</t>
  </si>
  <si>
    <t>Cassava</t>
  </si>
  <si>
    <t>Yuca</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</si>
  <si>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</si>
  <si>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</si>
  <si>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</si>
  <si>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</si>
  <si>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</si>
  <si>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</si>
  <si>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</si>
  <si>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</si>
  <si>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</si>
  <si>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</si>
  <si>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</si>
  <si>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</si>
  <si>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</si>
  <si>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</si>
  <si>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</si>
  <si>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</si>
  <si>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</si>
  <si>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</si>
  <si>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</si>
  <si>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</si>
  <si>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</si>
  <si>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</si>
  <si>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</si>
  <si>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</si>
  <si>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</si>
  <si>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</si>
  <si>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</si>
  <si>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</si>
  <si>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</si>
  <si>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</si>
  <si>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</si>
  <si>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</si>
  <si>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</si>
  <si>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</si>
  <si>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</si>
  <si>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</si>
  <si>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</si>
  <si>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</si>
  <si>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</si>
  <si>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</si>
  <si>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4.4</t>
  </si>
  <si>
    <t>Cassava leaves</t>
  </si>
  <si>
    <t>Hojas de yuca/mandioca</t>
  </si>
  <si>
    <t>4.5</t>
  </si>
  <si>
    <t>Potatoe leaves</t>
  </si>
  <si>
    <t>Hojas de patata</t>
  </si>
  <si>
    <t>4.6</t>
  </si>
  <si>
    <t>Moringa</t>
  </si>
  <si>
    <t>4.7</t>
  </si>
  <si>
    <t>Sorrel Hibiscus / Rosselle</t>
  </si>
  <si>
    <t>Rosella / Flor de jamaica</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</si>
  <si>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</si>
  <si>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</si>
  <si>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</si>
  <si>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</si>
  <si>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</si>
  <si>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</si>
  <si>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</si>
  <si>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</si>
  <si>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</si>
  <si>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</si>
  <si>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</si>
  <si>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</si>
  <si>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</si>
  <si>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</si>
  <si>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</si>
  <si>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</si>
  <si>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</si>
  <si>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</si>
  <si>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</si>
  <si>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</si>
  <si>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</si>
  <si>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</si>
  <si>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</si>
  <si>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</si>
  <si>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</si>
  <si>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</si>
  <si>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</si>
  <si>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</si>
  <si>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</si>
  <si>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</si>
  <si>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</si>
  <si>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</si>
  <si>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</si>
  <si>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</si>
  <si>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</si>
  <si>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</si>
  <si>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</si>
  <si>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</si>
  <si>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</si>
  <si>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</si>
  <si>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</si>
  <si>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</si>
  <si>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</si>
  <si>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</si>
  <si>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</si>
  <si>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</si>
  <si>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</si>
  <si>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</si>
  <si>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</si>
  <si>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</si>
  <si>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</si>
  <si>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</si>
  <si>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</si>
  <si>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</si>
  <si>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</si>
  <si>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</si>
  <si>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</si>
  <si>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</si>
  <si>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</si>
  <si>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</si>
  <si>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</si>
  <si>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7.14</t>
  </si>
  <si>
    <t>Apricot</t>
  </si>
  <si>
    <t>Albaricoques</t>
  </si>
  <si>
    <t>7.15</t>
  </si>
  <si>
    <t>Cherries</t>
  </si>
  <si>
    <t>Cerezas</t>
  </si>
  <si>
    <t>7.16</t>
  </si>
  <si>
    <t>Peach/nectarine</t>
  </si>
  <si>
    <t>Duraznos/ nectárinas</t>
  </si>
  <si>
    <t>7.17</t>
  </si>
  <si>
    <t>Strawberries</t>
  </si>
  <si>
    <t>Fresas</t>
  </si>
  <si>
    <t>7.18</t>
  </si>
  <si>
    <t>Melon (Cantaloupe)</t>
  </si>
  <si>
    <t>Melon</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</si>
  <si>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</si>
  <si>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</si>
  <si>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</si>
  <si>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</si>
  <si>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</si>
  <si>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</si>
  <si>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</si>
  <si>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</si>
  <si>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</si>
  <si>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</si>
  <si>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</si>
  <si>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</si>
  <si>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</si>
  <si>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</si>
  <si>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</si>
  <si>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</si>
  <si>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</si>
  <si>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</si>
  <si>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</si>
  <si>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</si>
  <si>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</si>
  <si>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</si>
  <si>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</si>
  <si>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</si>
  <si>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</si>
  <si>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</si>
  <si>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</si>
  <si>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</si>
  <si>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</si>
  <si>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</si>
  <si>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</si>
  <si>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</si>
  <si>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</si>
  <si>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</si>
  <si>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</si>
  <si>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</si>
  <si>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</si>
  <si>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</si>
  <si>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</si>
  <si>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</si>
  <si>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</si>
  <si>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</si>
  <si>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</si>
  <si>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</si>
  <si>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</si>
  <si>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</si>
  <si>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</si>
  <si>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</si>
  <si>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</si>
  <si>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</si>
  <si>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</si>
  <si>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</si>
  <si>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</si>
  <si>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</si>
  <si>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</si>
  <si>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</si>
  <si>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</si>
  <si>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</si>
  <si>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</si>
  <si>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</si>
  <si>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</si>
  <si>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</si>
  <si>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</si>
  <si>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</si>
  <si>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</si>
  <si>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</si>
  <si>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</si>
  <si>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</si>
  <si>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</si>
  <si>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</si>
  <si>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</si>
  <si>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</si>
  <si>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</si>
  <si>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</si>
  <si>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</si>
  <si>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</si>
  <si>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</si>
  <si>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</si>
  <si>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</si>
  <si>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</si>
  <si>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</si>
  <si>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</si>
  <si>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</si>
  <si>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</si>
  <si>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</si>
  <si>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</si>
  <si>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</si>
  <si>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</si>
  <si>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</si>
  <si>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</si>
  <si>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</si>
  <si>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</si>
  <si>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</si>
  <si>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</si>
  <si>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</si>
  <si>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</si>
  <si>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</si>
  <si>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</si>
  <si>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</si>
  <si>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</si>
  <si>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</si>
  <si>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admin1</t>
  </si>
  <si>
    <t>GT01</t>
  </si>
  <si>
    <t>Guatemala Department</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</si>
  <si>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</si>
  <si>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</si>
  <si>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</si>
  <si>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</si>
  <si>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</si>
  <si>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</si>
  <si>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</si>
  <si>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</si>
  <si>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</si>
  <si>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</si>
  <si>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</si>
  <si>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</si>
  <si>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</si>
  <si>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</si>
  <si>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</si>
  <si>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</si>
  <si>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</si>
  <si>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</si>
  <si>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</si>
  <si>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</si>
  <si>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</si>
  <si>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</si>
  <si>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</si>
  <si>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</si>
  <si>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</si>
  <si>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</si>
  <si>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</si>
  <si>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</si>
  <si>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</si>
  <si>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</si>
  <si>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</si>
  <si>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</si>
  <si>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</si>
  <si>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</si>
  <si>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</si>
  <si>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</si>
  <si>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</si>
  <si>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</si>
  <si>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</si>
  <si>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</si>
  <si>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</si>
  <si>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</si>
  <si>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admin2</t>
  </si>
  <si>
    <t>GT0100</t>
  </si>
  <si>
    <t>Lago De Amatitlan</t>
  </si>
  <si>
    <t>GT0101</t>
  </si>
  <si>
    <t>Guatemala City</t>
  </si>
  <si>
    <t>GT0102</t>
  </si>
  <si>
    <t>Santa Catarina Pinula</t>
  </si>
  <si>
    <t>GT0103</t>
  </si>
  <si>
    <t>San José Pinula</t>
  </si>
  <si>
    <t>GT0104</t>
  </si>
  <si>
    <t>San José del Golfo</t>
  </si>
  <si>
    <t>GT0105</t>
  </si>
  <si>
    <t>Palencia</t>
  </si>
  <si>
    <t>GT0106</t>
  </si>
  <si>
    <t>Chinautla</t>
  </si>
  <si>
    <t>GT0107</t>
  </si>
  <si>
    <t>San Pedro Ayampuc</t>
  </si>
  <si>
    <t>GT0108</t>
  </si>
  <si>
    <t>Mixco</t>
  </si>
  <si>
    <t>GT0109</t>
  </si>
  <si>
    <t>San Pedro Sacatepéquez</t>
  </si>
  <si>
    <t>GT0110</t>
  </si>
  <si>
    <t>San Juan Sacatepéquez</t>
  </si>
  <si>
    <t>GT0111</t>
  </si>
  <si>
    <t>San Raimundo</t>
  </si>
  <si>
    <t>GT0112</t>
  </si>
  <si>
    <t>Chuarrancho</t>
  </si>
  <si>
    <t>GT0113</t>
  </si>
  <si>
    <t>Fraijanes</t>
  </si>
  <si>
    <t>GT0114</t>
  </si>
  <si>
    <t>Amatitlán</t>
  </si>
  <si>
    <t>GT0115</t>
  </si>
  <si>
    <t>Villa Nueva</t>
  </si>
  <si>
    <t>GT0116</t>
  </si>
  <si>
    <t>Villa Canales</t>
  </si>
  <si>
    <t>GT0117</t>
  </si>
  <si>
    <t>Petapa</t>
  </si>
  <si>
    <t>GT0201</t>
  </si>
  <si>
    <t>Guastatoya</t>
  </si>
  <si>
    <t>GT0202</t>
  </si>
  <si>
    <t>Morazán</t>
  </si>
  <si>
    <t>GT0203</t>
  </si>
  <si>
    <t>San Agustín Acasaguastlán</t>
  </si>
  <si>
    <t>GT0204</t>
  </si>
  <si>
    <t>San Cristóbal Acasaguastlán</t>
  </si>
  <si>
    <t>GT0205</t>
  </si>
  <si>
    <t>El Jícaro</t>
  </si>
  <si>
    <t>GT0206</t>
  </si>
  <si>
    <t>Sanarate</t>
  </si>
  <si>
    <t>GT0207</t>
  </si>
  <si>
    <t>Sansare</t>
  </si>
  <si>
    <t>GT0208</t>
  </si>
  <si>
    <t>San Antonio La Paz</t>
  </si>
  <si>
    <t>GT0301</t>
  </si>
  <si>
    <t>Antigua Guatemala</t>
  </si>
  <si>
    <t>GT0302</t>
  </si>
  <si>
    <t>Jocotenango</t>
  </si>
  <si>
    <t>GT0303</t>
  </si>
  <si>
    <t>Pastores</t>
  </si>
  <si>
    <t>GT0304</t>
  </si>
  <si>
    <t>Sumpango</t>
  </si>
  <si>
    <t>GT0305</t>
  </si>
  <si>
    <t>Santo Domingo Xenacoj</t>
  </si>
  <si>
    <t>GT0306</t>
  </si>
  <si>
    <t>Santiago Sacatepéquez</t>
  </si>
  <si>
    <t>GT0307</t>
  </si>
  <si>
    <t>San Bartolomé Milpas Altas</t>
  </si>
  <si>
    <t>GT0308</t>
  </si>
  <si>
    <t>San Lucas Sacatepéquez</t>
  </si>
  <si>
    <t>GT0309</t>
  </si>
  <si>
    <t>Santa Lucía Milpas Altas</t>
  </si>
  <si>
    <t>GT0310</t>
  </si>
  <si>
    <t>Magdalena Milpas Altas</t>
  </si>
  <si>
    <t>GT0311</t>
  </si>
  <si>
    <t>Santa María de Jesús</t>
  </si>
  <si>
    <t>GT0312</t>
  </si>
  <si>
    <t>Ciudad Vieja</t>
  </si>
  <si>
    <t>GT0313</t>
  </si>
  <si>
    <t>San Miguel Dueñas</t>
  </si>
  <si>
    <t>GT0314</t>
  </si>
  <si>
    <t>Alotenango</t>
  </si>
  <si>
    <t>GT0315</t>
  </si>
  <si>
    <t>San Antonio Aguas Calientes</t>
  </si>
  <si>
    <t>GT0316</t>
  </si>
  <si>
    <t>Santa Catarina Barahona</t>
  </si>
  <si>
    <t>GT0401</t>
  </si>
  <si>
    <t>GT0402</t>
  </si>
  <si>
    <t>San José Poaquil</t>
  </si>
  <si>
    <t>GT0403</t>
  </si>
  <si>
    <t>San Martín Jilotepeque</t>
  </si>
  <si>
    <t>GT0404</t>
  </si>
  <si>
    <t>Comalapa</t>
  </si>
  <si>
    <t>GT0405</t>
  </si>
  <si>
    <t>Santa Apolonia</t>
  </si>
  <si>
    <t>GT0406</t>
  </si>
  <si>
    <t>Tecpán Guatemala</t>
  </si>
  <si>
    <t>GT0407</t>
  </si>
  <si>
    <t>Patzún</t>
  </si>
  <si>
    <t>GT0408</t>
  </si>
  <si>
    <t>Pochuta</t>
  </si>
  <si>
    <t>GT0409</t>
  </si>
  <si>
    <t>Patzicía</t>
  </si>
  <si>
    <t>GT0410</t>
  </si>
  <si>
    <t>Santa Cruz Balanyá</t>
  </si>
  <si>
    <t>GT0411</t>
  </si>
  <si>
    <t>Acatenango</t>
  </si>
  <si>
    <t>GT0412</t>
  </si>
  <si>
    <t>Yepocapa</t>
  </si>
  <si>
    <t>GT0413</t>
  </si>
  <si>
    <t>San Andrés Itzapa</t>
  </si>
  <si>
    <t>GT0414</t>
  </si>
  <si>
    <t>Parramos</t>
  </si>
  <si>
    <t>GT0415</t>
  </si>
  <si>
    <t>Zaragoza</t>
  </si>
  <si>
    <t>GT0416</t>
  </si>
  <si>
    <t>El Tejar</t>
  </si>
  <si>
    <t>GT0501</t>
  </si>
  <si>
    <t>GT0502</t>
  </si>
  <si>
    <t>Santa Lucía Cotzumalguapa</t>
  </si>
  <si>
    <t>GT0503</t>
  </si>
  <si>
    <t>La Democracia</t>
  </si>
  <si>
    <t>GT0504</t>
  </si>
  <si>
    <t>Siquinalá</t>
  </si>
  <si>
    <t>GT0505</t>
  </si>
  <si>
    <t>Masagua</t>
  </si>
  <si>
    <t>GT0506</t>
  </si>
  <si>
    <t>Tiquisate</t>
  </si>
  <si>
    <t>GT0507</t>
  </si>
  <si>
    <t>La Gomera</t>
  </si>
  <si>
    <t>GT0508</t>
  </si>
  <si>
    <t>Guanagazapa</t>
  </si>
  <si>
    <t>GT0509</t>
  </si>
  <si>
    <t>San José</t>
  </si>
  <si>
    <t>GT0510</t>
  </si>
  <si>
    <t>Iztapa</t>
  </si>
  <si>
    <t>GT0511</t>
  </si>
  <si>
    <t>Palín</t>
  </si>
  <si>
    <t>GT0512</t>
  </si>
  <si>
    <t>San Vicente Pacaya</t>
  </si>
  <si>
    <t>GT0513</t>
  </si>
  <si>
    <t>Nueva Concepción</t>
  </si>
  <si>
    <t>GT0514</t>
  </si>
  <si>
    <t>Sipacate</t>
  </si>
  <si>
    <t>GT0601</t>
  </si>
  <si>
    <t>Cuilapa</t>
  </si>
  <si>
    <t>GT0602</t>
  </si>
  <si>
    <t>Barberena</t>
  </si>
  <si>
    <t>GT0603</t>
  </si>
  <si>
    <t>Santa Rosa de Lima</t>
  </si>
  <si>
    <t>GT0604</t>
  </si>
  <si>
    <t>Casillas</t>
  </si>
  <si>
    <t>GT0605</t>
  </si>
  <si>
    <t>San Rafael Las Flores</t>
  </si>
  <si>
    <t>GT0606</t>
  </si>
  <si>
    <t>Oratorio</t>
  </si>
  <si>
    <t>GT0607</t>
  </si>
  <si>
    <t>San Juan Tecuaco</t>
  </si>
  <si>
    <t>GT0608</t>
  </si>
  <si>
    <t>Chiquimulilla</t>
  </si>
  <si>
    <t>GT0609</t>
  </si>
  <si>
    <t>Taxisco</t>
  </si>
  <si>
    <t>GT0610</t>
  </si>
  <si>
    <t>Santa María Ixhuatán</t>
  </si>
  <si>
    <t>GT0611</t>
  </si>
  <si>
    <t>Guazacapán</t>
  </si>
  <si>
    <t>GT0612</t>
  </si>
  <si>
    <t>Santa Cruz Naranjo</t>
  </si>
  <si>
    <t>GT0613</t>
  </si>
  <si>
    <t>Pueblo Nuevo Viñas</t>
  </si>
  <si>
    <t>GT0614</t>
  </si>
  <si>
    <t>Nueva Santa Rosa</t>
  </si>
  <si>
    <t>GT0700</t>
  </si>
  <si>
    <t>Lago De Atitlan</t>
  </si>
  <si>
    <t>GT0701</t>
  </si>
  <si>
    <t>GT0702</t>
  </si>
  <si>
    <t>San José Chacayá</t>
  </si>
  <si>
    <t>GT0703</t>
  </si>
  <si>
    <t>Santa María Visitación</t>
  </si>
  <si>
    <t>GT0704</t>
  </si>
  <si>
    <t>Santa Lucía Utatlán</t>
  </si>
  <si>
    <t>GT0705</t>
  </si>
  <si>
    <t>Nahualá</t>
  </si>
  <si>
    <t>GT0706</t>
  </si>
  <si>
    <t>Santa Catarina Ixtahuacán</t>
  </si>
  <si>
    <t>GT0707</t>
  </si>
  <si>
    <t>Santa Clara La Laguna</t>
  </si>
  <si>
    <t>GT0708</t>
  </si>
  <si>
    <t>Concepción</t>
  </si>
  <si>
    <t>GT0709</t>
  </si>
  <si>
    <t>San Andrés Semetabaj</t>
  </si>
  <si>
    <t>GT0710</t>
  </si>
  <si>
    <t>Panajachel</t>
  </si>
  <si>
    <t>GT0711</t>
  </si>
  <si>
    <t>Santa Catarina Palopó</t>
  </si>
  <si>
    <t>GT0712</t>
  </si>
  <si>
    <t>San Antonio Palopó</t>
  </si>
  <si>
    <t>GT0713</t>
  </si>
  <si>
    <t>San Lucas Tolimán</t>
  </si>
  <si>
    <t>GT0714</t>
  </si>
  <si>
    <t>Santa Cruz La Laguna</t>
  </si>
  <si>
    <t>GT0715</t>
  </si>
  <si>
    <t>San Pablo La Laguna</t>
  </si>
  <si>
    <t>GT0716</t>
  </si>
  <si>
    <t>San Marcos La Laguna</t>
  </si>
  <si>
    <t>GT0717</t>
  </si>
  <si>
    <t>San Juan La Laguna</t>
  </si>
  <si>
    <t>GT0718</t>
  </si>
  <si>
    <t>San Pedro La Laguna</t>
  </si>
  <si>
    <t>GT0719</t>
  </si>
  <si>
    <t>Santiago Atitlán</t>
  </si>
  <si>
    <t>GT0801</t>
  </si>
  <si>
    <t>GT0802</t>
  </si>
  <si>
    <t>San Cristóbal Totonicapán</t>
  </si>
  <si>
    <t>GT0803</t>
  </si>
  <si>
    <t>San Francisco El Alto</t>
  </si>
  <si>
    <t>GT0804</t>
  </si>
  <si>
    <t>San Andrés Xecul</t>
  </si>
  <si>
    <t>GT0805</t>
  </si>
  <si>
    <t>Momostenango</t>
  </si>
  <si>
    <t>GT0806</t>
  </si>
  <si>
    <t>Santa María Chiquimula</t>
  </si>
  <si>
    <t>GT0807</t>
  </si>
  <si>
    <t>Santa Lucía La Reforma</t>
  </si>
  <si>
    <t>GT0808</t>
  </si>
  <si>
    <t>San Bartolo</t>
  </si>
  <si>
    <t>GT0901</t>
  </si>
  <si>
    <t>GT0902</t>
  </si>
  <si>
    <t>Salcajá</t>
  </si>
  <si>
    <t>GT0903</t>
  </si>
  <si>
    <t>Olintepeque</t>
  </si>
  <si>
    <t>GT0904</t>
  </si>
  <si>
    <t>San Carlos Sija</t>
  </si>
  <si>
    <t>GT0905</t>
  </si>
  <si>
    <t>Sibilia</t>
  </si>
  <si>
    <t>GT0906</t>
  </si>
  <si>
    <t>Cabricán</t>
  </si>
  <si>
    <t>GT0907</t>
  </si>
  <si>
    <t>Cajolá</t>
  </si>
  <si>
    <t>GT0908</t>
  </si>
  <si>
    <t>San Miguel Sigüila</t>
  </si>
  <si>
    <t>GT0909</t>
  </si>
  <si>
    <t>Ostuncalco</t>
  </si>
  <si>
    <t>GT0910</t>
  </si>
  <si>
    <t>San Mateo</t>
  </si>
  <si>
    <t>GT0911</t>
  </si>
  <si>
    <t>Concepción Chiquirichapa</t>
  </si>
  <si>
    <t>GT0912</t>
  </si>
  <si>
    <t>San Martín Sacatepéquez</t>
  </si>
  <si>
    <t>GT0913</t>
  </si>
  <si>
    <t>Almolonga</t>
  </si>
  <si>
    <t>GT0914</t>
  </si>
  <si>
    <t>Cantel</t>
  </si>
  <si>
    <t>GT0915</t>
  </si>
  <si>
    <t>Huitán</t>
  </si>
  <si>
    <t>GT0916</t>
  </si>
  <si>
    <t>Zunil</t>
  </si>
  <si>
    <t>GT0917</t>
  </si>
  <si>
    <t>Colomba</t>
  </si>
  <si>
    <t>GT0918</t>
  </si>
  <si>
    <t>San Francisco La Unión</t>
  </si>
  <si>
    <t>GT0919</t>
  </si>
  <si>
    <t>El Palmar</t>
  </si>
  <si>
    <t>GT0920</t>
  </si>
  <si>
    <t>Coatepeque</t>
  </si>
  <si>
    <t>GT0921</t>
  </si>
  <si>
    <t>Génova</t>
  </si>
  <si>
    <t>GT0922</t>
  </si>
  <si>
    <t>Flores Costa Cuca</t>
  </si>
  <si>
    <t>GT0923</t>
  </si>
  <si>
    <t>La Esperanza</t>
  </si>
  <si>
    <t>GT0924</t>
  </si>
  <si>
    <t>Palestina de Los Altos</t>
  </si>
  <si>
    <t>GT1001</t>
  </si>
  <si>
    <t>Mazatenango</t>
  </si>
  <si>
    <t>GT1002</t>
  </si>
  <si>
    <t>Cuyotenango</t>
  </si>
  <si>
    <t>GT1003</t>
  </si>
  <si>
    <t>San Francisco Zapotitlán</t>
  </si>
  <si>
    <t>GT1004</t>
  </si>
  <si>
    <t>San Bernardino</t>
  </si>
  <si>
    <t>GT1005</t>
  </si>
  <si>
    <t>San José El Ídolo</t>
  </si>
  <si>
    <t>GT1006</t>
  </si>
  <si>
    <t>Santo Domingo Suchitepéquez</t>
  </si>
  <si>
    <t>GT1007</t>
  </si>
  <si>
    <t>San Lorenzo</t>
  </si>
  <si>
    <t>GT1008</t>
  </si>
  <si>
    <t>Samayac</t>
  </si>
  <si>
    <t>GT1009</t>
  </si>
  <si>
    <t>San Pablo Jocopilas</t>
  </si>
  <si>
    <t>GT1010</t>
  </si>
  <si>
    <t>San Antonio Suchitepéquez</t>
  </si>
  <si>
    <t>GT1011</t>
  </si>
  <si>
    <t>San Miguel Panán</t>
  </si>
  <si>
    <t>GT1012</t>
  </si>
  <si>
    <t>San Gabriel</t>
  </si>
  <si>
    <t>GT1013</t>
  </si>
  <si>
    <t>Chicacao</t>
  </si>
  <si>
    <t>GT1014</t>
  </si>
  <si>
    <t>Patulul</t>
  </si>
  <si>
    <t>GT1015</t>
  </si>
  <si>
    <t>Santa Bárbara</t>
  </si>
  <si>
    <t>GT1016</t>
  </si>
  <si>
    <t>San Juan Bautista</t>
  </si>
  <si>
    <t>GT1017</t>
  </si>
  <si>
    <t>Santo Tomás La Unión</t>
  </si>
  <si>
    <t>GT1018</t>
  </si>
  <si>
    <t>Zunilito</t>
  </si>
  <si>
    <t>GT1019</t>
  </si>
  <si>
    <t>Pueblo Nuevo</t>
  </si>
  <si>
    <t>GT1020</t>
  </si>
  <si>
    <t>Río Bravo</t>
  </si>
  <si>
    <t>GT1021</t>
  </si>
  <si>
    <t>San José La Máquina</t>
  </si>
  <si>
    <t>GT1101</t>
  </si>
  <si>
    <t>GT1102</t>
  </si>
  <si>
    <t>San Sebastián</t>
  </si>
  <si>
    <t>GT1103</t>
  </si>
  <si>
    <t>Santa Cruz Muluá</t>
  </si>
  <si>
    <t>GT1104</t>
  </si>
  <si>
    <t>San Martín Zapotitlán</t>
  </si>
  <si>
    <t>GT1105</t>
  </si>
  <si>
    <t>San Felipe</t>
  </si>
  <si>
    <t>GT1106</t>
  </si>
  <si>
    <t>San Andrés Villa Seca</t>
  </si>
  <si>
    <t>GT1107</t>
  </si>
  <si>
    <t>Champerico</t>
  </si>
  <si>
    <t>GT1108</t>
  </si>
  <si>
    <t>Nuevo San Carlos</t>
  </si>
  <si>
    <t>GT1109</t>
  </si>
  <si>
    <t>El Asintal</t>
  </si>
  <si>
    <t>GT1201</t>
  </si>
  <si>
    <t>GT1202</t>
  </si>
  <si>
    <t>GT1203</t>
  </si>
  <si>
    <t>San Antonio Sacatepéquez</t>
  </si>
  <si>
    <t>GT1204</t>
  </si>
  <si>
    <t>Comitancillo</t>
  </si>
  <si>
    <t>GT1205</t>
  </si>
  <si>
    <t>San Miguel Ixtahuacán</t>
  </si>
  <si>
    <t>GT1206</t>
  </si>
  <si>
    <t>Concepción Tutuapa</t>
  </si>
  <si>
    <t>GT1207</t>
  </si>
  <si>
    <t>Tacaná</t>
  </si>
  <si>
    <t>GT1208</t>
  </si>
  <si>
    <t>Sibinal</t>
  </si>
  <si>
    <t>GT1209</t>
  </si>
  <si>
    <t>Tajumulco</t>
  </si>
  <si>
    <t>GT1210</t>
  </si>
  <si>
    <t>Tejutla</t>
  </si>
  <si>
    <t>GT1211</t>
  </si>
  <si>
    <t>San Rafael Pie de la Cuesta</t>
  </si>
  <si>
    <t>GT1212</t>
  </si>
  <si>
    <t>Nuevo Progreso</t>
  </si>
  <si>
    <t>GT1213</t>
  </si>
  <si>
    <t>El Tumbador</t>
  </si>
  <si>
    <t>GT1214</t>
  </si>
  <si>
    <t>El Rodeo</t>
  </si>
  <si>
    <t>GT1215</t>
  </si>
  <si>
    <t>Malacatán</t>
  </si>
  <si>
    <t>GT1216</t>
  </si>
  <si>
    <t>Catarina</t>
  </si>
  <si>
    <t>GT1217</t>
  </si>
  <si>
    <t>Ayutla</t>
  </si>
  <si>
    <t>GT1218</t>
  </si>
  <si>
    <t>Ocós</t>
  </si>
  <si>
    <t>GT1219</t>
  </si>
  <si>
    <t>San Pablo</t>
  </si>
  <si>
    <t>GT1220</t>
  </si>
  <si>
    <t>El Quetzal</t>
  </si>
  <si>
    <t>GT1221</t>
  </si>
  <si>
    <t>La Reforma</t>
  </si>
  <si>
    <t>GT1222</t>
  </si>
  <si>
    <t>Pajapita</t>
  </si>
  <si>
    <t>GT1223</t>
  </si>
  <si>
    <t>Ixchiguán</t>
  </si>
  <si>
    <t>GT1224</t>
  </si>
  <si>
    <t>San José Ojetenam</t>
  </si>
  <si>
    <t>GT1225</t>
  </si>
  <si>
    <t>San Cristóbal Cucho</t>
  </si>
  <si>
    <t>GT1226</t>
  </si>
  <si>
    <t>Sipacapa</t>
  </si>
  <si>
    <t>GT1227</t>
  </si>
  <si>
    <t>Esquipulas Palo Gordo</t>
  </si>
  <si>
    <t>GT1228</t>
  </si>
  <si>
    <t>Río Blanco</t>
  </si>
  <si>
    <t>GT1229</t>
  </si>
  <si>
    <t>GT1230</t>
  </si>
  <si>
    <t>La Blanca</t>
  </si>
  <si>
    <t>GT1301</t>
  </si>
  <si>
    <t>GT1302</t>
  </si>
  <si>
    <t>Chiantla</t>
  </si>
  <si>
    <t>GT1303</t>
  </si>
  <si>
    <t>Malacatancito</t>
  </si>
  <si>
    <t>GT1304</t>
  </si>
  <si>
    <t>Cuilco</t>
  </si>
  <si>
    <t>GT1305</t>
  </si>
  <si>
    <t>Nentón</t>
  </si>
  <si>
    <t>GT1306</t>
  </si>
  <si>
    <t>San Pedro Necta</t>
  </si>
  <si>
    <t>GT1307</t>
  </si>
  <si>
    <t>Jacaltenango</t>
  </si>
  <si>
    <t>GT1308</t>
  </si>
  <si>
    <t>Soloma</t>
  </si>
  <si>
    <t>GT1309</t>
  </si>
  <si>
    <t>Ixtahuacán</t>
  </si>
  <si>
    <t>GT1310</t>
  </si>
  <si>
    <t>GT1311</t>
  </si>
  <si>
    <t>La Libertad</t>
  </si>
  <si>
    <t>GT1312</t>
  </si>
  <si>
    <t>GT1313</t>
  </si>
  <si>
    <t>San Miguel Acatán</t>
  </si>
  <si>
    <t>GT1314</t>
  </si>
  <si>
    <t>San Rafael La Independencia</t>
  </si>
  <si>
    <t>GT1315</t>
  </si>
  <si>
    <t>Todos Santos Cuchumatán</t>
  </si>
  <si>
    <t>GT1316</t>
  </si>
  <si>
    <t>San Juan Atitán</t>
  </si>
  <si>
    <t>GT1317</t>
  </si>
  <si>
    <t>Santa Eulalia</t>
  </si>
  <si>
    <t>GT1318</t>
  </si>
  <si>
    <t>San Mateo Ixtatán</t>
  </si>
  <si>
    <t>GT1319</t>
  </si>
  <si>
    <t>Colotenango</t>
  </si>
  <si>
    <t>GT1320</t>
  </si>
  <si>
    <t>San Sebastián Huehuetenango</t>
  </si>
  <si>
    <t>GT1321</t>
  </si>
  <si>
    <t>Tectitán</t>
  </si>
  <si>
    <t>GT1322</t>
  </si>
  <si>
    <t>Concepción Huista</t>
  </si>
  <si>
    <t>GT1323</t>
  </si>
  <si>
    <t>San Juan Ixcoy</t>
  </si>
  <si>
    <t>GT1324</t>
  </si>
  <si>
    <t>San Antonio Huista</t>
  </si>
  <si>
    <t>GT1325</t>
  </si>
  <si>
    <t>San Sebastián Coatán</t>
  </si>
  <si>
    <t>GT1326</t>
  </si>
  <si>
    <t>Barillas</t>
  </si>
  <si>
    <t>GT1327</t>
  </si>
  <si>
    <t>Aguacatán</t>
  </si>
  <si>
    <t>GT1328</t>
  </si>
  <si>
    <t>San Rafael Petzal</t>
  </si>
  <si>
    <t>GT1329</t>
  </si>
  <si>
    <t>San Gaspar Ixchil</t>
  </si>
  <si>
    <t>GT1330</t>
  </si>
  <si>
    <t>Santiago Chimaltenango</t>
  </si>
  <si>
    <t>GT1331</t>
  </si>
  <si>
    <t>Santa Ana Huista</t>
  </si>
  <si>
    <t>GT1332</t>
  </si>
  <si>
    <t>Unión Cantinil</t>
  </si>
  <si>
    <t>GT1333</t>
  </si>
  <si>
    <t>Petatán</t>
  </si>
  <si>
    <t>GT1401</t>
  </si>
  <si>
    <t>Santa Cruz del Quiché</t>
  </si>
  <si>
    <t>GT1402</t>
  </si>
  <si>
    <t>Chiché</t>
  </si>
  <si>
    <t>GT1403</t>
  </si>
  <si>
    <t>Chinique</t>
  </si>
  <si>
    <t>GT1404</t>
  </si>
  <si>
    <t>Zacualpa</t>
  </si>
  <si>
    <t>GT1405</t>
  </si>
  <si>
    <t>Chajul</t>
  </si>
  <si>
    <t>GT1406</t>
  </si>
  <si>
    <t>Chichicastenango</t>
  </si>
  <si>
    <t>GT1407</t>
  </si>
  <si>
    <t>Patzité</t>
  </si>
  <si>
    <t>GT1408</t>
  </si>
  <si>
    <t>San Antonio Ilotenango</t>
  </si>
  <si>
    <t>GT1409</t>
  </si>
  <si>
    <t>San Pedro Jocopilas</t>
  </si>
  <si>
    <t>GT1410</t>
  </si>
  <si>
    <t>Cunén</t>
  </si>
  <si>
    <t>GT1411</t>
  </si>
  <si>
    <t>San Juan Cotzal</t>
  </si>
  <si>
    <t>GT1412</t>
  </si>
  <si>
    <t>Joyabaj</t>
  </si>
  <si>
    <t>GT1413</t>
  </si>
  <si>
    <t>Nebaj</t>
  </si>
  <si>
    <t>GT1414</t>
  </si>
  <si>
    <t>San Andrés Sajcabajá</t>
  </si>
  <si>
    <t>GT1415</t>
  </si>
  <si>
    <t>Uspantán</t>
  </si>
  <si>
    <t>GT1416</t>
  </si>
  <si>
    <t>Sacapulas</t>
  </si>
  <si>
    <t>GT1417</t>
  </si>
  <si>
    <t>San Bartolomé Jocotenango</t>
  </si>
  <si>
    <t>GT1418</t>
  </si>
  <si>
    <t>Canillá</t>
  </si>
  <si>
    <t>GT1419</t>
  </si>
  <si>
    <t>Chicamán</t>
  </si>
  <si>
    <t>GT1420</t>
  </si>
  <si>
    <t>Ixcán</t>
  </si>
  <si>
    <t>GT1421</t>
  </si>
  <si>
    <t>Pachalum</t>
  </si>
  <si>
    <t>GT1501</t>
  </si>
  <si>
    <t>Salamá</t>
  </si>
  <si>
    <t>GT1502</t>
  </si>
  <si>
    <t>San Miguel Chicaj</t>
  </si>
  <si>
    <t>GT1503</t>
  </si>
  <si>
    <t>Rabinal</t>
  </si>
  <si>
    <t>GT1504</t>
  </si>
  <si>
    <t>Cubulco</t>
  </si>
  <si>
    <t>GT1505</t>
  </si>
  <si>
    <t>Granados</t>
  </si>
  <si>
    <t>GT1506</t>
  </si>
  <si>
    <t>El Chol</t>
  </si>
  <si>
    <t>GT1507</t>
  </si>
  <si>
    <t>San Jerónimo</t>
  </si>
  <si>
    <t>GT1508</t>
  </si>
  <si>
    <t>Purulhá</t>
  </si>
  <si>
    <t>GT1601</t>
  </si>
  <si>
    <t>Cobán</t>
  </si>
  <si>
    <t>GT1602</t>
  </si>
  <si>
    <t>Santa Cruz Verapaz</t>
  </si>
  <si>
    <t>GT1603</t>
  </si>
  <si>
    <t>San Cristóbal Verapaz</t>
  </si>
  <si>
    <t>GT1604</t>
  </si>
  <si>
    <t>Tactic</t>
  </si>
  <si>
    <t>GT1605</t>
  </si>
  <si>
    <t>Tamahú</t>
  </si>
  <si>
    <t>GT1606</t>
  </si>
  <si>
    <t>Tucurú</t>
  </si>
  <si>
    <t>GT1607</t>
  </si>
  <si>
    <t>Panzós</t>
  </si>
  <si>
    <t>GT1608</t>
  </si>
  <si>
    <t>Senahú</t>
  </si>
  <si>
    <t>GT1609</t>
  </si>
  <si>
    <t>San Pedro Carchá</t>
  </si>
  <si>
    <t>GT1610</t>
  </si>
  <si>
    <t>San Juan Chamelco</t>
  </si>
  <si>
    <t>GT1611</t>
  </si>
  <si>
    <t>Lanquín</t>
  </si>
  <si>
    <t>GT1612</t>
  </si>
  <si>
    <t>Cahabón</t>
  </si>
  <si>
    <t>GT1613</t>
  </si>
  <si>
    <t>Chisec</t>
  </si>
  <si>
    <t>GT1614</t>
  </si>
  <si>
    <t>Chahal</t>
  </si>
  <si>
    <t>GT1615</t>
  </si>
  <si>
    <t>Fray Bartolomé de Las Casas</t>
  </si>
  <si>
    <t>GT1616</t>
  </si>
  <si>
    <t>Santa Catalina La Tinta</t>
  </si>
  <si>
    <t>GT1617</t>
  </si>
  <si>
    <t>Raxruhá</t>
  </si>
  <si>
    <t>GT1701</t>
  </si>
  <si>
    <t>Flores</t>
  </si>
  <si>
    <t>GT1702</t>
  </si>
  <si>
    <t>GT1703</t>
  </si>
  <si>
    <t>San Benito</t>
  </si>
  <si>
    <t>GT1704</t>
  </si>
  <si>
    <t>San Andrés</t>
  </si>
  <si>
    <t>GT1705</t>
  </si>
  <si>
    <t>GT1706</t>
  </si>
  <si>
    <t>San Francisco</t>
  </si>
  <si>
    <t>GT1707</t>
  </si>
  <si>
    <t>Santa Ana</t>
  </si>
  <si>
    <t>GT1708</t>
  </si>
  <si>
    <t>Dolores</t>
  </si>
  <si>
    <t>GT1709</t>
  </si>
  <si>
    <t>San Luis</t>
  </si>
  <si>
    <t>GT1710</t>
  </si>
  <si>
    <t>Sayaxché</t>
  </si>
  <si>
    <t>GT1711</t>
  </si>
  <si>
    <t>Melchor de Mencos</t>
  </si>
  <si>
    <t>GT1712</t>
  </si>
  <si>
    <t>Poptún</t>
  </si>
  <si>
    <t>GT1713</t>
  </si>
  <si>
    <t>Las Cruces</t>
  </si>
  <si>
    <t>GT1714</t>
  </si>
  <si>
    <t>El Chal</t>
  </si>
  <si>
    <t>GT1801</t>
  </si>
  <si>
    <t>Puerto Barrios</t>
  </si>
  <si>
    <t>GT1802</t>
  </si>
  <si>
    <t>Lívingston</t>
  </si>
  <si>
    <t>GT1803</t>
  </si>
  <si>
    <t>El Estor</t>
  </si>
  <si>
    <t>GT1804</t>
  </si>
  <si>
    <t>Morales</t>
  </si>
  <si>
    <t>GT1805</t>
  </si>
  <si>
    <t>Los Amates</t>
  </si>
  <si>
    <t>GT1901</t>
  </si>
  <si>
    <t>GT1902</t>
  </si>
  <si>
    <t>Estanzuela</t>
  </si>
  <si>
    <t>GT1903</t>
  </si>
  <si>
    <t>Río Hondo</t>
  </si>
  <si>
    <t>GT1904</t>
  </si>
  <si>
    <t>Gualán</t>
  </si>
  <si>
    <t>GT1905</t>
  </si>
  <si>
    <t>Teculután</t>
  </si>
  <si>
    <t>GT1906</t>
  </si>
  <si>
    <t>Usumatlán</t>
  </si>
  <si>
    <t>GT1907</t>
  </si>
  <si>
    <t>Cabañas</t>
  </si>
  <si>
    <t>GT1908</t>
  </si>
  <si>
    <t>San Diego</t>
  </si>
  <si>
    <t>GT1909</t>
  </si>
  <si>
    <t>La Unión</t>
  </si>
  <si>
    <t>GT1910</t>
  </si>
  <si>
    <t>Huité</t>
  </si>
  <si>
    <t>GT1911</t>
  </si>
  <si>
    <t>San Jorge</t>
  </si>
  <si>
    <t>GT2001</t>
  </si>
  <si>
    <t>GT2002</t>
  </si>
  <si>
    <t>San José La Arada</t>
  </si>
  <si>
    <t>GT2003</t>
  </si>
  <si>
    <t>San Juan Ermita</t>
  </si>
  <si>
    <t>GT2004</t>
  </si>
  <si>
    <t>Jocotán</t>
  </si>
  <si>
    <t>GT2005</t>
  </si>
  <si>
    <t>Camotán</t>
  </si>
  <si>
    <t>GT2006</t>
  </si>
  <si>
    <t>Olopa</t>
  </si>
  <si>
    <t>GT2007</t>
  </si>
  <si>
    <t>Esquipulas</t>
  </si>
  <si>
    <t>GT2008</t>
  </si>
  <si>
    <t>Concepción Las Minas</t>
  </si>
  <si>
    <t>GT2009</t>
  </si>
  <si>
    <t>Quezaltepeque</t>
  </si>
  <si>
    <t>GT2010</t>
  </si>
  <si>
    <t>San Jacinto</t>
  </si>
  <si>
    <t>GT2011</t>
  </si>
  <si>
    <t>Ipala</t>
  </si>
  <si>
    <t>GT2101</t>
  </si>
  <si>
    <t>GT2102</t>
  </si>
  <si>
    <t>San Pedro Pinula</t>
  </si>
  <si>
    <t>GT2103</t>
  </si>
  <si>
    <t>San Luis Jilotepeque</t>
  </si>
  <si>
    <t>GT2104</t>
  </si>
  <si>
    <t>San Manuel Chaparrón</t>
  </si>
  <si>
    <t>GT2105</t>
  </si>
  <si>
    <t>San Carlos Alzatate</t>
  </si>
  <si>
    <t>GT2106</t>
  </si>
  <si>
    <t>Monjas</t>
  </si>
  <si>
    <t>GT2107</t>
  </si>
  <si>
    <t>Mataquescuintla</t>
  </si>
  <si>
    <t>GT2201</t>
  </si>
  <si>
    <t>GT2202</t>
  </si>
  <si>
    <t>GT2203</t>
  </si>
  <si>
    <t>Santa Catarina Mita</t>
  </si>
  <si>
    <t>GT2204</t>
  </si>
  <si>
    <t>Agua Blanca</t>
  </si>
  <si>
    <t>GT2205</t>
  </si>
  <si>
    <t>Asunción Mita</t>
  </si>
  <si>
    <t>GT2206</t>
  </si>
  <si>
    <t>Yupiltepeque</t>
  </si>
  <si>
    <t>GT2207</t>
  </si>
  <si>
    <t>Atescatempa</t>
  </si>
  <si>
    <t>GT2208</t>
  </si>
  <si>
    <t>Jerez</t>
  </si>
  <si>
    <t>GT2209</t>
  </si>
  <si>
    <t>El Adelanto</t>
  </si>
  <si>
    <t>GT2210</t>
  </si>
  <si>
    <t>Zapotitlán</t>
  </si>
  <si>
    <t>GT2211</t>
  </si>
  <si>
    <t>Comapa</t>
  </si>
  <si>
    <t>GT2212</t>
  </si>
  <si>
    <t>Jalpatagua</t>
  </si>
  <si>
    <t>GT2213</t>
  </si>
  <si>
    <t>Conguaco</t>
  </si>
  <si>
    <t>GT2214</t>
  </si>
  <si>
    <t>Moyuta</t>
  </si>
  <si>
    <t>GT2215</t>
  </si>
  <si>
    <t>Pasaco</t>
  </si>
  <si>
    <t>GT2216</t>
  </si>
  <si>
    <t>San José Acatempa</t>
  </si>
  <si>
    <t>GT2217</t>
  </si>
  <si>
    <t>Quesada</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</si>
  <si>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</si>
  <si>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</si>
  <si>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</si>
  <si>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</si>
  <si>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</si>
  <si>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</si>
  <si>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</si>
  <si>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</si>
  <si>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</si>
  <si>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</si>
  <si>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</si>
  <si>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</si>
  <si>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</si>
  <si>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</si>
  <si>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</si>
  <si>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</si>
  <si>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</si>
  <si>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</si>
  <si>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</si>
  <si>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</si>
  <si>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</si>
  <si>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502********</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</si>
  <si>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</si>
  <si>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</si>
  <si>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</si>
  <si>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</si>
  <si>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</si>
  <si>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</si>
  <si>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</si>
  <si>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</si>
  <si>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</si>
  <si>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</si>
  <si>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</si>
  <si>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</si>
  <si>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</si>
  <si>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</si>
  <si>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</si>
  <si>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</si>
  <si>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</si>
  <si>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</si>
  <si>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</si>
  <si>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el año pasado</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</si>
  <si>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</si>
  <si>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</si>
  <si>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</si>
  <si>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</si>
  <si>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</si>
  <si>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primera</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</si>
  <si>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</si>
  <si>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</si>
  <si>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</si>
  <si>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</si>
  <si>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</si>
  <si>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terminado recientemente</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</si>
  <si>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</si>
  <si>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</si>
  <si>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</si>
  <si>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</si>
  <si>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</si>
  <si>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</si>
  <si>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</si>
  <si>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</si>
  <si>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</si>
  <si>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</si>
  <si>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</si>
  <si>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</si>
  <si>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Quetzal</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</si>
  <si>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</si>
  <si>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</si>
  <si>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</si>
  <si>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</si>
  <si>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</si>
  <si>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</si>
  <si>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</si>
  <si>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</si>
  <si>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</si>
  <si>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</si>
  <si>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chipilin, loroco, hierba mora, quilete</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</si>
  <si>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</si>
  <si>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</si>
  <si>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</si>
  <si>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</si>
  <si>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</si>
  <si>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Anona, mango, banano, papaya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</si>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</sst>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numFmt numFmtId="165" formatCode="0.0"/>
    <numFmt numFmtId="166" formatCode="0.0%"/>
  </numFmts>
  <fonts count="40" x14ac:knownFonts="1">
    <font>
      <sz val="10"/>
      <name val="Arial"/>
      <family val="2"/>
    </font>
    <font>
      <sz val="10"/>
      <color rgb="FF000000"/>
      <name val="Arial"/>
      <family val="2"/>
      <charset val="1"/>
    </font>
    <font>
      <sz val="11"/>
      <color theme="1"/>
      <name val="Calibri"/>
      <family val="2"/>
      <charset val="1"/>
    </font>
    <font>
      <sz val="12"/>
      <color theme="1"/>
      <name val="Calibri"/>
      <family val="2"/>
      <charset val="1"/>
    </font>
    <font>
      <sz val="11"/>
      <name val="Calibri"/>
      <family val="2"/>
      <charset val="1"/>
    </font>
    <font>
      <b/>
      <sz val="11"/>
      <color theme="1"/>
      <name val="Calibri"/>
      <family val="2"/>
      <charset val="1"/>
    </font>
    <font>
      <b/>
      <sz val="11"/>
      <name val="Calibri"/>
      <family val="2"/>
      <charset val="1"/>
    </font>
    <font>
      <sz val="11"/>
      <color theme="0" tint="-0.34998626667073579"/>
      <name val="Calibri"/>
      <family val="2"/>
      <charset val="1"/>
    </font>
    <font>
      <b/>
      <sz val="11"/>
      <color rgb="FF7030A0"/>
      <name val="Calibri"/>
      <family val="2"/>
      <charset val="1"/>
    </font>
    <font>
      <sz val="11"/>
      <color rgb="FF00B050"/>
      <name val="Calibri"/>
      <family val="2"/>
      <charset val="1"/>
    </font>
    <font>
      <sz val="11"/>
      <color theme="6" tint="-0.499984740745262"/>
      <name val="Calibri"/>
      <family val="2"/>
      <charset val="1"/>
    </font>
    <font>
      <sz val="11"/>
      <color rgb="FF000000"/>
      <name val="Calibri"/>
      <family val="2"/>
      <charset val="1"/>
    </font>
    <font>
      <sz val="11"/>
      <color theme="0" tint="-0.34998626667073579"/>
      <name val="Calibri (Cuerpo)"/>
      <charset val="1"/>
    </font>
    <font>
      <sz val="11"/>
      <color rgb="FF000000"/>
      <name val="Calibri"/>
      <family val="2"/>
    </font>
    <font>
      <sz val="11"/>
      <color rgb="FFA6A6A6"/>
      <name val="Calibri"/>
      <family val="2"/>
      <charset val="1"/>
    </font>
    <font>
      <sz val="10"/>
      <name val="Arial"/>
      <family val="2"/>
      <charset val="1"/>
    </font>
    <font>
      <b/>
      <sz val="11"/>
      <color theme="0" tint="-0.34998626667073579"/>
      <name val="Calibri"/>
      <family val="2"/>
      <charset val="1"/>
    </font>
    <font>
      <sz val="11"/>
      <color rgb="FF0070C0"/>
      <name val="Calibri"/>
      <family val="2"/>
      <charset val="1"/>
    </font>
    <font>
      <sz val="11"/>
      <color rgb="FF7030A0"/>
      <name val="Calibri"/>
      <family val="2"/>
      <charset val="1"/>
    </font>
    <font>
      <sz val="11"/>
      <color rgb="FFFF0000"/>
      <name val="Calibri"/>
      <family val="2"/>
      <charset val="1"/>
    </font>
    <font>
      <b/>
      <sz val="12"/>
      <name val="Calibri"/>
      <family val="2"/>
      <charset val="1"/>
    </font>
    <font>
      <sz val="12"/>
      <color theme="9" tint="-0.499984740745262"/>
      <name val="Calibri"/>
      <family val="2"/>
      <charset val="1"/>
    </font>
    <font>
      <b/>
      <sz val="12"/>
      <color theme="0"/>
      <name val="Calibri"/>
      <family val="2"/>
      <charset val="1"/>
    </font>
    <font>
      <b/>
      <sz val="11"/>
      <color rgb="FF000000"/>
      <name val="Calibri"/>
      <family val="2"/>
      <charset val="1"/>
    </font>
    <font>
      <i/>
      <sz val="11"/>
      <color theme="0" tint="-0.34998626667073579"/>
      <name val="Calibri (Body)"/>
      <charset val="1"/>
    </font>
    <font>
      <sz val="12"/>
      <color rgb="FF000000"/>
      <name val="Calibri"/>
      <family val="2"/>
      <charset val="1"/>
    </font>
    <font>
      <i/>
      <sz val="11"/>
      <color theme="0" tint="-0.34998626667073579"/>
      <name val="Calibri"/>
      <family val="2"/>
      <charset val="1"/>
    </font>
    <font>
      <i/>
      <sz val="11"/>
      <color rgb="FF000000"/>
      <name val="Calibri"/>
      <family val="2"/>
      <charset val="1"/>
    </font>
    <font>
      <i/>
      <sz val="10.5"/>
      <name val="Calibri"/>
      <family val="2"/>
      <charset val="1"/>
    </font>
    <font>
      <sz val="11"/>
      <color theme="0" tint="-0.34998626667073579"/>
      <name val="Arial"/>
      <family val="2"/>
      <scheme val="minor"/>
    </font>
    <font>
      <sz val="11"/>
      <name val="Arial"/>
      <family val="2"/>
      <scheme val="minor"/>
    </font>
    <font>
      <sz val="10"/>
      <name val="Arial"/>
      <family val="2"/>
      <scheme val="minor"/>
    </font>
    <font>
      <sz val="11"/>
      <color rgb="FF000000"/>
      <name val="Arial"/>
      <family val="2"/>
      <scheme val="minor"/>
    </font>
    <font>
      <sz val="11"/>
      <color rgb="FF7030A0"/>
      <name val="Arial"/>
      <family val="2"/>
      <scheme val="minor"/>
    </font>
    <font>
      <sz val="12"/>
      <color theme="1"/>
      <name val="Arial"/>
      <family val="2"/>
      <scheme val="minor"/>
    </font>
    <font>
      <b/>
      <sz val="11"/>
      <color theme="0" tint="-0.34998626667073579"/>
      <name val="Arial"/>
      <family val="2"/>
      <scheme val="minor"/>
    </font>
    <font>
      <sz val="11"/>
      <name val="Calibri (Body)"/>
    </font>
    <font>
      <b/>
      <sz val="11"/>
      <name val="Arial"/>
      <family val="2"/>
      <scheme val="minor"/>
    </font>
    <font>
      <sz val="12"/>
      <color theme="0" tint="-0.34998626667073579"/>
      <name val="Arial"/>
      <family val="2"/>
      <scheme val="minor"/>
    </font>
    <font>
      <i/>
      <sz val="11"/>
      <color theme="0" tint="-0.34998626667073579"/>
      <name val="Arial"/>
      <family val="2"/>
      <scheme val="minor"/>
    </font>
  </fonts>
  <fills count="10">
    <fill>
      <patternFill patternType="none"/>
    </fill>
    <fill>
      <patternFill patternType="gray125"/>
    </fill>
    <fill>
      <patternFill patternType="solid">
        <fgColor rgb="FFA5A5A5"/>
        <bgColor rgb="FFA6A6A6"/>
      </patternFill>
    </fill>
    <fill>
      <patternFill patternType="solid">
        <fgColor theme="5" tint="0.79989013336588644"/>
        <bgColor rgb="FFF6DFDC"/>
      </patternFill>
    </fill>
    <fill>
      <patternFill patternType="solid">
        <fgColor theme="4" tint="0.79989013336588644"/>
        <bgColor rgb="FFF2DCDB"/>
      </patternFill>
    </fill>
    <fill>
      <patternFill patternType="solid">
        <fgColor rgb="FFFFFF00"/>
        <bgColor rgb="FFFFFF00"/>
      </patternFill>
    </fill>
    <fill>
      <patternFill patternType="solid">
        <fgColor rgb="FFF6DFDC"/>
        <bgColor rgb="FFF2DCDB"/>
      </patternFill>
    </fill>
    <fill>
      <patternFill patternType="solid">
        <fgColor theme="0"/>
        <bgColor rgb="FFDCE6F2"/>
      </patternFill>
    </fill>
    <fill>
      <patternFill patternType="solid">
        <fgColor rgb="FFFFFF00"/>
        <bgColor indexed="64"/>
      </patternFill>
    </fill>
    <fill>
      <patternFill patternType="solid">
        <fgColor theme="5" tint="0.79998168889431442"/>
        <bgColor indexed="64"/>
      </patternFill>
    </fill>
  </fills>
  <borders count="49">
    <border>
      <left/>
      <right/>
      <top/>
      <bottom/>
      <diagonal/>
    </border>
    <border>
      <left style="double">
        <color rgb="FF3F3F3F"/>
      </left>
      <right style="double">
        <color rgb="FF3F3F3F"/>
      </right>
      <top style="double">
        <color rgb="FF3F3F3F"/>
      </top>
      <bottom style="double">
        <color rgb="FF3F3F3F"/>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ck">
        <color auto="1"/>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auto="1"/>
      </right>
      <top style="medium">
        <color auto="1"/>
      </top>
      <bottom style="medium">
        <color auto="1"/>
      </bottom>
      <diagonal/>
    </border>
    <border>
      <left/>
      <right style="thin">
        <color theme="0"/>
      </right>
      <top style="thin">
        <color theme="0"/>
      </top>
      <bottom style="thin">
        <color theme="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thin">
        <color theme="0"/>
      </top>
      <bottom style="thin">
        <color theme="0"/>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top/>
      <bottom style="medium">
        <color auto="1"/>
      </bottom>
      <diagonal/>
    </border>
    <border>
      <left/>
      <right style="thin">
        <color auto="1"/>
      </right>
      <top style="medium">
        <color auto="1"/>
      </top>
      <bottom/>
      <diagonal/>
    </border>
    <border>
      <left/>
      <right style="medium">
        <color auto="1"/>
      </right>
      <top style="medium">
        <color auto="1"/>
      </top>
      <bottom/>
      <diagonal/>
    </border>
    <border>
      <left/>
      <right style="thin">
        <color auto="1"/>
      </right>
      <top style="thin">
        <color auto="1"/>
      </top>
      <bottom/>
      <diagonal/>
    </border>
    <border>
      <left/>
      <right style="medium">
        <color auto="1"/>
      </right>
      <top style="thin">
        <color auto="1"/>
      </top>
      <bottom/>
      <diagonal/>
    </border>
    <border>
      <left style="medium">
        <color auto="1"/>
      </left>
      <right style="medium">
        <color auto="1"/>
      </right>
      <top/>
      <bottom/>
      <diagonal/>
    </border>
  </borders>
  <cellStyleXfs count="8">
    <xf numFmtId="0" fontId="0" fillId="0" borderId="0"/>
    <xf numFmtId="164" fontId="2" fillId="0" borderId="0"/>
    <xf numFmtId="0" fontId="1" fillId="0" borderId="0"/>
    <xf numFmtId="0" fontId="2" fillId="0" borderId="0"/>
    <xf numFmtId="0" fontId="3" fillId="0" borderId="0"/>
    <xf numFmtId="0" fontId="3" fillId="0" borderId="0"/>
    <xf numFmtId="0" fontId="3" fillId="0" borderId="0"/>
    <xf numFmtId="0" fontId="22" fillId="2" borderId="1"/>
  </cellStyleXfs>
  <cellXfs count="335">
    <xf numFmtId="0" fontId="0" fillId="0" borderId="0" xfId="0"/>
    <xf numFmtId="0" fontId="0" fillId="0" borderId="0" xfId="0" applyAlignment="1" applyProtection="1">
      <alignment vertical="top"/>
      <protection locked="0"/>
    </xf>
    <xf numFmtId="0" fontId="0" fillId="0" borderId="0" xfId="0" applyAlignment="1" applyProtection="1">
      <alignment vertical="top" wrapText="1"/>
      <protection locked="0"/>
    </xf>
    <xf numFmtId="0" fontId="0" fillId="0" borderId="0" xfId="0" applyAlignment="1" applyProtection="1">
      <alignment vertical="center"/>
      <protection locked="0"/>
    </xf>
    <xf numFmtId="0" fontId="4" fillId="0" borderId="0" xfId="0" applyFont="1" applyAlignment="1" applyProtection="1">
      <alignment horizontal="right" vertical="top"/>
      <protection locked="0"/>
    </xf>
    <xf numFmtId="164" fontId="4" fillId="0" borderId="0" xfId="1" applyFont="1" applyAlignment="1" applyProtection="1">
      <alignment vertical="top"/>
      <protection locked="0"/>
    </xf>
    <xf numFmtId="0" fontId="4" fillId="0" borderId="0" xfId="0" applyFont="1" applyAlignment="1" applyProtection="1">
      <alignment vertical="top"/>
      <protection locked="0"/>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pplyProtection="1">
      <alignment horizontal="center" vertical="center"/>
      <protection locked="0"/>
    </xf>
    <xf numFmtId="0" fontId="5" fillId="0" borderId="2" xfId="0" applyFont="1" applyBorder="1" applyAlignment="1" applyProtection="1">
      <alignment horizontal="center" vertical="center" wrapText="1"/>
      <protection locked="0"/>
    </xf>
    <xf numFmtId="0" fontId="6" fillId="4" borderId="3" xfId="0" applyFont="1" applyFill="1" applyBorder="1" applyAlignment="1" applyProtection="1">
      <alignment horizontal="center" vertical="center" wrapText="1"/>
      <protection locked="0"/>
    </xf>
    <xf numFmtId="164" fontId="6" fillId="4" borderId="4" xfId="1" applyFont="1" applyFill="1" applyBorder="1" applyAlignment="1" applyProtection="1">
      <alignment horizontal="center" vertical="center" wrapText="1"/>
      <protection locked="0"/>
    </xf>
    <xf numFmtId="0" fontId="6" fillId="4" borderId="4" xfId="0" applyFont="1" applyFill="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2" fillId="0" borderId="0" xfId="0" applyFont="1" applyAlignment="1">
      <alignment vertical="top"/>
    </xf>
    <xf numFmtId="0" fontId="0" fillId="0" borderId="0" xfId="0" applyAlignment="1">
      <alignment vertical="top" wrapText="1"/>
    </xf>
    <xf numFmtId="0" fontId="0" fillId="0" borderId="0" xfId="0" applyAlignment="1">
      <alignment vertical="center"/>
    </xf>
    <xf numFmtId="165" fontId="4" fillId="0" borderId="0" xfId="0" applyNumberFormat="1" applyFont="1" applyAlignment="1" applyProtection="1">
      <alignment horizontal="right" vertical="top"/>
      <protection locked="0"/>
    </xf>
    <xf numFmtId="165" fontId="4" fillId="0" borderId="0" xfId="0" applyNumberFormat="1" applyFont="1" applyAlignment="1" applyProtection="1">
      <alignment vertical="top"/>
      <protection locked="0"/>
    </xf>
    <xf numFmtId="0" fontId="7" fillId="0" borderId="0" xfId="0" applyFont="1" applyAlignment="1" applyProtection="1">
      <alignment vertical="top"/>
      <protection locked="0"/>
    </xf>
    <xf numFmtId="0" fontId="7" fillId="0" borderId="0" xfId="0" applyFont="1" applyAlignment="1" applyProtection="1">
      <alignment vertical="top" wrapText="1"/>
      <protection locked="0"/>
    </xf>
    <xf numFmtId="0" fontId="7" fillId="0" borderId="0" xfId="0" applyFont="1" applyAlignment="1" applyProtection="1">
      <alignment vertical="center"/>
      <protection locked="0"/>
    </xf>
    <xf numFmtId="165" fontId="7" fillId="0" borderId="0" xfId="0" applyNumberFormat="1" applyFont="1" applyAlignment="1" applyProtection="1">
      <alignment horizontal="right" vertical="top"/>
      <protection locked="0"/>
    </xf>
    <xf numFmtId="164" fontId="7" fillId="0" borderId="0" xfId="1" applyFont="1" applyAlignment="1" applyProtection="1">
      <alignment vertical="top"/>
      <protection locked="0"/>
    </xf>
    <xf numFmtId="165" fontId="7" fillId="0" borderId="0" xfId="0" applyNumberFormat="1" applyFont="1" applyAlignment="1" applyProtection="1">
      <alignment vertical="top"/>
      <protection locked="0"/>
    </xf>
    <xf numFmtId="0" fontId="7" fillId="0" borderId="6" xfId="0" applyFont="1" applyBorder="1" applyAlignment="1" applyProtection="1">
      <alignment vertical="top"/>
      <protection locked="0"/>
    </xf>
    <xf numFmtId="0" fontId="7" fillId="0" borderId="6" xfId="0" applyFont="1" applyBorder="1" applyAlignment="1" applyProtection="1">
      <alignment vertical="top" wrapText="1"/>
      <protection locked="0"/>
    </xf>
    <xf numFmtId="0" fontId="7" fillId="0" borderId="6" xfId="0" applyFont="1" applyBorder="1" applyAlignment="1" applyProtection="1">
      <alignment vertical="center"/>
      <protection locked="0"/>
    </xf>
    <xf numFmtId="0" fontId="2" fillId="0" borderId="0" xfId="0" applyFont="1" applyAlignment="1" applyProtection="1">
      <alignment horizontal="left" vertical="center" wrapText="1"/>
      <protection locked="0"/>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xf>
    <xf numFmtId="0" fontId="4" fillId="0" borderId="6" xfId="0" applyFont="1" applyBorder="1" applyAlignment="1" applyProtection="1">
      <alignment vertical="top"/>
      <protection locked="0"/>
    </xf>
    <xf numFmtId="0" fontId="4" fillId="0" borderId="6" xfId="0" applyFont="1" applyBorder="1" applyAlignment="1" applyProtection="1">
      <alignment vertical="top" wrapText="1"/>
      <protection locked="0"/>
    </xf>
    <xf numFmtId="0" fontId="4" fillId="0" borderId="6" xfId="0" applyFont="1" applyBorder="1" applyAlignment="1" applyProtection="1">
      <alignment vertical="center"/>
      <protection locked="0"/>
    </xf>
    <xf numFmtId="0" fontId="5" fillId="0" borderId="0" xfId="0" applyFont="1" applyAlignment="1">
      <alignment vertical="top"/>
    </xf>
    <xf numFmtId="0" fontId="5" fillId="0" borderId="0" xfId="0" applyFont="1" applyAlignment="1">
      <alignment vertical="top" wrapText="1"/>
    </xf>
    <xf numFmtId="0" fontId="5" fillId="0" borderId="0" xfId="0" applyFont="1" applyAlignment="1">
      <alignment vertical="center"/>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 fillId="0" borderId="0" xfId="0" applyFont="1" applyAlignment="1">
      <alignment vertical="center"/>
    </xf>
    <xf numFmtId="0" fontId="9" fillId="0" borderId="0" xfId="0" applyFont="1" applyAlignment="1" applyProtection="1">
      <alignment vertical="center"/>
      <protection locked="0"/>
    </xf>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pplyProtection="1">
      <alignment vertical="top"/>
      <protection locked="0"/>
    </xf>
    <xf numFmtId="0" fontId="10" fillId="0" borderId="0" xfId="0" applyFont="1" applyAlignment="1">
      <alignment vertical="center"/>
    </xf>
    <xf numFmtId="0" fontId="9" fillId="0" borderId="0" xfId="0" applyFont="1" applyAlignment="1">
      <alignment vertical="center"/>
    </xf>
    <xf numFmtId="0" fontId="9" fillId="0" borderId="0" xfId="0" applyFont="1" applyAlignment="1" applyProtection="1">
      <alignment vertical="top"/>
      <protection locked="0"/>
    </xf>
    <xf numFmtId="0" fontId="2" fillId="0" borderId="0" xfId="0" applyFont="1" applyAlignment="1">
      <alignment vertical="top" wrapText="1"/>
    </xf>
    <xf numFmtId="0" fontId="2" fillId="0" borderId="0" xfId="0" applyFont="1" applyAlignment="1">
      <alignment vertical="center" wrapText="1"/>
    </xf>
    <xf numFmtId="165" fontId="4" fillId="0" borderId="0" xfId="0" applyNumberFormat="1" applyFont="1" applyAlignment="1" applyProtection="1">
      <alignment horizontal="right" vertical="top" wrapText="1"/>
      <protection locked="0"/>
    </xf>
    <xf numFmtId="165" fontId="4" fillId="0" borderId="0" xfId="0" applyNumberFormat="1" applyFont="1" applyAlignment="1" applyProtection="1">
      <alignment vertical="top" wrapText="1"/>
      <protection locked="0"/>
    </xf>
    <xf numFmtId="0" fontId="4" fillId="0" borderId="0" xfId="0" applyFont="1" applyAlignment="1" applyProtection="1">
      <alignment vertical="top" wrapText="1"/>
      <protection locked="0"/>
    </xf>
    <xf numFmtId="0" fontId="7" fillId="0" borderId="0" xfId="0" applyFont="1" applyAlignment="1">
      <alignment vertical="top" wrapText="1"/>
    </xf>
    <xf numFmtId="0" fontId="4" fillId="0" borderId="6" xfId="0" applyFont="1" applyBorder="1" applyAlignment="1">
      <alignment vertical="top"/>
    </xf>
    <xf numFmtId="0" fontId="4" fillId="0" borderId="6" xfId="0" applyFont="1" applyBorder="1" applyAlignment="1">
      <alignment vertical="top" wrapText="1"/>
    </xf>
    <xf numFmtId="0" fontId="4" fillId="0" borderId="6" xfId="0" applyFont="1" applyBorder="1" applyAlignment="1">
      <alignment vertical="center"/>
    </xf>
    <xf numFmtId="165" fontId="4" fillId="5" borderId="0" xfId="0" applyNumberFormat="1" applyFont="1" applyFill="1" applyAlignment="1" applyProtection="1">
      <alignment horizontal="right" vertical="top"/>
      <protection locked="0"/>
    </xf>
    <xf numFmtId="164" fontId="4" fillId="5" borderId="0" xfId="1" applyFont="1" applyFill="1" applyAlignment="1" applyProtection="1">
      <alignment vertical="top"/>
      <protection locked="0"/>
    </xf>
    <xf numFmtId="165" fontId="4" fillId="5" borderId="0" xfId="0" applyNumberFormat="1" applyFont="1" applyFill="1" applyAlignment="1" applyProtection="1">
      <alignment vertical="top"/>
      <protection locked="0"/>
    </xf>
    <xf numFmtId="0" fontId="11" fillId="0" borderId="0" xfId="0" applyFont="1" applyAlignment="1" applyProtection="1">
      <alignment vertical="top"/>
      <protection locked="0"/>
    </xf>
    <xf numFmtId="0" fontId="4" fillId="0" borderId="0" xfId="0" applyFont="1" applyAlignment="1" applyProtection="1">
      <alignment vertical="center"/>
      <protection locked="0"/>
    </xf>
    <xf numFmtId="0" fontId="2" fillId="0" borderId="6" xfId="0" applyFont="1" applyBorder="1" applyAlignment="1">
      <alignment vertical="top"/>
    </xf>
    <xf numFmtId="0" fontId="0" fillId="0" borderId="6" xfId="0" applyBorder="1" applyAlignment="1">
      <alignment vertical="top" wrapText="1"/>
    </xf>
    <xf numFmtId="0" fontId="0" fillId="0" borderId="6" xfId="0" applyBorder="1" applyAlignment="1">
      <alignment vertical="center"/>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vertical="center"/>
    </xf>
    <xf numFmtId="165" fontId="4" fillId="0" borderId="0" xfId="0" applyNumberFormat="1" applyFont="1" applyAlignment="1">
      <alignment horizontal="right" vertical="top"/>
    </xf>
    <xf numFmtId="164" fontId="4" fillId="0" borderId="0" xfId="1" applyFont="1" applyAlignment="1">
      <alignment vertical="top"/>
    </xf>
    <xf numFmtId="165" fontId="4" fillId="0" borderId="0" xfId="0" applyNumberFormat="1" applyFont="1" applyAlignment="1">
      <alignment vertical="top"/>
    </xf>
    <xf numFmtId="0" fontId="13" fillId="0" borderId="0" xfId="0" applyFont="1" applyAlignment="1">
      <alignment vertical="top" wrapText="1"/>
    </xf>
    <xf numFmtId="0" fontId="14" fillId="0" borderId="0" xfId="0" applyFont="1" applyAlignment="1" applyProtection="1">
      <alignment vertical="center"/>
      <protection locked="0"/>
    </xf>
    <xf numFmtId="164" fontId="4" fillId="0" borderId="0" xfId="1" applyFont="1" applyAlignment="1" applyProtection="1">
      <alignment vertical="top" wrapText="1"/>
      <protection locked="0"/>
    </xf>
    <xf numFmtId="0" fontId="4" fillId="0" borderId="0" xfId="0" applyFont="1" applyAlignment="1">
      <alignment horizontal="left" vertical="top"/>
    </xf>
    <xf numFmtId="0" fontId="5" fillId="0" borderId="0" xfId="0" applyFont="1" applyAlignment="1" applyProtection="1">
      <alignment vertical="top" wrapText="1"/>
      <protection locked="0"/>
    </xf>
    <xf numFmtId="0" fontId="5" fillId="0" borderId="0" xfId="0" applyFont="1" applyAlignment="1" applyProtection="1">
      <alignment vertical="center"/>
      <protection locked="0"/>
    </xf>
    <xf numFmtId="0" fontId="4" fillId="0" borderId="7" xfId="2" applyFont="1" applyBorder="1" applyAlignment="1" applyProtection="1">
      <alignment horizontal="center" vertical="center" wrapText="1"/>
      <protection locked="0"/>
    </xf>
    <xf numFmtId="0" fontId="0" fillId="0" borderId="6" xfId="0" applyBorder="1" applyAlignment="1" applyProtection="1">
      <alignment vertical="top"/>
      <protection locked="0"/>
    </xf>
    <xf numFmtId="0" fontId="4" fillId="0" borderId="0" xfId="0" applyFont="1" applyAlignment="1">
      <alignment horizontal="left" vertical="center" wrapText="1"/>
    </xf>
    <xf numFmtId="0" fontId="11" fillId="0" borderId="0" xfId="0" applyFont="1" applyAlignment="1">
      <alignment vertical="top"/>
    </xf>
    <xf numFmtId="166" fontId="4" fillId="0" borderId="0" xfId="0" applyNumberFormat="1"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4" fillId="0" borderId="0" xfId="3" applyFont="1" applyAlignment="1" applyProtection="1">
      <alignment wrapText="1"/>
      <protection locked="0"/>
    </xf>
    <xf numFmtId="164" fontId="4" fillId="0" borderId="0" xfId="0" applyNumberFormat="1" applyFont="1" applyAlignment="1" applyProtection="1">
      <alignment vertical="top"/>
      <protection locked="0"/>
    </xf>
    <xf numFmtId="0" fontId="16" fillId="0" borderId="0" xfId="0" applyFont="1" applyAlignment="1" applyProtection="1">
      <alignment vertical="top" wrapText="1"/>
      <protection locked="0"/>
    </xf>
    <xf numFmtId="164" fontId="7" fillId="0" borderId="0" xfId="0" applyNumberFormat="1" applyFont="1" applyAlignment="1" applyProtection="1">
      <alignment vertical="top"/>
      <protection locked="0"/>
    </xf>
    <xf numFmtId="0" fontId="17" fillId="0" borderId="0" xfId="0" applyFont="1" applyAlignment="1" applyProtection="1">
      <alignment vertical="top"/>
      <protection locked="0"/>
    </xf>
    <xf numFmtId="0" fontId="17" fillId="0" borderId="0" xfId="0" applyFont="1" applyAlignment="1" applyProtection="1">
      <alignment vertical="center"/>
      <protection locked="0"/>
    </xf>
    <xf numFmtId="0" fontId="12" fillId="0" borderId="0" xfId="0" applyFont="1" applyAlignment="1" applyProtection="1">
      <alignment vertical="top" wrapText="1"/>
      <protection locked="0"/>
    </xf>
    <xf numFmtId="0" fontId="4" fillId="0" borderId="8" xfId="0" applyFont="1" applyBorder="1" applyAlignment="1" applyProtection="1">
      <alignment vertical="top"/>
      <protection locked="0"/>
    </xf>
    <xf numFmtId="0" fontId="0" fillId="0" borderId="8" xfId="0" applyBorder="1" applyAlignment="1" applyProtection="1">
      <alignment vertical="top" wrapText="1"/>
      <protection locked="0"/>
    </xf>
    <xf numFmtId="0" fontId="0" fillId="0" borderId="8" xfId="0" applyBorder="1" applyAlignment="1" applyProtection="1">
      <alignment vertical="top"/>
      <protection locked="0"/>
    </xf>
    <xf numFmtId="0" fontId="0" fillId="0" borderId="8" xfId="0" applyBorder="1" applyAlignment="1" applyProtection="1">
      <alignment vertical="center"/>
      <protection locked="0"/>
    </xf>
    <xf numFmtId="165" fontId="4" fillId="0" borderId="8" xfId="0" applyNumberFormat="1" applyFont="1" applyBorder="1" applyAlignment="1" applyProtection="1">
      <alignment horizontal="right" vertical="top"/>
      <protection locked="0"/>
    </xf>
    <xf numFmtId="164" fontId="4" fillId="0" borderId="8" xfId="0" applyNumberFormat="1" applyFont="1" applyBorder="1" applyAlignment="1" applyProtection="1">
      <alignment vertical="top"/>
      <protection locked="0"/>
    </xf>
    <xf numFmtId="165" fontId="4" fillId="0" borderId="8" xfId="0" applyNumberFormat="1" applyFont="1" applyBorder="1" applyAlignment="1" applyProtection="1">
      <alignment vertical="top"/>
      <protection locked="0"/>
    </xf>
    <xf numFmtId="0" fontId="0" fillId="0" borderId="8" xfId="0" applyBorder="1"/>
    <xf numFmtId="0" fontId="7" fillId="0" borderId="0" xfId="0" applyFont="1" applyAlignment="1" applyProtection="1">
      <alignment vertical="center" wrapText="1"/>
      <protection locked="0"/>
    </xf>
    <xf numFmtId="49" fontId="10" fillId="0" borderId="0" xfId="0" applyNumberFormat="1" applyFont="1" applyAlignment="1">
      <alignment horizontal="left" vertical="top" wrapText="1"/>
    </xf>
    <xf numFmtId="0" fontId="19" fillId="0" borderId="0" xfId="0" applyFont="1" applyAlignment="1">
      <alignment vertical="center"/>
    </xf>
    <xf numFmtId="0" fontId="20" fillId="0" borderId="9" xfId="0" applyFont="1" applyBorder="1" applyProtection="1">
      <protection locked="0"/>
    </xf>
    <xf numFmtId="0" fontId="0" fillId="0" borderId="10" xfId="0" applyBorder="1" applyAlignment="1" applyProtection="1">
      <alignment vertical="top"/>
      <protection locked="0"/>
    </xf>
    <xf numFmtId="0" fontId="6" fillId="0" borderId="10" xfId="0" applyFont="1" applyBorder="1" applyAlignment="1" applyProtection="1">
      <alignment horizontal="right" vertical="top"/>
      <protection locked="0"/>
    </xf>
    <xf numFmtId="164" fontId="6" fillId="0" borderId="10" xfId="1" applyFont="1" applyBorder="1" applyAlignment="1" applyProtection="1">
      <alignment vertical="top"/>
      <protection locked="0"/>
    </xf>
    <xf numFmtId="0" fontId="6" fillId="0" borderId="11" xfId="0" applyFont="1" applyBorder="1" applyAlignment="1" applyProtection="1">
      <alignment vertical="top"/>
      <protection locked="0"/>
    </xf>
    <xf numFmtId="0" fontId="0" fillId="0" borderId="0" xfId="0" applyProtection="1">
      <protection locked="0"/>
    </xf>
    <xf numFmtId="0" fontId="5" fillId="0" borderId="0" xfId="0" applyFont="1" applyProtection="1">
      <protection locked="0"/>
    </xf>
    <xf numFmtId="0" fontId="5" fillId="0" borderId="0" xfId="0" applyFont="1"/>
    <xf numFmtId="0" fontId="7" fillId="0" borderId="0" xfId="0" applyFont="1" applyProtection="1">
      <protection locked="0"/>
    </xf>
    <xf numFmtId="0" fontId="7" fillId="6" borderId="0" xfId="0" applyFont="1" applyFill="1" applyProtection="1">
      <protection locked="0"/>
    </xf>
    <xf numFmtId="0" fontId="7" fillId="3" borderId="0" xfId="0" applyFont="1" applyFill="1" applyProtection="1">
      <protection locked="0"/>
    </xf>
    <xf numFmtId="0" fontId="16" fillId="0" borderId="0" xfId="0" applyFont="1" applyProtection="1">
      <protection locked="0"/>
    </xf>
    <xf numFmtId="0" fontId="4" fillId="3" borderId="0" xfId="0" applyFont="1" applyFill="1" applyProtection="1">
      <protection locked="0"/>
    </xf>
    <xf numFmtId="0" fontId="0" fillId="3" borderId="0" xfId="0" applyFill="1" applyProtection="1">
      <protection locked="0"/>
    </xf>
    <xf numFmtId="0" fontId="0" fillId="6" borderId="0" xfId="0" applyFill="1" applyProtection="1">
      <protection locked="0"/>
    </xf>
    <xf numFmtId="0" fontId="11" fillId="0" borderId="0" xfId="0" applyFont="1"/>
    <xf numFmtId="49" fontId="21" fillId="7" borderId="12" xfId="0" applyNumberFormat="1" applyFont="1" applyFill="1" applyBorder="1" applyAlignment="1">
      <alignment vertical="center" wrapText="1"/>
    </xf>
    <xf numFmtId="0" fontId="4" fillId="0" borderId="0" xfId="0" applyFont="1" applyProtection="1">
      <protection locked="0"/>
    </xf>
    <xf numFmtId="0" fontId="18" fillId="0" borderId="0" xfId="0" applyFont="1" applyProtection="1">
      <protection locked="0"/>
    </xf>
    <xf numFmtId="0" fontId="4" fillId="0" borderId="0" xfId="0" applyFont="1"/>
    <xf numFmtId="0" fontId="11" fillId="0" borderId="0" xfId="0" applyFont="1" applyProtection="1">
      <protection locked="0"/>
    </xf>
    <xf numFmtId="0" fontId="7" fillId="0" borderId="0" xfId="0" applyFont="1"/>
    <xf numFmtId="0" fontId="19" fillId="0" borderId="0" xfId="0" applyFont="1" applyProtection="1">
      <protection locked="0"/>
    </xf>
    <xf numFmtId="0" fontId="8" fillId="0" borderId="0" xfId="0" applyFont="1" applyProtection="1">
      <protection locked="0"/>
    </xf>
    <xf numFmtId="0" fontId="2" fillId="0" borderId="0" xfId="0" applyFont="1" applyProtection="1">
      <protection locked="0"/>
    </xf>
    <xf numFmtId="0" fontId="0" fillId="0" borderId="13" xfId="0" applyBorder="1"/>
    <xf numFmtId="0" fontId="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4" fillId="0" borderId="14" xfId="0" applyFont="1" applyBorder="1" applyAlignment="1">
      <alignment horizontal="center" vertical="center"/>
    </xf>
    <xf numFmtId="0" fontId="0" fillId="0" borderId="14" xfId="0" applyBorder="1" applyAlignment="1">
      <alignment vertical="center"/>
    </xf>
    <xf numFmtId="0" fontId="0" fillId="0" borderId="14" xfId="0" applyBorder="1" applyAlignment="1">
      <alignment wrapText="1"/>
    </xf>
    <xf numFmtId="0" fontId="0" fillId="0" borderId="15" xfId="0" applyBorder="1"/>
    <xf numFmtId="0" fontId="5"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horizontal="center" vertical="center" wrapText="1"/>
    </xf>
    <xf numFmtId="0" fontId="20" fillId="3" borderId="7" xfId="7" applyFont="1" applyFill="1" applyBorder="1" applyAlignment="1" applyProtection="1">
      <alignment horizontal="center" vertical="center"/>
      <protection locked="0"/>
    </xf>
    <xf numFmtId="0" fontId="4" fillId="0" borderId="7" xfId="0" applyFont="1" applyBorder="1" applyAlignment="1">
      <alignment horizontal="center" vertical="center"/>
    </xf>
    <xf numFmtId="0" fontId="4" fillId="0" borderId="7" xfId="0" applyFont="1" applyBorder="1" applyAlignment="1">
      <alignment wrapText="1"/>
    </xf>
    <xf numFmtId="0" fontId="20" fillId="0" borderId="7" xfId="7" applyFont="1" applyFill="1" applyBorder="1" applyAlignment="1">
      <alignment horizontal="center" vertical="center"/>
    </xf>
    <xf numFmtId="0" fontId="6" fillId="0" borderId="7" xfId="0" applyFont="1" applyBorder="1" applyAlignment="1">
      <alignment wrapText="1"/>
    </xf>
    <xf numFmtId="0" fontId="0" fillId="0" borderId="15" xfId="0" applyBorder="1" applyAlignment="1">
      <alignment wrapText="1"/>
    </xf>
    <xf numFmtId="0" fontId="20" fillId="0" borderId="7" xfId="7"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16" xfId="0" applyFont="1" applyBorder="1" applyAlignment="1">
      <alignment horizontal="center" vertical="center"/>
    </xf>
    <xf numFmtId="0" fontId="0" fillId="0" borderId="16" xfId="0" applyBorder="1" applyAlignment="1">
      <alignment vertical="center"/>
    </xf>
    <xf numFmtId="0" fontId="0" fillId="0" borderId="16" xfId="0" applyBorder="1" applyAlignment="1">
      <alignment wrapText="1"/>
    </xf>
    <xf numFmtId="0" fontId="3" fillId="0" borderId="13" xfId="4" applyBorder="1"/>
    <xf numFmtId="0" fontId="3" fillId="0" borderId="13" xfId="4" applyBorder="1" applyAlignment="1">
      <alignment vertical="center"/>
    </xf>
    <xf numFmtId="0" fontId="3" fillId="0" borderId="13" xfId="6" applyBorder="1"/>
    <xf numFmtId="0" fontId="3" fillId="0" borderId="14" xfId="4" applyBorder="1"/>
    <xf numFmtId="0" fontId="3" fillId="0" borderId="14" xfId="4" applyBorder="1" applyAlignment="1">
      <alignment vertical="center"/>
    </xf>
    <xf numFmtId="0" fontId="3" fillId="0" borderId="14" xfId="6" applyBorder="1"/>
    <xf numFmtId="0" fontId="3" fillId="0" borderId="15" xfId="4" applyBorder="1" applyAlignment="1">
      <alignment vertical="center"/>
    </xf>
    <xf numFmtId="0" fontId="3" fillId="0" borderId="17" xfId="4" applyBorder="1" applyAlignment="1">
      <alignment vertical="center"/>
    </xf>
    <xf numFmtId="0" fontId="23" fillId="0" borderId="3" xfId="4" applyFont="1" applyBorder="1" applyAlignment="1">
      <alignment horizontal="center" vertical="center" wrapText="1"/>
    </xf>
    <xf numFmtId="0" fontId="23" fillId="0" borderId="4" xfId="4" applyFont="1" applyBorder="1" applyAlignment="1">
      <alignment horizontal="center" vertical="center"/>
    </xf>
    <xf numFmtId="0" fontId="23" fillId="0" borderId="18" xfId="4" applyFont="1" applyBorder="1" applyAlignment="1">
      <alignment horizontal="center" vertical="center"/>
    </xf>
    <xf numFmtId="0" fontId="23" fillId="0" borderId="18" xfId="6" applyFont="1" applyBorder="1" applyAlignment="1">
      <alignment horizontal="center" vertical="center"/>
    </xf>
    <xf numFmtId="0" fontId="23" fillId="0" borderId="11" xfId="4" applyFont="1" applyBorder="1" applyAlignment="1">
      <alignment horizontal="center" vertical="center"/>
    </xf>
    <xf numFmtId="0" fontId="3" fillId="0" borderId="19" xfId="4" applyBorder="1" applyAlignment="1">
      <alignment vertical="center"/>
    </xf>
    <xf numFmtId="0" fontId="3" fillId="0" borderId="15" xfId="4" applyBorder="1"/>
    <xf numFmtId="0" fontId="11" fillId="0" borderId="20" xfId="5" applyFont="1" applyBorder="1" applyAlignment="1">
      <alignment horizontal="left" vertical="center" wrapText="1"/>
    </xf>
    <xf numFmtId="49" fontId="3" fillId="6" borderId="21" xfId="5" applyNumberFormat="1" applyFill="1" applyBorder="1" applyAlignment="1" applyProtection="1">
      <alignment horizontal="center" vertical="center"/>
      <protection locked="0"/>
    </xf>
    <xf numFmtId="0" fontId="3" fillId="7" borderId="22" xfId="6" applyFill="1" applyBorder="1" applyAlignment="1">
      <alignment horizontal="center" vertical="center"/>
    </xf>
    <xf numFmtId="0" fontId="4" fillId="0" borderId="21" xfId="5" applyFont="1" applyBorder="1" applyAlignment="1">
      <alignment vertical="center" wrapText="1"/>
    </xf>
    <xf numFmtId="0" fontId="2" fillId="0" borderId="23" xfId="6" applyFont="1" applyBorder="1" applyAlignment="1">
      <alignment horizontal="center" vertical="center"/>
    </xf>
    <xf numFmtId="0" fontId="24" fillId="0" borderId="24" xfId="5" applyFont="1" applyBorder="1" applyAlignment="1">
      <alignment horizontal="center" vertical="center"/>
    </xf>
    <xf numFmtId="0" fontId="3" fillId="0" borderId="19" xfId="4" applyBorder="1"/>
    <xf numFmtId="0" fontId="11" fillId="0" borderId="25" xfId="5" applyFont="1" applyBorder="1" applyAlignment="1">
      <alignment horizontal="left" vertical="center"/>
    </xf>
    <xf numFmtId="1" fontId="25" fillId="3" borderId="7" xfId="5" applyNumberFormat="1" applyFont="1" applyFill="1" applyBorder="1" applyAlignment="1" applyProtection="1">
      <alignment horizontal="center" vertical="center"/>
      <protection locked="0"/>
    </xf>
    <xf numFmtId="0" fontId="3" fillId="7" borderId="7" xfId="6" applyFill="1" applyBorder="1" applyAlignment="1">
      <alignment horizontal="center" vertical="center"/>
    </xf>
    <xf numFmtId="0" fontId="11" fillId="0" borderId="7" xfId="5" applyFont="1" applyBorder="1" applyAlignment="1">
      <alignment vertical="center" wrapText="1"/>
    </xf>
    <xf numFmtId="0" fontId="11" fillId="0" borderId="26" xfId="5" applyFont="1" applyBorder="1" applyAlignment="1">
      <alignment vertical="center" wrapText="1"/>
    </xf>
    <xf numFmtId="0" fontId="2" fillId="0" borderId="27" xfId="6" applyFont="1" applyBorder="1" applyAlignment="1">
      <alignment horizontal="center" vertical="center"/>
    </xf>
    <xf numFmtId="0" fontId="24" fillId="0" borderId="28" xfId="5" applyFont="1" applyBorder="1" applyAlignment="1">
      <alignment horizontal="center" vertical="center"/>
    </xf>
    <xf numFmtId="0" fontId="11" fillId="0" borderId="27" xfId="4" applyFont="1" applyBorder="1" applyAlignment="1">
      <alignment horizontal="left" vertical="center"/>
    </xf>
    <xf numFmtId="0" fontId="3" fillId="6" borderId="7" xfId="4" applyFill="1" applyBorder="1" applyAlignment="1" applyProtection="1">
      <alignment horizontal="center" vertical="center"/>
      <protection locked="0"/>
    </xf>
    <xf numFmtId="0" fontId="3" fillId="3" borderId="7" xfId="6" applyFill="1" applyBorder="1" applyAlignment="1" applyProtection="1">
      <alignment horizontal="center" vertical="center"/>
      <protection locked="0"/>
    </xf>
    <xf numFmtId="0" fontId="11" fillId="0" borderId="7" xfId="6" applyFont="1" applyBorder="1" applyAlignment="1">
      <alignment vertical="center" wrapText="1"/>
    </xf>
    <xf numFmtId="0" fontId="11" fillId="0" borderId="27" xfId="6" applyFont="1" applyBorder="1" applyAlignment="1">
      <alignment horizontal="center" vertical="center" wrapText="1"/>
    </xf>
    <xf numFmtId="0" fontId="24" fillId="0" borderId="28" xfId="4" applyFont="1" applyBorder="1" applyAlignment="1">
      <alignment horizontal="center" vertical="center" wrapText="1"/>
    </xf>
    <xf numFmtId="0" fontId="11" fillId="0" borderId="29" xfId="4" applyFont="1" applyBorder="1" applyAlignment="1">
      <alignment horizontal="left" vertical="center"/>
    </xf>
    <xf numFmtId="0" fontId="11" fillId="0" borderId="29" xfId="6" applyFont="1" applyBorder="1" applyAlignment="1">
      <alignment horizontal="center" vertical="center" wrapText="1"/>
    </xf>
    <xf numFmtId="0" fontId="24" fillId="0" borderId="30" xfId="4" applyFont="1" applyBorder="1" applyAlignment="1">
      <alignment horizontal="center" vertical="center" wrapText="1"/>
    </xf>
    <xf numFmtId="0" fontId="3" fillId="0" borderId="15" xfId="5" applyBorder="1"/>
    <xf numFmtId="0" fontId="11" fillId="0" borderId="31" xfId="5" applyFont="1" applyBorder="1" applyAlignment="1">
      <alignment vertical="center"/>
    </xf>
    <xf numFmtId="0" fontId="3" fillId="0" borderId="7" xfId="5" applyBorder="1" applyAlignment="1">
      <alignment horizontal="center" vertical="center"/>
    </xf>
    <xf numFmtId="0" fontId="11" fillId="0" borderId="7" xfId="5" applyFont="1" applyBorder="1" applyAlignment="1">
      <alignment horizontal="left" vertical="center" wrapText="1"/>
    </xf>
    <xf numFmtId="0" fontId="24" fillId="0" borderId="30" xfId="5" applyFont="1" applyBorder="1" applyAlignment="1">
      <alignment horizontal="center" vertical="center" wrapText="1"/>
    </xf>
    <xf numFmtId="0" fontId="3" fillId="0" borderId="19" xfId="5" applyBorder="1"/>
    <xf numFmtId="0" fontId="3" fillId="0" borderId="13" xfId="5" applyBorder="1"/>
    <xf numFmtId="0" fontId="4" fillId="0" borderId="7" xfId="6" applyFont="1" applyBorder="1" applyAlignment="1">
      <alignment vertical="center" wrapText="1"/>
    </xf>
    <xf numFmtId="0" fontId="4" fillId="0" borderId="7" xfId="4" applyFont="1" applyBorder="1" applyAlignment="1">
      <alignment vertical="center" wrapText="1"/>
    </xf>
    <xf numFmtId="0" fontId="4" fillId="0" borderId="29" xfId="6" applyFont="1" applyBorder="1" applyAlignment="1">
      <alignment horizontal="center" vertical="center" wrapText="1"/>
    </xf>
    <xf numFmtId="0" fontId="4" fillId="0" borderId="30" xfId="4" applyFont="1" applyBorder="1" applyAlignment="1">
      <alignment horizontal="center" vertical="center" wrapText="1"/>
    </xf>
    <xf numFmtId="0" fontId="3" fillId="6" borderId="7" xfId="6" applyFill="1" applyBorder="1" applyAlignment="1" applyProtection="1">
      <alignment horizontal="center" vertical="center" wrapText="1"/>
      <protection locked="0"/>
    </xf>
    <xf numFmtId="0" fontId="3" fillId="7" borderId="7" xfId="6" applyFill="1" applyBorder="1" applyAlignment="1">
      <alignment horizontal="center" vertical="center" wrapText="1"/>
    </xf>
    <xf numFmtId="0" fontId="11" fillId="0" borderId="32" xfId="5" applyFont="1" applyBorder="1" applyAlignment="1">
      <alignment vertical="center"/>
    </xf>
    <xf numFmtId="0" fontId="3" fillId="6" borderId="7" xfId="5" applyFill="1" applyBorder="1" applyAlignment="1" applyProtection="1">
      <alignment horizontal="center" vertical="center"/>
      <protection locked="0"/>
    </xf>
    <xf numFmtId="0" fontId="4" fillId="0" borderId="29" xfId="6" applyFont="1" applyBorder="1" applyAlignment="1">
      <alignment vertical="center" wrapText="1"/>
    </xf>
    <xf numFmtId="0" fontId="4" fillId="0" borderId="30" xfId="5" applyFont="1" applyBorder="1" applyAlignment="1">
      <alignment horizontal="center" vertical="center" wrapText="1"/>
    </xf>
    <xf numFmtId="0" fontId="11" fillId="0" borderId="33" xfId="5" applyFont="1" applyBorder="1" applyAlignment="1">
      <alignment vertical="center"/>
    </xf>
    <xf numFmtId="2" fontId="3" fillId="6" borderId="34" xfId="5" applyNumberFormat="1" applyFill="1" applyBorder="1" applyAlignment="1" applyProtection="1">
      <alignment horizontal="center" vertical="center"/>
      <protection locked="0"/>
    </xf>
    <xf numFmtId="4" fontId="3" fillId="7" borderId="35" xfId="6" applyNumberFormat="1" applyFill="1" applyBorder="1" applyAlignment="1">
      <alignment horizontal="center" vertical="center"/>
    </xf>
    <xf numFmtId="0" fontId="4" fillId="0" borderId="36" xfId="6" applyFont="1" applyBorder="1" applyAlignment="1">
      <alignment vertical="center" wrapText="1"/>
    </xf>
    <xf numFmtId="0" fontId="4" fillId="0" borderId="34" xfId="4" applyFont="1" applyBorder="1" applyAlignment="1">
      <alignment vertical="center" wrapText="1"/>
    </xf>
    <xf numFmtId="2" fontId="4" fillId="0" borderId="36" xfId="6" applyNumberFormat="1" applyFont="1" applyBorder="1" applyAlignment="1">
      <alignment horizontal="center" vertical="center" wrapText="1"/>
    </xf>
    <xf numFmtId="0" fontId="24" fillId="0" borderId="37" xfId="5" applyFont="1" applyBorder="1" applyAlignment="1">
      <alignment horizontal="center" vertical="center" wrapText="1"/>
    </xf>
    <xf numFmtId="0" fontId="11" fillId="0" borderId="25" xfId="4" applyFont="1" applyBorder="1" applyAlignment="1">
      <alignment horizontal="left" vertical="center"/>
    </xf>
    <xf numFmtId="0" fontId="3" fillId="6" borderId="26" xfId="4" applyFill="1" applyBorder="1" applyAlignment="1" applyProtection="1">
      <alignment horizontal="center" vertical="center"/>
      <protection locked="0"/>
    </xf>
    <xf numFmtId="0" fontId="11" fillId="0" borderId="21" xfId="6" applyFont="1" applyBorder="1" applyAlignment="1">
      <alignment vertical="center" wrapText="1"/>
    </xf>
    <xf numFmtId="0" fontId="11" fillId="0" borderId="26" xfId="4" applyFont="1" applyBorder="1" applyAlignment="1">
      <alignment vertical="center" wrapText="1"/>
    </xf>
    <xf numFmtId="0" fontId="26" fillId="0" borderId="28" xfId="4" applyFont="1" applyBorder="1" applyAlignment="1">
      <alignment horizontal="center" vertical="center" wrapText="1"/>
    </xf>
    <xf numFmtId="0" fontId="11" fillId="0" borderId="31" xfId="4" applyFont="1" applyBorder="1" applyAlignment="1">
      <alignment horizontal="left" vertical="center"/>
    </xf>
    <xf numFmtId="1" fontId="3" fillId="6" borderId="7" xfId="4" applyNumberFormat="1" applyFill="1" applyBorder="1" applyAlignment="1" applyProtection="1">
      <alignment horizontal="center" vertical="center"/>
      <protection locked="0"/>
    </xf>
    <xf numFmtId="0" fontId="4" fillId="0" borderId="7" xfId="5" applyFont="1" applyBorder="1" applyAlignment="1">
      <alignment vertical="center" wrapText="1"/>
    </xf>
    <xf numFmtId="0" fontId="26" fillId="0" borderId="30" xfId="4" applyFont="1" applyBorder="1" applyAlignment="1">
      <alignment horizontal="center" vertical="center" wrapText="1"/>
    </xf>
    <xf numFmtId="0" fontId="3" fillId="0" borderId="39" xfId="4" applyBorder="1"/>
    <xf numFmtId="0" fontId="3" fillId="7" borderId="19" xfId="4" applyFill="1" applyBorder="1"/>
    <xf numFmtId="0" fontId="4" fillId="0" borderId="7" xfId="6" applyFont="1" applyBorder="1" applyAlignment="1">
      <alignment wrapText="1"/>
    </xf>
    <xf numFmtId="0" fontId="11" fillId="0" borderId="31" xfId="4" applyFont="1" applyBorder="1" applyAlignment="1">
      <alignment horizontal="left" vertical="center" wrapText="1"/>
    </xf>
    <xf numFmtId="0" fontId="11" fillId="0" borderId="40" xfId="4" applyFont="1" applyBorder="1" applyAlignment="1">
      <alignment horizontal="left" vertical="center" wrapText="1"/>
    </xf>
    <xf numFmtId="0" fontId="3" fillId="6" borderId="35" xfId="4" applyFill="1" applyBorder="1" applyAlignment="1" applyProtection="1">
      <alignment horizontal="center" vertical="center"/>
      <protection locked="0"/>
    </xf>
    <xf numFmtId="0" fontId="4" fillId="0" borderId="41" xfId="6" applyFont="1" applyBorder="1" applyAlignment="1">
      <alignment vertical="center" wrapText="1"/>
    </xf>
    <xf numFmtId="0" fontId="4" fillId="0" borderId="35" xfId="4" applyFont="1" applyBorder="1" applyAlignment="1">
      <alignment vertical="center" wrapText="1"/>
    </xf>
    <xf numFmtId="0" fontId="4" fillId="0" borderId="41" xfId="6" applyFont="1" applyBorder="1" applyAlignment="1">
      <alignment horizontal="center" vertical="center" wrapText="1"/>
    </xf>
    <xf numFmtId="0" fontId="4" fillId="0" borderId="42" xfId="4" applyFont="1" applyBorder="1" applyAlignment="1">
      <alignment horizontal="center" vertical="center" wrapText="1"/>
    </xf>
    <xf numFmtId="0" fontId="3" fillId="7" borderId="15" xfId="4" applyFill="1" applyBorder="1"/>
    <xf numFmtId="0" fontId="3" fillId="7" borderId="2" xfId="4" applyFill="1" applyBorder="1" applyAlignment="1">
      <alignment wrapText="1"/>
    </xf>
    <xf numFmtId="0" fontId="11" fillId="7" borderId="33" xfId="4" applyFont="1" applyFill="1" applyBorder="1" applyAlignment="1">
      <alignment vertical="center"/>
    </xf>
    <xf numFmtId="0" fontId="3" fillId="7" borderId="34" xfId="4" applyFill="1" applyBorder="1" applyAlignment="1">
      <alignment horizontal="center" vertical="center"/>
    </xf>
    <xf numFmtId="0" fontId="3" fillId="7" borderId="43" xfId="4" applyFill="1" applyBorder="1" applyAlignment="1">
      <alignment horizontal="center" vertical="center"/>
    </xf>
    <xf numFmtId="0" fontId="3" fillId="7" borderId="13" xfId="4" applyFill="1" applyBorder="1"/>
    <xf numFmtId="0" fontId="4" fillId="7" borderId="34" xfId="4" applyFont="1" applyFill="1" applyBorder="1" applyAlignment="1">
      <alignment vertical="center" wrapText="1"/>
    </xf>
    <xf numFmtId="0" fontId="4" fillId="7" borderId="36" xfId="6" applyFont="1" applyFill="1" applyBorder="1" applyAlignment="1">
      <alignment horizontal="center" vertical="center" wrapText="1"/>
    </xf>
    <xf numFmtId="0" fontId="4" fillId="7" borderId="37" xfId="4" applyFont="1" applyFill="1" applyBorder="1" applyAlignment="1">
      <alignment horizontal="center" vertical="center" wrapText="1"/>
    </xf>
    <xf numFmtId="0" fontId="27" fillId="0" borderId="20" xfId="4" applyFont="1" applyBorder="1" applyAlignment="1">
      <alignment horizontal="center" vertical="center" wrapText="1"/>
    </xf>
    <xf numFmtId="166" fontId="3" fillId="3" borderId="21" xfId="4" applyNumberFormat="1" applyFill="1" applyBorder="1" applyAlignment="1" applyProtection="1">
      <alignment horizontal="center" vertical="center"/>
      <protection locked="0"/>
    </xf>
    <xf numFmtId="166" fontId="3" fillId="7" borderId="21" xfId="1" applyNumberFormat="1" applyFont="1" applyFill="1" applyBorder="1" applyAlignment="1">
      <alignment horizontal="center" vertical="center"/>
    </xf>
    <xf numFmtId="0" fontId="28" fillId="0" borderId="44" xfId="6" applyFont="1" applyBorder="1" applyAlignment="1">
      <alignment vertical="center" wrapText="1"/>
    </xf>
    <xf numFmtId="0" fontId="28" fillId="0" borderId="21" xfId="4" applyFont="1" applyBorder="1" applyAlignment="1">
      <alignment vertical="center" wrapText="1"/>
    </xf>
    <xf numFmtId="166" fontId="4" fillId="0" borderId="44" xfId="1" applyNumberFormat="1" applyFont="1" applyBorder="1" applyAlignment="1">
      <alignment horizontal="center" vertical="center" wrapText="1"/>
    </xf>
    <xf numFmtId="166" fontId="4" fillId="0" borderId="45" xfId="1" applyNumberFormat="1" applyFont="1" applyBorder="1" applyAlignment="1">
      <alignment horizontal="center" vertical="center" wrapText="1"/>
    </xf>
    <xf numFmtId="0" fontId="27" fillId="0" borderId="31" xfId="4" applyFont="1" applyBorder="1" applyAlignment="1">
      <alignment horizontal="center" vertical="center" wrapText="1"/>
    </xf>
    <xf numFmtId="166" fontId="3" fillId="3" borderId="7" xfId="4" applyNumberFormat="1" applyFill="1" applyBorder="1" applyAlignment="1" applyProtection="1">
      <alignment horizontal="center" vertical="center"/>
      <protection locked="0"/>
    </xf>
    <xf numFmtId="166" fontId="3" fillId="7" borderId="7" xfId="1" applyNumberFormat="1" applyFont="1" applyFill="1" applyBorder="1" applyAlignment="1">
      <alignment horizontal="center" vertical="center"/>
    </xf>
    <xf numFmtId="0" fontId="28" fillId="0" borderId="46" xfId="6" applyFont="1" applyBorder="1" applyAlignment="1">
      <alignment vertical="center" wrapText="1"/>
    </xf>
    <xf numFmtId="0" fontId="28" fillId="0" borderId="7" xfId="4" applyFont="1" applyBorder="1" applyAlignment="1">
      <alignment vertical="center" wrapText="1"/>
    </xf>
    <xf numFmtId="166" fontId="4" fillId="0" borderId="46" xfId="1" applyNumberFormat="1" applyFont="1" applyBorder="1" applyAlignment="1">
      <alignment horizontal="center" vertical="center" wrapText="1"/>
    </xf>
    <xf numFmtId="166" fontId="4" fillId="0" borderId="47" xfId="1" applyNumberFormat="1" applyFont="1" applyBorder="1" applyAlignment="1">
      <alignment horizontal="center" vertical="center" wrapText="1"/>
    </xf>
    <xf numFmtId="0" fontId="27" fillId="0" borderId="40" xfId="4" applyFont="1" applyBorder="1" applyAlignment="1">
      <alignment horizontal="center" vertical="center" wrapText="1"/>
    </xf>
    <xf numFmtId="166" fontId="3" fillId="3" borderId="35" xfId="4" applyNumberFormat="1" applyFill="1" applyBorder="1" applyAlignment="1" applyProtection="1">
      <alignment horizontal="center" vertical="center"/>
      <protection locked="0"/>
    </xf>
    <xf numFmtId="166" fontId="3" fillId="7" borderId="35" xfId="1" applyNumberFormat="1" applyFont="1" applyFill="1" applyBorder="1" applyAlignment="1">
      <alignment horizontal="center" vertical="center"/>
    </xf>
    <xf numFmtId="0" fontId="28" fillId="0" borderId="41" xfId="6" applyFont="1" applyBorder="1" applyAlignment="1">
      <alignment vertical="center" wrapText="1"/>
    </xf>
    <xf numFmtId="0" fontId="28" fillId="0" borderId="35" xfId="4" applyFont="1" applyBorder="1" applyAlignment="1">
      <alignment vertical="center" wrapText="1"/>
    </xf>
    <xf numFmtId="166" fontId="4" fillId="0" borderId="41" xfId="1" applyNumberFormat="1" applyFont="1" applyBorder="1" applyAlignment="1">
      <alignment horizontal="center" vertical="center" wrapText="1"/>
    </xf>
    <xf numFmtId="166" fontId="4" fillId="0" borderId="42" xfId="1" applyNumberFormat="1" applyFont="1" applyBorder="1" applyAlignment="1">
      <alignment horizontal="center" vertical="center" wrapText="1"/>
    </xf>
    <xf numFmtId="0" fontId="3" fillId="0" borderId="16" xfId="4" applyBorder="1"/>
    <xf numFmtId="0" fontId="3" fillId="0" borderId="16" xfId="4" applyBorder="1" applyAlignment="1">
      <alignment vertical="center"/>
    </xf>
    <xf numFmtId="0" fontId="3" fillId="0" borderId="16" xfId="6" applyBorder="1"/>
    <xf numFmtId="0" fontId="29" fillId="8" borderId="0" xfId="0" applyFont="1" applyFill="1" applyProtection="1">
      <protection locked="0"/>
    </xf>
    <xf numFmtId="0" fontId="29" fillId="8" borderId="0" xfId="0" applyFont="1" applyFill="1" applyAlignment="1" applyProtection="1">
      <alignment wrapText="1"/>
      <protection locked="0"/>
    </xf>
    <xf numFmtId="0" fontId="29" fillId="8" borderId="0" xfId="0" applyFont="1" applyFill="1" applyAlignment="1" applyProtection="1">
      <alignment vertical="top"/>
      <protection locked="0"/>
    </xf>
    <xf numFmtId="0" fontId="29" fillId="8" borderId="0" xfId="0" applyFont="1" applyFill="1" applyAlignment="1" applyProtection="1">
      <alignment vertical="center"/>
      <protection locked="0"/>
    </xf>
    <xf numFmtId="165" fontId="30" fillId="8" borderId="0" xfId="0" applyNumberFormat="1" applyFont="1" applyFill="1" applyAlignment="1" applyProtection="1">
      <alignment horizontal="right" vertical="top"/>
      <protection locked="0"/>
    </xf>
    <xf numFmtId="164" fontId="30" fillId="8" borderId="0" xfId="1" applyFont="1" applyFill="1" applyAlignment="1" applyProtection="1">
      <alignment vertical="top"/>
      <protection locked="0"/>
    </xf>
    <xf numFmtId="165" fontId="30" fillId="8" borderId="0" xfId="0" applyNumberFormat="1" applyFont="1" applyFill="1" applyAlignment="1" applyProtection="1">
      <alignment vertical="top"/>
      <protection locked="0"/>
    </xf>
    <xf numFmtId="0" fontId="30" fillId="8" borderId="0" xfId="0" applyFont="1" applyFill="1" applyAlignment="1" applyProtection="1">
      <alignment vertical="top"/>
      <protection locked="0"/>
    </xf>
    <xf numFmtId="0" fontId="0" fillId="8" borderId="0" xfId="0" applyFill="1"/>
    <xf numFmtId="0" fontId="0" fillId="8" borderId="0" xfId="0" applyFill="1" applyAlignment="1">
      <alignment wrapText="1"/>
    </xf>
    <xf numFmtId="0" fontId="30" fillId="8" borderId="0" xfId="0" applyFont="1" applyFill="1" applyAlignment="1">
      <alignment wrapText="1"/>
    </xf>
    <xf numFmtId="0" fontId="29" fillId="0" borderId="0" xfId="0" applyFont="1" applyAlignment="1" applyProtection="1">
      <alignment wrapText="1"/>
      <protection locked="0"/>
    </xf>
    <xf numFmtId="165" fontId="30" fillId="0" borderId="0" xfId="0" applyNumberFormat="1" applyFont="1" applyAlignment="1" applyProtection="1">
      <alignment horizontal="right" vertical="top"/>
      <protection locked="0"/>
    </xf>
    <xf numFmtId="164" fontId="30" fillId="0" borderId="0" xfId="1" applyFont="1" applyAlignment="1" applyProtection="1">
      <alignment vertical="top"/>
      <protection locked="0"/>
    </xf>
    <xf numFmtId="165" fontId="30" fillId="0" borderId="0" xfId="0" applyNumberFormat="1" applyFont="1" applyAlignment="1" applyProtection="1">
      <alignment vertical="top"/>
      <protection locked="0"/>
    </xf>
    <xf numFmtId="0" fontId="30" fillId="0" borderId="0" xfId="0" applyFont="1" applyAlignment="1" applyProtection="1">
      <alignment vertical="top"/>
      <protection locked="0"/>
    </xf>
    <xf numFmtId="0" fontId="0" fillId="0" borderId="0" xfId="0" applyAlignment="1" applyProtection="1">
      <alignment wrapText="1"/>
      <protection locked="0"/>
    </xf>
    <xf numFmtId="0" fontId="30" fillId="0" borderId="0" xfId="0" applyFont="1" applyAlignment="1" applyProtection="1">
      <alignment vertical="center"/>
      <protection locked="0"/>
    </xf>
    <xf numFmtId="165" fontId="31" fillId="8" borderId="0" xfId="0" applyNumberFormat="1" applyFont="1" applyFill="1" applyProtection="1">
      <protection locked="0"/>
    </xf>
    <xf numFmtId="0" fontId="30" fillId="8" borderId="0" xfId="0" applyFont="1" applyFill="1" applyProtection="1">
      <protection locked="0"/>
    </xf>
    <xf numFmtId="0" fontId="0" fillId="8" borderId="0" xfId="0" applyFill="1" applyProtection="1">
      <protection locked="0"/>
    </xf>
    <xf numFmtId="0" fontId="30" fillId="8" borderId="0" xfId="0" applyFont="1" applyFill="1" applyAlignment="1">
      <alignment vertical="center" wrapText="1"/>
    </xf>
    <xf numFmtId="0" fontId="32" fillId="8" borderId="0" xfId="0" applyFont="1" applyFill="1" applyAlignment="1">
      <alignment wrapText="1"/>
    </xf>
    <xf numFmtId="0" fontId="0" fillId="8" borderId="0" xfId="0" applyFill="1" applyAlignment="1" applyProtection="1">
      <alignment vertical="top"/>
      <protection locked="0"/>
    </xf>
    <xf numFmtId="0" fontId="0" fillId="8" borderId="0" xfId="0" applyFill="1" applyAlignment="1" applyProtection="1">
      <alignment vertical="center"/>
      <protection locked="0"/>
    </xf>
    <xf numFmtId="0" fontId="30" fillId="8" borderId="0" xfId="0" applyFont="1" applyFill="1" applyAlignment="1" applyProtection="1">
      <alignment vertical="center"/>
      <protection locked="0"/>
    </xf>
    <xf numFmtId="0" fontId="0" fillId="8" borderId="0" xfId="0" applyFill="1" applyAlignment="1" applyProtection="1">
      <alignment wrapText="1"/>
      <protection locked="0"/>
    </xf>
    <xf numFmtId="0" fontId="15" fillId="8" borderId="0" xfId="0" applyFont="1" applyFill="1"/>
    <xf numFmtId="0" fontId="15" fillId="8" borderId="0" xfId="0" applyFont="1" applyFill="1" applyAlignment="1">
      <alignment vertical="top"/>
    </xf>
    <xf numFmtId="0" fontId="15" fillId="8" borderId="0" xfId="0" applyFont="1" applyFill="1" applyAlignment="1">
      <alignment vertical="top" wrapText="1"/>
    </xf>
    <xf numFmtId="0" fontId="7" fillId="8" borderId="0" xfId="0" applyFont="1" applyFill="1" applyAlignment="1" applyProtection="1">
      <alignment vertical="top"/>
      <protection locked="0"/>
    </xf>
    <xf numFmtId="0" fontId="4" fillId="8" borderId="0" xfId="0" applyFont="1" applyFill="1" applyAlignment="1" applyProtection="1">
      <alignment vertical="center"/>
      <protection locked="0"/>
    </xf>
    <xf numFmtId="165" fontId="4" fillId="8" borderId="0" xfId="0" applyNumberFormat="1" applyFont="1" applyFill="1" applyAlignment="1" applyProtection="1">
      <alignment horizontal="right" vertical="top"/>
      <protection locked="0"/>
    </xf>
    <xf numFmtId="164" fontId="4" fillId="8" borderId="0" xfId="1" applyFont="1" applyFill="1" applyAlignment="1" applyProtection="1">
      <alignment vertical="top"/>
      <protection locked="0"/>
    </xf>
    <xf numFmtId="165" fontId="4" fillId="8" borderId="0" xfId="0" applyNumberFormat="1" applyFont="1" applyFill="1" applyAlignment="1" applyProtection="1">
      <alignment vertical="top"/>
      <protection locked="0"/>
    </xf>
    <xf numFmtId="0" fontId="29" fillId="0" borderId="0" xfId="0" applyFont="1" applyProtection="1">
      <protection locked="0"/>
    </xf>
    <xf numFmtId="0" fontId="33" fillId="0" borderId="0" xfId="0" applyFont="1" applyProtection="1">
      <protection locked="0"/>
    </xf>
    <xf numFmtId="0" fontId="32" fillId="0" borderId="0" xfId="0" applyFont="1" applyProtection="1">
      <protection locked="0"/>
    </xf>
    <xf numFmtId="0" fontId="34" fillId="0" borderId="0" xfId="0" applyFont="1" applyAlignment="1" applyProtection="1">
      <alignment horizontal="justify" vertical="center" wrapText="1"/>
      <protection locked="0"/>
    </xf>
    <xf numFmtId="0" fontId="34" fillId="0" borderId="0" xfId="0" applyFont="1" applyProtection="1">
      <protection locked="0"/>
    </xf>
    <xf numFmtId="0" fontId="30" fillId="8" borderId="0" xfId="0" applyFont="1" applyFill="1" applyAlignment="1" applyProtection="1">
      <alignment vertical="top" wrapText="1"/>
      <protection locked="0"/>
    </xf>
    <xf numFmtId="0" fontId="35" fillId="8" borderId="0" xfId="0" applyFont="1" applyFill="1" applyAlignment="1" applyProtection="1">
      <alignment vertical="top"/>
      <protection locked="0"/>
    </xf>
    <xf numFmtId="0" fontId="31" fillId="0" borderId="0" xfId="0" applyFont="1" applyAlignment="1" applyProtection="1">
      <alignment vertical="top"/>
      <protection locked="0"/>
    </xf>
    <xf numFmtId="164" fontId="31" fillId="0" borderId="0" xfId="1" applyFont="1" applyAlignment="1" applyProtection="1">
      <alignment vertical="top"/>
      <protection locked="0"/>
    </xf>
    <xf numFmtId="165" fontId="31" fillId="0" borderId="0" xfId="0" applyNumberFormat="1" applyFont="1" applyAlignment="1" applyProtection="1">
      <alignment vertical="top"/>
      <protection locked="0"/>
    </xf>
    <xf numFmtId="0" fontId="30" fillId="8" borderId="0" xfId="0" applyFont="1" applyFill="1" applyAlignment="1">
      <alignment vertical="top"/>
    </xf>
    <xf numFmtId="0" fontId="30" fillId="8" borderId="0" xfId="0" applyFont="1" applyFill="1" applyAlignment="1">
      <alignment vertical="top" wrapText="1"/>
    </xf>
    <xf numFmtId="0" fontId="37" fillId="8" borderId="0" xfId="0" applyFont="1" applyFill="1" applyAlignment="1">
      <alignment vertical="top"/>
    </xf>
    <xf numFmtId="0" fontId="30" fillId="8" borderId="0" xfId="0" applyFont="1" applyFill="1" applyAlignment="1">
      <alignment vertical="center"/>
    </xf>
    <xf numFmtId="0" fontId="30" fillId="0" borderId="0" xfId="0" applyFont="1" applyAlignment="1">
      <alignment vertical="top"/>
    </xf>
    <xf numFmtId="0" fontId="31" fillId="0" borderId="0" xfId="0" applyFont="1" applyAlignment="1">
      <alignment vertical="top"/>
    </xf>
    <xf numFmtId="164" fontId="31" fillId="0" borderId="0" xfId="1" applyFont="1" applyAlignment="1">
      <alignment vertical="top"/>
    </xf>
    <xf numFmtId="0" fontId="30" fillId="8" borderId="6" xfId="0" applyFont="1" applyFill="1" applyBorder="1" applyAlignment="1" applyProtection="1">
      <alignment vertical="top"/>
      <protection locked="0"/>
    </xf>
    <xf numFmtId="0" fontId="30" fillId="8" borderId="6" xfId="0" applyFont="1" applyFill="1" applyBorder="1" applyAlignment="1" applyProtection="1">
      <alignment vertical="top" wrapText="1"/>
      <protection locked="0"/>
    </xf>
    <xf numFmtId="0" fontId="30" fillId="8" borderId="6" xfId="0" applyFont="1" applyFill="1" applyBorder="1" applyAlignment="1" applyProtection="1">
      <alignment vertical="center"/>
      <protection locked="0"/>
    </xf>
    <xf numFmtId="0" fontId="30" fillId="8" borderId="0" xfId="0" applyFont="1" applyFill="1" applyAlignment="1" applyProtection="1">
      <alignment horizontal="left" vertical="top"/>
      <protection locked="0"/>
    </xf>
    <xf numFmtId="0" fontId="29" fillId="0" borderId="0" xfId="0" applyFont="1" applyAlignment="1" applyProtection="1">
      <alignment vertical="top"/>
      <protection locked="0"/>
    </xf>
    <xf numFmtId="0" fontId="38" fillId="0" borderId="0" xfId="0" applyFont="1" applyAlignment="1" applyProtection="1">
      <alignment vertical="top"/>
      <protection locked="0"/>
    </xf>
    <xf numFmtId="164" fontId="38" fillId="0" borderId="0" xfId="1" applyFont="1" applyAlignment="1" applyProtection="1">
      <alignment vertical="top"/>
      <protection locked="0"/>
    </xf>
    <xf numFmtId="0" fontId="36" fillId="8" borderId="0" xfId="0" applyFont="1" applyFill="1" applyProtection="1">
      <protection locked="0"/>
    </xf>
    <xf numFmtId="0" fontId="30" fillId="8" borderId="0" xfId="0" applyFont="1" applyFill="1"/>
    <xf numFmtId="0" fontId="39" fillId="9" borderId="0" xfId="0" applyFont="1" applyFill="1" applyProtection="1">
      <protection locked="0"/>
    </xf>
    <xf numFmtId="0" fontId="29" fillId="0" borderId="0" xfId="0" applyFont="1"/>
    <xf numFmtId="0" fontId="4" fillId="3" borderId="0" xfId="0" applyFont="1" applyFill="1" applyAlignment="1" applyProtection="1">
      <alignment wrapText="1"/>
      <protection locked="0"/>
    </xf>
    <xf numFmtId="0" fontId="3" fillId="0" borderId="2" xfId="4" applyBorder="1" applyAlignment="1">
      <alignment horizontal="center" vertical="top" textRotation="90" wrapText="1"/>
    </xf>
    <xf numFmtId="0" fontId="0" fillId="0" borderId="48" xfId="0" applyBorder="1"/>
    <xf numFmtId="0" fontId="0" fillId="0" borderId="38" xfId="0" applyBorder="1"/>
    <xf numFmtId="0" fontId="3" fillId="0" borderId="38" xfId="4" applyBorder="1" applyAlignment="1">
      <alignment horizontal="center" vertical="top" textRotation="90" wrapText="1"/>
    </xf>
    <xf numFmtId="0" fontId="3" fillId="0" borderId="2" xfId="4" applyBorder="1" applyAlignment="1">
      <alignment horizontal="center" vertical="top" textRotation="90"/>
    </xf>
  </cellXfs>
  <cellStyles count="8">
    <cellStyle name="Excel Built-in Check Cell" xfId="7" xr:uid="{00000000-0005-0000-0000-000007000000}"/>
    <cellStyle name="Normal" xfId="0" builtinId="0"/>
    <cellStyle name="Normal 3" xfId="3" xr:uid="{00000000-0005-0000-0000-000003000000}"/>
    <cellStyle name="Normal 4 2" xfId="5" xr:uid="{00000000-0005-0000-0000-000005000000}"/>
    <cellStyle name="Normal 4 2 2" xfId="4" xr:uid="{00000000-0005-0000-0000-000004000000}"/>
    <cellStyle name="Normal 4 2 2 2" xfId="6" xr:uid="{00000000-0005-0000-0000-000006000000}"/>
    <cellStyle name="Normal 5" xfId="2" xr:uid="{00000000-0005-0000-0000-00000200000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4F6228"/>
      <rgbColor rgb="FF800080"/>
      <rgbColor rgb="FF008080"/>
      <rgbColor rgb="FFA6A6A6"/>
      <rgbColor rgb="FF808080"/>
      <rgbColor rgb="FF9999FF"/>
      <rgbColor rgb="FF7030A0"/>
      <rgbColor rgb="FFF6DFDC"/>
      <rgbColor rgb="FFDCE6F2"/>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A5A5A5"/>
      <rgbColor rgb="FF003366"/>
      <rgbColor rgb="FF00B050"/>
      <rgbColor rgb="FF003300"/>
      <rgbColor rgb="FF333300"/>
      <rgbColor rgb="FF984807"/>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9"/>
  <sheetViews>
    <sheetView zoomScale="90" zoomScaleNormal="55" workbookViewId="0">
      <pane ySplit="1" topLeftCell="A2" activePane="bottomLeft" state="frozen"/>
      <selection pane="bottomLeft" activeCell="D129" sqref="D129"/>
    </sheetView>
  </sheetViews>
  <sheetFormatPr baseColWidth="10" defaultColWidth="11.5" defaultRowHeight="15" x14ac:dyDescent="0.15"/>
  <cols>
    <col min="1" max="1" width="21.1640625" style="1" customWidth="1"/>
    <col min="2" max="2" width="25.83203125" style="1" customWidth="1"/>
    <col min="3" max="4" width="66" style="2" customWidth="1"/>
    <col min="5" max="6" width="28" style="1" customWidth="1"/>
    <col min="7" max="8" width="8.83203125" style="3" customWidth="1"/>
    <col min="9" max="9" width="14.6640625" style="3" customWidth="1"/>
    <col min="10" max="14" width="8.83203125" style="3" customWidth="1"/>
    <col min="15" max="18" width="8.83203125" style="1" customWidth="1"/>
    <col min="19" max="19" width="9.5" style="1" customWidth="1"/>
    <col min="20" max="20" width="8.83203125" style="1" customWidth="1"/>
    <col min="21" max="21" width="18.1640625" style="4" customWidth="1"/>
    <col min="22" max="22" width="18.33203125" style="5" customWidth="1"/>
    <col min="23" max="23" width="14.1640625" style="6" customWidth="1"/>
    <col min="24" max="24" width="19.6640625" style="6" customWidth="1"/>
    <col min="25" max="25" width="8.83203125" style="6" customWidth="1"/>
  </cols>
  <sheetData>
    <row r="1" spans="1:25" ht="48" customHeight="1" thickBot="1" x14ac:dyDescent="0.2">
      <c r="A1" s="7" t="s">
        <v>0</v>
      </c>
      <c r="B1" s="7" t="s">
        <v>1</v>
      </c>
      <c r="C1" s="8" t="s">
        <v>2</v>
      </c>
      <c r="D1" s="8" t="s">
        <v>3</v>
      </c>
      <c r="E1" s="7" t="s">
        <v>4</v>
      </c>
      <c r="F1" s="7" t="s">
        <v>5</v>
      </c>
      <c r="G1" s="7" t="s">
        <v>6</v>
      </c>
      <c r="H1" s="7" t="s">
        <v>7</v>
      </c>
      <c r="I1" s="7" t="s">
        <v>8</v>
      </c>
      <c r="J1" s="7" t="s">
        <v>9</v>
      </c>
      <c r="K1" s="7" t="s">
        <v>10</v>
      </c>
      <c r="L1" s="7" t="s">
        <v>11</v>
      </c>
      <c r="M1" s="7" t="s">
        <v>12</v>
      </c>
      <c r="N1" s="7" t="s">
        <v>13</v>
      </c>
      <c r="O1" s="9"/>
      <c r="P1" s="9"/>
      <c r="Q1" s="9"/>
      <c r="R1" s="9"/>
      <c r="S1" s="10" t="s">
        <v>14</v>
      </c>
      <c r="T1" s="9"/>
      <c r="U1" s="11" t="s">
        <v>15</v>
      </c>
      <c r="V1" s="12" t="s">
        <v>16</v>
      </c>
      <c r="W1" s="13" t="s">
        <v>17</v>
      </c>
      <c r="X1" s="14" t="s">
        <v>18</v>
      </c>
      <c r="Y1" s="15"/>
    </row>
    <row r="2" spans="1:25" x14ac:dyDescent="0.15">
      <c r="A2" s="16" t="s">
        <v>19</v>
      </c>
      <c r="B2" s="16" t="s">
        <v>19</v>
      </c>
      <c r="C2" s="17"/>
      <c r="D2" s="17"/>
      <c r="E2" s="16"/>
      <c r="F2" s="16"/>
      <c r="G2" s="18"/>
      <c r="H2" s="18"/>
      <c r="I2" s="18"/>
      <c r="J2" s="18"/>
      <c r="K2" s="18"/>
      <c r="L2" s="18"/>
      <c r="M2" s="18"/>
      <c r="N2" s="18"/>
      <c r="U2" s="19"/>
      <c r="W2" s="20" t="str">
        <f>IF(U2&lt;&gt;"",U2*V2,"")</f>
        <v/>
      </c>
      <c r="X2" s="20" t="str">
        <f>IF(AND(U2&lt;&gt;"",S2="yes"),U2*V2,"")</f>
        <v/>
      </c>
    </row>
    <row r="3" spans="1:25" x14ac:dyDescent="0.15">
      <c r="A3" s="16" t="s">
        <v>20</v>
      </c>
      <c r="B3" s="16" t="s">
        <v>20</v>
      </c>
      <c r="C3" s="17"/>
      <c r="D3" s="17"/>
      <c r="E3" s="16"/>
      <c r="F3" s="16"/>
      <c r="G3" s="18"/>
      <c r="H3" s="18"/>
      <c r="I3" s="18"/>
      <c r="J3" s="18"/>
      <c r="K3" s="18"/>
      <c r="L3" s="18"/>
      <c r="M3" s="18"/>
      <c r="N3" s="18"/>
      <c r="U3" s="19"/>
      <c r="W3" s="20" t="str">
        <f>IF(U3&lt;&gt;"",U3*V3,"")</f>
        <v/>
      </c>
      <c r="X3" s="20" t="str">
        <f>IF(AND(U3&lt;&gt;"",S3="yes"),U3*V3,"")</f>
        <v/>
      </c>
    </row>
    <row r="4" spans="1:25" x14ac:dyDescent="0.15">
      <c r="A4" s="16" t="s">
        <v>21</v>
      </c>
      <c r="B4" s="16" t="s">
        <v>21</v>
      </c>
      <c r="C4" s="17"/>
      <c r="D4" s="17"/>
      <c r="E4" s="16"/>
      <c r="F4" s="16"/>
      <c r="G4" s="18"/>
      <c r="H4" s="18"/>
      <c r="I4" s="18"/>
      <c r="J4" s="18"/>
      <c r="K4" s="18"/>
      <c r="L4" s="18"/>
      <c r="M4" s="18"/>
      <c r="N4" s="18"/>
      <c r="U4" s="19"/>
      <c r="W4" s="20" t="str">
        <f>IF(U4&lt;&gt;"",U4*V4,"")</f>
        <v/>
      </c>
      <c r="X4" s="20" t="str">
        <f>IF(AND(U4&lt;&gt;"",S4="yes"),U4*V4,"")</f>
        <v/>
      </c>
    </row>
    <row r="5" spans="1:25" x14ac:dyDescent="0.15">
      <c r="A5" s="16" t="s">
        <v>22</v>
      </c>
      <c r="B5" s="16" t="s">
        <v>22</v>
      </c>
      <c r="C5" s="17"/>
      <c r="D5" s="17"/>
      <c r="E5" s="16"/>
      <c r="F5" s="16"/>
      <c r="G5" s="18"/>
      <c r="H5" s="18"/>
      <c r="I5" s="18"/>
      <c r="J5" s="18"/>
      <c r="K5" s="18"/>
      <c r="L5" s="18"/>
      <c r="M5" s="18"/>
      <c r="N5" s="18"/>
      <c r="U5" s="19"/>
      <c r="W5" s="20" t="str">
        <f>IF(U5&lt;&gt;"",U5*V5,"")</f>
        <v/>
      </c>
      <c r="X5" s="20" t="str">
        <f>IF(AND(U5&lt;&gt;"",S5="yes"),U5*V5,"")</f>
        <v/>
      </c>
    </row>
    <row r="6" spans="1:25" x14ac:dyDescent="0.15">
      <c r="A6" s="16" t="s">
        <v>23</v>
      </c>
      <c r="B6" s="16" t="s">
        <v>23</v>
      </c>
      <c r="C6" s="17"/>
      <c r="D6" s="17"/>
      <c r="E6" s="16"/>
      <c r="F6" s="16"/>
      <c r="G6" s="18"/>
      <c r="H6" s="18"/>
      <c r="I6" s="18"/>
      <c r="J6" s="18"/>
      <c r="K6" s="18"/>
      <c r="L6" s="18"/>
      <c r="M6" s="18"/>
      <c r="N6" s="18"/>
      <c r="U6" s="19"/>
      <c r="W6" s="20"/>
      <c r="X6" s="20"/>
    </row>
    <row r="7" spans="1:25" x14ac:dyDescent="0.15">
      <c r="A7" s="16" t="s">
        <v>24</v>
      </c>
      <c r="B7" s="16" t="s">
        <v>25</v>
      </c>
      <c r="C7" s="17"/>
      <c r="D7" s="17"/>
      <c r="E7" s="16"/>
      <c r="F7" s="16"/>
      <c r="G7" s="18"/>
      <c r="H7" s="18"/>
      <c r="I7" s="18"/>
      <c r="J7" s="18"/>
      <c r="K7" s="1"/>
      <c r="L7" s="18"/>
      <c r="M7" s="18"/>
      <c r="N7" s="18" t="s">
        <v>26</v>
      </c>
      <c r="U7" s="19"/>
      <c r="W7" s="20"/>
      <c r="X7" s="20"/>
    </row>
    <row r="8" spans="1:25" x14ac:dyDescent="0.15">
      <c r="A8" s="16" t="s">
        <v>27</v>
      </c>
      <c r="B8" s="16" t="s">
        <v>27</v>
      </c>
      <c r="C8" s="17"/>
      <c r="D8" s="17"/>
      <c r="E8" s="16"/>
      <c r="F8" s="16"/>
      <c r="G8" s="18"/>
      <c r="H8" s="18"/>
      <c r="I8" s="18"/>
      <c r="J8" s="18"/>
      <c r="K8" s="18" t="s">
        <v>28</v>
      </c>
      <c r="L8" s="18"/>
      <c r="M8" s="18" t="s">
        <v>29</v>
      </c>
      <c r="N8" s="18"/>
      <c r="U8" s="19"/>
      <c r="W8" s="20"/>
      <c r="X8" s="20"/>
    </row>
    <row r="9" spans="1:25" ht="16" customHeight="1" x14ac:dyDescent="0.15">
      <c r="A9" s="21" t="s">
        <v>30</v>
      </c>
      <c r="B9" s="21" t="s">
        <v>31</v>
      </c>
      <c r="C9" s="22" t="s">
        <v>32</v>
      </c>
      <c r="D9" s="22" t="s">
        <v>33</v>
      </c>
      <c r="E9" s="21"/>
      <c r="F9" s="21"/>
      <c r="G9" s="23"/>
      <c r="H9" s="23"/>
      <c r="I9" s="21"/>
      <c r="J9" s="23"/>
      <c r="K9" s="23"/>
      <c r="L9" s="23"/>
      <c r="M9" s="23"/>
      <c r="N9" s="23"/>
      <c r="O9" s="21"/>
      <c r="P9" s="21"/>
      <c r="Q9" s="21"/>
      <c r="R9" s="21"/>
      <c r="S9" s="21"/>
      <c r="T9" s="21"/>
      <c r="U9" s="24"/>
      <c r="V9" s="25"/>
      <c r="W9" s="26"/>
      <c r="X9" s="26"/>
      <c r="Y9" s="21"/>
    </row>
    <row r="10" spans="1:25" x14ac:dyDescent="0.15">
      <c r="A10" s="16" t="s">
        <v>34</v>
      </c>
      <c r="B10" s="16" t="s">
        <v>35</v>
      </c>
      <c r="C10" s="17" t="s">
        <v>36</v>
      </c>
      <c r="D10" s="17" t="s">
        <v>37</v>
      </c>
      <c r="E10" s="16"/>
      <c r="F10" s="16"/>
      <c r="G10" s="18" t="s">
        <v>38</v>
      </c>
      <c r="H10" s="18"/>
      <c r="I10" s="18"/>
      <c r="J10" s="18"/>
      <c r="K10" s="18"/>
      <c r="L10" s="23" t="s">
        <v>39</v>
      </c>
      <c r="M10" s="18"/>
      <c r="N10" s="18"/>
      <c r="S10" s="1" t="s">
        <v>40</v>
      </c>
      <c r="U10" s="19"/>
      <c r="W10" s="20" t="str">
        <f>IF(U10&lt;&gt;"",U10*V10,"")</f>
        <v/>
      </c>
      <c r="X10" s="20" t="str">
        <f>IF(AND(U10&lt;&gt;"",S10="yes"),U10*V10,"")</f>
        <v/>
      </c>
    </row>
    <row r="11" spans="1:25" x14ac:dyDescent="0.15">
      <c r="A11" s="16" t="s">
        <v>24</v>
      </c>
      <c r="B11" s="16" t="s">
        <v>41</v>
      </c>
      <c r="C11" s="17"/>
      <c r="D11" s="17"/>
      <c r="E11" s="16"/>
      <c r="F11" s="16"/>
      <c r="G11" s="18"/>
      <c r="H11" s="18"/>
      <c r="I11" s="18"/>
      <c r="J11" s="18"/>
      <c r="K11" s="18"/>
      <c r="L11" s="18"/>
      <c r="M11" s="18"/>
      <c r="N11" s="18" t="s">
        <v>42</v>
      </c>
      <c r="S11" s="1" t="s">
        <v>40</v>
      </c>
      <c r="U11" s="19"/>
      <c r="W11" s="20" t="str">
        <f>IF(U11&lt;&gt;"",U11*V11,"")</f>
        <v/>
      </c>
      <c r="X11" s="20" t="str">
        <f>IF(AND(U11&lt;&gt;"",S11="yes"),U11*V11,"")</f>
        <v/>
      </c>
    </row>
    <row r="12" spans="1:25" s="281" customFormat="1" ht="13.75" customHeight="1" x14ac:dyDescent="0.2">
      <c r="A12" s="273" t="s">
        <v>43</v>
      </c>
      <c r="B12" s="273" t="s">
        <v>44</v>
      </c>
      <c r="C12" s="306" t="s">
        <v>45</v>
      </c>
      <c r="D12" s="306" t="s">
        <v>46</v>
      </c>
      <c r="E12" s="307" t="s">
        <v>47</v>
      </c>
      <c r="F12" s="325" t="s">
        <v>48</v>
      </c>
      <c r="G12" s="291" t="s">
        <v>38</v>
      </c>
      <c r="H12" s="291" t="s">
        <v>49</v>
      </c>
      <c r="I12" s="269" t="s">
        <v>50</v>
      </c>
      <c r="J12" s="291" t="s">
        <v>51</v>
      </c>
      <c r="K12" s="291"/>
      <c r="L12" s="291"/>
      <c r="M12" s="291"/>
      <c r="N12" s="291"/>
      <c r="S12" s="281" t="s">
        <v>52</v>
      </c>
      <c r="U12" s="308"/>
      <c r="V12" s="308">
        <v>0</v>
      </c>
      <c r="W12" s="309"/>
      <c r="X12" s="310">
        <f>IF(V12&lt;&gt;"",V12*W12,"")</f>
        <v>0</v>
      </c>
      <c r="Y12" s="310" t="str">
        <f>IF(AND(V12&lt;&gt;"",S12="yes"),V12*W12,"")</f>
        <v/>
      </c>
    </row>
    <row r="13" spans="1:25" s="315" customFormat="1" ht="13.75" customHeight="1" x14ac:dyDescent="0.15">
      <c r="A13" s="311" t="s">
        <v>43</v>
      </c>
      <c r="B13" s="311" t="s">
        <v>53</v>
      </c>
      <c r="C13" s="312" t="s">
        <v>54</v>
      </c>
      <c r="D13" s="312" t="s">
        <v>55</v>
      </c>
      <c r="E13" s="313"/>
      <c r="F13" s="313"/>
      <c r="G13" s="314" t="s">
        <v>56</v>
      </c>
      <c r="H13" s="314"/>
      <c r="I13" s="314"/>
      <c r="J13" s="314"/>
      <c r="K13" s="314"/>
      <c r="L13" s="314"/>
      <c r="M13" s="314"/>
      <c r="N13" s="314"/>
      <c r="S13" s="315" t="s">
        <v>40</v>
      </c>
      <c r="U13" s="316"/>
      <c r="V13" s="308">
        <v>0</v>
      </c>
      <c r="W13" s="317"/>
      <c r="X13" s="310">
        <f>IF(V13&lt;&gt;"",V13*W13,"")</f>
        <v>0</v>
      </c>
      <c r="Y13" s="310">
        <f>IF(AND(V13&lt;&gt;"",S13="yes"),V13*W13,"")</f>
        <v>0</v>
      </c>
    </row>
    <row r="14" spans="1:25" s="281" customFormat="1" ht="13.75" customHeight="1" x14ac:dyDescent="0.15">
      <c r="A14" s="273" t="s">
        <v>57</v>
      </c>
      <c r="B14" s="273" t="s">
        <v>58</v>
      </c>
      <c r="C14" s="306" t="s">
        <v>59</v>
      </c>
      <c r="D14" s="306" t="s">
        <v>60</v>
      </c>
      <c r="E14" s="273"/>
      <c r="F14" s="273"/>
      <c r="G14" s="291"/>
      <c r="H14" s="291"/>
      <c r="I14" s="291"/>
      <c r="J14" s="291"/>
      <c r="K14" s="291"/>
      <c r="L14" s="291"/>
      <c r="M14" s="291"/>
      <c r="N14" s="291"/>
      <c r="S14" s="281" t="s">
        <v>52</v>
      </c>
      <c r="V14" s="308">
        <v>0</v>
      </c>
      <c r="X14" s="310">
        <f>IF(V14&lt;&gt;"",V14*W14,"")</f>
        <v>0</v>
      </c>
      <c r="Y14" s="310" t="str">
        <f>IF(AND(V14&lt;&gt;"",S14="yes"),V14*W14,"")</f>
        <v/>
      </c>
    </row>
    <row r="15" spans="1:25" s="281" customFormat="1" ht="16" thickBot="1" x14ac:dyDescent="0.2">
      <c r="A15" s="318" t="s">
        <v>61</v>
      </c>
      <c r="B15" s="318" t="s">
        <v>62</v>
      </c>
      <c r="C15" s="319" t="s">
        <v>59</v>
      </c>
      <c r="D15" s="319" t="s">
        <v>60</v>
      </c>
      <c r="E15" s="318"/>
      <c r="F15" s="318"/>
      <c r="G15" s="320" t="s">
        <v>56</v>
      </c>
      <c r="H15" s="320"/>
      <c r="I15" s="320"/>
      <c r="J15" s="320"/>
      <c r="K15" s="320" t="s">
        <v>63</v>
      </c>
      <c r="L15" s="320"/>
      <c r="M15" s="320"/>
      <c r="N15" s="320"/>
      <c r="S15" s="281" t="s">
        <v>52</v>
      </c>
      <c r="U15" s="310"/>
      <c r="V15" s="308"/>
      <c r="W15" s="309"/>
      <c r="X15" s="310" t="str">
        <f>IF(V15&lt;&gt;"",V15*W15,"")</f>
        <v/>
      </c>
      <c r="Y15" s="310" t="str">
        <f>IF(AND(V15&lt;&gt;"",S15="yes"),V15*W15,"")</f>
        <v/>
      </c>
    </row>
    <row r="16" spans="1:25" ht="15.5" customHeight="1" thickTop="1" thickBot="1" x14ac:dyDescent="0.2">
      <c r="A16" s="27"/>
      <c r="B16" s="27"/>
      <c r="C16" s="28"/>
      <c r="D16" s="28"/>
      <c r="E16" s="27"/>
      <c r="F16" s="27"/>
      <c r="G16" s="29"/>
      <c r="H16" s="29"/>
      <c r="I16" s="29"/>
      <c r="J16" s="29"/>
      <c r="K16" s="29"/>
      <c r="L16" s="29"/>
      <c r="M16" s="29"/>
      <c r="N16" s="29"/>
      <c r="O16" s="21"/>
      <c r="P16" s="21"/>
      <c r="Q16" s="21"/>
      <c r="R16" s="21"/>
      <c r="S16" s="21"/>
      <c r="T16" s="21"/>
      <c r="U16" s="19"/>
      <c r="W16" s="20"/>
      <c r="X16" s="20"/>
    </row>
    <row r="17" spans="1:25" ht="240" customHeight="1" thickTop="1" x14ac:dyDescent="0.15">
      <c r="A17" s="16" t="s">
        <v>64</v>
      </c>
      <c r="B17" s="16" t="s">
        <v>65</v>
      </c>
      <c r="C17" s="30" t="s">
        <v>66</v>
      </c>
      <c r="D17" s="30" t="s">
        <v>67</v>
      </c>
      <c r="E17" s="16" t="s">
        <v>68</v>
      </c>
      <c r="F17" s="16" t="s">
        <v>69</v>
      </c>
      <c r="G17" s="18" t="s">
        <v>56</v>
      </c>
      <c r="H17" s="18"/>
      <c r="I17" s="18"/>
      <c r="J17" s="18"/>
      <c r="K17" s="18"/>
      <c r="L17" s="18"/>
      <c r="M17" s="18"/>
      <c r="N17" s="18"/>
      <c r="S17" s="1" t="s">
        <v>52</v>
      </c>
      <c r="U17" s="19">
        <v>50.822540283203097</v>
      </c>
      <c r="W17" s="20">
        <f>IF(U17&lt;&gt;"",U17*V17,"")</f>
        <v>0</v>
      </c>
      <c r="X17" s="20" t="str">
        <f>IF(AND(U17&lt;&gt;"",S17="yes"),U17*V17,"")</f>
        <v/>
      </c>
    </row>
    <row r="18" spans="1:25" x14ac:dyDescent="0.15">
      <c r="A18" s="16" t="s">
        <v>70</v>
      </c>
      <c r="B18" s="16" t="s">
        <v>71</v>
      </c>
      <c r="C18" s="17" t="s">
        <v>72</v>
      </c>
      <c r="D18" s="17" t="s">
        <v>73</v>
      </c>
      <c r="E18" s="16"/>
      <c r="F18" s="16"/>
      <c r="G18" s="18" t="s">
        <v>56</v>
      </c>
      <c r="H18" s="18"/>
      <c r="I18" s="18"/>
      <c r="J18" s="18"/>
      <c r="K18" s="18"/>
      <c r="L18" s="18"/>
      <c r="M18" s="18"/>
      <c r="N18" s="18"/>
      <c r="S18" s="1" t="s">
        <v>40</v>
      </c>
      <c r="U18" s="19">
        <v>3.5</v>
      </c>
      <c r="V18" s="5">
        <f>1</f>
        <v>1</v>
      </c>
      <c r="W18" s="20">
        <f>IF(U18&lt;&gt;"",U18*V18,"")</f>
        <v>3.5</v>
      </c>
      <c r="X18" s="20">
        <f>IF(AND(U18&lt;&gt;"",S18="yes"),U18*V18,"")</f>
        <v>3.5</v>
      </c>
    </row>
    <row r="19" spans="1:25" s="281" customFormat="1" ht="15" customHeight="1" x14ac:dyDescent="0.15">
      <c r="A19" s="273" t="s">
        <v>74</v>
      </c>
      <c r="B19" s="273" t="s">
        <v>75</v>
      </c>
      <c r="C19" s="306" t="s">
        <v>76</v>
      </c>
      <c r="D19" s="306" t="s">
        <v>77</v>
      </c>
      <c r="E19" s="273" t="s">
        <v>78</v>
      </c>
      <c r="F19" s="285" t="s">
        <v>79</v>
      </c>
      <c r="G19" s="291" t="s">
        <v>56</v>
      </c>
      <c r="H19" s="291"/>
      <c r="I19" s="291"/>
      <c r="J19" s="291"/>
      <c r="K19" s="291" t="s">
        <v>80</v>
      </c>
      <c r="L19" s="291"/>
      <c r="M19" s="291"/>
      <c r="N19" s="291"/>
      <c r="S19" s="281" t="s">
        <v>52</v>
      </c>
      <c r="U19" s="310">
        <v>0</v>
      </c>
      <c r="V19" s="308">
        <v>0</v>
      </c>
      <c r="W19" s="309"/>
      <c r="X19" s="310">
        <f>IF(V19&lt;&gt;"",V19*W19,"")</f>
        <v>0</v>
      </c>
      <c r="Y19" s="310" t="str">
        <f>IF(AND(V19&lt;&gt;"",S19="yes"),V19*W19,"")</f>
        <v/>
      </c>
    </row>
    <row r="20" spans="1:25" s="281" customFormat="1" ht="27.5" customHeight="1" x14ac:dyDescent="0.15">
      <c r="A20" s="273" t="s">
        <v>43</v>
      </c>
      <c r="B20" s="273" t="s">
        <v>81</v>
      </c>
      <c r="C20" s="306" t="s">
        <v>82</v>
      </c>
      <c r="D20" s="306" t="s">
        <v>83</v>
      </c>
      <c r="E20" s="273" t="s">
        <v>84</v>
      </c>
      <c r="F20" s="321" t="s">
        <v>85</v>
      </c>
      <c r="G20" s="291" t="s">
        <v>56</v>
      </c>
      <c r="H20" s="291"/>
      <c r="I20" s="291"/>
      <c r="J20" s="291"/>
      <c r="K20" s="291" t="s">
        <v>80</v>
      </c>
      <c r="L20" s="291"/>
      <c r="M20" s="291"/>
      <c r="N20" s="291"/>
      <c r="S20" s="281" t="s">
        <v>52</v>
      </c>
      <c r="U20" s="310">
        <v>0</v>
      </c>
      <c r="V20" s="308">
        <v>0</v>
      </c>
      <c r="W20" s="309"/>
      <c r="X20" s="310">
        <f>IF(V20&lt;&gt;"",V20*W20,"")</f>
        <v>0</v>
      </c>
      <c r="Y20" s="310" t="str">
        <f>IF(AND(V20&lt;&gt;"",S20="yes"),V20*W20,"")</f>
        <v/>
      </c>
    </row>
    <row r="21" spans="1:25" ht="16" customHeight="1" x14ac:dyDescent="0.15">
      <c r="A21" s="31" t="s">
        <v>64</v>
      </c>
      <c r="B21" s="31" t="s">
        <v>86</v>
      </c>
      <c r="C21" s="32" t="s">
        <v>87</v>
      </c>
      <c r="D21" s="32" t="s">
        <v>88</v>
      </c>
      <c r="E21" s="31"/>
      <c r="F21" s="31"/>
      <c r="G21" s="33" t="s">
        <v>56</v>
      </c>
      <c r="H21" s="33"/>
      <c r="I21" s="33"/>
      <c r="J21" s="33"/>
      <c r="K21" s="33" t="s">
        <v>89</v>
      </c>
      <c r="L21" s="33"/>
      <c r="M21" s="33"/>
      <c r="N21" s="33"/>
      <c r="O21" s="6"/>
      <c r="P21" s="6"/>
      <c r="Q21" s="6"/>
      <c r="R21" s="6"/>
      <c r="S21" s="6" t="s">
        <v>52</v>
      </c>
      <c r="T21" s="6"/>
      <c r="U21" s="19">
        <v>0</v>
      </c>
      <c r="V21" s="5">
        <v>1</v>
      </c>
      <c r="W21" s="20">
        <f>IF(U21&lt;&gt;"",U21*V21,"")</f>
        <v>0</v>
      </c>
      <c r="X21" s="20" t="str">
        <f>IF(AND(U21&lt;&gt;"",S21="yes"),U21*V21,"")</f>
        <v/>
      </c>
    </row>
    <row r="22" spans="1:25" ht="15" customHeight="1" thickBot="1" x14ac:dyDescent="0.2">
      <c r="A22" s="34"/>
      <c r="B22" s="34"/>
      <c r="C22" s="35"/>
      <c r="D22" s="35"/>
      <c r="E22" s="34"/>
      <c r="F22" s="34"/>
      <c r="G22" s="36"/>
      <c r="H22" s="36"/>
      <c r="I22" s="36"/>
      <c r="J22" s="36"/>
      <c r="K22" s="36"/>
      <c r="L22" s="36"/>
      <c r="M22" s="36"/>
      <c r="N22" s="36"/>
      <c r="O22" s="6"/>
      <c r="P22" s="6"/>
      <c r="Q22" s="6"/>
      <c r="R22" s="6"/>
      <c r="S22" s="6"/>
      <c r="T22" s="6"/>
      <c r="U22" s="19"/>
      <c r="W22" s="20" t="str">
        <f>IF(U22&lt;&gt;"",U22*V22,"")</f>
        <v/>
      </c>
      <c r="X22" s="20" t="str">
        <f>IF(AND(U22&lt;&gt;"",S22="yes"),U22*V22,"")</f>
        <v/>
      </c>
    </row>
    <row r="23" spans="1:25" s="322" customFormat="1" ht="15.5" customHeight="1" thickTop="1" x14ac:dyDescent="0.15">
      <c r="A23" s="273" t="s">
        <v>90</v>
      </c>
      <c r="B23" s="273"/>
      <c r="C23" s="306"/>
      <c r="D23" s="306"/>
      <c r="E23" s="273"/>
      <c r="F23" s="273"/>
      <c r="G23" s="291"/>
      <c r="H23" s="291"/>
      <c r="I23" s="291"/>
      <c r="J23" s="291"/>
      <c r="K23" s="291"/>
      <c r="L23" s="291"/>
      <c r="M23" s="291"/>
      <c r="N23" s="291"/>
      <c r="U23" s="323"/>
      <c r="V23" s="308"/>
      <c r="W23" s="324"/>
      <c r="X23" s="323"/>
    </row>
    <row r="24" spans="1:25" ht="16" customHeight="1" x14ac:dyDescent="0.15">
      <c r="A24" s="37" t="s">
        <v>61</v>
      </c>
      <c r="B24" s="37" t="s">
        <v>91</v>
      </c>
      <c r="C24" s="38" t="s">
        <v>92</v>
      </c>
      <c r="D24" s="38" t="s">
        <v>93</v>
      </c>
      <c r="E24" s="37"/>
      <c r="F24" s="37"/>
      <c r="G24" s="39" t="s">
        <v>56</v>
      </c>
      <c r="H24" s="39"/>
      <c r="I24" s="39"/>
      <c r="J24" s="39"/>
      <c r="K24" s="39" t="s">
        <v>94</v>
      </c>
      <c r="L24" s="39"/>
      <c r="M24" s="39"/>
      <c r="N24" s="39"/>
      <c r="O24" s="40"/>
      <c r="P24" s="40"/>
      <c r="Q24" s="40"/>
      <c r="R24" s="40"/>
      <c r="S24" s="1" t="s">
        <v>40</v>
      </c>
      <c r="T24" s="40"/>
      <c r="U24" s="19"/>
      <c r="W24" s="20" t="str">
        <f t="shared" ref="W24:W51" si="0">IF(U24&lt;&gt;"",U24*V24,"")</f>
        <v/>
      </c>
      <c r="X24" s="20" t="str">
        <f t="shared" ref="X24:X46" si="1">IF(AND(U24&lt;&gt;"",S24="yes"),U24*V24,"")</f>
        <v/>
      </c>
      <c r="Y24" s="41"/>
    </row>
    <row r="25" spans="1:25" x14ac:dyDescent="0.15">
      <c r="A25" s="21"/>
      <c r="B25" s="21"/>
      <c r="C25" s="22"/>
      <c r="D25" s="22"/>
      <c r="E25" s="21"/>
      <c r="F25" s="21"/>
      <c r="G25" s="23"/>
      <c r="H25" s="23"/>
      <c r="I25" s="23"/>
      <c r="J25" s="23"/>
      <c r="K25" s="23"/>
      <c r="L25" s="23"/>
      <c r="M25" s="23"/>
      <c r="N25" s="23"/>
      <c r="O25" s="21"/>
      <c r="P25" s="21"/>
      <c r="Q25" s="21"/>
      <c r="R25" s="21"/>
      <c r="S25" s="21"/>
      <c r="T25" s="21"/>
      <c r="U25" s="19"/>
      <c r="V25" s="6"/>
      <c r="W25" s="20" t="str">
        <f t="shared" si="0"/>
        <v/>
      </c>
      <c r="X25" s="20" t="str">
        <f t="shared" si="1"/>
        <v/>
      </c>
    </row>
    <row r="26" spans="1:25" ht="16" customHeight="1" x14ac:dyDescent="0.15">
      <c r="A26" s="31" t="s">
        <v>43</v>
      </c>
      <c r="B26" s="31" t="s">
        <v>95</v>
      </c>
      <c r="C26" s="32" t="s">
        <v>96</v>
      </c>
      <c r="D26" s="32" t="s">
        <v>97</v>
      </c>
      <c r="E26" s="6" t="s">
        <v>98</v>
      </c>
      <c r="F26" s="16" t="s">
        <v>99</v>
      </c>
      <c r="G26" s="33" t="s">
        <v>38</v>
      </c>
      <c r="H26" s="33"/>
      <c r="I26" s="33"/>
      <c r="J26" s="33"/>
      <c r="K26" s="33"/>
      <c r="L26" s="33"/>
      <c r="M26" s="33"/>
      <c r="N26" s="33"/>
      <c r="O26" s="21"/>
      <c r="P26" s="21"/>
      <c r="Q26" s="21"/>
      <c r="R26" s="21"/>
      <c r="S26" s="6" t="s">
        <v>40</v>
      </c>
      <c r="T26" s="21"/>
      <c r="U26" s="19">
        <v>10</v>
      </c>
      <c r="V26" s="5">
        <f>1</f>
        <v>1</v>
      </c>
      <c r="W26" s="20">
        <f t="shared" si="0"/>
        <v>10</v>
      </c>
      <c r="X26" s="20">
        <f t="shared" si="1"/>
        <v>10</v>
      </c>
    </row>
    <row r="27" spans="1:25" ht="16" customHeight="1" x14ac:dyDescent="0.15">
      <c r="A27" s="31" t="s">
        <v>43</v>
      </c>
      <c r="B27" s="31" t="s">
        <v>100</v>
      </c>
      <c r="C27" s="32" t="s">
        <v>101</v>
      </c>
      <c r="D27" s="32" t="s">
        <v>102</v>
      </c>
      <c r="E27" s="6" t="s">
        <v>103</v>
      </c>
      <c r="F27" s="16" t="s">
        <v>104</v>
      </c>
      <c r="G27" s="33" t="s">
        <v>38</v>
      </c>
      <c r="H27" s="33"/>
      <c r="I27" s="33"/>
      <c r="J27" s="33"/>
      <c r="K27" s="33"/>
      <c r="L27" s="33"/>
      <c r="M27" s="33"/>
      <c r="N27" s="33"/>
      <c r="O27" s="21"/>
      <c r="P27" s="21"/>
      <c r="Q27" s="21"/>
      <c r="R27" s="21"/>
      <c r="S27" s="6" t="s">
        <v>40</v>
      </c>
      <c r="T27" s="21"/>
      <c r="U27" s="19">
        <v>10</v>
      </c>
      <c r="V27" s="5">
        <f>1</f>
        <v>1</v>
      </c>
      <c r="W27" s="20">
        <f t="shared" si="0"/>
        <v>10</v>
      </c>
      <c r="X27" s="20">
        <f t="shared" si="1"/>
        <v>10</v>
      </c>
    </row>
    <row r="28" spans="1:25" x14ac:dyDescent="0.15">
      <c r="A28" s="21"/>
      <c r="B28" s="21"/>
      <c r="C28" s="22"/>
      <c r="D28" s="22"/>
      <c r="E28" s="21"/>
      <c r="F28" s="21"/>
      <c r="G28" s="23"/>
      <c r="H28" s="23"/>
      <c r="I28" s="23"/>
      <c r="J28" s="23"/>
      <c r="K28" s="23"/>
      <c r="L28" s="23"/>
      <c r="M28" s="23"/>
      <c r="N28" s="23"/>
      <c r="O28" s="21"/>
      <c r="P28" s="21"/>
      <c r="Q28" s="21"/>
      <c r="R28" s="21"/>
      <c r="S28" s="21"/>
      <c r="T28" s="21"/>
      <c r="U28" s="19"/>
      <c r="V28" s="5">
        <f>1</f>
        <v>1</v>
      </c>
      <c r="W28" s="20" t="str">
        <f t="shared" si="0"/>
        <v/>
      </c>
      <c r="X28" s="20" t="str">
        <f t="shared" si="1"/>
        <v/>
      </c>
    </row>
    <row r="29" spans="1:25" x14ac:dyDescent="0.15">
      <c r="A29" s="16" t="s">
        <v>105</v>
      </c>
      <c r="B29" s="16" t="s">
        <v>106</v>
      </c>
      <c r="C29" s="17" t="s">
        <v>107</v>
      </c>
      <c r="D29" s="17" t="s">
        <v>108</v>
      </c>
      <c r="E29" s="31" t="s">
        <v>109</v>
      </c>
      <c r="F29" s="16" t="s">
        <v>110</v>
      </c>
      <c r="G29" s="18" t="s">
        <v>38</v>
      </c>
      <c r="H29" s="18"/>
      <c r="I29" s="42" t="s">
        <v>111</v>
      </c>
      <c r="J29" s="18"/>
      <c r="K29" s="18"/>
      <c r="L29" s="18"/>
      <c r="M29" s="18"/>
      <c r="N29" s="18"/>
      <c r="S29" s="1" t="s">
        <v>40</v>
      </c>
      <c r="U29" s="19">
        <v>13.7530727386475</v>
      </c>
      <c r="V29" s="5">
        <f>1</f>
        <v>1</v>
      </c>
      <c r="W29" s="20">
        <f t="shared" si="0"/>
        <v>13.7530727386475</v>
      </c>
      <c r="X29" s="20">
        <f t="shared" si="1"/>
        <v>13.7530727386475</v>
      </c>
    </row>
    <row r="30" spans="1:25" x14ac:dyDescent="0.15">
      <c r="U30" s="19"/>
      <c r="V30" s="5">
        <f>1</f>
        <v>1</v>
      </c>
      <c r="W30" s="20" t="str">
        <f t="shared" si="0"/>
        <v/>
      </c>
      <c r="X30" s="20" t="str">
        <f t="shared" si="1"/>
        <v/>
      </c>
    </row>
    <row r="31" spans="1:25" ht="16" customHeight="1" x14ac:dyDescent="0.15">
      <c r="A31" s="21" t="s">
        <v>112</v>
      </c>
      <c r="B31" s="21" t="s">
        <v>113</v>
      </c>
      <c r="C31" s="22" t="s">
        <v>114</v>
      </c>
      <c r="D31" s="22" t="s">
        <v>115</v>
      </c>
      <c r="E31" s="21" t="s">
        <v>116</v>
      </c>
      <c r="F31" s="21" t="s">
        <v>117</v>
      </c>
      <c r="G31" s="23" t="s">
        <v>38</v>
      </c>
      <c r="H31" s="23"/>
      <c r="I31" s="23"/>
      <c r="J31" s="23"/>
      <c r="K31" s="23"/>
      <c r="L31" s="23"/>
      <c r="M31" s="23"/>
      <c r="N31" s="23"/>
      <c r="O31" s="21"/>
      <c r="P31" s="21"/>
      <c r="Q31" s="21"/>
      <c r="R31" s="21"/>
      <c r="S31" s="21" t="s">
        <v>52</v>
      </c>
      <c r="T31" s="21"/>
      <c r="U31" s="19">
        <v>2.1173560619354301</v>
      </c>
      <c r="V31" s="5">
        <f>1</f>
        <v>1</v>
      </c>
      <c r="W31" s="20">
        <f t="shared" si="0"/>
        <v>2.1173560619354301</v>
      </c>
      <c r="X31" s="20" t="str">
        <f t="shared" si="1"/>
        <v/>
      </c>
    </row>
    <row r="32" spans="1:25" x14ac:dyDescent="0.15">
      <c r="A32" s="21"/>
      <c r="B32" s="21"/>
      <c r="C32" s="22"/>
      <c r="D32" s="22"/>
      <c r="E32" s="21"/>
      <c r="F32" s="21"/>
      <c r="G32" s="23"/>
      <c r="H32" s="23"/>
      <c r="I32" s="23"/>
      <c r="J32" s="43"/>
      <c r="K32" s="23"/>
      <c r="L32" s="23"/>
      <c r="M32" s="23"/>
      <c r="N32" s="23"/>
      <c r="O32" s="21"/>
      <c r="P32" s="21"/>
      <c r="Q32" s="21"/>
      <c r="R32" s="21"/>
      <c r="S32" s="21"/>
      <c r="T32" s="21"/>
      <c r="U32" s="19"/>
      <c r="V32" s="5">
        <f>1</f>
        <v>1</v>
      </c>
      <c r="W32" s="20" t="str">
        <f t="shared" si="0"/>
        <v/>
      </c>
      <c r="X32" s="20" t="str">
        <f t="shared" si="1"/>
        <v/>
      </c>
    </row>
    <row r="33" spans="1:25" ht="16" customHeight="1" x14ac:dyDescent="0.15">
      <c r="A33" s="44" t="s">
        <v>43</v>
      </c>
      <c r="B33" s="44" t="s">
        <v>118</v>
      </c>
      <c r="C33" s="45" t="s">
        <v>119</v>
      </c>
      <c r="D33" s="45" t="s">
        <v>120</v>
      </c>
      <c r="E33" s="46"/>
      <c r="F33" s="46"/>
      <c r="G33" s="47" t="s">
        <v>38</v>
      </c>
      <c r="H33" s="47" t="s">
        <v>49</v>
      </c>
      <c r="I33" s="47" t="s">
        <v>50</v>
      </c>
      <c r="J33" s="47" t="s">
        <v>121</v>
      </c>
      <c r="K33" s="47"/>
      <c r="L33" s="47"/>
      <c r="M33" s="47"/>
      <c r="N33" s="48"/>
      <c r="O33" s="49"/>
      <c r="P33" s="49"/>
      <c r="Q33" s="49"/>
      <c r="R33" s="49"/>
      <c r="S33" s="46" t="s">
        <v>122</v>
      </c>
      <c r="T33" s="49"/>
      <c r="U33" s="19">
        <v>10</v>
      </c>
      <c r="V33" s="5">
        <f>1</f>
        <v>1</v>
      </c>
      <c r="W33" s="20">
        <f t="shared" si="0"/>
        <v>10</v>
      </c>
      <c r="X33" s="20" t="str">
        <f t="shared" si="1"/>
        <v/>
      </c>
      <c r="Y33" s="49"/>
    </row>
    <row r="34" spans="1:25" ht="48" customHeight="1" x14ac:dyDescent="0.15">
      <c r="A34" s="44" t="s">
        <v>123</v>
      </c>
      <c r="B34" s="44" t="s">
        <v>124</v>
      </c>
      <c r="C34" s="45" t="s">
        <v>125</v>
      </c>
      <c r="D34" s="45" t="s">
        <v>126</v>
      </c>
      <c r="E34" s="46"/>
      <c r="F34" s="46"/>
      <c r="G34" s="47" t="s">
        <v>38</v>
      </c>
      <c r="H34" s="47"/>
      <c r="I34" s="48"/>
      <c r="J34" s="47"/>
      <c r="K34" s="47"/>
      <c r="L34" s="47"/>
      <c r="M34" s="47"/>
      <c r="N34" s="48"/>
      <c r="O34" s="49"/>
      <c r="P34" s="49"/>
      <c r="Q34" s="49"/>
      <c r="R34" s="49"/>
      <c r="S34" s="46" t="s">
        <v>122</v>
      </c>
      <c r="T34" s="49"/>
      <c r="U34" s="19">
        <v>10</v>
      </c>
      <c r="V34" s="5">
        <f>1</f>
        <v>1</v>
      </c>
      <c r="W34" s="20">
        <f t="shared" si="0"/>
        <v>10</v>
      </c>
      <c r="X34" s="20" t="str">
        <f t="shared" si="1"/>
        <v/>
      </c>
      <c r="Y34" s="49"/>
    </row>
    <row r="35" spans="1:25" ht="16" customHeight="1" x14ac:dyDescent="0.15">
      <c r="A35" s="44" t="s">
        <v>43</v>
      </c>
      <c r="B35" s="44" t="s">
        <v>127</v>
      </c>
      <c r="C35" s="45" t="s">
        <v>128</v>
      </c>
      <c r="D35" s="45" t="s">
        <v>129</v>
      </c>
      <c r="E35" s="46"/>
      <c r="F35" s="46"/>
      <c r="G35" s="47" t="s">
        <v>38</v>
      </c>
      <c r="H35" s="47" t="s">
        <v>49</v>
      </c>
      <c r="I35" s="47" t="s">
        <v>50</v>
      </c>
      <c r="J35" s="47" t="s">
        <v>121</v>
      </c>
      <c r="K35" s="47" t="s">
        <v>130</v>
      </c>
      <c r="L35" s="47"/>
      <c r="M35" s="47"/>
      <c r="N35" s="48"/>
      <c r="O35" s="49"/>
      <c r="P35" s="49"/>
      <c r="Q35" s="49"/>
      <c r="R35" s="49"/>
      <c r="S35" s="46" t="s">
        <v>122</v>
      </c>
      <c r="T35" s="49"/>
      <c r="U35" s="19">
        <v>10</v>
      </c>
      <c r="V35" s="5">
        <f>1</f>
        <v>1</v>
      </c>
      <c r="W35" s="20">
        <f t="shared" si="0"/>
        <v>10</v>
      </c>
      <c r="X35" s="20" t="str">
        <f t="shared" si="1"/>
        <v/>
      </c>
      <c r="Y35" s="49"/>
    </row>
    <row r="36" spans="1:25" ht="16" customHeight="1" x14ac:dyDescent="0.15">
      <c r="A36" s="44" t="s">
        <v>43</v>
      </c>
      <c r="B36" s="44" t="s">
        <v>131</v>
      </c>
      <c r="C36" s="45" t="s">
        <v>132</v>
      </c>
      <c r="D36" s="45" t="s">
        <v>133</v>
      </c>
      <c r="E36" s="46"/>
      <c r="F36" s="46"/>
      <c r="G36" s="47" t="s">
        <v>38</v>
      </c>
      <c r="H36" s="47"/>
      <c r="I36" s="48"/>
      <c r="J36" s="47"/>
      <c r="K36" s="47" t="s">
        <v>134</v>
      </c>
      <c r="L36" s="47"/>
      <c r="M36" s="47"/>
      <c r="N36" s="48"/>
      <c r="O36" s="49"/>
      <c r="P36" s="49"/>
      <c r="Q36" s="49"/>
      <c r="R36" s="49"/>
      <c r="S36" s="46" t="s">
        <v>122</v>
      </c>
      <c r="T36" s="49"/>
      <c r="U36" s="19">
        <v>10</v>
      </c>
      <c r="V36" s="5">
        <f>1</f>
        <v>1</v>
      </c>
      <c r="W36" s="20">
        <f t="shared" si="0"/>
        <v>10</v>
      </c>
      <c r="X36" s="20" t="str">
        <f t="shared" si="1"/>
        <v/>
      </c>
      <c r="Y36" s="49"/>
    </row>
    <row r="37" spans="1:25" ht="48" customHeight="1" x14ac:dyDescent="0.15">
      <c r="A37" s="44" t="s">
        <v>123</v>
      </c>
      <c r="B37" s="44" t="s">
        <v>135</v>
      </c>
      <c r="C37" s="45" t="s">
        <v>125</v>
      </c>
      <c r="D37" s="45" t="s">
        <v>126</v>
      </c>
      <c r="E37" s="16"/>
      <c r="F37" s="16"/>
      <c r="G37" s="47" t="s">
        <v>38</v>
      </c>
      <c r="H37" s="47"/>
      <c r="I37" s="48"/>
      <c r="J37" s="47"/>
      <c r="K37" s="47" t="s">
        <v>130</v>
      </c>
      <c r="L37" s="47"/>
      <c r="M37" s="47"/>
      <c r="N37" s="48"/>
      <c r="O37" s="49"/>
      <c r="P37" s="49"/>
      <c r="Q37" s="49"/>
      <c r="R37" s="49"/>
      <c r="S37" s="46" t="s">
        <v>122</v>
      </c>
      <c r="T37" s="49"/>
      <c r="U37" s="19">
        <v>10</v>
      </c>
      <c r="V37" s="5">
        <f>1</f>
        <v>1</v>
      </c>
      <c r="W37" s="20">
        <f t="shared" si="0"/>
        <v>10</v>
      </c>
      <c r="X37" s="20" t="str">
        <f t="shared" si="1"/>
        <v/>
      </c>
      <c r="Y37" s="49"/>
    </row>
    <row r="38" spans="1:25" ht="16" customHeight="1" x14ac:dyDescent="0.15">
      <c r="A38" s="44" t="s">
        <v>43</v>
      </c>
      <c r="B38" s="44" t="s">
        <v>136</v>
      </c>
      <c r="C38" s="45" t="s">
        <v>128</v>
      </c>
      <c r="D38" s="45" t="s">
        <v>129</v>
      </c>
      <c r="E38" s="46"/>
      <c r="F38" s="46"/>
      <c r="G38" s="47" t="s">
        <v>38</v>
      </c>
      <c r="H38" s="47" t="s">
        <v>49</v>
      </c>
      <c r="I38" s="47" t="s">
        <v>50</v>
      </c>
      <c r="J38" s="47" t="s">
        <v>121</v>
      </c>
      <c r="K38" s="47" t="s">
        <v>137</v>
      </c>
      <c r="L38" s="47"/>
      <c r="M38" s="47"/>
      <c r="N38" s="48"/>
      <c r="O38" s="49"/>
      <c r="P38" s="49"/>
      <c r="Q38" s="49"/>
      <c r="R38" s="49"/>
      <c r="S38" s="46" t="s">
        <v>122</v>
      </c>
      <c r="T38" s="49"/>
      <c r="U38" s="19">
        <v>10</v>
      </c>
      <c r="V38" s="5">
        <f>1</f>
        <v>1</v>
      </c>
      <c r="W38" s="20">
        <f t="shared" si="0"/>
        <v>10</v>
      </c>
      <c r="X38" s="20" t="str">
        <f t="shared" si="1"/>
        <v/>
      </c>
      <c r="Y38" s="49"/>
    </row>
    <row r="39" spans="1:25" ht="16" customHeight="1" x14ac:dyDescent="0.15">
      <c r="A39" s="44" t="s">
        <v>43</v>
      </c>
      <c r="B39" s="44" t="s">
        <v>138</v>
      </c>
      <c r="C39" s="45" t="s">
        <v>132</v>
      </c>
      <c r="D39" s="45" t="s">
        <v>133</v>
      </c>
      <c r="E39" s="46"/>
      <c r="F39" s="46"/>
      <c r="G39" s="47" t="s">
        <v>38</v>
      </c>
      <c r="H39" s="47"/>
      <c r="I39" s="48"/>
      <c r="J39" s="47"/>
      <c r="K39" s="47" t="s">
        <v>139</v>
      </c>
      <c r="L39" s="47"/>
      <c r="M39" s="47"/>
      <c r="N39" s="48"/>
      <c r="O39" s="49"/>
      <c r="P39" s="49"/>
      <c r="Q39" s="49"/>
      <c r="R39" s="49"/>
      <c r="S39" s="46" t="s">
        <v>122</v>
      </c>
      <c r="T39" s="49"/>
      <c r="U39" s="19">
        <v>10</v>
      </c>
      <c r="V39" s="5">
        <f>1</f>
        <v>1</v>
      </c>
      <c r="W39" s="20">
        <f t="shared" si="0"/>
        <v>10</v>
      </c>
      <c r="X39" s="20" t="str">
        <f t="shared" si="1"/>
        <v/>
      </c>
      <c r="Y39" s="49"/>
    </row>
    <row r="40" spans="1:25" x14ac:dyDescent="0.15">
      <c r="A40" s="21"/>
      <c r="B40" s="21"/>
      <c r="C40" s="22"/>
      <c r="D40" s="22"/>
      <c r="E40" s="21"/>
      <c r="F40" s="21"/>
      <c r="G40" s="23"/>
      <c r="H40" s="23"/>
      <c r="I40" s="23"/>
      <c r="J40" s="43"/>
      <c r="K40" s="23"/>
      <c r="L40" s="23"/>
      <c r="M40" s="23"/>
      <c r="N40" s="23"/>
      <c r="O40" s="21"/>
      <c r="P40" s="21"/>
      <c r="Q40" s="21"/>
      <c r="R40" s="21"/>
      <c r="S40" s="21"/>
      <c r="T40" s="21"/>
      <c r="U40" s="19"/>
      <c r="V40" s="5">
        <f>1</f>
        <v>1</v>
      </c>
      <c r="W40" s="20" t="str">
        <f t="shared" si="0"/>
        <v/>
      </c>
      <c r="X40" s="20" t="str">
        <f t="shared" si="1"/>
        <v/>
      </c>
    </row>
    <row r="41" spans="1:25" ht="16" customHeight="1" x14ac:dyDescent="0.15">
      <c r="A41" s="16" t="s">
        <v>140</v>
      </c>
      <c r="B41" s="16" t="s">
        <v>141</v>
      </c>
      <c r="C41" s="50" t="s">
        <v>142</v>
      </c>
      <c r="D41" s="50" t="s">
        <v>143</v>
      </c>
      <c r="E41" s="16" t="s">
        <v>144</v>
      </c>
      <c r="F41" s="16" t="s">
        <v>145</v>
      </c>
      <c r="G41" s="18" t="s">
        <v>38</v>
      </c>
      <c r="H41" s="18" t="s">
        <v>146</v>
      </c>
      <c r="I41" s="18"/>
      <c r="J41" s="48"/>
      <c r="K41" s="18"/>
      <c r="L41" s="18"/>
      <c r="M41" s="18"/>
      <c r="N41" s="18"/>
      <c r="S41" s="1" t="s">
        <v>40</v>
      </c>
      <c r="U41" s="19">
        <v>8.8000000000000007</v>
      </c>
      <c r="V41" s="5">
        <f>1</f>
        <v>1</v>
      </c>
      <c r="W41" s="20">
        <f t="shared" si="0"/>
        <v>8.8000000000000007</v>
      </c>
      <c r="X41" s="20">
        <f t="shared" si="1"/>
        <v>8.8000000000000007</v>
      </c>
    </row>
    <row r="42" spans="1:25" x14ac:dyDescent="0.15">
      <c r="A42" s="16" t="s">
        <v>24</v>
      </c>
      <c r="B42" s="16" t="s">
        <v>147</v>
      </c>
      <c r="C42" s="17"/>
      <c r="D42" s="17"/>
      <c r="E42" s="16"/>
      <c r="F42" s="16"/>
      <c r="G42" s="18"/>
      <c r="H42" s="18"/>
      <c r="I42" s="18"/>
      <c r="J42" s="18"/>
      <c r="K42" s="18"/>
      <c r="L42" s="18"/>
      <c r="M42" s="18"/>
      <c r="N42" s="18" t="s">
        <v>148</v>
      </c>
      <c r="S42" s="1" t="s">
        <v>40</v>
      </c>
      <c r="U42" s="19"/>
      <c r="V42" s="5">
        <f>1</f>
        <v>1</v>
      </c>
      <c r="W42" s="20" t="str">
        <f t="shared" si="0"/>
        <v/>
      </c>
      <c r="X42" s="20" t="str">
        <f t="shared" si="1"/>
        <v/>
      </c>
    </row>
    <row r="43" spans="1:25" ht="16" customHeight="1" x14ac:dyDescent="0.15">
      <c r="A43" s="16" t="s">
        <v>149</v>
      </c>
      <c r="B43" s="16" t="s">
        <v>150</v>
      </c>
      <c r="C43" s="50" t="s">
        <v>151</v>
      </c>
      <c r="D43" s="50" t="s">
        <v>152</v>
      </c>
      <c r="E43" s="16"/>
      <c r="F43" s="17"/>
      <c r="G43" s="18" t="s">
        <v>38</v>
      </c>
      <c r="H43" s="18" t="s">
        <v>146</v>
      </c>
      <c r="I43" s="18"/>
      <c r="J43" s="18"/>
      <c r="K43" s="18"/>
      <c r="L43" s="18" t="s">
        <v>153</v>
      </c>
      <c r="M43" s="18"/>
      <c r="N43" s="18"/>
      <c r="S43" s="1" t="s">
        <v>40</v>
      </c>
      <c r="U43" s="19">
        <v>10.4</v>
      </c>
      <c r="V43" s="5">
        <f>1</f>
        <v>1</v>
      </c>
      <c r="W43" s="20">
        <f t="shared" si="0"/>
        <v>10.4</v>
      </c>
      <c r="X43" s="20">
        <f t="shared" si="1"/>
        <v>10.4</v>
      </c>
    </row>
    <row r="44" spans="1:25" x14ac:dyDescent="0.15">
      <c r="A44" s="16" t="s">
        <v>24</v>
      </c>
      <c r="B44" s="16" t="s">
        <v>154</v>
      </c>
      <c r="C44" s="17"/>
      <c r="D44" s="17"/>
      <c r="E44" s="16"/>
      <c r="F44" s="16"/>
      <c r="G44" s="18"/>
      <c r="H44" s="18"/>
      <c r="I44" s="18"/>
      <c r="J44" s="18"/>
      <c r="K44" s="18"/>
      <c r="L44" s="18"/>
      <c r="M44" s="18"/>
      <c r="N44" s="18" t="s">
        <v>155</v>
      </c>
      <c r="S44" s="1" t="s">
        <v>40</v>
      </c>
      <c r="U44" s="19"/>
      <c r="V44" s="5">
        <f>1</f>
        <v>1</v>
      </c>
      <c r="W44" s="20" t="str">
        <f t="shared" si="0"/>
        <v/>
      </c>
      <c r="X44" s="20" t="str">
        <f t="shared" si="1"/>
        <v/>
      </c>
    </row>
    <row r="45" spans="1:25" x14ac:dyDescent="0.15">
      <c r="U45" s="19"/>
      <c r="V45" s="5">
        <f>1</f>
        <v>1</v>
      </c>
      <c r="W45" s="20" t="str">
        <f t="shared" si="0"/>
        <v/>
      </c>
      <c r="X45" s="20" t="str">
        <f t="shared" si="1"/>
        <v/>
      </c>
    </row>
    <row r="46" spans="1:25" ht="192" customHeight="1" x14ac:dyDescent="0.15">
      <c r="A46" s="17" t="s">
        <v>156</v>
      </c>
      <c r="B46" s="17" t="s">
        <v>157</v>
      </c>
      <c r="C46" s="17" t="s">
        <v>158</v>
      </c>
      <c r="D46" s="17" t="s">
        <v>159</v>
      </c>
      <c r="E46" s="50" t="s">
        <v>160</v>
      </c>
      <c r="F46" s="50" t="s">
        <v>161</v>
      </c>
      <c r="G46" s="51" t="s">
        <v>38</v>
      </c>
      <c r="H46" s="51"/>
      <c r="I46" s="51"/>
      <c r="J46" s="51"/>
      <c r="K46" s="51"/>
      <c r="L46" s="51"/>
      <c r="M46" s="51"/>
      <c r="N46" s="51"/>
      <c r="O46" s="2"/>
      <c r="P46" s="2"/>
      <c r="Q46" s="2"/>
      <c r="R46" s="2"/>
      <c r="S46" s="2" t="s">
        <v>40</v>
      </c>
      <c r="T46" s="2"/>
      <c r="U46" s="52">
        <v>31.372377395629901</v>
      </c>
      <c r="V46" s="5">
        <f>1</f>
        <v>1</v>
      </c>
      <c r="W46" s="53">
        <f t="shared" si="0"/>
        <v>31.372377395629901</v>
      </c>
      <c r="X46" s="53">
        <f t="shared" si="1"/>
        <v>31.372377395629901</v>
      </c>
      <c r="Y46" s="54"/>
    </row>
    <row r="47" spans="1:25" ht="32" customHeight="1" x14ac:dyDescent="0.15">
      <c r="A47" s="21" t="s">
        <v>162</v>
      </c>
      <c r="B47" s="21" t="s">
        <v>163</v>
      </c>
      <c r="C47" s="22" t="s">
        <v>164</v>
      </c>
      <c r="D47" s="55" t="s">
        <v>165</v>
      </c>
      <c r="E47" s="21" t="s">
        <v>166</v>
      </c>
      <c r="F47" s="21" t="s">
        <v>167</v>
      </c>
      <c r="G47" s="23" t="s">
        <v>38</v>
      </c>
      <c r="H47" s="51"/>
      <c r="I47" s="51"/>
      <c r="J47" s="51"/>
      <c r="K47" s="51"/>
      <c r="L47" s="51"/>
      <c r="M47" s="51"/>
      <c r="N47" s="51"/>
      <c r="O47" s="2"/>
      <c r="P47" s="2"/>
      <c r="Q47" s="2"/>
      <c r="R47" s="2"/>
      <c r="S47" s="21" t="s">
        <v>52</v>
      </c>
      <c r="T47" s="21"/>
      <c r="U47" s="19">
        <v>17</v>
      </c>
      <c r="V47" s="5">
        <f>1</f>
        <v>1</v>
      </c>
      <c r="W47" s="20">
        <f t="shared" si="0"/>
        <v>17</v>
      </c>
      <c r="X47" s="53"/>
      <c r="Y47" s="54"/>
    </row>
    <row r="48" spans="1:25" x14ac:dyDescent="0.15">
      <c r="U48" s="19"/>
      <c r="V48" s="5">
        <f>1</f>
        <v>1</v>
      </c>
      <c r="W48" s="20" t="str">
        <f t="shared" si="0"/>
        <v/>
      </c>
      <c r="X48" s="20" t="str">
        <f>IF(AND(U48&lt;&gt;"",S48="yes"),U48*V48,"")</f>
        <v/>
      </c>
    </row>
    <row r="49" spans="1:25" ht="15" customHeight="1" thickBot="1" x14ac:dyDescent="0.2">
      <c r="A49" s="56" t="s">
        <v>90</v>
      </c>
      <c r="B49" s="56"/>
      <c r="C49" s="57"/>
      <c r="D49" s="57"/>
      <c r="E49" s="56"/>
      <c r="F49" s="56"/>
      <c r="G49" s="58"/>
      <c r="H49" s="58"/>
      <c r="I49" s="58"/>
      <c r="J49" s="58"/>
      <c r="K49" s="58"/>
      <c r="L49" s="58"/>
      <c r="M49" s="58"/>
      <c r="N49" s="58"/>
      <c r="O49" s="6"/>
      <c r="P49" s="6"/>
      <c r="Q49" s="6"/>
      <c r="R49" s="6"/>
      <c r="S49" s="6"/>
      <c r="T49" s="6"/>
      <c r="U49" s="19"/>
      <c r="W49" s="20" t="str">
        <f t="shared" si="0"/>
        <v/>
      </c>
      <c r="X49" s="20" t="str">
        <f>IF(AND(U49&lt;&gt;"",S49="yes"),U49*V49,"")</f>
        <v/>
      </c>
    </row>
    <row r="50" spans="1:25" ht="16" customHeight="1" thickTop="1" x14ac:dyDescent="0.15">
      <c r="A50" s="37" t="s">
        <v>61</v>
      </c>
      <c r="B50" s="37" t="s">
        <v>168</v>
      </c>
      <c r="C50" s="38" t="s">
        <v>169</v>
      </c>
      <c r="D50" s="38" t="s">
        <v>170</v>
      </c>
      <c r="E50" s="37"/>
      <c r="F50" s="37"/>
      <c r="G50" s="39" t="s">
        <v>56</v>
      </c>
      <c r="H50" s="39"/>
      <c r="I50" s="39"/>
      <c r="J50" s="39"/>
      <c r="K50" s="39" t="s">
        <v>171</v>
      </c>
      <c r="L50" s="39"/>
      <c r="M50" s="39"/>
      <c r="N50" s="39"/>
      <c r="O50" s="40"/>
      <c r="P50" s="40"/>
      <c r="Q50" s="40"/>
      <c r="R50" s="40"/>
      <c r="S50" s="1" t="s">
        <v>40</v>
      </c>
      <c r="T50" s="40"/>
      <c r="U50" s="19"/>
      <c r="W50" s="20" t="str">
        <f t="shared" si="0"/>
        <v/>
      </c>
      <c r="X50" s="20" t="str">
        <f>IF(AND(U50&lt;&gt;"",S50="yes"),U50*V50,"")</f>
        <v/>
      </c>
      <c r="Y50" s="41"/>
    </row>
    <row r="51" spans="1:25" x14ac:dyDescent="0.15">
      <c r="U51" s="19"/>
      <c r="V51" s="5">
        <f>1</f>
        <v>1</v>
      </c>
      <c r="W51" s="20" t="str">
        <f t="shared" si="0"/>
        <v/>
      </c>
      <c r="X51" s="20" t="str">
        <f>IF(AND(U51&lt;&gt;"",S51="yes"),U51*V51,"")</f>
        <v/>
      </c>
    </row>
    <row r="52" spans="1:25" x14ac:dyDescent="0.15">
      <c r="A52" s="16" t="s">
        <v>162</v>
      </c>
      <c r="B52" s="16" t="s">
        <v>172</v>
      </c>
      <c r="C52" s="17" t="s">
        <v>173</v>
      </c>
      <c r="D52" s="17" t="s">
        <v>174</v>
      </c>
      <c r="E52" s="16"/>
      <c r="F52" s="16"/>
      <c r="G52" s="18" t="s">
        <v>38</v>
      </c>
      <c r="H52" s="18"/>
      <c r="I52" s="18"/>
      <c r="J52" s="18"/>
      <c r="K52" s="18"/>
      <c r="L52" s="18"/>
      <c r="M52" s="18"/>
      <c r="N52" s="18"/>
      <c r="S52" s="1" t="s">
        <v>40</v>
      </c>
      <c r="U52" s="59"/>
      <c r="V52" s="60"/>
      <c r="W52" s="61"/>
      <c r="X52" s="20"/>
    </row>
    <row r="53" spans="1:25" x14ac:dyDescent="0.15">
      <c r="A53" s="16" t="s">
        <v>112</v>
      </c>
      <c r="B53" s="16" t="s">
        <v>175</v>
      </c>
      <c r="C53" s="17" t="s">
        <v>176</v>
      </c>
      <c r="D53" s="17" t="s">
        <v>177</v>
      </c>
      <c r="E53" s="16"/>
      <c r="F53" s="16"/>
      <c r="G53" s="18" t="s">
        <v>38</v>
      </c>
      <c r="H53" s="18"/>
      <c r="I53" s="18"/>
      <c r="J53" s="18"/>
      <c r="K53" s="18" t="s">
        <v>178</v>
      </c>
      <c r="L53" s="18"/>
      <c r="M53" s="18"/>
      <c r="N53" s="18"/>
      <c r="S53" s="1" t="s">
        <v>40</v>
      </c>
      <c r="U53" s="19">
        <v>10.085731506347701</v>
      </c>
      <c r="V53" s="5">
        <f>1</f>
        <v>1</v>
      </c>
      <c r="W53" s="20">
        <f t="shared" ref="W53:W67" si="2">IF(U53&lt;&gt;"",U53*V53,"")</f>
        <v>10.085731506347701</v>
      </c>
      <c r="X53" s="20">
        <f t="shared" ref="X53:X67" si="3">IF(AND(U53&lt;&gt;"",S53="yes"),U53*V53,"")</f>
        <v>10.085731506347701</v>
      </c>
    </row>
    <row r="54" spans="1:25" x14ac:dyDescent="0.15">
      <c r="U54" s="19"/>
      <c r="V54" s="5">
        <f>1</f>
        <v>1</v>
      </c>
      <c r="W54" s="20" t="str">
        <f t="shared" si="2"/>
        <v/>
      </c>
      <c r="X54" s="20" t="str">
        <f t="shared" si="3"/>
        <v/>
      </c>
    </row>
    <row r="55" spans="1:25" x14ac:dyDescent="0.15">
      <c r="A55" s="16" t="s">
        <v>179</v>
      </c>
      <c r="B55" s="16" t="s">
        <v>180</v>
      </c>
      <c r="C55" s="17" t="s">
        <v>181</v>
      </c>
      <c r="D55" s="17" t="s">
        <v>182</v>
      </c>
      <c r="E55" s="16"/>
      <c r="F55" s="16"/>
      <c r="G55" s="18" t="s">
        <v>38</v>
      </c>
      <c r="H55" s="18"/>
      <c r="I55" s="18"/>
      <c r="J55" s="18"/>
      <c r="K55" s="18"/>
      <c r="L55" s="18"/>
      <c r="M55" s="18"/>
      <c r="N55" s="18"/>
      <c r="S55" s="1" t="s">
        <v>40</v>
      </c>
      <c r="U55" s="19">
        <v>12.8940343856812</v>
      </c>
      <c r="V55" s="5">
        <f>1</f>
        <v>1</v>
      </c>
      <c r="W55" s="20">
        <f t="shared" si="2"/>
        <v>12.8940343856812</v>
      </c>
      <c r="X55" s="20">
        <f t="shared" si="3"/>
        <v>12.8940343856812</v>
      </c>
    </row>
    <row r="56" spans="1:25" x14ac:dyDescent="0.15">
      <c r="U56" s="19"/>
      <c r="V56" s="5">
        <f>1</f>
        <v>1</v>
      </c>
      <c r="W56" s="20" t="str">
        <f t="shared" si="2"/>
        <v/>
      </c>
      <c r="X56" s="20" t="str">
        <f t="shared" si="3"/>
        <v/>
      </c>
    </row>
    <row r="57" spans="1:25" ht="16" customHeight="1" x14ac:dyDescent="0.15">
      <c r="A57" s="6" t="s">
        <v>183</v>
      </c>
      <c r="B57" s="6" t="s">
        <v>184</v>
      </c>
      <c r="C57" s="54" t="s">
        <v>185</v>
      </c>
      <c r="D57" s="54" t="s">
        <v>186</v>
      </c>
      <c r="E57" s="62"/>
      <c r="F57" s="62"/>
      <c r="G57" s="3" t="s">
        <v>38</v>
      </c>
      <c r="H57" s="63"/>
      <c r="I57" s="63"/>
      <c r="J57" s="63"/>
      <c r="K57" s="63"/>
      <c r="L57" s="63"/>
      <c r="M57" s="63"/>
      <c r="N57" s="63"/>
      <c r="O57" s="6"/>
      <c r="P57" s="6"/>
      <c r="Q57" s="6"/>
      <c r="R57" s="6"/>
      <c r="S57" s="6" t="s">
        <v>40</v>
      </c>
      <c r="T57" s="6"/>
      <c r="U57" s="19">
        <v>15.2658290863037</v>
      </c>
      <c r="V57" s="5">
        <f>1</f>
        <v>1</v>
      </c>
      <c r="W57" s="20">
        <f t="shared" si="2"/>
        <v>15.2658290863037</v>
      </c>
      <c r="X57" s="20">
        <f t="shared" si="3"/>
        <v>15.2658290863037</v>
      </c>
    </row>
    <row r="58" spans="1:25" ht="16" customHeight="1" x14ac:dyDescent="0.15">
      <c r="A58" s="6" t="s">
        <v>187</v>
      </c>
      <c r="B58" s="6" t="s">
        <v>188</v>
      </c>
      <c r="C58" s="54" t="s">
        <v>189</v>
      </c>
      <c r="D58" s="54" t="s">
        <v>190</v>
      </c>
      <c r="E58" s="62"/>
      <c r="F58" s="62"/>
      <c r="G58" s="3" t="s">
        <v>38</v>
      </c>
      <c r="H58" s="63"/>
      <c r="I58" s="63"/>
      <c r="J58" s="63"/>
      <c r="K58" s="63"/>
      <c r="L58" s="63"/>
      <c r="M58" s="63"/>
      <c r="N58" s="63"/>
      <c r="O58" s="6"/>
      <c r="P58" s="6"/>
      <c r="Q58" s="6"/>
      <c r="R58" s="6"/>
      <c r="S58" s="6" t="s">
        <v>40</v>
      </c>
      <c r="T58" s="6"/>
      <c r="U58" s="19">
        <v>15.1237182617188</v>
      </c>
      <c r="V58" s="5">
        <f>1</f>
        <v>1</v>
      </c>
      <c r="W58" s="20">
        <f t="shared" si="2"/>
        <v>15.1237182617188</v>
      </c>
      <c r="X58" s="20">
        <f t="shared" si="3"/>
        <v>15.1237182617188</v>
      </c>
    </row>
    <row r="59" spans="1:25" ht="16" customHeight="1" x14ac:dyDescent="0.15">
      <c r="A59" s="6" t="s">
        <v>191</v>
      </c>
      <c r="B59" s="6" t="s">
        <v>192</v>
      </c>
      <c r="C59" s="54" t="s">
        <v>193</v>
      </c>
      <c r="D59" s="54" t="s">
        <v>194</v>
      </c>
      <c r="E59" s="62"/>
      <c r="F59" s="62"/>
      <c r="G59" s="3" t="s">
        <v>38</v>
      </c>
      <c r="H59" s="63"/>
      <c r="I59" s="63"/>
      <c r="J59" s="63"/>
      <c r="K59" s="63"/>
      <c r="L59" s="63"/>
      <c r="M59" s="63"/>
      <c r="N59" s="63"/>
      <c r="O59" s="6"/>
      <c r="P59" s="6"/>
      <c r="Q59" s="6"/>
      <c r="R59" s="6"/>
      <c r="S59" s="6" t="s">
        <v>40</v>
      </c>
      <c r="T59" s="6"/>
      <c r="U59" s="19">
        <v>13.760138511657701</v>
      </c>
      <c r="V59" s="5">
        <f>1</f>
        <v>1</v>
      </c>
      <c r="W59" s="20">
        <f t="shared" si="2"/>
        <v>13.760138511657701</v>
      </c>
      <c r="X59" s="20">
        <f t="shared" si="3"/>
        <v>13.760138511657701</v>
      </c>
    </row>
    <row r="60" spans="1:25" x14ac:dyDescent="0.15">
      <c r="A60" s="6"/>
      <c r="B60" s="6"/>
      <c r="C60" s="54"/>
      <c r="D60" s="54"/>
      <c r="E60" s="62"/>
      <c r="F60" s="62"/>
      <c r="G60" s="63"/>
      <c r="H60" s="63"/>
      <c r="I60" s="63"/>
      <c r="J60" s="63"/>
      <c r="K60" s="63"/>
      <c r="L60" s="63"/>
      <c r="M60" s="63"/>
      <c r="N60" s="63"/>
      <c r="O60" s="6"/>
      <c r="P60" s="6"/>
      <c r="Q60" s="6"/>
      <c r="R60" s="6"/>
      <c r="S60" s="6"/>
      <c r="T60" s="6"/>
      <c r="U60" s="19"/>
      <c r="V60" s="5">
        <f>1</f>
        <v>1</v>
      </c>
      <c r="W60" s="20" t="str">
        <f t="shared" si="2"/>
        <v/>
      </c>
      <c r="X60" s="20" t="str">
        <f t="shared" si="3"/>
        <v/>
      </c>
    </row>
    <row r="61" spans="1:25" ht="176" customHeight="1" x14ac:dyDescent="0.15">
      <c r="A61" s="21" t="s">
        <v>195</v>
      </c>
      <c r="B61" s="21" t="s">
        <v>196</v>
      </c>
      <c r="C61" s="22" t="s">
        <v>197</v>
      </c>
      <c r="D61" s="22" t="s">
        <v>198</v>
      </c>
      <c r="E61" s="22" t="s">
        <v>199</v>
      </c>
      <c r="F61" s="22" t="s">
        <v>200</v>
      </c>
      <c r="G61" s="23" t="s">
        <v>38</v>
      </c>
      <c r="H61" s="23"/>
      <c r="I61" s="23"/>
      <c r="J61" s="23"/>
      <c r="K61" s="23"/>
      <c r="L61" s="23"/>
      <c r="M61" s="23"/>
      <c r="N61" s="23"/>
      <c r="O61" s="21"/>
      <c r="P61" s="21"/>
      <c r="Q61" s="21"/>
      <c r="R61" s="21"/>
      <c r="S61" s="21" t="s">
        <v>52</v>
      </c>
      <c r="T61" s="21"/>
      <c r="U61" s="19">
        <v>30.6461887359619</v>
      </c>
      <c r="V61" s="5">
        <f>1</f>
        <v>1</v>
      </c>
      <c r="W61" s="20">
        <f t="shared" si="2"/>
        <v>30.6461887359619</v>
      </c>
      <c r="X61" s="20" t="str">
        <f t="shared" si="3"/>
        <v/>
      </c>
    </row>
    <row r="62" spans="1:25" ht="144" customHeight="1" x14ac:dyDescent="0.15">
      <c r="A62" s="21" t="s">
        <v>105</v>
      </c>
      <c r="B62" s="21" t="s">
        <v>201</v>
      </c>
      <c r="C62" s="22" t="s">
        <v>202</v>
      </c>
      <c r="D62" s="22" t="s">
        <v>203</v>
      </c>
      <c r="E62" s="22" t="s">
        <v>204</v>
      </c>
      <c r="F62" s="22" t="s">
        <v>205</v>
      </c>
      <c r="G62" s="23" t="s">
        <v>38</v>
      </c>
      <c r="H62" s="23"/>
      <c r="I62" s="23" t="s">
        <v>206</v>
      </c>
      <c r="J62" s="23"/>
      <c r="K62" s="23"/>
      <c r="L62" s="23"/>
      <c r="M62" s="23"/>
      <c r="N62" s="23"/>
      <c r="O62" s="21"/>
      <c r="P62" s="21"/>
      <c r="Q62" s="21"/>
      <c r="R62" s="21"/>
      <c r="S62" s="21" t="s">
        <v>52</v>
      </c>
      <c r="T62" s="21"/>
      <c r="U62" s="19">
        <v>15.2118482589722</v>
      </c>
      <c r="V62" s="5">
        <f>1</f>
        <v>1</v>
      </c>
      <c r="W62" s="20">
        <f t="shared" si="2"/>
        <v>15.2118482589722</v>
      </c>
      <c r="X62" s="20" t="str">
        <f t="shared" si="3"/>
        <v/>
      </c>
    </row>
    <row r="63" spans="1:25" ht="16" customHeight="1" x14ac:dyDescent="0.15">
      <c r="A63" s="21" t="s">
        <v>207</v>
      </c>
      <c r="B63" s="21" t="s">
        <v>208</v>
      </c>
      <c r="C63" s="22" t="s">
        <v>209</v>
      </c>
      <c r="D63" s="22" t="s">
        <v>210</v>
      </c>
      <c r="E63" s="21" t="s">
        <v>211</v>
      </c>
      <c r="F63" s="21" t="s">
        <v>212</v>
      </c>
      <c r="G63" s="23" t="s">
        <v>38</v>
      </c>
      <c r="H63" s="23"/>
      <c r="I63" s="23" t="s">
        <v>213</v>
      </c>
      <c r="J63" s="23"/>
      <c r="K63" s="23"/>
      <c r="L63" s="23"/>
      <c r="M63" s="23"/>
      <c r="N63" s="23"/>
      <c r="O63" s="21"/>
      <c r="P63" s="21"/>
      <c r="Q63" s="21"/>
      <c r="R63" s="21"/>
      <c r="S63" s="21" t="s">
        <v>52</v>
      </c>
      <c r="T63" s="21"/>
      <c r="U63" s="19">
        <v>17</v>
      </c>
      <c r="V63" s="5">
        <f>1</f>
        <v>1</v>
      </c>
      <c r="W63" s="20">
        <f t="shared" si="2"/>
        <v>17</v>
      </c>
      <c r="X63" s="20" t="str">
        <f t="shared" si="3"/>
        <v/>
      </c>
    </row>
    <row r="64" spans="1:25" ht="16" customHeight="1" x14ac:dyDescent="0.15">
      <c r="A64" s="21" t="s">
        <v>214</v>
      </c>
      <c r="B64" s="21" t="s">
        <v>215</v>
      </c>
      <c r="C64" s="22" t="s">
        <v>216</v>
      </c>
      <c r="D64" s="22" t="s">
        <v>217</v>
      </c>
      <c r="E64" s="21" t="s">
        <v>211</v>
      </c>
      <c r="F64" s="21"/>
      <c r="G64" s="23" t="s">
        <v>38</v>
      </c>
      <c r="H64" s="23"/>
      <c r="I64" s="23" t="s">
        <v>213</v>
      </c>
      <c r="J64" s="23"/>
      <c r="K64" s="23"/>
      <c r="L64" s="23"/>
      <c r="M64" s="23"/>
      <c r="N64" s="23"/>
      <c r="O64" s="21"/>
      <c r="P64" s="21"/>
      <c r="Q64" s="21"/>
      <c r="R64" s="21"/>
      <c r="S64" s="21" t="s">
        <v>52</v>
      </c>
      <c r="T64" s="21"/>
      <c r="U64" s="19">
        <v>17</v>
      </c>
      <c r="V64" s="5">
        <f>1</f>
        <v>1</v>
      </c>
      <c r="W64" s="20">
        <f t="shared" si="2"/>
        <v>17</v>
      </c>
      <c r="X64" s="20" t="str">
        <f t="shared" si="3"/>
        <v/>
      </c>
    </row>
    <row r="65" spans="1:25" ht="16" customHeight="1" x14ac:dyDescent="0.15">
      <c r="A65" s="21" t="s">
        <v>218</v>
      </c>
      <c r="B65" s="21" t="s">
        <v>219</v>
      </c>
      <c r="C65" s="22" t="s">
        <v>220</v>
      </c>
      <c r="D65" s="22" t="s">
        <v>221</v>
      </c>
      <c r="E65" s="21"/>
      <c r="F65" s="21"/>
      <c r="G65" s="23" t="s">
        <v>38</v>
      </c>
      <c r="H65" s="23"/>
      <c r="I65" s="23"/>
      <c r="J65" s="23"/>
      <c r="K65" s="23"/>
      <c r="L65" s="23"/>
      <c r="M65" s="23"/>
      <c r="N65" s="23"/>
      <c r="O65" s="21"/>
      <c r="P65" s="21"/>
      <c r="Q65" s="21"/>
      <c r="R65" s="21"/>
      <c r="S65" s="21" t="s">
        <v>52</v>
      </c>
      <c r="T65" s="21"/>
      <c r="U65" s="19">
        <v>17</v>
      </c>
      <c r="V65" s="5">
        <f>1</f>
        <v>1</v>
      </c>
      <c r="W65" s="20">
        <f t="shared" si="2"/>
        <v>17</v>
      </c>
      <c r="X65" s="20" t="str">
        <f t="shared" si="3"/>
        <v/>
      </c>
    </row>
    <row r="66" spans="1:25" ht="16" customHeight="1" x14ac:dyDescent="0.15">
      <c r="A66" s="21" t="s">
        <v>222</v>
      </c>
      <c r="B66" s="21" t="s">
        <v>223</v>
      </c>
      <c r="C66" s="22" t="s">
        <v>224</v>
      </c>
      <c r="D66" s="22" t="s">
        <v>225</v>
      </c>
      <c r="E66" s="21"/>
      <c r="F66" s="21"/>
      <c r="G66" s="23" t="s">
        <v>38</v>
      </c>
      <c r="H66" s="23"/>
      <c r="I66" s="23"/>
      <c r="J66" s="23"/>
      <c r="K66" s="23"/>
      <c r="L66" s="23"/>
      <c r="M66" s="23"/>
      <c r="N66" s="23"/>
      <c r="O66" s="21"/>
      <c r="P66" s="21"/>
      <c r="Q66" s="21"/>
      <c r="R66" s="21"/>
      <c r="S66" s="21" t="s">
        <v>52</v>
      </c>
      <c r="T66" s="21"/>
      <c r="U66" s="19">
        <v>8.2288064956665004</v>
      </c>
      <c r="V66" s="5">
        <f>1</f>
        <v>1</v>
      </c>
      <c r="W66" s="20">
        <f t="shared" si="2"/>
        <v>8.2288064956665004</v>
      </c>
      <c r="X66" s="20" t="str">
        <f t="shared" si="3"/>
        <v/>
      </c>
    </row>
    <row r="67" spans="1:25" ht="16" x14ac:dyDescent="0.15">
      <c r="A67" s="21" t="s">
        <v>226</v>
      </c>
      <c r="B67" s="21" t="s">
        <v>227</v>
      </c>
      <c r="C67" s="22" t="s">
        <v>228</v>
      </c>
      <c r="D67" s="22" t="s">
        <v>229</v>
      </c>
      <c r="E67" s="21"/>
      <c r="F67" s="21"/>
      <c r="G67" s="23"/>
      <c r="H67" s="23"/>
      <c r="I67" s="23"/>
      <c r="J67" s="23"/>
      <c r="K67" s="23"/>
      <c r="L67" s="23"/>
      <c r="M67" s="23"/>
      <c r="N67" s="23"/>
      <c r="O67" s="21"/>
      <c r="P67" s="21"/>
      <c r="Q67" s="21"/>
      <c r="R67" s="21"/>
      <c r="S67" s="21"/>
      <c r="T67" s="21"/>
      <c r="U67" s="19"/>
      <c r="V67" s="5">
        <f>1</f>
        <v>1</v>
      </c>
      <c r="W67" s="20" t="str">
        <f t="shared" si="2"/>
        <v/>
      </c>
      <c r="X67" s="20" t="str">
        <f t="shared" si="3"/>
        <v/>
      </c>
    </row>
    <row r="68" spans="1:25" x14ac:dyDescent="0.15">
      <c r="A68" s="21"/>
      <c r="B68" s="21"/>
      <c r="C68" s="22"/>
      <c r="D68" s="22"/>
      <c r="E68" s="21"/>
      <c r="F68" s="21"/>
      <c r="G68" s="23"/>
      <c r="H68" s="23"/>
      <c r="I68" s="23"/>
      <c r="J68" s="23"/>
      <c r="K68" s="23"/>
      <c r="L68" s="23"/>
      <c r="M68" s="23"/>
      <c r="N68" s="23"/>
      <c r="O68" s="21"/>
      <c r="P68" s="21"/>
      <c r="Q68" s="21"/>
      <c r="R68" s="21"/>
      <c r="S68" s="21"/>
      <c r="T68" s="21"/>
      <c r="U68" s="19"/>
      <c r="W68" s="20"/>
      <c r="X68" s="20"/>
    </row>
    <row r="69" spans="1:25" ht="15" customHeight="1" thickBot="1" x14ac:dyDescent="0.2">
      <c r="A69" s="64" t="s">
        <v>90</v>
      </c>
      <c r="B69" s="64"/>
      <c r="C69" s="65"/>
      <c r="D69" s="65"/>
      <c r="E69" s="64"/>
      <c r="F69" s="64"/>
      <c r="G69" s="66"/>
      <c r="H69" s="66"/>
      <c r="I69" s="66"/>
      <c r="J69" s="66"/>
      <c r="K69" s="66"/>
      <c r="L69" s="66"/>
      <c r="M69" s="66"/>
      <c r="N69" s="66"/>
      <c r="U69" s="19"/>
      <c r="V69" s="5">
        <f>1</f>
        <v>1</v>
      </c>
      <c r="W69" s="20" t="str">
        <f t="shared" ref="W69:W79" si="4">IF(U69&lt;&gt;"",U69*V69,"")</f>
        <v/>
      </c>
      <c r="X69" s="20" t="str">
        <f t="shared" ref="X69:X79" si="5">IF(AND(U69&lt;&gt;"",S69="yes"),U69*V69,"")</f>
        <v/>
      </c>
    </row>
    <row r="70" spans="1:25" ht="16" customHeight="1" thickTop="1" x14ac:dyDescent="0.15">
      <c r="A70" s="67" t="s">
        <v>61</v>
      </c>
      <c r="B70" s="67" t="s">
        <v>230</v>
      </c>
      <c r="C70" s="68" t="s">
        <v>231</v>
      </c>
      <c r="D70" s="68" t="s">
        <v>232</v>
      </c>
      <c r="E70" s="67"/>
      <c r="F70" s="67"/>
      <c r="G70" s="69" t="s">
        <v>56</v>
      </c>
      <c r="H70" s="69"/>
      <c r="I70" s="69"/>
      <c r="J70" s="69"/>
      <c r="K70" s="69" t="s">
        <v>171</v>
      </c>
      <c r="L70" s="69"/>
      <c r="M70" s="69"/>
      <c r="N70" s="69"/>
      <c r="O70" s="40"/>
      <c r="P70" s="40"/>
      <c r="Q70" s="40"/>
      <c r="R70" s="40"/>
      <c r="S70" s="1" t="s">
        <v>40</v>
      </c>
      <c r="T70" s="40"/>
      <c r="U70" s="19"/>
      <c r="V70" s="5">
        <f>1</f>
        <v>1</v>
      </c>
      <c r="W70" s="20" t="str">
        <f t="shared" si="4"/>
        <v/>
      </c>
      <c r="X70" s="20" t="str">
        <f t="shared" si="5"/>
        <v/>
      </c>
      <c r="Y70" s="41"/>
    </row>
    <row r="71" spans="1:25" x14ac:dyDescent="0.15">
      <c r="U71" s="19"/>
      <c r="V71" s="5">
        <f>1</f>
        <v>1</v>
      </c>
      <c r="W71" s="20" t="str">
        <f t="shared" si="4"/>
        <v/>
      </c>
      <c r="X71" s="20" t="str">
        <f t="shared" si="5"/>
        <v/>
      </c>
    </row>
    <row r="72" spans="1:25" ht="16" customHeight="1" x14ac:dyDescent="0.15">
      <c r="A72" s="31" t="s">
        <v>233</v>
      </c>
      <c r="B72" s="31" t="s">
        <v>234</v>
      </c>
      <c r="C72" s="32" t="s">
        <v>235</v>
      </c>
      <c r="D72" s="32" t="s">
        <v>236</v>
      </c>
      <c r="E72" s="6" t="s">
        <v>237</v>
      </c>
      <c r="F72" s="1" t="s">
        <v>238</v>
      </c>
      <c r="G72" s="33" t="s">
        <v>38</v>
      </c>
      <c r="H72" s="33" t="s">
        <v>239</v>
      </c>
      <c r="I72" s="33"/>
      <c r="J72" s="33"/>
      <c r="K72" s="33"/>
      <c r="L72" s="33"/>
      <c r="M72" s="33"/>
      <c r="N72" s="33"/>
      <c r="S72" s="1" t="s">
        <v>40</v>
      </c>
      <c r="U72" s="19">
        <v>36.928733825683601</v>
      </c>
      <c r="V72" s="5">
        <f>1</f>
        <v>1</v>
      </c>
      <c r="W72" s="20">
        <f t="shared" si="4"/>
        <v>36.928733825683601</v>
      </c>
      <c r="X72" s="20">
        <f t="shared" si="5"/>
        <v>36.928733825683601</v>
      </c>
    </row>
    <row r="73" spans="1:25" x14ac:dyDescent="0.15">
      <c r="A73" s="31" t="s">
        <v>24</v>
      </c>
      <c r="B73" s="31" t="s">
        <v>240</v>
      </c>
      <c r="C73" s="32"/>
      <c r="D73" s="32"/>
      <c r="E73" s="6"/>
      <c r="F73" s="6"/>
      <c r="G73" s="33"/>
      <c r="H73" s="33"/>
      <c r="I73" s="33"/>
      <c r="J73" s="33"/>
      <c r="K73" s="33"/>
      <c r="L73" s="33"/>
      <c r="M73" s="33"/>
      <c r="N73" s="33" t="s">
        <v>241</v>
      </c>
      <c r="S73" s="1" t="s">
        <v>40</v>
      </c>
      <c r="U73" s="19"/>
      <c r="V73" s="5">
        <f>1</f>
        <v>1</v>
      </c>
      <c r="W73" s="20" t="str">
        <f t="shared" si="4"/>
        <v/>
      </c>
      <c r="X73" s="20" t="str">
        <f t="shared" si="5"/>
        <v/>
      </c>
    </row>
    <row r="74" spans="1:25" ht="32" customHeight="1" x14ac:dyDescent="0.15">
      <c r="A74" s="31" t="s">
        <v>162</v>
      </c>
      <c r="B74" s="31" t="s">
        <v>242</v>
      </c>
      <c r="C74" s="32" t="s">
        <v>243</v>
      </c>
      <c r="D74" s="32" t="s">
        <v>244</v>
      </c>
      <c r="E74" s="6"/>
      <c r="F74" s="6"/>
      <c r="G74" s="33" t="s">
        <v>38</v>
      </c>
      <c r="H74" s="33"/>
      <c r="I74" s="33"/>
      <c r="J74" s="33"/>
      <c r="K74" s="33" t="s">
        <v>245</v>
      </c>
      <c r="L74" s="33"/>
      <c r="M74" s="33"/>
      <c r="N74" s="33"/>
      <c r="S74" s="1" t="s">
        <v>40</v>
      </c>
      <c r="U74" s="19">
        <v>0</v>
      </c>
      <c r="V74" s="5">
        <f>1</f>
        <v>1</v>
      </c>
      <c r="W74" s="20">
        <f t="shared" si="4"/>
        <v>0</v>
      </c>
      <c r="X74" s="20">
        <f t="shared" si="5"/>
        <v>0</v>
      </c>
    </row>
    <row r="75" spans="1:25" ht="32" customHeight="1" x14ac:dyDescent="0.15">
      <c r="A75" s="31" t="s">
        <v>162</v>
      </c>
      <c r="B75" s="31" t="s">
        <v>246</v>
      </c>
      <c r="C75" s="32" t="s">
        <v>247</v>
      </c>
      <c r="D75" s="32" t="s">
        <v>248</v>
      </c>
      <c r="E75" s="6"/>
      <c r="F75" s="6"/>
      <c r="G75" s="33" t="s">
        <v>38</v>
      </c>
      <c r="H75" s="33"/>
      <c r="I75" s="33"/>
      <c r="J75" s="33"/>
      <c r="K75" s="33" t="s">
        <v>249</v>
      </c>
      <c r="L75" s="33"/>
      <c r="M75" s="33"/>
      <c r="N75" s="33"/>
      <c r="S75" s="1" t="s">
        <v>40</v>
      </c>
      <c r="U75" s="19">
        <v>0</v>
      </c>
      <c r="V75" s="5">
        <f>1</f>
        <v>1</v>
      </c>
      <c r="W75" s="20">
        <f t="shared" si="4"/>
        <v>0</v>
      </c>
      <c r="X75" s="20">
        <f t="shared" si="5"/>
        <v>0</v>
      </c>
    </row>
    <row r="76" spans="1:25" ht="32" customHeight="1" x14ac:dyDescent="0.15">
      <c r="A76" s="31" t="s">
        <v>162</v>
      </c>
      <c r="B76" s="31" t="s">
        <v>250</v>
      </c>
      <c r="C76" s="32" t="s">
        <v>251</v>
      </c>
      <c r="D76" s="32" t="s">
        <v>252</v>
      </c>
      <c r="E76" s="6"/>
      <c r="F76" s="6"/>
      <c r="G76" s="33" t="s">
        <v>38</v>
      </c>
      <c r="H76" s="33"/>
      <c r="I76" s="33"/>
      <c r="J76" s="33"/>
      <c r="K76" s="33" t="s">
        <v>253</v>
      </c>
      <c r="L76" s="33"/>
      <c r="M76" s="33"/>
      <c r="N76" s="33"/>
      <c r="S76" s="1" t="s">
        <v>40</v>
      </c>
      <c r="U76" s="19">
        <v>0</v>
      </c>
      <c r="V76" s="5">
        <f>1</f>
        <v>1</v>
      </c>
      <c r="W76" s="20">
        <f t="shared" si="4"/>
        <v>0</v>
      </c>
      <c r="X76" s="20">
        <f t="shared" si="5"/>
        <v>0</v>
      </c>
    </row>
    <row r="77" spans="1:25" x14ac:dyDescent="0.15">
      <c r="U77" s="19"/>
      <c r="V77" s="5">
        <f>1</f>
        <v>1</v>
      </c>
      <c r="W77" s="20" t="str">
        <f t="shared" si="4"/>
        <v/>
      </c>
      <c r="X77" s="20" t="str">
        <f t="shared" si="5"/>
        <v/>
      </c>
    </row>
    <row r="78" spans="1:25" ht="32" customHeight="1" x14ac:dyDescent="0.15">
      <c r="A78" s="21" t="s">
        <v>254</v>
      </c>
      <c r="B78" s="21" t="s">
        <v>255</v>
      </c>
      <c r="C78" s="22" t="s">
        <v>256</v>
      </c>
      <c r="D78" s="22" t="s">
        <v>257</v>
      </c>
      <c r="E78" s="21" t="s">
        <v>258</v>
      </c>
      <c r="F78" s="21" t="s">
        <v>259</v>
      </c>
      <c r="G78" s="23" t="s">
        <v>38</v>
      </c>
      <c r="H78" s="23"/>
      <c r="I78" s="23" t="s">
        <v>260</v>
      </c>
      <c r="J78" s="23"/>
      <c r="K78" s="23" t="s">
        <v>261</v>
      </c>
      <c r="L78" s="23"/>
      <c r="M78" s="23"/>
      <c r="N78" s="23"/>
      <c r="O78" s="21"/>
      <c r="P78" s="21"/>
      <c r="Q78" s="21"/>
      <c r="R78" s="21"/>
      <c r="S78" s="21" t="s">
        <v>52</v>
      </c>
      <c r="T78" s="21"/>
      <c r="U78" s="19">
        <v>40.047317504882798</v>
      </c>
      <c r="V78" s="5">
        <f>1</f>
        <v>1</v>
      </c>
      <c r="W78" s="20">
        <f t="shared" si="4"/>
        <v>40.047317504882798</v>
      </c>
      <c r="X78" s="20" t="str">
        <f t="shared" si="5"/>
        <v/>
      </c>
    </row>
    <row r="79" spans="1:25" ht="16" customHeight="1" x14ac:dyDescent="0.15">
      <c r="A79" s="21" t="s">
        <v>262</v>
      </c>
      <c r="B79" s="21" t="s">
        <v>263</v>
      </c>
      <c r="C79" s="21" t="s">
        <v>264</v>
      </c>
      <c r="D79" s="22" t="s">
        <v>265</v>
      </c>
      <c r="E79" s="21" t="s">
        <v>266</v>
      </c>
      <c r="F79" s="21" t="s">
        <v>267</v>
      </c>
      <c r="G79" s="23" t="s">
        <v>56</v>
      </c>
      <c r="H79" s="23"/>
      <c r="I79" s="23"/>
      <c r="J79" s="23"/>
      <c r="K79" s="23" t="s">
        <v>268</v>
      </c>
      <c r="L79" s="23"/>
      <c r="M79" s="23"/>
      <c r="N79" s="23"/>
      <c r="O79" s="21"/>
      <c r="P79" s="21"/>
      <c r="Q79" s="21"/>
      <c r="R79" s="21"/>
      <c r="S79" s="21" t="s">
        <v>52</v>
      </c>
      <c r="T79" s="21"/>
      <c r="U79" s="19">
        <v>3.68701100349426</v>
      </c>
      <c r="V79" s="5">
        <f>1</f>
        <v>1</v>
      </c>
      <c r="W79" s="20">
        <f t="shared" si="4"/>
        <v>3.68701100349426</v>
      </c>
      <c r="X79" s="20" t="str">
        <f t="shared" si="5"/>
        <v/>
      </c>
    </row>
    <row r="80" spans="1:25" x14ac:dyDescent="0.15">
      <c r="D80" s="22"/>
      <c r="F80" s="21"/>
    </row>
    <row r="81" spans="1:25" ht="16" customHeight="1" x14ac:dyDescent="0.15">
      <c r="A81" s="31" t="s">
        <v>269</v>
      </c>
      <c r="B81" s="31" t="s">
        <v>270</v>
      </c>
      <c r="C81" s="31" t="s">
        <v>271</v>
      </c>
      <c r="D81" s="32" t="s">
        <v>272</v>
      </c>
      <c r="E81" s="31"/>
      <c r="F81" s="31"/>
      <c r="G81" s="33" t="s">
        <v>38</v>
      </c>
      <c r="H81" s="33"/>
      <c r="I81" s="33"/>
      <c r="J81" s="33"/>
      <c r="K81" s="33" t="s">
        <v>261</v>
      </c>
      <c r="L81" s="33"/>
      <c r="M81" s="33"/>
      <c r="N81" s="33"/>
      <c r="O81" s="31"/>
      <c r="P81" s="31"/>
      <c r="Q81" s="31"/>
      <c r="R81" s="31"/>
      <c r="S81" s="31"/>
      <c r="T81" s="31"/>
      <c r="U81" s="70"/>
      <c r="V81" s="71"/>
      <c r="W81" s="72"/>
      <c r="X81" s="72"/>
      <c r="Y81" s="31"/>
    </row>
    <row r="82" spans="1:25" ht="16" customHeight="1" x14ac:dyDescent="0.15">
      <c r="A82" s="31" t="s">
        <v>273</v>
      </c>
      <c r="B82" s="31" t="s">
        <v>274</v>
      </c>
      <c r="C82" s="31" t="s">
        <v>275</v>
      </c>
      <c r="D82" s="32" t="s">
        <v>276</v>
      </c>
      <c r="E82" s="31"/>
      <c r="F82" s="31"/>
      <c r="G82" s="33" t="s">
        <v>38</v>
      </c>
      <c r="H82" s="33"/>
      <c r="I82" s="33"/>
      <c r="J82" s="33"/>
      <c r="K82" s="33" t="s">
        <v>261</v>
      </c>
      <c r="L82" s="33"/>
      <c r="M82" s="33"/>
      <c r="N82" s="33"/>
      <c r="O82" s="31"/>
      <c r="P82" s="31"/>
      <c r="Q82" s="31"/>
      <c r="R82" s="31"/>
      <c r="S82" s="31"/>
      <c r="T82" s="31"/>
      <c r="U82" s="70"/>
      <c r="V82" s="71"/>
      <c r="W82" s="72"/>
      <c r="X82" s="72"/>
      <c r="Y82" s="31"/>
    </row>
    <row r="83" spans="1:25" x14ac:dyDescent="0.15">
      <c r="U83" s="19"/>
      <c r="V83" s="5">
        <f>1</f>
        <v>1</v>
      </c>
      <c r="W83" s="20" t="str">
        <f t="shared" ref="W83:W94" si="6">IF(U83&lt;&gt;"",U83*V83,"")</f>
        <v/>
      </c>
      <c r="X83" s="20" t="str">
        <f t="shared" ref="X83:X94" si="7">IF(AND(U83&lt;&gt;"",S83="yes"),U83*V83,"")</f>
        <v/>
      </c>
    </row>
    <row r="84" spans="1:25" ht="32" customHeight="1" x14ac:dyDescent="0.15">
      <c r="A84" s="31" t="s">
        <v>277</v>
      </c>
      <c r="B84" s="31" t="s">
        <v>278</v>
      </c>
      <c r="C84" s="32" t="s">
        <v>279</v>
      </c>
      <c r="D84" s="32" t="s">
        <v>280</v>
      </c>
      <c r="E84" s="31"/>
      <c r="F84" s="31"/>
      <c r="G84" s="33" t="s">
        <v>38</v>
      </c>
      <c r="H84" s="33"/>
      <c r="I84" s="33"/>
      <c r="J84" s="33"/>
      <c r="K84" s="33" t="s">
        <v>261</v>
      </c>
      <c r="L84" s="33"/>
      <c r="M84" s="33"/>
      <c r="N84" s="33"/>
      <c r="S84" s="1" t="s">
        <v>40</v>
      </c>
      <c r="U84" s="19">
        <v>27.242166519165</v>
      </c>
      <c r="V84" s="5">
        <f>1</f>
        <v>1</v>
      </c>
      <c r="W84" s="20">
        <f t="shared" si="6"/>
        <v>27.242166519165</v>
      </c>
      <c r="X84" s="20">
        <f t="shared" si="7"/>
        <v>27.242166519165</v>
      </c>
    </row>
    <row r="85" spans="1:25" x14ac:dyDescent="0.15">
      <c r="D85" s="54"/>
      <c r="U85" s="19"/>
      <c r="V85" s="5">
        <f>1</f>
        <v>1</v>
      </c>
      <c r="W85" s="20" t="str">
        <f t="shared" si="6"/>
        <v/>
      </c>
      <c r="X85" s="20" t="str">
        <f t="shared" si="7"/>
        <v/>
      </c>
    </row>
    <row r="86" spans="1:25" ht="32" customHeight="1" x14ac:dyDescent="0.15">
      <c r="A86" s="31" t="s">
        <v>281</v>
      </c>
      <c r="B86" s="31" t="s">
        <v>282</v>
      </c>
      <c r="C86" s="32" t="s">
        <v>283</v>
      </c>
      <c r="D86" s="32" t="s">
        <v>284</v>
      </c>
      <c r="E86" s="6" t="s">
        <v>285</v>
      </c>
      <c r="F86" s="6" t="s">
        <v>286</v>
      </c>
      <c r="G86" s="33" t="s">
        <v>38</v>
      </c>
      <c r="H86" s="33" t="s">
        <v>239</v>
      </c>
      <c r="I86" s="33"/>
      <c r="J86" s="33"/>
      <c r="K86" s="33" t="s">
        <v>261</v>
      </c>
      <c r="L86" s="33" t="s">
        <v>287</v>
      </c>
      <c r="M86" s="33"/>
      <c r="N86" s="33"/>
      <c r="S86" s="1" t="s">
        <v>40</v>
      </c>
      <c r="U86" s="19">
        <v>25.3080043792725</v>
      </c>
      <c r="V86" s="5">
        <f>1</f>
        <v>1</v>
      </c>
      <c r="W86" s="20">
        <f t="shared" si="6"/>
        <v>25.3080043792725</v>
      </c>
      <c r="X86" s="20">
        <f t="shared" si="7"/>
        <v>25.3080043792725</v>
      </c>
    </row>
    <row r="87" spans="1:25" x14ac:dyDescent="0.15">
      <c r="A87" s="31" t="s">
        <v>24</v>
      </c>
      <c r="B87" s="31" t="s">
        <v>288</v>
      </c>
      <c r="C87" s="32"/>
      <c r="D87" s="32"/>
      <c r="E87" s="6"/>
      <c r="F87" s="6"/>
      <c r="G87" s="33"/>
      <c r="H87" s="33"/>
      <c r="I87" s="33"/>
      <c r="J87" s="33"/>
      <c r="K87" s="33"/>
      <c r="L87" s="33"/>
      <c r="M87" s="33"/>
      <c r="N87" s="33" t="s">
        <v>289</v>
      </c>
      <c r="S87" s="1" t="s">
        <v>40</v>
      </c>
      <c r="U87" s="19"/>
      <c r="V87" s="5">
        <f>1</f>
        <v>1</v>
      </c>
      <c r="W87" s="20" t="str">
        <f t="shared" si="6"/>
        <v/>
      </c>
      <c r="X87" s="20" t="str">
        <f t="shared" si="7"/>
        <v/>
      </c>
    </row>
    <row r="88" spans="1:25" ht="32" customHeight="1" x14ac:dyDescent="0.15">
      <c r="A88" s="31" t="s">
        <v>162</v>
      </c>
      <c r="B88" s="31" t="s">
        <v>290</v>
      </c>
      <c r="C88" s="32" t="s">
        <v>243</v>
      </c>
      <c r="D88" s="73" t="s">
        <v>244</v>
      </c>
      <c r="E88" s="6"/>
      <c r="F88" s="6"/>
      <c r="G88" s="33" t="s">
        <v>38</v>
      </c>
      <c r="H88" s="33"/>
      <c r="I88" s="33"/>
      <c r="J88" s="33"/>
      <c r="K88" s="33" t="s">
        <v>291</v>
      </c>
      <c r="L88" s="33"/>
      <c r="M88" s="33"/>
      <c r="N88" s="33"/>
      <c r="S88" s="1" t="s">
        <v>40</v>
      </c>
      <c r="U88" s="19">
        <v>0</v>
      </c>
      <c r="V88" s="5">
        <f>1</f>
        <v>1</v>
      </c>
      <c r="W88" s="20">
        <f t="shared" si="6"/>
        <v>0</v>
      </c>
      <c r="X88" s="20">
        <f t="shared" si="7"/>
        <v>0</v>
      </c>
    </row>
    <row r="89" spans="1:25" ht="32" customHeight="1" x14ac:dyDescent="0.15">
      <c r="A89" s="31" t="s">
        <v>162</v>
      </c>
      <c r="B89" s="31" t="s">
        <v>292</v>
      </c>
      <c r="C89" s="32" t="s">
        <v>293</v>
      </c>
      <c r="D89" s="32" t="s">
        <v>248</v>
      </c>
      <c r="E89" s="6"/>
      <c r="F89" s="6"/>
      <c r="G89" s="33" t="s">
        <v>38</v>
      </c>
      <c r="H89" s="33"/>
      <c r="I89" s="33"/>
      <c r="J89" s="33"/>
      <c r="K89" s="33" t="s">
        <v>294</v>
      </c>
      <c r="L89" s="33"/>
      <c r="M89" s="33"/>
      <c r="N89" s="33"/>
      <c r="S89" s="1" t="s">
        <v>40</v>
      </c>
      <c r="U89" s="19">
        <v>0</v>
      </c>
      <c r="V89" s="5">
        <f>1</f>
        <v>1</v>
      </c>
      <c r="W89" s="20">
        <f t="shared" si="6"/>
        <v>0</v>
      </c>
      <c r="X89" s="20">
        <f t="shared" si="7"/>
        <v>0</v>
      </c>
    </row>
    <row r="90" spans="1:25" ht="32" customHeight="1" x14ac:dyDescent="0.15">
      <c r="A90" s="31" t="s">
        <v>162</v>
      </c>
      <c r="B90" s="31" t="s">
        <v>295</v>
      </c>
      <c r="C90" s="32" t="s">
        <v>251</v>
      </c>
      <c r="D90" s="32" t="s">
        <v>252</v>
      </c>
      <c r="E90" s="6"/>
      <c r="F90" s="6"/>
      <c r="G90" s="33" t="s">
        <v>38</v>
      </c>
      <c r="H90" s="33"/>
      <c r="I90" s="33"/>
      <c r="J90" s="33"/>
      <c r="K90" s="33" t="s">
        <v>296</v>
      </c>
      <c r="L90" s="33"/>
      <c r="M90" s="33"/>
      <c r="N90" s="33"/>
      <c r="S90" s="1" t="s">
        <v>40</v>
      </c>
      <c r="U90" s="19">
        <v>0</v>
      </c>
      <c r="V90" s="5">
        <f>1</f>
        <v>1</v>
      </c>
      <c r="W90" s="20">
        <f t="shared" si="6"/>
        <v>0</v>
      </c>
      <c r="X90" s="20">
        <f t="shared" si="7"/>
        <v>0</v>
      </c>
    </row>
    <row r="91" spans="1:25" x14ac:dyDescent="0.15">
      <c r="U91" s="19"/>
      <c r="V91" s="5">
        <f>1</f>
        <v>1</v>
      </c>
      <c r="W91" s="20" t="str">
        <f t="shared" si="6"/>
        <v/>
      </c>
      <c r="X91" s="20" t="str">
        <f t="shared" si="7"/>
        <v/>
      </c>
    </row>
    <row r="92" spans="1:25" ht="32" customHeight="1" x14ac:dyDescent="0.15">
      <c r="A92" s="21" t="s">
        <v>254</v>
      </c>
      <c r="B92" s="21" t="s">
        <v>297</v>
      </c>
      <c r="C92" s="22" t="s">
        <v>298</v>
      </c>
      <c r="D92" s="22" t="s">
        <v>299</v>
      </c>
      <c r="E92" s="21" t="s">
        <v>258</v>
      </c>
      <c r="F92" s="21" t="s">
        <v>259</v>
      </c>
      <c r="G92" s="23" t="s">
        <v>38</v>
      </c>
      <c r="H92" s="23"/>
      <c r="I92" s="23" t="s">
        <v>260</v>
      </c>
      <c r="J92" s="23"/>
      <c r="K92" s="23" t="s">
        <v>300</v>
      </c>
      <c r="L92" s="23"/>
      <c r="M92" s="23"/>
      <c r="N92" s="23"/>
      <c r="O92" s="21"/>
      <c r="P92" s="21"/>
      <c r="Q92" s="21"/>
      <c r="R92" s="21"/>
      <c r="S92" s="21" t="s">
        <v>52</v>
      </c>
      <c r="T92" s="21"/>
      <c r="U92" s="19">
        <v>30.8284702301025</v>
      </c>
      <c r="V92" s="5">
        <f>1</f>
        <v>1</v>
      </c>
      <c r="W92" s="20">
        <f t="shared" si="6"/>
        <v>30.8284702301025</v>
      </c>
      <c r="X92" s="20" t="str">
        <f t="shared" si="7"/>
        <v/>
      </c>
    </row>
    <row r="93" spans="1:25" ht="16" customHeight="1" x14ac:dyDescent="0.15">
      <c r="A93" s="21" t="s">
        <v>262</v>
      </c>
      <c r="B93" s="21" t="s">
        <v>301</v>
      </c>
      <c r="C93" s="21" t="s">
        <v>264</v>
      </c>
      <c r="D93" s="22" t="s">
        <v>265</v>
      </c>
      <c r="E93" s="21" t="s">
        <v>266</v>
      </c>
      <c r="F93" s="21" t="s">
        <v>267</v>
      </c>
      <c r="G93" s="23" t="s">
        <v>56</v>
      </c>
      <c r="H93" s="23"/>
      <c r="I93" s="23"/>
      <c r="J93" s="23"/>
      <c r="K93" s="23" t="s">
        <v>302</v>
      </c>
      <c r="L93" s="23"/>
      <c r="M93" s="23"/>
      <c r="N93" s="23"/>
      <c r="O93" s="21"/>
      <c r="P93" s="21"/>
      <c r="Q93" s="21"/>
      <c r="R93" s="21"/>
      <c r="S93" s="21" t="s">
        <v>52</v>
      </c>
      <c r="T93" s="21"/>
      <c r="U93" s="19">
        <v>2.29411768913269</v>
      </c>
      <c r="V93" s="5">
        <f>1</f>
        <v>1</v>
      </c>
      <c r="W93" s="20">
        <f t="shared" si="6"/>
        <v>2.29411768913269</v>
      </c>
      <c r="X93" s="20" t="str">
        <f t="shared" si="7"/>
        <v/>
      </c>
    </row>
    <row r="94" spans="1:25" x14ac:dyDescent="0.15">
      <c r="A94" s="21"/>
      <c r="B94" s="21"/>
      <c r="C94" s="22"/>
      <c r="D94" s="22"/>
      <c r="E94" s="21"/>
      <c r="F94" s="21"/>
      <c r="G94" s="23"/>
      <c r="H94" s="23"/>
      <c r="I94" s="23"/>
      <c r="J94" s="23"/>
      <c r="K94" s="23"/>
      <c r="L94" s="23"/>
      <c r="M94" s="23"/>
      <c r="N94" s="23"/>
      <c r="O94" s="21"/>
      <c r="P94" s="21"/>
      <c r="Q94" s="21"/>
      <c r="R94" s="21"/>
      <c r="S94" s="21"/>
      <c r="T94" s="21"/>
      <c r="U94" s="19"/>
      <c r="V94" s="5">
        <f>1</f>
        <v>1</v>
      </c>
      <c r="W94" s="20" t="str">
        <f t="shared" si="6"/>
        <v/>
      </c>
      <c r="X94" s="20" t="str">
        <f t="shared" si="7"/>
        <v/>
      </c>
    </row>
    <row r="95" spans="1:25" ht="16" customHeight="1" x14ac:dyDescent="0.15">
      <c r="A95" s="21" t="s">
        <v>269</v>
      </c>
      <c r="B95" s="21" t="s">
        <v>303</v>
      </c>
      <c r="C95" s="21" t="s">
        <v>271</v>
      </c>
      <c r="D95" s="22" t="s">
        <v>272</v>
      </c>
      <c r="E95" s="21"/>
      <c r="F95" s="21"/>
      <c r="G95" s="23" t="s">
        <v>38</v>
      </c>
      <c r="H95" s="23"/>
      <c r="I95" s="23"/>
      <c r="J95" s="23"/>
      <c r="K95" s="23" t="s">
        <v>300</v>
      </c>
      <c r="L95" s="23"/>
      <c r="M95" s="23"/>
      <c r="N95" s="23"/>
      <c r="O95" s="21"/>
      <c r="P95" s="21"/>
      <c r="Q95" s="21"/>
      <c r="R95" s="21"/>
      <c r="S95" s="21"/>
      <c r="T95" s="21"/>
      <c r="U95" s="19"/>
      <c r="W95" s="20"/>
      <c r="X95" s="20"/>
    </row>
    <row r="96" spans="1:25" ht="16" customHeight="1" x14ac:dyDescent="0.15">
      <c r="A96" s="21" t="s">
        <v>273</v>
      </c>
      <c r="B96" s="21" t="s">
        <v>304</v>
      </c>
      <c r="C96" s="21" t="s">
        <v>275</v>
      </c>
      <c r="D96" s="22" t="s">
        <v>276</v>
      </c>
      <c r="E96" s="21"/>
      <c r="F96" s="21"/>
      <c r="G96" s="23" t="s">
        <v>38</v>
      </c>
      <c r="H96" s="23"/>
      <c r="I96" s="23"/>
      <c r="J96" s="23"/>
      <c r="K96" s="23" t="s">
        <v>300</v>
      </c>
      <c r="L96" s="23"/>
      <c r="M96" s="23"/>
      <c r="N96" s="23"/>
      <c r="O96" s="21"/>
      <c r="P96" s="21"/>
      <c r="Q96" s="21"/>
      <c r="R96" s="21"/>
      <c r="S96" s="21"/>
      <c r="T96" s="21"/>
      <c r="U96" s="19"/>
      <c r="W96" s="20"/>
      <c r="X96" s="20"/>
    </row>
    <row r="97" spans="1:24" x14ac:dyDescent="0.15">
      <c r="A97" s="21"/>
      <c r="B97" s="21"/>
      <c r="C97" s="22"/>
      <c r="D97" s="22"/>
      <c r="E97" s="21"/>
      <c r="F97" s="21"/>
      <c r="G97" s="23"/>
      <c r="H97" s="23"/>
      <c r="I97" s="23"/>
      <c r="J97" s="23"/>
      <c r="K97" s="23"/>
      <c r="L97" s="23"/>
      <c r="M97" s="23"/>
      <c r="N97" s="23"/>
      <c r="O97" s="21"/>
      <c r="P97" s="21"/>
      <c r="Q97" s="21"/>
      <c r="R97" s="21"/>
      <c r="S97" s="21"/>
      <c r="T97" s="21"/>
      <c r="U97" s="19"/>
      <c r="V97" s="5">
        <f>1</f>
        <v>1</v>
      </c>
      <c r="W97" s="20" t="str">
        <f t="shared" ref="W97:W108" si="8">IF(U97&lt;&gt;"",U97*V97,"")</f>
        <v/>
      </c>
      <c r="X97" s="20" t="str">
        <f t="shared" ref="X97:X108" si="9">IF(AND(U97&lt;&gt;"",S97="yes"),U97*V97,"")</f>
        <v/>
      </c>
    </row>
    <row r="98" spans="1:24" ht="32" customHeight="1" x14ac:dyDescent="0.15">
      <c r="A98" s="31" t="s">
        <v>277</v>
      </c>
      <c r="B98" s="31" t="s">
        <v>305</v>
      </c>
      <c r="C98" s="32" t="s">
        <v>306</v>
      </c>
      <c r="D98" s="32" t="s">
        <v>307</v>
      </c>
      <c r="E98" s="31"/>
      <c r="F98" s="31"/>
      <c r="G98" s="33" t="s">
        <v>38</v>
      </c>
      <c r="H98" s="33"/>
      <c r="I98" s="33"/>
      <c r="J98" s="33"/>
      <c r="K98" s="33" t="s">
        <v>300</v>
      </c>
      <c r="L98" s="33"/>
      <c r="M98" s="33"/>
      <c r="N98" s="33"/>
      <c r="S98" s="1" t="s">
        <v>40</v>
      </c>
      <c r="U98" s="19">
        <v>21.1932563781738</v>
      </c>
      <c r="V98" s="5">
        <f>1</f>
        <v>1</v>
      </c>
      <c r="W98" s="20">
        <f t="shared" si="8"/>
        <v>21.1932563781738</v>
      </c>
      <c r="X98" s="20">
        <f t="shared" si="9"/>
        <v>21.1932563781738</v>
      </c>
    </row>
    <row r="99" spans="1:24" x14ac:dyDescent="0.15">
      <c r="D99" s="54"/>
      <c r="K99" s="63"/>
      <c r="U99" s="19"/>
      <c r="V99" s="5">
        <f>1</f>
        <v>1</v>
      </c>
      <c r="W99" s="20" t="str">
        <f t="shared" si="8"/>
        <v/>
      </c>
      <c r="X99" s="20" t="str">
        <f t="shared" si="9"/>
        <v/>
      </c>
    </row>
    <row r="100" spans="1:24" ht="16" customHeight="1" x14ac:dyDescent="0.15">
      <c r="A100" s="31" t="s">
        <v>308</v>
      </c>
      <c r="B100" s="31" t="s">
        <v>309</v>
      </c>
      <c r="C100" s="31" t="s">
        <v>310</v>
      </c>
      <c r="D100" s="32" t="s">
        <v>311</v>
      </c>
      <c r="E100" s="6" t="s">
        <v>285</v>
      </c>
      <c r="F100" s="6" t="s">
        <v>312</v>
      </c>
      <c r="G100" s="33" t="s">
        <v>38</v>
      </c>
      <c r="H100" s="33" t="s">
        <v>239</v>
      </c>
      <c r="I100" s="33"/>
      <c r="J100" s="33"/>
      <c r="K100" s="33" t="s">
        <v>300</v>
      </c>
      <c r="L100" s="33" t="s">
        <v>313</v>
      </c>
      <c r="M100" s="33"/>
      <c r="N100" s="33"/>
      <c r="S100" s="1" t="s">
        <v>40</v>
      </c>
      <c r="U100" s="19">
        <v>20.229927062988299</v>
      </c>
      <c r="V100" s="5">
        <f>1</f>
        <v>1</v>
      </c>
      <c r="W100" s="20">
        <f t="shared" si="8"/>
        <v>20.229927062988299</v>
      </c>
      <c r="X100" s="20">
        <f t="shared" si="9"/>
        <v>20.229927062988299</v>
      </c>
    </row>
    <row r="101" spans="1:24" x14ac:dyDescent="0.15">
      <c r="A101" s="31" t="s">
        <v>24</v>
      </c>
      <c r="B101" s="31" t="s">
        <v>314</v>
      </c>
      <c r="C101" s="32"/>
      <c r="D101" s="32"/>
      <c r="E101" s="6"/>
      <c r="F101" s="6"/>
      <c r="G101" s="33"/>
      <c r="H101" s="33"/>
      <c r="I101" s="33"/>
      <c r="J101" s="33"/>
      <c r="K101" s="33"/>
      <c r="L101" s="33"/>
      <c r="M101" s="33"/>
      <c r="N101" s="33" t="s">
        <v>315</v>
      </c>
      <c r="S101" s="1" t="s">
        <v>40</v>
      </c>
      <c r="U101" s="19"/>
      <c r="V101" s="5">
        <f>1</f>
        <v>1</v>
      </c>
      <c r="W101" s="20" t="str">
        <f t="shared" si="8"/>
        <v/>
      </c>
      <c r="X101" s="20" t="str">
        <f t="shared" si="9"/>
        <v/>
      </c>
    </row>
    <row r="102" spans="1:24" ht="32" customHeight="1" x14ac:dyDescent="0.15">
      <c r="A102" s="31" t="s">
        <v>162</v>
      </c>
      <c r="B102" s="31" t="s">
        <v>316</v>
      </c>
      <c r="C102" s="32" t="s">
        <v>243</v>
      </c>
      <c r="D102" s="73" t="s">
        <v>244</v>
      </c>
      <c r="E102" s="6"/>
      <c r="F102" s="6"/>
      <c r="G102" s="33" t="s">
        <v>38</v>
      </c>
      <c r="H102" s="33"/>
      <c r="I102" s="33"/>
      <c r="J102" s="33"/>
      <c r="K102" s="33" t="s">
        <v>317</v>
      </c>
      <c r="L102" s="33"/>
      <c r="M102" s="33"/>
      <c r="N102" s="33"/>
      <c r="S102" s="1" t="s">
        <v>40</v>
      </c>
      <c r="U102" s="19">
        <v>0</v>
      </c>
      <c r="V102" s="5">
        <f>1</f>
        <v>1</v>
      </c>
      <c r="W102" s="20">
        <f t="shared" si="8"/>
        <v>0</v>
      </c>
      <c r="X102" s="20">
        <f t="shared" si="9"/>
        <v>0</v>
      </c>
    </row>
    <row r="103" spans="1:24" ht="32" customHeight="1" x14ac:dyDescent="0.15">
      <c r="A103" s="31" t="s">
        <v>162</v>
      </c>
      <c r="B103" s="31" t="s">
        <v>318</v>
      </c>
      <c r="C103" s="32" t="s">
        <v>247</v>
      </c>
      <c r="D103" s="32" t="s">
        <v>248</v>
      </c>
      <c r="E103" s="6"/>
      <c r="F103" s="6"/>
      <c r="G103" s="33" t="s">
        <v>38</v>
      </c>
      <c r="H103" s="33"/>
      <c r="I103" s="33"/>
      <c r="J103" s="33"/>
      <c r="K103" s="33" t="s">
        <v>319</v>
      </c>
      <c r="L103" s="33"/>
      <c r="M103" s="33"/>
      <c r="N103" s="33"/>
      <c r="S103" s="1" t="s">
        <v>40</v>
      </c>
      <c r="U103" s="19">
        <v>0</v>
      </c>
      <c r="V103" s="5">
        <f>1</f>
        <v>1</v>
      </c>
      <c r="W103" s="20">
        <f t="shared" si="8"/>
        <v>0</v>
      </c>
      <c r="X103" s="20">
        <f t="shared" si="9"/>
        <v>0</v>
      </c>
    </row>
    <row r="104" spans="1:24" ht="32" customHeight="1" x14ac:dyDescent="0.15">
      <c r="A104" s="31" t="s">
        <v>162</v>
      </c>
      <c r="B104" s="31" t="s">
        <v>320</v>
      </c>
      <c r="C104" s="32" t="s">
        <v>251</v>
      </c>
      <c r="D104" s="32" t="s">
        <v>252</v>
      </c>
      <c r="E104" s="6"/>
      <c r="F104" s="6"/>
      <c r="G104" s="33" t="s">
        <v>38</v>
      </c>
      <c r="H104" s="33"/>
      <c r="I104" s="33"/>
      <c r="J104" s="33"/>
      <c r="K104" s="33" t="s">
        <v>321</v>
      </c>
      <c r="L104" s="33"/>
      <c r="M104" s="33"/>
      <c r="N104" s="33"/>
      <c r="S104" s="1" t="s">
        <v>40</v>
      </c>
      <c r="U104" s="19">
        <v>0</v>
      </c>
      <c r="V104" s="5">
        <f>1</f>
        <v>1</v>
      </c>
      <c r="W104" s="20">
        <f t="shared" si="8"/>
        <v>0</v>
      </c>
      <c r="X104" s="20">
        <f t="shared" si="9"/>
        <v>0</v>
      </c>
    </row>
    <row r="105" spans="1:24" x14ac:dyDescent="0.15">
      <c r="U105" s="19"/>
      <c r="V105" s="5">
        <f>1</f>
        <v>1</v>
      </c>
      <c r="W105" s="20" t="str">
        <f t="shared" si="8"/>
        <v/>
      </c>
      <c r="X105" s="20" t="str">
        <f t="shared" si="9"/>
        <v/>
      </c>
    </row>
    <row r="106" spans="1:24" ht="32" customHeight="1" x14ac:dyDescent="0.15">
      <c r="A106" s="21" t="s">
        <v>254</v>
      </c>
      <c r="B106" s="21" t="s">
        <v>322</v>
      </c>
      <c r="C106" s="22" t="s">
        <v>323</v>
      </c>
      <c r="D106" s="22" t="s">
        <v>324</v>
      </c>
      <c r="E106" s="21" t="s">
        <v>258</v>
      </c>
      <c r="F106" s="21"/>
      <c r="G106" s="23" t="s">
        <v>38</v>
      </c>
      <c r="H106" s="23"/>
      <c r="I106" s="23" t="s">
        <v>260</v>
      </c>
      <c r="J106" s="23"/>
      <c r="K106" s="23" t="s">
        <v>325</v>
      </c>
      <c r="L106" s="23"/>
      <c r="M106" s="23"/>
      <c r="N106" s="23"/>
      <c r="O106" s="21"/>
      <c r="P106" s="21"/>
      <c r="Q106" s="21"/>
      <c r="R106" s="21"/>
      <c r="S106" s="21" t="s">
        <v>52</v>
      </c>
      <c r="T106" s="21"/>
      <c r="U106" s="19">
        <v>29.429832458496101</v>
      </c>
      <c r="V106" s="5">
        <f>1</f>
        <v>1</v>
      </c>
      <c r="W106" s="20">
        <f t="shared" si="8"/>
        <v>29.429832458496101</v>
      </c>
      <c r="X106" s="20" t="str">
        <f t="shared" si="9"/>
        <v/>
      </c>
    </row>
    <row r="107" spans="1:24" ht="16" customHeight="1" x14ac:dyDescent="0.15">
      <c r="A107" s="21" t="s">
        <v>262</v>
      </c>
      <c r="B107" s="21" t="s">
        <v>326</v>
      </c>
      <c r="C107" s="21" t="s">
        <v>264</v>
      </c>
      <c r="D107" s="22" t="s">
        <v>265</v>
      </c>
      <c r="E107" s="21" t="s">
        <v>266</v>
      </c>
      <c r="F107" s="21"/>
      <c r="G107" s="23" t="s">
        <v>56</v>
      </c>
      <c r="H107" s="23"/>
      <c r="I107" s="23"/>
      <c r="J107" s="23"/>
      <c r="K107" s="74" t="s">
        <v>327</v>
      </c>
      <c r="L107" s="23"/>
      <c r="M107" s="23"/>
      <c r="N107" s="23"/>
      <c r="O107" s="21"/>
      <c r="P107" s="21"/>
      <c r="Q107" s="21"/>
      <c r="R107" s="21"/>
      <c r="S107" s="21" t="s">
        <v>52</v>
      </c>
      <c r="T107" s="21"/>
      <c r="U107" s="19">
        <v>1.5555555820465099</v>
      </c>
      <c r="V107" s="5">
        <f>1</f>
        <v>1</v>
      </c>
      <c r="W107" s="20">
        <f t="shared" si="8"/>
        <v>1.5555555820465099</v>
      </c>
      <c r="X107" s="20" t="str">
        <f t="shared" si="9"/>
        <v/>
      </c>
    </row>
    <row r="108" spans="1:24" x14ac:dyDescent="0.15">
      <c r="A108" s="21"/>
      <c r="B108" s="21"/>
      <c r="C108" s="22"/>
      <c r="D108" s="22"/>
      <c r="E108" s="21"/>
      <c r="F108" s="21"/>
      <c r="G108" s="23"/>
      <c r="H108" s="23"/>
      <c r="I108" s="23"/>
      <c r="J108" s="23"/>
      <c r="K108" s="23"/>
      <c r="L108" s="23"/>
      <c r="M108" s="23"/>
      <c r="N108" s="23"/>
      <c r="O108" s="21"/>
      <c r="P108" s="21"/>
      <c r="Q108" s="21"/>
      <c r="R108" s="21"/>
      <c r="S108" s="21"/>
      <c r="T108" s="21"/>
      <c r="U108" s="19"/>
      <c r="V108" s="5">
        <f>1</f>
        <v>1</v>
      </c>
      <c r="W108" s="20" t="str">
        <f t="shared" si="8"/>
        <v/>
      </c>
      <c r="X108" s="20" t="str">
        <f t="shared" si="9"/>
        <v/>
      </c>
    </row>
    <row r="109" spans="1:24" ht="16" customHeight="1" x14ac:dyDescent="0.15">
      <c r="A109" s="21" t="s">
        <v>269</v>
      </c>
      <c r="B109" s="21" t="s">
        <v>328</v>
      </c>
      <c r="C109" s="21" t="s">
        <v>271</v>
      </c>
      <c r="D109" s="22" t="s">
        <v>272</v>
      </c>
      <c r="E109" s="21"/>
      <c r="F109" s="21"/>
      <c r="G109" s="23" t="s">
        <v>38</v>
      </c>
      <c r="H109" s="23"/>
      <c r="I109" s="23"/>
      <c r="J109" s="23"/>
      <c r="K109" s="23" t="s">
        <v>325</v>
      </c>
      <c r="L109" s="23"/>
      <c r="M109" s="23"/>
      <c r="N109" s="23"/>
      <c r="O109" s="21"/>
      <c r="P109" s="21"/>
      <c r="Q109" s="21"/>
      <c r="R109" s="21"/>
      <c r="S109" s="21"/>
      <c r="T109" s="21"/>
      <c r="U109" s="19"/>
      <c r="W109" s="20"/>
      <c r="X109" s="20"/>
    </row>
    <row r="110" spans="1:24" ht="16" customHeight="1" x14ac:dyDescent="0.15">
      <c r="A110" s="21" t="s">
        <v>273</v>
      </c>
      <c r="B110" s="21" t="s">
        <v>329</v>
      </c>
      <c r="C110" s="21" t="s">
        <v>275</v>
      </c>
      <c r="D110" s="22" t="s">
        <v>276</v>
      </c>
      <c r="E110" s="21"/>
      <c r="F110" s="21"/>
      <c r="G110" s="23" t="s">
        <v>38</v>
      </c>
      <c r="H110" s="23"/>
      <c r="I110" s="23"/>
      <c r="J110" s="23"/>
      <c r="K110" s="23" t="s">
        <v>325</v>
      </c>
      <c r="L110" s="23"/>
      <c r="M110" s="23"/>
      <c r="N110" s="23"/>
      <c r="O110" s="21"/>
      <c r="P110" s="21"/>
      <c r="Q110" s="21"/>
      <c r="R110" s="21"/>
      <c r="S110" s="21"/>
      <c r="T110" s="21"/>
      <c r="U110" s="19"/>
      <c r="W110" s="20"/>
      <c r="X110" s="20"/>
    </row>
    <row r="111" spans="1:24" x14ac:dyDescent="0.15">
      <c r="A111" s="21"/>
      <c r="B111" s="21"/>
      <c r="C111" s="22"/>
      <c r="D111" s="22"/>
      <c r="E111" s="21"/>
      <c r="F111" s="21"/>
      <c r="G111" s="23"/>
      <c r="H111" s="23"/>
      <c r="I111" s="23"/>
      <c r="J111" s="23"/>
      <c r="K111" s="74"/>
      <c r="L111" s="23"/>
      <c r="M111" s="23"/>
      <c r="N111" s="23"/>
      <c r="O111" s="21"/>
      <c r="P111" s="21"/>
      <c r="Q111" s="21"/>
      <c r="R111" s="21"/>
      <c r="S111" s="21"/>
      <c r="T111" s="21"/>
      <c r="U111" s="19"/>
      <c r="V111" s="5">
        <f>1</f>
        <v>1</v>
      </c>
      <c r="W111" s="20" t="str">
        <f>IF(U111&lt;&gt;"",U111*V111,"")</f>
        <v/>
      </c>
      <c r="X111" s="20" t="str">
        <f>IF(AND(U111&lt;&gt;"",S111="yes"),U111*V111,"")</f>
        <v/>
      </c>
    </row>
    <row r="112" spans="1:24" ht="32" customHeight="1" x14ac:dyDescent="0.15">
      <c r="A112" s="31" t="s">
        <v>277</v>
      </c>
      <c r="B112" s="31" t="s">
        <v>330</v>
      </c>
      <c r="C112" s="32" t="s">
        <v>331</v>
      </c>
      <c r="D112" s="32" t="s">
        <v>332</v>
      </c>
      <c r="E112" s="31"/>
      <c r="F112" s="31"/>
      <c r="G112" s="33" t="s">
        <v>38</v>
      </c>
      <c r="H112" s="33"/>
      <c r="I112" s="33"/>
      <c r="J112" s="33"/>
      <c r="K112" s="33" t="s">
        <v>325</v>
      </c>
      <c r="L112" s="33"/>
      <c r="M112" s="33"/>
      <c r="N112" s="33"/>
      <c r="S112" s="1" t="s">
        <v>40</v>
      </c>
      <c r="U112" s="19">
        <v>16.348396301269499</v>
      </c>
      <c r="V112" s="5">
        <f>1</f>
        <v>1</v>
      </c>
      <c r="W112" s="20">
        <f>IF(U112&lt;&gt;"",U112*V112,"")</f>
        <v>16.348396301269499</v>
      </c>
      <c r="X112" s="20">
        <f>IF(AND(U112&lt;&gt;"",S112="yes"),U112*V112,"")</f>
        <v>16.348396301269499</v>
      </c>
    </row>
    <row r="113" spans="1:25" x14ac:dyDescent="0.15">
      <c r="A113" s="21"/>
      <c r="B113" s="21"/>
      <c r="C113" s="22"/>
      <c r="D113" s="54"/>
      <c r="E113" s="21"/>
      <c r="F113" s="21"/>
      <c r="G113" s="23"/>
      <c r="H113" s="23"/>
      <c r="I113" s="23"/>
      <c r="J113" s="23"/>
      <c r="K113" s="23"/>
      <c r="L113" s="23"/>
      <c r="M113" s="23"/>
      <c r="N113" s="23"/>
      <c r="O113" s="21"/>
      <c r="P113" s="21"/>
      <c r="Q113" s="21"/>
      <c r="R113" s="21"/>
      <c r="S113" s="21"/>
      <c r="T113" s="21"/>
      <c r="U113" s="19"/>
      <c r="V113" s="5">
        <f>1</f>
        <v>1</v>
      </c>
      <c r="W113" s="20" t="str">
        <f>IF(U113&lt;&gt;"",U113*V113,"")</f>
        <v/>
      </c>
      <c r="X113" s="20" t="str">
        <f>IF(AND(U113&lt;&gt;"",S113="yes"),U113*V113,"")</f>
        <v/>
      </c>
    </row>
    <row r="114" spans="1:25" s="268" customFormat="1" ht="30" customHeight="1" x14ac:dyDescent="0.15">
      <c r="A114" s="266" t="s">
        <v>162</v>
      </c>
      <c r="B114" s="266" t="s">
        <v>333</v>
      </c>
      <c r="C114" s="267" t="s">
        <v>334</v>
      </c>
      <c r="D114" s="267" t="s">
        <v>335</v>
      </c>
      <c r="E114" s="267" t="s">
        <v>336</v>
      </c>
      <c r="F114" s="267" t="s">
        <v>337</v>
      </c>
      <c r="G114" s="266" t="s">
        <v>38</v>
      </c>
      <c r="H114" s="267"/>
      <c r="I114" s="267"/>
      <c r="J114" s="267"/>
      <c r="K114" s="267"/>
      <c r="L114" s="269"/>
      <c r="M114" s="269"/>
      <c r="N114" s="269"/>
      <c r="U114" s="270"/>
      <c r="V114" s="271"/>
      <c r="W114" s="272"/>
      <c r="X114" s="272"/>
      <c r="Y114" s="273"/>
    </row>
    <row r="115" spans="1:25" s="268" customFormat="1" ht="105" customHeight="1" x14ac:dyDescent="0.15">
      <c r="A115" s="266" t="s">
        <v>338</v>
      </c>
      <c r="B115" s="266" t="s">
        <v>339</v>
      </c>
      <c r="C115" s="267" t="s">
        <v>340</v>
      </c>
      <c r="D115" s="267" t="s">
        <v>341</v>
      </c>
      <c r="E115" s="267" t="s">
        <v>336</v>
      </c>
      <c r="F115" s="267" t="s">
        <v>337</v>
      </c>
      <c r="G115" s="274" t="s">
        <v>38</v>
      </c>
      <c r="H115" s="275"/>
      <c r="I115" s="276" t="s">
        <v>342</v>
      </c>
      <c r="J115" s="275"/>
      <c r="K115" s="275" t="s">
        <v>343</v>
      </c>
      <c r="L115" s="269"/>
      <c r="M115" s="269"/>
      <c r="N115" s="269"/>
      <c r="U115" s="270"/>
      <c r="V115" s="271"/>
      <c r="W115" s="272"/>
      <c r="X115" s="272"/>
      <c r="Y115" s="273"/>
    </row>
    <row r="116" spans="1:25" s="268" customFormat="1" ht="105" customHeight="1" x14ac:dyDescent="0.15">
      <c r="A116" s="266" t="s">
        <v>105</v>
      </c>
      <c r="B116" s="266" t="s">
        <v>344</v>
      </c>
      <c r="C116" s="267" t="s">
        <v>345</v>
      </c>
      <c r="D116" s="267" t="s">
        <v>346</v>
      </c>
      <c r="E116" s="267" t="s">
        <v>336</v>
      </c>
      <c r="F116" s="267" t="s">
        <v>347</v>
      </c>
      <c r="G116" s="266" t="s">
        <v>38</v>
      </c>
      <c r="H116" s="267"/>
      <c r="I116" s="276" t="s">
        <v>342</v>
      </c>
      <c r="J116" s="275"/>
      <c r="K116" s="275" t="s">
        <v>343</v>
      </c>
      <c r="L116" s="269"/>
      <c r="M116" s="269"/>
      <c r="N116" s="269"/>
      <c r="U116" s="270"/>
      <c r="V116" s="271"/>
      <c r="W116" s="272"/>
      <c r="X116" s="272"/>
      <c r="Y116" s="273"/>
    </row>
    <row r="117" spans="1:25" s="268" customFormat="1" ht="105" customHeight="1" x14ac:dyDescent="0.15">
      <c r="A117" s="266" t="s">
        <v>105</v>
      </c>
      <c r="B117" s="266" t="s">
        <v>348</v>
      </c>
      <c r="C117" s="267" t="s">
        <v>349</v>
      </c>
      <c r="D117" s="267" t="s">
        <v>350</v>
      </c>
      <c r="E117" s="267" t="s">
        <v>336</v>
      </c>
      <c r="F117" s="267" t="s">
        <v>351</v>
      </c>
      <c r="G117" s="266" t="s">
        <v>38</v>
      </c>
      <c r="H117" s="267"/>
      <c r="I117" s="276" t="s">
        <v>342</v>
      </c>
      <c r="J117" s="275"/>
      <c r="K117" s="275" t="s">
        <v>343</v>
      </c>
      <c r="L117" s="269"/>
      <c r="M117" s="269"/>
      <c r="N117" s="269"/>
      <c r="U117" s="270"/>
      <c r="V117" s="271"/>
      <c r="W117" s="272"/>
      <c r="X117" s="272"/>
      <c r="Y117" s="273"/>
    </row>
    <row r="118" spans="1:25" s="268" customFormat="1" ht="105" customHeight="1" x14ac:dyDescent="0.15">
      <c r="A118" s="266" t="s">
        <v>105</v>
      </c>
      <c r="B118" s="266" t="s">
        <v>352</v>
      </c>
      <c r="C118" s="267" t="s">
        <v>353</v>
      </c>
      <c r="D118" s="267" t="s">
        <v>354</v>
      </c>
      <c r="E118" s="267"/>
      <c r="F118" s="267"/>
      <c r="G118" s="266"/>
      <c r="H118" s="267"/>
      <c r="I118" s="276"/>
      <c r="J118" s="275"/>
      <c r="K118" s="275"/>
      <c r="L118" s="269"/>
      <c r="M118" s="269"/>
      <c r="N118" s="269"/>
      <c r="U118" s="270"/>
      <c r="V118" s="271"/>
      <c r="W118" s="272"/>
      <c r="X118" s="272"/>
      <c r="Y118" s="273"/>
    </row>
    <row r="119" spans="1:25" s="268" customFormat="1" ht="30" customHeight="1" x14ac:dyDescent="0.15">
      <c r="A119" s="266" t="s">
        <v>355</v>
      </c>
      <c r="B119" s="266" t="s">
        <v>356</v>
      </c>
      <c r="C119" s="267" t="s">
        <v>357</v>
      </c>
      <c r="D119" s="267" t="s">
        <v>358</v>
      </c>
      <c r="E119" s="267" t="s">
        <v>336</v>
      </c>
      <c r="F119" s="267" t="s">
        <v>337</v>
      </c>
      <c r="G119" s="266" t="s">
        <v>38</v>
      </c>
      <c r="H119" s="267"/>
      <c r="I119" s="267"/>
      <c r="J119" s="267"/>
      <c r="K119" s="267"/>
      <c r="L119" s="269"/>
      <c r="M119" s="269"/>
      <c r="N119" s="269"/>
      <c r="U119" s="270"/>
      <c r="V119" s="271"/>
      <c r="W119" s="272"/>
      <c r="X119" s="272"/>
      <c r="Y119" s="273"/>
    </row>
    <row r="120" spans="1:25" ht="48" customHeight="1" x14ac:dyDescent="0.15">
      <c r="A120" s="31" t="s">
        <v>359</v>
      </c>
      <c r="B120" s="31" t="s">
        <v>360</v>
      </c>
      <c r="C120" s="32" t="s">
        <v>361</v>
      </c>
      <c r="D120" s="32" t="s">
        <v>362</v>
      </c>
      <c r="E120" s="31" t="s">
        <v>363</v>
      </c>
      <c r="F120" s="31" t="s">
        <v>364</v>
      </c>
      <c r="G120" s="33" t="s">
        <v>38</v>
      </c>
      <c r="H120" s="33"/>
      <c r="I120" s="33" t="s">
        <v>365</v>
      </c>
      <c r="J120" s="33"/>
      <c r="K120" s="33"/>
      <c r="L120" s="33"/>
      <c r="M120" s="33"/>
      <c r="N120" s="33"/>
      <c r="S120" s="1" t="s">
        <v>40</v>
      </c>
      <c r="U120" s="19">
        <v>46.247528076171903</v>
      </c>
      <c r="V120" s="5">
        <f>1</f>
        <v>1</v>
      </c>
      <c r="W120" s="20">
        <f t="shared" ref="W120:W127" si="10">IF(U120&lt;&gt;"",U120*V120,"")</f>
        <v>46.247528076171903</v>
      </c>
      <c r="X120" s="20">
        <f>IF(AND(U120&lt;&gt;"",S120="yes"),U120*V120,"")</f>
        <v>46.247528076171903</v>
      </c>
    </row>
    <row r="121" spans="1:25" x14ac:dyDescent="0.15">
      <c r="U121" s="19"/>
      <c r="V121" s="5">
        <f>1</f>
        <v>1</v>
      </c>
      <c r="W121" s="20" t="str">
        <f t="shared" si="10"/>
        <v/>
      </c>
      <c r="X121" s="20" t="str">
        <f>IF(AND(U121&lt;&gt;"",S121="yes"),U121*V121,"")</f>
        <v/>
      </c>
    </row>
    <row r="122" spans="1:25" ht="48" customHeight="1" x14ac:dyDescent="0.15">
      <c r="A122" s="21" t="s">
        <v>43</v>
      </c>
      <c r="B122" s="21" t="s">
        <v>366</v>
      </c>
      <c r="C122" s="22" t="s">
        <v>367</v>
      </c>
      <c r="D122" s="22" t="s">
        <v>368</v>
      </c>
      <c r="E122" s="21" t="s">
        <v>369</v>
      </c>
      <c r="F122" s="21" t="s">
        <v>370</v>
      </c>
      <c r="G122" s="23" t="s">
        <v>56</v>
      </c>
      <c r="H122" s="23"/>
      <c r="J122" s="23"/>
      <c r="K122" s="23" t="s">
        <v>371</v>
      </c>
      <c r="L122" s="23"/>
      <c r="M122" s="23"/>
      <c r="N122" s="23"/>
      <c r="O122" s="21"/>
      <c r="P122" s="21"/>
      <c r="Q122" s="21"/>
      <c r="R122" s="21"/>
      <c r="S122" s="21" t="s">
        <v>52</v>
      </c>
      <c r="T122" s="21"/>
      <c r="U122" s="19">
        <v>26.118782043456999</v>
      </c>
      <c r="V122" s="5">
        <f>1</f>
        <v>1</v>
      </c>
      <c r="W122" s="20">
        <f t="shared" si="10"/>
        <v>26.118782043456999</v>
      </c>
      <c r="X122" s="20" t="str">
        <f>IF(AND(U122&lt;&gt;"",S122="yes"),U122*V122,"")</f>
        <v/>
      </c>
    </row>
    <row r="123" spans="1:25" x14ac:dyDescent="0.15">
      <c r="D123" s="22"/>
      <c r="K123" s="63"/>
      <c r="U123" s="19"/>
      <c r="V123" s="5">
        <f>1</f>
        <v>1</v>
      </c>
      <c r="W123" s="20" t="str">
        <f t="shared" si="10"/>
        <v/>
      </c>
      <c r="X123" s="20" t="str">
        <f>IF(AND(U123&lt;&gt;"",S123="yes"),U123*V123,"")</f>
        <v/>
      </c>
    </row>
    <row r="124" spans="1:25" x14ac:dyDescent="0.15">
      <c r="A124" s="21"/>
      <c r="B124" s="21"/>
      <c r="C124" s="22"/>
      <c r="D124" s="22"/>
      <c r="E124" s="21"/>
      <c r="F124" s="21"/>
      <c r="G124" s="23"/>
      <c r="H124" s="23"/>
      <c r="J124" s="23"/>
      <c r="K124" s="23"/>
      <c r="L124" s="23"/>
      <c r="M124" s="23"/>
      <c r="N124" s="23"/>
      <c r="O124" s="21"/>
      <c r="P124" s="21"/>
      <c r="Q124" s="21"/>
      <c r="R124" s="21"/>
      <c r="S124" s="21"/>
      <c r="T124" s="21"/>
      <c r="U124" s="19"/>
      <c r="V124" s="5">
        <f>1</f>
        <v>1</v>
      </c>
      <c r="W124" s="20" t="str">
        <f t="shared" si="10"/>
        <v/>
      </c>
      <c r="X124" s="20" t="str">
        <f>IF(AND(U124&lt;&gt;"",S124="yes"),U124*V124,"")</f>
        <v/>
      </c>
    </row>
    <row r="125" spans="1:25" s="266" customFormat="1" ht="32" customHeight="1" x14ac:dyDescent="0.15">
      <c r="A125" s="266" t="s">
        <v>254</v>
      </c>
      <c r="B125" s="266" t="s">
        <v>372</v>
      </c>
      <c r="C125" s="267" t="s">
        <v>373</v>
      </c>
      <c r="D125" s="267" t="s">
        <v>374</v>
      </c>
      <c r="E125" s="267" t="s">
        <v>337</v>
      </c>
      <c r="G125" s="266" t="s">
        <v>38</v>
      </c>
      <c r="I125" s="267" t="s">
        <v>375</v>
      </c>
      <c r="J125" s="267"/>
      <c r="K125" s="267"/>
      <c r="L125" s="267"/>
      <c r="M125" s="267"/>
      <c r="S125" s="266" t="s">
        <v>52</v>
      </c>
      <c r="U125" s="270">
        <v>29.42983245849609</v>
      </c>
      <c r="V125" s="271">
        <f>1</f>
        <v>1</v>
      </c>
      <c r="W125" s="272">
        <f t="shared" si="10"/>
        <v>29.42983245849609</v>
      </c>
      <c r="X125" s="286"/>
    </row>
    <row r="126" spans="1:25" s="266" customFormat="1" ht="32" customHeight="1" x14ac:dyDescent="0.15">
      <c r="A126" s="266" t="s">
        <v>254</v>
      </c>
      <c r="B126" s="266" t="s">
        <v>376</v>
      </c>
      <c r="C126" s="267" t="s">
        <v>377</v>
      </c>
      <c r="D126" s="267" t="s">
        <v>378</v>
      </c>
      <c r="E126" s="267" t="s">
        <v>337</v>
      </c>
      <c r="G126" s="266" t="s">
        <v>38</v>
      </c>
      <c r="I126" s="267" t="s">
        <v>375</v>
      </c>
      <c r="J126" s="267"/>
      <c r="K126" s="267"/>
      <c r="L126" s="267"/>
      <c r="M126" s="267"/>
      <c r="S126" s="266" t="s">
        <v>52</v>
      </c>
      <c r="U126" s="270">
        <v>29.42983245849609</v>
      </c>
      <c r="V126" s="271">
        <f>1</f>
        <v>1</v>
      </c>
      <c r="W126" s="272">
        <f t="shared" si="10"/>
        <v>29.42983245849609</v>
      </c>
      <c r="X126" s="286"/>
    </row>
    <row r="127" spans="1:25" s="266" customFormat="1" ht="32" customHeight="1" x14ac:dyDescent="0.15">
      <c r="A127" s="266" t="s">
        <v>254</v>
      </c>
      <c r="B127" s="266" t="s">
        <v>379</v>
      </c>
      <c r="C127" s="267" t="s">
        <v>380</v>
      </c>
      <c r="D127" s="267" t="s">
        <v>381</v>
      </c>
      <c r="E127" s="267" t="s">
        <v>337</v>
      </c>
      <c r="G127" s="266" t="s">
        <v>38</v>
      </c>
      <c r="I127" s="267" t="s">
        <v>375</v>
      </c>
      <c r="J127" s="267"/>
      <c r="K127" s="267"/>
      <c r="L127" s="267"/>
      <c r="M127" s="267"/>
      <c r="S127" s="266" t="s">
        <v>52</v>
      </c>
      <c r="U127" s="270">
        <v>29.42983245849609</v>
      </c>
      <c r="V127" s="271">
        <f>1</f>
        <v>1</v>
      </c>
      <c r="W127" s="272">
        <f t="shared" si="10"/>
        <v>29.42983245849609</v>
      </c>
      <c r="X127" s="286"/>
    </row>
    <row r="128" spans="1:25" s="266" customFormat="1" ht="32" customHeight="1" x14ac:dyDescent="0.15">
      <c r="A128" s="266" t="s">
        <v>254</v>
      </c>
      <c r="B128" s="266" t="s">
        <v>382</v>
      </c>
      <c r="C128" s="267" t="s">
        <v>383</v>
      </c>
      <c r="D128" s="267" t="s">
        <v>384</v>
      </c>
      <c r="E128" s="267" t="s">
        <v>337</v>
      </c>
      <c r="G128" s="266" t="s">
        <v>38</v>
      </c>
      <c r="I128" s="267" t="s">
        <v>375</v>
      </c>
      <c r="J128" s="267"/>
      <c r="K128" s="267"/>
      <c r="L128" s="267"/>
      <c r="M128" s="267"/>
      <c r="U128" s="270"/>
      <c r="V128" s="271"/>
      <c r="W128" s="272"/>
      <c r="X128" s="286"/>
    </row>
    <row r="129" spans="1:25" s="266" customFormat="1" ht="32" customHeight="1" x14ac:dyDescent="0.15">
      <c r="A129" s="266" t="s">
        <v>254</v>
      </c>
      <c r="B129" s="266" t="s">
        <v>385</v>
      </c>
      <c r="C129" s="267" t="s">
        <v>386</v>
      </c>
      <c r="D129" s="267" t="s">
        <v>387</v>
      </c>
      <c r="E129" s="267" t="s">
        <v>337</v>
      </c>
      <c r="G129" s="266" t="s">
        <v>38</v>
      </c>
      <c r="I129" s="267" t="s">
        <v>375</v>
      </c>
      <c r="J129" s="267"/>
      <c r="K129" s="267"/>
      <c r="L129" s="267"/>
      <c r="M129" s="267"/>
      <c r="S129" s="266" t="s">
        <v>52</v>
      </c>
      <c r="U129" s="270">
        <v>29.42983245849609</v>
      </c>
      <c r="V129" s="271">
        <f>1</f>
        <v>1</v>
      </c>
      <c r="W129" s="272">
        <f>IF(U129&lt;&gt;"",U129*V129,"")</f>
        <v>29.42983245849609</v>
      </c>
      <c r="X129" s="286"/>
    </row>
    <row r="130" spans="1:25" s="266" customFormat="1" ht="32" customHeight="1" x14ac:dyDescent="0.15">
      <c r="A130" s="266" t="s">
        <v>254</v>
      </c>
      <c r="B130" s="266" t="s">
        <v>388</v>
      </c>
      <c r="C130" s="267" t="s">
        <v>389</v>
      </c>
      <c r="D130" s="267" t="s">
        <v>390</v>
      </c>
      <c r="E130" s="267" t="s">
        <v>337</v>
      </c>
      <c r="G130" s="266" t="s">
        <v>38</v>
      </c>
      <c r="I130" s="267" t="s">
        <v>375</v>
      </c>
      <c r="J130" s="267"/>
      <c r="K130" s="267"/>
      <c r="L130" s="267"/>
      <c r="M130" s="267"/>
      <c r="S130" s="270"/>
      <c r="T130" s="271"/>
      <c r="U130" s="272"/>
      <c r="V130" s="284"/>
      <c r="W130" s="285"/>
      <c r="X130" s="286"/>
    </row>
    <row r="131" spans="1:25" ht="15" customHeight="1" thickBot="1" x14ac:dyDescent="0.2">
      <c r="A131" s="56" t="s">
        <v>90</v>
      </c>
      <c r="B131" s="56"/>
      <c r="C131" s="57"/>
      <c r="D131" s="57"/>
      <c r="E131" s="56"/>
      <c r="F131" s="56"/>
      <c r="G131" s="58"/>
      <c r="H131" s="58"/>
      <c r="I131" s="58"/>
      <c r="J131" s="58"/>
      <c r="K131" s="58"/>
      <c r="L131" s="58"/>
      <c r="M131" s="58"/>
      <c r="N131" s="58"/>
      <c r="U131" s="19"/>
      <c r="V131" s="6"/>
      <c r="W131" s="20" t="str">
        <f t="shared" ref="W131:W145" si="11">IF(U131&lt;&gt;"",U131*V131,"")</f>
        <v/>
      </c>
      <c r="X131" s="20" t="str">
        <f t="shared" ref="X131:X145" si="12">IF(AND(U131&lt;&gt;"",S131="yes"),U131*V131,"")</f>
        <v/>
      </c>
    </row>
    <row r="132" spans="1:25" ht="16" customHeight="1" thickTop="1" x14ac:dyDescent="0.15">
      <c r="A132" s="37" t="s">
        <v>61</v>
      </c>
      <c r="B132" s="37" t="s">
        <v>391</v>
      </c>
      <c r="C132" s="38" t="s">
        <v>392</v>
      </c>
      <c r="D132" s="38" t="s">
        <v>393</v>
      </c>
      <c r="E132" s="37"/>
      <c r="F132" s="37"/>
      <c r="G132" s="39" t="s">
        <v>56</v>
      </c>
      <c r="H132" s="39"/>
      <c r="I132" s="39"/>
      <c r="J132" s="39"/>
      <c r="K132" s="39" t="s">
        <v>394</v>
      </c>
      <c r="L132" s="39"/>
      <c r="M132" s="39"/>
      <c r="N132" s="39"/>
      <c r="O132" s="40"/>
      <c r="P132" s="40"/>
      <c r="Q132" s="40"/>
      <c r="R132" s="40"/>
      <c r="S132" s="1" t="s">
        <v>40</v>
      </c>
      <c r="T132" s="40"/>
      <c r="U132" s="19"/>
      <c r="V132" s="41"/>
      <c r="W132" s="20" t="str">
        <f t="shared" si="11"/>
        <v/>
      </c>
      <c r="X132" s="20" t="str">
        <f t="shared" si="12"/>
        <v/>
      </c>
      <c r="Y132" s="41"/>
    </row>
    <row r="133" spans="1:25" ht="63.75" customHeight="1" x14ac:dyDescent="0.15">
      <c r="A133" s="17" t="s">
        <v>64</v>
      </c>
      <c r="B133" s="17" t="s">
        <v>395</v>
      </c>
      <c r="C133" s="50" t="s">
        <v>396</v>
      </c>
      <c r="D133" s="50" t="s">
        <v>397</v>
      </c>
      <c r="E133" s="17"/>
      <c r="F133" s="17"/>
      <c r="G133" s="51"/>
      <c r="H133" s="51"/>
      <c r="I133" s="51"/>
      <c r="J133" s="51"/>
      <c r="K133" s="51"/>
      <c r="L133" s="51"/>
      <c r="M133" s="51"/>
      <c r="N133" s="51"/>
      <c r="O133" s="2"/>
      <c r="P133" s="2"/>
      <c r="Q133" s="2"/>
      <c r="R133" s="2"/>
      <c r="S133" s="2" t="s">
        <v>40</v>
      </c>
      <c r="T133" s="2"/>
      <c r="U133" s="52">
        <v>7.5</v>
      </c>
      <c r="V133" s="75" t="e">
        <v>#NAME?</v>
      </c>
      <c r="W133" s="53" t="e">
        <f t="shared" si="11"/>
        <v>#NAME?</v>
      </c>
      <c r="X133" s="53" t="e">
        <f t="shared" si="12"/>
        <v>#NAME?</v>
      </c>
      <c r="Y133" s="54"/>
    </row>
    <row r="134" spans="1:25" x14ac:dyDescent="0.15">
      <c r="U134" s="19"/>
      <c r="V134" s="5" t="e">
        <v>#NAME?</v>
      </c>
      <c r="W134" s="20" t="str">
        <f t="shared" si="11"/>
        <v/>
      </c>
      <c r="X134" s="20" t="str">
        <f t="shared" si="12"/>
        <v/>
      </c>
    </row>
    <row r="135" spans="1:25" s="1" customFormat="1" ht="30" customHeight="1" x14ac:dyDescent="0.15">
      <c r="A135" s="266" t="s">
        <v>398</v>
      </c>
      <c r="B135" s="266" t="s">
        <v>399</v>
      </c>
      <c r="C135" s="267" t="s">
        <v>400</v>
      </c>
      <c r="D135" s="267" t="s">
        <v>401</v>
      </c>
      <c r="E135" s="277" t="s">
        <v>336</v>
      </c>
      <c r="F135" s="277" t="s">
        <v>337</v>
      </c>
      <c r="G135" s="3" t="b">
        <v>1</v>
      </c>
      <c r="H135" s="3"/>
      <c r="I135" s="3"/>
      <c r="J135" s="3"/>
      <c r="K135" s="3"/>
      <c r="L135" s="3"/>
      <c r="M135" s="3"/>
      <c r="N135" s="3"/>
      <c r="U135" s="278"/>
      <c r="V135" s="279">
        <f>'[1]Additional information'!$D$18</f>
        <v>0.91</v>
      </c>
      <c r="W135" s="280" t="str">
        <f t="shared" si="11"/>
        <v/>
      </c>
      <c r="X135" s="280" t="str">
        <f t="shared" si="12"/>
        <v/>
      </c>
      <c r="Y135" s="281"/>
    </row>
    <row r="136" spans="1:25" ht="16" customHeight="1" x14ac:dyDescent="0.15">
      <c r="A136" s="31" t="s">
        <v>254</v>
      </c>
      <c r="B136" s="31" t="s">
        <v>402</v>
      </c>
      <c r="C136" s="32" t="s">
        <v>403</v>
      </c>
      <c r="D136" s="17" t="s">
        <v>404</v>
      </c>
      <c r="E136" s="31" t="s">
        <v>405</v>
      </c>
      <c r="F136" s="31" t="s">
        <v>406</v>
      </c>
      <c r="G136" s="33" t="s">
        <v>38</v>
      </c>
      <c r="H136" s="33"/>
      <c r="I136" s="33" t="s">
        <v>375</v>
      </c>
      <c r="J136" s="33"/>
      <c r="K136" s="33"/>
      <c r="L136" s="33"/>
      <c r="M136" s="33"/>
      <c r="N136" s="33"/>
      <c r="O136" s="6"/>
      <c r="P136" s="6"/>
      <c r="Q136" s="6"/>
      <c r="R136" s="6"/>
      <c r="S136" s="6" t="s">
        <v>40</v>
      </c>
      <c r="T136" s="6"/>
      <c r="U136" s="19">
        <v>17</v>
      </c>
      <c r="V136" s="5" t="e">
        <v>#NAME?</v>
      </c>
      <c r="W136" s="20" t="e">
        <f t="shared" si="11"/>
        <v>#NAME?</v>
      </c>
      <c r="X136" s="20" t="e">
        <f t="shared" si="12"/>
        <v>#NAME?</v>
      </c>
    </row>
    <row r="137" spans="1:25" ht="16" customHeight="1" x14ac:dyDescent="0.15">
      <c r="A137" s="31" t="s">
        <v>407</v>
      </c>
      <c r="B137" s="31" t="s">
        <v>408</v>
      </c>
      <c r="C137" s="32" t="s">
        <v>409</v>
      </c>
      <c r="D137" s="17" t="s">
        <v>410</v>
      </c>
      <c r="E137" s="31" t="s">
        <v>411</v>
      </c>
      <c r="F137" s="76" t="s">
        <v>412</v>
      </c>
      <c r="G137" s="33" t="s">
        <v>38</v>
      </c>
      <c r="H137" s="33"/>
      <c r="I137" s="33"/>
      <c r="J137" s="33"/>
      <c r="K137" s="33" t="s">
        <v>413</v>
      </c>
      <c r="L137" s="33"/>
      <c r="M137" s="33"/>
      <c r="N137" s="33"/>
      <c r="O137" s="6"/>
      <c r="P137" s="6"/>
      <c r="Q137" s="6"/>
      <c r="R137" s="6"/>
      <c r="S137" s="6" t="s">
        <v>40</v>
      </c>
      <c r="T137" s="6"/>
      <c r="U137" s="19">
        <v>0</v>
      </c>
      <c r="V137" s="5" t="e">
        <v>#NAME?</v>
      </c>
      <c r="W137" s="20" t="e">
        <f t="shared" si="11"/>
        <v>#NAME?</v>
      </c>
      <c r="X137" s="20" t="e">
        <f t="shared" si="12"/>
        <v>#NAME?</v>
      </c>
    </row>
    <row r="138" spans="1:25" x14ac:dyDescent="0.15">
      <c r="A138" s="40"/>
      <c r="B138" s="40"/>
      <c r="C138" s="77"/>
      <c r="E138" s="40"/>
      <c r="F138" s="40"/>
      <c r="G138" s="78"/>
      <c r="H138" s="78"/>
      <c r="I138" s="78"/>
      <c r="J138" s="78"/>
      <c r="K138" s="78"/>
      <c r="L138" s="78"/>
      <c r="M138" s="78"/>
      <c r="N138" s="78"/>
      <c r="O138" s="40"/>
      <c r="P138" s="40"/>
      <c r="Q138" s="40"/>
      <c r="R138" s="40"/>
      <c r="T138" s="40"/>
      <c r="U138" s="19"/>
      <c r="V138" s="5" t="e">
        <v>#NAME?</v>
      </c>
      <c r="W138" s="20" t="str">
        <f t="shared" si="11"/>
        <v/>
      </c>
      <c r="X138" s="20" t="str">
        <f t="shared" si="12"/>
        <v/>
      </c>
      <c r="Y138" s="41"/>
    </row>
    <row r="139" spans="1:25" ht="32" customHeight="1" x14ac:dyDescent="0.15">
      <c r="A139" s="16" t="s">
        <v>414</v>
      </c>
      <c r="B139" s="16" t="s">
        <v>415</v>
      </c>
      <c r="C139" s="50" t="s">
        <v>416</v>
      </c>
      <c r="D139" s="50" t="s">
        <v>417</v>
      </c>
      <c r="E139" s="16" t="s">
        <v>418</v>
      </c>
      <c r="F139" s="16" t="s">
        <v>419</v>
      </c>
      <c r="G139" s="18" t="s">
        <v>38</v>
      </c>
      <c r="H139" s="18" t="s">
        <v>146</v>
      </c>
      <c r="I139" s="18"/>
      <c r="J139" s="18"/>
      <c r="K139" s="18"/>
      <c r="L139" s="18"/>
      <c r="M139" s="18"/>
      <c r="N139" s="18"/>
      <c r="S139" s="1" t="s">
        <v>40</v>
      </c>
      <c r="U139" s="19">
        <v>27.057552337646499</v>
      </c>
      <c r="V139" s="5" t="e">
        <v>#NAME?</v>
      </c>
      <c r="W139" s="20" t="e">
        <f t="shared" si="11"/>
        <v>#NAME?</v>
      </c>
      <c r="X139" s="20" t="e">
        <f t="shared" si="12"/>
        <v>#NAME?</v>
      </c>
    </row>
    <row r="140" spans="1:25" x14ac:dyDescent="0.15">
      <c r="A140" s="16" t="s">
        <v>24</v>
      </c>
      <c r="B140" s="16" t="s">
        <v>420</v>
      </c>
      <c r="C140" s="17"/>
      <c r="D140" s="17"/>
      <c r="G140" s="18"/>
      <c r="H140" s="18"/>
      <c r="I140" s="18"/>
      <c r="J140" s="18"/>
      <c r="K140" s="18"/>
      <c r="L140" s="18"/>
      <c r="M140" s="18"/>
      <c r="N140" s="18" t="s">
        <v>421</v>
      </c>
      <c r="S140" s="1" t="s">
        <v>40</v>
      </c>
      <c r="U140" s="19"/>
      <c r="V140" s="5" t="e">
        <v>#NAME?</v>
      </c>
      <c r="W140" s="20" t="str">
        <f t="shared" si="11"/>
        <v/>
      </c>
      <c r="X140" s="20" t="str">
        <f t="shared" si="12"/>
        <v/>
      </c>
    </row>
    <row r="141" spans="1:25" ht="16" customHeight="1" x14ac:dyDescent="0.15">
      <c r="A141" s="16" t="s">
        <v>422</v>
      </c>
      <c r="B141" s="16" t="s">
        <v>423</v>
      </c>
      <c r="C141" s="50" t="s">
        <v>424</v>
      </c>
      <c r="D141" s="50" t="s">
        <v>425</v>
      </c>
      <c r="G141" s="18" t="s">
        <v>38</v>
      </c>
      <c r="H141" s="18"/>
      <c r="I141" s="18"/>
      <c r="J141" s="18"/>
      <c r="K141" s="18" t="s">
        <v>426</v>
      </c>
      <c r="L141" s="18"/>
      <c r="M141" s="18"/>
      <c r="N141" s="18"/>
      <c r="S141" s="1" t="s">
        <v>40</v>
      </c>
      <c r="U141" s="19">
        <v>0</v>
      </c>
      <c r="V141" s="5" t="e">
        <v>#NAME?</v>
      </c>
      <c r="W141" s="20" t="e">
        <f t="shared" si="11"/>
        <v>#NAME?</v>
      </c>
      <c r="X141" s="20" t="e">
        <f t="shared" si="12"/>
        <v>#NAME?</v>
      </c>
    </row>
    <row r="142" spans="1:25" x14ac:dyDescent="0.15">
      <c r="A142" s="6"/>
      <c r="B142" s="6"/>
      <c r="C142" s="54"/>
      <c r="E142" s="6"/>
      <c r="F142" s="6"/>
      <c r="G142" s="63"/>
      <c r="H142" s="63"/>
      <c r="I142" s="63"/>
      <c r="J142" s="63"/>
      <c r="K142" s="63"/>
      <c r="L142" s="63"/>
      <c r="M142" s="63"/>
      <c r="N142" s="63"/>
      <c r="O142" s="6"/>
      <c r="P142" s="6"/>
      <c r="Q142" s="6"/>
      <c r="R142" s="6"/>
      <c r="S142" s="6"/>
      <c r="T142" s="6"/>
      <c r="U142" s="19"/>
      <c r="V142" s="5" t="e">
        <v>#NAME?</v>
      </c>
      <c r="W142" s="20" t="str">
        <f t="shared" si="11"/>
        <v/>
      </c>
      <c r="X142" s="20" t="str">
        <f t="shared" si="12"/>
        <v/>
      </c>
    </row>
    <row r="143" spans="1:25" ht="31.5" customHeight="1" x14ac:dyDescent="0.15">
      <c r="A143" s="16" t="s">
        <v>427</v>
      </c>
      <c r="B143" s="16" t="s">
        <v>428</v>
      </c>
      <c r="C143" s="16" t="s">
        <v>429</v>
      </c>
      <c r="D143" s="32" t="s">
        <v>430</v>
      </c>
      <c r="G143" s="18" t="s">
        <v>38</v>
      </c>
      <c r="H143" s="18"/>
      <c r="I143" s="18"/>
      <c r="J143" s="18"/>
      <c r="K143" s="18" t="s">
        <v>431</v>
      </c>
      <c r="L143" s="18"/>
      <c r="M143" s="18"/>
      <c r="N143" s="18"/>
      <c r="S143" s="1" t="s">
        <v>40</v>
      </c>
      <c r="U143" s="19">
        <v>15.9542951583862</v>
      </c>
      <c r="V143" s="5" t="e">
        <v>#NAME?</v>
      </c>
      <c r="W143" s="20" t="e">
        <f t="shared" si="11"/>
        <v>#NAME?</v>
      </c>
      <c r="X143" s="20" t="e">
        <f t="shared" si="12"/>
        <v>#NAME?</v>
      </c>
    </row>
    <row r="144" spans="1:25" ht="15.75" customHeight="1" x14ac:dyDescent="0.15">
      <c r="A144" s="16" t="s">
        <v>43</v>
      </c>
      <c r="B144" s="16" t="s">
        <v>432</v>
      </c>
      <c r="C144" s="32" t="s">
        <v>433</v>
      </c>
      <c r="D144" s="32" t="s">
        <v>434</v>
      </c>
      <c r="E144" s="6" t="s">
        <v>435</v>
      </c>
      <c r="F144" s="6"/>
      <c r="G144" s="18" t="s">
        <v>38</v>
      </c>
      <c r="H144" s="18"/>
      <c r="I144" s="18"/>
      <c r="J144" s="18"/>
      <c r="K144" s="18" t="s">
        <v>436</v>
      </c>
      <c r="L144" s="18"/>
      <c r="M144" s="18"/>
      <c r="N144" s="18"/>
      <c r="S144" s="1" t="s">
        <v>40</v>
      </c>
      <c r="U144" s="19"/>
      <c r="V144" s="5" t="e">
        <v>#NAME?</v>
      </c>
      <c r="W144" s="20" t="str">
        <f t="shared" si="11"/>
        <v/>
      </c>
      <c r="X144" s="20" t="str">
        <f t="shared" si="12"/>
        <v/>
      </c>
    </row>
    <row r="145" spans="1:24" ht="15.75" customHeight="1" x14ac:dyDescent="0.15">
      <c r="A145" s="21"/>
      <c r="B145" s="21"/>
      <c r="C145" s="22"/>
      <c r="D145" s="22"/>
      <c r="E145" s="21"/>
      <c r="F145" s="21"/>
      <c r="G145" s="23"/>
      <c r="H145" s="23"/>
      <c r="I145" s="23"/>
      <c r="J145" s="23"/>
      <c r="K145" s="23"/>
      <c r="L145" s="23"/>
      <c r="M145" s="23"/>
      <c r="N145" s="23"/>
      <c r="O145" s="21"/>
      <c r="P145" s="21"/>
      <c r="Q145" s="21"/>
      <c r="R145" s="21"/>
      <c r="S145" s="21"/>
      <c r="T145" s="21"/>
      <c r="U145" s="19"/>
      <c r="V145" s="5" t="e">
        <v>#NAME?</v>
      </c>
      <c r="W145" s="20" t="str">
        <f t="shared" si="11"/>
        <v/>
      </c>
      <c r="X145" s="20" t="str">
        <f t="shared" si="12"/>
        <v/>
      </c>
    </row>
    <row r="146" spans="1:24" ht="15.75" customHeight="1" x14ac:dyDescent="0.15">
      <c r="A146" s="21" t="s">
        <v>437</v>
      </c>
      <c r="B146" s="21" t="s">
        <v>438</v>
      </c>
      <c r="C146" s="22" t="s">
        <v>439</v>
      </c>
      <c r="D146" s="22" t="s">
        <v>440</v>
      </c>
      <c r="E146" s="21"/>
      <c r="F146" s="21"/>
      <c r="G146" s="23"/>
      <c r="H146" s="23"/>
      <c r="I146" s="23"/>
      <c r="J146" s="23"/>
      <c r="K146" s="23" t="s">
        <v>441</v>
      </c>
      <c r="L146" s="23"/>
      <c r="M146" s="23"/>
      <c r="N146" s="23"/>
      <c r="O146" s="21"/>
      <c r="P146" s="21"/>
      <c r="Q146" s="21"/>
      <c r="R146" s="21"/>
      <c r="S146" s="21"/>
      <c r="T146" s="21"/>
      <c r="U146" s="19"/>
      <c r="W146" s="20"/>
      <c r="X146" s="20"/>
    </row>
    <row r="147" spans="1:24" ht="15.75" customHeight="1" x14ac:dyDescent="0.15">
      <c r="A147" s="21" t="s">
        <v>162</v>
      </c>
      <c r="B147" s="21" t="s">
        <v>442</v>
      </c>
      <c r="C147" s="22" t="s">
        <v>443</v>
      </c>
      <c r="D147" s="22" t="s">
        <v>444</v>
      </c>
      <c r="E147" s="21"/>
      <c r="F147" s="21"/>
      <c r="G147" s="23"/>
      <c r="H147" s="23"/>
      <c r="I147" s="23"/>
      <c r="J147" s="23"/>
      <c r="K147" s="23" t="s">
        <v>441</v>
      </c>
      <c r="L147" s="23"/>
      <c r="M147" s="23"/>
      <c r="N147" s="23"/>
      <c r="O147" s="21"/>
      <c r="P147" s="21"/>
      <c r="Q147" s="21"/>
      <c r="R147" s="21"/>
      <c r="S147" s="21"/>
      <c r="T147" s="21"/>
      <c r="U147" s="19"/>
      <c r="W147" s="20"/>
      <c r="X147" s="20"/>
    </row>
    <row r="148" spans="1:24" ht="16" customHeight="1" x14ac:dyDescent="0.15">
      <c r="A148" s="21" t="s">
        <v>445</v>
      </c>
      <c r="B148" s="21" t="s">
        <v>446</v>
      </c>
      <c r="C148" s="22" t="s">
        <v>447</v>
      </c>
      <c r="D148" s="22" t="s">
        <v>448</v>
      </c>
      <c r="E148" s="21" t="s">
        <v>449</v>
      </c>
      <c r="F148" s="21" t="s">
        <v>450</v>
      </c>
      <c r="G148" s="23" t="s">
        <v>38</v>
      </c>
      <c r="H148" s="23"/>
      <c r="I148" s="23" t="s">
        <v>451</v>
      </c>
      <c r="J148" s="23"/>
      <c r="K148" s="23" t="s">
        <v>431</v>
      </c>
      <c r="L148" s="23"/>
      <c r="M148" s="23"/>
      <c r="N148" s="23"/>
      <c r="O148" s="21"/>
      <c r="P148" s="21"/>
      <c r="Q148" s="21"/>
      <c r="R148" s="21"/>
      <c r="S148" s="21" t="s">
        <v>52</v>
      </c>
      <c r="T148" s="21"/>
      <c r="U148" s="19">
        <v>17.928909301757798</v>
      </c>
      <c r="V148" s="5" t="e">
        <v>#NAME?</v>
      </c>
      <c r="W148" s="20" t="e">
        <f t="shared" ref="W148:W164" si="13">IF(U148&lt;&gt;"",U148*V148,"")</f>
        <v>#NAME?</v>
      </c>
      <c r="X148" s="20" t="str">
        <f t="shared" ref="X148:X164" si="14">IF(AND(U148&lt;&gt;"",S148="yes"),U148*V148,"")</f>
        <v/>
      </c>
    </row>
    <row r="149" spans="1:24" x14ac:dyDescent="0.15">
      <c r="A149" s="21"/>
      <c r="B149" s="21"/>
      <c r="C149" s="22"/>
      <c r="D149" s="79"/>
      <c r="E149" s="21"/>
      <c r="G149" s="23"/>
      <c r="H149" s="23"/>
      <c r="I149" s="23"/>
      <c r="J149" s="23"/>
      <c r="K149" s="23"/>
      <c r="L149" s="23"/>
      <c r="M149" s="23"/>
      <c r="N149" s="23"/>
      <c r="O149" s="21"/>
      <c r="P149" s="21"/>
      <c r="Q149" s="21"/>
      <c r="R149" s="21"/>
      <c r="S149" s="21"/>
      <c r="T149" s="21"/>
      <c r="U149" s="19"/>
      <c r="V149" s="5" t="e">
        <v>#NAME?</v>
      </c>
      <c r="W149" s="20" t="str">
        <f t="shared" si="13"/>
        <v/>
      </c>
      <c r="X149" s="20" t="str">
        <f t="shared" si="14"/>
        <v/>
      </c>
    </row>
    <row r="150" spans="1:24" ht="32" customHeight="1" x14ac:dyDescent="0.15">
      <c r="A150" s="16" t="s">
        <v>277</v>
      </c>
      <c r="B150" s="16" t="s">
        <v>452</v>
      </c>
      <c r="C150" s="50" t="s">
        <v>453</v>
      </c>
      <c r="D150" s="50" t="s">
        <v>454</v>
      </c>
      <c r="E150" s="16"/>
      <c r="G150" s="18" t="s">
        <v>38</v>
      </c>
      <c r="H150" s="18"/>
      <c r="I150" s="18"/>
      <c r="J150" s="18"/>
      <c r="K150" s="33" t="s">
        <v>431</v>
      </c>
      <c r="L150" s="18"/>
      <c r="M150" s="18"/>
      <c r="N150" s="18"/>
      <c r="S150" s="1" t="s">
        <v>40</v>
      </c>
      <c r="U150" s="19">
        <v>25.436874389648398</v>
      </c>
      <c r="V150" s="5" t="e">
        <v>#NAME?</v>
      </c>
      <c r="W150" s="20" t="e">
        <f t="shared" si="13"/>
        <v>#NAME?</v>
      </c>
      <c r="X150" s="20" t="e">
        <f t="shared" si="14"/>
        <v>#NAME?</v>
      </c>
    </row>
    <row r="151" spans="1:24" x14ac:dyDescent="0.15">
      <c r="K151" s="63"/>
      <c r="U151" s="19"/>
      <c r="V151" s="5" t="e">
        <v>#NAME?</v>
      </c>
      <c r="W151" s="20" t="str">
        <f t="shared" si="13"/>
        <v/>
      </c>
      <c r="X151" s="20" t="str">
        <f t="shared" si="14"/>
        <v/>
      </c>
    </row>
    <row r="152" spans="1:24" ht="32" customHeight="1" x14ac:dyDescent="0.15">
      <c r="A152" s="16" t="s">
        <v>277</v>
      </c>
      <c r="B152" s="16" t="s">
        <v>455</v>
      </c>
      <c r="C152" s="50" t="s">
        <v>456</v>
      </c>
      <c r="D152" s="50" t="s">
        <v>457</v>
      </c>
      <c r="F152" s="21"/>
      <c r="G152" s="18" t="s">
        <v>38</v>
      </c>
      <c r="H152" s="18"/>
      <c r="I152" s="18"/>
      <c r="J152" s="18"/>
      <c r="K152" s="33" t="s">
        <v>431</v>
      </c>
      <c r="L152" s="18"/>
      <c r="M152" s="18"/>
      <c r="N152" s="18"/>
      <c r="S152" s="1" t="s">
        <v>40</v>
      </c>
      <c r="U152" s="19">
        <v>19.364946365356399</v>
      </c>
      <c r="V152" s="5" t="e">
        <v>#NAME?</v>
      </c>
      <c r="W152" s="20" t="e">
        <f t="shared" si="13"/>
        <v>#NAME?</v>
      </c>
      <c r="X152" s="20" t="e">
        <f t="shared" si="14"/>
        <v>#NAME?</v>
      </c>
    </row>
    <row r="153" spans="1:24" ht="16" customHeight="1" x14ac:dyDescent="0.15">
      <c r="A153" s="21" t="s">
        <v>254</v>
      </c>
      <c r="B153" s="21" t="s">
        <v>458</v>
      </c>
      <c r="C153" s="22" t="s">
        <v>459</v>
      </c>
      <c r="D153" s="22" t="s">
        <v>460</v>
      </c>
      <c r="E153" s="21" t="s">
        <v>461</v>
      </c>
      <c r="F153" s="21" t="s">
        <v>462</v>
      </c>
      <c r="G153" s="23" t="s">
        <v>38</v>
      </c>
      <c r="H153" s="63"/>
      <c r="I153" s="74" t="s">
        <v>375</v>
      </c>
      <c r="J153" s="23"/>
      <c r="K153" s="23" t="s">
        <v>431</v>
      </c>
      <c r="L153" s="23"/>
      <c r="M153" s="23"/>
      <c r="N153" s="23"/>
      <c r="O153" s="21"/>
      <c r="P153" s="21"/>
      <c r="Q153" s="21"/>
      <c r="R153" s="21"/>
      <c r="S153" s="21" t="s">
        <v>52</v>
      </c>
      <c r="T153" s="21"/>
      <c r="U153" s="19">
        <v>17</v>
      </c>
      <c r="V153" s="5" t="e">
        <v>#NAME?</v>
      </c>
      <c r="W153" s="20" t="e">
        <f t="shared" si="13"/>
        <v>#NAME?</v>
      </c>
      <c r="X153" s="20" t="str">
        <f t="shared" si="14"/>
        <v/>
      </c>
    </row>
    <row r="154" spans="1:24" ht="16" customHeight="1" x14ac:dyDescent="0.15">
      <c r="A154" s="21" t="s">
        <v>463</v>
      </c>
      <c r="B154" s="21" t="s">
        <v>464</v>
      </c>
      <c r="C154" s="22" t="s">
        <v>465</v>
      </c>
      <c r="D154" s="22" t="s">
        <v>466</v>
      </c>
      <c r="E154" s="21"/>
      <c r="F154" s="21"/>
      <c r="G154" s="23" t="s">
        <v>38</v>
      </c>
      <c r="H154" s="63"/>
      <c r="I154" s="23"/>
      <c r="J154" s="23"/>
      <c r="K154" s="23" t="s">
        <v>467</v>
      </c>
      <c r="L154" s="23"/>
      <c r="M154" s="23"/>
      <c r="N154" s="23"/>
      <c r="O154" s="21"/>
      <c r="P154" s="21"/>
      <c r="Q154" s="21"/>
      <c r="R154" s="21"/>
      <c r="S154" s="21" t="s">
        <v>52</v>
      </c>
      <c r="T154" s="21"/>
      <c r="U154" s="19">
        <v>17</v>
      </c>
      <c r="V154" s="5" t="e">
        <v>#NAME?</v>
      </c>
      <c r="W154" s="20" t="e">
        <f t="shared" si="13"/>
        <v>#NAME?</v>
      </c>
      <c r="X154" s="20" t="str">
        <f t="shared" si="14"/>
        <v/>
      </c>
    </row>
    <row r="155" spans="1:24" x14ac:dyDescent="0.15">
      <c r="A155" s="21" t="s">
        <v>24</v>
      </c>
      <c r="B155" s="21" t="s">
        <v>468</v>
      </c>
      <c r="C155" s="22"/>
      <c r="D155" s="22"/>
      <c r="E155" s="21"/>
      <c r="F155" s="21"/>
      <c r="G155" s="23"/>
      <c r="H155" s="23"/>
      <c r="I155" s="23"/>
      <c r="J155" s="23"/>
      <c r="K155" s="23"/>
      <c r="L155" s="23"/>
      <c r="M155" s="23"/>
      <c r="N155" s="23" t="s">
        <v>469</v>
      </c>
      <c r="O155" s="21"/>
      <c r="P155" s="21"/>
      <c r="Q155" s="21"/>
      <c r="R155" s="21"/>
      <c r="S155" s="21" t="s">
        <v>52</v>
      </c>
      <c r="T155" s="21"/>
      <c r="U155" s="19"/>
      <c r="V155" s="5" t="e">
        <v>#NAME?</v>
      </c>
      <c r="W155" s="20" t="str">
        <f t="shared" si="13"/>
        <v/>
      </c>
      <c r="X155" s="20" t="str">
        <f t="shared" si="14"/>
        <v/>
      </c>
    </row>
    <row r="156" spans="1:24" ht="16" customHeight="1" x14ac:dyDescent="0.15">
      <c r="A156" s="21" t="s">
        <v>254</v>
      </c>
      <c r="B156" s="21" t="s">
        <v>470</v>
      </c>
      <c r="C156" s="22" t="s">
        <v>471</v>
      </c>
      <c r="D156" s="22" t="s">
        <v>472</v>
      </c>
      <c r="E156" s="21" t="s">
        <v>473</v>
      </c>
      <c r="F156" s="21" t="s">
        <v>474</v>
      </c>
      <c r="G156" s="23" t="s">
        <v>38</v>
      </c>
      <c r="H156" s="63"/>
      <c r="I156" s="23"/>
      <c r="J156" s="23"/>
      <c r="K156" s="23" t="s">
        <v>475</v>
      </c>
      <c r="L156" s="23"/>
      <c r="M156" s="23"/>
      <c r="N156" s="23"/>
      <c r="O156" s="21"/>
      <c r="P156" s="21"/>
      <c r="Q156" s="21"/>
      <c r="R156" s="21"/>
      <c r="S156" s="21" t="s">
        <v>52</v>
      </c>
      <c r="T156" s="21"/>
      <c r="U156" s="19">
        <v>17</v>
      </c>
      <c r="V156" s="5" t="e">
        <v>#NAME?</v>
      </c>
      <c r="W156" s="20" t="e">
        <f t="shared" si="13"/>
        <v>#NAME?</v>
      </c>
      <c r="X156" s="20" t="str">
        <f t="shared" si="14"/>
        <v/>
      </c>
    </row>
    <row r="157" spans="1:24" ht="32" customHeight="1" x14ac:dyDescent="0.15">
      <c r="A157" s="21" t="s">
        <v>105</v>
      </c>
      <c r="B157" s="21" t="s">
        <v>476</v>
      </c>
      <c r="C157" s="22" t="s">
        <v>477</v>
      </c>
      <c r="D157" s="22" t="s">
        <v>478</v>
      </c>
      <c r="E157" s="21" t="s">
        <v>473</v>
      </c>
      <c r="F157" s="21" t="s">
        <v>474</v>
      </c>
      <c r="G157" s="23" t="s">
        <v>38</v>
      </c>
      <c r="H157" s="63"/>
      <c r="I157" s="74" t="s">
        <v>375</v>
      </c>
      <c r="J157" s="23"/>
      <c r="K157" s="23" t="s">
        <v>479</v>
      </c>
      <c r="L157" s="23"/>
      <c r="M157" s="23"/>
      <c r="N157" s="23"/>
      <c r="O157" s="21"/>
      <c r="P157" s="21"/>
      <c r="Q157" s="21"/>
      <c r="R157" s="21"/>
      <c r="S157" s="21" t="s">
        <v>52</v>
      </c>
      <c r="T157" s="21"/>
      <c r="U157" s="19">
        <v>17</v>
      </c>
      <c r="V157" s="5" t="e">
        <v>#NAME?</v>
      </c>
      <c r="W157" s="20" t="e">
        <f t="shared" si="13"/>
        <v>#NAME?</v>
      </c>
      <c r="X157" s="20" t="str">
        <f t="shared" si="14"/>
        <v/>
      </c>
    </row>
    <row r="158" spans="1:24" x14ac:dyDescent="0.15">
      <c r="A158" s="21"/>
      <c r="B158" s="21"/>
      <c r="C158" s="22"/>
      <c r="E158" s="21"/>
      <c r="G158" s="23"/>
      <c r="H158" s="23"/>
      <c r="I158" s="23"/>
      <c r="J158" s="23"/>
      <c r="K158" s="23"/>
      <c r="L158" s="23"/>
      <c r="M158" s="23"/>
      <c r="N158" s="23"/>
      <c r="O158" s="21"/>
      <c r="P158" s="21"/>
      <c r="Q158" s="21"/>
      <c r="R158" s="21"/>
      <c r="S158" s="21"/>
      <c r="T158" s="21"/>
      <c r="U158" s="19"/>
      <c r="V158" s="5" t="e">
        <v>#NAME?</v>
      </c>
      <c r="W158" s="20" t="str">
        <f t="shared" si="13"/>
        <v/>
      </c>
      <c r="X158" s="20" t="str">
        <f t="shared" si="14"/>
        <v/>
      </c>
    </row>
    <row r="159" spans="1:24" ht="32" customHeight="1" x14ac:dyDescent="0.15">
      <c r="A159" s="16" t="s">
        <v>162</v>
      </c>
      <c r="B159" s="16" t="s">
        <v>480</v>
      </c>
      <c r="C159" s="50" t="s">
        <v>481</v>
      </c>
      <c r="D159" s="50" t="s">
        <v>482</v>
      </c>
      <c r="G159" s="18" t="s">
        <v>38</v>
      </c>
      <c r="H159" s="18"/>
      <c r="I159" s="18"/>
      <c r="J159" s="18"/>
      <c r="K159" s="33" t="s">
        <v>483</v>
      </c>
      <c r="L159" s="18"/>
      <c r="M159" s="18"/>
      <c r="N159" s="18"/>
      <c r="S159" s="1" t="s">
        <v>40</v>
      </c>
      <c r="U159" s="19">
        <v>13.458864212036101</v>
      </c>
      <c r="V159" s="5" t="e">
        <v>#NAME?</v>
      </c>
      <c r="W159" s="20" t="e">
        <f t="shared" si="13"/>
        <v>#NAME?</v>
      </c>
      <c r="X159" s="20" t="e">
        <f t="shared" si="14"/>
        <v>#NAME?</v>
      </c>
    </row>
    <row r="160" spans="1:24" ht="32" customHeight="1" x14ac:dyDescent="0.15">
      <c r="A160" s="16" t="s">
        <v>484</v>
      </c>
      <c r="B160" s="16" t="s">
        <v>485</v>
      </c>
      <c r="C160" s="50" t="s">
        <v>486</v>
      </c>
      <c r="D160" s="50" t="s">
        <v>487</v>
      </c>
      <c r="E160" s="1" t="s">
        <v>488</v>
      </c>
      <c r="F160" s="1" t="s">
        <v>489</v>
      </c>
      <c r="G160" s="18" t="s">
        <v>38</v>
      </c>
      <c r="H160" s="18"/>
      <c r="I160" s="33" t="s">
        <v>451</v>
      </c>
      <c r="J160" s="18"/>
      <c r="K160" s="33" t="s">
        <v>490</v>
      </c>
      <c r="L160" s="18"/>
      <c r="M160" s="18"/>
      <c r="N160" s="18"/>
      <c r="S160" s="1" t="s">
        <v>40</v>
      </c>
      <c r="U160" s="19">
        <v>37.523288726806598</v>
      </c>
      <c r="V160" s="5" t="e">
        <v>#NAME?</v>
      </c>
      <c r="W160" s="20" t="e">
        <f t="shared" si="13"/>
        <v>#NAME?</v>
      </c>
      <c r="X160" s="20" t="e">
        <f t="shared" si="14"/>
        <v>#NAME?</v>
      </c>
    </row>
    <row r="161" spans="1:25" ht="28" customHeight="1" x14ac:dyDescent="0.15">
      <c r="A161" s="293" t="s">
        <v>491</v>
      </c>
      <c r="B161" s="294" t="s">
        <v>492</v>
      </c>
      <c r="C161" s="295" t="s">
        <v>493</v>
      </c>
      <c r="D161" s="295" t="s">
        <v>494</v>
      </c>
      <c r="E161" s="289"/>
      <c r="F161" s="296"/>
      <c r="G161" s="290"/>
      <c r="H161" s="290"/>
      <c r="I161" s="290"/>
      <c r="J161" s="290"/>
      <c r="K161" s="297"/>
      <c r="L161" s="290"/>
      <c r="M161" s="290"/>
      <c r="N161" s="290"/>
      <c r="O161" s="289"/>
      <c r="P161" s="289"/>
      <c r="Q161" s="289"/>
      <c r="R161" s="289"/>
      <c r="S161" s="289"/>
      <c r="T161" s="289"/>
      <c r="U161" s="298"/>
      <c r="V161" s="299" t="e">
        <v>#NAME?</v>
      </c>
      <c r="W161" s="300" t="str">
        <f t="shared" si="13"/>
        <v/>
      </c>
      <c r="X161" s="300" t="str">
        <f t="shared" si="14"/>
        <v/>
      </c>
    </row>
    <row r="162" spans="1:25" ht="32" customHeight="1" x14ac:dyDescent="0.15">
      <c r="A162" s="21" t="s">
        <v>495</v>
      </c>
      <c r="B162" s="21" t="s">
        <v>496</v>
      </c>
      <c r="C162" s="22" t="s">
        <v>497</v>
      </c>
      <c r="D162" s="22" t="s">
        <v>498</v>
      </c>
      <c r="E162" s="21"/>
      <c r="F162" s="21"/>
      <c r="G162" s="23" t="s">
        <v>38</v>
      </c>
      <c r="H162" s="23"/>
      <c r="I162" s="23"/>
      <c r="J162" s="23"/>
      <c r="K162" s="23" t="s">
        <v>499</v>
      </c>
      <c r="L162" s="23"/>
      <c r="M162" s="23"/>
      <c r="N162" s="23"/>
      <c r="O162" s="21"/>
      <c r="P162" s="21"/>
      <c r="Q162" s="21"/>
      <c r="R162" s="21"/>
      <c r="S162" s="21" t="s">
        <v>52</v>
      </c>
      <c r="T162" s="21"/>
      <c r="U162" s="19">
        <v>17</v>
      </c>
      <c r="V162" s="5" t="e">
        <v>#NAME?</v>
      </c>
      <c r="W162" s="20" t="e">
        <f t="shared" si="13"/>
        <v>#NAME?</v>
      </c>
      <c r="X162" s="20" t="str">
        <f t="shared" si="14"/>
        <v/>
      </c>
    </row>
    <row r="163" spans="1:25" ht="16" customHeight="1" x14ac:dyDescent="0.15">
      <c r="A163" s="21" t="s">
        <v>500</v>
      </c>
      <c r="B163" s="21" t="s">
        <v>501</v>
      </c>
      <c r="C163" s="22" t="s">
        <v>502</v>
      </c>
      <c r="D163" s="22" t="s">
        <v>503</v>
      </c>
      <c r="E163" s="21" t="s">
        <v>504</v>
      </c>
      <c r="F163" s="21" t="s">
        <v>505</v>
      </c>
      <c r="G163" s="23" t="s">
        <v>38</v>
      </c>
      <c r="H163" s="23" t="s">
        <v>146</v>
      </c>
      <c r="I163" s="23" t="s">
        <v>506</v>
      </c>
      <c r="J163" s="23"/>
      <c r="K163" s="23" t="s">
        <v>499</v>
      </c>
      <c r="L163" s="23" t="s">
        <v>507</v>
      </c>
      <c r="P163" s="21"/>
      <c r="Q163" s="21"/>
      <c r="R163" s="21"/>
      <c r="S163" s="21" t="s">
        <v>52</v>
      </c>
      <c r="T163" s="21"/>
      <c r="U163" s="19">
        <v>17</v>
      </c>
      <c r="V163" s="5" t="e">
        <v>#NAME?</v>
      </c>
      <c r="W163" s="20" t="e">
        <f t="shared" si="13"/>
        <v>#NAME?</v>
      </c>
      <c r="X163" s="20" t="str">
        <f t="shared" si="14"/>
        <v/>
      </c>
    </row>
    <row r="164" spans="1:25" x14ac:dyDescent="0.15">
      <c r="K164" s="63"/>
      <c r="U164" s="19"/>
      <c r="V164" s="5" t="e">
        <v>#NAME?</v>
      </c>
      <c r="W164" s="20" t="str">
        <f t="shared" si="13"/>
        <v/>
      </c>
      <c r="X164" s="20" t="str">
        <f t="shared" si="14"/>
        <v/>
      </c>
    </row>
    <row r="165" spans="1:25" s="289" customFormat="1" ht="30" customHeight="1" x14ac:dyDescent="0.15">
      <c r="A165" s="274" t="s">
        <v>277</v>
      </c>
      <c r="B165" s="274" t="s">
        <v>508</v>
      </c>
      <c r="C165" s="276" t="s">
        <v>509</v>
      </c>
      <c r="D165" s="287" t="s">
        <v>510</v>
      </c>
      <c r="E165" s="288" t="s">
        <v>336</v>
      </c>
      <c r="F165" s="288" t="s">
        <v>337</v>
      </c>
      <c r="G165" s="274" t="s">
        <v>38</v>
      </c>
      <c r="H165" s="290"/>
      <c r="I165" s="290"/>
      <c r="J165" s="290"/>
      <c r="K165" s="291"/>
      <c r="L165" s="290"/>
      <c r="M165" s="290"/>
      <c r="N165" s="290"/>
      <c r="U165" s="270"/>
      <c r="V165" s="271"/>
      <c r="W165" s="272"/>
      <c r="X165" s="272"/>
      <c r="Y165" s="273"/>
    </row>
    <row r="166" spans="1:25" s="289" customFormat="1" ht="28" customHeight="1" x14ac:dyDescent="0.15">
      <c r="A166" s="274" t="s">
        <v>162</v>
      </c>
      <c r="B166" s="274" t="s">
        <v>511</v>
      </c>
      <c r="C166" s="275" t="s">
        <v>512</v>
      </c>
      <c r="D166" s="275" t="s">
        <v>513</v>
      </c>
      <c r="E166" s="292" t="s">
        <v>336</v>
      </c>
      <c r="F166" s="292" t="s">
        <v>337</v>
      </c>
      <c r="G166" s="274" t="s">
        <v>38</v>
      </c>
      <c r="H166" s="290"/>
      <c r="I166" s="290"/>
      <c r="J166" s="290"/>
      <c r="K166" s="291"/>
      <c r="L166" s="290"/>
      <c r="M166" s="290"/>
      <c r="N166" s="290"/>
      <c r="U166" s="270"/>
      <c r="V166" s="271"/>
      <c r="W166" s="272"/>
      <c r="X166" s="272"/>
      <c r="Y166" s="273"/>
    </row>
    <row r="167" spans="1:25" s="289" customFormat="1" ht="28" customHeight="1" x14ac:dyDescent="0.15">
      <c r="A167" s="274" t="s">
        <v>514</v>
      </c>
      <c r="B167" s="274" t="s">
        <v>515</v>
      </c>
      <c r="C167" s="275" t="s">
        <v>516</v>
      </c>
      <c r="D167" s="275" t="s">
        <v>517</v>
      </c>
      <c r="E167" s="292" t="s">
        <v>336</v>
      </c>
      <c r="F167" s="292" t="s">
        <v>337</v>
      </c>
      <c r="G167" s="274" t="b">
        <v>1</v>
      </c>
      <c r="H167" s="290"/>
      <c r="I167" s="290"/>
      <c r="J167" s="290"/>
      <c r="K167" s="291"/>
      <c r="L167" s="290"/>
      <c r="M167" s="290"/>
      <c r="N167" s="290"/>
      <c r="U167" s="270"/>
      <c r="V167" s="271"/>
      <c r="W167" s="272"/>
      <c r="X167" s="272"/>
      <c r="Y167" s="273"/>
    </row>
    <row r="168" spans="1:25" s="1" customFormat="1" ht="28" customHeight="1" x14ac:dyDescent="0.15">
      <c r="A168" s="274" t="s">
        <v>162</v>
      </c>
      <c r="B168" s="274" t="s">
        <v>518</v>
      </c>
      <c r="C168" s="275" t="s">
        <v>519</v>
      </c>
      <c r="D168" s="275" t="s">
        <v>520</v>
      </c>
      <c r="E168" s="282" t="s">
        <v>336</v>
      </c>
      <c r="F168" s="282" t="s">
        <v>337</v>
      </c>
      <c r="G168" s="3" t="b">
        <v>1</v>
      </c>
      <c r="H168" s="3"/>
      <c r="I168" s="3"/>
      <c r="J168" s="3"/>
      <c r="K168" s="283"/>
      <c r="L168" s="3"/>
      <c r="M168" s="3"/>
      <c r="N168" s="3"/>
      <c r="U168" s="278"/>
      <c r="V168" s="279">
        <f>'[1]Additional information'!$D$18</f>
        <v>0.91</v>
      </c>
      <c r="W168" s="280" t="str">
        <f>IF(U168&lt;&gt;"",U168*V168,"")</f>
        <v/>
      </c>
      <c r="X168" s="280" t="str">
        <f>IF(AND(U168&lt;&gt;"",S168="yes"),U168*V168,"")</f>
        <v/>
      </c>
      <c r="Y168" s="281"/>
    </row>
    <row r="169" spans="1:25" ht="15" customHeight="1" thickBot="1" x14ac:dyDescent="0.2">
      <c r="A169" s="64" t="s">
        <v>90</v>
      </c>
      <c r="B169" s="64"/>
      <c r="C169" s="65"/>
      <c r="D169" s="65"/>
      <c r="E169" s="80"/>
      <c r="F169" s="80"/>
      <c r="G169" s="66"/>
      <c r="H169" s="66"/>
      <c r="I169" s="66"/>
      <c r="J169" s="66"/>
      <c r="K169" s="66"/>
      <c r="L169" s="66"/>
      <c r="M169" s="66"/>
      <c r="N169" s="66"/>
      <c r="U169" s="19"/>
      <c r="W169" s="20" t="str">
        <f>IF(U169&lt;&gt;"",U169*V169,"")</f>
        <v/>
      </c>
      <c r="X169" s="20" t="str">
        <f>IF(AND(U169&lt;&gt;"",S169="yes"),U169*V169,"")</f>
        <v/>
      </c>
    </row>
    <row r="170" spans="1:25" ht="16" customHeight="1" thickTop="1" x14ac:dyDescent="0.15">
      <c r="A170" s="37" t="s">
        <v>61</v>
      </c>
      <c r="B170" s="37" t="s">
        <v>521</v>
      </c>
      <c r="C170" s="38" t="s">
        <v>522</v>
      </c>
      <c r="D170" s="38" t="s">
        <v>523</v>
      </c>
      <c r="E170" s="37"/>
      <c r="F170" s="37"/>
      <c r="G170" s="39" t="s">
        <v>56</v>
      </c>
      <c r="H170" s="39"/>
      <c r="I170" s="39"/>
      <c r="J170" s="39"/>
      <c r="K170" s="39" t="s">
        <v>524</v>
      </c>
      <c r="L170" s="39"/>
      <c r="M170" s="39"/>
      <c r="N170" s="39"/>
      <c r="O170" s="40"/>
      <c r="P170" s="40"/>
      <c r="Q170" s="40"/>
      <c r="R170" s="40"/>
      <c r="S170" s="1" t="s">
        <v>40</v>
      </c>
      <c r="T170" s="40"/>
      <c r="U170" s="19"/>
      <c r="W170" s="20" t="str">
        <f>IF(U170&lt;&gt;"",U170*V170,"")</f>
        <v/>
      </c>
      <c r="X170" s="20" t="str">
        <f>IF(AND(U170&lt;&gt;"",S170="yes"),U170*V170,"")</f>
        <v/>
      </c>
      <c r="Y170" s="41"/>
    </row>
    <row r="171" spans="1:25" ht="16" customHeight="1" x14ac:dyDescent="0.15">
      <c r="A171" s="16" t="s">
        <v>162</v>
      </c>
      <c r="B171" s="16" t="s">
        <v>525</v>
      </c>
      <c r="C171" s="32" t="s">
        <v>526</v>
      </c>
      <c r="D171" s="81" t="s">
        <v>527</v>
      </c>
      <c r="G171" s="33" t="s">
        <v>38</v>
      </c>
      <c r="I171" s="33"/>
      <c r="J171" s="33"/>
      <c r="K171" s="33"/>
      <c r="L171" s="31"/>
      <c r="M171" s="33"/>
      <c r="N171" s="33"/>
      <c r="S171" s="1" t="s">
        <v>40</v>
      </c>
      <c r="U171" s="19">
        <v>13.55</v>
      </c>
      <c r="V171" s="5" t="e">
        <v>#NAME?</v>
      </c>
      <c r="W171" s="20" t="e">
        <f>IF(U171&lt;&gt;"",U171*V171,"")</f>
        <v>#NAME?</v>
      </c>
      <c r="X171" s="20"/>
    </row>
    <row r="172" spans="1:25" ht="16" customHeight="1" x14ac:dyDescent="0.15">
      <c r="A172" s="16" t="s">
        <v>528</v>
      </c>
      <c r="B172" s="16" t="s">
        <v>529</v>
      </c>
      <c r="C172" s="17" t="s">
        <v>530</v>
      </c>
      <c r="D172" s="81" t="s">
        <v>531</v>
      </c>
      <c r="G172" s="33" t="s">
        <v>38</v>
      </c>
      <c r="H172" s="18" t="s">
        <v>146</v>
      </c>
      <c r="I172" s="33"/>
      <c r="J172" s="33"/>
      <c r="K172" s="33" t="s">
        <v>532</v>
      </c>
      <c r="L172" s="33" t="s">
        <v>507</v>
      </c>
      <c r="M172" s="33"/>
      <c r="N172" s="33"/>
      <c r="S172" s="1" t="s">
        <v>40</v>
      </c>
      <c r="U172" s="19">
        <v>13.55</v>
      </c>
      <c r="V172" s="5" t="e">
        <v>#NAME?</v>
      </c>
      <c r="W172" s="20" t="e">
        <f>IF(U172&lt;&gt;"",U172*V172,"")</f>
        <v>#NAME?</v>
      </c>
      <c r="X172" s="20"/>
    </row>
    <row r="173" spans="1:25" x14ac:dyDescent="0.15">
      <c r="A173" s="16" t="s">
        <v>24</v>
      </c>
      <c r="B173" s="16" t="s">
        <v>533</v>
      </c>
      <c r="C173" s="17"/>
      <c r="D173" s="17"/>
      <c r="G173" s="33"/>
      <c r="H173" s="33"/>
      <c r="I173" s="33"/>
      <c r="J173" s="33"/>
      <c r="K173" s="33"/>
      <c r="L173" s="33"/>
      <c r="M173" s="33"/>
      <c r="N173" s="33" t="s">
        <v>534</v>
      </c>
      <c r="S173" s="1" t="s">
        <v>40</v>
      </c>
      <c r="U173" s="19"/>
      <c r="V173" s="5" t="e">
        <v>#NAME?</v>
      </c>
      <c r="W173" s="20"/>
      <c r="X173" s="20"/>
    </row>
    <row r="174" spans="1:25" x14ac:dyDescent="0.15">
      <c r="A174" s="16" t="s">
        <v>24</v>
      </c>
      <c r="B174" s="16" t="s">
        <v>535</v>
      </c>
      <c r="C174" s="17"/>
      <c r="D174" s="17"/>
      <c r="G174" s="33"/>
      <c r="H174" s="33"/>
      <c r="I174" s="33"/>
      <c r="J174" s="33"/>
      <c r="K174" s="33"/>
      <c r="L174" s="33"/>
      <c r="M174" s="33"/>
      <c r="N174" s="33" t="s">
        <v>536</v>
      </c>
      <c r="S174" s="1" t="s">
        <v>40</v>
      </c>
      <c r="U174" s="19"/>
      <c r="V174" s="5" t="e">
        <v>#NAME?</v>
      </c>
      <c r="W174" s="20"/>
      <c r="X174" s="20"/>
    </row>
    <row r="175" spans="1:25" x14ac:dyDescent="0.15">
      <c r="U175" s="19"/>
      <c r="V175" s="5" t="e">
        <v>#NAME?</v>
      </c>
      <c r="W175" s="20"/>
      <c r="X175" s="20"/>
    </row>
    <row r="176" spans="1:25" ht="32" customHeight="1" x14ac:dyDescent="0.15">
      <c r="A176" s="16" t="s">
        <v>162</v>
      </c>
      <c r="B176" s="16" t="s">
        <v>537</v>
      </c>
      <c r="C176" s="17" t="s">
        <v>538</v>
      </c>
      <c r="D176" s="50" t="s">
        <v>539</v>
      </c>
      <c r="E176" s="62"/>
      <c r="F176" s="62"/>
      <c r="G176" s="18" t="s">
        <v>38</v>
      </c>
      <c r="H176" s="18"/>
      <c r="I176" s="18"/>
      <c r="J176" s="18"/>
      <c r="K176" s="18"/>
      <c r="L176" s="18"/>
      <c r="M176" s="18"/>
      <c r="N176" s="18"/>
      <c r="S176" s="1" t="s">
        <v>40</v>
      </c>
      <c r="U176" s="19">
        <v>12.681487083435099</v>
      </c>
      <c r="V176" s="5" t="e">
        <v>#NAME?</v>
      </c>
      <c r="W176" s="20" t="e">
        <f>IF(U176&lt;&gt;"",U176*V176,"")</f>
        <v>#NAME?</v>
      </c>
      <c r="X176" s="20" t="e">
        <f>IF(AND(U176&lt;&gt;"",S176="yes"),U176*V176,"")</f>
        <v>#NAME?</v>
      </c>
    </row>
    <row r="177" spans="1:25" ht="32" customHeight="1" x14ac:dyDescent="0.15">
      <c r="A177" s="16" t="s">
        <v>540</v>
      </c>
      <c r="B177" s="16" t="s">
        <v>541</v>
      </c>
      <c r="C177" s="32" t="s">
        <v>542</v>
      </c>
      <c r="D177" s="17" t="s">
        <v>543</v>
      </c>
      <c r="E177" s="1" t="s">
        <v>488</v>
      </c>
      <c r="F177" s="1" t="s">
        <v>544</v>
      </c>
      <c r="G177" s="18" t="s">
        <v>38</v>
      </c>
      <c r="H177" s="18"/>
      <c r="I177" s="33" t="s">
        <v>342</v>
      </c>
      <c r="J177" s="18"/>
      <c r="K177" s="33" t="s">
        <v>545</v>
      </c>
      <c r="L177" s="18"/>
      <c r="M177" s="18"/>
      <c r="N177" s="18"/>
      <c r="S177" s="1" t="s">
        <v>40</v>
      </c>
      <c r="U177" s="19">
        <v>22.613609313964801</v>
      </c>
      <c r="V177" s="5" t="e">
        <v>#NAME?</v>
      </c>
      <c r="W177" s="20" t="e">
        <f>IF(U177&lt;&gt;"",U177*V177,"")</f>
        <v>#NAME?</v>
      </c>
      <c r="X177" s="20" t="e">
        <f>IF(AND(U177&lt;&gt;"",S177="yes"),U177*V177,"")</f>
        <v>#NAME?</v>
      </c>
    </row>
    <row r="178" spans="1:25" x14ac:dyDescent="0.15">
      <c r="K178" s="63"/>
      <c r="U178" s="19"/>
      <c r="V178" s="5" t="e">
        <v>#NAME?</v>
      </c>
      <c r="W178" s="20" t="str">
        <f>IF(U178&lt;&gt;"",U178*V178,"")</f>
        <v/>
      </c>
      <c r="X178" s="20" t="str">
        <f>IF(AND(U178&lt;&gt;"",S178="yes"),U178*V178,"")</f>
        <v/>
      </c>
    </row>
    <row r="179" spans="1:25" ht="32" customHeight="1" x14ac:dyDescent="0.15">
      <c r="A179" s="16" t="s">
        <v>277</v>
      </c>
      <c r="B179" s="16" t="s">
        <v>546</v>
      </c>
      <c r="C179" s="32" t="s">
        <v>547</v>
      </c>
      <c r="D179" s="50" t="s">
        <v>548</v>
      </c>
      <c r="E179" s="82" t="s">
        <v>549</v>
      </c>
      <c r="F179" s="82" t="s">
        <v>550</v>
      </c>
      <c r="G179" s="18" t="s">
        <v>38</v>
      </c>
      <c r="H179" s="18"/>
      <c r="I179" s="18"/>
      <c r="J179" s="18"/>
      <c r="K179" s="33"/>
      <c r="L179" s="18"/>
      <c r="M179" s="18"/>
      <c r="N179" s="18"/>
      <c r="S179" s="1" t="s">
        <v>40</v>
      </c>
      <c r="U179" s="19">
        <v>21.701908111572301</v>
      </c>
      <c r="V179" s="5" t="e">
        <v>#NAME?</v>
      </c>
      <c r="W179" s="20" t="e">
        <f>IF(U179&lt;&gt;"",U179*V179,"")</f>
        <v>#NAME?</v>
      </c>
      <c r="X179" s="20" t="e">
        <f>IF(AND(U179&lt;&gt;"",S179="yes"),U179*V179,"")</f>
        <v>#NAME?</v>
      </c>
    </row>
    <row r="180" spans="1:25" x14ac:dyDescent="0.15">
      <c r="A180" s="16"/>
      <c r="B180" s="16"/>
      <c r="C180" s="32"/>
      <c r="D180" s="17"/>
      <c r="E180" s="82"/>
      <c r="F180" s="82"/>
      <c r="G180" s="18"/>
      <c r="H180" s="18"/>
      <c r="I180" s="18"/>
      <c r="J180" s="18"/>
      <c r="K180" s="33"/>
      <c r="L180" s="18"/>
      <c r="M180" s="18"/>
      <c r="N180" s="18"/>
      <c r="U180" s="19"/>
      <c r="W180" s="20"/>
      <c r="X180" s="20"/>
    </row>
    <row r="181" spans="1:25" x14ac:dyDescent="0.15">
      <c r="C181" s="54"/>
      <c r="D181" s="54"/>
      <c r="E181" s="62"/>
      <c r="F181" s="62"/>
      <c r="K181" s="63"/>
      <c r="U181" s="19"/>
      <c r="V181" s="5" t="e">
        <v>#NAME?</v>
      </c>
      <c r="W181" s="20" t="str">
        <f t="shared" ref="W181:W212" si="15">IF(U181&lt;&gt;"",U181*V181,"")</f>
        <v/>
      </c>
      <c r="X181" s="20" t="str">
        <f t="shared" ref="X181:X212" si="16">IF(AND(U181&lt;&gt;"",S181="yes"),U181*V181,"")</f>
        <v/>
      </c>
    </row>
    <row r="182" spans="1:25" ht="15" customHeight="1" thickBot="1" x14ac:dyDescent="0.2">
      <c r="A182" s="64" t="s">
        <v>90</v>
      </c>
      <c r="B182" s="64"/>
      <c r="C182" s="65"/>
      <c r="D182" s="65"/>
      <c r="E182" s="64"/>
      <c r="F182" s="64"/>
      <c r="G182" s="66"/>
      <c r="H182" s="66"/>
      <c r="I182" s="66"/>
      <c r="J182" s="66"/>
      <c r="K182" s="66"/>
      <c r="L182" s="66"/>
      <c r="M182" s="66"/>
      <c r="N182" s="66"/>
      <c r="U182" s="19"/>
      <c r="W182" s="20" t="str">
        <f t="shared" si="15"/>
        <v/>
      </c>
      <c r="X182" s="20" t="str">
        <f t="shared" si="16"/>
        <v/>
      </c>
    </row>
    <row r="183" spans="1:25" ht="16" customHeight="1" thickTop="1" x14ac:dyDescent="0.15">
      <c r="A183" s="37" t="s">
        <v>61</v>
      </c>
      <c r="B183" s="37" t="s">
        <v>551</v>
      </c>
      <c r="C183" s="38" t="s">
        <v>552</v>
      </c>
      <c r="D183" s="38" t="s">
        <v>553</v>
      </c>
      <c r="E183" s="37"/>
      <c r="F183" s="37"/>
      <c r="G183" s="39" t="s">
        <v>56</v>
      </c>
      <c r="H183" s="39"/>
      <c r="I183" s="39"/>
      <c r="J183" s="39"/>
      <c r="K183" s="39" t="s">
        <v>554</v>
      </c>
      <c r="L183" s="39"/>
      <c r="M183" s="39"/>
      <c r="N183" s="39"/>
      <c r="O183" s="40"/>
      <c r="P183" s="40"/>
      <c r="Q183" s="40"/>
      <c r="R183" s="40"/>
      <c r="S183" s="1" t="s">
        <v>40</v>
      </c>
      <c r="T183" s="40"/>
      <c r="U183" s="19"/>
      <c r="V183" s="41"/>
      <c r="W183" s="20" t="str">
        <f t="shared" si="15"/>
        <v/>
      </c>
      <c r="X183" s="20" t="str">
        <f t="shared" si="16"/>
        <v/>
      </c>
      <c r="Y183" s="41"/>
    </row>
    <row r="184" spans="1:25" ht="42" customHeight="1" x14ac:dyDescent="0.15">
      <c r="A184" s="16" t="s">
        <v>64</v>
      </c>
      <c r="B184" s="16" t="s">
        <v>555</v>
      </c>
      <c r="C184" s="17" t="s">
        <v>556</v>
      </c>
      <c r="D184" s="17" t="s">
        <v>557</v>
      </c>
      <c r="E184" s="16"/>
      <c r="F184" s="16"/>
      <c r="G184" s="18"/>
      <c r="H184" s="18"/>
      <c r="I184" s="18"/>
      <c r="J184" s="18"/>
      <c r="K184" s="18"/>
      <c r="L184" s="18"/>
      <c r="M184" s="18"/>
      <c r="N184" s="18"/>
      <c r="S184" s="1" t="s">
        <v>40</v>
      </c>
      <c r="U184" s="19">
        <v>7.5</v>
      </c>
      <c r="V184" s="83" t="e">
        <v>#NAME?</v>
      </c>
      <c r="W184" s="20" t="e">
        <f t="shared" si="15"/>
        <v>#NAME?</v>
      </c>
      <c r="X184" s="20" t="e">
        <f t="shared" si="16"/>
        <v>#NAME?</v>
      </c>
    </row>
    <row r="185" spans="1:25" x14ac:dyDescent="0.15">
      <c r="A185" s="40"/>
      <c r="B185" s="40"/>
      <c r="C185" s="77"/>
      <c r="E185" s="40"/>
      <c r="F185" s="40"/>
      <c r="G185" s="78"/>
      <c r="H185" s="78"/>
      <c r="I185" s="78"/>
      <c r="J185" s="78"/>
      <c r="K185" s="78"/>
      <c r="L185" s="78"/>
      <c r="M185" s="78"/>
      <c r="N185" s="78"/>
      <c r="O185" s="40"/>
      <c r="P185" s="40"/>
      <c r="Q185" s="40"/>
      <c r="R185" s="40"/>
      <c r="T185" s="40"/>
      <c r="U185" s="19"/>
      <c r="V185" s="83" t="e">
        <v>#NAME?</v>
      </c>
      <c r="W185" s="20" t="str">
        <f t="shared" si="15"/>
        <v/>
      </c>
      <c r="X185" s="20" t="str">
        <f t="shared" si="16"/>
        <v/>
      </c>
      <c r="Y185" s="41"/>
    </row>
    <row r="186" spans="1:25" ht="28" customHeight="1" x14ac:dyDescent="0.15">
      <c r="A186" s="16" t="s">
        <v>558</v>
      </c>
      <c r="B186" s="16" t="s">
        <v>559</v>
      </c>
      <c r="C186" s="17" t="s">
        <v>560</v>
      </c>
      <c r="D186" s="17" t="s">
        <v>561</v>
      </c>
      <c r="E186" s="1" t="s">
        <v>562</v>
      </c>
      <c r="F186" s="1" t="s">
        <v>563</v>
      </c>
      <c r="G186" s="18" t="s">
        <v>38</v>
      </c>
      <c r="H186" s="18" t="s">
        <v>239</v>
      </c>
      <c r="I186" s="18"/>
      <c r="J186" s="18"/>
      <c r="K186" s="18"/>
      <c r="L186" s="18"/>
      <c r="M186" s="18"/>
      <c r="N186" s="18"/>
      <c r="S186" s="1" t="s">
        <v>40</v>
      </c>
      <c r="U186" s="19">
        <v>20.2944221496582</v>
      </c>
      <c r="V186" s="83" t="e">
        <v>#NAME?</v>
      </c>
      <c r="W186" s="20" t="e">
        <f t="shared" si="15"/>
        <v>#NAME?</v>
      </c>
      <c r="X186" s="20" t="e">
        <f t="shared" si="16"/>
        <v>#NAME?</v>
      </c>
    </row>
    <row r="187" spans="1:25" x14ac:dyDescent="0.15">
      <c r="A187" s="16" t="s">
        <v>24</v>
      </c>
      <c r="B187" s="16" t="s">
        <v>564</v>
      </c>
      <c r="C187" s="17"/>
      <c r="D187" s="17"/>
      <c r="G187" s="18"/>
      <c r="H187" s="18"/>
      <c r="I187" s="18"/>
      <c r="J187" s="18"/>
      <c r="K187" s="18"/>
      <c r="L187" s="18"/>
      <c r="M187" s="18"/>
      <c r="N187" s="18" t="s">
        <v>565</v>
      </c>
      <c r="S187" s="1" t="s">
        <v>40</v>
      </c>
      <c r="U187" s="19"/>
      <c r="V187" s="83" t="e">
        <v>#NAME?</v>
      </c>
      <c r="W187" s="20" t="str">
        <f t="shared" si="15"/>
        <v/>
      </c>
      <c r="X187" s="20" t="str">
        <f t="shared" si="16"/>
        <v/>
      </c>
    </row>
    <row r="188" spans="1:25" x14ac:dyDescent="0.15">
      <c r="K188" s="63"/>
      <c r="U188" s="19"/>
      <c r="V188" s="83" t="e">
        <v>#NAME?</v>
      </c>
      <c r="W188" s="20" t="str">
        <f t="shared" si="15"/>
        <v/>
      </c>
      <c r="X188" s="20" t="str">
        <f t="shared" si="16"/>
        <v/>
      </c>
    </row>
    <row r="189" spans="1:25" x14ac:dyDescent="0.15">
      <c r="A189" s="16" t="s">
        <v>105</v>
      </c>
      <c r="B189" s="16" t="s">
        <v>566</v>
      </c>
      <c r="C189" s="17" t="s">
        <v>567</v>
      </c>
      <c r="D189" s="17" t="s">
        <v>568</v>
      </c>
      <c r="E189" s="16" t="s">
        <v>569</v>
      </c>
      <c r="F189" s="16" t="s">
        <v>570</v>
      </c>
      <c r="G189" s="18" t="s">
        <v>38</v>
      </c>
      <c r="H189" s="18"/>
      <c r="I189" s="18" t="s">
        <v>571</v>
      </c>
      <c r="J189" s="18"/>
      <c r="K189" s="18" t="s">
        <v>572</v>
      </c>
      <c r="L189" s="18"/>
      <c r="M189" s="18"/>
      <c r="N189" s="18"/>
      <c r="S189" s="1" t="s">
        <v>40</v>
      </c>
      <c r="U189" s="19">
        <v>18.539077758789102</v>
      </c>
      <c r="V189" s="83" t="e">
        <v>#NAME?</v>
      </c>
      <c r="W189" s="20" t="e">
        <f t="shared" si="15"/>
        <v>#NAME?</v>
      </c>
      <c r="X189" s="20" t="e">
        <f t="shared" si="16"/>
        <v>#NAME?</v>
      </c>
    </row>
    <row r="190" spans="1:25" x14ac:dyDescent="0.15">
      <c r="A190" s="16" t="s">
        <v>105</v>
      </c>
      <c r="B190" s="16" t="s">
        <v>573</v>
      </c>
      <c r="C190" s="17" t="s">
        <v>574</v>
      </c>
      <c r="D190" s="17" t="s">
        <v>575</v>
      </c>
      <c r="E190" s="16" t="s">
        <v>569</v>
      </c>
      <c r="F190" s="16" t="s">
        <v>570</v>
      </c>
      <c r="G190" s="18" t="s">
        <v>38</v>
      </c>
      <c r="H190" s="18"/>
      <c r="I190" s="18" t="s">
        <v>571</v>
      </c>
      <c r="J190" s="18"/>
      <c r="K190" s="18" t="s">
        <v>572</v>
      </c>
      <c r="L190" s="18"/>
      <c r="M190" s="18"/>
      <c r="N190" s="18"/>
      <c r="S190" s="1" t="s">
        <v>40</v>
      </c>
      <c r="U190" s="19">
        <v>8.9158916473388707</v>
      </c>
      <c r="V190" s="83" t="e">
        <v>#NAME?</v>
      </c>
      <c r="W190" s="20" t="e">
        <f t="shared" si="15"/>
        <v>#NAME?</v>
      </c>
      <c r="X190" s="20" t="e">
        <f t="shared" si="16"/>
        <v>#NAME?</v>
      </c>
    </row>
    <row r="191" spans="1:25" x14ac:dyDescent="0.15">
      <c r="A191" s="16" t="s">
        <v>24</v>
      </c>
      <c r="B191" s="16" t="s">
        <v>576</v>
      </c>
      <c r="C191" s="17" t="s">
        <v>577</v>
      </c>
      <c r="D191" s="17" t="s">
        <v>578</v>
      </c>
      <c r="E191" s="16"/>
      <c r="F191" s="16"/>
      <c r="G191" s="18" t="s">
        <v>38</v>
      </c>
      <c r="H191" s="18"/>
      <c r="I191" s="18"/>
      <c r="J191" s="18"/>
      <c r="K191" s="18" t="s">
        <v>579</v>
      </c>
      <c r="L191" s="18"/>
      <c r="M191" s="18"/>
      <c r="N191" s="18" t="s">
        <v>580</v>
      </c>
      <c r="S191" s="1" t="s">
        <v>40</v>
      </c>
      <c r="U191" s="19"/>
      <c r="V191" s="83" t="e">
        <v>#NAME?</v>
      </c>
      <c r="W191" s="20" t="str">
        <f t="shared" si="15"/>
        <v/>
      </c>
      <c r="X191" s="20" t="str">
        <f t="shared" si="16"/>
        <v/>
      </c>
    </row>
    <row r="192" spans="1:25" x14ac:dyDescent="0.15">
      <c r="U192" s="19"/>
      <c r="V192" s="83" t="e">
        <v>#NAME?</v>
      </c>
      <c r="W192" s="20" t="str">
        <f t="shared" si="15"/>
        <v/>
      </c>
      <c r="X192" s="20" t="str">
        <f t="shared" si="16"/>
        <v/>
      </c>
    </row>
    <row r="193" spans="1:25" x14ac:dyDescent="0.15">
      <c r="A193" s="16" t="s">
        <v>581</v>
      </c>
      <c r="B193" s="16" t="s">
        <v>582</v>
      </c>
      <c r="C193" s="17" t="s">
        <v>583</v>
      </c>
      <c r="D193" s="17" t="s">
        <v>584</v>
      </c>
      <c r="E193" s="1" t="s">
        <v>449</v>
      </c>
      <c r="F193" s="1" t="s">
        <v>450</v>
      </c>
      <c r="G193" s="18" t="s">
        <v>38</v>
      </c>
      <c r="H193" s="18"/>
      <c r="I193" s="18" t="s">
        <v>585</v>
      </c>
      <c r="J193" s="18"/>
      <c r="K193" s="18" t="s">
        <v>572</v>
      </c>
      <c r="L193" s="18"/>
      <c r="M193" s="18"/>
      <c r="N193" s="18"/>
      <c r="S193" s="1" t="s">
        <v>40</v>
      </c>
      <c r="U193" s="19">
        <v>25.810010910034201</v>
      </c>
      <c r="V193" s="83" t="e">
        <v>#NAME?</v>
      </c>
      <c r="W193" s="20" t="e">
        <f t="shared" si="15"/>
        <v>#NAME?</v>
      </c>
      <c r="X193" s="20" t="e">
        <f t="shared" si="16"/>
        <v>#NAME?</v>
      </c>
    </row>
    <row r="194" spans="1:25" ht="16" customHeight="1" x14ac:dyDescent="0.15">
      <c r="A194" s="84" t="s">
        <v>586</v>
      </c>
      <c r="B194" s="84" t="s">
        <v>587</v>
      </c>
      <c r="C194" s="85" t="s">
        <v>588</v>
      </c>
      <c r="D194" s="86" t="s">
        <v>589</v>
      </c>
      <c r="K194" s="63"/>
      <c r="U194" s="19"/>
      <c r="V194" s="83" t="e">
        <v>#NAME?</v>
      </c>
      <c r="W194" s="20" t="str">
        <f t="shared" si="15"/>
        <v/>
      </c>
      <c r="X194" s="20" t="str">
        <f t="shared" si="16"/>
        <v/>
      </c>
    </row>
    <row r="195" spans="1:25" x14ac:dyDescent="0.2">
      <c r="A195" s="21"/>
      <c r="B195" s="21"/>
      <c r="C195" s="22"/>
      <c r="D195" s="87"/>
      <c r="E195" s="21"/>
      <c r="F195" s="21"/>
      <c r="G195" s="23"/>
      <c r="H195" s="23"/>
      <c r="I195" s="23"/>
      <c r="J195" s="23"/>
      <c r="K195" s="23"/>
      <c r="L195" s="23"/>
      <c r="M195" s="23"/>
      <c r="N195" s="23"/>
      <c r="O195" s="21"/>
      <c r="P195" s="21"/>
      <c r="Q195" s="21"/>
      <c r="R195" s="21"/>
      <c r="S195" s="21"/>
      <c r="T195" s="21"/>
      <c r="U195" s="19"/>
      <c r="V195" s="83" t="e">
        <v>#NAME?</v>
      </c>
      <c r="W195" s="20" t="str">
        <f t="shared" si="15"/>
        <v/>
      </c>
      <c r="X195" s="20" t="str">
        <f t="shared" si="16"/>
        <v/>
      </c>
    </row>
    <row r="196" spans="1:25" ht="28" customHeight="1" x14ac:dyDescent="0.15">
      <c r="A196" s="16" t="s">
        <v>162</v>
      </c>
      <c r="B196" s="16" t="s">
        <v>590</v>
      </c>
      <c r="C196" s="17" t="s">
        <v>591</v>
      </c>
      <c r="D196" s="17" t="s">
        <v>592</v>
      </c>
      <c r="G196" s="18" t="s">
        <v>38</v>
      </c>
      <c r="H196" s="18"/>
      <c r="I196" s="18"/>
      <c r="J196" s="18"/>
      <c r="K196" s="33"/>
      <c r="L196" s="18"/>
      <c r="M196" s="18"/>
      <c r="N196" s="18"/>
      <c r="S196" s="1" t="s">
        <v>40</v>
      </c>
      <c r="U196" s="19">
        <v>13.6133165359497</v>
      </c>
      <c r="V196" s="83" t="e">
        <v>#NAME?</v>
      </c>
      <c r="W196" s="20" t="e">
        <f t="shared" si="15"/>
        <v>#NAME?</v>
      </c>
      <c r="X196" s="20" t="e">
        <f t="shared" si="16"/>
        <v>#NAME?</v>
      </c>
    </row>
    <row r="197" spans="1:25" ht="28" customHeight="1" x14ac:dyDescent="0.15">
      <c r="A197" s="16" t="s">
        <v>593</v>
      </c>
      <c r="B197" s="16" t="s">
        <v>594</v>
      </c>
      <c r="C197" s="17" t="s">
        <v>595</v>
      </c>
      <c r="D197" s="17" t="s">
        <v>596</v>
      </c>
      <c r="E197" s="1" t="s">
        <v>488</v>
      </c>
      <c r="F197" s="1" t="s">
        <v>544</v>
      </c>
      <c r="G197" s="18" t="s">
        <v>38</v>
      </c>
      <c r="H197" s="18"/>
      <c r="I197" s="33" t="s">
        <v>342</v>
      </c>
      <c r="J197" s="18"/>
      <c r="K197" s="33" t="s">
        <v>597</v>
      </c>
      <c r="L197" s="18"/>
      <c r="M197" s="18"/>
      <c r="N197" s="18"/>
      <c r="S197" s="1" t="s">
        <v>40</v>
      </c>
      <c r="U197" s="19">
        <v>27.7546482086182</v>
      </c>
      <c r="V197" s="83" t="e">
        <v>#NAME?</v>
      </c>
      <c r="W197" s="20" t="e">
        <f t="shared" si="15"/>
        <v>#NAME?</v>
      </c>
      <c r="X197" s="20" t="e">
        <f t="shared" si="16"/>
        <v>#NAME?</v>
      </c>
    </row>
    <row r="198" spans="1:25" x14ac:dyDescent="0.15">
      <c r="K198" s="63"/>
      <c r="U198" s="19"/>
      <c r="V198" s="83" t="e">
        <v>#NAME?</v>
      </c>
      <c r="W198" s="20" t="str">
        <f t="shared" si="15"/>
        <v/>
      </c>
      <c r="X198" s="20" t="str">
        <f t="shared" si="16"/>
        <v/>
      </c>
    </row>
    <row r="199" spans="1:25" ht="16" customHeight="1" x14ac:dyDescent="0.15">
      <c r="A199" s="21" t="s">
        <v>598</v>
      </c>
      <c r="B199" s="21" t="s">
        <v>599</v>
      </c>
      <c r="C199" s="22" t="s">
        <v>600</v>
      </c>
      <c r="D199" s="22" t="s">
        <v>601</v>
      </c>
      <c r="E199" s="21" t="s">
        <v>602</v>
      </c>
      <c r="F199" s="21" t="s">
        <v>603</v>
      </c>
      <c r="G199" s="23" t="s">
        <v>38</v>
      </c>
      <c r="H199" s="23" t="s">
        <v>239</v>
      </c>
      <c r="I199" s="23" t="s">
        <v>604</v>
      </c>
      <c r="J199" s="23"/>
      <c r="K199" s="23" t="s">
        <v>605</v>
      </c>
      <c r="L199" s="23" t="s">
        <v>606</v>
      </c>
      <c r="P199" s="21"/>
      <c r="Q199" s="21"/>
      <c r="R199" s="21"/>
      <c r="S199" s="21" t="s">
        <v>52</v>
      </c>
      <c r="T199" s="21"/>
      <c r="U199" s="19">
        <v>17</v>
      </c>
      <c r="V199" s="83" t="e">
        <v>#NAME?</v>
      </c>
      <c r="W199" s="20" t="e">
        <f t="shared" si="15"/>
        <v>#NAME?</v>
      </c>
      <c r="X199" s="20" t="str">
        <f t="shared" si="16"/>
        <v/>
      </c>
    </row>
    <row r="200" spans="1:25" x14ac:dyDescent="0.15">
      <c r="K200" s="63"/>
      <c r="U200" s="19"/>
      <c r="V200" s="83" t="e">
        <v>#NAME?</v>
      </c>
      <c r="W200" s="20" t="str">
        <f t="shared" si="15"/>
        <v/>
      </c>
      <c r="X200" s="20" t="str">
        <f t="shared" si="16"/>
        <v/>
      </c>
    </row>
    <row r="201" spans="1:25" ht="15" customHeight="1" thickBot="1" x14ac:dyDescent="0.2">
      <c r="A201" s="64" t="s">
        <v>90</v>
      </c>
      <c r="B201" s="64"/>
      <c r="C201" s="65"/>
      <c r="D201" s="65"/>
      <c r="E201" s="64"/>
      <c r="F201" s="64"/>
      <c r="G201" s="66"/>
      <c r="H201" s="66"/>
      <c r="I201" s="66"/>
      <c r="J201" s="66"/>
      <c r="K201" s="66"/>
      <c r="L201" s="66"/>
      <c r="M201" s="66"/>
      <c r="N201" s="66"/>
      <c r="U201" s="19"/>
      <c r="W201" s="20" t="str">
        <f t="shared" si="15"/>
        <v/>
      </c>
      <c r="X201" s="20" t="str">
        <f t="shared" si="16"/>
        <v/>
      </c>
    </row>
    <row r="202" spans="1:25" ht="16" customHeight="1" thickTop="1" x14ac:dyDescent="0.15">
      <c r="A202" s="37" t="s">
        <v>61</v>
      </c>
      <c r="B202" s="37" t="s">
        <v>607</v>
      </c>
      <c r="C202" s="38" t="s">
        <v>608</v>
      </c>
      <c r="D202" s="38" t="s">
        <v>609</v>
      </c>
      <c r="E202" s="37"/>
      <c r="F202" s="37"/>
      <c r="G202" s="39" t="s">
        <v>56</v>
      </c>
      <c r="H202" s="39"/>
      <c r="I202" s="39"/>
      <c r="J202" s="39"/>
      <c r="K202" s="39" t="s">
        <v>610</v>
      </c>
      <c r="L202" s="39"/>
      <c r="M202" s="39"/>
      <c r="N202" s="39"/>
      <c r="O202" s="40"/>
      <c r="P202" s="40"/>
      <c r="Q202" s="40"/>
      <c r="R202" s="40"/>
      <c r="S202" s="1" t="s">
        <v>40</v>
      </c>
      <c r="T202" s="40"/>
      <c r="U202" s="19"/>
      <c r="W202" s="20" t="str">
        <f t="shared" si="15"/>
        <v/>
      </c>
      <c r="X202" s="20" t="str">
        <f t="shared" si="16"/>
        <v/>
      </c>
      <c r="Y202" s="41"/>
    </row>
    <row r="203" spans="1:25" x14ac:dyDescent="0.15">
      <c r="A203" s="40"/>
      <c r="B203" s="40"/>
      <c r="C203" s="77"/>
      <c r="D203" s="77"/>
      <c r="E203" s="40"/>
      <c r="F203" s="40"/>
      <c r="G203" s="78"/>
      <c r="H203" s="78"/>
      <c r="I203" s="78"/>
      <c r="J203" s="78"/>
      <c r="K203" s="78"/>
      <c r="L203" s="78"/>
      <c r="M203" s="78"/>
      <c r="N203" s="78"/>
      <c r="O203" s="40"/>
      <c r="P203" s="40"/>
      <c r="Q203" s="40"/>
      <c r="R203" s="40"/>
      <c r="T203" s="40"/>
      <c r="U203" s="19"/>
      <c r="V203" s="83" t="e">
        <v>#NAME?</v>
      </c>
      <c r="W203" s="20" t="str">
        <f t="shared" si="15"/>
        <v/>
      </c>
      <c r="X203" s="20" t="str">
        <f t="shared" si="16"/>
        <v/>
      </c>
      <c r="Y203" s="41"/>
    </row>
    <row r="204" spans="1:25" ht="28" customHeight="1" x14ac:dyDescent="0.15">
      <c r="A204" s="16" t="s">
        <v>611</v>
      </c>
      <c r="B204" s="16" t="s">
        <v>612</v>
      </c>
      <c r="C204" s="17" t="s">
        <v>613</v>
      </c>
      <c r="D204" s="17" t="s">
        <v>614</v>
      </c>
      <c r="E204" s="82"/>
      <c r="F204" s="82"/>
      <c r="G204" s="18" t="s">
        <v>38</v>
      </c>
      <c r="H204" s="18" t="s">
        <v>239</v>
      </c>
      <c r="I204" s="39"/>
      <c r="J204" s="39"/>
      <c r="K204" s="39"/>
      <c r="L204" s="39"/>
      <c r="M204" s="39"/>
      <c r="N204" s="39"/>
      <c r="O204" s="40"/>
      <c r="P204" s="40"/>
      <c r="Q204" s="40"/>
      <c r="R204" s="40"/>
      <c r="S204" s="1" t="s">
        <v>40</v>
      </c>
      <c r="T204" s="40"/>
      <c r="U204" s="19">
        <v>13.9993906021118</v>
      </c>
      <c r="V204" s="83" t="e">
        <v>#NAME?</v>
      </c>
      <c r="W204" s="20" t="e">
        <f t="shared" si="15"/>
        <v>#NAME?</v>
      </c>
      <c r="X204" s="20" t="e">
        <f t="shared" si="16"/>
        <v>#NAME?</v>
      </c>
      <c r="Y204" s="41"/>
    </row>
    <row r="205" spans="1:25" x14ac:dyDescent="0.15">
      <c r="A205" s="16" t="s">
        <v>24</v>
      </c>
      <c r="B205" s="16" t="s">
        <v>615</v>
      </c>
      <c r="C205" s="17"/>
      <c r="D205" s="17"/>
      <c r="G205" s="18"/>
      <c r="H205" s="18"/>
      <c r="I205" s="18"/>
      <c r="J205" s="18"/>
      <c r="K205" s="18"/>
      <c r="L205" s="18"/>
      <c r="M205" s="18"/>
      <c r="N205" s="18" t="s">
        <v>616</v>
      </c>
      <c r="S205" s="1" t="s">
        <v>40</v>
      </c>
      <c r="U205" s="19"/>
      <c r="V205" s="83" t="e">
        <v>#NAME?</v>
      </c>
      <c r="W205" s="20" t="str">
        <f t="shared" si="15"/>
        <v/>
      </c>
      <c r="X205" s="20" t="str">
        <f t="shared" si="16"/>
        <v/>
      </c>
    </row>
    <row r="206" spans="1:25" x14ac:dyDescent="0.15">
      <c r="U206" s="19"/>
      <c r="V206" s="83" t="e">
        <v>#NAME?</v>
      </c>
      <c r="W206" s="20" t="str">
        <f t="shared" si="15"/>
        <v/>
      </c>
      <c r="X206" s="20" t="str">
        <f t="shared" si="16"/>
        <v/>
      </c>
    </row>
    <row r="207" spans="1:25" ht="28" customHeight="1" x14ac:dyDescent="0.15">
      <c r="A207" s="16" t="s">
        <v>162</v>
      </c>
      <c r="B207" s="16" t="s">
        <v>617</v>
      </c>
      <c r="C207" s="17" t="s">
        <v>618</v>
      </c>
      <c r="D207" s="17" t="s">
        <v>619</v>
      </c>
      <c r="G207" s="18" t="s">
        <v>38</v>
      </c>
      <c r="H207" s="18"/>
      <c r="I207" s="18"/>
      <c r="J207" s="18"/>
      <c r="K207" s="18"/>
      <c r="L207" s="18"/>
      <c r="M207" s="18"/>
      <c r="N207" s="18"/>
      <c r="S207" s="1" t="s">
        <v>40</v>
      </c>
      <c r="U207" s="19">
        <v>10.252794265747101</v>
      </c>
      <c r="V207" s="83" t="e">
        <v>#NAME?</v>
      </c>
      <c r="W207" s="20" t="e">
        <f t="shared" si="15"/>
        <v>#NAME?</v>
      </c>
      <c r="X207" s="20" t="e">
        <f t="shared" si="16"/>
        <v>#NAME?</v>
      </c>
    </row>
    <row r="208" spans="1:25" ht="28" customHeight="1" x14ac:dyDescent="0.15">
      <c r="A208" s="16" t="s">
        <v>620</v>
      </c>
      <c r="B208" s="16" t="s">
        <v>621</v>
      </c>
      <c r="C208" s="17" t="s">
        <v>622</v>
      </c>
      <c r="D208" s="17" t="s">
        <v>623</v>
      </c>
      <c r="E208" s="1" t="s">
        <v>488</v>
      </c>
      <c r="F208" s="1" t="s">
        <v>544</v>
      </c>
      <c r="G208" s="18" t="s">
        <v>38</v>
      </c>
      <c r="H208" s="18"/>
      <c r="I208" s="33" t="s">
        <v>342</v>
      </c>
      <c r="J208" s="33"/>
      <c r="K208" s="33" t="s">
        <v>624</v>
      </c>
      <c r="L208" s="18"/>
      <c r="M208" s="18"/>
      <c r="N208" s="18"/>
      <c r="S208" s="1" t="s">
        <v>40</v>
      </c>
      <c r="U208" s="19">
        <v>24.194343566894499</v>
      </c>
      <c r="V208" s="83" t="e">
        <v>#NAME?</v>
      </c>
      <c r="W208" s="20" t="e">
        <f t="shared" si="15"/>
        <v>#NAME?</v>
      </c>
      <c r="X208" s="20" t="e">
        <f t="shared" si="16"/>
        <v>#NAME?</v>
      </c>
    </row>
    <row r="209" spans="1:25" x14ac:dyDescent="0.15">
      <c r="K209" s="63"/>
      <c r="U209" s="19"/>
      <c r="V209" s="83" t="e">
        <v>#NAME?</v>
      </c>
      <c r="W209" s="20" t="str">
        <f t="shared" si="15"/>
        <v/>
      </c>
      <c r="X209" s="20" t="str">
        <f t="shared" si="16"/>
        <v/>
      </c>
    </row>
    <row r="210" spans="1:25" ht="32" customHeight="1" x14ac:dyDescent="0.15">
      <c r="A210" s="16" t="s">
        <v>277</v>
      </c>
      <c r="B210" s="16" t="s">
        <v>625</v>
      </c>
      <c r="C210" s="32" t="s">
        <v>626</v>
      </c>
      <c r="D210" s="50" t="s">
        <v>627</v>
      </c>
      <c r="E210" s="16" t="s">
        <v>549</v>
      </c>
      <c r="F210" s="82" t="s">
        <v>628</v>
      </c>
      <c r="G210" s="18" t="s">
        <v>38</v>
      </c>
      <c r="H210" s="18"/>
      <c r="I210" s="18"/>
      <c r="J210" s="18"/>
      <c r="K210" s="33"/>
      <c r="L210" s="18"/>
      <c r="M210" s="18"/>
      <c r="N210" s="18"/>
      <c r="S210" s="1" t="s">
        <v>40</v>
      </c>
      <c r="U210" s="19">
        <v>19.3217372894287</v>
      </c>
      <c r="V210" s="83" t="e">
        <v>#NAME?</v>
      </c>
      <c r="W210" s="20" t="e">
        <f t="shared" si="15"/>
        <v>#NAME?</v>
      </c>
      <c r="X210" s="20" t="e">
        <f t="shared" si="16"/>
        <v>#NAME?</v>
      </c>
    </row>
    <row r="211" spans="1:25" x14ac:dyDescent="0.15">
      <c r="C211" s="54"/>
      <c r="D211" s="54"/>
      <c r="K211" s="63"/>
      <c r="U211" s="19"/>
      <c r="V211" s="83" t="e">
        <v>#NAME?</v>
      </c>
      <c r="W211" s="20" t="str">
        <f t="shared" si="15"/>
        <v/>
      </c>
      <c r="X211" s="20" t="str">
        <f t="shared" si="16"/>
        <v/>
      </c>
    </row>
    <row r="212" spans="1:25" ht="15" customHeight="1" thickBot="1" x14ac:dyDescent="0.2">
      <c r="A212" s="64" t="s">
        <v>90</v>
      </c>
      <c r="B212" s="64"/>
      <c r="C212" s="65"/>
      <c r="D212" s="65"/>
      <c r="E212" s="64"/>
      <c r="F212" s="64"/>
      <c r="G212" s="66"/>
      <c r="H212" s="66"/>
      <c r="I212" s="66"/>
      <c r="J212" s="66"/>
      <c r="K212" s="66"/>
      <c r="L212" s="66"/>
      <c r="M212" s="66"/>
      <c r="N212" s="66"/>
      <c r="U212" s="19"/>
      <c r="W212" s="20" t="str">
        <f t="shared" si="15"/>
        <v/>
      </c>
      <c r="X212" s="20" t="str">
        <f t="shared" si="16"/>
        <v/>
      </c>
    </row>
    <row r="213" spans="1:25" ht="16" customHeight="1" thickTop="1" x14ac:dyDescent="0.15">
      <c r="A213" s="37" t="s">
        <v>61</v>
      </c>
      <c r="B213" s="37" t="s">
        <v>629</v>
      </c>
      <c r="C213" s="38" t="s">
        <v>630</v>
      </c>
      <c r="D213" s="38" t="s">
        <v>631</v>
      </c>
      <c r="E213" s="37"/>
      <c r="F213" s="37"/>
      <c r="G213" s="39" t="s">
        <v>56</v>
      </c>
      <c r="H213" s="39"/>
      <c r="I213" s="39"/>
      <c r="J213" s="39"/>
      <c r="K213" s="39" t="s">
        <v>632</v>
      </c>
      <c r="L213" s="39"/>
      <c r="M213" s="39"/>
      <c r="N213" s="39"/>
      <c r="O213" s="40"/>
      <c r="P213" s="40"/>
      <c r="Q213" s="40"/>
      <c r="R213" s="40"/>
      <c r="S213" s="1" t="s">
        <v>40</v>
      </c>
      <c r="T213" s="40"/>
      <c r="U213" s="19"/>
      <c r="V213" s="41"/>
      <c r="W213" s="20" t="str">
        <f t="shared" ref="W213:W244" si="17">IF(U213&lt;&gt;"",U213*V213,"")</f>
        <v/>
      </c>
      <c r="X213" s="20" t="str">
        <f t="shared" ref="X213:X244" si="18">IF(AND(U213&lt;&gt;"",S213="yes"),U213*V213,"")</f>
        <v/>
      </c>
      <c r="Y213" s="41"/>
    </row>
    <row r="214" spans="1:25" ht="48" customHeight="1" x14ac:dyDescent="0.15">
      <c r="A214" s="31" t="s">
        <v>64</v>
      </c>
      <c r="B214" s="31" t="s">
        <v>633</v>
      </c>
      <c r="C214" s="32" t="s">
        <v>634</v>
      </c>
      <c r="D214" s="32" t="s">
        <v>635</v>
      </c>
      <c r="E214" s="6"/>
      <c r="F214" s="6"/>
      <c r="G214" s="33"/>
      <c r="H214" s="33"/>
      <c r="I214" s="33"/>
      <c r="J214" s="33"/>
      <c r="K214" s="33"/>
      <c r="L214" s="33"/>
      <c r="M214" s="33"/>
      <c r="N214" s="33"/>
      <c r="O214" s="6"/>
      <c r="P214" s="6"/>
      <c r="Q214" s="6"/>
      <c r="R214" s="6"/>
      <c r="S214" s="6" t="s">
        <v>40</v>
      </c>
      <c r="T214" s="6"/>
      <c r="U214" s="19">
        <v>7.5</v>
      </c>
      <c r="V214" s="83" t="e">
        <v>#NAME?</v>
      </c>
      <c r="W214" s="20" t="e">
        <f t="shared" si="17"/>
        <v>#NAME?</v>
      </c>
      <c r="X214" s="20" t="e">
        <f t="shared" si="18"/>
        <v>#NAME?</v>
      </c>
    </row>
    <row r="215" spans="1:25" x14ac:dyDescent="0.15">
      <c r="A215" s="40"/>
      <c r="B215" s="40"/>
      <c r="C215" s="77"/>
      <c r="D215" s="54"/>
      <c r="E215" s="40"/>
      <c r="F215" s="40"/>
      <c r="G215" s="78"/>
      <c r="H215" s="78"/>
      <c r="I215" s="78"/>
      <c r="J215" s="78"/>
      <c r="K215" s="78"/>
      <c r="L215" s="78"/>
      <c r="M215" s="78"/>
      <c r="N215" s="78"/>
      <c r="O215" s="40"/>
      <c r="P215" s="40"/>
      <c r="Q215" s="40"/>
      <c r="R215" s="40"/>
      <c r="T215" s="40"/>
      <c r="U215" s="19"/>
      <c r="V215" s="83" t="e">
        <v>#NAME?</v>
      </c>
      <c r="W215" s="20" t="str">
        <f t="shared" si="17"/>
        <v/>
      </c>
      <c r="X215" s="20" t="str">
        <f t="shared" si="18"/>
        <v/>
      </c>
      <c r="Y215" s="41"/>
    </row>
    <row r="216" spans="1:25" ht="16" customHeight="1" x14ac:dyDescent="0.15">
      <c r="A216" s="16" t="s">
        <v>636</v>
      </c>
      <c r="B216" s="16" t="s">
        <v>637</v>
      </c>
      <c r="C216" s="17" t="s">
        <v>638</v>
      </c>
      <c r="D216" s="32" t="s">
        <v>639</v>
      </c>
      <c r="E216" s="1" t="s">
        <v>640</v>
      </c>
      <c r="F216" s="1" t="s">
        <v>450</v>
      </c>
      <c r="G216" s="18" t="s">
        <v>38</v>
      </c>
      <c r="H216" s="18"/>
      <c r="I216" s="18" t="s">
        <v>342</v>
      </c>
      <c r="J216" s="18"/>
      <c r="K216" s="18"/>
      <c r="L216" s="18"/>
      <c r="M216" s="18"/>
      <c r="N216" s="18"/>
      <c r="S216" s="1" t="s">
        <v>40</v>
      </c>
      <c r="U216" s="19">
        <v>19.090116500854499</v>
      </c>
      <c r="V216" s="83" t="e">
        <v>#NAME?</v>
      </c>
      <c r="W216" s="20" t="e">
        <f t="shared" si="17"/>
        <v>#NAME?</v>
      </c>
      <c r="X216" s="20" t="e">
        <f t="shared" si="18"/>
        <v>#NAME?</v>
      </c>
    </row>
    <row r="217" spans="1:25" x14ac:dyDescent="0.15">
      <c r="D217" s="54"/>
      <c r="U217" s="19"/>
      <c r="V217" s="83" t="e">
        <v>#NAME?</v>
      </c>
      <c r="W217" s="20" t="str">
        <f t="shared" si="17"/>
        <v/>
      </c>
      <c r="X217" s="20" t="str">
        <f t="shared" si="18"/>
        <v/>
      </c>
    </row>
    <row r="218" spans="1:25" ht="48" customHeight="1" x14ac:dyDescent="0.15">
      <c r="A218" s="16" t="s">
        <v>277</v>
      </c>
      <c r="B218" s="16" t="s">
        <v>641</v>
      </c>
      <c r="C218" s="17" t="s">
        <v>642</v>
      </c>
      <c r="D218" s="32" t="s">
        <v>643</v>
      </c>
      <c r="G218" s="18" t="s">
        <v>38</v>
      </c>
      <c r="H218" s="18"/>
      <c r="I218" s="18"/>
      <c r="J218" s="18"/>
      <c r="K218" s="18"/>
      <c r="L218" s="18"/>
      <c r="M218" s="18"/>
      <c r="N218" s="18"/>
      <c r="S218" s="1" t="s">
        <v>40</v>
      </c>
      <c r="U218" s="19">
        <v>17.656976699829102</v>
      </c>
      <c r="V218" s="83" t="e">
        <v>#NAME?</v>
      </c>
      <c r="W218" s="20" t="e">
        <f t="shared" si="17"/>
        <v>#NAME?</v>
      </c>
      <c r="X218" s="20" t="e">
        <f t="shared" si="18"/>
        <v>#NAME?</v>
      </c>
    </row>
    <row r="219" spans="1:25" x14ac:dyDescent="0.15">
      <c r="D219" s="54"/>
      <c r="U219" s="19"/>
      <c r="V219" s="83" t="e">
        <v>#NAME?</v>
      </c>
      <c r="W219" s="20" t="str">
        <f t="shared" si="17"/>
        <v/>
      </c>
      <c r="X219" s="20" t="str">
        <f t="shared" si="18"/>
        <v/>
      </c>
    </row>
    <row r="220" spans="1:25" ht="32" customHeight="1" x14ac:dyDescent="0.15">
      <c r="A220" s="16" t="s">
        <v>162</v>
      </c>
      <c r="B220" s="16" t="s">
        <v>644</v>
      </c>
      <c r="C220" s="17" t="s">
        <v>645</v>
      </c>
      <c r="D220" s="32" t="s">
        <v>646</v>
      </c>
      <c r="G220" s="18" t="s">
        <v>38</v>
      </c>
      <c r="H220" s="18"/>
      <c r="I220" s="18"/>
      <c r="J220" s="18"/>
      <c r="K220" s="18"/>
      <c r="L220" s="18"/>
      <c r="M220" s="18"/>
      <c r="N220" s="18"/>
      <c r="S220" s="1" t="s">
        <v>40</v>
      </c>
      <c r="U220" s="70">
        <v>8.7647056579589808</v>
      </c>
      <c r="V220" s="83" t="e">
        <v>#NAME?</v>
      </c>
      <c r="W220" s="20" t="e">
        <f t="shared" si="17"/>
        <v>#NAME?</v>
      </c>
      <c r="X220" s="20" t="e">
        <f t="shared" si="18"/>
        <v>#NAME?</v>
      </c>
    </row>
    <row r="221" spans="1:25" ht="32" customHeight="1" x14ac:dyDescent="0.15">
      <c r="A221" s="16" t="s">
        <v>647</v>
      </c>
      <c r="B221" s="16" t="s">
        <v>648</v>
      </c>
      <c r="C221" s="17" t="s">
        <v>649</v>
      </c>
      <c r="D221" s="32" t="s">
        <v>650</v>
      </c>
      <c r="E221" s="1" t="s">
        <v>488</v>
      </c>
      <c r="F221" s="1" t="s">
        <v>651</v>
      </c>
      <c r="G221" s="18"/>
      <c r="H221" s="18"/>
      <c r="I221" s="33" t="s">
        <v>342</v>
      </c>
      <c r="J221" s="18"/>
      <c r="K221" s="33" t="s">
        <v>652</v>
      </c>
      <c r="L221" s="18"/>
      <c r="M221" s="18"/>
      <c r="N221" s="18"/>
      <c r="S221" s="1" t="s">
        <v>40</v>
      </c>
      <c r="U221" s="70">
        <v>27.9538459777832</v>
      </c>
      <c r="V221" s="83" t="e">
        <v>#NAME?</v>
      </c>
      <c r="W221" s="20" t="e">
        <f t="shared" si="17"/>
        <v>#NAME?</v>
      </c>
      <c r="X221" s="20" t="e">
        <f t="shared" si="18"/>
        <v>#NAME?</v>
      </c>
    </row>
    <row r="222" spans="1:25" ht="16" customHeight="1" x14ac:dyDescent="0.15">
      <c r="A222" s="16" t="s">
        <v>43</v>
      </c>
      <c r="B222" s="16" t="s">
        <v>653</v>
      </c>
      <c r="C222" s="32" t="s">
        <v>433</v>
      </c>
      <c r="E222" s="6" t="s">
        <v>435</v>
      </c>
      <c r="F222" s="21" t="s">
        <v>654</v>
      </c>
      <c r="G222" s="18" t="s">
        <v>38</v>
      </c>
      <c r="H222" s="18"/>
      <c r="I222" s="18"/>
      <c r="J222" s="18"/>
      <c r="K222" s="18" t="s">
        <v>655</v>
      </c>
      <c r="L222" s="18"/>
      <c r="M222" s="18"/>
      <c r="N222" s="18"/>
      <c r="S222" s="1" t="s">
        <v>40</v>
      </c>
      <c r="U222" s="19"/>
      <c r="V222" s="83" t="e">
        <v>#NAME?</v>
      </c>
      <c r="W222" s="20" t="str">
        <f t="shared" si="17"/>
        <v/>
      </c>
      <c r="X222" s="20" t="str">
        <f t="shared" si="18"/>
        <v/>
      </c>
    </row>
    <row r="223" spans="1:25" x14ac:dyDescent="0.15">
      <c r="U223" s="19"/>
      <c r="V223" s="83" t="e">
        <v>#NAME?</v>
      </c>
      <c r="W223" s="20" t="str">
        <f t="shared" si="17"/>
        <v/>
      </c>
      <c r="X223" s="20" t="str">
        <f t="shared" si="18"/>
        <v/>
      </c>
    </row>
    <row r="224" spans="1:25" ht="32" customHeight="1" x14ac:dyDescent="0.15">
      <c r="A224" s="21" t="s">
        <v>656</v>
      </c>
      <c r="B224" s="21" t="s">
        <v>657</v>
      </c>
      <c r="C224" s="22" t="s">
        <v>658</v>
      </c>
      <c r="D224" s="22" t="s">
        <v>659</v>
      </c>
      <c r="E224" s="21" t="s">
        <v>640</v>
      </c>
      <c r="F224" s="21" t="s">
        <v>660</v>
      </c>
      <c r="G224" s="23" t="s">
        <v>38</v>
      </c>
      <c r="H224" s="23"/>
      <c r="I224" s="23" t="s">
        <v>342</v>
      </c>
      <c r="J224" s="23"/>
      <c r="K224" s="23" t="s">
        <v>661</v>
      </c>
      <c r="L224" s="23"/>
      <c r="M224" s="23"/>
      <c r="N224" s="23"/>
      <c r="O224" s="21"/>
      <c r="P224" s="21"/>
      <c r="Q224" s="21"/>
      <c r="R224" s="21"/>
      <c r="S224" s="21" t="s">
        <v>52</v>
      </c>
      <c r="T224" s="21"/>
      <c r="U224" s="19">
        <v>21.25</v>
      </c>
      <c r="V224" s="83" t="e">
        <v>#NAME?</v>
      </c>
      <c r="W224" s="20" t="e">
        <f t="shared" si="17"/>
        <v>#NAME?</v>
      </c>
      <c r="X224" s="20" t="str">
        <f t="shared" si="18"/>
        <v/>
      </c>
    </row>
    <row r="225" spans="1:25" ht="16" customHeight="1" x14ac:dyDescent="0.15">
      <c r="A225" s="21" t="s">
        <v>43</v>
      </c>
      <c r="B225" s="21" t="s">
        <v>662</v>
      </c>
      <c r="C225" s="22" t="s">
        <v>433</v>
      </c>
      <c r="D225" s="22" t="s">
        <v>663</v>
      </c>
      <c r="E225" s="21" t="s">
        <v>435</v>
      </c>
      <c r="F225" s="21" t="s">
        <v>654</v>
      </c>
      <c r="G225" s="23" t="s">
        <v>38</v>
      </c>
      <c r="H225" s="23"/>
      <c r="I225" s="23"/>
      <c r="J225" s="23"/>
      <c r="K225" s="23" t="s">
        <v>664</v>
      </c>
      <c r="L225" s="23"/>
      <c r="M225" s="23"/>
      <c r="N225" s="23"/>
      <c r="O225" s="21"/>
      <c r="P225" s="21"/>
      <c r="Q225" s="21"/>
      <c r="R225" s="21"/>
      <c r="S225" s="21" t="s">
        <v>52</v>
      </c>
      <c r="T225" s="21"/>
      <c r="U225" s="19"/>
      <c r="V225" s="83" t="e">
        <v>#NAME?</v>
      </c>
      <c r="W225" s="20" t="str">
        <f t="shared" si="17"/>
        <v/>
      </c>
      <c r="X225" s="20" t="str">
        <f t="shared" si="18"/>
        <v/>
      </c>
    </row>
    <row r="226" spans="1:25" x14ac:dyDescent="0.15">
      <c r="A226" s="21"/>
      <c r="B226" s="21"/>
      <c r="C226" s="22"/>
      <c r="D226" s="22"/>
      <c r="E226" s="21"/>
      <c r="F226" s="21"/>
      <c r="G226" s="23"/>
      <c r="H226" s="23"/>
      <c r="I226" s="23"/>
      <c r="J226" s="23"/>
      <c r="K226" s="23"/>
      <c r="L226" s="23"/>
      <c r="M226" s="23"/>
      <c r="N226" s="23"/>
      <c r="O226" s="21"/>
      <c r="P226" s="21"/>
      <c r="Q226" s="21"/>
      <c r="R226" s="21"/>
      <c r="S226" s="21"/>
      <c r="T226" s="21"/>
      <c r="U226" s="19"/>
      <c r="V226" s="83" t="e">
        <v>#NAME?</v>
      </c>
      <c r="W226" s="20" t="str">
        <f t="shared" si="17"/>
        <v/>
      </c>
      <c r="X226" s="20" t="str">
        <f t="shared" si="18"/>
        <v/>
      </c>
    </row>
    <row r="227" spans="1:25" ht="15" customHeight="1" thickBot="1" x14ac:dyDescent="0.2">
      <c r="A227" s="56" t="s">
        <v>90</v>
      </c>
      <c r="B227" s="56"/>
      <c r="C227" s="57"/>
      <c r="D227" s="57"/>
      <c r="E227" s="56"/>
      <c r="F227" s="56"/>
      <c r="G227" s="58"/>
      <c r="H227" s="58"/>
      <c r="I227" s="58"/>
      <c r="J227" s="58"/>
      <c r="K227" s="58"/>
      <c r="L227" s="58"/>
      <c r="M227" s="58"/>
      <c r="N227" s="58"/>
      <c r="U227" s="19"/>
      <c r="W227" s="20" t="str">
        <f t="shared" si="17"/>
        <v/>
      </c>
      <c r="X227" s="20" t="str">
        <f t="shared" si="18"/>
        <v/>
      </c>
    </row>
    <row r="228" spans="1:25" ht="16" customHeight="1" thickTop="1" x14ac:dyDescent="0.15">
      <c r="A228" s="37" t="s">
        <v>61</v>
      </c>
      <c r="B228" s="37" t="s">
        <v>665</v>
      </c>
      <c r="C228" s="38" t="s">
        <v>666</v>
      </c>
      <c r="D228" s="38" t="s">
        <v>667</v>
      </c>
      <c r="E228" s="37"/>
      <c r="F228" s="37"/>
      <c r="G228" s="39" t="s">
        <v>56</v>
      </c>
      <c r="H228" s="39"/>
      <c r="I228" s="39"/>
      <c r="J228" s="39"/>
      <c r="K228" s="39" t="s">
        <v>668</v>
      </c>
      <c r="L228" s="39"/>
      <c r="M228" s="39"/>
      <c r="N228" s="39"/>
      <c r="O228" s="40"/>
      <c r="P228" s="40"/>
      <c r="Q228" s="40"/>
      <c r="R228" s="40"/>
      <c r="S228" s="1" t="s">
        <v>40</v>
      </c>
      <c r="T228" s="40"/>
      <c r="U228" s="19"/>
      <c r="V228" s="41"/>
      <c r="W228" s="20" t="str">
        <f t="shared" si="17"/>
        <v/>
      </c>
      <c r="X228" s="20" t="str">
        <f t="shared" si="18"/>
        <v/>
      </c>
      <c r="Y228" s="41"/>
    </row>
    <row r="229" spans="1:25" x14ac:dyDescent="0.15">
      <c r="A229" s="40"/>
      <c r="B229" s="40"/>
      <c r="C229" s="77"/>
      <c r="D229" s="77"/>
      <c r="E229" s="40"/>
      <c r="F229" s="40"/>
      <c r="G229" s="78"/>
      <c r="H229" s="78"/>
      <c r="I229" s="78"/>
      <c r="J229" s="78"/>
      <c r="K229" s="78"/>
      <c r="L229" s="78"/>
      <c r="M229" s="78"/>
      <c r="N229" s="78"/>
      <c r="O229" s="40"/>
      <c r="P229" s="40"/>
      <c r="Q229" s="40"/>
      <c r="R229" s="40"/>
      <c r="T229" s="40"/>
      <c r="U229" s="19"/>
      <c r="V229" s="83" t="e">
        <v>#NAME?</v>
      </c>
      <c r="W229" s="20" t="str">
        <f t="shared" si="17"/>
        <v/>
      </c>
      <c r="X229" s="20" t="str">
        <f t="shared" si="18"/>
        <v/>
      </c>
      <c r="Y229" s="41"/>
    </row>
    <row r="230" spans="1:25" ht="28" customHeight="1" x14ac:dyDescent="0.15">
      <c r="A230" s="16" t="s">
        <v>669</v>
      </c>
      <c r="B230" s="16" t="s">
        <v>670</v>
      </c>
      <c r="C230" s="17" t="s">
        <v>671</v>
      </c>
      <c r="D230" s="17" t="s">
        <v>672</v>
      </c>
      <c r="E230" s="16"/>
      <c r="F230" s="16"/>
      <c r="G230" s="18" t="s">
        <v>38</v>
      </c>
      <c r="H230" s="39"/>
      <c r="I230" s="39"/>
      <c r="J230" s="39"/>
      <c r="K230" s="39"/>
      <c r="L230" s="39"/>
      <c r="M230" s="39"/>
      <c r="N230" s="39"/>
      <c r="O230" s="40"/>
      <c r="P230" s="40"/>
      <c r="Q230" s="40"/>
      <c r="R230" s="40"/>
      <c r="S230" s="1" t="s">
        <v>40</v>
      </c>
      <c r="T230" s="40"/>
      <c r="U230" s="19">
        <v>14.384955406189</v>
      </c>
      <c r="V230" s="83" t="e">
        <v>#NAME?</v>
      </c>
      <c r="W230" s="20" t="e">
        <f t="shared" si="17"/>
        <v>#NAME?</v>
      </c>
      <c r="X230" s="20" t="e">
        <f t="shared" si="18"/>
        <v>#NAME?</v>
      </c>
      <c r="Y230" s="41"/>
    </row>
    <row r="231" spans="1:25" x14ac:dyDescent="0.15">
      <c r="A231" s="16" t="s">
        <v>24</v>
      </c>
      <c r="B231" s="16" t="s">
        <v>673</v>
      </c>
      <c r="C231" s="17"/>
      <c r="D231" s="17"/>
      <c r="E231" s="16"/>
      <c r="F231" s="16"/>
      <c r="G231" s="18"/>
      <c r="H231" s="18"/>
      <c r="I231" s="18"/>
      <c r="J231" s="18"/>
      <c r="K231" s="18"/>
      <c r="L231" s="18"/>
      <c r="M231" s="18"/>
      <c r="N231" s="18" t="s">
        <v>674</v>
      </c>
      <c r="S231" s="1" t="s">
        <v>40</v>
      </c>
      <c r="U231" s="19"/>
      <c r="V231" s="83" t="e">
        <v>#NAME?</v>
      </c>
      <c r="W231" s="20" t="str">
        <f t="shared" si="17"/>
        <v/>
      </c>
      <c r="X231" s="20" t="str">
        <f t="shared" si="18"/>
        <v/>
      </c>
    </row>
    <row r="232" spans="1:25" ht="16" customHeight="1" x14ac:dyDescent="0.15">
      <c r="A232" s="16" t="s">
        <v>43</v>
      </c>
      <c r="B232" s="16" t="s">
        <v>675</v>
      </c>
      <c r="C232" s="32" t="s">
        <v>433</v>
      </c>
      <c r="D232" s="17" t="s">
        <v>434</v>
      </c>
      <c r="E232" s="6" t="s">
        <v>435</v>
      </c>
      <c r="F232" s="21" t="s">
        <v>654</v>
      </c>
      <c r="G232" s="18" t="s">
        <v>38</v>
      </c>
      <c r="H232" s="18"/>
      <c r="I232" s="18"/>
      <c r="J232" s="18"/>
      <c r="K232" s="33" t="s">
        <v>676</v>
      </c>
      <c r="L232" s="18"/>
      <c r="M232" s="18"/>
      <c r="N232" s="18"/>
      <c r="S232" s="1" t="s">
        <v>40</v>
      </c>
      <c r="U232" s="19"/>
      <c r="V232" s="83" t="e">
        <v>#NAME?</v>
      </c>
      <c r="W232" s="20" t="str">
        <f t="shared" si="17"/>
        <v/>
      </c>
      <c r="X232" s="20" t="str">
        <f t="shared" si="18"/>
        <v/>
      </c>
    </row>
    <row r="233" spans="1:25" x14ac:dyDescent="0.15">
      <c r="K233" s="63"/>
      <c r="U233" s="19"/>
      <c r="V233" s="83" t="e">
        <v>#NAME?</v>
      </c>
      <c r="W233" s="20" t="str">
        <f t="shared" si="17"/>
        <v/>
      </c>
      <c r="X233" s="20" t="str">
        <f t="shared" si="18"/>
        <v/>
      </c>
    </row>
    <row r="234" spans="1:25" ht="28" customHeight="1" x14ac:dyDescent="0.15">
      <c r="A234" s="16" t="s">
        <v>162</v>
      </c>
      <c r="B234" s="16" t="s">
        <v>677</v>
      </c>
      <c r="C234" s="17" t="s">
        <v>678</v>
      </c>
      <c r="D234" s="17" t="s">
        <v>679</v>
      </c>
      <c r="E234" s="16"/>
      <c r="F234" s="16"/>
      <c r="G234" s="18" t="s">
        <v>38</v>
      </c>
      <c r="H234" s="18"/>
      <c r="I234" s="18"/>
      <c r="J234" s="18"/>
      <c r="K234" s="18"/>
      <c r="L234" s="18"/>
      <c r="M234" s="18"/>
      <c r="N234" s="18"/>
      <c r="S234" s="1" t="s">
        <v>40</v>
      </c>
      <c r="U234" s="19">
        <v>9.4380531311035192</v>
      </c>
      <c r="V234" s="83" t="e">
        <v>#NAME?</v>
      </c>
      <c r="W234" s="20" t="e">
        <f t="shared" si="17"/>
        <v>#NAME?</v>
      </c>
      <c r="X234" s="20" t="e">
        <f t="shared" si="18"/>
        <v>#NAME?</v>
      </c>
    </row>
    <row r="235" spans="1:25" ht="28" customHeight="1" x14ac:dyDescent="0.15">
      <c r="A235" s="16" t="s">
        <v>680</v>
      </c>
      <c r="B235" s="16" t="s">
        <v>681</v>
      </c>
      <c r="C235" s="17" t="s">
        <v>682</v>
      </c>
      <c r="D235" s="17" t="s">
        <v>683</v>
      </c>
      <c r="E235" s="16" t="s">
        <v>449</v>
      </c>
      <c r="F235" s="16" t="s">
        <v>684</v>
      </c>
      <c r="G235" s="18" t="s">
        <v>38</v>
      </c>
      <c r="H235" s="18"/>
      <c r="I235" s="33" t="s">
        <v>342</v>
      </c>
      <c r="J235" s="18"/>
      <c r="K235" s="33" t="s">
        <v>685</v>
      </c>
      <c r="L235" s="18"/>
      <c r="M235" s="18"/>
      <c r="N235" s="18"/>
      <c r="S235" s="1" t="s">
        <v>40</v>
      </c>
      <c r="U235" s="19">
        <v>27.766990661621101</v>
      </c>
      <c r="V235" s="83" t="e">
        <v>#NAME?</v>
      </c>
      <c r="W235" s="20" t="e">
        <f t="shared" si="17"/>
        <v>#NAME?</v>
      </c>
      <c r="X235" s="20" t="e">
        <f t="shared" si="18"/>
        <v>#NAME?</v>
      </c>
    </row>
    <row r="236" spans="1:25" ht="16" customHeight="1" x14ac:dyDescent="0.15">
      <c r="A236" s="16" t="s">
        <v>43</v>
      </c>
      <c r="B236" s="16" t="s">
        <v>686</v>
      </c>
      <c r="C236" s="32" t="s">
        <v>433</v>
      </c>
      <c r="D236" s="17" t="s">
        <v>434</v>
      </c>
      <c r="E236" s="6" t="s">
        <v>435</v>
      </c>
      <c r="F236" s="21" t="s">
        <v>654</v>
      </c>
      <c r="G236" s="18" t="s">
        <v>38</v>
      </c>
      <c r="H236" s="18"/>
      <c r="I236" s="18"/>
      <c r="J236" s="18"/>
      <c r="K236" s="33" t="s">
        <v>687</v>
      </c>
      <c r="L236" s="18"/>
      <c r="M236" s="18"/>
      <c r="N236" s="18"/>
      <c r="S236" s="1" t="s">
        <v>40</v>
      </c>
      <c r="U236" s="19"/>
      <c r="V236" s="83" t="e">
        <v>#NAME?</v>
      </c>
      <c r="W236" s="20" t="str">
        <f t="shared" si="17"/>
        <v/>
      </c>
      <c r="X236" s="20" t="str">
        <f t="shared" si="18"/>
        <v/>
      </c>
    </row>
    <row r="237" spans="1:25" x14ac:dyDescent="0.15">
      <c r="K237" s="63"/>
      <c r="U237" s="19"/>
      <c r="V237" s="83" t="e">
        <v>#NAME?</v>
      </c>
      <c r="W237" s="20" t="str">
        <f t="shared" si="17"/>
        <v/>
      </c>
      <c r="X237" s="20" t="str">
        <f t="shared" si="18"/>
        <v/>
      </c>
    </row>
    <row r="238" spans="1:25" ht="48" customHeight="1" x14ac:dyDescent="0.15">
      <c r="A238" s="16" t="s">
        <v>277</v>
      </c>
      <c r="B238" s="16" t="s">
        <v>688</v>
      </c>
      <c r="C238" s="32" t="s">
        <v>689</v>
      </c>
      <c r="D238" s="50" t="s">
        <v>690</v>
      </c>
      <c r="E238" s="16" t="s">
        <v>549</v>
      </c>
      <c r="F238" s="16" t="s">
        <v>628</v>
      </c>
      <c r="G238" s="18" t="s">
        <v>38</v>
      </c>
      <c r="H238" s="18"/>
      <c r="I238" s="18"/>
      <c r="J238" s="18"/>
      <c r="K238" s="33"/>
      <c r="L238" s="18"/>
      <c r="M238" s="18"/>
      <c r="N238" s="18"/>
      <c r="S238" s="1" t="s">
        <v>40</v>
      </c>
      <c r="U238" s="19">
        <v>13.705752372741699</v>
      </c>
      <c r="V238" s="83" t="e">
        <v>#NAME?</v>
      </c>
      <c r="W238" s="20" t="e">
        <f t="shared" si="17"/>
        <v>#NAME?</v>
      </c>
      <c r="X238" s="20" t="e">
        <f t="shared" si="18"/>
        <v>#NAME?</v>
      </c>
    </row>
    <row r="239" spans="1:25" x14ac:dyDescent="0.15">
      <c r="C239" s="54"/>
      <c r="D239" s="54"/>
      <c r="K239" s="63"/>
      <c r="U239" s="19"/>
      <c r="V239" s="83" t="e">
        <v>#NAME?</v>
      </c>
      <c r="W239" s="20" t="str">
        <f t="shared" si="17"/>
        <v/>
      </c>
      <c r="X239" s="20" t="str">
        <f t="shared" si="18"/>
        <v/>
      </c>
    </row>
    <row r="240" spans="1:25" ht="15" customHeight="1" thickBot="1" x14ac:dyDescent="0.2">
      <c r="A240" s="64" t="s">
        <v>90</v>
      </c>
      <c r="B240" s="64"/>
      <c r="C240" s="65"/>
      <c r="D240" s="65"/>
      <c r="E240" s="64"/>
      <c r="F240" s="64"/>
      <c r="G240" s="66"/>
      <c r="H240" s="66"/>
      <c r="I240" s="66"/>
      <c r="J240" s="66"/>
      <c r="K240" s="66"/>
      <c r="L240" s="66"/>
      <c r="M240" s="66"/>
      <c r="N240" s="66"/>
      <c r="U240" s="19"/>
      <c r="W240" s="20" t="str">
        <f t="shared" si="17"/>
        <v/>
      </c>
      <c r="X240" s="20" t="str">
        <f t="shared" si="18"/>
        <v/>
      </c>
    </row>
    <row r="241" spans="1:25" ht="16" customHeight="1" thickTop="1" x14ac:dyDescent="0.15">
      <c r="A241" s="37" t="s">
        <v>61</v>
      </c>
      <c r="B241" s="37" t="s">
        <v>691</v>
      </c>
      <c r="C241" s="38" t="s">
        <v>692</v>
      </c>
      <c r="D241" s="38" t="s">
        <v>693</v>
      </c>
      <c r="E241" s="37"/>
      <c r="F241" s="37"/>
      <c r="G241" s="39" t="s">
        <v>56</v>
      </c>
      <c r="H241" s="39"/>
      <c r="I241" s="39"/>
      <c r="J241" s="39"/>
      <c r="K241" s="39" t="s">
        <v>171</v>
      </c>
      <c r="L241" s="39"/>
      <c r="M241" s="39"/>
      <c r="N241" s="39"/>
      <c r="O241" s="40"/>
      <c r="P241" s="40"/>
      <c r="Q241" s="40"/>
      <c r="R241" s="40"/>
      <c r="S241" s="1" t="s">
        <v>40</v>
      </c>
      <c r="T241" s="40"/>
      <c r="U241" s="19"/>
      <c r="V241" s="41"/>
      <c r="W241" s="20" t="str">
        <f t="shared" si="17"/>
        <v/>
      </c>
      <c r="X241" s="20" t="str">
        <f t="shared" si="18"/>
        <v/>
      </c>
      <c r="Y241" s="41"/>
    </row>
    <row r="242" spans="1:25" x14ac:dyDescent="0.15">
      <c r="C242" s="54"/>
      <c r="D242" s="54"/>
      <c r="K242" s="63"/>
      <c r="U242" s="19"/>
      <c r="V242" s="83">
        <v>1</v>
      </c>
      <c r="W242" s="20" t="str">
        <f t="shared" si="17"/>
        <v/>
      </c>
      <c r="X242" s="20" t="str">
        <f t="shared" si="18"/>
        <v/>
      </c>
    </row>
    <row r="243" spans="1:25" ht="42" customHeight="1" x14ac:dyDescent="0.15">
      <c r="A243" s="16" t="s">
        <v>64</v>
      </c>
      <c r="B243" s="16" t="s">
        <v>694</v>
      </c>
      <c r="C243" s="17" t="s">
        <v>695</v>
      </c>
      <c r="D243" s="17" t="s">
        <v>696</v>
      </c>
      <c r="E243" s="40"/>
      <c r="F243" s="40"/>
      <c r="G243" s="39"/>
      <c r="H243" s="39"/>
      <c r="I243" s="39"/>
      <c r="J243" s="39"/>
      <c r="K243" s="39"/>
      <c r="L243" s="39"/>
      <c r="M243" s="39"/>
      <c r="N243" s="39"/>
      <c r="O243" s="40"/>
      <c r="P243" s="40"/>
      <c r="Q243" s="40"/>
      <c r="R243" s="40"/>
      <c r="S243" s="1" t="s">
        <v>52</v>
      </c>
      <c r="T243" s="40"/>
      <c r="U243" s="19"/>
      <c r="V243" s="88">
        <v>1</v>
      </c>
      <c r="W243" s="20" t="str">
        <f t="shared" si="17"/>
        <v/>
      </c>
      <c r="X243" s="20" t="str">
        <f t="shared" si="18"/>
        <v/>
      </c>
      <c r="Y243" s="41"/>
    </row>
    <row r="244" spans="1:25" x14ac:dyDescent="0.15">
      <c r="C244" s="54"/>
      <c r="D244" s="54"/>
      <c r="K244" s="63"/>
      <c r="U244" s="19"/>
      <c r="V244" s="83">
        <v>1</v>
      </c>
      <c r="W244" s="20" t="str">
        <f t="shared" si="17"/>
        <v/>
      </c>
      <c r="X244" s="20" t="str">
        <f t="shared" si="18"/>
        <v/>
      </c>
    </row>
    <row r="245" spans="1:25" ht="16" customHeight="1" x14ac:dyDescent="0.15">
      <c r="A245" s="16" t="s">
        <v>61</v>
      </c>
      <c r="B245" s="16" t="s">
        <v>697</v>
      </c>
      <c r="C245" s="38" t="s">
        <v>698</v>
      </c>
      <c r="D245" s="38" t="s">
        <v>698</v>
      </c>
      <c r="E245" s="37"/>
      <c r="F245" s="37"/>
      <c r="G245" s="39"/>
      <c r="H245" s="39"/>
      <c r="I245" s="39"/>
      <c r="J245" s="39"/>
      <c r="K245" s="39"/>
      <c r="L245" s="39"/>
      <c r="M245" s="39"/>
      <c r="N245" s="39"/>
      <c r="O245" s="40"/>
      <c r="P245" s="40"/>
      <c r="Q245" s="40"/>
      <c r="R245" s="40"/>
      <c r="T245" s="40"/>
      <c r="U245" s="19"/>
      <c r="V245" s="88">
        <v>1</v>
      </c>
      <c r="W245" s="20" t="str">
        <f t="shared" ref="W245:W276" si="19">IF(U245&lt;&gt;"",U245*V245,"")</f>
        <v/>
      </c>
      <c r="X245" s="20" t="str">
        <f t="shared" ref="X245:X261" si="20">IF(AND(U245&lt;&gt;"",S245="yes"),U245*V245,"")</f>
        <v/>
      </c>
      <c r="Y245" s="41"/>
    </row>
    <row r="246" spans="1:25" ht="28" customHeight="1" x14ac:dyDescent="0.15">
      <c r="A246" s="16" t="s">
        <v>64</v>
      </c>
      <c r="B246" s="16" t="s">
        <v>699</v>
      </c>
      <c r="C246" s="17" t="s">
        <v>700</v>
      </c>
      <c r="D246" s="17" t="s">
        <v>701</v>
      </c>
      <c r="E246" s="16"/>
      <c r="F246" s="16"/>
      <c r="G246" s="18" t="s">
        <v>56</v>
      </c>
      <c r="H246" s="18"/>
      <c r="I246" s="18"/>
      <c r="J246" s="18"/>
      <c r="K246" s="18"/>
      <c r="L246" s="18"/>
      <c r="M246" s="18"/>
      <c r="N246" s="18"/>
      <c r="S246" s="1" t="s">
        <v>40</v>
      </c>
      <c r="U246" s="19">
        <v>12.776903152465801</v>
      </c>
      <c r="V246" s="88">
        <v>1</v>
      </c>
      <c r="W246" s="20">
        <f t="shared" si="19"/>
        <v>12.776903152465801</v>
      </c>
      <c r="X246" s="20">
        <f t="shared" si="20"/>
        <v>12.776903152465801</v>
      </c>
    </row>
    <row r="247" spans="1:25" ht="48" customHeight="1" x14ac:dyDescent="0.15">
      <c r="A247" s="16" t="s">
        <v>162</v>
      </c>
      <c r="B247" s="16" t="s">
        <v>702</v>
      </c>
      <c r="C247" s="50" t="s">
        <v>703</v>
      </c>
      <c r="D247" s="50" t="s">
        <v>704</v>
      </c>
      <c r="E247" s="16"/>
      <c r="F247" s="16"/>
      <c r="G247" s="18" t="s">
        <v>38</v>
      </c>
      <c r="H247" s="18"/>
      <c r="I247" s="18"/>
      <c r="J247" s="18"/>
      <c r="K247" s="18"/>
      <c r="L247" s="18"/>
      <c r="M247" s="18"/>
      <c r="N247" s="18"/>
      <c r="S247" s="1" t="s">
        <v>40</v>
      </c>
      <c r="U247" s="19">
        <v>21.398605346679702</v>
      </c>
      <c r="V247" s="88">
        <v>1</v>
      </c>
      <c r="W247" s="20">
        <f t="shared" si="19"/>
        <v>21.398605346679702</v>
      </c>
      <c r="X247" s="20">
        <f t="shared" si="20"/>
        <v>21.398605346679702</v>
      </c>
    </row>
    <row r="248" spans="1:25" ht="48" customHeight="1" x14ac:dyDescent="0.15">
      <c r="A248" s="16" t="s">
        <v>162</v>
      </c>
      <c r="B248" s="16" t="s">
        <v>705</v>
      </c>
      <c r="C248" s="50" t="s">
        <v>706</v>
      </c>
      <c r="D248" s="50" t="s">
        <v>707</v>
      </c>
      <c r="E248" s="16"/>
      <c r="F248" s="16"/>
      <c r="G248" s="18" t="s">
        <v>38</v>
      </c>
      <c r="H248" s="18"/>
      <c r="I248" s="18"/>
      <c r="J248" s="18"/>
      <c r="K248" s="18"/>
      <c r="L248" s="18"/>
      <c r="M248" s="18"/>
      <c r="N248" s="18"/>
      <c r="S248" s="1" t="s">
        <v>40</v>
      </c>
      <c r="U248" s="19">
        <v>14.980740547180201</v>
      </c>
      <c r="V248" s="88">
        <v>1</v>
      </c>
      <c r="W248" s="20">
        <f t="shared" si="19"/>
        <v>14.980740547180201</v>
      </c>
      <c r="X248" s="20">
        <f t="shared" si="20"/>
        <v>14.980740547180201</v>
      </c>
    </row>
    <row r="249" spans="1:25" ht="48" customHeight="1" x14ac:dyDescent="0.15">
      <c r="A249" s="16" t="s">
        <v>162</v>
      </c>
      <c r="B249" s="16" t="s">
        <v>708</v>
      </c>
      <c r="C249" s="50" t="s">
        <v>709</v>
      </c>
      <c r="D249" s="50" t="s">
        <v>710</v>
      </c>
      <c r="E249" s="16"/>
      <c r="F249" s="16"/>
      <c r="G249" s="18" t="s">
        <v>38</v>
      </c>
      <c r="H249" s="18"/>
      <c r="I249" s="18"/>
      <c r="J249" s="18"/>
      <c r="K249" s="18"/>
      <c r="L249" s="18"/>
      <c r="M249" s="18"/>
      <c r="N249" s="18"/>
      <c r="S249" s="1" t="s">
        <v>40</v>
      </c>
      <c r="U249" s="19">
        <v>13.7230215072632</v>
      </c>
      <c r="V249" s="88">
        <v>1</v>
      </c>
      <c r="W249" s="20">
        <f t="shared" si="19"/>
        <v>13.7230215072632</v>
      </c>
      <c r="X249" s="20">
        <f t="shared" si="20"/>
        <v>13.7230215072632</v>
      </c>
    </row>
    <row r="250" spans="1:25" ht="48" customHeight="1" x14ac:dyDescent="0.15">
      <c r="A250" s="16" t="s">
        <v>162</v>
      </c>
      <c r="B250" s="16" t="s">
        <v>711</v>
      </c>
      <c r="C250" s="50" t="s">
        <v>712</v>
      </c>
      <c r="D250" s="50" t="s">
        <v>713</v>
      </c>
      <c r="E250" s="16"/>
      <c r="F250" s="16"/>
      <c r="G250" s="18" t="s">
        <v>38</v>
      </c>
      <c r="H250" s="18"/>
      <c r="I250" s="18"/>
      <c r="J250" s="18"/>
      <c r="K250" s="18"/>
      <c r="L250" s="18"/>
      <c r="M250" s="18"/>
      <c r="N250" s="18"/>
      <c r="S250" s="1" t="s">
        <v>40</v>
      </c>
      <c r="U250" s="19">
        <v>13.0622005462646</v>
      </c>
      <c r="V250" s="88">
        <v>1</v>
      </c>
      <c r="W250" s="20">
        <f t="shared" si="19"/>
        <v>13.0622005462646</v>
      </c>
      <c r="X250" s="20">
        <f t="shared" si="20"/>
        <v>13.0622005462646</v>
      </c>
    </row>
    <row r="251" spans="1:25" ht="48" customHeight="1" x14ac:dyDescent="0.15">
      <c r="A251" s="16" t="s">
        <v>162</v>
      </c>
      <c r="B251" s="16" t="s">
        <v>714</v>
      </c>
      <c r="C251" s="50" t="s">
        <v>715</v>
      </c>
      <c r="D251" s="50" t="s">
        <v>716</v>
      </c>
      <c r="E251" s="16"/>
      <c r="F251" s="16"/>
      <c r="G251" s="18" t="s">
        <v>38</v>
      </c>
      <c r="H251" s="18"/>
      <c r="I251" s="18"/>
      <c r="J251" s="18"/>
      <c r="K251" s="18"/>
      <c r="L251" s="18"/>
      <c r="M251" s="18"/>
      <c r="N251" s="18"/>
      <c r="S251" s="1" t="s">
        <v>40</v>
      </c>
      <c r="U251" s="19">
        <v>13.095323562622101</v>
      </c>
      <c r="V251" s="88">
        <v>1</v>
      </c>
      <c r="W251" s="20">
        <f t="shared" si="19"/>
        <v>13.095323562622101</v>
      </c>
      <c r="X251" s="20">
        <f t="shared" si="20"/>
        <v>13.095323562622101</v>
      </c>
    </row>
    <row r="252" spans="1:25" ht="48" customHeight="1" x14ac:dyDescent="0.15">
      <c r="A252" s="16" t="s">
        <v>162</v>
      </c>
      <c r="B252" s="16" t="s">
        <v>717</v>
      </c>
      <c r="C252" s="50" t="s">
        <v>718</v>
      </c>
      <c r="D252" s="50" t="s">
        <v>719</v>
      </c>
      <c r="E252" s="16"/>
      <c r="F252" s="16"/>
      <c r="G252" s="18" t="s">
        <v>38</v>
      </c>
      <c r="H252" s="18"/>
      <c r="I252" s="18"/>
      <c r="J252" s="18"/>
      <c r="K252" s="18"/>
      <c r="L252" s="18"/>
      <c r="M252" s="18"/>
      <c r="N252" s="18"/>
      <c r="S252" s="1" t="s">
        <v>40</v>
      </c>
      <c r="U252" s="19">
        <v>16.101019184652301</v>
      </c>
      <c r="V252" s="88">
        <v>1</v>
      </c>
      <c r="W252" s="20">
        <f t="shared" si="19"/>
        <v>16.101019184652301</v>
      </c>
      <c r="X252" s="20">
        <f t="shared" si="20"/>
        <v>16.101019184652301</v>
      </c>
    </row>
    <row r="253" spans="1:25" ht="16" customHeight="1" x14ac:dyDescent="0.15">
      <c r="A253" s="31" t="s">
        <v>720</v>
      </c>
      <c r="B253" s="31" t="s">
        <v>721</v>
      </c>
      <c r="C253" s="32" t="s">
        <v>722</v>
      </c>
      <c r="D253" s="17" t="s">
        <v>723</v>
      </c>
      <c r="E253" s="31"/>
      <c r="F253" s="31"/>
      <c r="G253" s="33" t="s">
        <v>38</v>
      </c>
      <c r="H253" s="33"/>
      <c r="I253" s="33"/>
      <c r="J253" s="33"/>
      <c r="K253" s="33" t="s">
        <v>724</v>
      </c>
      <c r="L253" s="33"/>
      <c r="M253" s="33"/>
      <c r="N253" s="33"/>
      <c r="O253" s="6"/>
      <c r="P253" s="6"/>
      <c r="Q253" s="6"/>
      <c r="R253" s="6"/>
      <c r="S253" s="6" t="s">
        <v>40</v>
      </c>
      <c r="T253" s="6"/>
      <c r="U253" s="19">
        <v>11.765043258666999</v>
      </c>
      <c r="V253" s="88">
        <v>1</v>
      </c>
      <c r="W253" s="20">
        <f t="shared" si="19"/>
        <v>11.765043258666999</v>
      </c>
      <c r="X253" s="20">
        <f t="shared" si="20"/>
        <v>11.765043258666999</v>
      </c>
    </row>
    <row r="254" spans="1:25" ht="48" customHeight="1" x14ac:dyDescent="0.15">
      <c r="A254" s="31" t="s">
        <v>162</v>
      </c>
      <c r="B254" s="31" t="s">
        <v>725</v>
      </c>
      <c r="C254" s="32" t="s">
        <v>726</v>
      </c>
      <c r="D254" s="50" t="s">
        <v>727</v>
      </c>
      <c r="E254" s="31"/>
      <c r="F254" s="31"/>
      <c r="G254" s="33" t="s">
        <v>38</v>
      </c>
      <c r="H254" s="33"/>
      <c r="I254" s="33"/>
      <c r="J254" s="33"/>
      <c r="K254" s="33"/>
      <c r="L254" s="33"/>
      <c r="M254" s="33"/>
      <c r="N254" s="33"/>
      <c r="O254" s="6"/>
      <c r="P254" s="6"/>
      <c r="Q254" s="6"/>
      <c r="R254" s="6"/>
      <c r="S254" s="6" t="s">
        <v>40</v>
      </c>
      <c r="T254" s="6"/>
      <c r="U254" s="19">
        <v>12.4324789047241</v>
      </c>
      <c r="V254" s="88">
        <v>1</v>
      </c>
      <c r="W254" s="20">
        <f t="shared" si="19"/>
        <v>12.4324789047241</v>
      </c>
      <c r="X254" s="20">
        <f t="shared" si="20"/>
        <v>12.4324789047241</v>
      </c>
    </row>
    <row r="255" spans="1:25" ht="16" customHeight="1" x14ac:dyDescent="0.15">
      <c r="A255" s="31" t="s">
        <v>720</v>
      </c>
      <c r="B255" s="31" t="s">
        <v>728</v>
      </c>
      <c r="C255" s="32" t="s">
        <v>722</v>
      </c>
      <c r="D255" s="17" t="s">
        <v>723</v>
      </c>
      <c r="E255" s="31"/>
      <c r="F255" s="31"/>
      <c r="G255" s="33" t="s">
        <v>38</v>
      </c>
      <c r="H255" s="33"/>
      <c r="I255" s="33"/>
      <c r="J255" s="33"/>
      <c r="K255" s="33" t="s">
        <v>729</v>
      </c>
      <c r="L255" s="33"/>
      <c r="M255" s="33"/>
      <c r="N255" s="33"/>
      <c r="O255" s="6"/>
      <c r="P255" s="6"/>
      <c r="Q255" s="6"/>
      <c r="R255" s="6"/>
      <c r="S255" s="6" t="s">
        <v>40</v>
      </c>
      <c r="T255" s="6"/>
      <c r="U255" s="19">
        <v>8.9801836013793999</v>
      </c>
      <c r="V255" s="88">
        <v>1</v>
      </c>
      <c r="W255" s="20">
        <f t="shared" si="19"/>
        <v>8.9801836013793999</v>
      </c>
      <c r="X255" s="20">
        <f t="shared" si="20"/>
        <v>8.9801836013793999</v>
      </c>
    </row>
    <row r="256" spans="1:25" ht="48" customHeight="1" x14ac:dyDescent="0.15">
      <c r="A256" s="31" t="s">
        <v>162</v>
      </c>
      <c r="B256" s="31" t="s">
        <v>730</v>
      </c>
      <c r="C256" s="32" t="s">
        <v>731</v>
      </c>
      <c r="D256" s="50" t="s">
        <v>732</v>
      </c>
      <c r="E256" s="31"/>
      <c r="F256" s="31"/>
      <c r="G256" s="33" t="s">
        <v>38</v>
      </c>
      <c r="H256" s="33"/>
      <c r="I256" s="33"/>
      <c r="J256" s="33"/>
      <c r="K256" s="33"/>
      <c r="L256" s="33"/>
      <c r="M256" s="33"/>
      <c r="N256" s="33"/>
      <c r="O256" s="6"/>
      <c r="P256" s="6"/>
      <c r="Q256" s="6"/>
      <c r="R256" s="6"/>
      <c r="S256" s="6" t="s">
        <v>40</v>
      </c>
      <c r="T256" s="6"/>
      <c r="U256" s="19">
        <v>11.0893287658691</v>
      </c>
      <c r="V256" s="88">
        <v>1</v>
      </c>
      <c r="W256" s="20">
        <f t="shared" si="19"/>
        <v>11.0893287658691</v>
      </c>
      <c r="X256" s="20">
        <f t="shared" si="20"/>
        <v>11.0893287658691</v>
      </c>
    </row>
    <row r="257" spans="1:25" ht="16" customHeight="1" x14ac:dyDescent="0.15">
      <c r="A257" s="31" t="s">
        <v>720</v>
      </c>
      <c r="B257" s="31" t="s">
        <v>733</v>
      </c>
      <c r="C257" s="32" t="s">
        <v>722</v>
      </c>
      <c r="D257" s="17" t="s">
        <v>723</v>
      </c>
      <c r="E257" s="31"/>
      <c r="F257" s="31"/>
      <c r="G257" s="33" t="s">
        <v>38</v>
      </c>
      <c r="H257" s="33"/>
      <c r="I257" s="33"/>
      <c r="J257" s="33"/>
      <c r="K257" s="33" t="s">
        <v>734</v>
      </c>
      <c r="L257" s="33"/>
      <c r="M257" s="33"/>
      <c r="N257" s="33"/>
      <c r="O257" s="6"/>
      <c r="P257" s="6"/>
      <c r="Q257" s="6"/>
      <c r="R257" s="6"/>
      <c r="S257" s="6" t="s">
        <v>40</v>
      </c>
      <c r="T257" s="6"/>
      <c r="U257" s="19">
        <v>8.0683355331420898</v>
      </c>
      <c r="V257" s="88">
        <v>1</v>
      </c>
      <c r="W257" s="20">
        <f t="shared" si="19"/>
        <v>8.0683355331420898</v>
      </c>
      <c r="X257" s="20">
        <f t="shared" si="20"/>
        <v>8.0683355331420898</v>
      </c>
    </row>
    <row r="258" spans="1:25" x14ac:dyDescent="0.15">
      <c r="A258" s="31" t="s">
        <v>90</v>
      </c>
      <c r="B258" s="31"/>
      <c r="C258" s="17"/>
      <c r="D258" s="17"/>
      <c r="E258" s="16"/>
      <c r="F258" s="16"/>
      <c r="G258" s="18"/>
      <c r="H258" s="18"/>
      <c r="I258" s="18"/>
      <c r="J258" s="18"/>
      <c r="K258" s="18"/>
      <c r="L258" s="18"/>
      <c r="M258" s="18"/>
      <c r="N258" s="18"/>
      <c r="U258" s="19"/>
      <c r="V258" s="88">
        <v>1</v>
      </c>
      <c r="W258" s="20" t="str">
        <f t="shared" si="19"/>
        <v/>
      </c>
      <c r="X258" s="20" t="str">
        <f t="shared" si="20"/>
        <v/>
      </c>
    </row>
    <row r="259" spans="1:25" x14ac:dyDescent="0.15">
      <c r="A259" s="6"/>
      <c r="B259" s="6"/>
      <c r="U259" s="19"/>
      <c r="V259" s="88">
        <v>1</v>
      </c>
      <c r="W259" s="20" t="str">
        <f t="shared" si="19"/>
        <v/>
      </c>
      <c r="X259" s="20" t="str">
        <f t="shared" si="20"/>
        <v/>
      </c>
    </row>
    <row r="260" spans="1:25" ht="16" customHeight="1" x14ac:dyDescent="0.15">
      <c r="A260" s="21" t="s">
        <v>61</v>
      </c>
      <c r="B260" s="21" t="s">
        <v>735</v>
      </c>
      <c r="C260" s="89" t="s">
        <v>736</v>
      </c>
      <c r="D260" s="89" t="s">
        <v>736</v>
      </c>
      <c r="E260" s="21"/>
      <c r="F260" s="21"/>
      <c r="G260" s="23"/>
      <c r="H260" s="23" t="s">
        <v>737</v>
      </c>
      <c r="I260" s="23"/>
      <c r="J260" s="23"/>
      <c r="K260" s="23"/>
      <c r="L260" s="23"/>
      <c r="M260" s="23"/>
      <c r="N260" s="23"/>
      <c r="O260" s="21"/>
      <c r="P260" s="21"/>
      <c r="Q260" s="21"/>
      <c r="R260" s="21"/>
      <c r="S260" s="21"/>
      <c r="T260" s="21"/>
      <c r="U260" s="24"/>
      <c r="V260" s="90">
        <v>1</v>
      </c>
      <c r="W260" s="26" t="str">
        <f t="shared" si="19"/>
        <v/>
      </c>
      <c r="X260" s="26" t="str">
        <f t="shared" si="20"/>
        <v/>
      </c>
      <c r="Y260" s="21"/>
    </row>
    <row r="261" spans="1:25" ht="64" customHeight="1" x14ac:dyDescent="0.15">
      <c r="A261" s="21" t="s">
        <v>64</v>
      </c>
      <c r="B261" s="21" t="s">
        <v>738</v>
      </c>
      <c r="C261" s="22" t="s">
        <v>739</v>
      </c>
      <c r="D261" s="22" t="s">
        <v>740</v>
      </c>
      <c r="E261" s="21"/>
      <c r="F261" s="21"/>
      <c r="G261" s="23"/>
      <c r="H261" s="23"/>
      <c r="I261" s="23"/>
      <c r="J261" s="23"/>
      <c r="K261" s="23"/>
      <c r="L261" s="23"/>
      <c r="M261" s="23"/>
      <c r="N261" s="23"/>
      <c r="O261" s="21"/>
      <c r="P261" s="21"/>
      <c r="Q261" s="21"/>
      <c r="R261" s="21"/>
      <c r="S261" s="21" t="s">
        <v>52</v>
      </c>
      <c r="T261" s="21"/>
      <c r="U261" s="24">
        <v>5.7112536430358896</v>
      </c>
      <c r="V261" s="90">
        <v>1</v>
      </c>
      <c r="W261" s="26">
        <f t="shared" si="19"/>
        <v>5.7112536430358896</v>
      </c>
      <c r="X261" s="26" t="str">
        <f t="shared" si="20"/>
        <v/>
      </c>
      <c r="Y261" s="21"/>
    </row>
    <row r="262" spans="1:25" ht="13" customHeight="1" x14ac:dyDescent="0.15"/>
    <row r="263" spans="1:25" ht="16" customHeight="1" x14ac:dyDescent="0.15">
      <c r="A263" s="21" t="s">
        <v>741</v>
      </c>
      <c r="B263" s="21" t="s">
        <v>742</v>
      </c>
      <c r="C263" s="22" t="s">
        <v>743</v>
      </c>
      <c r="D263" s="22" t="s">
        <v>744</v>
      </c>
      <c r="E263" s="91"/>
      <c r="F263" s="91"/>
      <c r="G263" s="23" t="s">
        <v>38</v>
      </c>
      <c r="H263" s="23" t="s">
        <v>239</v>
      </c>
      <c r="I263" s="92"/>
      <c r="J263" s="92"/>
      <c r="K263" s="92"/>
      <c r="L263" s="92"/>
      <c r="M263" s="92"/>
      <c r="N263" s="92"/>
      <c r="O263" s="91"/>
      <c r="P263" s="91"/>
      <c r="Q263" s="91"/>
      <c r="R263" s="91"/>
      <c r="S263" s="21" t="s">
        <v>52</v>
      </c>
      <c r="T263" s="91"/>
      <c r="U263" s="19">
        <v>11.7878017425537</v>
      </c>
      <c r="V263" s="88">
        <v>1</v>
      </c>
      <c r="W263" s="20">
        <f>IF(U263&lt;&gt;"",U263*V263,"")</f>
        <v>11.7878017425537</v>
      </c>
      <c r="X263" s="20" t="str">
        <f>IF(AND(U263&lt;&gt;"",S263="yes"),U263*V263,"")</f>
        <v/>
      </c>
    </row>
    <row r="264" spans="1:25" ht="16" customHeight="1" x14ac:dyDescent="0.15">
      <c r="A264" s="21" t="s">
        <v>741</v>
      </c>
      <c r="B264" s="21" t="s">
        <v>745</v>
      </c>
      <c r="C264" s="22" t="s">
        <v>746</v>
      </c>
      <c r="D264" s="93" t="s">
        <v>747</v>
      </c>
      <c r="E264" s="91"/>
      <c r="F264" s="91"/>
      <c r="G264" s="23" t="s">
        <v>38</v>
      </c>
      <c r="H264" s="23" t="s">
        <v>239</v>
      </c>
      <c r="I264" s="92"/>
      <c r="J264" s="92"/>
      <c r="K264" s="92"/>
      <c r="L264" s="92"/>
      <c r="M264" s="92"/>
      <c r="N264" s="92"/>
      <c r="O264" s="91"/>
      <c r="P264" s="91"/>
      <c r="Q264" s="91"/>
      <c r="R264" s="91"/>
      <c r="S264" s="21" t="s">
        <v>52</v>
      </c>
      <c r="T264" s="91"/>
      <c r="U264" s="19">
        <v>14.625933647155801</v>
      </c>
      <c r="V264" s="88">
        <v>1</v>
      </c>
      <c r="W264" s="20">
        <f>IF(U264&lt;&gt;"",U264*V264,"")</f>
        <v>14.625933647155801</v>
      </c>
      <c r="X264" s="20" t="str">
        <f>IF(AND(U264&lt;&gt;"",S264="yes"),U264*V264,"")</f>
        <v/>
      </c>
    </row>
    <row r="265" spans="1:25" ht="16" customHeight="1" x14ac:dyDescent="0.15">
      <c r="A265" s="21" t="s">
        <v>741</v>
      </c>
      <c r="B265" s="21" t="s">
        <v>748</v>
      </c>
      <c r="C265" s="22" t="s">
        <v>749</v>
      </c>
      <c r="D265" s="22" t="s">
        <v>750</v>
      </c>
      <c r="E265" s="91"/>
      <c r="F265" s="91"/>
      <c r="G265" s="23" t="s">
        <v>38</v>
      </c>
      <c r="H265" s="23" t="s">
        <v>239</v>
      </c>
      <c r="I265" s="92"/>
      <c r="J265" s="92"/>
      <c r="K265" s="92"/>
      <c r="L265" s="92"/>
      <c r="M265" s="92"/>
      <c r="N265" s="92"/>
      <c r="O265" s="91"/>
      <c r="P265" s="91"/>
      <c r="Q265" s="91"/>
      <c r="R265" s="91"/>
      <c r="S265" s="21" t="s">
        <v>52</v>
      </c>
      <c r="T265" s="91"/>
      <c r="U265" s="19">
        <v>9.2894678115844709</v>
      </c>
      <c r="V265" s="88">
        <v>1</v>
      </c>
      <c r="W265" s="20">
        <f>IF(U265&lt;&gt;"",U265*V265,"")</f>
        <v>9.2894678115844709</v>
      </c>
      <c r="X265" s="20" t="str">
        <f>IF(AND(U265&lt;&gt;"",S265="yes"),U265*V265,"")</f>
        <v/>
      </c>
    </row>
    <row r="266" spans="1:25" ht="16" customHeight="1" x14ac:dyDescent="0.15">
      <c r="A266" s="21" t="s">
        <v>741</v>
      </c>
      <c r="B266" s="21" t="s">
        <v>751</v>
      </c>
      <c r="C266" s="22" t="s">
        <v>752</v>
      </c>
      <c r="D266" s="22" t="s">
        <v>753</v>
      </c>
      <c r="E266" s="91"/>
      <c r="F266" s="91"/>
      <c r="G266" s="23" t="s">
        <v>38</v>
      </c>
      <c r="H266" s="23" t="s">
        <v>239</v>
      </c>
      <c r="I266" s="92"/>
      <c r="J266" s="92"/>
      <c r="K266" s="92"/>
      <c r="L266" s="92"/>
      <c r="M266" s="92"/>
      <c r="N266" s="92"/>
      <c r="O266" s="91"/>
      <c r="P266" s="91"/>
      <c r="Q266" s="91"/>
      <c r="R266" s="91"/>
      <c r="S266" s="21" t="s">
        <v>52</v>
      </c>
      <c r="T266" s="91"/>
      <c r="U266" s="19">
        <v>12.4080867767334</v>
      </c>
      <c r="V266" s="88">
        <v>1</v>
      </c>
      <c r="W266" s="20">
        <f>IF(U266&lt;&gt;"",U266*V266,"")</f>
        <v>12.4080867767334</v>
      </c>
      <c r="X266" s="20" t="str">
        <f>IF(AND(U266&lt;&gt;"",S266="yes"),U266*V266,"")</f>
        <v/>
      </c>
    </row>
    <row r="267" spans="1:25" ht="13" customHeight="1" x14ac:dyDescent="0.15"/>
    <row r="268" spans="1:25" ht="32" customHeight="1" x14ac:dyDescent="0.15">
      <c r="A268" s="21" t="s">
        <v>741</v>
      </c>
      <c r="B268" s="21" t="s">
        <v>754</v>
      </c>
      <c r="C268" s="22" t="s">
        <v>755</v>
      </c>
      <c r="D268" s="93" t="s">
        <v>756</v>
      </c>
      <c r="E268" s="91"/>
      <c r="F268" s="91"/>
      <c r="G268" s="23" t="s">
        <v>38</v>
      </c>
      <c r="H268" s="23" t="s">
        <v>239</v>
      </c>
      <c r="I268" s="92"/>
      <c r="J268" s="92"/>
      <c r="K268" s="92"/>
      <c r="L268" s="92"/>
      <c r="M268" s="92"/>
      <c r="N268" s="92"/>
      <c r="O268" s="91"/>
      <c r="P268" s="91"/>
      <c r="Q268" s="91"/>
      <c r="R268" s="91"/>
      <c r="S268" s="21" t="s">
        <v>52</v>
      </c>
      <c r="T268" s="91"/>
      <c r="U268" s="19">
        <v>14.4109589041096</v>
      </c>
      <c r="V268" s="88">
        <v>1</v>
      </c>
      <c r="W268" s="20">
        <f>IF(U268&lt;&gt;"",U268*V268,"")</f>
        <v>14.4109589041096</v>
      </c>
      <c r="X268" s="20" t="str">
        <f>IF(AND(U268&lt;&gt;"",S268="yes"),U268*V268,"")</f>
        <v/>
      </c>
    </row>
    <row r="269" spans="1:25" ht="16" customHeight="1" x14ac:dyDescent="0.15">
      <c r="A269" s="21" t="s">
        <v>741</v>
      </c>
      <c r="B269" s="21" t="s">
        <v>757</v>
      </c>
      <c r="C269" s="22" t="s">
        <v>758</v>
      </c>
      <c r="D269" s="22" t="s">
        <v>759</v>
      </c>
      <c r="E269" s="91"/>
      <c r="F269" s="91"/>
      <c r="G269" s="23" t="s">
        <v>38</v>
      </c>
      <c r="H269" s="23" t="s">
        <v>239</v>
      </c>
      <c r="I269" s="92"/>
      <c r="J269" s="92"/>
      <c r="K269" s="92"/>
      <c r="L269" s="92"/>
      <c r="M269" s="92"/>
      <c r="N269" s="92"/>
      <c r="O269" s="91"/>
      <c r="P269" s="91"/>
      <c r="Q269" s="91"/>
      <c r="R269" s="91"/>
      <c r="S269" s="21" t="s">
        <v>52</v>
      </c>
      <c r="T269" s="91"/>
      <c r="U269" s="19">
        <v>19.8515300750732</v>
      </c>
      <c r="V269" s="88">
        <v>1</v>
      </c>
      <c r="W269" s="20">
        <f>IF(U269&lt;&gt;"",U269*V269,"")</f>
        <v>19.8515300750732</v>
      </c>
      <c r="X269" s="20" t="str">
        <f>IF(AND(U269&lt;&gt;"",S269="yes"),U269*V269,"")</f>
        <v/>
      </c>
    </row>
    <row r="270" spans="1:25" ht="32" customHeight="1" x14ac:dyDescent="0.15">
      <c r="A270" s="21" t="s">
        <v>741</v>
      </c>
      <c r="B270" s="21" t="s">
        <v>760</v>
      </c>
      <c r="C270" s="22" t="s">
        <v>761</v>
      </c>
      <c r="D270" s="22" t="s">
        <v>762</v>
      </c>
      <c r="E270" s="91"/>
      <c r="F270" s="91"/>
      <c r="G270" s="23" t="s">
        <v>38</v>
      </c>
      <c r="H270" s="23" t="s">
        <v>239</v>
      </c>
      <c r="I270" s="92"/>
      <c r="J270" s="92"/>
      <c r="K270" s="92"/>
      <c r="L270" s="92"/>
      <c r="M270" s="92"/>
      <c r="N270" s="92"/>
      <c r="O270" s="91"/>
      <c r="P270" s="91"/>
      <c r="Q270" s="91"/>
      <c r="R270" s="91"/>
      <c r="S270" s="21" t="s">
        <v>52</v>
      </c>
      <c r="T270" s="91"/>
      <c r="U270" s="19">
        <v>12.9961814880371</v>
      </c>
      <c r="V270" s="88">
        <v>1</v>
      </c>
      <c r="W270" s="20">
        <f>IF(U270&lt;&gt;"",U270*V270,"")</f>
        <v>12.9961814880371</v>
      </c>
      <c r="X270" s="20" t="str">
        <f>IF(AND(U270&lt;&gt;"",S270="yes"),U270*V270,"")</f>
        <v/>
      </c>
    </row>
    <row r="271" spans="1:25" x14ac:dyDescent="0.15">
      <c r="A271" s="21"/>
      <c r="B271" s="21"/>
      <c r="C271" s="22"/>
      <c r="D271" s="93"/>
      <c r="E271" s="91"/>
      <c r="F271" s="91"/>
      <c r="G271" s="23"/>
      <c r="H271" s="23"/>
      <c r="I271" s="92"/>
      <c r="J271" s="92"/>
      <c r="K271" s="92"/>
      <c r="L271" s="92"/>
      <c r="M271" s="92"/>
      <c r="N271" s="92"/>
      <c r="O271" s="91"/>
      <c r="P271" s="91"/>
      <c r="Q271" s="91"/>
      <c r="R271" s="91"/>
      <c r="S271" s="21"/>
      <c r="T271" s="91"/>
      <c r="U271" s="19"/>
      <c r="V271" s="88"/>
      <c r="W271" s="20"/>
      <c r="X271" s="20"/>
    </row>
    <row r="272" spans="1:25" ht="16" customHeight="1" x14ac:dyDescent="0.15">
      <c r="A272" s="21" t="s">
        <v>741</v>
      </c>
      <c r="B272" s="21" t="s">
        <v>763</v>
      </c>
      <c r="C272" s="22" t="s">
        <v>764</v>
      </c>
      <c r="D272" s="22" t="s">
        <v>765</v>
      </c>
      <c r="E272" s="91"/>
      <c r="F272" s="91"/>
      <c r="G272" s="23" t="s">
        <v>38</v>
      </c>
      <c r="H272" s="23" t="s">
        <v>239</v>
      </c>
      <c r="I272" s="92"/>
      <c r="J272" s="92"/>
      <c r="K272" s="92"/>
      <c r="L272" s="92"/>
      <c r="M272" s="92"/>
      <c r="N272" s="92"/>
      <c r="O272" s="91"/>
      <c r="P272" s="91"/>
      <c r="Q272" s="91"/>
      <c r="R272" s="91"/>
      <c r="S272" s="21" t="s">
        <v>52</v>
      </c>
      <c r="T272" s="91"/>
      <c r="U272" s="19">
        <v>10.6681127548218</v>
      </c>
      <c r="V272" s="88">
        <v>1</v>
      </c>
      <c r="W272" s="20">
        <f>IF(U272&lt;&gt;"",U272*V272,"")</f>
        <v>10.6681127548218</v>
      </c>
      <c r="X272" s="20" t="str">
        <f>IF(AND(U272&lt;&gt;"",S272="yes"),U272*V272,"")</f>
        <v/>
      </c>
    </row>
    <row r="273" spans="1:24" ht="16" customHeight="1" x14ac:dyDescent="0.15">
      <c r="A273" s="21" t="s">
        <v>741</v>
      </c>
      <c r="B273" s="21" t="s">
        <v>766</v>
      </c>
      <c r="C273" s="22" t="s">
        <v>767</v>
      </c>
      <c r="D273" s="22" t="s">
        <v>768</v>
      </c>
      <c r="E273" s="91"/>
      <c r="F273" s="91"/>
      <c r="G273" s="23" t="s">
        <v>38</v>
      </c>
      <c r="H273" s="23" t="s">
        <v>239</v>
      </c>
      <c r="I273" s="92"/>
      <c r="J273" s="92"/>
      <c r="K273" s="92"/>
      <c r="L273" s="92"/>
      <c r="M273" s="92"/>
      <c r="N273" s="92"/>
      <c r="O273" s="91"/>
      <c r="P273" s="91"/>
      <c r="Q273" s="91"/>
      <c r="R273" s="91"/>
      <c r="S273" s="21" t="s">
        <v>52</v>
      </c>
      <c r="T273" s="91"/>
      <c r="U273" s="19">
        <v>10.114131927490201</v>
      </c>
      <c r="V273" s="88">
        <v>1</v>
      </c>
      <c r="W273" s="20">
        <f>IF(U273&lt;&gt;"",U273*V273,"")</f>
        <v>10.114131927490201</v>
      </c>
      <c r="X273" s="20" t="str">
        <f>IF(AND(U273&lt;&gt;"",S273="yes"),U273*V273,"")</f>
        <v/>
      </c>
    </row>
    <row r="274" spans="1:24" ht="16" customHeight="1" x14ac:dyDescent="0.15">
      <c r="A274" s="21" t="s">
        <v>741</v>
      </c>
      <c r="B274" s="21" t="s">
        <v>769</v>
      </c>
      <c r="C274" s="22" t="s">
        <v>770</v>
      </c>
      <c r="D274" s="22" t="s">
        <v>771</v>
      </c>
      <c r="E274" s="91"/>
      <c r="F274" s="91"/>
      <c r="G274" s="23" t="s">
        <v>38</v>
      </c>
      <c r="H274" s="23" t="s">
        <v>239</v>
      </c>
      <c r="I274" s="92"/>
      <c r="J274" s="92"/>
      <c r="K274" s="92"/>
      <c r="L274" s="92"/>
      <c r="M274" s="92"/>
      <c r="N274" s="92"/>
      <c r="O274" s="91"/>
      <c r="P274" s="91"/>
      <c r="Q274" s="91"/>
      <c r="R274" s="91"/>
      <c r="S274" s="21" t="s">
        <v>52</v>
      </c>
      <c r="T274" s="91"/>
      <c r="U274" s="19">
        <v>10.8677053451538</v>
      </c>
      <c r="V274" s="88">
        <v>1</v>
      </c>
      <c r="W274" s="20">
        <f>IF(U274&lt;&gt;"",U274*V274,"")</f>
        <v>10.8677053451538</v>
      </c>
      <c r="X274" s="20" t="str">
        <f>IF(AND(U274&lt;&gt;"",S274="yes"),U274*V274,"")</f>
        <v/>
      </c>
    </row>
    <row r="275" spans="1:24" x14ac:dyDescent="0.15">
      <c r="A275" s="21" t="s">
        <v>90</v>
      </c>
      <c r="B275" s="21"/>
      <c r="C275" s="22"/>
      <c r="D275" s="22"/>
      <c r="G275" s="23"/>
      <c r="U275" s="19"/>
      <c r="V275" s="88">
        <v>1</v>
      </c>
      <c r="W275" s="20" t="str">
        <f>IF(U275&lt;&gt;"",U275*V275,"")</f>
        <v/>
      </c>
      <c r="X275" s="20" t="str">
        <f>IF(AND(U275&lt;&gt;"",S275="yes"),U275*V275,"")</f>
        <v/>
      </c>
    </row>
    <row r="276" spans="1:24" x14ac:dyDescent="0.15">
      <c r="A276" s="21"/>
      <c r="B276" s="21"/>
      <c r="C276" s="22"/>
      <c r="D276" s="22"/>
      <c r="G276" s="23"/>
      <c r="U276" s="19"/>
      <c r="V276" s="88"/>
      <c r="W276" s="20"/>
      <c r="X276" s="20"/>
    </row>
    <row r="277" spans="1:24" x14ac:dyDescent="0.15">
      <c r="A277" s="6"/>
      <c r="B277" s="6"/>
      <c r="U277" s="19"/>
      <c r="V277" s="88">
        <v>1</v>
      </c>
      <c r="W277" s="20" t="str">
        <f t="shared" ref="W277:W282" si="21">IF(U277&lt;&gt;"",U277*V277,"")</f>
        <v/>
      </c>
      <c r="X277" s="20" t="str">
        <f t="shared" ref="X277:X282" si="22">IF(AND(U277&lt;&gt;"",S277="yes"),U277*V277,"")</f>
        <v/>
      </c>
    </row>
    <row r="278" spans="1:24" ht="16" customHeight="1" x14ac:dyDescent="0.15">
      <c r="A278" s="31" t="s">
        <v>61</v>
      </c>
      <c r="B278" s="31" t="s">
        <v>772</v>
      </c>
      <c r="C278" s="38" t="s">
        <v>773</v>
      </c>
      <c r="D278" s="38" t="s">
        <v>773</v>
      </c>
      <c r="E278" s="16"/>
      <c r="F278" s="16"/>
      <c r="G278" s="18"/>
      <c r="H278" s="18"/>
      <c r="I278" s="18"/>
      <c r="J278" s="18"/>
      <c r="K278" s="18"/>
      <c r="L278" s="18"/>
      <c r="M278" s="18"/>
      <c r="N278" s="18"/>
      <c r="U278" s="19"/>
      <c r="V278" s="88">
        <v>1</v>
      </c>
      <c r="W278" s="20" t="str">
        <f t="shared" si="21"/>
        <v/>
      </c>
      <c r="X278" s="20" t="str">
        <f t="shared" si="22"/>
        <v/>
      </c>
    </row>
    <row r="279" spans="1:24" ht="28" customHeight="1" x14ac:dyDescent="0.15">
      <c r="A279" s="16" t="s">
        <v>64</v>
      </c>
      <c r="B279" s="16" t="s">
        <v>774</v>
      </c>
      <c r="C279" s="17" t="s">
        <v>775</v>
      </c>
      <c r="D279" s="17" t="s">
        <v>776</v>
      </c>
      <c r="E279" s="16"/>
      <c r="F279" s="16"/>
      <c r="G279" s="18" t="s">
        <v>56</v>
      </c>
      <c r="H279" s="18"/>
      <c r="I279" s="18"/>
      <c r="J279" s="18"/>
      <c r="K279" s="18"/>
      <c r="L279" s="18"/>
      <c r="M279" s="18"/>
      <c r="N279" s="18"/>
      <c r="S279" s="1" t="s">
        <v>40</v>
      </c>
      <c r="U279" s="19"/>
      <c r="V279" s="88">
        <v>1</v>
      </c>
      <c r="W279" s="20" t="str">
        <f t="shared" si="21"/>
        <v/>
      </c>
      <c r="X279" s="20" t="str">
        <f t="shared" si="22"/>
        <v/>
      </c>
    </row>
    <row r="280" spans="1:24" ht="42" customHeight="1" x14ac:dyDescent="0.15">
      <c r="A280" s="16" t="s">
        <v>777</v>
      </c>
      <c r="B280" s="16" t="s">
        <v>778</v>
      </c>
      <c r="C280" s="17" t="s">
        <v>779</v>
      </c>
      <c r="D280" s="17" t="s">
        <v>780</v>
      </c>
      <c r="E280" s="16" t="s">
        <v>781</v>
      </c>
      <c r="F280" s="16" t="s">
        <v>782</v>
      </c>
      <c r="G280" s="18" t="s">
        <v>38</v>
      </c>
      <c r="H280" s="18"/>
      <c r="I280" s="18"/>
      <c r="J280" s="18"/>
      <c r="K280" s="18"/>
      <c r="L280" s="18"/>
      <c r="M280" s="18"/>
      <c r="N280" s="18"/>
      <c r="S280" s="1" t="s">
        <v>40</v>
      </c>
      <c r="U280" s="19">
        <v>72.295135498046903</v>
      </c>
      <c r="V280" s="88">
        <v>1</v>
      </c>
      <c r="W280" s="20">
        <f t="shared" si="21"/>
        <v>72.295135498046903</v>
      </c>
      <c r="X280" s="20">
        <f t="shared" si="22"/>
        <v>72.295135498046903</v>
      </c>
    </row>
    <row r="281" spans="1:24" ht="56" customHeight="1" x14ac:dyDescent="0.15">
      <c r="A281" s="16" t="s">
        <v>64</v>
      </c>
      <c r="B281" s="16" t="s">
        <v>783</v>
      </c>
      <c r="C281" s="17" t="s">
        <v>784</v>
      </c>
      <c r="D281" s="2" t="s">
        <v>785</v>
      </c>
      <c r="E281" s="16"/>
      <c r="F281" s="16"/>
      <c r="G281" s="18" t="s">
        <v>56</v>
      </c>
      <c r="H281" s="18"/>
      <c r="I281" s="18"/>
      <c r="J281" s="18"/>
      <c r="K281" s="18"/>
      <c r="L281" s="18"/>
      <c r="M281" s="18"/>
      <c r="N281" s="18"/>
      <c r="S281" s="1" t="s">
        <v>40</v>
      </c>
      <c r="U281" s="19">
        <v>3.7052218914032</v>
      </c>
      <c r="V281" s="88">
        <v>1</v>
      </c>
      <c r="W281" s="20">
        <f t="shared" si="21"/>
        <v>3.7052218914032</v>
      </c>
      <c r="X281" s="20">
        <f t="shared" si="22"/>
        <v>3.7052218914032</v>
      </c>
    </row>
    <row r="282" spans="1:24" ht="15.75" customHeight="1" x14ac:dyDescent="0.15">
      <c r="A282" s="16" t="s">
        <v>90</v>
      </c>
      <c r="B282" s="16"/>
      <c r="C282" s="17"/>
      <c r="D282" s="17"/>
      <c r="E282" s="16"/>
      <c r="F282" s="16"/>
      <c r="G282" s="18"/>
      <c r="H282" s="18"/>
      <c r="I282" s="18"/>
      <c r="J282" s="18"/>
      <c r="K282" s="18"/>
      <c r="L282" s="18"/>
      <c r="M282" s="18"/>
      <c r="N282" s="18"/>
      <c r="U282" s="19"/>
      <c r="V282" s="88">
        <v>1</v>
      </c>
      <c r="W282" s="20" t="str">
        <f t="shared" si="21"/>
        <v/>
      </c>
      <c r="X282" s="20" t="str">
        <f t="shared" si="22"/>
        <v/>
      </c>
    </row>
    <row r="283" spans="1:24" ht="15.75" customHeight="1" x14ac:dyDescent="0.15">
      <c r="A283" s="16"/>
      <c r="B283" s="16"/>
      <c r="C283" s="17"/>
      <c r="D283" s="17"/>
      <c r="E283" s="16"/>
      <c r="F283" s="16"/>
      <c r="G283" s="18"/>
      <c r="H283" s="18"/>
      <c r="I283" s="18"/>
      <c r="J283" s="18"/>
      <c r="K283" s="18"/>
      <c r="L283" s="18"/>
      <c r="M283" s="18"/>
      <c r="N283" s="18"/>
      <c r="U283" s="19"/>
      <c r="V283" s="88"/>
      <c r="W283" s="20"/>
      <c r="X283" s="20"/>
    </row>
    <row r="284" spans="1:24" ht="16" customHeight="1" x14ac:dyDescent="0.15">
      <c r="A284" s="31" t="s">
        <v>61</v>
      </c>
      <c r="B284" s="31" t="s">
        <v>786</v>
      </c>
      <c r="C284" s="38" t="s">
        <v>787</v>
      </c>
      <c r="D284" s="38" t="s">
        <v>787</v>
      </c>
      <c r="E284" s="16"/>
      <c r="F284" s="16"/>
      <c r="G284" s="18"/>
      <c r="H284" s="18"/>
      <c r="I284" s="18"/>
      <c r="J284" s="18"/>
      <c r="K284" s="18"/>
      <c r="L284" s="18"/>
      <c r="M284" s="18"/>
      <c r="N284" s="18"/>
      <c r="U284" s="19"/>
      <c r="V284" s="88">
        <v>1</v>
      </c>
      <c r="W284" s="20" t="str">
        <f>IF(U284&lt;&gt;"",U284*V284,"")</f>
        <v/>
      </c>
      <c r="X284" s="20" t="str">
        <f>IF(AND(U284&lt;&gt;"",S284="yes"),U284*V284,"")</f>
        <v/>
      </c>
    </row>
    <row r="285" spans="1:24" x14ac:dyDescent="0.15">
      <c r="A285" s="16" t="s">
        <v>64</v>
      </c>
      <c r="B285" s="16" t="s">
        <v>788</v>
      </c>
      <c r="C285" s="17" t="s">
        <v>789</v>
      </c>
      <c r="D285" s="17" t="s">
        <v>790</v>
      </c>
    </row>
    <row r="286" spans="1:24" ht="28" customHeight="1" x14ac:dyDescent="0.15">
      <c r="A286" s="16" t="s">
        <v>254</v>
      </c>
      <c r="B286" s="16" t="s">
        <v>791</v>
      </c>
      <c r="C286" s="17" t="s">
        <v>792</v>
      </c>
      <c r="D286" s="17" t="s">
        <v>793</v>
      </c>
    </row>
    <row r="287" spans="1:24" ht="28" customHeight="1" x14ac:dyDescent="0.15">
      <c r="A287" s="16" t="s">
        <v>254</v>
      </c>
      <c r="B287" s="16" t="s">
        <v>794</v>
      </c>
      <c r="C287" s="17" t="s">
        <v>795</v>
      </c>
      <c r="D287" s="17" t="s">
        <v>796</v>
      </c>
    </row>
    <row r="288" spans="1:24" ht="28" customHeight="1" x14ac:dyDescent="0.15">
      <c r="A288" s="16" t="s">
        <v>64</v>
      </c>
      <c r="B288" s="16" t="s">
        <v>797</v>
      </c>
      <c r="C288" t="s">
        <v>798</v>
      </c>
      <c r="D288" s="2" t="s">
        <v>799</v>
      </c>
    </row>
    <row r="289" spans="1:25" ht="15.75" customHeight="1" x14ac:dyDescent="0.15">
      <c r="A289" s="16" t="s">
        <v>90</v>
      </c>
      <c r="B289" s="16"/>
      <c r="C289" s="17"/>
      <c r="D289" s="17"/>
      <c r="E289" s="16"/>
      <c r="F289" s="16"/>
      <c r="G289" s="18"/>
      <c r="H289" s="18"/>
      <c r="I289" s="18"/>
      <c r="J289" s="18"/>
      <c r="K289" s="18"/>
      <c r="L289" s="18"/>
      <c r="M289" s="18"/>
      <c r="N289" s="18"/>
      <c r="U289" s="19"/>
      <c r="V289" s="88">
        <v>1</v>
      </c>
      <c r="W289" s="20" t="str">
        <f>IF(U289&lt;&gt;"",U289*V289,"")</f>
        <v/>
      </c>
      <c r="X289" s="20" t="str">
        <f>IF(AND(U289&lt;&gt;"",S289="yes"),U289*V289,"")</f>
        <v/>
      </c>
    </row>
    <row r="290" spans="1:25" s="101" customFormat="1" x14ac:dyDescent="0.15">
      <c r="A290" s="94"/>
      <c r="B290" s="94"/>
      <c r="C290" s="95"/>
      <c r="D290" s="95"/>
      <c r="E290" s="96"/>
      <c r="F290" s="96"/>
      <c r="G290" s="97"/>
      <c r="H290" s="97"/>
      <c r="I290" s="97"/>
      <c r="J290" s="97"/>
      <c r="K290" s="97"/>
      <c r="L290" s="97"/>
      <c r="M290" s="97"/>
      <c r="N290" s="97"/>
      <c r="O290" s="96"/>
      <c r="P290" s="96"/>
      <c r="Q290" s="96"/>
      <c r="R290" s="96"/>
      <c r="S290" s="96"/>
      <c r="T290" s="96"/>
      <c r="U290" s="98"/>
      <c r="V290" s="99">
        <v>1</v>
      </c>
      <c r="W290" s="100" t="str">
        <f>IF(U290&lt;&gt;"",U290*V290,"")</f>
        <v/>
      </c>
      <c r="X290" s="100" t="str">
        <f>IF(AND(U290&lt;&gt;"",S290="yes"),U290*V290,"")</f>
        <v/>
      </c>
      <c r="Y290" s="94"/>
    </row>
    <row r="291" spans="1:25" s="101" customFormat="1" x14ac:dyDescent="0.15">
      <c r="A291" s="94"/>
      <c r="B291" s="94"/>
      <c r="C291" s="95"/>
      <c r="D291" s="95"/>
      <c r="E291" s="96"/>
      <c r="F291" s="96"/>
      <c r="G291" s="97"/>
      <c r="H291" s="97"/>
      <c r="I291" s="97"/>
      <c r="J291" s="97"/>
      <c r="K291" s="97"/>
      <c r="L291" s="97"/>
      <c r="M291" s="97"/>
      <c r="N291" s="97"/>
      <c r="O291" s="96"/>
      <c r="P291" s="96"/>
      <c r="Q291" s="96"/>
      <c r="R291" s="96"/>
      <c r="S291" s="96"/>
      <c r="T291" s="96"/>
      <c r="U291" s="98"/>
      <c r="V291" s="99"/>
      <c r="W291" s="100"/>
      <c r="X291" s="100"/>
      <c r="Y291" s="94"/>
    </row>
    <row r="292" spans="1:25" ht="16" customHeight="1" x14ac:dyDescent="0.15">
      <c r="A292" s="21" t="s">
        <v>61</v>
      </c>
      <c r="B292" s="21" t="s">
        <v>800</v>
      </c>
      <c r="C292" s="89" t="s">
        <v>801</v>
      </c>
      <c r="D292" s="89" t="s">
        <v>801</v>
      </c>
      <c r="E292" s="21"/>
      <c r="F292" s="21"/>
      <c r="G292" s="23"/>
      <c r="H292" s="23"/>
      <c r="I292" s="23"/>
      <c r="J292" s="23"/>
      <c r="K292" s="23"/>
      <c r="L292" s="23"/>
      <c r="M292" s="23"/>
      <c r="N292" s="23"/>
      <c r="O292" s="21"/>
      <c r="P292" s="21"/>
      <c r="Q292" s="21"/>
      <c r="R292" s="21"/>
      <c r="S292" s="21" t="s">
        <v>52</v>
      </c>
      <c r="T292" s="21"/>
      <c r="U292" s="19"/>
      <c r="V292" s="88">
        <v>1</v>
      </c>
      <c r="W292" s="20" t="str">
        <f t="shared" ref="W292:W324" si="23">IF(U292&lt;&gt;"",U292*V292,"")</f>
        <v/>
      </c>
      <c r="X292" s="20" t="str">
        <f t="shared" ref="X292:X324" si="24">IF(AND(U292&lt;&gt;"",S292="yes"),U292*V292,"")</f>
        <v/>
      </c>
      <c r="Y292" s="21"/>
    </row>
    <row r="293" spans="1:25" ht="48" customHeight="1" x14ac:dyDescent="0.15">
      <c r="A293" s="22" t="s">
        <v>64</v>
      </c>
      <c r="B293" s="22" t="s">
        <v>802</v>
      </c>
      <c r="C293" s="22" t="s">
        <v>803</v>
      </c>
      <c r="D293" s="22" t="s">
        <v>804</v>
      </c>
      <c r="E293" s="22"/>
      <c r="F293" s="22"/>
      <c r="G293" s="23" t="s">
        <v>56</v>
      </c>
      <c r="H293" s="102"/>
      <c r="I293" s="102"/>
      <c r="J293" s="23"/>
      <c r="K293" s="102"/>
      <c r="L293" s="102"/>
      <c r="M293" s="102"/>
      <c r="N293" s="102"/>
      <c r="O293" s="22"/>
      <c r="P293" s="22"/>
      <c r="Q293" s="22"/>
      <c r="R293" s="22"/>
      <c r="S293" s="22" t="s">
        <v>52</v>
      </c>
      <c r="T293" s="22"/>
      <c r="U293" s="19">
        <v>0</v>
      </c>
      <c r="V293" s="88">
        <v>1</v>
      </c>
      <c r="W293" s="20">
        <f t="shared" si="23"/>
        <v>0</v>
      </c>
      <c r="X293" s="20" t="str">
        <f t="shared" si="24"/>
        <v/>
      </c>
      <c r="Y293" s="22"/>
    </row>
    <row r="294" spans="1:25" ht="48" customHeight="1" x14ac:dyDescent="0.15">
      <c r="A294" s="22" t="s">
        <v>105</v>
      </c>
      <c r="B294" s="22" t="s">
        <v>805</v>
      </c>
      <c r="C294" s="22" t="s">
        <v>806</v>
      </c>
      <c r="D294" s="22" t="s">
        <v>807</v>
      </c>
      <c r="E294" s="21" t="s">
        <v>808</v>
      </c>
      <c r="F294" s="21" t="s">
        <v>809</v>
      </c>
      <c r="G294" s="23" t="s">
        <v>38</v>
      </c>
      <c r="H294" s="102"/>
      <c r="I294" s="102" t="s">
        <v>810</v>
      </c>
      <c r="J294" s="23" t="s">
        <v>811</v>
      </c>
      <c r="K294" s="102"/>
      <c r="L294" s="102"/>
      <c r="M294" s="102"/>
      <c r="N294" s="102"/>
      <c r="O294" s="22"/>
      <c r="P294" s="22"/>
      <c r="Q294" s="22"/>
      <c r="R294" s="22"/>
      <c r="S294" s="22" t="s">
        <v>52</v>
      </c>
      <c r="T294" s="22"/>
      <c r="U294" s="19">
        <v>17</v>
      </c>
      <c r="V294" s="88">
        <v>1</v>
      </c>
      <c r="W294" s="20">
        <f t="shared" si="23"/>
        <v>17</v>
      </c>
      <c r="X294" s="20" t="str">
        <f t="shared" si="24"/>
        <v/>
      </c>
      <c r="Y294" s="22"/>
    </row>
    <row r="295" spans="1:25" ht="48" customHeight="1" x14ac:dyDescent="0.15">
      <c r="A295" s="22" t="s">
        <v>105</v>
      </c>
      <c r="B295" s="22" t="s">
        <v>812</v>
      </c>
      <c r="C295" s="22" t="s">
        <v>813</v>
      </c>
      <c r="D295" s="22" t="s">
        <v>814</v>
      </c>
      <c r="E295" s="21" t="s">
        <v>808</v>
      </c>
      <c r="F295" s="21" t="s">
        <v>809</v>
      </c>
      <c r="G295" s="23" t="s">
        <v>38</v>
      </c>
      <c r="H295" s="102"/>
      <c r="I295" s="102" t="s">
        <v>810</v>
      </c>
      <c r="J295" s="23" t="s">
        <v>811</v>
      </c>
      <c r="K295" s="102"/>
      <c r="L295" s="102"/>
      <c r="M295" s="102"/>
      <c r="N295" s="102"/>
      <c r="O295" s="22"/>
      <c r="P295" s="22"/>
      <c r="Q295" s="22"/>
      <c r="R295" s="22"/>
      <c r="S295" s="22" t="s">
        <v>52</v>
      </c>
      <c r="T295" s="22"/>
      <c r="U295" s="19">
        <v>17</v>
      </c>
      <c r="V295" s="88">
        <v>1</v>
      </c>
      <c r="W295" s="20">
        <f t="shared" si="23"/>
        <v>17</v>
      </c>
      <c r="X295" s="20" t="str">
        <f t="shared" si="24"/>
        <v/>
      </c>
      <c r="Y295" s="22"/>
    </row>
    <row r="296" spans="1:25" ht="32" customHeight="1" x14ac:dyDescent="0.15">
      <c r="A296" s="22" t="s">
        <v>105</v>
      </c>
      <c r="B296" s="22" t="s">
        <v>815</v>
      </c>
      <c r="C296" s="22" t="s">
        <v>816</v>
      </c>
      <c r="D296" s="22" t="s">
        <v>817</v>
      </c>
      <c r="E296" s="21" t="s">
        <v>808</v>
      </c>
      <c r="F296" s="21" t="s">
        <v>809</v>
      </c>
      <c r="G296" s="23" t="s">
        <v>38</v>
      </c>
      <c r="H296" s="102"/>
      <c r="I296" s="102" t="s">
        <v>810</v>
      </c>
      <c r="J296" s="23" t="s">
        <v>811</v>
      </c>
      <c r="K296" s="102"/>
      <c r="L296" s="102"/>
      <c r="M296" s="102"/>
      <c r="N296" s="102"/>
      <c r="O296" s="22"/>
      <c r="P296" s="22"/>
      <c r="Q296" s="22"/>
      <c r="R296" s="22"/>
      <c r="S296" s="22" t="s">
        <v>52</v>
      </c>
      <c r="T296" s="22"/>
      <c r="U296" s="19">
        <v>17</v>
      </c>
      <c r="V296" s="88">
        <v>1</v>
      </c>
      <c r="W296" s="20">
        <f t="shared" si="23"/>
        <v>17</v>
      </c>
      <c r="X296" s="20" t="str">
        <f t="shared" si="24"/>
        <v/>
      </c>
      <c r="Y296" s="22"/>
    </row>
    <row r="297" spans="1:25" ht="32" customHeight="1" x14ac:dyDescent="0.15">
      <c r="A297" s="22" t="s">
        <v>105</v>
      </c>
      <c r="B297" s="22" t="s">
        <v>818</v>
      </c>
      <c r="C297" s="22" t="s">
        <v>819</v>
      </c>
      <c r="D297" s="22" t="s">
        <v>820</v>
      </c>
      <c r="E297" s="21" t="s">
        <v>808</v>
      </c>
      <c r="F297" s="21" t="s">
        <v>809</v>
      </c>
      <c r="G297" s="23" t="s">
        <v>38</v>
      </c>
      <c r="H297" s="102"/>
      <c r="I297" s="102" t="s">
        <v>810</v>
      </c>
      <c r="J297" s="23" t="s">
        <v>811</v>
      </c>
      <c r="K297" s="102"/>
      <c r="L297" s="102"/>
      <c r="M297" s="102"/>
      <c r="N297" s="102"/>
      <c r="O297" s="22"/>
      <c r="P297" s="22"/>
      <c r="Q297" s="22"/>
      <c r="R297" s="22"/>
      <c r="S297" s="22" t="s">
        <v>52</v>
      </c>
      <c r="T297" s="22"/>
      <c r="U297" s="19">
        <v>17</v>
      </c>
      <c r="V297" s="88">
        <v>1</v>
      </c>
      <c r="W297" s="20">
        <f t="shared" si="23"/>
        <v>17</v>
      </c>
      <c r="X297" s="20" t="str">
        <f t="shared" si="24"/>
        <v/>
      </c>
      <c r="Y297" s="22"/>
    </row>
    <row r="298" spans="1:25" ht="48" customHeight="1" x14ac:dyDescent="0.15">
      <c r="A298" s="22" t="s">
        <v>105</v>
      </c>
      <c r="B298" s="22" t="s">
        <v>821</v>
      </c>
      <c r="C298" s="22" t="s">
        <v>822</v>
      </c>
      <c r="D298" s="22" t="s">
        <v>823</v>
      </c>
      <c r="E298" s="21" t="s">
        <v>808</v>
      </c>
      <c r="F298" s="21" t="s">
        <v>809</v>
      </c>
      <c r="G298" s="23" t="s">
        <v>38</v>
      </c>
      <c r="H298" s="102"/>
      <c r="I298" s="102" t="s">
        <v>810</v>
      </c>
      <c r="J298" s="23" t="s">
        <v>811</v>
      </c>
      <c r="K298" s="102"/>
      <c r="L298" s="102"/>
      <c r="M298" s="102"/>
      <c r="N298" s="102"/>
      <c r="O298" s="22"/>
      <c r="P298" s="22"/>
      <c r="Q298" s="22"/>
      <c r="R298" s="22"/>
      <c r="S298" s="22" t="s">
        <v>52</v>
      </c>
      <c r="T298" s="22"/>
      <c r="U298" s="19">
        <v>17</v>
      </c>
      <c r="V298" s="88">
        <v>1</v>
      </c>
      <c r="W298" s="20">
        <f t="shared" si="23"/>
        <v>17</v>
      </c>
      <c r="X298" s="20" t="str">
        <f t="shared" si="24"/>
        <v/>
      </c>
      <c r="Y298" s="22"/>
    </row>
    <row r="299" spans="1:25" ht="48" customHeight="1" x14ac:dyDescent="0.15">
      <c r="A299" s="22" t="s">
        <v>105</v>
      </c>
      <c r="B299" s="22" t="s">
        <v>824</v>
      </c>
      <c r="C299" s="22" t="s">
        <v>825</v>
      </c>
      <c r="D299" s="22" t="s">
        <v>826</v>
      </c>
      <c r="E299" s="21" t="s">
        <v>808</v>
      </c>
      <c r="F299" s="21" t="s">
        <v>809</v>
      </c>
      <c r="G299" s="23" t="s">
        <v>38</v>
      </c>
      <c r="H299" s="102"/>
      <c r="I299" s="102" t="s">
        <v>810</v>
      </c>
      <c r="J299" s="23" t="s">
        <v>811</v>
      </c>
      <c r="K299" s="102"/>
      <c r="L299" s="102"/>
      <c r="M299" s="102"/>
      <c r="N299" s="102"/>
      <c r="O299" s="22"/>
      <c r="P299" s="22"/>
      <c r="Q299" s="22"/>
      <c r="R299" s="22"/>
      <c r="S299" s="22" t="s">
        <v>52</v>
      </c>
      <c r="T299" s="22"/>
      <c r="U299" s="19">
        <v>17</v>
      </c>
      <c r="V299" s="88">
        <v>1</v>
      </c>
      <c r="W299" s="20">
        <f t="shared" si="23"/>
        <v>17</v>
      </c>
      <c r="X299" s="20" t="str">
        <f t="shared" si="24"/>
        <v/>
      </c>
      <c r="Y299" s="22"/>
    </row>
    <row r="300" spans="1:25" ht="48" customHeight="1" x14ac:dyDescent="0.15">
      <c r="A300" s="22" t="s">
        <v>105</v>
      </c>
      <c r="B300" s="22" t="s">
        <v>827</v>
      </c>
      <c r="C300" s="22" t="s">
        <v>828</v>
      </c>
      <c r="D300" s="22" t="s">
        <v>829</v>
      </c>
      <c r="E300" s="21" t="s">
        <v>808</v>
      </c>
      <c r="F300" s="21" t="s">
        <v>809</v>
      </c>
      <c r="G300" s="23" t="s">
        <v>38</v>
      </c>
      <c r="H300" s="102"/>
      <c r="I300" s="102" t="s">
        <v>810</v>
      </c>
      <c r="J300" s="23" t="s">
        <v>811</v>
      </c>
      <c r="K300" s="102"/>
      <c r="L300" s="102"/>
      <c r="M300" s="102"/>
      <c r="N300" s="102"/>
      <c r="O300" s="22"/>
      <c r="P300" s="22"/>
      <c r="Q300" s="22"/>
      <c r="R300" s="22"/>
      <c r="S300" s="22" t="s">
        <v>52</v>
      </c>
      <c r="T300" s="22"/>
      <c r="U300" s="19">
        <v>17</v>
      </c>
      <c r="V300" s="88">
        <v>1</v>
      </c>
      <c r="W300" s="20">
        <f t="shared" si="23"/>
        <v>17</v>
      </c>
      <c r="X300" s="20" t="str">
        <f t="shared" si="24"/>
        <v/>
      </c>
      <c r="Y300" s="22"/>
    </row>
    <row r="301" spans="1:25" ht="48" customHeight="1" x14ac:dyDescent="0.15">
      <c r="A301" s="22" t="s">
        <v>105</v>
      </c>
      <c r="B301" s="22" t="s">
        <v>830</v>
      </c>
      <c r="C301" s="22" t="s">
        <v>831</v>
      </c>
      <c r="D301" s="22" t="s">
        <v>832</v>
      </c>
      <c r="E301" s="21" t="s">
        <v>808</v>
      </c>
      <c r="F301" s="21" t="s">
        <v>809</v>
      </c>
      <c r="G301" s="23" t="s">
        <v>38</v>
      </c>
      <c r="H301" s="102"/>
      <c r="I301" s="102" t="s">
        <v>810</v>
      </c>
      <c r="J301" s="23" t="s">
        <v>811</v>
      </c>
      <c r="K301" s="102"/>
      <c r="L301" s="102"/>
      <c r="M301" s="102"/>
      <c r="N301" s="102"/>
      <c r="O301" s="22"/>
      <c r="P301" s="22"/>
      <c r="Q301" s="22"/>
      <c r="R301" s="22"/>
      <c r="S301" s="22" t="s">
        <v>52</v>
      </c>
      <c r="T301" s="22"/>
      <c r="U301" s="19">
        <v>17</v>
      </c>
      <c r="V301" s="88">
        <v>1</v>
      </c>
      <c r="W301" s="20">
        <f t="shared" si="23"/>
        <v>17</v>
      </c>
      <c r="X301" s="20" t="str">
        <f t="shared" si="24"/>
        <v/>
      </c>
      <c r="Y301" s="22"/>
    </row>
    <row r="302" spans="1:25" ht="48" customHeight="1" x14ac:dyDescent="0.15">
      <c r="A302" s="22" t="s">
        <v>105</v>
      </c>
      <c r="B302" s="22" t="s">
        <v>833</v>
      </c>
      <c r="C302" s="22" t="s">
        <v>834</v>
      </c>
      <c r="D302" s="22" t="s">
        <v>835</v>
      </c>
      <c r="E302" s="21" t="s">
        <v>808</v>
      </c>
      <c r="F302" s="21" t="s">
        <v>809</v>
      </c>
      <c r="G302" s="23" t="s">
        <v>38</v>
      </c>
      <c r="H302" s="102"/>
      <c r="I302" s="102" t="s">
        <v>810</v>
      </c>
      <c r="J302" s="23" t="s">
        <v>811</v>
      </c>
      <c r="K302" s="102"/>
      <c r="L302" s="102"/>
      <c r="M302" s="102"/>
      <c r="N302" s="102"/>
      <c r="O302" s="22"/>
      <c r="P302" s="22"/>
      <c r="Q302" s="22"/>
      <c r="R302" s="22"/>
      <c r="S302" s="22" t="s">
        <v>52</v>
      </c>
      <c r="T302" s="22"/>
      <c r="U302" s="19">
        <v>17</v>
      </c>
      <c r="V302" s="88">
        <v>1</v>
      </c>
      <c r="W302" s="20">
        <f t="shared" si="23"/>
        <v>17</v>
      </c>
      <c r="X302" s="20" t="str">
        <f t="shared" si="24"/>
        <v/>
      </c>
      <c r="Y302" s="22"/>
    </row>
    <row r="303" spans="1:25" x14ac:dyDescent="0.15">
      <c r="A303" s="21" t="s">
        <v>90</v>
      </c>
      <c r="B303" s="21"/>
      <c r="C303" s="22"/>
      <c r="D303" s="22"/>
      <c r="E303" s="21"/>
      <c r="F303" s="21"/>
      <c r="G303" s="23"/>
      <c r="H303" s="23"/>
      <c r="I303" s="23"/>
      <c r="J303" s="23"/>
      <c r="K303" s="23"/>
      <c r="L303" s="23"/>
      <c r="M303" s="23"/>
      <c r="N303" s="23"/>
      <c r="O303" s="21"/>
      <c r="P303" s="21"/>
      <c r="Q303" s="21"/>
      <c r="R303" s="21"/>
      <c r="S303" s="21"/>
      <c r="T303" s="21"/>
      <c r="U303" s="19">
        <v>17</v>
      </c>
      <c r="V303" s="88">
        <v>1</v>
      </c>
      <c r="W303" s="20">
        <f t="shared" si="23"/>
        <v>17</v>
      </c>
      <c r="X303" s="20" t="str">
        <f t="shared" si="24"/>
        <v/>
      </c>
    </row>
    <row r="304" spans="1:25" x14ac:dyDescent="0.15">
      <c r="A304" s="21"/>
      <c r="B304" s="21"/>
      <c r="C304" s="22"/>
      <c r="D304" s="22"/>
      <c r="E304" s="21"/>
      <c r="F304" s="21"/>
      <c r="G304" s="23"/>
      <c r="H304" s="23"/>
      <c r="I304" s="23"/>
      <c r="J304" s="23"/>
      <c r="K304" s="23"/>
      <c r="L304" s="23"/>
      <c r="M304" s="23"/>
      <c r="N304" s="23"/>
      <c r="O304" s="21"/>
      <c r="P304" s="21"/>
      <c r="Q304" s="21"/>
      <c r="R304" s="21"/>
      <c r="S304" s="21"/>
      <c r="T304" s="21"/>
      <c r="U304" s="19">
        <v>17</v>
      </c>
      <c r="V304" s="88">
        <v>1</v>
      </c>
      <c r="W304" s="20">
        <f t="shared" si="23"/>
        <v>17</v>
      </c>
      <c r="X304" s="20" t="str">
        <f t="shared" si="24"/>
        <v/>
      </c>
    </row>
    <row r="305" spans="1:25" ht="16" customHeight="1" x14ac:dyDescent="0.15">
      <c r="A305" s="21" t="s">
        <v>61</v>
      </c>
      <c r="B305" s="21" t="s">
        <v>836</v>
      </c>
      <c r="C305" s="89" t="s">
        <v>837</v>
      </c>
      <c r="D305" s="89" t="s">
        <v>837</v>
      </c>
      <c r="E305" s="21"/>
      <c r="F305" s="21"/>
      <c r="G305" s="23"/>
      <c r="H305" s="23"/>
      <c r="I305" s="23"/>
      <c r="J305" s="23"/>
      <c r="K305" s="23"/>
      <c r="L305" s="23"/>
      <c r="M305" s="23"/>
      <c r="N305" s="23"/>
      <c r="O305" s="21"/>
      <c r="P305" s="21"/>
      <c r="Q305" s="21"/>
      <c r="R305" s="21"/>
      <c r="S305" s="21" t="s">
        <v>52</v>
      </c>
      <c r="T305" s="21"/>
      <c r="U305" s="19"/>
      <c r="V305" s="88">
        <v>1</v>
      </c>
      <c r="W305" s="20" t="str">
        <f t="shared" si="23"/>
        <v/>
      </c>
      <c r="X305" s="20" t="str">
        <f t="shared" si="24"/>
        <v/>
      </c>
      <c r="Y305" s="21"/>
    </row>
    <row r="306" spans="1:25" ht="48" customHeight="1" x14ac:dyDescent="0.15">
      <c r="A306" s="21" t="s">
        <v>64</v>
      </c>
      <c r="B306" s="21" t="s">
        <v>838</v>
      </c>
      <c r="C306" s="22" t="s">
        <v>839</v>
      </c>
      <c r="D306" s="22" t="s">
        <v>840</v>
      </c>
      <c r="E306" s="21"/>
      <c r="F306" s="21"/>
      <c r="G306" s="23" t="s">
        <v>56</v>
      </c>
      <c r="H306" s="23"/>
      <c r="I306" s="23"/>
      <c r="J306" s="23"/>
      <c r="K306" s="23"/>
      <c r="L306" s="23"/>
      <c r="M306" s="23"/>
      <c r="N306" s="23"/>
      <c r="O306" s="21"/>
      <c r="P306" s="21"/>
      <c r="Q306" s="21"/>
      <c r="R306" s="21"/>
      <c r="S306" s="21" t="s">
        <v>52</v>
      </c>
      <c r="T306" s="21"/>
      <c r="U306" s="19">
        <v>17</v>
      </c>
      <c r="V306" s="88">
        <v>1</v>
      </c>
      <c r="W306" s="20">
        <f t="shared" si="23"/>
        <v>17</v>
      </c>
      <c r="X306" s="20" t="str">
        <f t="shared" si="24"/>
        <v/>
      </c>
      <c r="Y306" s="21"/>
    </row>
    <row r="307" spans="1:25" ht="48" customHeight="1" x14ac:dyDescent="0.15">
      <c r="A307" s="21" t="s">
        <v>105</v>
      </c>
      <c r="B307" s="21" t="s">
        <v>841</v>
      </c>
      <c r="C307" s="22" t="s">
        <v>842</v>
      </c>
      <c r="D307" s="22" t="s">
        <v>843</v>
      </c>
      <c r="E307" s="21" t="s">
        <v>844</v>
      </c>
      <c r="F307" s="21" t="s">
        <v>845</v>
      </c>
      <c r="G307" s="23" t="s">
        <v>38</v>
      </c>
      <c r="H307" s="23"/>
      <c r="I307" s="23" t="s">
        <v>810</v>
      </c>
      <c r="J307" s="23" t="s">
        <v>811</v>
      </c>
      <c r="K307" s="23"/>
      <c r="L307" s="23"/>
      <c r="M307" s="23"/>
      <c r="N307" s="23"/>
      <c r="O307" s="21"/>
      <c r="P307" s="21"/>
      <c r="Q307" s="21"/>
      <c r="R307" s="21"/>
      <c r="S307" s="21" t="s">
        <v>52</v>
      </c>
      <c r="T307" s="21"/>
      <c r="U307" s="19">
        <v>17</v>
      </c>
      <c r="V307" s="88">
        <v>1</v>
      </c>
      <c r="W307" s="20">
        <f t="shared" si="23"/>
        <v>17</v>
      </c>
      <c r="X307" s="20" t="str">
        <f t="shared" si="24"/>
        <v/>
      </c>
      <c r="Y307" s="21"/>
    </row>
    <row r="308" spans="1:25" ht="48" customHeight="1" x14ac:dyDescent="0.15">
      <c r="A308" s="21" t="s">
        <v>105</v>
      </c>
      <c r="B308" s="21" t="s">
        <v>846</v>
      </c>
      <c r="C308" s="22" t="s">
        <v>847</v>
      </c>
      <c r="D308" s="22" t="s">
        <v>848</v>
      </c>
      <c r="E308" s="21" t="s">
        <v>844</v>
      </c>
      <c r="F308" s="21" t="s">
        <v>845</v>
      </c>
      <c r="G308" s="23" t="s">
        <v>38</v>
      </c>
      <c r="H308" s="23"/>
      <c r="I308" s="23" t="s">
        <v>810</v>
      </c>
      <c r="J308" s="23" t="s">
        <v>811</v>
      </c>
      <c r="K308" s="23"/>
      <c r="L308" s="23"/>
      <c r="M308" s="23"/>
      <c r="N308" s="23"/>
      <c r="O308" s="21"/>
      <c r="P308" s="21"/>
      <c r="Q308" s="21"/>
      <c r="R308" s="21"/>
      <c r="S308" s="21" t="s">
        <v>52</v>
      </c>
      <c r="T308" s="21"/>
      <c r="U308" s="19">
        <v>17</v>
      </c>
      <c r="V308" s="88">
        <v>1</v>
      </c>
      <c r="W308" s="20">
        <f t="shared" si="23"/>
        <v>17</v>
      </c>
      <c r="X308" s="20" t="str">
        <f t="shared" si="24"/>
        <v/>
      </c>
      <c r="Y308" s="21"/>
    </row>
    <row r="309" spans="1:25" ht="48" customHeight="1" x14ac:dyDescent="0.15">
      <c r="A309" s="21" t="s">
        <v>105</v>
      </c>
      <c r="B309" s="21" t="s">
        <v>849</v>
      </c>
      <c r="C309" s="22" t="s">
        <v>850</v>
      </c>
      <c r="D309" s="22" t="s">
        <v>851</v>
      </c>
      <c r="E309" s="21" t="s">
        <v>844</v>
      </c>
      <c r="F309" s="21" t="s">
        <v>845</v>
      </c>
      <c r="G309" s="23" t="s">
        <v>38</v>
      </c>
      <c r="H309" s="23"/>
      <c r="I309" s="23" t="s">
        <v>810</v>
      </c>
      <c r="J309" s="23" t="s">
        <v>811</v>
      </c>
      <c r="K309" s="23"/>
      <c r="L309" s="23"/>
      <c r="M309" s="23"/>
      <c r="N309" s="23"/>
      <c r="O309" s="21"/>
      <c r="P309" s="21"/>
      <c r="Q309" s="21"/>
      <c r="R309" s="21"/>
      <c r="S309" s="21" t="s">
        <v>52</v>
      </c>
      <c r="T309" s="21"/>
      <c r="U309" s="19">
        <v>17</v>
      </c>
      <c r="V309" s="88">
        <v>1</v>
      </c>
      <c r="W309" s="20">
        <f t="shared" si="23"/>
        <v>17</v>
      </c>
      <c r="X309" s="20" t="str">
        <f t="shared" si="24"/>
        <v/>
      </c>
      <c r="Y309" s="21"/>
    </row>
    <row r="310" spans="1:25" ht="48" customHeight="1" x14ac:dyDescent="0.15">
      <c r="A310" s="21" t="s">
        <v>105</v>
      </c>
      <c r="B310" s="21" t="s">
        <v>852</v>
      </c>
      <c r="C310" s="22" t="s">
        <v>853</v>
      </c>
      <c r="D310" s="22" t="s">
        <v>854</v>
      </c>
      <c r="E310" s="21" t="s">
        <v>844</v>
      </c>
      <c r="F310" s="21" t="s">
        <v>845</v>
      </c>
      <c r="G310" s="23" t="s">
        <v>38</v>
      </c>
      <c r="H310" s="23"/>
      <c r="I310" s="23" t="s">
        <v>810</v>
      </c>
      <c r="J310" s="23" t="s">
        <v>811</v>
      </c>
      <c r="K310" s="23"/>
      <c r="L310" s="23"/>
      <c r="M310" s="23"/>
      <c r="N310" s="23"/>
      <c r="O310" s="21"/>
      <c r="P310" s="21"/>
      <c r="Q310" s="21"/>
      <c r="R310" s="21"/>
      <c r="S310" s="21" t="s">
        <v>52</v>
      </c>
      <c r="T310" s="21"/>
      <c r="U310" s="19">
        <v>17</v>
      </c>
      <c r="V310" s="88">
        <v>1</v>
      </c>
      <c r="W310" s="20">
        <f t="shared" si="23"/>
        <v>17</v>
      </c>
      <c r="X310" s="20" t="str">
        <f t="shared" si="24"/>
        <v/>
      </c>
      <c r="Y310" s="21"/>
    </row>
    <row r="311" spans="1:25" ht="48" customHeight="1" x14ac:dyDescent="0.15">
      <c r="A311" s="21" t="s">
        <v>105</v>
      </c>
      <c r="B311" s="21" t="s">
        <v>855</v>
      </c>
      <c r="C311" s="22" t="s">
        <v>856</v>
      </c>
      <c r="D311" s="22" t="s">
        <v>857</v>
      </c>
      <c r="E311" s="21" t="s">
        <v>844</v>
      </c>
      <c r="F311" s="21" t="s">
        <v>845</v>
      </c>
      <c r="G311" s="23" t="s">
        <v>38</v>
      </c>
      <c r="H311" s="23"/>
      <c r="I311" s="23" t="s">
        <v>810</v>
      </c>
      <c r="J311" s="23" t="s">
        <v>811</v>
      </c>
      <c r="K311" s="23"/>
      <c r="L311" s="23"/>
      <c r="M311" s="23"/>
      <c r="N311" s="23"/>
      <c r="O311" s="21"/>
      <c r="P311" s="21"/>
      <c r="Q311" s="21"/>
      <c r="R311" s="21"/>
      <c r="S311" s="21" t="s">
        <v>52</v>
      </c>
      <c r="T311" s="21"/>
      <c r="U311" s="19">
        <v>17</v>
      </c>
      <c r="V311" s="88">
        <v>1</v>
      </c>
      <c r="W311" s="20">
        <f t="shared" si="23"/>
        <v>17</v>
      </c>
      <c r="X311" s="20" t="str">
        <f t="shared" si="24"/>
        <v/>
      </c>
      <c r="Y311" s="21"/>
    </row>
    <row r="312" spans="1:25" x14ac:dyDescent="0.15">
      <c r="A312" s="21" t="s">
        <v>90</v>
      </c>
      <c r="B312" s="21"/>
      <c r="C312" s="22"/>
      <c r="D312" s="22"/>
      <c r="E312" s="21"/>
      <c r="F312" s="21"/>
      <c r="G312" s="23"/>
      <c r="H312" s="23"/>
      <c r="I312" s="23"/>
      <c r="J312" s="23"/>
      <c r="K312" s="23"/>
      <c r="L312" s="23"/>
      <c r="M312" s="23"/>
      <c r="N312" s="23"/>
      <c r="O312" s="21"/>
      <c r="P312" s="21"/>
      <c r="Q312" s="21"/>
      <c r="R312" s="21"/>
      <c r="S312" s="21"/>
      <c r="T312" s="21"/>
      <c r="U312" s="19"/>
      <c r="V312" s="88">
        <v>1</v>
      </c>
      <c r="W312" s="20" t="str">
        <f t="shared" si="23"/>
        <v/>
      </c>
      <c r="X312" s="20" t="str">
        <f t="shared" si="24"/>
        <v/>
      </c>
      <c r="Y312" s="21"/>
    </row>
    <row r="313" spans="1:25" x14ac:dyDescent="0.15">
      <c r="A313" s="21"/>
      <c r="B313" s="21"/>
      <c r="C313" s="22"/>
      <c r="D313" s="22"/>
      <c r="E313" s="21"/>
      <c r="F313" s="21"/>
      <c r="G313" s="23"/>
      <c r="H313" s="23"/>
      <c r="I313" s="23"/>
      <c r="J313" s="23"/>
      <c r="K313" s="23"/>
      <c r="L313" s="23"/>
      <c r="M313" s="23"/>
      <c r="N313" s="23"/>
      <c r="O313" s="21"/>
      <c r="P313" s="21"/>
      <c r="Q313" s="21"/>
      <c r="R313" s="21"/>
      <c r="S313" s="21"/>
      <c r="T313" s="21"/>
      <c r="U313" s="19"/>
      <c r="V313" s="88">
        <v>1</v>
      </c>
      <c r="W313" s="20" t="str">
        <f t="shared" si="23"/>
        <v/>
      </c>
      <c r="X313" s="20" t="str">
        <f t="shared" si="24"/>
        <v/>
      </c>
      <c r="Y313" s="21"/>
    </row>
    <row r="314" spans="1:25" ht="15" customHeight="1" thickBot="1" x14ac:dyDescent="0.2">
      <c r="A314" s="64" t="s">
        <v>90</v>
      </c>
      <c r="B314" s="64"/>
      <c r="C314" s="65"/>
      <c r="D314" s="65"/>
      <c r="E314" s="64"/>
      <c r="F314" s="64"/>
      <c r="G314" s="66"/>
      <c r="H314" s="66"/>
      <c r="I314" s="66"/>
      <c r="J314" s="66"/>
      <c r="K314" s="66"/>
      <c r="L314" s="66"/>
      <c r="M314" s="66"/>
      <c r="N314" s="66"/>
      <c r="U314" s="19"/>
      <c r="W314" s="20" t="str">
        <f t="shared" si="23"/>
        <v/>
      </c>
      <c r="X314" s="20" t="str">
        <f t="shared" si="24"/>
        <v/>
      </c>
    </row>
    <row r="315" spans="1:25" ht="15" customHeight="1" thickTop="1" x14ac:dyDescent="0.15">
      <c r="A315" s="37" t="s">
        <v>61</v>
      </c>
      <c r="B315" s="37" t="s">
        <v>858</v>
      </c>
      <c r="C315" s="38" t="s">
        <v>859</v>
      </c>
      <c r="D315" s="38" t="s">
        <v>860</v>
      </c>
      <c r="E315" s="37"/>
      <c r="F315" s="37"/>
      <c r="G315" s="39" t="s">
        <v>56</v>
      </c>
      <c r="H315" s="39"/>
      <c r="I315" s="39"/>
      <c r="J315" s="39"/>
      <c r="K315" s="39" t="s">
        <v>861</v>
      </c>
      <c r="L315" s="39"/>
      <c r="M315" s="39"/>
      <c r="N315" s="39"/>
      <c r="O315" s="40"/>
      <c r="P315" s="40"/>
      <c r="Q315" s="40"/>
      <c r="R315" s="40"/>
      <c r="S315" s="1" t="s">
        <v>40</v>
      </c>
      <c r="T315" s="40"/>
      <c r="U315" s="19"/>
      <c r="V315" s="41"/>
      <c r="W315" s="20" t="str">
        <f t="shared" si="23"/>
        <v/>
      </c>
      <c r="X315" s="20" t="str">
        <f t="shared" si="24"/>
        <v/>
      </c>
      <c r="Y315" s="41"/>
    </row>
    <row r="316" spans="1:25" ht="15" customHeight="1" x14ac:dyDescent="0.15">
      <c r="A316" s="40"/>
      <c r="B316" s="40"/>
      <c r="C316" s="77"/>
      <c r="D316" s="77"/>
      <c r="E316" s="40"/>
      <c r="F316" s="40"/>
      <c r="G316" s="78"/>
      <c r="H316" s="78"/>
      <c r="I316" s="78"/>
      <c r="J316" s="78"/>
      <c r="K316" s="78"/>
      <c r="L316" s="78"/>
      <c r="M316" s="78"/>
      <c r="N316" s="78"/>
      <c r="O316" s="40"/>
      <c r="P316" s="40"/>
      <c r="Q316" s="40"/>
      <c r="R316" s="40"/>
      <c r="T316" s="40"/>
      <c r="U316" s="19"/>
      <c r="V316" s="88">
        <v>1</v>
      </c>
      <c r="W316" s="20" t="str">
        <f t="shared" si="23"/>
        <v/>
      </c>
      <c r="X316" s="20" t="str">
        <f t="shared" si="24"/>
        <v/>
      </c>
      <c r="Y316" s="41"/>
    </row>
    <row r="317" spans="1:25" ht="42" customHeight="1" x14ac:dyDescent="0.15">
      <c r="A317" s="16" t="s">
        <v>162</v>
      </c>
      <c r="B317" s="16" t="s">
        <v>862</v>
      </c>
      <c r="C317" s="17" t="s">
        <v>863</v>
      </c>
      <c r="D317" s="17" t="s">
        <v>864</v>
      </c>
      <c r="E317" s="16"/>
      <c r="F317" s="16"/>
      <c r="G317" s="18" t="s">
        <v>38</v>
      </c>
      <c r="H317" s="18"/>
      <c r="I317" s="18"/>
      <c r="J317" s="18"/>
      <c r="K317" s="18"/>
      <c r="L317" s="18"/>
      <c r="M317" s="18"/>
      <c r="N317" s="18"/>
      <c r="S317" s="1" t="s">
        <v>40</v>
      </c>
      <c r="U317" s="19">
        <v>19.828245162963899</v>
      </c>
      <c r="V317" s="88">
        <v>1</v>
      </c>
      <c r="W317" s="20">
        <f t="shared" si="23"/>
        <v>19.828245162963899</v>
      </c>
      <c r="X317" s="20">
        <f t="shared" si="24"/>
        <v>19.828245162963899</v>
      </c>
    </row>
    <row r="318" spans="1:25" ht="42" customHeight="1" x14ac:dyDescent="0.15">
      <c r="A318" s="16" t="s">
        <v>865</v>
      </c>
      <c r="B318" s="16" t="s">
        <v>866</v>
      </c>
      <c r="C318" s="17" t="s">
        <v>867</v>
      </c>
      <c r="D318" s="17" t="s">
        <v>868</v>
      </c>
      <c r="E318" s="16" t="s">
        <v>869</v>
      </c>
      <c r="F318" s="31" t="s">
        <v>870</v>
      </c>
      <c r="G318" s="18" t="s">
        <v>38</v>
      </c>
      <c r="H318" s="18"/>
      <c r="I318" s="33" t="s">
        <v>342</v>
      </c>
      <c r="J318" s="18"/>
      <c r="K318" s="18" t="s">
        <v>871</v>
      </c>
      <c r="L318" s="18"/>
      <c r="M318" s="18"/>
      <c r="N318" s="18"/>
      <c r="S318" s="1" t="s">
        <v>40</v>
      </c>
      <c r="U318" s="19">
        <v>49.529693603515597</v>
      </c>
      <c r="V318" s="88">
        <v>1</v>
      </c>
      <c r="W318" s="20">
        <f t="shared" si="23"/>
        <v>49.529693603515597</v>
      </c>
      <c r="X318" s="20">
        <f t="shared" si="24"/>
        <v>49.529693603515597</v>
      </c>
    </row>
    <row r="319" spans="1:25" ht="16" customHeight="1" x14ac:dyDescent="0.15">
      <c r="A319" s="16" t="s">
        <v>43</v>
      </c>
      <c r="B319" s="16" t="s">
        <v>872</v>
      </c>
      <c r="C319" s="32" t="s">
        <v>433</v>
      </c>
      <c r="D319" s="17" t="s">
        <v>434</v>
      </c>
      <c r="E319" s="6" t="s">
        <v>435</v>
      </c>
      <c r="F319" s="6" t="s">
        <v>654</v>
      </c>
      <c r="G319" s="18" t="s">
        <v>38</v>
      </c>
      <c r="H319" s="18"/>
      <c r="I319" s="18"/>
      <c r="J319" s="18"/>
      <c r="K319" s="18" t="s">
        <v>873</v>
      </c>
      <c r="L319" s="18"/>
      <c r="M319" s="18"/>
      <c r="N319" s="18"/>
      <c r="S319" s="1" t="s">
        <v>40</v>
      </c>
      <c r="U319" s="19"/>
      <c r="V319" s="88">
        <v>1</v>
      </c>
      <c r="W319" s="20" t="str">
        <f t="shared" si="23"/>
        <v/>
      </c>
      <c r="X319" s="20" t="str">
        <f t="shared" si="24"/>
        <v/>
      </c>
    </row>
    <row r="320" spans="1:25" x14ac:dyDescent="0.15">
      <c r="F320" s="6"/>
      <c r="U320" s="19"/>
      <c r="V320" s="88">
        <v>1</v>
      </c>
      <c r="W320" s="20" t="str">
        <f t="shared" si="23"/>
        <v/>
      </c>
      <c r="X320" s="20" t="str">
        <f t="shared" si="24"/>
        <v/>
      </c>
    </row>
    <row r="321" spans="1:25" ht="32" customHeight="1" x14ac:dyDescent="0.15">
      <c r="A321" s="31" t="s">
        <v>874</v>
      </c>
      <c r="B321" s="31" t="s">
        <v>875</v>
      </c>
      <c r="C321" s="32" t="s">
        <v>876</v>
      </c>
      <c r="D321" s="17" t="s">
        <v>877</v>
      </c>
      <c r="E321" s="31" t="s">
        <v>878</v>
      </c>
      <c r="F321" s="31" t="s">
        <v>879</v>
      </c>
      <c r="G321" s="33" t="s">
        <v>38</v>
      </c>
      <c r="H321" s="33"/>
      <c r="I321" s="33" t="s">
        <v>880</v>
      </c>
      <c r="J321" s="33"/>
      <c r="K321" s="33"/>
      <c r="L321" s="33"/>
      <c r="M321" s="33"/>
      <c r="N321" s="33"/>
      <c r="O321" s="6"/>
      <c r="P321" s="6"/>
      <c r="Q321" s="6"/>
      <c r="R321" s="6"/>
      <c r="S321" s="6" t="s">
        <v>52</v>
      </c>
      <c r="T321" s="6"/>
      <c r="U321" s="19">
        <v>22.029750823974599</v>
      </c>
      <c r="V321" s="88">
        <v>1</v>
      </c>
      <c r="W321" s="20">
        <f t="shared" si="23"/>
        <v>22.029750823974599</v>
      </c>
      <c r="X321" s="20" t="str">
        <f t="shared" si="24"/>
        <v/>
      </c>
    </row>
    <row r="322" spans="1:25" ht="16" customHeight="1" x14ac:dyDescent="0.15">
      <c r="A322" s="31" t="s">
        <v>43</v>
      </c>
      <c r="B322" s="31" t="s">
        <v>881</v>
      </c>
      <c r="C322" s="32" t="s">
        <v>433</v>
      </c>
      <c r="D322" s="17" t="s">
        <v>434</v>
      </c>
      <c r="E322" s="31" t="s">
        <v>435</v>
      </c>
      <c r="F322" s="6" t="s">
        <v>654</v>
      </c>
      <c r="G322" s="33" t="s">
        <v>38</v>
      </c>
      <c r="H322" s="33"/>
      <c r="I322" s="33"/>
      <c r="J322" s="33"/>
      <c r="K322" s="33" t="s">
        <v>882</v>
      </c>
      <c r="L322" s="33"/>
      <c r="M322" s="33"/>
      <c r="N322" s="33"/>
      <c r="O322" s="6"/>
      <c r="P322" s="6"/>
      <c r="Q322" s="6"/>
      <c r="R322" s="6"/>
      <c r="S322" s="6" t="s">
        <v>52</v>
      </c>
      <c r="T322" s="6"/>
      <c r="U322" s="19"/>
      <c r="V322" s="88">
        <v>1</v>
      </c>
      <c r="W322" s="20" t="str">
        <f t="shared" si="23"/>
        <v/>
      </c>
      <c r="X322" s="20" t="str">
        <f t="shared" si="24"/>
        <v/>
      </c>
    </row>
    <row r="323" spans="1:25" ht="16" customHeight="1" x14ac:dyDescent="0.15">
      <c r="A323" s="31" t="s">
        <v>883</v>
      </c>
      <c r="B323" s="31" t="s">
        <v>884</v>
      </c>
      <c r="C323" s="32" t="s">
        <v>885</v>
      </c>
      <c r="D323" s="17" t="s">
        <v>886</v>
      </c>
      <c r="E323" s="31" t="s">
        <v>887</v>
      </c>
      <c r="F323" s="31" t="s">
        <v>888</v>
      </c>
      <c r="G323" s="33" t="s">
        <v>38</v>
      </c>
      <c r="H323" s="33"/>
      <c r="I323" s="33"/>
      <c r="J323" s="33"/>
      <c r="K323" s="33" t="s">
        <v>889</v>
      </c>
      <c r="L323" s="33"/>
      <c r="M323" s="33"/>
      <c r="N323" s="33"/>
      <c r="O323" s="6"/>
      <c r="P323" s="6"/>
      <c r="Q323" s="6"/>
      <c r="R323" s="6"/>
      <c r="S323" s="6" t="s">
        <v>52</v>
      </c>
      <c r="T323" s="6"/>
      <c r="U323" s="19">
        <v>17</v>
      </c>
      <c r="V323" s="88">
        <v>1</v>
      </c>
      <c r="W323" s="20">
        <f t="shared" si="23"/>
        <v>17</v>
      </c>
      <c r="X323" s="20" t="str">
        <f t="shared" si="24"/>
        <v/>
      </c>
    </row>
    <row r="324" spans="1:25" x14ac:dyDescent="0.15">
      <c r="A324" s="21"/>
      <c r="B324" s="21"/>
      <c r="C324" s="22"/>
      <c r="D324" s="22"/>
      <c r="E324" s="21"/>
      <c r="F324" s="21"/>
      <c r="G324" s="23"/>
      <c r="H324" s="23"/>
      <c r="I324" s="23"/>
      <c r="J324" s="23"/>
      <c r="K324" s="23"/>
      <c r="L324" s="23"/>
      <c r="M324" s="23"/>
      <c r="N324" s="23"/>
      <c r="O324" s="21"/>
      <c r="Q324" s="21"/>
      <c r="R324" s="21"/>
      <c r="S324" s="21"/>
      <c r="T324" s="21"/>
      <c r="U324" s="19"/>
      <c r="V324" s="88">
        <v>1</v>
      </c>
      <c r="W324" s="20" t="str">
        <f t="shared" si="23"/>
        <v/>
      </c>
      <c r="X324" s="20" t="str">
        <f t="shared" si="24"/>
        <v/>
      </c>
    </row>
    <row r="325" spans="1:25" ht="16" customHeight="1" x14ac:dyDescent="0.15">
      <c r="A325" s="21" t="s">
        <v>890</v>
      </c>
      <c r="B325" s="21" t="s">
        <v>891</v>
      </c>
      <c r="C325" s="22" t="s">
        <v>892</v>
      </c>
      <c r="D325" s="22" t="s">
        <v>893</v>
      </c>
      <c r="E325" s="21" t="s">
        <v>894</v>
      </c>
      <c r="F325" s="21" t="s">
        <v>450</v>
      </c>
      <c r="G325" s="23" t="s">
        <v>38</v>
      </c>
      <c r="H325" s="23"/>
      <c r="I325" s="63" t="s">
        <v>342</v>
      </c>
      <c r="J325" s="23"/>
      <c r="K325" s="63" t="s">
        <v>889</v>
      </c>
      <c r="L325" s="23"/>
      <c r="M325" s="23"/>
      <c r="N325" s="23"/>
      <c r="O325" s="21"/>
      <c r="Q325" s="21"/>
      <c r="R325" s="21"/>
      <c r="S325" s="21"/>
      <c r="T325" s="21"/>
      <c r="U325" s="19"/>
      <c r="V325" s="88"/>
      <c r="W325" s="20"/>
      <c r="X325" s="20"/>
    </row>
    <row r="326" spans="1:25" ht="28.75" customHeight="1" x14ac:dyDescent="0.15">
      <c r="A326" s="21" t="s">
        <v>895</v>
      </c>
      <c r="B326" s="21" t="s">
        <v>896</v>
      </c>
      <c r="C326" s="22" t="s">
        <v>897</v>
      </c>
      <c r="D326" s="22" t="s">
        <v>898</v>
      </c>
      <c r="E326" s="21"/>
      <c r="F326" s="21"/>
      <c r="G326" s="23"/>
      <c r="H326" s="23"/>
      <c r="I326" s="23"/>
      <c r="J326" s="23"/>
      <c r="K326" s="23"/>
      <c r="L326" s="23"/>
      <c r="M326" s="23"/>
      <c r="N326" s="23"/>
      <c r="O326" s="21"/>
      <c r="Q326" s="21"/>
      <c r="R326" s="21"/>
      <c r="S326" s="21"/>
      <c r="T326" s="21"/>
      <c r="U326" s="19"/>
      <c r="V326" s="88"/>
      <c r="W326" s="20"/>
      <c r="X326" s="20"/>
    </row>
    <row r="327" spans="1:25" ht="15" customHeight="1" thickBot="1" x14ac:dyDescent="0.2">
      <c r="A327" s="64" t="s">
        <v>90</v>
      </c>
      <c r="B327" s="64"/>
      <c r="C327" s="65"/>
      <c r="D327" s="65"/>
      <c r="E327" s="64"/>
      <c r="F327" s="64"/>
      <c r="G327" s="66"/>
      <c r="H327" s="66"/>
      <c r="I327" s="66"/>
      <c r="J327" s="66"/>
      <c r="K327" s="66"/>
      <c r="L327" s="66"/>
      <c r="M327" s="66"/>
      <c r="N327" s="66"/>
      <c r="U327" s="19"/>
      <c r="W327" s="20" t="str">
        <f t="shared" ref="W327:W339" si="25">IF(U327&lt;&gt;"",U327*V327,"")</f>
        <v/>
      </c>
      <c r="X327" s="20" t="str">
        <f t="shared" ref="X327:X339" si="26">IF(AND(U327&lt;&gt;"",S327="yes"),U327*V327,"")</f>
        <v/>
      </c>
    </row>
    <row r="328" spans="1:25" ht="16" customHeight="1" thickTop="1" x14ac:dyDescent="0.15">
      <c r="A328" s="37" t="s">
        <v>61</v>
      </c>
      <c r="B328" s="37" t="s">
        <v>899</v>
      </c>
      <c r="C328" s="38" t="s">
        <v>900</v>
      </c>
      <c r="D328" s="38" t="s">
        <v>901</v>
      </c>
      <c r="E328" s="37"/>
      <c r="F328" s="37"/>
      <c r="G328" s="39" t="s">
        <v>56</v>
      </c>
      <c r="H328" s="39"/>
      <c r="I328" s="39"/>
      <c r="J328" s="39"/>
      <c r="K328" s="39" t="s">
        <v>171</v>
      </c>
      <c r="L328" s="39"/>
      <c r="M328" s="39"/>
      <c r="N328" s="39"/>
      <c r="O328" s="40"/>
      <c r="P328" s="40"/>
      <c r="Q328" s="40"/>
      <c r="R328" s="40"/>
      <c r="S328" s="1" t="s">
        <v>40</v>
      </c>
      <c r="T328" s="40"/>
      <c r="U328" s="19"/>
      <c r="W328" s="20" t="str">
        <f t="shared" si="25"/>
        <v/>
      </c>
      <c r="X328" s="20" t="str">
        <f t="shared" si="26"/>
        <v/>
      </c>
      <c r="Y328" s="41"/>
    </row>
    <row r="329" spans="1:25" x14ac:dyDescent="0.15">
      <c r="A329" s="40"/>
      <c r="B329" s="40"/>
      <c r="C329" s="77"/>
      <c r="D329" s="77"/>
      <c r="E329" s="40"/>
      <c r="F329" s="40"/>
      <c r="G329" s="78"/>
      <c r="H329" s="78"/>
      <c r="I329" s="78"/>
      <c r="J329" s="78"/>
      <c r="K329" s="78"/>
      <c r="L329" s="78"/>
      <c r="M329" s="78"/>
      <c r="N329" s="78"/>
      <c r="O329" s="40"/>
      <c r="P329" s="40"/>
      <c r="Q329" s="40"/>
      <c r="R329" s="40"/>
      <c r="T329" s="40"/>
      <c r="U329" s="19"/>
      <c r="V329" s="88">
        <v>1</v>
      </c>
      <c r="W329" s="20" t="str">
        <f t="shared" si="25"/>
        <v/>
      </c>
      <c r="X329" s="20" t="str">
        <f t="shared" si="26"/>
        <v/>
      </c>
      <c r="Y329" s="41"/>
    </row>
    <row r="330" spans="1:25" ht="32" customHeight="1" x14ac:dyDescent="0.15">
      <c r="A330" s="16" t="s">
        <v>902</v>
      </c>
      <c r="B330" s="16" t="s">
        <v>903</v>
      </c>
      <c r="C330" s="17" t="s">
        <v>904</v>
      </c>
      <c r="D330" s="32" t="s">
        <v>905</v>
      </c>
      <c r="E330" s="16"/>
      <c r="F330" s="16"/>
      <c r="G330" s="18" t="s">
        <v>38</v>
      </c>
      <c r="H330" s="18"/>
      <c r="I330" s="18"/>
      <c r="J330" s="18"/>
      <c r="K330" s="18"/>
      <c r="L330" s="18"/>
      <c r="M330" s="18"/>
      <c r="N330" s="18"/>
      <c r="S330" s="1" t="s">
        <v>40</v>
      </c>
      <c r="U330" s="19">
        <v>36.783046722412102</v>
      </c>
      <c r="V330" s="88">
        <v>1</v>
      </c>
      <c r="W330" s="20">
        <f t="shared" si="25"/>
        <v>36.783046722412102</v>
      </c>
      <c r="X330" s="20">
        <f t="shared" si="26"/>
        <v>36.783046722412102</v>
      </c>
    </row>
    <row r="331" spans="1:25" x14ac:dyDescent="0.15">
      <c r="D331" s="54"/>
      <c r="U331" s="19"/>
      <c r="V331" s="88">
        <v>1</v>
      </c>
      <c r="W331" s="20" t="str">
        <f t="shared" si="25"/>
        <v/>
      </c>
      <c r="X331" s="20" t="str">
        <f t="shared" si="26"/>
        <v/>
      </c>
    </row>
    <row r="332" spans="1:25" ht="16" customHeight="1" x14ac:dyDescent="0.15">
      <c r="A332" s="44" t="s">
        <v>906</v>
      </c>
      <c r="B332" s="44" t="s">
        <v>907</v>
      </c>
      <c r="C332" s="103" t="s">
        <v>908</v>
      </c>
      <c r="D332" s="103" t="s">
        <v>909</v>
      </c>
      <c r="E332" s="44" t="s">
        <v>910</v>
      </c>
      <c r="F332" s="44" t="s">
        <v>911</v>
      </c>
      <c r="G332" s="47" t="s">
        <v>38</v>
      </c>
      <c r="H332" s="47"/>
      <c r="I332" s="104"/>
      <c r="J332" s="47"/>
      <c r="K332" s="47" t="s">
        <v>912</v>
      </c>
      <c r="L332" s="47"/>
      <c r="M332" s="47"/>
      <c r="N332" s="47"/>
      <c r="O332" s="21"/>
      <c r="P332" s="21"/>
      <c r="Q332" s="21"/>
      <c r="R332" s="21"/>
      <c r="S332" s="46" t="s">
        <v>122</v>
      </c>
      <c r="T332" s="21"/>
      <c r="U332" s="19">
        <v>10</v>
      </c>
      <c r="V332" s="88">
        <v>1</v>
      </c>
      <c r="W332" s="20">
        <f t="shared" si="25"/>
        <v>10</v>
      </c>
      <c r="X332" s="20" t="str">
        <f t="shared" si="26"/>
        <v/>
      </c>
    </row>
    <row r="333" spans="1:25" ht="16" customHeight="1" x14ac:dyDescent="0.15">
      <c r="A333" s="44" t="s">
        <v>913</v>
      </c>
      <c r="B333" s="44" t="s">
        <v>914</v>
      </c>
      <c r="C333" s="103" t="s">
        <v>915</v>
      </c>
      <c r="D333" s="103" t="s">
        <v>916</v>
      </c>
      <c r="E333" s="44" t="s">
        <v>910</v>
      </c>
      <c r="F333" s="44" t="s">
        <v>911</v>
      </c>
      <c r="G333" s="47" t="s">
        <v>38</v>
      </c>
      <c r="H333" s="47"/>
      <c r="I333" s="104"/>
      <c r="J333" s="47"/>
      <c r="K333" s="47" t="s">
        <v>912</v>
      </c>
      <c r="L333" s="47"/>
      <c r="M333" s="47"/>
      <c r="N333" s="47"/>
      <c r="O333" s="21"/>
      <c r="P333" s="21"/>
      <c r="Q333" s="21"/>
      <c r="R333" s="21"/>
      <c r="S333" s="46" t="s">
        <v>122</v>
      </c>
      <c r="T333" s="21"/>
      <c r="U333" s="19">
        <v>10</v>
      </c>
      <c r="V333" s="88">
        <v>1</v>
      </c>
      <c r="W333" s="20">
        <f t="shared" si="25"/>
        <v>10</v>
      </c>
      <c r="X333" s="20" t="str">
        <f t="shared" si="26"/>
        <v/>
      </c>
    </row>
    <row r="334" spans="1:25" x14ac:dyDescent="0.15">
      <c r="A334" s="21"/>
      <c r="B334" s="21"/>
      <c r="C334" s="22"/>
      <c r="D334" s="54"/>
      <c r="E334" s="21"/>
      <c r="F334" s="21"/>
      <c r="G334" s="23"/>
      <c r="H334" s="23"/>
      <c r="I334" s="23"/>
      <c r="J334" s="23"/>
      <c r="K334" s="23"/>
      <c r="L334" s="23"/>
      <c r="M334" s="23"/>
      <c r="N334" s="23"/>
      <c r="O334" s="21"/>
      <c r="P334" s="21"/>
      <c r="Q334" s="21"/>
      <c r="R334" s="21"/>
      <c r="S334" s="21"/>
      <c r="T334" s="21"/>
      <c r="U334" s="19"/>
      <c r="V334" s="88">
        <v>1</v>
      </c>
      <c r="W334" s="20" t="str">
        <f t="shared" si="25"/>
        <v/>
      </c>
      <c r="X334" s="20" t="str">
        <f t="shared" si="26"/>
        <v/>
      </c>
    </row>
    <row r="335" spans="1:25" ht="16" customHeight="1" x14ac:dyDescent="0.15">
      <c r="A335" s="16" t="s">
        <v>917</v>
      </c>
      <c r="B335" s="16" t="s">
        <v>918</v>
      </c>
      <c r="C335" s="17" t="s">
        <v>919</v>
      </c>
      <c r="D335" s="32" t="s">
        <v>920</v>
      </c>
      <c r="E335" s="16"/>
      <c r="F335" s="16"/>
      <c r="G335" s="18" t="s">
        <v>38</v>
      </c>
      <c r="H335" s="18"/>
      <c r="I335" s="18"/>
      <c r="J335" s="18"/>
      <c r="K335" s="18"/>
      <c r="L335" s="18"/>
      <c r="M335" s="18"/>
      <c r="N335" s="18"/>
      <c r="S335" s="1" t="s">
        <v>40</v>
      </c>
      <c r="U335" s="19">
        <v>3</v>
      </c>
      <c r="V335" s="88">
        <v>1</v>
      </c>
      <c r="W335" s="20">
        <f t="shared" si="25"/>
        <v>3</v>
      </c>
      <c r="X335" s="20">
        <f t="shared" si="26"/>
        <v>3</v>
      </c>
    </row>
    <row r="336" spans="1:25" x14ac:dyDescent="0.15">
      <c r="D336" s="54"/>
      <c r="U336" s="19"/>
      <c r="V336" s="88">
        <v>1</v>
      </c>
      <c r="W336" s="20" t="str">
        <f t="shared" si="25"/>
        <v/>
      </c>
      <c r="X336" s="20" t="str">
        <f t="shared" si="26"/>
        <v/>
      </c>
    </row>
    <row r="337" spans="1:25" ht="16" customHeight="1" x14ac:dyDescent="0.15">
      <c r="A337" s="16" t="s">
        <v>64</v>
      </c>
      <c r="B337" s="16" t="s">
        <v>921</v>
      </c>
      <c r="C337" s="50" t="s">
        <v>922</v>
      </c>
      <c r="D337" s="32" t="s">
        <v>923</v>
      </c>
      <c r="E337" s="16"/>
      <c r="F337" s="16"/>
      <c r="G337" s="18" t="s">
        <v>56</v>
      </c>
      <c r="H337" s="18"/>
      <c r="I337" s="18"/>
      <c r="J337" s="18"/>
      <c r="K337" s="18"/>
      <c r="L337" s="18"/>
      <c r="M337" s="18"/>
      <c r="N337" s="18"/>
      <c r="S337" s="1" t="s">
        <v>52</v>
      </c>
      <c r="U337" s="19">
        <v>0</v>
      </c>
      <c r="V337" s="88">
        <v>1</v>
      </c>
      <c r="W337" s="20">
        <f t="shared" si="25"/>
        <v>0</v>
      </c>
      <c r="X337" s="20" t="str">
        <f t="shared" si="26"/>
        <v/>
      </c>
    </row>
    <row r="338" spans="1:25" x14ac:dyDescent="0.15">
      <c r="U338" s="19"/>
      <c r="V338" s="88">
        <v>1</v>
      </c>
      <c r="W338" s="20" t="str">
        <f t="shared" si="25"/>
        <v/>
      </c>
      <c r="X338" s="20" t="str">
        <f t="shared" si="26"/>
        <v/>
      </c>
    </row>
    <row r="339" spans="1:25" ht="15" customHeight="1" thickBot="1" x14ac:dyDescent="0.2">
      <c r="A339" s="64" t="s">
        <v>90</v>
      </c>
      <c r="B339" s="64"/>
      <c r="C339" s="65"/>
      <c r="D339" s="65"/>
      <c r="E339" s="64"/>
      <c r="F339" s="64"/>
      <c r="G339" s="66"/>
      <c r="H339" s="66"/>
      <c r="I339" s="66"/>
      <c r="J339" s="66"/>
      <c r="K339" s="66"/>
      <c r="L339" s="66"/>
      <c r="M339" s="66"/>
      <c r="N339" s="66"/>
      <c r="U339" s="19"/>
      <c r="W339" s="20" t="str">
        <f t="shared" si="25"/>
        <v/>
      </c>
      <c r="X339" s="20" t="str">
        <f t="shared" si="26"/>
        <v/>
      </c>
    </row>
    <row r="340" spans="1:25" ht="15" customHeight="1" thickTop="1" x14ac:dyDescent="0.15">
      <c r="A340" s="21"/>
      <c r="B340" s="21"/>
      <c r="C340" s="22"/>
      <c r="D340" s="22"/>
      <c r="E340" s="21"/>
      <c r="F340" s="21"/>
      <c r="G340" s="23"/>
      <c r="H340" s="23"/>
      <c r="I340" s="23"/>
      <c r="J340" s="23"/>
      <c r="K340" s="23"/>
      <c r="L340" s="23"/>
      <c r="M340" s="23"/>
      <c r="N340" s="23"/>
      <c r="O340" s="21"/>
      <c r="P340" s="21"/>
      <c r="Q340" s="21"/>
      <c r="R340" s="21"/>
      <c r="S340" s="21"/>
      <c r="T340" s="21"/>
      <c r="U340" s="19"/>
      <c r="V340" s="25"/>
      <c r="W340" s="26"/>
      <c r="X340" s="21"/>
      <c r="Y340" s="21"/>
    </row>
    <row r="341" spans="1:25" x14ac:dyDescent="0.15">
      <c r="A341" s="16" t="s">
        <v>924</v>
      </c>
      <c r="B341" s="16" t="s">
        <v>925</v>
      </c>
      <c r="C341" s="17" t="s">
        <v>926</v>
      </c>
      <c r="D341" s="17" t="s">
        <v>927</v>
      </c>
      <c r="E341" s="16"/>
      <c r="F341" s="16"/>
      <c r="G341" s="18" t="s">
        <v>38</v>
      </c>
      <c r="H341" s="18"/>
      <c r="I341" s="18"/>
      <c r="J341" s="18"/>
      <c r="K341" s="18" t="s">
        <v>94</v>
      </c>
      <c r="L341" s="18"/>
      <c r="M341" s="18"/>
      <c r="N341" s="18"/>
      <c r="S341" s="1" t="s">
        <v>52</v>
      </c>
      <c r="U341" s="19"/>
      <c r="W341" s="20"/>
    </row>
    <row r="342" spans="1:25" ht="16" customHeight="1" x14ac:dyDescent="0.15">
      <c r="A342" s="21" t="s">
        <v>43</v>
      </c>
      <c r="B342" s="21" t="s">
        <v>928</v>
      </c>
      <c r="C342" s="22" t="s">
        <v>929</v>
      </c>
      <c r="D342" s="22" t="s">
        <v>930</v>
      </c>
      <c r="E342" s="21" t="s">
        <v>931</v>
      </c>
      <c r="F342" s="21" t="s">
        <v>932</v>
      </c>
      <c r="G342" s="23" t="s">
        <v>56</v>
      </c>
      <c r="H342" s="23"/>
      <c r="I342" s="23"/>
      <c r="J342" s="23"/>
      <c r="K342" s="23"/>
      <c r="L342" s="23"/>
      <c r="M342" s="23"/>
      <c r="N342" s="23"/>
      <c r="O342" s="21"/>
      <c r="P342" s="21"/>
      <c r="Q342" s="21"/>
      <c r="R342" s="21"/>
      <c r="S342" s="21" t="s">
        <v>52</v>
      </c>
      <c r="T342" s="21"/>
      <c r="U342" s="19"/>
      <c r="V342" s="88"/>
      <c r="W342" s="20"/>
      <c r="X342" s="20" t="str">
        <f>IF(AND(U342&lt;&gt;"",S342="yes"),U342*V342,"")</f>
        <v/>
      </c>
      <c r="Y342" s="21"/>
    </row>
    <row r="343" spans="1:25" x14ac:dyDescent="0.15">
      <c r="A343" s="16" t="s">
        <v>24</v>
      </c>
      <c r="B343" s="16" t="s">
        <v>933</v>
      </c>
      <c r="C343" s="17"/>
      <c r="D343" s="17"/>
      <c r="E343" s="16"/>
      <c r="F343" s="16"/>
      <c r="G343" s="18" t="s">
        <v>56</v>
      </c>
      <c r="H343" s="18"/>
      <c r="I343" s="18"/>
      <c r="J343" s="18"/>
      <c r="K343" s="18"/>
      <c r="L343" s="18"/>
      <c r="M343" s="18"/>
      <c r="N343" s="18" t="s">
        <v>934</v>
      </c>
      <c r="S343" s="1" t="s">
        <v>52</v>
      </c>
      <c r="U343" s="19"/>
    </row>
    <row r="344" spans="1:25" x14ac:dyDescent="0.15">
      <c r="U344" s="19"/>
    </row>
    <row r="349" spans="1:25" ht="16" customHeight="1" thickBot="1" x14ac:dyDescent="0.25">
      <c r="Q349" s="105" t="s">
        <v>935</v>
      </c>
      <c r="R349" s="106"/>
      <c r="S349" s="106"/>
      <c r="T349" s="106"/>
      <c r="U349" s="107"/>
      <c r="V349" s="108"/>
      <c r="W349" s="109" t="e">
        <f>(SUM(W4:W337)/60)</f>
        <v>#NAME?</v>
      </c>
      <c r="X349" s="109" t="e">
        <f>(SUM(X4:X56)+AVERAGE(X57:X59)+SUM(X60:X337))/60</f>
        <v>#NAME?</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Roman,Normal"&amp;12 &amp;A</oddHeader>
    <oddFooter>&amp;C&amp;"Times New Roman,Normal"&amp;12 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04"/>
  <sheetViews>
    <sheetView topLeftCell="A914" zoomScale="95" zoomScaleNormal="120" workbookViewId="0">
      <selection activeCell="A963" sqref="A963"/>
    </sheetView>
  </sheetViews>
  <sheetFormatPr baseColWidth="10" defaultColWidth="8.83203125" defaultRowHeight="13" x14ac:dyDescent="0.15"/>
  <cols>
    <col min="1" max="1" width="26.33203125" style="110" customWidth="1"/>
    <col min="2" max="2" width="30" style="110" customWidth="1"/>
    <col min="3" max="3" width="43.33203125" style="110" customWidth="1"/>
    <col min="4" max="4" width="27.1640625" style="110" customWidth="1"/>
    <col min="5" max="5" width="16.1640625" style="110" customWidth="1"/>
    <col min="6" max="8" width="8.83203125" style="110" customWidth="1"/>
    <col min="9" max="16384" width="8.83203125" style="110"/>
  </cols>
  <sheetData>
    <row r="1" spans="1:5" ht="15" customHeight="1" x14ac:dyDescent="0.2">
      <c r="A1" s="111" t="s">
        <v>936</v>
      </c>
      <c r="B1" s="111" t="s">
        <v>1</v>
      </c>
      <c r="C1" s="111" t="s">
        <v>2</v>
      </c>
      <c r="D1" s="111" t="s">
        <v>3</v>
      </c>
      <c r="E1" s="112" t="s">
        <v>937</v>
      </c>
    </row>
    <row r="2" spans="1:5" s="113" customFormat="1" ht="15" customHeight="1" x14ac:dyDescent="0.2">
      <c r="A2" s="113" t="s">
        <v>938</v>
      </c>
      <c r="B2" s="114">
        <v>1</v>
      </c>
      <c r="C2" s="114" t="s">
        <v>939</v>
      </c>
      <c r="D2" s="115" t="s">
        <v>940</v>
      </c>
      <c r="E2" s="116"/>
    </row>
    <row r="3" spans="1:5" s="113" customFormat="1" ht="15" customHeight="1" x14ac:dyDescent="0.2">
      <c r="A3" s="113" t="s">
        <v>938</v>
      </c>
      <c r="B3" s="114">
        <v>2</v>
      </c>
      <c r="C3" s="114" t="s">
        <v>941</v>
      </c>
      <c r="D3" s="115" t="s">
        <v>942</v>
      </c>
      <c r="E3" s="116"/>
    </row>
    <row r="4" spans="1:5" s="113" customFormat="1" ht="15" customHeight="1" x14ac:dyDescent="0.2">
      <c r="A4" s="113" t="s">
        <v>938</v>
      </c>
      <c r="B4" s="114">
        <v>3</v>
      </c>
      <c r="C4" s="114" t="s">
        <v>943</v>
      </c>
      <c r="D4" s="115" t="s">
        <v>944</v>
      </c>
      <c r="E4" s="116"/>
    </row>
    <row r="5" spans="1:5" s="113" customFormat="1" ht="15" customHeight="1" x14ac:dyDescent="0.2">
      <c r="A5" s="113" t="s">
        <v>938</v>
      </c>
      <c r="B5" s="114">
        <v>4</v>
      </c>
      <c r="C5" s="114" t="s">
        <v>945</v>
      </c>
      <c r="D5" s="115" t="s">
        <v>946</v>
      </c>
      <c r="E5" s="116"/>
    </row>
    <row r="6" spans="1:5" ht="15" customHeight="1" x14ac:dyDescent="0.2">
      <c r="A6" s="111"/>
      <c r="B6" s="111"/>
      <c r="C6" s="111"/>
      <c r="D6" s="111"/>
      <c r="E6" s="111"/>
    </row>
    <row r="7" spans="1:5" ht="15" customHeight="1" x14ac:dyDescent="0.2">
      <c r="A7" s="110" t="s">
        <v>35</v>
      </c>
      <c r="B7" s="110">
        <v>1</v>
      </c>
      <c r="C7" s="117" t="s">
        <v>947</v>
      </c>
      <c r="D7" s="117" t="s">
        <v>947</v>
      </c>
      <c r="E7" s="119">
        <v>1</v>
      </c>
    </row>
    <row r="8" spans="1:5" ht="15" customHeight="1" x14ac:dyDescent="0.2">
      <c r="A8" s="110" t="s">
        <v>35</v>
      </c>
      <c r="B8" s="110">
        <v>2</v>
      </c>
      <c r="C8" s="117" t="s">
        <v>948</v>
      </c>
      <c r="D8" s="117" t="s">
        <v>948</v>
      </c>
      <c r="E8" s="119">
        <v>1</v>
      </c>
    </row>
    <row r="9" spans="1:5" ht="15" customHeight="1" x14ac:dyDescent="0.2">
      <c r="A9" s="110" t="s">
        <v>35</v>
      </c>
      <c r="B9" s="110">
        <v>3</v>
      </c>
      <c r="C9" s="329" t="s">
        <v>949</v>
      </c>
      <c r="D9" s="329" t="s">
        <v>949</v>
      </c>
      <c r="E9" s="119">
        <v>1</v>
      </c>
    </row>
    <row r="10" spans="1:5" ht="15" customHeight="1" x14ac:dyDescent="0.2">
      <c r="A10" s="110" t="s">
        <v>35</v>
      </c>
      <c r="B10" s="110">
        <v>4</v>
      </c>
      <c r="C10" s="117" t="s">
        <v>950</v>
      </c>
      <c r="D10" s="117" t="s">
        <v>950</v>
      </c>
      <c r="E10" s="119">
        <v>1</v>
      </c>
    </row>
    <row r="11" spans="1:5" ht="15" customHeight="1" x14ac:dyDescent="0.2">
      <c r="A11" s="110" t="s">
        <v>35</v>
      </c>
      <c r="B11" s="110">
        <v>5</v>
      </c>
      <c r="C11" s="117" t="s">
        <v>951</v>
      </c>
      <c r="D11" s="117" t="s">
        <v>951</v>
      </c>
      <c r="E11" s="119">
        <v>1</v>
      </c>
    </row>
    <row r="12" spans="1:5" ht="15" customHeight="1" x14ac:dyDescent="0.2">
      <c r="A12" s="110" t="s">
        <v>35</v>
      </c>
      <c r="B12" s="110">
        <v>6</v>
      </c>
      <c r="C12" s="117" t="s">
        <v>952</v>
      </c>
      <c r="D12" s="117" t="s">
        <v>952</v>
      </c>
      <c r="E12" s="119">
        <v>1</v>
      </c>
    </row>
    <row r="13" spans="1:5" ht="15" customHeight="1" x14ac:dyDescent="0.2">
      <c r="A13" s="110" t="s">
        <v>35</v>
      </c>
      <c r="B13" s="110">
        <v>7</v>
      </c>
      <c r="C13" s="117" t="s">
        <v>953</v>
      </c>
      <c r="D13" s="117" t="s">
        <v>953</v>
      </c>
      <c r="E13" s="119">
        <v>1</v>
      </c>
    </row>
    <row r="14" spans="1:5" ht="15" customHeight="1" x14ac:dyDescent="0.2">
      <c r="A14" s="110" t="s">
        <v>35</v>
      </c>
      <c r="B14" s="110">
        <v>8</v>
      </c>
      <c r="C14" s="117" t="s">
        <v>954</v>
      </c>
      <c r="D14" s="117" t="s">
        <v>954</v>
      </c>
      <c r="E14" s="119">
        <v>2</v>
      </c>
    </row>
    <row r="15" spans="1:5" ht="15" customHeight="1" x14ac:dyDescent="0.2">
      <c r="A15" s="110" t="s">
        <v>35</v>
      </c>
      <c r="B15" s="110">
        <v>9</v>
      </c>
      <c r="C15" s="117" t="s">
        <v>955</v>
      </c>
      <c r="D15" s="117" t="s">
        <v>955</v>
      </c>
      <c r="E15" s="119">
        <v>2</v>
      </c>
    </row>
    <row r="16" spans="1:5" ht="15" customHeight="1" x14ac:dyDescent="0.2">
      <c r="A16" s="110" t="s">
        <v>35</v>
      </c>
      <c r="B16" s="110">
        <v>10</v>
      </c>
      <c r="C16" s="117" t="s">
        <v>956</v>
      </c>
      <c r="D16" s="117" t="s">
        <v>956</v>
      </c>
      <c r="E16" s="119">
        <v>2</v>
      </c>
    </row>
    <row r="17" spans="1:5" ht="15" customHeight="1" x14ac:dyDescent="0.2">
      <c r="A17" s="110" t="s">
        <v>35</v>
      </c>
      <c r="B17" s="110">
        <v>11</v>
      </c>
      <c r="C17" s="117" t="s">
        <v>957</v>
      </c>
      <c r="D17" s="117" t="s">
        <v>957</v>
      </c>
      <c r="E17" s="119">
        <v>2</v>
      </c>
    </row>
    <row r="18" spans="1:5" ht="15" customHeight="1" x14ac:dyDescent="0.2">
      <c r="A18" s="110" t="s">
        <v>35</v>
      </c>
      <c r="B18" s="110">
        <v>12</v>
      </c>
      <c r="C18" s="117" t="s">
        <v>958</v>
      </c>
      <c r="D18" s="117" t="s">
        <v>958</v>
      </c>
      <c r="E18" s="119">
        <v>2</v>
      </c>
    </row>
    <row r="19" spans="1:5" ht="15" customHeight="1" x14ac:dyDescent="0.2">
      <c r="A19" s="110" t="s">
        <v>35</v>
      </c>
      <c r="B19" s="110">
        <v>13</v>
      </c>
      <c r="C19" s="117" t="s">
        <v>959</v>
      </c>
      <c r="D19" s="117" t="s">
        <v>959</v>
      </c>
      <c r="E19" s="119">
        <v>2</v>
      </c>
    </row>
    <row r="20" spans="1:5" ht="15" customHeight="1" x14ac:dyDescent="0.2">
      <c r="A20" s="110" t="s">
        <v>35</v>
      </c>
      <c r="B20" s="110">
        <v>14</v>
      </c>
      <c r="C20" s="117" t="s">
        <v>960</v>
      </c>
      <c r="D20" s="117" t="s">
        <v>960</v>
      </c>
      <c r="E20" s="119">
        <v>2</v>
      </c>
    </row>
    <row r="21" spans="1:5" ht="15" customHeight="1" x14ac:dyDescent="0.2">
      <c r="A21" s="110" t="s">
        <v>35</v>
      </c>
      <c r="B21" s="110">
        <v>15</v>
      </c>
      <c r="C21" s="117" t="s">
        <v>961</v>
      </c>
      <c r="D21" s="117" t="s">
        <v>961</v>
      </c>
      <c r="E21" s="119">
        <v>3</v>
      </c>
    </row>
    <row r="22" spans="1:5" ht="15" customHeight="1" x14ac:dyDescent="0.2">
      <c r="A22" s="110" t="s">
        <v>35</v>
      </c>
      <c r="B22" s="110">
        <v>16</v>
      </c>
      <c r="C22" s="117" t="s">
        <v>962</v>
      </c>
      <c r="D22" s="117" t="s">
        <v>962</v>
      </c>
      <c r="E22" s="119">
        <v>3</v>
      </c>
    </row>
    <row r="23" spans="1:5" ht="15" customHeight="1" x14ac:dyDescent="0.2">
      <c r="A23" s="110" t="s">
        <v>35</v>
      </c>
      <c r="B23" s="110">
        <v>17</v>
      </c>
      <c r="C23" s="117" t="s">
        <v>963</v>
      </c>
      <c r="D23" s="117" t="s">
        <v>963</v>
      </c>
      <c r="E23" s="119">
        <v>3</v>
      </c>
    </row>
    <row r="24" spans="1:5" ht="15" customHeight="1" x14ac:dyDescent="0.2">
      <c r="A24" s="110" t="s">
        <v>35</v>
      </c>
      <c r="B24" s="110">
        <v>18</v>
      </c>
      <c r="C24" s="117" t="s">
        <v>964</v>
      </c>
      <c r="D24" s="117" t="s">
        <v>964</v>
      </c>
      <c r="E24" s="119">
        <v>3</v>
      </c>
    </row>
    <row r="25" spans="1:5" ht="15" customHeight="1" x14ac:dyDescent="0.2">
      <c r="A25" s="110" t="s">
        <v>35</v>
      </c>
      <c r="B25" s="110">
        <v>19</v>
      </c>
      <c r="C25" s="117" t="s">
        <v>965</v>
      </c>
      <c r="D25" s="117" t="s">
        <v>965</v>
      </c>
      <c r="E25" s="119">
        <v>3</v>
      </c>
    </row>
    <row r="26" spans="1:5" ht="15" customHeight="1" x14ac:dyDescent="0.2">
      <c r="A26" s="110" t="s">
        <v>35</v>
      </c>
      <c r="B26" s="110">
        <v>20</v>
      </c>
      <c r="C26" s="117" t="s">
        <v>966</v>
      </c>
      <c r="D26" s="117" t="s">
        <v>966</v>
      </c>
      <c r="E26" s="119">
        <v>3</v>
      </c>
    </row>
    <row r="27" spans="1:5" ht="15" customHeight="1" x14ac:dyDescent="0.2">
      <c r="A27" s="110" t="s">
        <v>35</v>
      </c>
      <c r="B27" s="110">
        <v>21</v>
      </c>
      <c r="C27" s="117" t="s">
        <v>967</v>
      </c>
      <c r="D27" s="117" t="s">
        <v>967</v>
      </c>
      <c r="E27" s="119">
        <v>3</v>
      </c>
    </row>
    <row r="28" spans="1:5" ht="15" customHeight="1" x14ac:dyDescent="0.2">
      <c r="A28" s="110" t="s">
        <v>35</v>
      </c>
      <c r="B28" s="110">
        <v>22</v>
      </c>
      <c r="C28" s="117" t="s">
        <v>968</v>
      </c>
      <c r="D28" s="117" t="s">
        <v>968</v>
      </c>
      <c r="E28" s="119">
        <v>4</v>
      </c>
    </row>
    <row r="29" spans="1:5" ht="15" customHeight="1" x14ac:dyDescent="0.2">
      <c r="A29" s="110" t="s">
        <v>35</v>
      </c>
      <c r="B29" s="110">
        <v>23</v>
      </c>
      <c r="C29" s="117" t="s">
        <v>969</v>
      </c>
      <c r="D29" s="117" t="s">
        <v>970</v>
      </c>
      <c r="E29" s="119">
        <v>4</v>
      </c>
    </row>
    <row r="30" spans="1:5" ht="15" customHeight="1" x14ac:dyDescent="0.2">
      <c r="A30" s="110" t="s">
        <v>35</v>
      </c>
      <c r="B30" s="110">
        <v>24</v>
      </c>
      <c r="C30" s="117" t="s">
        <v>971</v>
      </c>
      <c r="D30" s="117" t="s">
        <v>972</v>
      </c>
      <c r="E30" s="119">
        <v>4</v>
      </c>
    </row>
    <row r="31" spans="1:5" ht="15" customHeight="1" x14ac:dyDescent="0.2">
      <c r="A31" s="110" t="s">
        <v>35</v>
      </c>
      <c r="B31" s="110">
        <v>25</v>
      </c>
      <c r="C31" s="117" t="s">
        <v>973</v>
      </c>
      <c r="D31" s="117" t="s">
        <v>974</v>
      </c>
      <c r="E31" s="119">
        <v>4</v>
      </c>
    </row>
    <row r="32" spans="1:5" ht="15" customHeight="1" x14ac:dyDescent="0.2">
      <c r="A32" s="110" t="s">
        <v>35</v>
      </c>
      <c r="B32" s="110">
        <v>26</v>
      </c>
      <c r="C32" s="117" t="s">
        <v>975</v>
      </c>
      <c r="D32" s="117" t="s">
        <v>976</v>
      </c>
      <c r="E32" s="119">
        <v>4</v>
      </c>
    </row>
    <row r="33" spans="1:6" ht="15" customHeight="1" x14ac:dyDescent="0.2">
      <c r="A33" s="110" t="s">
        <v>35</v>
      </c>
      <c r="B33" s="110">
        <v>27</v>
      </c>
      <c r="C33" s="117" t="s">
        <v>977</v>
      </c>
      <c r="D33" s="117" t="s">
        <v>978</v>
      </c>
      <c r="E33" s="119">
        <v>4</v>
      </c>
    </row>
    <row r="34" spans="1:6" ht="15" customHeight="1" x14ac:dyDescent="0.2">
      <c r="A34" s="110" t="s">
        <v>35</v>
      </c>
      <c r="B34" s="110">
        <v>28</v>
      </c>
      <c r="C34" s="117" t="s">
        <v>979</v>
      </c>
      <c r="D34" s="117" t="s">
        <v>980</v>
      </c>
      <c r="E34" s="119">
        <v>4</v>
      </c>
    </row>
    <row r="36" spans="1:6" x14ac:dyDescent="0.15">
      <c r="A36" s="110" t="s">
        <v>981</v>
      </c>
      <c r="B36" s="110">
        <v>1</v>
      </c>
      <c r="C36" s="110" t="s">
        <v>982</v>
      </c>
      <c r="D36" s="110" t="s">
        <v>983</v>
      </c>
    </row>
    <row r="37" spans="1:6" x14ac:dyDescent="0.15">
      <c r="A37" s="110" t="s">
        <v>981</v>
      </c>
      <c r="B37" s="110">
        <v>2</v>
      </c>
      <c r="C37" s="110" t="s">
        <v>984</v>
      </c>
      <c r="D37" s="110" t="s">
        <v>985</v>
      </c>
    </row>
    <row r="38" spans="1:6" ht="15" customHeight="1" x14ac:dyDescent="0.2">
      <c r="A38" s="110" t="s">
        <v>981</v>
      </c>
      <c r="B38" s="120">
        <v>3</v>
      </c>
      <c r="C38" s="110" t="s">
        <v>986</v>
      </c>
      <c r="D38" s="110" t="s">
        <v>987</v>
      </c>
    </row>
    <row r="39" spans="1:6" ht="15" customHeight="1" x14ac:dyDescent="0.2">
      <c r="A39" s="110" t="s">
        <v>981</v>
      </c>
      <c r="B39" s="120">
        <v>4</v>
      </c>
      <c r="C39" s="110" t="s">
        <v>988</v>
      </c>
      <c r="D39" s="110" t="s">
        <v>989</v>
      </c>
    </row>
    <row r="41" spans="1:6" x14ac:dyDescent="0.15">
      <c r="A41" s="110" t="s">
        <v>990</v>
      </c>
      <c r="B41" s="110" t="s">
        <v>990</v>
      </c>
      <c r="C41" s="110" t="s">
        <v>990</v>
      </c>
      <c r="D41" s="110" t="s">
        <v>991</v>
      </c>
    </row>
    <row r="43" spans="1:6" x14ac:dyDescent="0.15">
      <c r="A43" s="110" t="s">
        <v>992</v>
      </c>
      <c r="B43" s="110">
        <v>1</v>
      </c>
      <c r="C43" s="110" t="s">
        <v>982</v>
      </c>
      <c r="D43" s="110" t="s">
        <v>993</v>
      </c>
    </row>
    <row r="44" spans="1:6" ht="16" customHeight="1" x14ac:dyDescent="0.15">
      <c r="A44" s="110" t="s">
        <v>992</v>
      </c>
      <c r="B44" s="110">
        <v>2</v>
      </c>
      <c r="C44" s="110" t="s">
        <v>984</v>
      </c>
      <c r="D44" s="110" t="s">
        <v>984</v>
      </c>
      <c r="F44" s="121"/>
    </row>
    <row r="46" spans="1:6" s="123" customFormat="1" ht="15" customHeight="1" x14ac:dyDescent="0.2">
      <c r="A46" s="122" t="s">
        <v>994</v>
      </c>
      <c r="B46" s="122" t="s">
        <v>995</v>
      </c>
      <c r="C46" s="122" t="s">
        <v>996</v>
      </c>
      <c r="D46" s="122" t="s">
        <v>997</v>
      </c>
    </row>
    <row r="47" spans="1:6" s="123" customFormat="1" ht="15" customHeight="1" x14ac:dyDescent="0.2">
      <c r="A47" s="124" t="s">
        <v>994</v>
      </c>
      <c r="B47" s="124" t="s">
        <v>998</v>
      </c>
      <c r="C47" s="124" t="s">
        <v>999</v>
      </c>
      <c r="D47" s="124" t="s">
        <v>1000</v>
      </c>
    </row>
    <row r="49" spans="1:4" x14ac:dyDescent="0.15">
      <c r="A49" s="110" t="s">
        <v>1001</v>
      </c>
      <c r="B49" s="110">
        <v>1</v>
      </c>
      <c r="C49" s="110" t="s">
        <v>1002</v>
      </c>
      <c r="D49" s="110" t="s">
        <v>1003</v>
      </c>
    </row>
    <row r="50" spans="1:4" x14ac:dyDescent="0.15">
      <c r="A50" s="110" t="s">
        <v>1001</v>
      </c>
      <c r="B50" s="110">
        <v>2</v>
      </c>
      <c r="C50" s="110" t="s">
        <v>1004</v>
      </c>
      <c r="D50" s="110" t="s">
        <v>1005</v>
      </c>
    </row>
    <row r="51" spans="1:4" ht="15" customHeight="1" x14ac:dyDescent="0.2">
      <c r="A51" s="110" t="s">
        <v>1001</v>
      </c>
      <c r="B51" s="120">
        <v>3</v>
      </c>
      <c r="C51" s="124" t="s">
        <v>986</v>
      </c>
      <c r="D51" s="110" t="s">
        <v>987</v>
      </c>
    </row>
    <row r="52" spans="1:4" ht="15" customHeight="1" x14ac:dyDescent="0.2">
      <c r="A52" s="110" t="s">
        <v>1001</v>
      </c>
      <c r="B52" s="120">
        <v>4</v>
      </c>
      <c r="C52" s="124" t="s">
        <v>988</v>
      </c>
      <c r="D52" s="110" t="s">
        <v>989</v>
      </c>
    </row>
    <row r="53" spans="1:4" ht="15" customHeight="1" x14ac:dyDescent="0.2">
      <c r="C53" s="122"/>
      <c r="D53" s="122"/>
    </row>
    <row r="54" spans="1:4" ht="15" customHeight="1" x14ac:dyDescent="0.2">
      <c r="A54" s="110" t="s">
        <v>1006</v>
      </c>
      <c r="B54" s="110">
        <v>1</v>
      </c>
      <c r="C54" s="124" t="s">
        <v>1007</v>
      </c>
      <c r="D54" s="124" t="s">
        <v>1008</v>
      </c>
    </row>
    <row r="55" spans="1:4" ht="15" customHeight="1" x14ac:dyDescent="0.2">
      <c r="A55" s="110" t="s">
        <v>1006</v>
      </c>
      <c r="B55" s="110">
        <v>2</v>
      </c>
      <c r="C55" s="110" t="s">
        <v>1009</v>
      </c>
      <c r="D55" s="124" t="s">
        <v>1010</v>
      </c>
    </row>
    <row r="56" spans="1:4" ht="15" customHeight="1" x14ac:dyDescent="0.2">
      <c r="A56" s="110" t="s">
        <v>1006</v>
      </c>
      <c r="B56" s="110">
        <v>3</v>
      </c>
      <c r="C56" s="124" t="s">
        <v>1011</v>
      </c>
      <c r="D56" s="124" t="s">
        <v>1012</v>
      </c>
    </row>
    <row r="57" spans="1:4" ht="15" customHeight="1" x14ac:dyDescent="0.2">
      <c r="A57" s="110" t="s">
        <v>1006</v>
      </c>
      <c r="B57" s="110">
        <v>4</v>
      </c>
      <c r="C57" s="124" t="s">
        <v>985</v>
      </c>
      <c r="D57" s="124" t="s">
        <v>985</v>
      </c>
    </row>
    <row r="58" spans="1:4" ht="15" customHeight="1" x14ac:dyDescent="0.2">
      <c r="C58" s="122"/>
      <c r="D58" s="122"/>
    </row>
    <row r="59" spans="1:4" x14ac:dyDescent="0.15">
      <c r="A59" s="110" t="s">
        <v>1013</v>
      </c>
      <c r="B59" s="110">
        <v>1</v>
      </c>
      <c r="C59" s="110" t="s">
        <v>1014</v>
      </c>
      <c r="D59" s="110" t="s">
        <v>1015</v>
      </c>
    </row>
    <row r="60" spans="1:4" x14ac:dyDescent="0.15">
      <c r="A60" s="110" t="s">
        <v>1013</v>
      </c>
      <c r="B60" s="110">
        <v>2</v>
      </c>
      <c r="C60" s="110" t="s">
        <v>1016</v>
      </c>
      <c r="D60" s="110" t="s">
        <v>1017</v>
      </c>
    </row>
    <row r="61" spans="1:4" x14ac:dyDescent="0.15">
      <c r="A61" s="110" t="s">
        <v>1013</v>
      </c>
      <c r="B61" s="110">
        <v>3</v>
      </c>
      <c r="C61" s="110" t="s">
        <v>1018</v>
      </c>
      <c r="D61" s="110" t="s">
        <v>1019</v>
      </c>
    </row>
    <row r="62" spans="1:4" x14ac:dyDescent="0.15">
      <c r="A62" s="110" t="s">
        <v>1013</v>
      </c>
      <c r="B62" s="110">
        <v>4</v>
      </c>
      <c r="C62" s="110" t="s">
        <v>984</v>
      </c>
      <c r="D62" s="110" t="s">
        <v>984</v>
      </c>
    </row>
    <row r="63" spans="1:4" ht="15" customHeight="1" x14ac:dyDescent="0.2">
      <c r="A63" s="110" t="s">
        <v>1013</v>
      </c>
      <c r="B63" s="120">
        <v>5</v>
      </c>
      <c r="C63" s="124" t="s">
        <v>986</v>
      </c>
      <c r="D63" s="110" t="s">
        <v>987</v>
      </c>
    </row>
    <row r="64" spans="1:4" ht="15" customHeight="1" x14ac:dyDescent="0.2">
      <c r="A64" s="110" t="s">
        <v>1013</v>
      </c>
      <c r="B64" s="120">
        <v>6</v>
      </c>
      <c r="C64" s="110" t="s">
        <v>988</v>
      </c>
      <c r="D64" s="110" t="s">
        <v>989</v>
      </c>
    </row>
    <row r="66" spans="1:4" ht="15" customHeight="1" x14ac:dyDescent="0.2">
      <c r="A66" s="110" t="s">
        <v>1020</v>
      </c>
      <c r="B66" s="110">
        <v>1</v>
      </c>
      <c r="C66" s="124" t="s">
        <v>1021</v>
      </c>
      <c r="D66" s="124" t="s">
        <v>1022</v>
      </c>
    </row>
    <row r="67" spans="1:4" ht="15" customHeight="1" x14ac:dyDescent="0.2">
      <c r="A67" s="110" t="s">
        <v>1020</v>
      </c>
      <c r="B67" s="110">
        <v>2</v>
      </c>
      <c r="C67" s="124" t="s">
        <v>1023</v>
      </c>
      <c r="D67" s="124" t="s">
        <v>1024</v>
      </c>
    </row>
    <row r="68" spans="1:4" ht="15" customHeight="1" x14ac:dyDescent="0.2">
      <c r="A68" s="110" t="s">
        <v>1020</v>
      </c>
      <c r="B68" s="110">
        <v>3</v>
      </c>
      <c r="C68" s="124" t="s">
        <v>1025</v>
      </c>
      <c r="D68" s="124" t="s">
        <v>1026</v>
      </c>
    </row>
    <row r="69" spans="1:4" ht="15" customHeight="1" x14ac:dyDescent="0.2">
      <c r="A69" s="110" t="s">
        <v>1020</v>
      </c>
      <c r="B69" s="110">
        <v>4</v>
      </c>
      <c r="C69" s="124" t="s">
        <v>1027</v>
      </c>
      <c r="D69" s="124" t="s">
        <v>1028</v>
      </c>
    </row>
    <row r="70" spans="1:4" ht="15" customHeight="1" x14ac:dyDescent="0.2">
      <c r="A70" s="110" t="s">
        <v>1020</v>
      </c>
      <c r="B70" s="110">
        <v>5</v>
      </c>
      <c r="C70" s="124" t="s">
        <v>1029</v>
      </c>
      <c r="D70" s="124" t="s">
        <v>1030</v>
      </c>
    </row>
    <row r="71" spans="1:4" ht="15" customHeight="1" x14ac:dyDescent="0.2">
      <c r="A71" s="110" t="s">
        <v>1020</v>
      </c>
      <c r="B71" s="120">
        <v>6</v>
      </c>
      <c r="C71" s="110" t="s">
        <v>986</v>
      </c>
      <c r="D71" s="110" t="s">
        <v>987</v>
      </c>
    </row>
    <row r="72" spans="1:4" ht="15" customHeight="1" x14ac:dyDescent="0.2">
      <c r="A72" s="110" t="s">
        <v>1020</v>
      </c>
      <c r="B72" s="120">
        <v>7</v>
      </c>
      <c r="C72" s="110" t="s">
        <v>988</v>
      </c>
      <c r="D72" s="110" t="s">
        <v>989</v>
      </c>
    </row>
    <row r="73" spans="1:4" ht="15" customHeight="1" x14ac:dyDescent="0.2">
      <c r="B73" s="125"/>
    </row>
    <row r="74" spans="1:4" ht="15" customHeight="1" x14ac:dyDescent="0.2">
      <c r="A74" s="110" t="s">
        <v>1031</v>
      </c>
      <c r="B74" s="120">
        <v>1</v>
      </c>
      <c r="C74" s="110" t="s">
        <v>1032</v>
      </c>
      <c r="D74" s="110" t="s">
        <v>1033</v>
      </c>
    </row>
    <row r="75" spans="1:4" ht="15" customHeight="1" x14ac:dyDescent="0.2">
      <c r="A75" s="110" t="s">
        <v>1031</v>
      </c>
      <c r="B75" s="120">
        <v>2</v>
      </c>
      <c r="C75" s="110" t="s">
        <v>1034</v>
      </c>
      <c r="D75" s="110" t="s">
        <v>1035</v>
      </c>
    </row>
    <row r="76" spans="1:4" ht="15" customHeight="1" x14ac:dyDescent="0.2">
      <c r="A76" s="110" t="s">
        <v>1031</v>
      </c>
      <c r="B76" s="120">
        <v>3</v>
      </c>
      <c r="C76" s="110" t="s">
        <v>1036</v>
      </c>
      <c r="D76" s="110" t="s">
        <v>1037</v>
      </c>
    </row>
    <row r="77" spans="1:4" ht="15" customHeight="1" x14ac:dyDescent="0.2">
      <c r="A77" s="110" t="s">
        <v>1031</v>
      </c>
      <c r="B77" s="120">
        <v>4</v>
      </c>
      <c r="C77" s="110" t="s">
        <v>1038</v>
      </c>
      <c r="D77" s="110" t="s">
        <v>1039</v>
      </c>
    </row>
    <row r="78" spans="1:4" ht="15" customHeight="1" x14ac:dyDescent="0.2">
      <c r="A78" s="110" t="s">
        <v>1031</v>
      </c>
      <c r="B78" s="120">
        <v>5</v>
      </c>
      <c r="C78" s="110" t="s">
        <v>1040</v>
      </c>
      <c r="D78" s="110" t="s">
        <v>1041</v>
      </c>
    </row>
    <row r="79" spans="1:4" ht="15" customHeight="1" x14ac:dyDescent="0.2">
      <c r="A79" s="110" t="s">
        <v>1031</v>
      </c>
      <c r="B79" s="120">
        <v>6</v>
      </c>
      <c r="C79" s="110" t="s">
        <v>1042</v>
      </c>
      <c r="D79" s="110" t="s">
        <v>1043</v>
      </c>
    </row>
    <row r="80" spans="1:4" ht="15" customHeight="1" x14ac:dyDescent="0.2">
      <c r="A80" s="110" t="s">
        <v>1031</v>
      </c>
      <c r="B80" s="120">
        <v>7</v>
      </c>
      <c r="C80" s="110" t="s">
        <v>1044</v>
      </c>
      <c r="D80" s="110" t="s">
        <v>1045</v>
      </c>
    </row>
    <row r="81" spans="1:4" ht="15" customHeight="1" x14ac:dyDescent="0.2">
      <c r="A81" s="110" t="s">
        <v>1031</v>
      </c>
      <c r="B81" s="120">
        <v>8</v>
      </c>
      <c r="C81" s="110" t="s">
        <v>1046</v>
      </c>
      <c r="D81" s="110" t="s">
        <v>1047</v>
      </c>
    </row>
    <row r="82" spans="1:4" ht="15" customHeight="1" x14ac:dyDescent="0.2">
      <c r="A82" s="110" t="s">
        <v>1031</v>
      </c>
      <c r="B82" s="120">
        <v>9</v>
      </c>
      <c r="C82" s="110" t="s">
        <v>1048</v>
      </c>
      <c r="D82" s="110" t="s">
        <v>1049</v>
      </c>
    </row>
    <row r="83" spans="1:4" ht="15" customHeight="1" x14ac:dyDescent="0.2">
      <c r="A83" s="110" t="s">
        <v>1031</v>
      </c>
      <c r="B83" s="120">
        <v>10</v>
      </c>
      <c r="C83" s="110" t="s">
        <v>1050</v>
      </c>
      <c r="D83" s="110" t="s">
        <v>1051</v>
      </c>
    </row>
    <row r="84" spans="1:4" ht="15" customHeight="1" x14ac:dyDescent="0.2">
      <c r="A84" s="110" t="s">
        <v>1031</v>
      </c>
      <c r="B84" s="120">
        <v>11</v>
      </c>
      <c r="C84" s="110" t="s">
        <v>986</v>
      </c>
      <c r="D84" s="110" t="s">
        <v>987</v>
      </c>
    </row>
    <row r="85" spans="1:4" ht="15" customHeight="1" x14ac:dyDescent="0.2">
      <c r="A85" s="110" t="s">
        <v>1031</v>
      </c>
      <c r="B85" s="120">
        <v>12</v>
      </c>
      <c r="C85" s="110" t="s">
        <v>988</v>
      </c>
      <c r="D85" s="110" t="s">
        <v>989</v>
      </c>
    </row>
    <row r="86" spans="1:4" ht="15" customHeight="1" x14ac:dyDescent="0.2">
      <c r="B86" s="125"/>
    </row>
    <row r="87" spans="1:4" ht="15" customHeight="1" x14ac:dyDescent="0.2">
      <c r="A87" s="110" t="s">
        <v>1052</v>
      </c>
      <c r="B87" s="120">
        <v>1</v>
      </c>
      <c r="C87" s="110" t="s">
        <v>1053</v>
      </c>
      <c r="D87" s="110" t="s">
        <v>1054</v>
      </c>
    </row>
    <row r="88" spans="1:4" ht="15" customHeight="1" x14ac:dyDescent="0.2">
      <c r="A88" s="110" t="s">
        <v>1052</v>
      </c>
      <c r="B88" s="120">
        <v>2</v>
      </c>
      <c r="C88" s="110" t="s">
        <v>1055</v>
      </c>
      <c r="D88" s="110" t="s">
        <v>1056</v>
      </c>
    </row>
    <row r="89" spans="1:4" ht="15" customHeight="1" x14ac:dyDescent="0.2">
      <c r="A89" s="110" t="s">
        <v>1052</v>
      </c>
      <c r="B89" s="120">
        <v>3</v>
      </c>
      <c r="C89" s="110" t="s">
        <v>1057</v>
      </c>
      <c r="D89" s="110" t="s">
        <v>1058</v>
      </c>
    </row>
    <row r="90" spans="1:4" ht="15" customHeight="1" x14ac:dyDescent="0.2">
      <c r="A90" s="110" t="s">
        <v>1052</v>
      </c>
      <c r="B90" s="120">
        <v>4</v>
      </c>
      <c r="C90" s="110" t="s">
        <v>1059</v>
      </c>
      <c r="D90" s="110" t="s">
        <v>1060</v>
      </c>
    </row>
    <row r="91" spans="1:4" ht="15" customHeight="1" x14ac:dyDescent="0.2">
      <c r="A91" s="110" t="s">
        <v>1052</v>
      </c>
      <c r="B91" s="120">
        <v>5</v>
      </c>
      <c r="C91" s="110" t="s">
        <v>1061</v>
      </c>
      <c r="D91" s="110" t="s">
        <v>1062</v>
      </c>
    </row>
    <row r="92" spans="1:4" ht="15" customHeight="1" x14ac:dyDescent="0.2">
      <c r="A92" s="110" t="s">
        <v>1052</v>
      </c>
      <c r="B92" s="120">
        <v>6</v>
      </c>
      <c r="C92" s="110" t="s">
        <v>986</v>
      </c>
      <c r="D92" s="110" t="s">
        <v>987</v>
      </c>
    </row>
    <row r="93" spans="1:4" ht="15" customHeight="1" x14ac:dyDescent="0.2">
      <c r="A93" s="110" t="s">
        <v>1052</v>
      </c>
      <c r="B93" s="120">
        <v>7</v>
      </c>
      <c r="C93" s="110" t="s">
        <v>988</v>
      </c>
      <c r="D93" s="110" t="s">
        <v>989</v>
      </c>
    </row>
    <row r="94" spans="1:4" ht="15" customHeight="1" x14ac:dyDescent="0.2">
      <c r="B94" s="125"/>
    </row>
    <row r="95" spans="1:4" ht="15" customHeight="1" x14ac:dyDescent="0.2">
      <c r="A95" s="110" t="s">
        <v>1063</v>
      </c>
      <c r="B95" s="120">
        <v>1</v>
      </c>
      <c r="C95" s="110" t="s">
        <v>1064</v>
      </c>
      <c r="D95" s="110" t="s">
        <v>1065</v>
      </c>
    </row>
    <row r="96" spans="1:4" ht="15" customHeight="1" x14ac:dyDescent="0.2">
      <c r="A96" s="110" t="s">
        <v>1063</v>
      </c>
      <c r="B96" s="120">
        <v>2</v>
      </c>
      <c r="C96" s="110" t="s">
        <v>1066</v>
      </c>
      <c r="D96" s="110" t="s">
        <v>1067</v>
      </c>
    </row>
    <row r="97" spans="1:4" ht="15" customHeight="1" x14ac:dyDescent="0.2">
      <c r="A97" s="110" t="s">
        <v>1063</v>
      </c>
      <c r="B97" s="120">
        <v>3</v>
      </c>
      <c r="C97" s="110" t="s">
        <v>1068</v>
      </c>
      <c r="D97" s="110" t="s">
        <v>1069</v>
      </c>
    </row>
    <row r="98" spans="1:4" ht="15" customHeight="1" x14ac:dyDescent="0.2">
      <c r="A98" s="110" t="s">
        <v>1063</v>
      </c>
      <c r="B98" s="120">
        <v>4</v>
      </c>
      <c r="C98" s="110" t="s">
        <v>1070</v>
      </c>
      <c r="D98" s="110" t="s">
        <v>1071</v>
      </c>
    </row>
    <row r="99" spans="1:4" ht="15" customHeight="1" x14ac:dyDescent="0.2">
      <c r="A99" s="110" t="s">
        <v>1063</v>
      </c>
      <c r="B99" s="120">
        <v>5</v>
      </c>
      <c r="C99" s="110" t="s">
        <v>1072</v>
      </c>
      <c r="D99" s="110" t="s">
        <v>1073</v>
      </c>
    </row>
    <row r="100" spans="1:4" ht="15" customHeight="1" x14ac:dyDescent="0.2">
      <c r="A100" s="110" t="s">
        <v>1063</v>
      </c>
      <c r="B100" s="120">
        <v>6</v>
      </c>
      <c r="C100" s="110" t="s">
        <v>1074</v>
      </c>
      <c r="D100" s="110" t="s">
        <v>1075</v>
      </c>
    </row>
    <row r="101" spans="1:4" ht="15" customHeight="1" x14ac:dyDescent="0.2">
      <c r="A101" s="110" t="s">
        <v>1063</v>
      </c>
      <c r="B101" s="120">
        <v>7</v>
      </c>
      <c r="C101" s="110" t="s">
        <v>986</v>
      </c>
      <c r="D101" s="110" t="s">
        <v>987</v>
      </c>
    </row>
    <row r="102" spans="1:4" ht="15" customHeight="1" x14ac:dyDescent="0.2">
      <c r="A102" s="110" t="s">
        <v>1063</v>
      </c>
      <c r="B102" s="120">
        <v>8</v>
      </c>
      <c r="C102" s="110" t="s">
        <v>988</v>
      </c>
      <c r="D102" s="110" t="s">
        <v>989</v>
      </c>
    </row>
    <row r="104" spans="1:4" ht="15" customHeight="1" x14ac:dyDescent="0.2">
      <c r="A104" s="126" t="s">
        <v>1076</v>
      </c>
      <c r="B104" s="126">
        <v>1</v>
      </c>
      <c r="C104" s="126" t="s">
        <v>1077</v>
      </c>
      <c r="D104" s="126" t="s">
        <v>1078</v>
      </c>
    </row>
    <row r="105" spans="1:4" ht="15" customHeight="1" x14ac:dyDescent="0.2">
      <c r="A105" s="126" t="s">
        <v>1076</v>
      </c>
      <c r="B105" s="126">
        <v>2</v>
      </c>
      <c r="C105" s="126" t="s">
        <v>1079</v>
      </c>
      <c r="D105" s="126" t="s">
        <v>1080</v>
      </c>
    </row>
    <row r="106" spans="1:4" ht="15" customHeight="1" x14ac:dyDescent="0.2">
      <c r="A106" s="126" t="s">
        <v>1076</v>
      </c>
      <c r="B106" s="126">
        <v>3</v>
      </c>
      <c r="C106" s="126" t="s">
        <v>1081</v>
      </c>
      <c r="D106" s="126" t="s">
        <v>1082</v>
      </c>
    </row>
    <row r="107" spans="1:4" ht="15" customHeight="1" x14ac:dyDescent="0.2">
      <c r="A107" s="126" t="s">
        <v>1076</v>
      </c>
      <c r="B107" s="126">
        <v>4</v>
      </c>
      <c r="C107" s="126" t="s">
        <v>1083</v>
      </c>
      <c r="D107" s="126" t="s">
        <v>1084</v>
      </c>
    </row>
    <row r="108" spans="1:4" ht="15" customHeight="1" x14ac:dyDescent="0.2">
      <c r="A108" s="126" t="s">
        <v>1076</v>
      </c>
      <c r="B108" s="126">
        <v>5</v>
      </c>
      <c r="C108" s="126" t="s">
        <v>1085</v>
      </c>
      <c r="D108" s="126" t="s">
        <v>1086</v>
      </c>
    </row>
    <row r="109" spans="1:4" ht="15" customHeight="1" x14ac:dyDescent="0.2">
      <c r="A109" s="126" t="s">
        <v>1076</v>
      </c>
      <c r="B109" s="126">
        <v>6</v>
      </c>
      <c r="C109" s="126" t="s">
        <v>986</v>
      </c>
      <c r="D109" s="126" t="s">
        <v>987</v>
      </c>
    </row>
    <row r="110" spans="1:4" ht="15" customHeight="1" x14ac:dyDescent="0.2">
      <c r="A110" s="126" t="s">
        <v>1076</v>
      </c>
      <c r="B110" s="126">
        <v>7</v>
      </c>
      <c r="C110" s="126" t="s">
        <v>988</v>
      </c>
      <c r="D110" s="126" t="s">
        <v>989</v>
      </c>
    </row>
    <row r="111" spans="1:4" ht="15" customHeight="1" x14ac:dyDescent="0.2">
      <c r="A111" s="113"/>
      <c r="B111" s="113"/>
      <c r="C111" s="113"/>
      <c r="D111" s="113"/>
    </row>
    <row r="112" spans="1:4" ht="15" customHeight="1" x14ac:dyDescent="0.2">
      <c r="A112" s="126" t="s">
        <v>1087</v>
      </c>
      <c r="B112" s="126" t="s">
        <v>1088</v>
      </c>
      <c r="C112" s="126" t="s">
        <v>1089</v>
      </c>
      <c r="D112" s="126" t="s">
        <v>1090</v>
      </c>
    </row>
    <row r="113" spans="1:4" ht="15" customHeight="1" x14ac:dyDescent="0.2">
      <c r="A113" s="126" t="s">
        <v>1087</v>
      </c>
      <c r="B113" s="126" t="s">
        <v>1091</v>
      </c>
      <c r="C113" s="126" t="s">
        <v>1092</v>
      </c>
      <c r="D113" s="126" t="s">
        <v>1093</v>
      </c>
    </row>
    <row r="114" spans="1:4" ht="15" customHeight="1" x14ac:dyDescent="0.2">
      <c r="A114" s="126" t="s">
        <v>1087</v>
      </c>
      <c r="B114" s="126" t="s">
        <v>1094</v>
      </c>
      <c r="C114" s="126" t="s">
        <v>1095</v>
      </c>
      <c r="D114" s="126" t="s">
        <v>1096</v>
      </c>
    </row>
    <row r="115" spans="1:4" ht="15" customHeight="1" x14ac:dyDescent="0.2">
      <c r="A115" s="126" t="s">
        <v>1087</v>
      </c>
      <c r="B115" s="126" t="s">
        <v>1097</v>
      </c>
      <c r="C115" s="126" t="s">
        <v>1098</v>
      </c>
      <c r="D115" s="126" t="s">
        <v>1098</v>
      </c>
    </row>
    <row r="116" spans="1:4" ht="15" customHeight="1" x14ac:dyDescent="0.2">
      <c r="A116" s="126" t="s">
        <v>1087</v>
      </c>
      <c r="B116" s="126" t="s">
        <v>1099</v>
      </c>
      <c r="C116" s="126" t="s">
        <v>1100</v>
      </c>
      <c r="D116" s="126" t="s">
        <v>1101</v>
      </c>
    </row>
    <row r="117" spans="1:4" ht="15" customHeight="1" x14ac:dyDescent="0.2">
      <c r="A117" s="126" t="s">
        <v>1087</v>
      </c>
      <c r="B117" s="126" t="s">
        <v>1102</v>
      </c>
      <c r="C117" s="126" t="s">
        <v>1103</v>
      </c>
      <c r="D117" s="126" t="s">
        <v>1104</v>
      </c>
    </row>
    <row r="118" spans="1:4" ht="15" customHeight="1" x14ac:dyDescent="0.2">
      <c r="A118" s="126" t="s">
        <v>1087</v>
      </c>
      <c r="B118" s="126" t="s">
        <v>1105</v>
      </c>
      <c r="C118" s="126" t="s">
        <v>1106</v>
      </c>
      <c r="D118" s="126" t="s">
        <v>1107</v>
      </c>
    </row>
    <row r="119" spans="1:4" ht="15" customHeight="1" x14ac:dyDescent="0.2">
      <c r="A119" s="126" t="s">
        <v>1087</v>
      </c>
      <c r="B119" s="126" t="s">
        <v>1108</v>
      </c>
      <c r="C119" s="126" t="s">
        <v>986</v>
      </c>
      <c r="D119" s="126" t="s">
        <v>987</v>
      </c>
    </row>
    <row r="120" spans="1:4" ht="15" customHeight="1" x14ac:dyDescent="0.2">
      <c r="A120" s="126" t="s">
        <v>1087</v>
      </c>
      <c r="B120" s="126" t="s">
        <v>1109</v>
      </c>
      <c r="C120" s="126" t="s">
        <v>988</v>
      </c>
      <c r="D120" s="126" t="s">
        <v>989</v>
      </c>
    </row>
    <row r="121" spans="1:4" ht="15" customHeight="1" x14ac:dyDescent="0.2">
      <c r="A121" s="113"/>
      <c r="B121" s="113"/>
      <c r="C121" s="113"/>
      <c r="D121" s="113"/>
    </row>
    <row r="122" spans="1:4" ht="15" customHeight="1" x14ac:dyDescent="0.2">
      <c r="A122" s="126" t="s">
        <v>1110</v>
      </c>
      <c r="B122" s="126" t="s">
        <v>1111</v>
      </c>
      <c r="C122" s="126" t="s">
        <v>1112</v>
      </c>
      <c r="D122" s="126" t="s">
        <v>1113</v>
      </c>
    </row>
    <row r="123" spans="1:4" ht="15" customHeight="1" x14ac:dyDescent="0.2">
      <c r="A123" s="126" t="s">
        <v>1110</v>
      </c>
      <c r="B123" s="126" t="s">
        <v>1114</v>
      </c>
      <c r="C123" s="126" t="s">
        <v>1115</v>
      </c>
      <c r="D123" s="126" t="s">
        <v>1116</v>
      </c>
    </row>
    <row r="124" spans="1:4" ht="15" customHeight="1" x14ac:dyDescent="0.2">
      <c r="A124" s="126" t="s">
        <v>1110</v>
      </c>
      <c r="B124" s="126" t="s">
        <v>1117</v>
      </c>
      <c r="C124" s="126" t="s">
        <v>1118</v>
      </c>
      <c r="D124" s="126" t="s">
        <v>1119</v>
      </c>
    </row>
    <row r="125" spans="1:4" ht="15" customHeight="1" x14ac:dyDescent="0.2">
      <c r="A125" s="126" t="s">
        <v>1110</v>
      </c>
      <c r="B125" s="126" t="s">
        <v>1120</v>
      </c>
      <c r="C125" s="126" t="s">
        <v>1121</v>
      </c>
      <c r="D125" s="126" t="s">
        <v>1122</v>
      </c>
    </row>
    <row r="126" spans="1:4" ht="15" customHeight="1" x14ac:dyDescent="0.2">
      <c r="A126" s="126" t="s">
        <v>1110</v>
      </c>
      <c r="B126" s="126" t="s">
        <v>1123</v>
      </c>
      <c r="C126" s="126" t="s">
        <v>1124</v>
      </c>
      <c r="D126" s="126" t="s">
        <v>1125</v>
      </c>
    </row>
    <row r="127" spans="1:4" ht="15" customHeight="1" x14ac:dyDescent="0.2">
      <c r="A127" s="126" t="s">
        <v>1110</v>
      </c>
      <c r="B127" s="126" t="s">
        <v>1126</v>
      </c>
      <c r="C127" s="126" t="s">
        <v>1127</v>
      </c>
      <c r="D127" s="126" t="s">
        <v>1128</v>
      </c>
    </row>
    <row r="128" spans="1:4" ht="15" customHeight="1" x14ac:dyDescent="0.2">
      <c r="A128" s="126" t="s">
        <v>1110</v>
      </c>
      <c r="B128" s="126" t="s">
        <v>1129</v>
      </c>
      <c r="C128" s="126" t="s">
        <v>1130</v>
      </c>
      <c r="D128" s="126" t="s">
        <v>1131</v>
      </c>
    </row>
    <row r="129" spans="1:4" ht="15" customHeight="1" x14ac:dyDescent="0.2">
      <c r="A129" s="126" t="s">
        <v>1110</v>
      </c>
      <c r="B129" s="126" t="s">
        <v>1102</v>
      </c>
      <c r="C129" s="126" t="s">
        <v>1132</v>
      </c>
      <c r="D129" s="126" t="s">
        <v>1133</v>
      </c>
    </row>
    <row r="130" spans="1:4" ht="15" customHeight="1" x14ac:dyDescent="0.2">
      <c r="A130" s="126" t="s">
        <v>1110</v>
      </c>
      <c r="B130" s="126" t="s">
        <v>1105</v>
      </c>
      <c r="C130" s="126" t="s">
        <v>1134</v>
      </c>
      <c r="D130" s="126" t="s">
        <v>1135</v>
      </c>
    </row>
    <row r="131" spans="1:4" ht="15" customHeight="1" x14ac:dyDescent="0.2">
      <c r="A131" s="126" t="s">
        <v>1110</v>
      </c>
      <c r="B131" s="126" t="s">
        <v>1108</v>
      </c>
      <c r="C131" s="126" t="s">
        <v>986</v>
      </c>
      <c r="D131" s="126" t="s">
        <v>987</v>
      </c>
    </row>
    <row r="132" spans="1:4" ht="15" customHeight="1" x14ac:dyDescent="0.2">
      <c r="A132" s="126" t="s">
        <v>1110</v>
      </c>
      <c r="B132" s="126" t="s">
        <v>1109</v>
      </c>
      <c r="C132" s="126" t="s">
        <v>988</v>
      </c>
      <c r="D132" s="126" t="s">
        <v>989</v>
      </c>
    </row>
    <row r="133" spans="1:4" ht="15" customHeight="1" x14ac:dyDescent="0.2">
      <c r="A133" s="113"/>
      <c r="B133" s="113"/>
      <c r="C133" s="113"/>
    </row>
    <row r="134" spans="1:4" ht="15" customHeight="1" x14ac:dyDescent="0.2">
      <c r="A134" s="126" t="s">
        <v>1136</v>
      </c>
      <c r="B134" s="126">
        <v>1</v>
      </c>
      <c r="C134" s="126" t="s">
        <v>1137</v>
      </c>
      <c r="D134" s="126" t="s">
        <v>1138</v>
      </c>
    </row>
    <row r="135" spans="1:4" ht="15" customHeight="1" x14ac:dyDescent="0.2">
      <c r="A135" s="126" t="s">
        <v>1136</v>
      </c>
      <c r="B135" s="126">
        <v>2</v>
      </c>
      <c r="C135" s="126" t="s">
        <v>1139</v>
      </c>
      <c r="D135" s="126" t="s">
        <v>1140</v>
      </c>
    </row>
    <row r="136" spans="1:4" ht="15" customHeight="1" x14ac:dyDescent="0.2">
      <c r="A136" s="126" t="s">
        <v>1136</v>
      </c>
      <c r="B136" s="126">
        <v>3</v>
      </c>
      <c r="C136" s="126" t="s">
        <v>1141</v>
      </c>
      <c r="D136" s="126" t="s">
        <v>1142</v>
      </c>
    </row>
    <row r="137" spans="1:4" ht="15" customHeight="1" x14ac:dyDescent="0.2">
      <c r="A137" s="126" t="s">
        <v>1136</v>
      </c>
      <c r="B137" s="126">
        <v>4</v>
      </c>
      <c r="C137" s="126" t="s">
        <v>1143</v>
      </c>
      <c r="D137" s="126" t="s">
        <v>1144</v>
      </c>
    </row>
    <row r="138" spans="1:4" ht="15" customHeight="1" x14ac:dyDescent="0.2">
      <c r="A138" s="126" t="s">
        <v>1136</v>
      </c>
      <c r="B138" s="126">
        <v>5</v>
      </c>
      <c r="C138" s="126" t="s">
        <v>1145</v>
      </c>
      <c r="D138" s="126" t="s">
        <v>1146</v>
      </c>
    </row>
    <row r="139" spans="1:4" ht="15" customHeight="1" x14ac:dyDescent="0.2">
      <c r="A139" s="126"/>
      <c r="B139" s="126">
        <v>6</v>
      </c>
      <c r="C139" s="126" t="s">
        <v>1147</v>
      </c>
      <c r="D139" s="126" t="s">
        <v>1148</v>
      </c>
    </row>
    <row r="140" spans="1:4" ht="15" customHeight="1" x14ac:dyDescent="0.2">
      <c r="A140" s="126" t="s">
        <v>1136</v>
      </c>
      <c r="B140" s="126">
        <v>7</v>
      </c>
      <c r="C140" s="126" t="s">
        <v>1149</v>
      </c>
      <c r="D140" s="126" t="s">
        <v>987</v>
      </c>
    </row>
    <row r="141" spans="1:4" ht="15" customHeight="1" x14ac:dyDescent="0.2">
      <c r="A141" s="126" t="s">
        <v>1136</v>
      </c>
      <c r="B141" s="126">
        <v>8</v>
      </c>
      <c r="C141" s="126" t="s">
        <v>1150</v>
      </c>
      <c r="D141" s="126" t="s">
        <v>989</v>
      </c>
    </row>
    <row r="142" spans="1:4" ht="15" customHeight="1" x14ac:dyDescent="0.2">
      <c r="A142" s="113"/>
      <c r="B142" s="113"/>
      <c r="C142" s="113"/>
      <c r="D142" s="113"/>
    </row>
    <row r="143" spans="1:4" ht="15" customHeight="1" x14ac:dyDescent="0.2">
      <c r="A143" s="126" t="s">
        <v>1151</v>
      </c>
      <c r="B143" s="126">
        <v>1</v>
      </c>
      <c r="C143" s="126" t="s">
        <v>1152</v>
      </c>
      <c r="D143" s="126" t="s">
        <v>1153</v>
      </c>
    </row>
    <row r="144" spans="1:4" ht="15" customHeight="1" x14ac:dyDescent="0.2">
      <c r="A144" s="126" t="s">
        <v>1151</v>
      </c>
      <c r="B144" s="126">
        <v>2</v>
      </c>
      <c r="C144" s="126" t="s">
        <v>1154</v>
      </c>
      <c r="D144" s="126" t="s">
        <v>1155</v>
      </c>
    </row>
    <row r="145" spans="1:4" ht="15" customHeight="1" x14ac:dyDescent="0.2">
      <c r="A145" s="126" t="s">
        <v>1151</v>
      </c>
      <c r="B145" s="126">
        <v>3</v>
      </c>
      <c r="C145" s="126" t="s">
        <v>1156</v>
      </c>
      <c r="D145" s="126" t="s">
        <v>1157</v>
      </c>
    </row>
    <row r="146" spans="1:4" ht="15" customHeight="1" x14ac:dyDescent="0.2">
      <c r="A146" s="126" t="s">
        <v>1151</v>
      </c>
      <c r="B146" s="126">
        <v>4</v>
      </c>
      <c r="C146" s="126" t="s">
        <v>1158</v>
      </c>
      <c r="D146" s="126" t="s">
        <v>1159</v>
      </c>
    </row>
    <row r="147" spans="1:4" ht="15" customHeight="1" x14ac:dyDescent="0.2">
      <c r="A147" s="126" t="s">
        <v>1151</v>
      </c>
      <c r="B147" s="126">
        <v>5</v>
      </c>
      <c r="C147" s="126" t="s">
        <v>986</v>
      </c>
      <c r="D147" s="126" t="s">
        <v>987</v>
      </c>
    </row>
    <row r="148" spans="1:4" ht="15" customHeight="1" x14ac:dyDescent="0.2">
      <c r="A148" s="126" t="s">
        <v>1151</v>
      </c>
      <c r="B148" s="126">
        <v>6</v>
      </c>
      <c r="C148" s="126" t="s">
        <v>988</v>
      </c>
      <c r="D148" s="126" t="s">
        <v>989</v>
      </c>
    </row>
    <row r="149" spans="1:4" ht="15" customHeight="1" x14ac:dyDescent="0.2">
      <c r="A149" s="113"/>
      <c r="B149" s="113"/>
      <c r="C149" s="113"/>
      <c r="D149" s="113"/>
    </row>
    <row r="150" spans="1:4" x14ac:dyDescent="0.15">
      <c r="A150" s="110" t="s">
        <v>1160</v>
      </c>
      <c r="B150" s="110">
        <v>1</v>
      </c>
      <c r="C150" s="110" t="s">
        <v>1161</v>
      </c>
      <c r="D150" s="110" t="s">
        <v>1162</v>
      </c>
    </row>
    <row r="151" spans="1:4" x14ac:dyDescent="0.15">
      <c r="A151" s="110" t="s">
        <v>1160</v>
      </c>
      <c r="B151" s="110">
        <v>2</v>
      </c>
      <c r="C151" s="110" t="s">
        <v>1163</v>
      </c>
      <c r="D151" s="110" t="s">
        <v>1164</v>
      </c>
    </row>
    <row r="152" spans="1:4" x14ac:dyDescent="0.15">
      <c r="A152" s="110" t="s">
        <v>1160</v>
      </c>
      <c r="B152" s="110">
        <v>3</v>
      </c>
      <c r="C152" s="110" t="s">
        <v>1165</v>
      </c>
      <c r="D152" s="110" t="s">
        <v>1166</v>
      </c>
    </row>
    <row r="153" spans="1:4" x14ac:dyDescent="0.15">
      <c r="A153" s="110" t="s">
        <v>1160</v>
      </c>
      <c r="B153" s="110">
        <v>4</v>
      </c>
      <c r="C153" s="110" t="s">
        <v>1167</v>
      </c>
      <c r="D153" s="110" t="s">
        <v>1168</v>
      </c>
    </row>
    <row r="154" spans="1:4" x14ac:dyDescent="0.15">
      <c r="A154" s="110" t="s">
        <v>1160</v>
      </c>
      <c r="B154" s="110">
        <v>5</v>
      </c>
      <c r="C154" s="110" t="s">
        <v>1169</v>
      </c>
      <c r="D154" s="110" t="s">
        <v>1170</v>
      </c>
    </row>
    <row r="155" spans="1:4" x14ac:dyDescent="0.15">
      <c r="A155" s="110" t="s">
        <v>1160</v>
      </c>
      <c r="B155" s="110">
        <v>6</v>
      </c>
      <c r="C155" s="110" t="s">
        <v>1171</v>
      </c>
      <c r="D155" s="110" t="s">
        <v>1172</v>
      </c>
    </row>
    <row r="156" spans="1:4" x14ac:dyDescent="0.15">
      <c r="A156" s="110" t="s">
        <v>1160</v>
      </c>
      <c r="B156" s="110">
        <v>7</v>
      </c>
      <c r="C156" s="110" t="s">
        <v>1173</v>
      </c>
      <c r="D156" s="110" t="s">
        <v>1174</v>
      </c>
    </row>
    <row r="157" spans="1:4" x14ac:dyDescent="0.15">
      <c r="A157" s="110" t="s">
        <v>1160</v>
      </c>
      <c r="B157" s="110">
        <v>8</v>
      </c>
      <c r="C157" s="110" t="s">
        <v>1175</v>
      </c>
      <c r="D157" s="110" t="s">
        <v>1176</v>
      </c>
    </row>
    <row r="158" spans="1:4" x14ac:dyDescent="0.15">
      <c r="A158" s="110" t="s">
        <v>1160</v>
      </c>
      <c r="B158" s="110">
        <v>9</v>
      </c>
      <c r="C158" s="110" t="s">
        <v>1177</v>
      </c>
      <c r="D158" s="110" t="s">
        <v>1178</v>
      </c>
    </row>
    <row r="159" spans="1:4" x14ac:dyDescent="0.15">
      <c r="A159" s="110" t="s">
        <v>1160</v>
      </c>
      <c r="B159" s="110">
        <v>10</v>
      </c>
      <c r="C159" s="110" t="s">
        <v>1179</v>
      </c>
      <c r="D159" s="110" t="s">
        <v>1180</v>
      </c>
    </row>
    <row r="160" spans="1:4" x14ac:dyDescent="0.15">
      <c r="A160" s="110" t="s">
        <v>1160</v>
      </c>
      <c r="B160" s="110">
        <v>11</v>
      </c>
      <c r="C160" s="110" t="s">
        <v>1181</v>
      </c>
      <c r="D160" s="110" t="s">
        <v>1182</v>
      </c>
    </row>
    <row r="161" spans="1:4" x14ac:dyDescent="0.15">
      <c r="A161" s="110" t="s">
        <v>1160</v>
      </c>
      <c r="B161" s="110">
        <v>12</v>
      </c>
      <c r="C161" s="110" t="s">
        <v>1183</v>
      </c>
      <c r="D161" s="110" t="s">
        <v>1184</v>
      </c>
    </row>
    <row r="162" spans="1:4" x14ac:dyDescent="0.15">
      <c r="A162" s="110" t="s">
        <v>1160</v>
      </c>
      <c r="B162" s="110">
        <v>13</v>
      </c>
      <c r="C162" s="110" t="s">
        <v>1185</v>
      </c>
      <c r="D162" s="110" t="s">
        <v>1186</v>
      </c>
    </row>
    <row r="163" spans="1:4" x14ac:dyDescent="0.15">
      <c r="A163" s="110" t="s">
        <v>1160</v>
      </c>
      <c r="B163" s="110">
        <v>14</v>
      </c>
      <c r="C163" s="110" t="s">
        <v>1187</v>
      </c>
      <c r="D163" s="110" t="s">
        <v>1188</v>
      </c>
    </row>
    <row r="164" spans="1:4" x14ac:dyDescent="0.15">
      <c r="A164" s="110" t="s">
        <v>1160</v>
      </c>
      <c r="B164" s="110">
        <v>15</v>
      </c>
      <c r="C164" s="110" t="s">
        <v>1189</v>
      </c>
      <c r="D164" s="110" t="s">
        <v>1190</v>
      </c>
    </row>
    <row r="165" spans="1:4" x14ac:dyDescent="0.15">
      <c r="A165" s="110" t="s">
        <v>1160</v>
      </c>
      <c r="B165" s="110">
        <v>16</v>
      </c>
      <c r="C165" s="110" t="s">
        <v>1191</v>
      </c>
      <c r="D165" s="110" t="s">
        <v>1192</v>
      </c>
    </row>
    <row r="166" spans="1:4" x14ac:dyDescent="0.15">
      <c r="A166" s="110" t="s">
        <v>1160</v>
      </c>
      <c r="B166" s="110">
        <v>17</v>
      </c>
      <c r="C166" s="110" t="s">
        <v>1193</v>
      </c>
      <c r="D166" s="110" t="s">
        <v>1194</v>
      </c>
    </row>
    <row r="167" spans="1:4" x14ac:dyDescent="0.15">
      <c r="A167" s="110" t="s">
        <v>1160</v>
      </c>
      <c r="B167" s="110">
        <v>18</v>
      </c>
      <c r="C167" s="110" t="s">
        <v>1195</v>
      </c>
      <c r="D167" s="110" t="s">
        <v>1196</v>
      </c>
    </row>
    <row r="168" spans="1:4" x14ac:dyDescent="0.15">
      <c r="A168" s="110" t="s">
        <v>1160</v>
      </c>
      <c r="B168" s="110">
        <v>19</v>
      </c>
      <c r="C168" s="110" t="s">
        <v>1197</v>
      </c>
      <c r="D168" s="110" t="s">
        <v>1198</v>
      </c>
    </row>
    <row r="169" spans="1:4" x14ac:dyDescent="0.15">
      <c r="A169" s="110" t="s">
        <v>1160</v>
      </c>
      <c r="B169" s="110">
        <v>20</v>
      </c>
      <c r="C169" s="110" t="s">
        <v>988</v>
      </c>
      <c r="D169" s="110" t="s">
        <v>989</v>
      </c>
    </row>
    <row r="171" spans="1:4" x14ac:dyDescent="0.15">
      <c r="A171" s="110" t="s">
        <v>1199</v>
      </c>
      <c r="B171" s="110">
        <v>1</v>
      </c>
      <c r="C171" s="110" t="s">
        <v>1002</v>
      </c>
      <c r="D171" s="110" t="s">
        <v>1003</v>
      </c>
    </row>
    <row r="172" spans="1:4" x14ac:dyDescent="0.15">
      <c r="A172" s="110" t="s">
        <v>1199</v>
      </c>
      <c r="B172" s="110">
        <v>2</v>
      </c>
      <c r="C172" s="110" t="s">
        <v>1004</v>
      </c>
      <c r="D172" s="110" t="s">
        <v>1005</v>
      </c>
    </row>
    <row r="173" spans="1:4" x14ac:dyDescent="0.15">
      <c r="A173" s="110" t="s">
        <v>1199</v>
      </c>
      <c r="B173" s="110">
        <v>3</v>
      </c>
      <c r="C173" s="110" t="s">
        <v>1200</v>
      </c>
      <c r="D173" s="110" t="s">
        <v>1201</v>
      </c>
    </row>
    <row r="174" spans="1:4" x14ac:dyDescent="0.15">
      <c r="A174" s="110" t="s">
        <v>1199</v>
      </c>
      <c r="B174" s="110">
        <v>4</v>
      </c>
      <c r="C174" s="110" t="s">
        <v>986</v>
      </c>
      <c r="D174" s="110" t="s">
        <v>987</v>
      </c>
    </row>
    <row r="175" spans="1:4" x14ac:dyDescent="0.15">
      <c r="A175" s="110" t="s">
        <v>1199</v>
      </c>
      <c r="B175" s="110">
        <v>5</v>
      </c>
      <c r="C175" s="110" t="s">
        <v>988</v>
      </c>
      <c r="D175" s="110" t="s">
        <v>989</v>
      </c>
    </row>
    <row r="177" spans="1:4" x14ac:dyDescent="0.15">
      <c r="A177" s="110" t="s">
        <v>1202</v>
      </c>
      <c r="B177" s="110">
        <v>1</v>
      </c>
      <c r="C177" s="110" t="s">
        <v>1203</v>
      </c>
      <c r="D177" s="110" t="s">
        <v>1204</v>
      </c>
    </row>
    <row r="178" spans="1:4" x14ac:dyDescent="0.15">
      <c r="A178" s="110" t="s">
        <v>1202</v>
      </c>
      <c r="B178" s="110">
        <v>2</v>
      </c>
      <c r="C178" s="110" t="s">
        <v>1205</v>
      </c>
      <c r="D178" s="110" t="s">
        <v>1206</v>
      </c>
    </row>
    <row r="179" spans="1:4" x14ac:dyDescent="0.15">
      <c r="A179" s="110" t="s">
        <v>1202</v>
      </c>
      <c r="B179" s="110">
        <v>3</v>
      </c>
      <c r="C179" s="110" t="s">
        <v>1207</v>
      </c>
      <c r="D179" s="110" t="s">
        <v>1208</v>
      </c>
    </row>
    <row r="180" spans="1:4" x14ac:dyDescent="0.15">
      <c r="A180" s="110" t="s">
        <v>1202</v>
      </c>
      <c r="B180" s="110">
        <v>4</v>
      </c>
      <c r="C180" s="110" t="s">
        <v>986</v>
      </c>
      <c r="D180" s="110" t="s">
        <v>987</v>
      </c>
    </row>
    <row r="181" spans="1:4" x14ac:dyDescent="0.15">
      <c r="A181" s="110" t="s">
        <v>1202</v>
      </c>
      <c r="B181" s="110">
        <v>5</v>
      </c>
      <c r="C181" s="110" t="s">
        <v>988</v>
      </c>
      <c r="D181" s="110" t="s">
        <v>989</v>
      </c>
    </row>
    <row r="183" spans="1:4" x14ac:dyDescent="0.15">
      <c r="A183" s="110" t="s">
        <v>1209</v>
      </c>
      <c r="B183" s="110">
        <v>1</v>
      </c>
      <c r="C183" s="110" t="s">
        <v>1210</v>
      </c>
      <c r="D183" s="110" t="s">
        <v>1211</v>
      </c>
    </row>
    <row r="184" spans="1:4" x14ac:dyDescent="0.15">
      <c r="A184" s="110" t="s">
        <v>1209</v>
      </c>
      <c r="B184" s="110">
        <v>2</v>
      </c>
      <c r="C184" s="110" t="s">
        <v>1212</v>
      </c>
      <c r="D184" s="110" t="s">
        <v>1213</v>
      </c>
    </row>
    <row r="185" spans="1:4" x14ac:dyDescent="0.15">
      <c r="A185" s="110" t="s">
        <v>1209</v>
      </c>
      <c r="B185" s="110">
        <v>3</v>
      </c>
      <c r="C185" s="110" t="s">
        <v>1214</v>
      </c>
      <c r="D185" s="110" t="s">
        <v>1215</v>
      </c>
    </row>
    <row r="186" spans="1:4" x14ac:dyDescent="0.15">
      <c r="A186" s="110" t="s">
        <v>1209</v>
      </c>
      <c r="B186" s="110">
        <v>4</v>
      </c>
      <c r="C186" s="110" t="s">
        <v>1216</v>
      </c>
      <c r="D186" s="110" t="s">
        <v>1217</v>
      </c>
    </row>
    <row r="187" spans="1:4" x14ac:dyDescent="0.15">
      <c r="A187" s="110" t="s">
        <v>1209</v>
      </c>
      <c r="B187" s="110">
        <v>5</v>
      </c>
      <c r="C187" s="110" t="s">
        <v>1218</v>
      </c>
      <c r="D187" s="110" t="s">
        <v>1219</v>
      </c>
    </row>
    <row r="188" spans="1:4" ht="15" customHeight="1" x14ac:dyDescent="0.2">
      <c r="A188" s="110" t="s">
        <v>1209</v>
      </c>
      <c r="B188" s="120">
        <v>6</v>
      </c>
      <c r="C188" s="110" t="s">
        <v>986</v>
      </c>
      <c r="D188" s="110" t="s">
        <v>987</v>
      </c>
    </row>
    <row r="189" spans="1:4" ht="15" customHeight="1" x14ac:dyDescent="0.2">
      <c r="A189" s="110" t="s">
        <v>1209</v>
      </c>
      <c r="B189" s="120">
        <v>7</v>
      </c>
      <c r="C189" s="110" t="s">
        <v>988</v>
      </c>
      <c r="D189" s="110" t="s">
        <v>989</v>
      </c>
    </row>
    <row r="191" spans="1:4" s="122" customFormat="1" ht="15" customHeight="1" x14ac:dyDescent="0.2">
      <c r="A191" s="124" t="s">
        <v>1220</v>
      </c>
      <c r="B191" s="122">
        <v>1</v>
      </c>
      <c r="C191" s="122" t="s">
        <v>1161</v>
      </c>
      <c r="D191" s="122" t="s">
        <v>1162</v>
      </c>
    </row>
    <row r="192" spans="1:4" s="122" customFormat="1" ht="15" customHeight="1" x14ac:dyDescent="0.2">
      <c r="A192" s="124" t="s">
        <v>1220</v>
      </c>
      <c r="B192" s="122">
        <v>2</v>
      </c>
      <c r="C192" s="122" t="s">
        <v>1163</v>
      </c>
      <c r="D192" s="122" t="s">
        <v>1164</v>
      </c>
    </row>
    <row r="193" spans="1:4" s="122" customFormat="1" ht="15" customHeight="1" x14ac:dyDescent="0.2">
      <c r="A193" s="124" t="s">
        <v>1220</v>
      </c>
      <c r="B193" s="122">
        <v>3</v>
      </c>
      <c r="C193" s="122" t="s">
        <v>1165</v>
      </c>
      <c r="D193" s="122" t="s">
        <v>1166</v>
      </c>
    </row>
    <row r="194" spans="1:4" s="122" customFormat="1" ht="15" customHeight="1" x14ac:dyDescent="0.2">
      <c r="A194" s="124" t="s">
        <v>1220</v>
      </c>
      <c r="B194" s="122">
        <v>4</v>
      </c>
      <c r="C194" s="122" t="s">
        <v>1167</v>
      </c>
      <c r="D194" s="122" t="s">
        <v>1168</v>
      </c>
    </row>
    <row r="195" spans="1:4" s="122" customFormat="1" ht="15" customHeight="1" x14ac:dyDescent="0.2">
      <c r="A195" s="124" t="s">
        <v>1220</v>
      </c>
      <c r="B195" s="122">
        <v>5</v>
      </c>
      <c r="C195" s="122" t="s">
        <v>1169</v>
      </c>
      <c r="D195" s="122" t="s">
        <v>1170</v>
      </c>
    </row>
    <row r="196" spans="1:4" s="122" customFormat="1" ht="15" customHeight="1" x14ac:dyDescent="0.2">
      <c r="A196" s="124" t="s">
        <v>1220</v>
      </c>
      <c r="B196" s="122">
        <v>6</v>
      </c>
      <c r="C196" s="122" t="s">
        <v>1171</v>
      </c>
      <c r="D196" s="122" t="s">
        <v>1172</v>
      </c>
    </row>
    <row r="197" spans="1:4" s="122" customFormat="1" ht="15" customHeight="1" x14ac:dyDescent="0.2">
      <c r="A197" s="124" t="s">
        <v>1220</v>
      </c>
      <c r="B197" s="122">
        <v>7</v>
      </c>
      <c r="C197" s="122" t="s">
        <v>1173</v>
      </c>
      <c r="D197" s="122" t="s">
        <v>1174</v>
      </c>
    </row>
    <row r="198" spans="1:4" s="122" customFormat="1" ht="15" customHeight="1" x14ac:dyDescent="0.2">
      <c r="A198" s="124" t="s">
        <v>1220</v>
      </c>
      <c r="B198" s="122">
        <v>8</v>
      </c>
      <c r="C198" s="122" t="s">
        <v>1175</v>
      </c>
      <c r="D198" s="122" t="s">
        <v>1176</v>
      </c>
    </row>
    <row r="199" spans="1:4" s="122" customFormat="1" ht="15" customHeight="1" x14ac:dyDescent="0.2">
      <c r="A199" s="124" t="s">
        <v>1220</v>
      </c>
      <c r="B199" s="122">
        <v>9</v>
      </c>
      <c r="C199" s="122" t="s">
        <v>1177</v>
      </c>
      <c r="D199" s="122" t="s">
        <v>1178</v>
      </c>
    </row>
    <row r="200" spans="1:4" s="122" customFormat="1" ht="15" customHeight="1" x14ac:dyDescent="0.2">
      <c r="A200" s="124" t="s">
        <v>1220</v>
      </c>
      <c r="B200" s="122">
        <v>10</v>
      </c>
      <c r="C200" s="122" t="s">
        <v>1179</v>
      </c>
      <c r="D200" s="122" t="s">
        <v>1180</v>
      </c>
    </row>
    <row r="201" spans="1:4" s="122" customFormat="1" ht="15" customHeight="1" x14ac:dyDescent="0.2">
      <c r="A201" s="124" t="s">
        <v>1220</v>
      </c>
      <c r="B201" s="122">
        <v>11</v>
      </c>
      <c r="C201" s="122" t="s">
        <v>1181</v>
      </c>
      <c r="D201" s="122" t="s">
        <v>1182</v>
      </c>
    </row>
    <row r="202" spans="1:4" s="122" customFormat="1" ht="15" customHeight="1" x14ac:dyDescent="0.2">
      <c r="A202" s="124" t="s">
        <v>1220</v>
      </c>
      <c r="B202" s="122">
        <v>12</v>
      </c>
      <c r="C202" s="122" t="s">
        <v>1183</v>
      </c>
      <c r="D202" s="122" t="s">
        <v>1184</v>
      </c>
    </row>
    <row r="203" spans="1:4" s="122" customFormat="1" ht="15" customHeight="1" x14ac:dyDescent="0.2">
      <c r="A203" s="124" t="s">
        <v>1220</v>
      </c>
      <c r="B203" s="122">
        <v>13</v>
      </c>
      <c r="C203" s="122" t="s">
        <v>1185</v>
      </c>
      <c r="D203" s="122" t="s">
        <v>1186</v>
      </c>
    </row>
    <row r="204" spans="1:4" s="122" customFormat="1" ht="15" customHeight="1" x14ac:dyDescent="0.2">
      <c r="A204" s="124" t="s">
        <v>1220</v>
      </c>
      <c r="B204" s="122">
        <v>14</v>
      </c>
      <c r="C204" s="122" t="s">
        <v>1187</v>
      </c>
      <c r="D204" s="122" t="s">
        <v>1188</v>
      </c>
    </row>
    <row r="205" spans="1:4" s="122" customFormat="1" ht="15" customHeight="1" x14ac:dyDescent="0.2">
      <c r="A205" s="124" t="s">
        <v>1220</v>
      </c>
      <c r="B205" s="124">
        <v>15</v>
      </c>
      <c r="C205" s="124" t="s">
        <v>1189</v>
      </c>
      <c r="D205" s="122" t="s">
        <v>1190</v>
      </c>
    </row>
    <row r="206" spans="1:4" s="122" customFormat="1" ht="15" customHeight="1" x14ac:dyDescent="0.2">
      <c r="A206" s="124" t="s">
        <v>1220</v>
      </c>
      <c r="B206" s="124">
        <v>16</v>
      </c>
      <c r="C206" s="124" t="s">
        <v>1191</v>
      </c>
      <c r="D206" s="122" t="s">
        <v>1192</v>
      </c>
    </row>
    <row r="207" spans="1:4" s="122" customFormat="1" ht="15" customHeight="1" x14ac:dyDescent="0.2">
      <c r="A207" s="124" t="s">
        <v>1220</v>
      </c>
      <c r="B207" s="124">
        <v>17</v>
      </c>
      <c r="C207" s="124" t="s">
        <v>1193</v>
      </c>
      <c r="D207" s="122" t="s">
        <v>1194</v>
      </c>
    </row>
    <row r="208" spans="1:4" s="122" customFormat="1" ht="15" customHeight="1" x14ac:dyDescent="0.2">
      <c r="A208" s="124" t="s">
        <v>1220</v>
      </c>
      <c r="B208" s="124">
        <v>18</v>
      </c>
      <c r="C208" s="124" t="s">
        <v>1221</v>
      </c>
      <c r="D208" s="122" t="s">
        <v>1196</v>
      </c>
    </row>
    <row r="209" spans="1:4" s="122" customFormat="1" ht="15" customHeight="1" x14ac:dyDescent="0.2">
      <c r="A209" s="124" t="s">
        <v>1220</v>
      </c>
      <c r="B209" s="124">
        <v>19</v>
      </c>
      <c r="C209" s="124" t="s">
        <v>1222</v>
      </c>
      <c r="D209" s="122" t="s">
        <v>1223</v>
      </c>
    </row>
    <row r="210" spans="1:4" s="122" customFormat="1" ht="15" customHeight="1" x14ac:dyDescent="0.2">
      <c r="A210" s="124" t="s">
        <v>1220</v>
      </c>
      <c r="B210" s="120">
        <v>20</v>
      </c>
      <c r="C210" s="124" t="s">
        <v>986</v>
      </c>
      <c r="D210" s="124" t="s">
        <v>987</v>
      </c>
    </row>
    <row r="211" spans="1:4" s="122" customFormat="1" ht="15" customHeight="1" x14ac:dyDescent="0.2">
      <c r="A211" s="124" t="s">
        <v>1220</v>
      </c>
      <c r="B211" s="120">
        <v>21</v>
      </c>
      <c r="C211" s="124" t="s">
        <v>988</v>
      </c>
      <c r="D211" s="122" t="s">
        <v>989</v>
      </c>
    </row>
    <row r="212" spans="1:4" s="122" customFormat="1" ht="15" customHeight="1" x14ac:dyDescent="0.2">
      <c r="D212" s="110"/>
    </row>
    <row r="213" spans="1:4" s="122" customFormat="1" ht="15" customHeight="1" x14ac:dyDescent="0.2">
      <c r="A213" s="124" t="s">
        <v>1224</v>
      </c>
      <c r="B213" s="122">
        <v>1</v>
      </c>
      <c r="C213" s="122" t="s">
        <v>1161</v>
      </c>
      <c r="D213" s="122" t="s">
        <v>1162</v>
      </c>
    </row>
    <row r="214" spans="1:4" s="122" customFormat="1" ht="15" customHeight="1" x14ac:dyDescent="0.2">
      <c r="A214" s="124" t="s">
        <v>1224</v>
      </c>
      <c r="B214" s="122">
        <v>2</v>
      </c>
      <c r="C214" s="122" t="s">
        <v>1163</v>
      </c>
      <c r="D214" s="122" t="s">
        <v>1164</v>
      </c>
    </row>
    <row r="215" spans="1:4" s="122" customFormat="1" ht="15" customHeight="1" x14ac:dyDescent="0.2">
      <c r="A215" s="124" t="s">
        <v>1224</v>
      </c>
      <c r="B215" s="122">
        <v>3</v>
      </c>
      <c r="C215" s="122" t="s">
        <v>1165</v>
      </c>
      <c r="D215" s="122" t="s">
        <v>1166</v>
      </c>
    </row>
    <row r="216" spans="1:4" s="122" customFormat="1" ht="15" customHeight="1" x14ac:dyDescent="0.2">
      <c r="A216" s="124" t="s">
        <v>1224</v>
      </c>
      <c r="B216" s="122">
        <v>4</v>
      </c>
      <c r="C216" s="122" t="s">
        <v>1167</v>
      </c>
      <c r="D216" s="122" t="s">
        <v>1168</v>
      </c>
    </row>
    <row r="217" spans="1:4" s="122" customFormat="1" ht="15" customHeight="1" x14ac:dyDescent="0.2">
      <c r="A217" s="124" t="s">
        <v>1224</v>
      </c>
      <c r="B217" s="122">
        <v>5</v>
      </c>
      <c r="C217" s="122" t="s">
        <v>1169</v>
      </c>
      <c r="D217" s="122" t="s">
        <v>1170</v>
      </c>
    </row>
    <row r="218" spans="1:4" s="122" customFormat="1" ht="15" customHeight="1" x14ac:dyDescent="0.2">
      <c r="A218" s="124" t="s">
        <v>1224</v>
      </c>
      <c r="B218" s="122">
        <v>6</v>
      </c>
      <c r="C218" s="122" t="s">
        <v>1171</v>
      </c>
      <c r="D218" s="122" t="s">
        <v>1172</v>
      </c>
    </row>
    <row r="219" spans="1:4" s="122" customFormat="1" ht="15" customHeight="1" x14ac:dyDescent="0.2">
      <c r="A219" s="124" t="s">
        <v>1224</v>
      </c>
      <c r="B219" s="122">
        <v>7</v>
      </c>
      <c r="C219" s="122" t="s">
        <v>1173</v>
      </c>
      <c r="D219" s="122" t="s">
        <v>1174</v>
      </c>
    </row>
    <row r="220" spans="1:4" s="122" customFormat="1" ht="15" customHeight="1" x14ac:dyDescent="0.2">
      <c r="A220" s="124" t="s">
        <v>1224</v>
      </c>
      <c r="B220" s="122">
        <v>8</v>
      </c>
      <c r="C220" s="122" t="s">
        <v>1175</v>
      </c>
      <c r="D220" s="122" t="s">
        <v>1176</v>
      </c>
    </row>
    <row r="221" spans="1:4" s="122" customFormat="1" ht="15" customHeight="1" x14ac:dyDescent="0.2">
      <c r="A221" s="124" t="s">
        <v>1224</v>
      </c>
      <c r="B221" s="122">
        <v>9</v>
      </c>
      <c r="C221" s="122" t="s">
        <v>1177</v>
      </c>
      <c r="D221" s="122" t="s">
        <v>1178</v>
      </c>
    </row>
    <row r="222" spans="1:4" s="122" customFormat="1" ht="15" customHeight="1" x14ac:dyDescent="0.2">
      <c r="A222" s="124" t="s">
        <v>1224</v>
      </c>
      <c r="B222" s="122">
        <v>10</v>
      </c>
      <c r="C222" s="122" t="s">
        <v>1179</v>
      </c>
      <c r="D222" s="122" t="s">
        <v>1180</v>
      </c>
    </row>
    <row r="223" spans="1:4" s="122" customFormat="1" ht="15" customHeight="1" x14ac:dyDescent="0.2">
      <c r="A223" s="124" t="s">
        <v>1224</v>
      </c>
      <c r="B223" s="122">
        <v>11</v>
      </c>
      <c r="C223" s="122" t="s">
        <v>1181</v>
      </c>
      <c r="D223" s="122" t="s">
        <v>1182</v>
      </c>
    </row>
    <row r="224" spans="1:4" s="122" customFormat="1" ht="15" customHeight="1" x14ac:dyDescent="0.2">
      <c r="A224" s="124" t="s">
        <v>1224</v>
      </c>
      <c r="B224" s="122">
        <v>12</v>
      </c>
      <c r="C224" s="122" t="s">
        <v>1183</v>
      </c>
      <c r="D224" s="122" t="s">
        <v>1184</v>
      </c>
    </row>
    <row r="225" spans="1:4" s="122" customFormat="1" ht="15" customHeight="1" x14ac:dyDescent="0.2">
      <c r="A225" s="124" t="s">
        <v>1224</v>
      </c>
      <c r="B225" s="122">
        <v>13</v>
      </c>
      <c r="C225" s="122" t="s">
        <v>1185</v>
      </c>
      <c r="D225" s="122" t="s">
        <v>1186</v>
      </c>
    </row>
    <row r="226" spans="1:4" s="122" customFormat="1" ht="15" customHeight="1" x14ac:dyDescent="0.2">
      <c r="A226" s="124" t="s">
        <v>1224</v>
      </c>
      <c r="B226" s="122">
        <v>14</v>
      </c>
      <c r="C226" s="122" t="s">
        <v>1187</v>
      </c>
      <c r="D226" s="122" t="s">
        <v>1188</v>
      </c>
    </row>
    <row r="227" spans="1:4" s="122" customFormat="1" ht="15" customHeight="1" x14ac:dyDescent="0.2">
      <c r="A227" s="124" t="s">
        <v>1224</v>
      </c>
      <c r="B227" s="124">
        <v>15</v>
      </c>
      <c r="C227" s="124" t="s">
        <v>1189</v>
      </c>
      <c r="D227" s="122" t="s">
        <v>1190</v>
      </c>
    </row>
    <row r="228" spans="1:4" s="122" customFormat="1" ht="15" customHeight="1" x14ac:dyDescent="0.2">
      <c r="A228" s="124" t="s">
        <v>1224</v>
      </c>
      <c r="B228" s="124">
        <v>16</v>
      </c>
      <c r="C228" s="124" t="s">
        <v>1191</v>
      </c>
      <c r="D228" s="122" t="s">
        <v>1192</v>
      </c>
    </row>
    <row r="229" spans="1:4" s="122" customFormat="1" ht="15" customHeight="1" x14ac:dyDescent="0.2">
      <c r="A229" s="124" t="s">
        <v>1224</v>
      </c>
      <c r="B229" s="124">
        <v>17</v>
      </c>
      <c r="C229" s="124" t="s">
        <v>1193</v>
      </c>
      <c r="D229" s="122" t="s">
        <v>1194</v>
      </c>
    </row>
    <row r="230" spans="1:4" s="122" customFormat="1" ht="15" customHeight="1" x14ac:dyDescent="0.2">
      <c r="A230" s="124" t="s">
        <v>1224</v>
      </c>
      <c r="B230" s="124">
        <v>18</v>
      </c>
      <c r="C230" s="124" t="s">
        <v>1225</v>
      </c>
      <c r="D230" s="122" t="s">
        <v>1196</v>
      </c>
    </row>
    <row r="231" spans="1:4" s="122" customFormat="1" ht="15" customHeight="1" x14ac:dyDescent="0.2">
      <c r="A231" s="124" t="s">
        <v>1224</v>
      </c>
      <c r="B231" s="124">
        <v>19</v>
      </c>
      <c r="C231" s="124" t="s">
        <v>1226</v>
      </c>
      <c r="D231" s="122" t="s">
        <v>1227</v>
      </c>
    </row>
    <row r="232" spans="1:4" s="122" customFormat="1" ht="15" customHeight="1" x14ac:dyDescent="0.2">
      <c r="A232" s="124" t="s">
        <v>1224</v>
      </c>
      <c r="B232" s="120">
        <v>20</v>
      </c>
      <c r="C232" s="124" t="s">
        <v>986</v>
      </c>
      <c r="D232" s="124" t="s">
        <v>987</v>
      </c>
    </row>
    <row r="233" spans="1:4" s="122" customFormat="1" ht="15" customHeight="1" x14ac:dyDescent="0.2">
      <c r="A233" s="124" t="s">
        <v>1224</v>
      </c>
      <c r="B233" s="120">
        <v>21</v>
      </c>
      <c r="C233" s="124" t="s">
        <v>988</v>
      </c>
      <c r="D233" s="122" t="s">
        <v>989</v>
      </c>
    </row>
    <row r="234" spans="1:4" s="127" customFormat="1" ht="15" customHeight="1" x14ac:dyDescent="0.2">
      <c r="D234" s="110"/>
    </row>
    <row r="235" spans="1:4" x14ac:dyDescent="0.15">
      <c r="A235" s="110" t="s">
        <v>360</v>
      </c>
      <c r="B235" s="110" t="s">
        <v>1228</v>
      </c>
      <c r="C235" s="110" t="s">
        <v>1229</v>
      </c>
      <c r="D235" s="110" t="s">
        <v>1230</v>
      </c>
    </row>
    <row r="236" spans="1:4" x14ac:dyDescent="0.15">
      <c r="A236" s="110" t="s">
        <v>360</v>
      </c>
      <c r="B236" s="110" t="s">
        <v>1231</v>
      </c>
      <c r="C236" s="110" t="s">
        <v>1232</v>
      </c>
      <c r="D236" s="110" t="s">
        <v>1233</v>
      </c>
    </row>
    <row r="237" spans="1:4" x14ac:dyDescent="0.15">
      <c r="A237" s="110" t="s">
        <v>360</v>
      </c>
      <c r="B237" s="110" t="s">
        <v>1234</v>
      </c>
      <c r="C237" s="110" t="s">
        <v>1235</v>
      </c>
      <c r="D237" s="110" t="s">
        <v>1236</v>
      </c>
    </row>
    <row r="238" spans="1:4" x14ac:dyDescent="0.15">
      <c r="A238" s="110" t="s">
        <v>360</v>
      </c>
      <c r="B238" s="110" t="s">
        <v>1237</v>
      </c>
      <c r="C238" s="110" t="s">
        <v>1238</v>
      </c>
      <c r="D238" s="110" t="s">
        <v>1239</v>
      </c>
    </row>
    <row r="239" spans="1:4" x14ac:dyDescent="0.15">
      <c r="A239" s="110" t="s">
        <v>360</v>
      </c>
      <c r="B239" s="110" t="s">
        <v>1240</v>
      </c>
      <c r="C239" s="110" t="s">
        <v>1241</v>
      </c>
      <c r="D239" s="110" t="s">
        <v>1242</v>
      </c>
    </row>
    <row r="240" spans="1:4" x14ac:dyDescent="0.15">
      <c r="A240" s="110" t="s">
        <v>360</v>
      </c>
      <c r="B240" s="110" t="s">
        <v>1243</v>
      </c>
      <c r="C240" s="110" t="s">
        <v>1244</v>
      </c>
      <c r="D240" s="110" t="s">
        <v>1245</v>
      </c>
    </row>
    <row r="241" spans="1:4" x14ac:dyDescent="0.15">
      <c r="A241" s="110" t="s">
        <v>360</v>
      </c>
      <c r="B241" s="110" t="s">
        <v>1246</v>
      </c>
      <c r="C241" s="110" t="s">
        <v>1247</v>
      </c>
      <c r="D241" s="110" t="s">
        <v>1248</v>
      </c>
    </row>
    <row r="242" spans="1:4" x14ac:dyDescent="0.15">
      <c r="A242" s="110" t="s">
        <v>360</v>
      </c>
      <c r="B242" s="110" t="s">
        <v>1249</v>
      </c>
      <c r="C242" s="110" t="s">
        <v>1250</v>
      </c>
      <c r="D242" s="110" t="s">
        <v>1251</v>
      </c>
    </row>
    <row r="243" spans="1:4" x14ac:dyDescent="0.15">
      <c r="A243" s="110" t="s">
        <v>360</v>
      </c>
      <c r="B243" s="110" t="s">
        <v>1252</v>
      </c>
      <c r="C243" s="110" t="s">
        <v>1253</v>
      </c>
      <c r="D243" s="110" t="s">
        <v>1254</v>
      </c>
    </row>
    <row r="244" spans="1:4" x14ac:dyDescent="0.15">
      <c r="A244" s="110" t="s">
        <v>360</v>
      </c>
      <c r="B244" s="110" t="s">
        <v>1255</v>
      </c>
      <c r="C244" s="110" t="s">
        <v>1256</v>
      </c>
      <c r="D244" s="110" t="s">
        <v>1257</v>
      </c>
    </row>
    <row r="245" spans="1:4" x14ac:dyDescent="0.15">
      <c r="A245" s="110" t="s">
        <v>360</v>
      </c>
      <c r="B245" s="110" t="s">
        <v>1258</v>
      </c>
      <c r="C245" s="110" t="s">
        <v>1259</v>
      </c>
      <c r="D245" s="110" t="s">
        <v>1260</v>
      </c>
    </row>
    <row r="246" spans="1:4" x14ac:dyDescent="0.15">
      <c r="A246" s="110" t="s">
        <v>360</v>
      </c>
      <c r="B246" s="110" t="s">
        <v>1261</v>
      </c>
      <c r="C246" s="110" t="s">
        <v>1262</v>
      </c>
      <c r="D246" s="110" t="s">
        <v>1263</v>
      </c>
    </row>
    <row r="247" spans="1:4" x14ac:dyDescent="0.15">
      <c r="A247" s="110" t="s">
        <v>360</v>
      </c>
      <c r="B247" s="110" t="s">
        <v>1264</v>
      </c>
      <c r="C247" s="110" t="s">
        <v>1265</v>
      </c>
      <c r="D247" s="110" t="s">
        <v>1266</v>
      </c>
    </row>
    <row r="248" spans="1:4" x14ac:dyDescent="0.15">
      <c r="A248" s="110" t="s">
        <v>360</v>
      </c>
      <c r="B248" s="110" t="s">
        <v>1267</v>
      </c>
      <c r="C248" s="110" t="s">
        <v>1268</v>
      </c>
      <c r="D248" s="110" t="s">
        <v>1269</v>
      </c>
    </row>
    <row r="249" spans="1:4" x14ac:dyDescent="0.15">
      <c r="A249" s="110" t="s">
        <v>360</v>
      </c>
      <c r="B249" s="110" t="s">
        <v>1270</v>
      </c>
      <c r="C249" s="110" t="s">
        <v>1271</v>
      </c>
      <c r="D249" s="110" t="s">
        <v>1272</v>
      </c>
    </row>
    <row r="250" spans="1:4" x14ac:dyDescent="0.15">
      <c r="A250" s="110" t="s">
        <v>360</v>
      </c>
      <c r="B250" s="110" t="s">
        <v>1273</v>
      </c>
      <c r="C250" s="110" t="s">
        <v>1274</v>
      </c>
      <c r="D250" s="110" t="s">
        <v>1275</v>
      </c>
    </row>
    <row r="251" spans="1:4" x14ac:dyDescent="0.15">
      <c r="A251" s="110" t="s">
        <v>360</v>
      </c>
      <c r="B251" s="110" t="s">
        <v>1276</v>
      </c>
      <c r="C251" s="110" t="s">
        <v>1277</v>
      </c>
      <c r="D251" s="110" t="s">
        <v>1278</v>
      </c>
    </row>
    <row r="252" spans="1:4" x14ac:dyDescent="0.15">
      <c r="A252" s="110" t="s">
        <v>360</v>
      </c>
      <c r="B252" s="110" t="s">
        <v>1279</v>
      </c>
      <c r="C252" s="110" t="s">
        <v>1280</v>
      </c>
      <c r="D252" s="110" t="s">
        <v>1281</v>
      </c>
    </row>
    <row r="253" spans="1:4" x14ac:dyDescent="0.15">
      <c r="A253" s="110" t="s">
        <v>360</v>
      </c>
      <c r="B253" s="110" t="s">
        <v>1282</v>
      </c>
      <c r="C253" s="110" t="s">
        <v>1283</v>
      </c>
      <c r="D253" s="110" t="s">
        <v>1284</v>
      </c>
    </row>
    <row r="254" spans="1:4" x14ac:dyDescent="0.15">
      <c r="A254" s="110" t="s">
        <v>360</v>
      </c>
      <c r="B254" s="110" t="s">
        <v>1285</v>
      </c>
      <c r="C254" s="110" t="s">
        <v>1286</v>
      </c>
      <c r="D254" s="110" t="s">
        <v>1287</v>
      </c>
    </row>
    <row r="255" spans="1:4" x14ac:dyDescent="0.15">
      <c r="A255" s="110" t="s">
        <v>360</v>
      </c>
      <c r="B255" s="110" t="s">
        <v>1288</v>
      </c>
      <c r="C255" s="110" t="s">
        <v>1289</v>
      </c>
      <c r="D255" s="110" t="s">
        <v>1290</v>
      </c>
    </row>
    <row r="256" spans="1:4" x14ac:dyDescent="0.15">
      <c r="A256" s="110" t="s">
        <v>360</v>
      </c>
      <c r="B256" s="110" t="s">
        <v>1291</v>
      </c>
      <c r="C256" s="110" t="s">
        <v>1292</v>
      </c>
      <c r="D256" s="110" t="s">
        <v>1293</v>
      </c>
    </row>
    <row r="257" spans="1:4" x14ac:dyDescent="0.15">
      <c r="A257" s="110" t="s">
        <v>360</v>
      </c>
      <c r="B257" s="110" t="s">
        <v>1294</v>
      </c>
      <c r="C257" s="110" t="s">
        <v>1295</v>
      </c>
      <c r="D257" s="110" t="s">
        <v>1296</v>
      </c>
    </row>
    <row r="258" spans="1:4" x14ac:dyDescent="0.15">
      <c r="A258" s="110" t="s">
        <v>360</v>
      </c>
      <c r="B258" s="110" t="s">
        <v>1297</v>
      </c>
      <c r="C258" s="110" t="s">
        <v>1298</v>
      </c>
      <c r="D258" s="110" t="s">
        <v>1299</v>
      </c>
    </row>
    <row r="259" spans="1:4" x14ac:dyDescent="0.15">
      <c r="A259" s="110" t="s">
        <v>360</v>
      </c>
      <c r="B259" s="110" t="s">
        <v>1300</v>
      </c>
      <c r="C259" s="110" t="s">
        <v>1301</v>
      </c>
      <c r="D259" s="110" t="s">
        <v>1302</v>
      </c>
    </row>
    <row r="260" spans="1:4" x14ac:dyDescent="0.15">
      <c r="A260" s="110" t="s">
        <v>360</v>
      </c>
      <c r="B260" s="110" t="s">
        <v>1108</v>
      </c>
      <c r="C260" s="110" t="s">
        <v>986</v>
      </c>
      <c r="D260" s="110" t="s">
        <v>987</v>
      </c>
    </row>
    <row r="261" spans="1:4" x14ac:dyDescent="0.15">
      <c r="A261" s="110" t="s">
        <v>360</v>
      </c>
      <c r="B261" s="110" t="s">
        <v>1109</v>
      </c>
      <c r="C261" s="110" t="s">
        <v>988</v>
      </c>
      <c r="D261" s="110" t="s">
        <v>989</v>
      </c>
    </row>
    <row r="263" spans="1:4" x14ac:dyDescent="0.15">
      <c r="A263" s="110" t="s">
        <v>1303</v>
      </c>
      <c r="B263" s="110" t="s">
        <v>1304</v>
      </c>
      <c r="C263" s="110" t="s">
        <v>1305</v>
      </c>
      <c r="D263" s="110" t="s">
        <v>1306</v>
      </c>
    </row>
    <row r="264" spans="1:4" x14ac:dyDescent="0.15">
      <c r="A264" s="110" t="s">
        <v>1303</v>
      </c>
      <c r="B264" s="110" t="s">
        <v>1307</v>
      </c>
      <c r="C264" s="110" t="s">
        <v>1308</v>
      </c>
      <c r="D264" s="110" t="s">
        <v>1309</v>
      </c>
    </row>
    <row r="265" spans="1:4" x14ac:dyDescent="0.15">
      <c r="A265" s="110" t="s">
        <v>1303</v>
      </c>
      <c r="B265" s="110" t="s">
        <v>1310</v>
      </c>
      <c r="C265" s="110" t="s">
        <v>1311</v>
      </c>
      <c r="D265" s="110" t="s">
        <v>1312</v>
      </c>
    </row>
    <row r="266" spans="1:4" x14ac:dyDescent="0.15">
      <c r="A266" s="110" t="s">
        <v>1303</v>
      </c>
      <c r="B266" s="110" t="s">
        <v>1313</v>
      </c>
      <c r="C266" s="110" t="s">
        <v>1314</v>
      </c>
      <c r="D266" s="110" t="s">
        <v>1315</v>
      </c>
    </row>
    <row r="267" spans="1:4" x14ac:dyDescent="0.15">
      <c r="A267" s="110" t="s">
        <v>1303</v>
      </c>
      <c r="B267" s="110" t="s">
        <v>1316</v>
      </c>
      <c r="C267" s="110" t="s">
        <v>1317</v>
      </c>
      <c r="D267" s="110" t="s">
        <v>1318</v>
      </c>
    </row>
    <row r="268" spans="1:4" x14ac:dyDescent="0.15">
      <c r="A268" s="110" t="s">
        <v>1303</v>
      </c>
      <c r="B268" s="110" t="s">
        <v>1319</v>
      </c>
      <c r="C268" s="110" t="s">
        <v>1320</v>
      </c>
      <c r="D268" s="110" t="s">
        <v>1321</v>
      </c>
    </row>
    <row r="269" spans="1:4" x14ac:dyDescent="0.15">
      <c r="A269" s="110" t="s">
        <v>1303</v>
      </c>
      <c r="B269" s="110" t="s">
        <v>1322</v>
      </c>
      <c r="C269" s="110" t="s">
        <v>1323</v>
      </c>
      <c r="D269" s="110" t="s">
        <v>1324</v>
      </c>
    </row>
    <row r="270" spans="1:4" x14ac:dyDescent="0.15">
      <c r="A270" s="110" t="s">
        <v>1303</v>
      </c>
      <c r="B270" s="110" t="s">
        <v>1325</v>
      </c>
      <c r="C270" s="110" t="s">
        <v>1326</v>
      </c>
      <c r="D270" s="110" t="s">
        <v>1327</v>
      </c>
    </row>
    <row r="271" spans="1:4" x14ac:dyDescent="0.15">
      <c r="A271" s="110" t="s">
        <v>1303</v>
      </c>
      <c r="B271" s="110" t="s">
        <v>1102</v>
      </c>
      <c r="C271" s="110" t="s">
        <v>1328</v>
      </c>
      <c r="D271" s="110" t="s">
        <v>1329</v>
      </c>
    </row>
    <row r="272" spans="1:4" x14ac:dyDescent="0.15">
      <c r="A272" s="110" t="s">
        <v>1303</v>
      </c>
      <c r="B272" s="110" t="s">
        <v>1105</v>
      </c>
      <c r="C272" s="110" t="s">
        <v>1330</v>
      </c>
      <c r="D272" s="110" t="s">
        <v>1331</v>
      </c>
    </row>
    <row r="273" spans="1:4" x14ac:dyDescent="0.15">
      <c r="A273" s="110" t="s">
        <v>1303</v>
      </c>
      <c r="B273" s="110" t="s">
        <v>1108</v>
      </c>
      <c r="C273" s="110" t="s">
        <v>986</v>
      </c>
      <c r="D273" s="110" t="s">
        <v>987</v>
      </c>
    </row>
    <row r="274" spans="1:4" x14ac:dyDescent="0.15">
      <c r="A274" s="110" t="s">
        <v>1303</v>
      </c>
      <c r="B274" s="110" t="s">
        <v>1109</v>
      </c>
      <c r="C274" s="110" t="s">
        <v>988</v>
      </c>
      <c r="D274" s="110" t="s">
        <v>989</v>
      </c>
    </row>
    <row r="276" spans="1:4" s="113" customFormat="1" ht="15" customHeight="1" x14ac:dyDescent="0.2">
      <c r="A276" s="124" t="s">
        <v>1332</v>
      </c>
      <c r="B276" s="124">
        <v>1</v>
      </c>
      <c r="C276" s="124" t="s">
        <v>1333</v>
      </c>
      <c r="D276" s="124" t="s">
        <v>1333</v>
      </c>
    </row>
    <row r="277" spans="1:4" s="113" customFormat="1" ht="15" customHeight="1" x14ac:dyDescent="0.2">
      <c r="A277" s="124" t="s">
        <v>1332</v>
      </c>
      <c r="B277" s="124">
        <v>2</v>
      </c>
      <c r="C277" s="124" t="s">
        <v>1334</v>
      </c>
      <c r="D277" s="124" t="s">
        <v>1335</v>
      </c>
    </row>
    <row r="278" spans="1:4" s="113" customFormat="1" ht="15" customHeight="1" x14ac:dyDescent="0.2">
      <c r="A278" s="124" t="s">
        <v>1332</v>
      </c>
      <c r="B278" s="124">
        <v>3</v>
      </c>
      <c r="C278" s="124" t="s">
        <v>1336</v>
      </c>
      <c r="D278" s="124" t="s">
        <v>1337</v>
      </c>
    </row>
    <row r="279" spans="1:4" s="113" customFormat="1" ht="15" customHeight="1" x14ac:dyDescent="0.2">
      <c r="A279" s="124" t="s">
        <v>1332</v>
      </c>
      <c r="B279" s="124">
        <v>4</v>
      </c>
      <c r="C279" s="124" t="s">
        <v>1338</v>
      </c>
      <c r="D279" s="124" t="s">
        <v>1339</v>
      </c>
    </row>
    <row r="280" spans="1:4" s="113" customFormat="1" ht="15" customHeight="1" x14ac:dyDescent="0.2">
      <c r="A280" s="124" t="s">
        <v>1332</v>
      </c>
      <c r="B280" s="124">
        <v>5</v>
      </c>
      <c r="C280" s="124" t="s">
        <v>1340</v>
      </c>
      <c r="D280" s="124" t="s">
        <v>1340</v>
      </c>
    </row>
    <row r="281" spans="1:4" s="113" customFormat="1" ht="15" customHeight="1" x14ac:dyDescent="0.2">
      <c r="D281" s="128"/>
    </row>
    <row r="282" spans="1:4" s="122" customFormat="1" ht="15" customHeight="1" x14ac:dyDescent="0.2">
      <c r="A282" s="124" t="s">
        <v>1341</v>
      </c>
      <c r="B282" s="124">
        <v>1</v>
      </c>
      <c r="C282" s="124" t="s">
        <v>1342</v>
      </c>
      <c r="D282" s="124" t="s">
        <v>1343</v>
      </c>
    </row>
    <row r="283" spans="1:4" s="122" customFormat="1" ht="15" customHeight="1" x14ac:dyDescent="0.2">
      <c r="A283" s="124" t="s">
        <v>1341</v>
      </c>
      <c r="B283" s="124">
        <v>2</v>
      </c>
      <c r="C283" s="124" t="s">
        <v>1344</v>
      </c>
      <c r="D283" s="124" t="s">
        <v>1345</v>
      </c>
    </row>
    <row r="284" spans="1:4" s="113" customFormat="1" ht="15" customHeight="1" x14ac:dyDescent="0.2">
      <c r="D284" s="122"/>
    </row>
    <row r="285" spans="1:4" s="113" customFormat="1" ht="15" customHeight="1" x14ac:dyDescent="0.2">
      <c r="A285" s="124" t="s">
        <v>1346</v>
      </c>
      <c r="B285" s="124">
        <v>1</v>
      </c>
      <c r="C285" s="124" t="s">
        <v>1347</v>
      </c>
      <c r="D285" s="124" t="s">
        <v>1348</v>
      </c>
    </row>
    <row r="286" spans="1:4" s="113" customFormat="1" ht="15" customHeight="1" x14ac:dyDescent="0.2">
      <c r="A286" s="124" t="s">
        <v>1346</v>
      </c>
      <c r="B286" s="124">
        <v>2</v>
      </c>
      <c r="C286" s="124" t="s">
        <v>1349</v>
      </c>
      <c r="D286" s="124" t="s">
        <v>1350</v>
      </c>
    </row>
    <row r="287" spans="1:4" s="113" customFormat="1" ht="15" customHeight="1" x14ac:dyDescent="0.2">
      <c r="A287" s="124" t="s">
        <v>1346</v>
      </c>
      <c r="B287" s="124">
        <v>3</v>
      </c>
      <c r="C287" s="124" t="s">
        <v>1351</v>
      </c>
      <c r="D287" s="124" t="s">
        <v>1352</v>
      </c>
    </row>
    <row r="288" spans="1:4" s="113" customFormat="1" ht="15" customHeight="1" x14ac:dyDescent="0.2">
      <c r="A288" s="124" t="s">
        <v>1346</v>
      </c>
      <c r="B288" s="124">
        <v>4</v>
      </c>
      <c r="C288" s="124" t="s">
        <v>1353</v>
      </c>
      <c r="D288" s="124" t="s">
        <v>1354</v>
      </c>
    </row>
    <row r="289" spans="1:5" s="113" customFormat="1" ht="15" customHeight="1" x14ac:dyDescent="0.2">
      <c r="A289" s="124" t="s">
        <v>1346</v>
      </c>
      <c r="B289" s="124">
        <v>5</v>
      </c>
      <c r="C289" s="124" t="s">
        <v>1355</v>
      </c>
      <c r="D289" s="124" t="s">
        <v>1356</v>
      </c>
    </row>
    <row r="290" spans="1:5" s="113" customFormat="1" ht="15" customHeight="1" x14ac:dyDescent="0.2">
      <c r="A290" s="124" t="s">
        <v>1346</v>
      </c>
      <c r="B290" s="124">
        <v>6</v>
      </c>
      <c r="C290" s="124" t="s">
        <v>1328</v>
      </c>
      <c r="D290" s="124" t="s">
        <v>1329</v>
      </c>
    </row>
    <row r="291" spans="1:5" s="113" customFormat="1" ht="15" customHeight="1" x14ac:dyDescent="0.2">
      <c r="A291" s="124" t="s">
        <v>1346</v>
      </c>
      <c r="B291" s="124">
        <v>7</v>
      </c>
      <c r="C291" s="124" t="s">
        <v>986</v>
      </c>
      <c r="D291" s="124" t="s">
        <v>987</v>
      </c>
    </row>
    <row r="292" spans="1:5" s="113" customFormat="1" ht="15" customHeight="1" x14ac:dyDescent="0.2">
      <c r="A292" s="124" t="s">
        <v>1346</v>
      </c>
      <c r="B292" s="124">
        <v>8</v>
      </c>
      <c r="C292" s="124" t="s">
        <v>988</v>
      </c>
      <c r="D292" s="124" t="s">
        <v>989</v>
      </c>
    </row>
    <row r="293" spans="1:5" ht="15" customHeight="1" x14ac:dyDescent="0.2">
      <c r="D293" s="122"/>
    </row>
    <row r="294" spans="1:5" s="113" customFormat="1" ht="15" customHeight="1" x14ac:dyDescent="0.2">
      <c r="A294" s="126" t="s">
        <v>1357</v>
      </c>
      <c r="B294" s="126">
        <v>1</v>
      </c>
      <c r="C294" s="126" t="s">
        <v>1358</v>
      </c>
      <c r="D294" s="126" t="s">
        <v>1359</v>
      </c>
    </row>
    <row r="295" spans="1:5" s="113" customFormat="1" ht="15" customHeight="1" x14ac:dyDescent="0.2">
      <c r="A295" s="126" t="s">
        <v>1357</v>
      </c>
      <c r="B295" s="126">
        <v>2</v>
      </c>
      <c r="C295" s="126" t="s">
        <v>1360</v>
      </c>
      <c r="D295" s="126" t="s">
        <v>1361</v>
      </c>
    </row>
    <row r="296" spans="1:5" s="113" customFormat="1" ht="15" customHeight="1" x14ac:dyDescent="0.2">
      <c r="A296" s="126" t="s">
        <v>1357</v>
      </c>
      <c r="B296" s="126">
        <v>3</v>
      </c>
      <c r="C296" s="126" t="s">
        <v>1362</v>
      </c>
      <c r="D296" s="126" t="s">
        <v>1363</v>
      </c>
    </row>
    <row r="297" spans="1:5" s="113" customFormat="1" ht="15" customHeight="1" x14ac:dyDescent="0.2">
      <c r="A297" s="126" t="s">
        <v>1357</v>
      </c>
      <c r="B297" s="126">
        <v>4</v>
      </c>
      <c r="C297" s="126" t="s">
        <v>1364</v>
      </c>
      <c r="D297" s="126" t="s">
        <v>1365</v>
      </c>
    </row>
    <row r="298" spans="1:5" s="113" customFormat="1" ht="15" customHeight="1" x14ac:dyDescent="0.2">
      <c r="A298" s="126" t="s">
        <v>1357</v>
      </c>
      <c r="B298" s="126">
        <v>5</v>
      </c>
      <c r="C298" s="126" t="s">
        <v>1366</v>
      </c>
      <c r="D298" s="126" t="s">
        <v>1367</v>
      </c>
    </row>
    <row r="299" spans="1:5" s="113" customFormat="1" ht="15" customHeight="1" x14ac:dyDescent="0.2">
      <c r="A299" s="126" t="s">
        <v>1357</v>
      </c>
      <c r="B299" s="126">
        <v>6</v>
      </c>
      <c r="C299" s="126" t="s">
        <v>986</v>
      </c>
      <c r="D299" s="126" t="s">
        <v>987</v>
      </c>
    </row>
    <row r="300" spans="1:5" s="113" customFormat="1" ht="15" customHeight="1" x14ac:dyDescent="0.2">
      <c r="A300" s="126" t="s">
        <v>1357</v>
      </c>
      <c r="B300" s="126">
        <v>7</v>
      </c>
      <c r="C300" s="126" t="s">
        <v>988</v>
      </c>
      <c r="D300" s="126" t="s">
        <v>1368</v>
      </c>
    </row>
    <row r="301" spans="1:5" ht="15" customHeight="1" x14ac:dyDescent="0.2">
      <c r="E301" s="113"/>
    </row>
    <row r="302" spans="1:5" s="113" customFormat="1" ht="15" customHeight="1" x14ac:dyDescent="0.2">
      <c r="A302" s="126" t="s">
        <v>1369</v>
      </c>
      <c r="B302" s="126" t="s">
        <v>1370</v>
      </c>
      <c r="C302" s="126" t="s">
        <v>1371</v>
      </c>
      <c r="D302" s="126" t="s">
        <v>1372</v>
      </c>
    </row>
    <row r="303" spans="1:5" s="113" customFormat="1" ht="15" customHeight="1" x14ac:dyDescent="0.2">
      <c r="A303" s="126" t="s">
        <v>1369</v>
      </c>
      <c r="B303" s="126" t="s">
        <v>1373</v>
      </c>
      <c r="C303" s="126" t="s">
        <v>1374</v>
      </c>
      <c r="D303" s="126" t="s">
        <v>1375</v>
      </c>
    </row>
    <row r="304" spans="1:5" s="113" customFormat="1" ht="15" customHeight="1" x14ac:dyDescent="0.2">
      <c r="A304" s="126" t="s">
        <v>1369</v>
      </c>
      <c r="B304" s="126" t="s">
        <v>1376</v>
      </c>
      <c r="C304" s="126" t="s">
        <v>1377</v>
      </c>
      <c r="D304" s="126" t="s">
        <v>1378</v>
      </c>
    </row>
    <row r="305" spans="1:4" s="113" customFormat="1" ht="15" customHeight="1" x14ac:dyDescent="0.2">
      <c r="A305" s="126" t="s">
        <v>1369</v>
      </c>
      <c r="B305" s="126" t="s">
        <v>1379</v>
      </c>
      <c r="C305" s="126" t="s">
        <v>1380</v>
      </c>
      <c r="D305" s="126" t="s">
        <v>1381</v>
      </c>
    </row>
    <row r="306" spans="1:4" s="113" customFormat="1" ht="15" customHeight="1" x14ac:dyDescent="0.2">
      <c r="A306" s="126" t="s">
        <v>1369</v>
      </c>
      <c r="B306" s="126" t="s">
        <v>1382</v>
      </c>
      <c r="C306" s="126" t="s">
        <v>1383</v>
      </c>
      <c r="D306" s="126" t="s">
        <v>1384</v>
      </c>
    </row>
    <row r="307" spans="1:4" s="113" customFormat="1" ht="15" customHeight="1" x14ac:dyDescent="0.2">
      <c r="A307" s="126" t="s">
        <v>1369</v>
      </c>
      <c r="B307" s="126" t="s">
        <v>1385</v>
      </c>
      <c r="C307" s="126" t="s">
        <v>1386</v>
      </c>
      <c r="D307" s="126" t="s">
        <v>1387</v>
      </c>
    </row>
    <row r="308" spans="1:4" s="113" customFormat="1" ht="15" customHeight="1" x14ac:dyDescent="0.2">
      <c r="A308" s="126" t="s">
        <v>1369</v>
      </c>
      <c r="B308" s="126" t="s">
        <v>1388</v>
      </c>
      <c r="C308" s="126" t="s">
        <v>1389</v>
      </c>
      <c r="D308" s="126" t="s">
        <v>1390</v>
      </c>
    </row>
    <row r="309" spans="1:4" s="113" customFormat="1" ht="15" customHeight="1" x14ac:dyDescent="0.2">
      <c r="A309" s="126" t="s">
        <v>1369</v>
      </c>
      <c r="B309" s="126" t="s">
        <v>1102</v>
      </c>
      <c r="C309" s="126" t="s">
        <v>1391</v>
      </c>
      <c r="D309" s="126" t="s">
        <v>1392</v>
      </c>
    </row>
    <row r="310" spans="1:4" s="113" customFormat="1" ht="15" customHeight="1" x14ac:dyDescent="0.2">
      <c r="A310" s="126" t="s">
        <v>1369</v>
      </c>
      <c r="B310" s="126" t="s">
        <v>1108</v>
      </c>
      <c r="C310" s="126" t="s">
        <v>986</v>
      </c>
      <c r="D310" s="126" t="s">
        <v>987</v>
      </c>
    </row>
    <row r="311" spans="1:4" s="113" customFormat="1" ht="15" customHeight="1" x14ac:dyDescent="0.2">
      <c r="A311" s="126" t="s">
        <v>1369</v>
      </c>
      <c r="B311" s="126" t="s">
        <v>1109</v>
      </c>
      <c r="C311" s="126" t="s">
        <v>988</v>
      </c>
      <c r="D311" s="126" t="s">
        <v>989</v>
      </c>
    </row>
    <row r="312" spans="1:4" ht="15" customHeight="1" x14ac:dyDescent="0.2">
      <c r="D312" s="113"/>
    </row>
    <row r="313" spans="1:4" ht="15" customHeight="1" x14ac:dyDescent="0.2">
      <c r="A313" s="126" t="s">
        <v>1393</v>
      </c>
      <c r="B313" s="126">
        <v>1</v>
      </c>
      <c r="C313" s="126" t="s">
        <v>1394</v>
      </c>
      <c r="D313" s="126" t="s">
        <v>1395</v>
      </c>
    </row>
    <row r="314" spans="1:4" ht="15" customHeight="1" x14ac:dyDescent="0.2">
      <c r="A314" s="126" t="s">
        <v>1393</v>
      </c>
      <c r="B314" s="126">
        <v>2</v>
      </c>
      <c r="C314" s="126" t="s">
        <v>1396</v>
      </c>
      <c r="D314" s="126" t="s">
        <v>1397</v>
      </c>
    </row>
    <row r="315" spans="1:4" ht="15" customHeight="1" x14ac:dyDescent="0.2">
      <c r="A315" s="126" t="s">
        <v>1393</v>
      </c>
      <c r="B315" s="126">
        <v>3</v>
      </c>
      <c r="C315" s="126" t="s">
        <v>1398</v>
      </c>
      <c r="D315" s="126" t="s">
        <v>1399</v>
      </c>
    </row>
    <row r="316" spans="1:4" ht="15" customHeight="1" x14ac:dyDescent="0.2">
      <c r="A316" s="126" t="s">
        <v>1393</v>
      </c>
      <c r="B316" s="126">
        <v>4</v>
      </c>
      <c r="C316" s="126" t="s">
        <v>1400</v>
      </c>
      <c r="D316" s="126" t="s">
        <v>1401</v>
      </c>
    </row>
    <row r="317" spans="1:4" ht="15" customHeight="1" x14ac:dyDescent="0.2">
      <c r="A317" s="126" t="s">
        <v>1393</v>
      </c>
      <c r="B317" s="126">
        <v>5</v>
      </c>
      <c r="C317" s="126" t="s">
        <v>1402</v>
      </c>
      <c r="D317" s="126" t="s">
        <v>1403</v>
      </c>
    </row>
    <row r="318" spans="1:4" ht="15" customHeight="1" x14ac:dyDescent="0.2">
      <c r="A318" s="126" t="s">
        <v>1393</v>
      </c>
      <c r="B318" s="126">
        <v>6</v>
      </c>
      <c r="C318" s="126" t="s">
        <v>1404</v>
      </c>
      <c r="D318" s="126" t="s">
        <v>1405</v>
      </c>
    </row>
    <row r="319" spans="1:4" ht="15" customHeight="1" x14ac:dyDescent="0.2">
      <c r="A319" s="126" t="s">
        <v>1393</v>
      </c>
      <c r="B319" s="126">
        <v>7</v>
      </c>
      <c r="C319" s="126" t="s">
        <v>1406</v>
      </c>
      <c r="D319" s="126" t="s">
        <v>1407</v>
      </c>
    </row>
    <row r="320" spans="1:4" ht="15" customHeight="1" x14ac:dyDescent="0.2">
      <c r="A320" s="126" t="s">
        <v>1393</v>
      </c>
      <c r="B320" s="126">
        <v>8</v>
      </c>
      <c r="C320" s="126" t="s">
        <v>1408</v>
      </c>
      <c r="D320" s="126" t="s">
        <v>1409</v>
      </c>
    </row>
    <row r="321" spans="1:5" ht="15" customHeight="1" x14ac:dyDescent="0.2">
      <c r="A321" s="126" t="s">
        <v>1393</v>
      </c>
      <c r="B321" s="126">
        <v>9</v>
      </c>
      <c r="C321" s="126" t="s">
        <v>1328</v>
      </c>
      <c r="D321" s="126" t="s">
        <v>1410</v>
      </c>
    </row>
    <row r="322" spans="1:5" ht="15" customHeight="1" x14ac:dyDescent="0.2">
      <c r="D322" s="113"/>
    </row>
    <row r="323" spans="1:5" ht="15" customHeight="1" x14ac:dyDescent="0.2">
      <c r="A323" s="124" t="s">
        <v>1411</v>
      </c>
      <c r="B323" s="124" t="s">
        <v>1412</v>
      </c>
      <c r="C323" s="124" t="s">
        <v>1413</v>
      </c>
      <c r="D323" s="110" t="s">
        <v>1414</v>
      </c>
      <c r="E323" s="113"/>
    </row>
    <row r="324" spans="1:5" ht="15" customHeight="1" x14ac:dyDescent="0.2">
      <c r="A324" s="124" t="s">
        <v>1411</v>
      </c>
      <c r="B324" s="124" t="s">
        <v>1415</v>
      </c>
      <c r="C324" s="124" t="s">
        <v>1416</v>
      </c>
      <c r="D324" s="110" t="s">
        <v>1417</v>
      </c>
      <c r="E324" s="113"/>
    </row>
    <row r="325" spans="1:5" ht="15" customHeight="1" x14ac:dyDescent="0.2">
      <c r="A325" s="124" t="s">
        <v>1411</v>
      </c>
      <c r="B325" s="124" t="s">
        <v>1418</v>
      </c>
      <c r="C325" s="124" t="s">
        <v>1419</v>
      </c>
      <c r="D325" s="110" t="s">
        <v>1420</v>
      </c>
      <c r="E325" s="113"/>
    </row>
    <row r="326" spans="1:5" ht="15" customHeight="1" x14ac:dyDescent="0.2">
      <c r="A326" s="124" t="s">
        <v>1411</v>
      </c>
      <c r="B326" s="124" t="s">
        <v>1421</v>
      </c>
      <c r="C326" s="124" t="s">
        <v>1422</v>
      </c>
      <c r="D326" s="110" t="s">
        <v>1423</v>
      </c>
      <c r="E326" s="113"/>
    </row>
    <row r="327" spans="1:5" ht="15" customHeight="1" x14ac:dyDescent="0.2">
      <c r="A327" s="124" t="s">
        <v>1411</v>
      </c>
      <c r="B327" s="124" t="s">
        <v>1424</v>
      </c>
      <c r="C327" s="124" t="s">
        <v>1425</v>
      </c>
      <c r="D327" s="110" t="s">
        <v>1426</v>
      </c>
      <c r="E327" s="113"/>
    </row>
    <row r="328" spans="1:5" ht="15" customHeight="1" x14ac:dyDescent="0.2">
      <c r="A328" s="124" t="s">
        <v>1411</v>
      </c>
      <c r="B328" s="124" t="s">
        <v>1427</v>
      </c>
      <c r="C328" s="124" t="s">
        <v>1428</v>
      </c>
      <c r="D328" s="110" t="s">
        <v>1429</v>
      </c>
      <c r="E328" s="113"/>
    </row>
    <row r="329" spans="1:5" ht="15" customHeight="1" x14ac:dyDescent="0.2">
      <c r="A329" s="124" t="s">
        <v>1411</v>
      </c>
      <c r="B329" s="124" t="s">
        <v>1430</v>
      </c>
      <c r="C329" s="124" t="s">
        <v>1431</v>
      </c>
      <c r="D329" s="110" t="s">
        <v>1432</v>
      </c>
      <c r="E329" s="113"/>
    </row>
    <row r="330" spans="1:5" ht="15" customHeight="1" x14ac:dyDescent="0.2">
      <c r="A330" s="124" t="s">
        <v>1411</v>
      </c>
      <c r="B330" s="124" t="s">
        <v>1433</v>
      </c>
      <c r="C330" s="124" t="s">
        <v>1434</v>
      </c>
      <c r="D330" s="110" t="s">
        <v>1435</v>
      </c>
      <c r="E330" s="113"/>
    </row>
    <row r="331" spans="1:5" ht="15" customHeight="1" x14ac:dyDescent="0.2">
      <c r="A331" s="124" t="s">
        <v>1411</v>
      </c>
      <c r="B331" s="124" t="s">
        <v>1436</v>
      </c>
      <c r="C331" s="124" t="s">
        <v>1437</v>
      </c>
      <c r="D331" s="110" t="s">
        <v>1438</v>
      </c>
      <c r="E331" s="113"/>
    </row>
    <row r="332" spans="1:5" ht="15" customHeight="1" x14ac:dyDescent="0.2">
      <c r="A332" s="124" t="s">
        <v>1411</v>
      </c>
      <c r="B332" s="124" t="s">
        <v>1439</v>
      </c>
      <c r="C332" s="124" t="s">
        <v>1440</v>
      </c>
      <c r="D332" s="110" t="s">
        <v>1441</v>
      </c>
      <c r="E332" s="113"/>
    </row>
    <row r="333" spans="1:5" ht="15" customHeight="1" x14ac:dyDescent="0.2">
      <c r="A333" s="124" t="s">
        <v>1411</v>
      </c>
      <c r="B333" s="124" t="s">
        <v>1442</v>
      </c>
      <c r="C333" s="124" t="s">
        <v>1443</v>
      </c>
      <c r="D333" s="110" t="s">
        <v>1444</v>
      </c>
      <c r="E333" s="113"/>
    </row>
    <row r="334" spans="1:5" ht="15" customHeight="1" x14ac:dyDescent="0.2">
      <c r="A334" s="124" t="s">
        <v>1411</v>
      </c>
      <c r="B334" s="124" t="s">
        <v>1445</v>
      </c>
      <c r="C334" s="124" t="s">
        <v>1446</v>
      </c>
      <c r="D334" s="110" t="s">
        <v>1447</v>
      </c>
      <c r="E334" s="113"/>
    </row>
    <row r="335" spans="1:5" ht="15" customHeight="1" x14ac:dyDescent="0.2">
      <c r="A335" s="124" t="s">
        <v>1411</v>
      </c>
      <c r="B335" s="124" t="s">
        <v>1448</v>
      </c>
      <c r="C335" s="124" t="s">
        <v>1449</v>
      </c>
      <c r="D335" s="110" t="s">
        <v>1450</v>
      </c>
      <c r="E335" s="113"/>
    </row>
    <row r="336" spans="1:5" ht="15" customHeight="1" x14ac:dyDescent="0.2">
      <c r="A336" s="124" t="s">
        <v>1411</v>
      </c>
      <c r="B336" s="124" t="s">
        <v>1451</v>
      </c>
      <c r="C336" s="124" t="s">
        <v>1452</v>
      </c>
      <c r="D336" s="110" t="s">
        <v>1453</v>
      </c>
      <c r="E336" s="113"/>
    </row>
    <row r="337" spans="1:5" ht="15" customHeight="1" x14ac:dyDescent="0.2">
      <c r="A337" s="124" t="s">
        <v>1411</v>
      </c>
      <c r="B337" s="124" t="s">
        <v>1454</v>
      </c>
      <c r="C337" s="124" t="s">
        <v>1455</v>
      </c>
      <c r="D337" s="110" t="s">
        <v>1456</v>
      </c>
    </row>
    <row r="338" spans="1:5" ht="15" customHeight="1" x14ac:dyDescent="0.2">
      <c r="A338" s="124" t="s">
        <v>1411</v>
      </c>
      <c r="B338" s="124" t="s">
        <v>1102</v>
      </c>
      <c r="C338" s="124" t="s">
        <v>1391</v>
      </c>
      <c r="D338" s="110" t="s">
        <v>1392</v>
      </c>
      <c r="E338" s="113"/>
    </row>
    <row r="339" spans="1:5" ht="15" customHeight="1" x14ac:dyDescent="0.2">
      <c r="A339" s="124" t="s">
        <v>1411</v>
      </c>
      <c r="B339" s="124" t="s">
        <v>1108</v>
      </c>
      <c r="C339" s="124" t="s">
        <v>986</v>
      </c>
      <c r="D339" s="110" t="s">
        <v>987</v>
      </c>
    </row>
    <row r="340" spans="1:5" ht="15" customHeight="1" x14ac:dyDescent="0.2">
      <c r="A340" s="124" t="s">
        <v>1411</v>
      </c>
      <c r="B340" s="124" t="s">
        <v>1109</v>
      </c>
      <c r="C340" s="124" t="s">
        <v>988</v>
      </c>
      <c r="D340" s="110" t="s">
        <v>989</v>
      </c>
    </row>
    <row r="342" spans="1:5" s="113" customFormat="1" ht="15" customHeight="1" x14ac:dyDescent="0.2">
      <c r="A342" s="126" t="s">
        <v>1457</v>
      </c>
      <c r="B342" s="126">
        <v>1</v>
      </c>
      <c r="C342" s="126" t="s">
        <v>1458</v>
      </c>
      <c r="D342" s="126" t="s">
        <v>1459</v>
      </c>
    </row>
    <row r="343" spans="1:5" s="113" customFormat="1" ht="15" customHeight="1" x14ac:dyDescent="0.2">
      <c r="A343" s="126" t="s">
        <v>1457</v>
      </c>
      <c r="B343" s="126">
        <v>2</v>
      </c>
      <c r="C343" s="126" t="s">
        <v>1460</v>
      </c>
      <c r="D343" s="126" t="s">
        <v>1461</v>
      </c>
    </row>
    <row r="344" spans="1:5" s="113" customFormat="1" ht="15" customHeight="1" x14ac:dyDescent="0.2">
      <c r="A344" s="126" t="s">
        <v>1457</v>
      </c>
      <c r="B344" s="126">
        <v>3</v>
      </c>
      <c r="C344" s="126" t="s">
        <v>1462</v>
      </c>
      <c r="D344" s="126" t="s">
        <v>1463</v>
      </c>
    </row>
    <row r="345" spans="1:5" s="113" customFormat="1" ht="15" customHeight="1" x14ac:dyDescent="0.2">
      <c r="A345" s="126" t="s">
        <v>1457</v>
      </c>
      <c r="B345" s="126">
        <v>4</v>
      </c>
      <c r="C345" s="126" t="s">
        <v>1464</v>
      </c>
      <c r="D345" s="126" t="s">
        <v>1465</v>
      </c>
    </row>
    <row r="346" spans="1:5" s="113" customFormat="1" ht="15" customHeight="1" x14ac:dyDescent="0.2">
      <c r="A346" s="126" t="s">
        <v>1457</v>
      </c>
      <c r="B346" s="126">
        <v>5</v>
      </c>
      <c r="C346" s="126" t="s">
        <v>1466</v>
      </c>
      <c r="D346" s="126" t="s">
        <v>1467</v>
      </c>
    </row>
    <row r="347" spans="1:5" s="113" customFormat="1" ht="15" customHeight="1" x14ac:dyDescent="0.2">
      <c r="A347" s="126" t="s">
        <v>1457</v>
      </c>
      <c r="B347" s="126">
        <v>6</v>
      </c>
      <c r="C347" s="126" t="s">
        <v>1468</v>
      </c>
      <c r="D347" s="126" t="s">
        <v>1469</v>
      </c>
    </row>
    <row r="348" spans="1:5" s="113" customFormat="1" ht="15" customHeight="1" x14ac:dyDescent="0.2">
      <c r="A348" s="126" t="s">
        <v>1457</v>
      </c>
      <c r="B348" s="126">
        <v>7</v>
      </c>
      <c r="C348" s="126" t="s">
        <v>986</v>
      </c>
      <c r="D348" s="126" t="s">
        <v>1470</v>
      </c>
    </row>
    <row r="349" spans="1:5" ht="15" customHeight="1" x14ac:dyDescent="0.2">
      <c r="A349" s="126" t="s">
        <v>1457</v>
      </c>
      <c r="B349" s="126">
        <v>8</v>
      </c>
      <c r="C349" s="126" t="s">
        <v>988</v>
      </c>
      <c r="D349" s="126" t="s">
        <v>1471</v>
      </c>
      <c r="E349" s="113"/>
    </row>
    <row r="350" spans="1:5" ht="15" customHeight="1" x14ac:dyDescent="0.2">
      <c r="D350" s="113"/>
    </row>
    <row r="351" spans="1:5" ht="15" customHeight="1" x14ac:dyDescent="0.2">
      <c r="A351" s="110" t="s">
        <v>1472</v>
      </c>
      <c r="B351" s="110" t="s">
        <v>1473</v>
      </c>
      <c r="C351" s="110" t="s">
        <v>1474</v>
      </c>
      <c r="D351" s="110" t="s">
        <v>1475</v>
      </c>
      <c r="E351" s="113"/>
    </row>
    <row r="352" spans="1:5" ht="15" customHeight="1" x14ac:dyDescent="0.2">
      <c r="A352" s="110" t="s">
        <v>1472</v>
      </c>
      <c r="B352" s="110" t="s">
        <v>1476</v>
      </c>
      <c r="C352" s="110" t="s">
        <v>1477</v>
      </c>
      <c r="D352" s="110" t="s">
        <v>1478</v>
      </c>
      <c r="E352" s="113"/>
    </row>
    <row r="353" spans="1:5" ht="15" customHeight="1" x14ac:dyDescent="0.2">
      <c r="A353" s="110" t="s">
        <v>1472</v>
      </c>
      <c r="B353" s="110" t="s">
        <v>1479</v>
      </c>
      <c r="C353" s="110" t="s">
        <v>1480</v>
      </c>
      <c r="D353" s="110" t="s">
        <v>1481</v>
      </c>
      <c r="E353" s="113"/>
    </row>
    <row r="354" spans="1:5" ht="15" customHeight="1" x14ac:dyDescent="0.2">
      <c r="A354" s="110" t="s">
        <v>1472</v>
      </c>
      <c r="B354" s="110" t="s">
        <v>1482</v>
      </c>
      <c r="C354" s="110" t="s">
        <v>1483</v>
      </c>
      <c r="D354" s="110" t="s">
        <v>1484</v>
      </c>
      <c r="E354" s="113"/>
    </row>
    <row r="355" spans="1:5" ht="15" customHeight="1" x14ac:dyDescent="0.2">
      <c r="A355" s="110" t="s">
        <v>1472</v>
      </c>
      <c r="B355" s="110" t="s">
        <v>1485</v>
      </c>
      <c r="C355" s="110" t="s">
        <v>1486</v>
      </c>
      <c r="D355" s="110" t="s">
        <v>1487</v>
      </c>
      <c r="E355" s="113"/>
    </row>
    <row r="356" spans="1:5" ht="15" customHeight="1" x14ac:dyDescent="0.2">
      <c r="A356" s="110" t="s">
        <v>1472</v>
      </c>
      <c r="B356" s="110" t="s">
        <v>1488</v>
      </c>
      <c r="C356" s="110" t="s">
        <v>1489</v>
      </c>
      <c r="D356" s="110" t="s">
        <v>1490</v>
      </c>
      <c r="E356" s="113"/>
    </row>
    <row r="357" spans="1:5" ht="15" customHeight="1" x14ac:dyDescent="0.2">
      <c r="A357" s="110" t="s">
        <v>1472</v>
      </c>
      <c r="B357" s="110" t="s">
        <v>1491</v>
      </c>
      <c r="C357" s="110" t="s">
        <v>1492</v>
      </c>
      <c r="D357" s="110" t="s">
        <v>1493</v>
      </c>
      <c r="E357" s="113"/>
    </row>
    <row r="358" spans="1:5" ht="15" customHeight="1" x14ac:dyDescent="0.2">
      <c r="A358" s="110" t="s">
        <v>1472</v>
      </c>
      <c r="B358" s="110" t="s">
        <v>1102</v>
      </c>
      <c r="C358" s="110" t="s">
        <v>1391</v>
      </c>
      <c r="D358" s="110" t="s">
        <v>1392</v>
      </c>
      <c r="E358" s="113"/>
    </row>
    <row r="359" spans="1:5" ht="15" customHeight="1" x14ac:dyDescent="0.2">
      <c r="A359" s="110" t="s">
        <v>1472</v>
      </c>
      <c r="B359" s="110" t="s">
        <v>1108</v>
      </c>
      <c r="C359" s="110" t="s">
        <v>986</v>
      </c>
      <c r="D359" s="110" t="s">
        <v>987</v>
      </c>
      <c r="E359" s="113"/>
    </row>
    <row r="360" spans="1:5" ht="15" customHeight="1" x14ac:dyDescent="0.2">
      <c r="A360" s="110" t="s">
        <v>1472</v>
      </c>
      <c r="B360" s="110" t="s">
        <v>1109</v>
      </c>
      <c r="C360" s="110" t="s">
        <v>988</v>
      </c>
      <c r="D360" s="110" t="s">
        <v>989</v>
      </c>
      <c r="E360" s="113"/>
    </row>
    <row r="362" spans="1:5" x14ac:dyDescent="0.15">
      <c r="A362" s="110" t="s">
        <v>564</v>
      </c>
      <c r="B362" s="110">
        <v>1</v>
      </c>
      <c r="C362" s="110" t="s">
        <v>1494</v>
      </c>
      <c r="D362" s="110" t="s">
        <v>1495</v>
      </c>
    </row>
    <row r="363" spans="1:5" x14ac:dyDescent="0.15">
      <c r="A363" s="110" t="s">
        <v>564</v>
      </c>
      <c r="B363" s="110">
        <v>2</v>
      </c>
      <c r="C363" s="110" t="s">
        <v>1496</v>
      </c>
      <c r="D363" s="110" t="s">
        <v>1497</v>
      </c>
    </row>
    <row r="364" spans="1:5" x14ac:dyDescent="0.15">
      <c r="A364" s="110" t="s">
        <v>564</v>
      </c>
      <c r="B364" s="110">
        <v>3</v>
      </c>
      <c r="C364" s="110" t="s">
        <v>1498</v>
      </c>
      <c r="D364" s="110" t="s">
        <v>1499</v>
      </c>
    </row>
    <row r="365" spans="1:5" x14ac:dyDescent="0.15">
      <c r="A365" s="110" t="s">
        <v>564</v>
      </c>
      <c r="B365" s="110">
        <v>4</v>
      </c>
      <c r="C365" s="110" t="s">
        <v>1500</v>
      </c>
      <c r="D365" s="110" t="s">
        <v>1501</v>
      </c>
    </row>
    <row r="366" spans="1:5" x14ac:dyDescent="0.15">
      <c r="A366" s="110" t="s">
        <v>564</v>
      </c>
      <c r="B366" s="110">
        <v>5</v>
      </c>
      <c r="C366" s="110" t="s">
        <v>1502</v>
      </c>
      <c r="D366" s="110" t="s">
        <v>1503</v>
      </c>
    </row>
    <row r="367" spans="1:5" x14ac:dyDescent="0.15">
      <c r="A367" s="110" t="s">
        <v>564</v>
      </c>
      <c r="B367" s="110">
        <v>6</v>
      </c>
      <c r="C367" s="110" t="s">
        <v>1504</v>
      </c>
      <c r="D367" s="110" t="s">
        <v>1505</v>
      </c>
    </row>
    <row r="368" spans="1:5" x14ac:dyDescent="0.15">
      <c r="A368" s="110" t="s">
        <v>564</v>
      </c>
      <c r="B368" s="110">
        <v>7</v>
      </c>
      <c r="C368" s="110" t="s">
        <v>1506</v>
      </c>
      <c r="D368" s="110" t="s">
        <v>1507</v>
      </c>
    </row>
    <row r="369" spans="1:5" x14ac:dyDescent="0.15">
      <c r="A369" s="110" t="s">
        <v>564</v>
      </c>
      <c r="B369" s="110">
        <v>8</v>
      </c>
      <c r="C369" s="110" t="s">
        <v>1508</v>
      </c>
      <c r="D369" s="110" t="s">
        <v>1509</v>
      </c>
    </row>
    <row r="370" spans="1:5" x14ac:dyDescent="0.15">
      <c r="A370" s="110" t="s">
        <v>564</v>
      </c>
      <c r="B370" s="110">
        <v>9</v>
      </c>
      <c r="C370" s="110" t="s">
        <v>1391</v>
      </c>
      <c r="D370" s="110" t="s">
        <v>1392</v>
      </c>
    </row>
    <row r="371" spans="1:5" ht="15" customHeight="1" x14ac:dyDescent="0.2">
      <c r="A371" s="110" t="s">
        <v>564</v>
      </c>
      <c r="B371" s="120">
        <v>10</v>
      </c>
      <c r="C371" s="110" t="s">
        <v>986</v>
      </c>
      <c r="D371" s="110" t="s">
        <v>987</v>
      </c>
    </row>
    <row r="372" spans="1:5" ht="15" customHeight="1" x14ac:dyDescent="0.2">
      <c r="A372" s="110" t="s">
        <v>564</v>
      </c>
      <c r="B372" s="120">
        <v>11</v>
      </c>
      <c r="C372" s="110" t="s">
        <v>988</v>
      </c>
      <c r="D372" s="110" t="s">
        <v>989</v>
      </c>
    </row>
    <row r="374" spans="1:5" ht="15" customHeight="1" x14ac:dyDescent="0.2">
      <c r="A374" s="110" t="s">
        <v>1510</v>
      </c>
      <c r="B374" s="110" t="s">
        <v>1511</v>
      </c>
      <c r="C374" s="110" t="s">
        <v>1512</v>
      </c>
      <c r="D374" s="110" t="s">
        <v>1513</v>
      </c>
      <c r="E374" s="113"/>
    </row>
    <row r="375" spans="1:5" ht="15" customHeight="1" x14ac:dyDescent="0.2">
      <c r="A375" s="110" t="s">
        <v>1510</v>
      </c>
      <c r="B375" s="110" t="s">
        <v>1514</v>
      </c>
      <c r="C375" s="110" t="s">
        <v>1515</v>
      </c>
      <c r="D375" s="110" t="s">
        <v>1516</v>
      </c>
      <c r="E375" s="113"/>
    </row>
    <row r="376" spans="1:5" ht="15" customHeight="1" x14ac:dyDescent="0.2">
      <c r="A376" s="110" t="s">
        <v>1510</v>
      </c>
      <c r="B376" s="110" t="s">
        <v>1517</v>
      </c>
      <c r="C376" s="110" t="s">
        <v>1518</v>
      </c>
      <c r="D376" s="110" t="s">
        <v>1519</v>
      </c>
      <c r="E376" s="113"/>
    </row>
    <row r="377" spans="1:5" ht="15" customHeight="1" x14ac:dyDescent="0.2">
      <c r="A377" s="110" t="s">
        <v>1510</v>
      </c>
      <c r="B377" s="110" t="s">
        <v>1520</v>
      </c>
      <c r="C377" s="110" t="s">
        <v>1521</v>
      </c>
      <c r="D377" s="110" t="s">
        <v>1522</v>
      </c>
      <c r="E377" s="113"/>
    </row>
    <row r="378" spans="1:5" ht="15" customHeight="1" x14ac:dyDescent="0.2">
      <c r="A378" s="110" t="s">
        <v>1510</v>
      </c>
      <c r="B378" s="110" t="s">
        <v>1523</v>
      </c>
      <c r="C378" s="110" t="s">
        <v>1524</v>
      </c>
      <c r="D378" s="110" t="s">
        <v>1525</v>
      </c>
      <c r="E378" s="113"/>
    </row>
    <row r="379" spans="1:5" ht="15" customHeight="1" x14ac:dyDescent="0.2">
      <c r="A379" s="110" t="s">
        <v>1510</v>
      </c>
      <c r="B379" s="110" t="s">
        <v>1526</v>
      </c>
      <c r="C379" s="110" t="s">
        <v>1527</v>
      </c>
      <c r="D379" s="110" t="s">
        <v>1528</v>
      </c>
      <c r="E379" s="113"/>
    </row>
    <row r="380" spans="1:5" ht="15" customHeight="1" x14ac:dyDescent="0.2">
      <c r="A380" s="110" t="s">
        <v>1510</v>
      </c>
      <c r="B380" s="110" t="s">
        <v>1529</v>
      </c>
      <c r="C380" s="110" t="s">
        <v>1530</v>
      </c>
      <c r="D380" s="110" t="s">
        <v>1531</v>
      </c>
      <c r="E380" s="113"/>
    </row>
    <row r="381" spans="1:5" ht="15" customHeight="1" x14ac:dyDescent="0.2">
      <c r="A381" s="110" t="s">
        <v>1510</v>
      </c>
      <c r="B381" s="110" t="s">
        <v>1532</v>
      </c>
      <c r="C381" s="110" t="s">
        <v>1533</v>
      </c>
      <c r="D381" s="110" t="s">
        <v>1534</v>
      </c>
      <c r="E381" s="113"/>
    </row>
    <row r="382" spans="1:5" ht="15" customHeight="1" x14ac:dyDescent="0.2">
      <c r="A382" s="110" t="s">
        <v>1510</v>
      </c>
      <c r="B382" s="110" t="s">
        <v>1535</v>
      </c>
      <c r="C382" s="110" t="s">
        <v>1536</v>
      </c>
      <c r="D382" s="110" t="s">
        <v>1537</v>
      </c>
      <c r="E382" s="113"/>
    </row>
    <row r="383" spans="1:5" ht="15" customHeight="1" x14ac:dyDescent="0.2">
      <c r="A383" s="110" t="s">
        <v>1510</v>
      </c>
      <c r="B383" s="110" t="s">
        <v>1538</v>
      </c>
      <c r="C383" s="110" t="s">
        <v>1539</v>
      </c>
      <c r="D383" s="110" t="s">
        <v>1540</v>
      </c>
      <c r="E383" s="113"/>
    </row>
    <row r="384" spans="1:5" ht="15" customHeight="1" x14ac:dyDescent="0.2">
      <c r="A384" s="110" t="s">
        <v>1510</v>
      </c>
      <c r="B384" s="110" t="s">
        <v>1541</v>
      </c>
      <c r="C384" s="110" t="s">
        <v>1542</v>
      </c>
      <c r="D384" s="110" t="s">
        <v>1543</v>
      </c>
      <c r="E384" s="113"/>
    </row>
    <row r="385" spans="1:5" ht="15" customHeight="1" x14ac:dyDescent="0.2">
      <c r="A385" s="110" t="s">
        <v>1510</v>
      </c>
      <c r="B385" s="110" t="s">
        <v>1544</v>
      </c>
      <c r="C385" s="110" t="s">
        <v>1391</v>
      </c>
      <c r="D385" s="110" t="s">
        <v>1392</v>
      </c>
      <c r="E385" s="113"/>
    </row>
    <row r="386" spans="1:5" ht="15" customHeight="1" x14ac:dyDescent="0.2">
      <c r="A386" s="110" t="s">
        <v>1510</v>
      </c>
      <c r="B386" s="110" t="s">
        <v>1545</v>
      </c>
      <c r="C386" s="110" t="s">
        <v>986</v>
      </c>
      <c r="D386" s="110" t="s">
        <v>987</v>
      </c>
      <c r="E386" s="113"/>
    </row>
    <row r="387" spans="1:5" ht="14.25" customHeight="1" x14ac:dyDescent="0.2">
      <c r="A387" s="110" t="s">
        <v>1510</v>
      </c>
      <c r="B387" s="110" t="s">
        <v>1546</v>
      </c>
      <c r="C387" s="110" t="s">
        <v>988</v>
      </c>
      <c r="D387" s="110" t="s">
        <v>989</v>
      </c>
      <c r="E387" s="113"/>
    </row>
    <row r="388" spans="1:5" ht="14.25" customHeight="1" x14ac:dyDescent="0.2">
      <c r="E388" s="113"/>
    </row>
    <row r="389" spans="1:5" s="113" customFormat="1" ht="14.25" customHeight="1" x14ac:dyDescent="0.2">
      <c r="A389" s="126" t="s">
        <v>1547</v>
      </c>
      <c r="B389" s="126" t="s">
        <v>1548</v>
      </c>
      <c r="C389" s="126" t="s">
        <v>1549</v>
      </c>
      <c r="D389" s="126" t="s">
        <v>1550</v>
      </c>
    </row>
    <row r="390" spans="1:5" s="113" customFormat="1" ht="14.25" customHeight="1" x14ac:dyDescent="0.2">
      <c r="A390" s="126" t="s">
        <v>1547</v>
      </c>
      <c r="B390" s="126" t="s">
        <v>1551</v>
      </c>
      <c r="C390" s="126" t="s">
        <v>1552</v>
      </c>
      <c r="D390" s="126" t="s">
        <v>1553</v>
      </c>
    </row>
    <row r="391" spans="1:5" s="113" customFormat="1" ht="14.25" customHeight="1" x14ac:dyDescent="0.2">
      <c r="A391" s="126" t="s">
        <v>1547</v>
      </c>
      <c r="B391" s="126" t="s">
        <v>1554</v>
      </c>
      <c r="C391" s="126" t="s">
        <v>1555</v>
      </c>
      <c r="D391" s="126" t="s">
        <v>1556</v>
      </c>
    </row>
    <row r="392" spans="1:5" s="113" customFormat="1" ht="14.25" customHeight="1" x14ac:dyDescent="0.2">
      <c r="A392" s="126" t="s">
        <v>1547</v>
      </c>
      <c r="B392" s="126" t="s">
        <v>1557</v>
      </c>
      <c r="C392" s="126" t="s">
        <v>1558</v>
      </c>
      <c r="D392" s="126" t="s">
        <v>1559</v>
      </c>
    </row>
    <row r="393" spans="1:5" s="113" customFormat="1" ht="14.25" customHeight="1" x14ac:dyDescent="0.2">
      <c r="A393" s="126" t="s">
        <v>1547</v>
      </c>
      <c r="B393" s="126" t="s">
        <v>1560</v>
      </c>
      <c r="C393" s="126" t="s">
        <v>1561</v>
      </c>
      <c r="D393" s="126" t="s">
        <v>1562</v>
      </c>
    </row>
    <row r="394" spans="1:5" s="113" customFormat="1" ht="14.25" customHeight="1" x14ac:dyDescent="0.2">
      <c r="A394" s="126" t="s">
        <v>1547</v>
      </c>
      <c r="B394" s="126" t="s">
        <v>1102</v>
      </c>
      <c r="C394" s="126" t="s">
        <v>1563</v>
      </c>
      <c r="D394" s="126" t="s">
        <v>1392</v>
      </c>
    </row>
    <row r="395" spans="1:5" s="113" customFormat="1" ht="14.25" customHeight="1" x14ac:dyDescent="0.2">
      <c r="A395" s="126" t="s">
        <v>1547</v>
      </c>
      <c r="B395" s="126" t="s">
        <v>1108</v>
      </c>
      <c r="C395" s="126" t="s">
        <v>986</v>
      </c>
      <c r="D395" s="126" t="s">
        <v>987</v>
      </c>
    </row>
    <row r="396" spans="1:5" s="113" customFormat="1" ht="14.25" customHeight="1" x14ac:dyDescent="0.2">
      <c r="A396" s="126" t="s">
        <v>1547</v>
      </c>
      <c r="B396" s="126" t="s">
        <v>1109</v>
      </c>
      <c r="C396" s="126" t="s">
        <v>988</v>
      </c>
      <c r="D396" s="126" t="s">
        <v>989</v>
      </c>
    </row>
    <row r="397" spans="1:5" ht="14.25" customHeight="1" x14ac:dyDescent="0.2">
      <c r="D397" s="113"/>
    </row>
    <row r="398" spans="1:5" ht="15" customHeight="1" x14ac:dyDescent="0.2">
      <c r="A398" s="110" t="s">
        <v>1564</v>
      </c>
      <c r="B398" s="110" t="s">
        <v>1565</v>
      </c>
      <c r="C398" s="110" t="s">
        <v>1566</v>
      </c>
      <c r="D398" s="110" t="s">
        <v>1567</v>
      </c>
      <c r="E398" s="113"/>
    </row>
    <row r="399" spans="1:5" ht="15" customHeight="1" x14ac:dyDescent="0.2">
      <c r="A399" s="110" t="s">
        <v>1564</v>
      </c>
      <c r="B399" s="110" t="s">
        <v>1568</v>
      </c>
      <c r="C399" s="110" t="s">
        <v>1569</v>
      </c>
      <c r="D399" s="110" t="s">
        <v>1570</v>
      </c>
      <c r="E399" s="113"/>
    </row>
    <row r="400" spans="1:5" ht="15" customHeight="1" x14ac:dyDescent="0.2">
      <c r="A400" s="110" t="s">
        <v>1564</v>
      </c>
      <c r="B400" s="110" t="s">
        <v>1571</v>
      </c>
      <c r="C400" s="110" t="s">
        <v>1572</v>
      </c>
      <c r="D400" s="110" t="s">
        <v>1573</v>
      </c>
      <c r="E400" s="113"/>
    </row>
    <row r="401" spans="1:5" ht="15" customHeight="1" x14ac:dyDescent="0.2">
      <c r="A401" s="110" t="s">
        <v>1564</v>
      </c>
      <c r="B401" s="110" t="s">
        <v>1574</v>
      </c>
      <c r="C401" s="110" t="s">
        <v>1575</v>
      </c>
      <c r="D401" s="110" t="s">
        <v>1576</v>
      </c>
      <c r="E401" s="113"/>
    </row>
    <row r="402" spans="1:5" ht="15" customHeight="1" x14ac:dyDescent="0.2">
      <c r="A402" s="110" t="s">
        <v>1564</v>
      </c>
      <c r="B402" s="110" t="s">
        <v>1577</v>
      </c>
      <c r="C402" s="110" t="s">
        <v>1578</v>
      </c>
      <c r="D402" s="110" t="s">
        <v>1579</v>
      </c>
      <c r="E402" s="113"/>
    </row>
    <row r="403" spans="1:5" ht="15" customHeight="1" x14ac:dyDescent="0.2">
      <c r="A403" s="110" t="s">
        <v>1564</v>
      </c>
      <c r="B403" s="110" t="s">
        <v>1580</v>
      </c>
      <c r="C403" s="110" t="s">
        <v>1581</v>
      </c>
      <c r="D403" s="110" t="s">
        <v>1582</v>
      </c>
      <c r="E403" s="113"/>
    </row>
    <row r="404" spans="1:5" ht="15" customHeight="1" x14ac:dyDescent="0.2">
      <c r="A404" s="110" t="s">
        <v>1564</v>
      </c>
      <c r="B404" s="110" t="s">
        <v>1583</v>
      </c>
      <c r="C404" s="110" t="s">
        <v>1584</v>
      </c>
      <c r="D404" s="110" t="s">
        <v>1585</v>
      </c>
      <c r="E404" s="113"/>
    </row>
    <row r="405" spans="1:5" ht="15" customHeight="1" x14ac:dyDescent="0.2">
      <c r="A405" s="110" t="s">
        <v>1564</v>
      </c>
      <c r="B405" s="110" t="s">
        <v>1586</v>
      </c>
      <c r="C405" s="110" t="s">
        <v>1587</v>
      </c>
      <c r="D405" s="110" t="s">
        <v>1588</v>
      </c>
      <c r="E405" s="113"/>
    </row>
    <row r="406" spans="1:5" ht="15" customHeight="1" x14ac:dyDescent="0.2">
      <c r="A406" s="110" t="s">
        <v>1564</v>
      </c>
      <c r="B406" s="110" t="s">
        <v>1454</v>
      </c>
      <c r="C406" s="110" t="s">
        <v>1455</v>
      </c>
      <c r="D406" s="110" t="s">
        <v>1589</v>
      </c>
      <c r="E406" s="113"/>
    </row>
    <row r="407" spans="1:5" ht="15" customHeight="1" x14ac:dyDescent="0.2">
      <c r="A407" s="110" t="s">
        <v>1564</v>
      </c>
      <c r="B407" s="110" t="s">
        <v>1436</v>
      </c>
      <c r="C407" s="110" t="s">
        <v>1437</v>
      </c>
      <c r="D407" s="110" t="s">
        <v>1590</v>
      </c>
      <c r="E407" s="113"/>
    </row>
    <row r="408" spans="1:5" x14ac:dyDescent="0.15">
      <c r="A408" s="110" t="s">
        <v>1564</v>
      </c>
      <c r="B408" s="110" t="s">
        <v>1102</v>
      </c>
      <c r="C408" s="110" t="s">
        <v>1391</v>
      </c>
      <c r="D408" s="110" t="s">
        <v>1392</v>
      </c>
    </row>
    <row r="409" spans="1:5" x14ac:dyDescent="0.15">
      <c r="A409" s="110" t="s">
        <v>1564</v>
      </c>
      <c r="B409" s="110" t="s">
        <v>1108</v>
      </c>
      <c r="C409" s="110" t="s">
        <v>986</v>
      </c>
      <c r="D409" s="110" t="s">
        <v>1591</v>
      </c>
    </row>
    <row r="410" spans="1:5" x14ac:dyDescent="0.15">
      <c r="A410" s="110" t="s">
        <v>1564</v>
      </c>
      <c r="B410" s="110" t="s">
        <v>1109</v>
      </c>
      <c r="C410" s="110" t="s">
        <v>988</v>
      </c>
      <c r="D410" s="110" t="s">
        <v>989</v>
      </c>
    </row>
    <row r="412" spans="1:5" ht="15" customHeight="1" x14ac:dyDescent="0.2">
      <c r="A412" s="126" t="s">
        <v>1592</v>
      </c>
      <c r="B412" s="126">
        <v>1</v>
      </c>
      <c r="C412" s="126" t="s">
        <v>1494</v>
      </c>
      <c r="D412" s="110" t="s">
        <v>1495</v>
      </c>
    </row>
    <row r="413" spans="1:5" ht="15" customHeight="1" x14ac:dyDescent="0.2">
      <c r="A413" s="126" t="s">
        <v>1592</v>
      </c>
      <c r="B413" s="126">
        <v>2</v>
      </c>
      <c r="C413" s="126" t="s">
        <v>1496</v>
      </c>
      <c r="D413" s="110" t="s">
        <v>1497</v>
      </c>
    </row>
    <row r="414" spans="1:5" ht="15" customHeight="1" x14ac:dyDescent="0.2">
      <c r="A414" s="126" t="s">
        <v>1592</v>
      </c>
      <c r="B414" s="126">
        <v>3</v>
      </c>
      <c r="C414" s="126" t="s">
        <v>1498</v>
      </c>
      <c r="D414" s="110" t="s">
        <v>1499</v>
      </c>
    </row>
    <row r="415" spans="1:5" ht="15" customHeight="1" x14ac:dyDescent="0.2">
      <c r="A415" s="126" t="s">
        <v>1592</v>
      </c>
      <c r="B415" s="126">
        <v>4</v>
      </c>
      <c r="C415" s="126" t="s">
        <v>1500</v>
      </c>
      <c r="D415" s="110" t="s">
        <v>1501</v>
      </c>
    </row>
    <row r="416" spans="1:5" ht="15" customHeight="1" x14ac:dyDescent="0.2">
      <c r="A416" s="126" t="s">
        <v>1592</v>
      </c>
      <c r="B416" s="126">
        <v>5</v>
      </c>
      <c r="C416" s="126" t="s">
        <v>1502</v>
      </c>
      <c r="D416" s="110" t="s">
        <v>1503</v>
      </c>
    </row>
    <row r="417" spans="1:4" ht="15" customHeight="1" x14ac:dyDescent="0.2">
      <c r="A417" s="126" t="s">
        <v>1592</v>
      </c>
      <c r="B417" s="126">
        <v>6</v>
      </c>
      <c r="C417" s="126" t="s">
        <v>1504</v>
      </c>
      <c r="D417" s="110" t="s">
        <v>1505</v>
      </c>
    </row>
    <row r="418" spans="1:4" ht="15" customHeight="1" x14ac:dyDescent="0.2">
      <c r="A418" s="126" t="s">
        <v>1592</v>
      </c>
      <c r="B418" s="126">
        <v>7</v>
      </c>
      <c r="C418" s="126" t="s">
        <v>1506</v>
      </c>
      <c r="D418" s="110" t="s">
        <v>1507</v>
      </c>
    </row>
    <row r="419" spans="1:4" ht="15" customHeight="1" x14ac:dyDescent="0.2">
      <c r="A419" s="126" t="s">
        <v>1592</v>
      </c>
      <c r="B419" s="126">
        <v>8</v>
      </c>
      <c r="C419" s="126" t="s">
        <v>1508</v>
      </c>
      <c r="D419" s="110" t="s">
        <v>1509</v>
      </c>
    </row>
    <row r="420" spans="1:4" ht="15" customHeight="1" x14ac:dyDescent="0.2">
      <c r="A420" s="126" t="s">
        <v>1592</v>
      </c>
      <c r="B420" s="126">
        <v>9</v>
      </c>
      <c r="C420" s="126" t="s">
        <v>1391</v>
      </c>
      <c r="D420" s="110" t="s">
        <v>1392</v>
      </c>
    </row>
    <row r="421" spans="1:4" ht="15" customHeight="1" x14ac:dyDescent="0.2">
      <c r="A421" s="126" t="s">
        <v>1592</v>
      </c>
      <c r="B421" s="126">
        <v>666</v>
      </c>
      <c r="C421" s="126" t="s">
        <v>1593</v>
      </c>
      <c r="D421" s="110" t="s">
        <v>1594</v>
      </c>
    </row>
    <row r="422" spans="1:4" ht="15" customHeight="1" x14ac:dyDescent="0.2">
      <c r="A422" s="126" t="s">
        <v>1592</v>
      </c>
      <c r="B422" s="126">
        <v>10</v>
      </c>
      <c r="C422" s="126" t="s">
        <v>986</v>
      </c>
      <c r="D422" s="110" t="s">
        <v>987</v>
      </c>
    </row>
    <row r="423" spans="1:4" ht="15" customHeight="1" x14ac:dyDescent="0.2">
      <c r="A423" s="126" t="s">
        <v>1592</v>
      </c>
      <c r="B423" s="126">
        <v>11</v>
      </c>
      <c r="C423" s="126" t="s">
        <v>988</v>
      </c>
      <c r="D423" s="110" t="s">
        <v>989</v>
      </c>
    </row>
    <row r="424" spans="1:4" ht="15" customHeight="1" x14ac:dyDescent="0.2">
      <c r="B424" s="125"/>
      <c r="D424" s="113"/>
    </row>
    <row r="425" spans="1:4" x14ac:dyDescent="0.15">
      <c r="A425" s="110" t="s">
        <v>1595</v>
      </c>
      <c r="B425" s="110">
        <v>1</v>
      </c>
      <c r="C425" s="110" t="s">
        <v>1494</v>
      </c>
      <c r="D425" s="110" t="s">
        <v>1495</v>
      </c>
    </row>
    <row r="426" spans="1:4" x14ac:dyDescent="0.15">
      <c r="A426" s="110" t="s">
        <v>1595</v>
      </c>
      <c r="B426" s="110">
        <v>2</v>
      </c>
      <c r="C426" s="110" t="s">
        <v>1496</v>
      </c>
      <c r="D426" s="110" t="s">
        <v>1497</v>
      </c>
    </row>
    <row r="427" spans="1:4" x14ac:dyDescent="0.15">
      <c r="A427" s="110" t="s">
        <v>1595</v>
      </c>
      <c r="B427" s="110">
        <v>3</v>
      </c>
      <c r="C427" s="110" t="s">
        <v>1498</v>
      </c>
      <c r="D427" s="110" t="s">
        <v>1499</v>
      </c>
    </row>
    <row r="428" spans="1:4" ht="15" customHeight="1" x14ac:dyDescent="0.2">
      <c r="A428" s="110" t="s">
        <v>1595</v>
      </c>
      <c r="B428" s="110">
        <v>4</v>
      </c>
      <c r="C428" s="124" t="s">
        <v>1500</v>
      </c>
      <c r="D428" s="110" t="s">
        <v>1501</v>
      </c>
    </row>
    <row r="429" spans="1:4" ht="15" customHeight="1" x14ac:dyDescent="0.2">
      <c r="A429" s="110" t="s">
        <v>1595</v>
      </c>
      <c r="B429" s="110">
        <v>5</v>
      </c>
      <c r="C429" s="110" t="s">
        <v>1596</v>
      </c>
      <c r="D429" s="124" t="s">
        <v>1503</v>
      </c>
    </row>
    <row r="430" spans="1:4" x14ac:dyDescent="0.15">
      <c r="A430" s="110" t="s">
        <v>1595</v>
      </c>
      <c r="B430" s="110">
        <v>6</v>
      </c>
      <c r="C430" s="110" t="s">
        <v>1504</v>
      </c>
      <c r="D430" s="110" t="s">
        <v>1505</v>
      </c>
    </row>
    <row r="431" spans="1:4" x14ac:dyDescent="0.15">
      <c r="A431" s="110" t="s">
        <v>1595</v>
      </c>
      <c r="B431" s="110">
        <v>7</v>
      </c>
      <c r="C431" s="110" t="s">
        <v>1597</v>
      </c>
      <c r="D431" s="110" t="s">
        <v>1507</v>
      </c>
    </row>
    <row r="432" spans="1:4" x14ac:dyDescent="0.15">
      <c r="A432" s="110" t="s">
        <v>1595</v>
      </c>
      <c r="B432" s="110">
        <v>8</v>
      </c>
      <c r="C432" s="110" t="s">
        <v>1508</v>
      </c>
      <c r="D432" s="110" t="s">
        <v>1509</v>
      </c>
    </row>
    <row r="433" spans="1:5" x14ac:dyDescent="0.15">
      <c r="A433" s="110" t="s">
        <v>1595</v>
      </c>
      <c r="B433" s="110">
        <v>9</v>
      </c>
      <c r="C433" s="110" t="s">
        <v>1598</v>
      </c>
      <c r="D433" s="110" t="s">
        <v>1599</v>
      </c>
    </row>
    <row r="434" spans="1:5" x14ac:dyDescent="0.15">
      <c r="A434" s="110" t="s">
        <v>1595</v>
      </c>
      <c r="B434" s="110">
        <v>10</v>
      </c>
      <c r="C434" s="110" t="s">
        <v>1600</v>
      </c>
      <c r="D434" s="110" t="s">
        <v>1601</v>
      </c>
    </row>
    <row r="435" spans="1:5" x14ac:dyDescent="0.15">
      <c r="A435" s="110" t="s">
        <v>1595</v>
      </c>
      <c r="B435" s="110">
        <v>11</v>
      </c>
      <c r="C435" s="110" t="s">
        <v>1602</v>
      </c>
      <c r="D435" s="110" t="s">
        <v>1603</v>
      </c>
    </row>
    <row r="436" spans="1:5" ht="15" customHeight="1" x14ac:dyDescent="0.2">
      <c r="A436" s="110" t="s">
        <v>1595</v>
      </c>
      <c r="B436" s="120">
        <v>12</v>
      </c>
      <c r="C436" s="110" t="s">
        <v>986</v>
      </c>
      <c r="D436" s="110" t="s">
        <v>987</v>
      </c>
    </row>
    <row r="437" spans="1:5" ht="15" customHeight="1" x14ac:dyDescent="0.2">
      <c r="A437" s="110" t="s">
        <v>1595</v>
      </c>
      <c r="B437" s="120">
        <v>13</v>
      </c>
      <c r="C437" s="110" t="s">
        <v>988</v>
      </c>
      <c r="D437" s="110" t="s">
        <v>989</v>
      </c>
    </row>
    <row r="439" spans="1:5" ht="15.75" customHeight="1" x14ac:dyDescent="0.2">
      <c r="A439" s="110" t="s">
        <v>1604</v>
      </c>
      <c r="B439" s="110" t="s">
        <v>1473</v>
      </c>
      <c r="C439" s="110" t="s">
        <v>1474</v>
      </c>
      <c r="D439" s="110" t="s">
        <v>1475</v>
      </c>
      <c r="E439" s="113"/>
    </row>
    <row r="440" spans="1:5" ht="15.75" customHeight="1" x14ac:dyDescent="0.2">
      <c r="A440" s="110" t="s">
        <v>1604</v>
      </c>
      <c r="B440" s="110" t="s">
        <v>1476</v>
      </c>
      <c r="C440" s="110" t="s">
        <v>1605</v>
      </c>
      <c r="D440" s="110" t="s">
        <v>1606</v>
      </c>
      <c r="E440" s="113"/>
    </row>
    <row r="441" spans="1:5" ht="15.75" customHeight="1" x14ac:dyDescent="0.2">
      <c r="A441" s="110" t="s">
        <v>1604</v>
      </c>
      <c r="B441" s="110" t="s">
        <v>1479</v>
      </c>
      <c r="C441" s="110" t="s">
        <v>1607</v>
      </c>
      <c r="D441" s="110" t="s">
        <v>1481</v>
      </c>
      <c r="E441" s="113"/>
    </row>
    <row r="442" spans="1:5" ht="15.75" customHeight="1" x14ac:dyDescent="0.2">
      <c r="A442" s="110" t="s">
        <v>1604</v>
      </c>
      <c r="B442" s="110" t="s">
        <v>1482</v>
      </c>
      <c r="C442" s="110" t="s">
        <v>1483</v>
      </c>
      <c r="D442" s="110" t="s">
        <v>1484</v>
      </c>
      <c r="E442" s="113"/>
    </row>
    <row r="443" spans="1:5" ht="15.75" customHeight="1" x14ac:dyDescent="0.2">
      <c r="A443" s="110" t="s">
        <v>1604</v>
      </c>
      <c r="B443" s="110" t="s">
        <v>1485</v>
      </c>
      <c r="C443" s="110" t="s">
        <v>1486</v>
      </c>
      <c r="D443" s="110" t="s">
        <v>1487</v>
      </c>
      <c r="E443" s="113"/>
    </row>
    <row r="444" spans="1:5" ht="15.75" customHeight="1" x14ac:dyDescent="0.2">
      <c r="A444" s="110" t="s">
        <v>1604</v>
      </c>
      <c r="B444" s="110" t="s">
        <v>1608</v>
      </c>
      <c r="C444" s="110" t="s">
        <v>1609</v>
      </c>
      <c r="D444" s="110" t="s">
        <v>1610</v>
      </c>
      <c r="E444" s="113"/>
    </row>
    <row r="445" spans="1:5" ht="15.75" customHeight="1" x14ac:dyDescent="0.2">
      <c r="A445" s="110" t="s">
        <v>1604</v>
      </c>
      <c r="B445" s="110" t="s">
        <v>1488</v>
      </c>
      <c r="C445" s="110" t="s">
        <v>1611</v>
      </c>
      <c r="D445" s="110" t="s">
        <v>1612</v>
      </c>
      <c r="E445" s="113"/>
    </row>
    <row r="446" spans="1:5" ht="15.75" customHeight="1" x14ac:dyDescent="0.2">
      <c r="A446" s="110" t="s">
        <v>1604</v>
      </c>
      <c r="B446" s="110" t="s">
        <v>1491</v>
      </c>
      <c r="C446" s="110" t="s">
        <v>1492</v>
      </c>
      <c r="D446" s="110" t="s">
        <v>1493</v>
      </c>
      <c r="E446" s="113"/>
    </row>
    <row r="447" spans="1:5" ht="15.75" customHeight="1" x14ac:dyDescent="0.15">
      <c r="A447" s="110" t="s">
        <v>1604</v>
      </c>
      <c r="B447" s="110" t="s">
        <v>1102</v>
      </c>
      <c r="C447" s="110" t="s">
        <v>1391</v>
      </c>
      <c r="D447" s="110" t="s">
        <v>1392</v>
      </c>
    </row>
    <row r="448" spans="1:5" ht="15.75" customHeight="1" x14ac:dyDescent="0.15">
      <c r="A448" s="110" t="s">
        <v>1604</v>
      </c>
      <c r="B448" s="110" t="s">
        <v>1108</v>
      </c>
      <c r="C448" s="110" t="s">
        <v>986</v>
      </c>
      <c r="D448" s="110" t="s">
        <v>987</v>
      </c>
    </row>
    <row r="449" spans="1:5" ht="15.75" customHeight="1" x14ac:dyDescent="0.15">
      <c r="A449" s="110" t="s">
        <v>1604</v>
      </c>
      <c r="B449" s="110" t="s">
        <v>1109</v>
      </c>
      <c r="C449" s="110" t="s">
        <v>988</v>
      </c>
      <c r="D449" s="110" t="s">
        <v>989</v>
      </c>
    </row>
    <row r="450" spans="1:5" ht="15.75" customHeight="1" x14ac:dyDescent="0.15"/>
    <row r="451" spans="1:5" ht="15" customHeight="1" x14ac:dyDescent="0.2">
      <c r="A451" s="110" t="s">
        <v>1613</v>
      </c>
      <c r="B451" s="110" t="s">
        <v>1614</v>
      </c>
      <c r="C451" s="110" t="s">
        <v>1615</v>
      </c>
      <c r="D451" s="110" t="s">
        <v>1616</v>
      </c>
      <c r="E451" s="113"/>
    </row>
    <row r="452" spans="1:5" ht="15" customHeight="1" x14ac:dyDescent="0.2">
      <c r="A452" s="110" t="s">
        <v>1613</v>
      </c>
      <c r="B452" s="110" t="s">
        <v>1617</v>
      </c>
      <c r="C452" s="110" t="s">
        <v>1618</v>
      </c>
      <c r="D452" s="110" t="s">
        <v>1619</v>
      </c>
      <c r="E452" s="113"/>
    </row>
    <row r="453" spans="1:5" ht="15" customHeight="1" x14ac:dyDescent="0.2">
      <c r="A453" s="110" t="s">
        <v>1613</v>
      </c>
      <c r="B453" s="110" t="s">
        <v>1620</v>
      </c>
      <c r="C453" s="110" t="s">
        <v>1621</v>
      </c>
      <c r="D453" s="110" t="s">
        <v>1622</v>
      </c>
      <c r="E453" s="113"/>
    </row>
    <row r="454" spans="1:5" ht="15" customHeight="1" x14ac:dyDescent="0.2">
      <c r="A454" s="110" t="s">
        <v>1613</v>
      </c>
      <c r="B454" s="110" t="s">
        <v>1623</v>
      </c>
      <c r="C454" s="110" t="s">
        <v>1624</v>
      </c>
      <c r="D454" s="110" t="s">
        <v>1625</v>
      </c>
      <c r="E454" s="113"/>
    </row>
    <row r="455" spans="1:5" ht="15" customHeight="1" x14ac:dyDescent="0.2">
      <c r="A455" s="110" t="s">
        <v>1613</v>
      </c>
      <c r="B455" s="110" t="s">
        <v>1108</v>
      </c>
      <c r="C455" s="110" t="s">
        <v>986</v>
      </c>
      <c r="D455" s="110" t="s">
        <v>987</v>
      </c>
      <c r="E455" s="113"/>
    </row>
    <row r="456" spans="1:5" ht="15" customHeight="1" x14ac:dyDescent="0.2">
      <c r="A456" s="110" t="s">
        <v>1613</v>
      </c>
      <c r="B456" s="110" t="s">
        <v>1109</v>
      </c>
      <c r="C456" s="110" t="s">
        <v>988</v>
      </c>
      <c r="D456" s="110" t="s">
        <v>989</v>
      </c>
      <c r="E456" s="113"/>
    </row>
    <row r="458" spans="1:5" ht="15" customHeight="1" x14ac:dyDescent="0.2">
      <c r="A458" s="110" t="s">
        <v>1626</v>
      </c>
      <c r="B458" s="110" t="s">
        <v>1627</v>
      </c>
      <c r="C458" s="110" t="s">
        <v>1628</v>
      </c>
      <c r="D458" s="110" t="s">
        <v>1629</v>
      </c>
      <c r="E458" s="113"/>
    </row>
    <row r="459" spans="1:5" ht="15" customHeight="1" x14ac:dyDescent="0.2">
      <c r="A459" s="110" t="s">
        <v>1626</v>
      </c>
      <c r="B459" s="110" t="s">
        <v>1630</v>
      </c>
      <c r="C459" s="110" t="s">
        <v>1631</v>
      </c>
      <c r="D459" s="110" t="s">
        <v>1632</v>
      </c>
      <c r="E459" s="113"/>
    </row>
    <row r="460" spans="1:5" ht="15" customHeight="1" x14ac:dyDescent="0.2">
      <c r="A460" s="110" t="s">
        <v>1626</v>
      </c>
      <c r="B460" s="110" t="s">
        <v>1633</v>
      </c>
      <c r="C460" s="110" t="s">
        <v>1634</v>
      </c>
      <c r="D460" s="110" t="s">
        <v>1635</v>
      </c>
      <c r="E460" s="113"/>
    </row>
    <row r="461" spans="1:5" ht="15" customHeight="1" x14ac:dyDescent="0.2">
      <c r="A461" s="110" t="s">
        <v>1626</v>
      </c>
      <c r="B461" s="110" t="s">
        <v>1636</v>
      </c>
      <c r="C461" s="110" t="s">
        <v>1637</v>
      </c>
      <c r="D461" s="110" t="s">
        <v>1638</v>
      </c>
      <c r="E461" s="113"/>
    </row>
    <row r="462" spans="1:5" ht="15" customHeight="1" x14ac:dyDescent="0.2">
      <c r="A462" s="110" t="s">
        <v>1626</v>
      </c>
      <c r="B462" s="110" t="s">
        <v>1639</v>
      </c>
      <c r="C462" s="110" t="s">
        <v>1640</v>
      </c>
      <c r="D462" s="110" t="s">
        <v>1641</v>
      </c>
      <c r="E462" s="113"/>
    </row>
    <row r="463" spans="1:5" ht="15" customHeight="1" x14ac:dyDescent="0.2">
      <c r="A463" s="110" t="s">
        <v>1626</v>
      </c>
      <c r="B463" s="110" t="s">
        <v>1642</v>
      </c>
      <c r="C463" s="110" t="s">
        <v>1643</v>
      </c>
      <c r="D463" s="110" t="s">
        <v>1644</v>
      </c>
      <c r="E463" s="113"/>
    </row>
    <row r="464" spans="1:5" ht="15" customHeight="1" x14ac:dyDescent="0.2">
      <c r="A464" s="110" t="s">
        <v>1626</v>
      </c>
      <c r="B464" s="110" t="s">
        <v>1645</v>
      </c>
      <c r="C464" s="110" t="s">
        <v>1646</v>
      </c>
      <c r="D464" s="110" t="s">
        <v>1647</v>
      </c>
      <c r="E464" s="113"/>
    </row>
    <row r="465" spans="1:5" ht="15" customHeight="1" x14ac:dyDescent="0.2">
      <c r="A465" s="110" t="s">
        <v>1626</v>
      </c>
      <c r="B465" s="110" t="s">
        <v>1648</v>
      </c>
      <c r="C465" s="110" t="s">
        <v>1649</v>
      </c>
      <c r="D465" s="110" t="s">
        <v>1650</v>
      </c>
      <c r="E465" s="113"/>
    </row>
    <row r="466" spans="1:5" x14ac:dyDescent="0.15">
      <c r="A466" s="110" t="s">
        <v>1626</v>
      </c>
      <c r="B466" s="110" t="s">
        <v>1102</v>
      </c>
      <c r="C466" s="110" t="s">
        <v>1328</v>
      </c>
      <c r="D466" s="110" t="s">
        <v>1392</v>
      </c>
    </row>
    <row r="467" spans="1:5" x14ac:dyDescent="0.15">
      <c r="A467" s="110" t="s">
        <v>1626</v>
      </c>
      <c r="B467" s="110" t="s">
        <v>1108</v>
      </c>
      <c r="C467" s="110" t="s">
        <v>986</v>
      </c>
      <c r="D467" s="110" t="s">
        <v>987</v>
      </c>
    </row>
    <row r="468" spans="1:5" x14ac:dyDescent="0.15">
      <c r="A468" s="110" t="s">
        <v>1626</v>
      </c>
      <c r="B468" s="110" t="s">
        <v>1109</v>
      </c>
      <c r="C468" s="110" t="s">
        <v>988</v>
      </c>
      <c r="D468" s="110" t="s">
        <v>989</v>
      </c>
    </row>
    <row r="470" spans="1:5" s="113" customFormat="1" ht="15" customHeight="1" x14ac:dyDescent="0.2">
      <c r="A470" s="126" t="s">
        <v>1651</v>
      </c>
      <c r="B470" s="126" t="s">
        <v>1652</v>
      </c>
      <c r="C470" s="126" t="s">
        <v>1653</v>
      </c>
      <c r="D470" s="126" t="s">
        <v>1654</v>
      </c>
    </row>
    <row r="471" spans="1:5" s="113" customFormat="1" ht="15" customHeight="1" x14ac:dyDescent="0.2">
      <c r="A471" s="126" t="s">
        <v>1651</v>
      </c>
      <c r="B471" s="126" t="s">
        <v>1655</v>
      </c>
      <c r="C471" s="126" t="s">
        <v>1656</v>
      </c>
      <c r="D471" s="126" t="s">
        <v>1657</v>
      </c>
    </row>
    <row r="472" spans="1:5" s="113" customFormat="1" ht="15" customHeight="1" x14ac:dyDescent="0.2">
      <c r="A472" s="126" t="s">
        <v>1651</v>
      </c>
      <c r="B472" s="126" t="s">
        <v>1658</v>
      </c>
      <c r="C472" s="126" t="s">
        <v>1659</v>
      </c>
      <c r="D472" s="126" t="s">
        <v>1660</v>
      </c>
    </row>
    <row r="473" spans="1:5" s="113" customFormat="1" ht="15" customHeight="1" x14ac:dyDescent="0.2">
      <c r="A473" s="126" t="s">
        <v>1651</v>
      </c>
      <c r="B473" s="126" t="s">
        <v>1661</v>
      </c>
      <c r="C473" s="126" t="s">
        <v>1662</v>
      </c>
      <c r="D473" s="126" t="s">
        <v>1663</v>
      </c>
    </row>
    <row r="474" spans="1:5" s="113" customFormat="1" ht="15" customHeight="1" x14ac:dyDescent="0.2">
      <c r="A474" s="126" t="s">
        <v>1651</v>
      </c>
      <c r="B474" s="126" t="s">
        <v>1636</v>
      </c>
      <c r="C474" s="126" t="s">
        <v>1664</v>
      </c>
      <c r="D474" s="126" t="s">
        <v>1665</v>
      </c>
    </row>
    <row r="475" spans="1:5" s="113" customFormat="1" ht="15" customHeight="1" x14ac:dyDescent="0.2">
      <c r="A475" s="126" t="s">
        <v>1651</v>
      </c>
      <c r="B475" s="126" t="s">
        <v>1666</v>
      </c>
      <c r="C475" s="126" t="s">
        <v>1667</v>
      </c>
      <c r="D475" s="126" t="s">
        <v>1668</v>
      </c>
    </row>
    <row r="476" spans="1:5" s="113" customFormat="1" ht="15" customHeight="1" x14ac:dyDescent="0.2">
      <c r="A476" s="126" t="s">
        <v>1651</v>
      </c>
      <c r="B476" s="126" t="s">
        <v>1642</v>
      </c>
      <c r="C476" s="126" t="s">
        <v>1669</v>
      </c>
      <c r="D476" s="126" t="s">
        <v>1670</v>
      </c>
    </row>
    <row r="477" spans="1:5" s="113" customFormat="1" ht="15" customHeight="1" x14ac:dyDescent="0.2">
      <c r="A477" s="126" t="s">
        <v>1651</v>
      </c>
      <c r="B477" s="126" t="s">
        <v>1102</v>
      </c>
      <c r="C477" s="126" t="s">
        <v>1328</v>
      </c>
      <c r="D477" s="126" t="s">
        <v>1329</v>
      </c>
    </row>
    <row r="478" spans="1:5" s="113" customFormat="1" ht="15" customHeight="1" x14ac:dyDescent="0.2">
      <c r="A478" s="126" t="s">
        <v>1651</v>
      </c>
      <c r="B478" s="126" t="s">
        <v>1108</v>
      </c>
      <c r="C478" s="126" t="s">
        <v>986</v>
      </c>
      <c r="D478" s="126" t="s">
        <v>987</v>
      </c>
    </row>
    <row r="479" spans="1:5" s="113" customFormat="1" ht="15" customHeight="1" x14ac:dyDescent="0.2">
      <c r="A479" s="126" t="s">
        <v>1651</v>
      </c>
      <c r="B479" s="126" t="s">
        <v>1109</v>
      </c>
      <c r="C479" s="126" t="s">
        <v>988</v>
      </c>
      <c r="D479" s="126" t="s">
        <v>989</v>
      </c>
    </row>
    <row r="480" spans="1:5" ht="15" customHeight="1" x14ac:dyDescent="0.2">
      <c r="D480" s="113"/>
    </row>
    <row r="481" spans="1:5" x14ac:dyDescent="0.15">
      <c r="A481" s="110" t="s">
        <v>1671</v>
      </c>
      <c r="B481" s="110">
        <v>1</v>
      </c>
      <c r="C481" s="110" t="s">
        <v>1672</v>
      </c>
      <c r="D481" s="110" t="s">
        <v>1673</v>
      </c>
    </row>
    <row r="482" spans="1:5" x14ac:dyDescent="0.15">
      <c r="A482" s="110" t="s">
        <v>1671</v>
      </c>
      <c r="B482" s="110">
        <v>2</v>
      </c>
      <c r="C482" s="110" t="s">
        <v>1674</v>
      </c>
      <c r="D482" s="110" t="s">
        <v>1675</v>
      </c>
    </row>
    <row r="483" spans="1:5" x14ac:dyDescent="0.15">
      <c r="A483" s="110" t="s">
        <v>1671</v>
      </c>
      <c r="B483" s="110">
        <v>3</v>
      </c>
      <c r="C483" s="110" t="s">
        <v>1676</v>
      </c>
      <c r="D483" s="110" t="s">
        <v>1677</v>
      </c>
    </row>
    <row r="484" spans="1:5" x14ac:dyDescent="0.15">
      <c r="A484" s="110" t="s">
        <v>1671</v>
      </c>
      <c r="B484" s="110">
        <v>4</v>
      </c>
      <c r="C484" s="110" t="s">
        <v>1678</v>
      </c>
      <c r="D484" s="110" t="s">
        <v>1679</v>
      </c>
    </row>
    <row r="485" spans="1:5" x14ac:dyDescent="0.15">
      <c r="A485" s="110" t="s">
        <v>1671</v>
      </c>
      <c r="B485" s="110">
        <v>5</v>
      </c>
      <c r="C485" s="110" t="s">
        <v>1328</v>
      </c>
      <c r="D485" s="110" t="s">
        <v>1329</v>
      </c>
    </row>
    <row r="486" spans="1:5" ht="15" customHeight="1" x14ac:dyDescent="0.2">
      <c r="A486" s="110" t="s">
        <v>1671</v>
      </c>
      <c r="B486" s="120">
        <v>6</v>
      </c>
      <c r="C486" s="110" t="s">
        <v>986</v>
      </c>
      <c r="D486" s="110" t="s">
        <v>987</v>
      </c>
    </row>
    <row r="487" spans="1:5" ht="15" customHeight="1" x14ac:dyDescent="0.2">
      <c r="A487" s="110" t="s">
        <v>1671</v>
      </c>
      <c r="B487" s="120">
        <v>7</v>
      </c>
      <c r="C487" s="110" t="s">
        <v>988</v>
      </c>
      <c r="D487" s="110" t="s">
        <v>989</v>
      </c>
    </row>
    <row r="489" spans="1:5" ht="15" customHeight="1" x14ac:dyDescent="0.2">
      <c r="A489" s="110" t="s">
        <v>1680</v>
      </c>
      <c r="B489" s="110" t="s">
        <v>1473</v>
      </c>
      <c r="C489" s="110" t="s">
        <v>1474</v>
      </c>
      <c r="D489" s="110" t="s">
        <v>1475</v>
      </c>
      <c r="E489" s="113"/>
    </row>
    <row r="490" spans="1:5" ht="15" customHeight="1" x14ac:dyDescent="0.2">
      <c r="A490" s="110" t="s">
        <v>1680</v>
      </c>
      <c r="B490" s="110" t="s">
        <v>1476</v>
      </c>
      <c r="C490" s="110" t="s">
        <v>1681</v>
      </c>
      <c r="D490" s="110" t="s">
        <v>1682</v>
      </c>
      <c r="E490" s="113"/>
    </row>
    <row r="491" spans="1:5" ht="15" customHeight="1" x14ac:dyDescent="0.2">
      <c r="A491" s="110" t="s">
        <v>1680</v>
      </c>
      <c r="B491" s="110" t="s">
        <v>1479</v>
      </c>
      <c r="C491" s="110" t="s">
        <v>1683</v>
      </c>
      <c r="D491" s="110" t="s">
        <v>1481</v>
      </c>
      <c r="E491" s="113"/>
    </row>
    <row r="492" spans="1:5" ht="15" customHeight="1" x14ac:dyDescent="0.2">
      <c r="A492" s="110" t="s">
        <v>1680</v>
      </c>
      <c r="B492" s="110" t="s">
        <v>1482</v>
      </c>
      <c r="C492" s="110" t="s">
        <v>1684</v>
      </c>
      <c r="D492" s="110" t="s">
        <v>1484</v>
      </c>
      <c r="E492" s="113"/>
    </row>
    <row r="493" spans="1:5" ht="15" customHeight="1" x14ac:dyDescent="0.2">
      <c r="A493" s="110" t="s">
        <v>1680</v>
      </c>
      <c r="B493" s="110" t="s">
        <v>1685</v>
      </c>
      <c r="C493" s="110" t="s">
        <v>1486</v>
      </c>
      <c r="D493" s="110" t="s">
        <v>1487</v>
      </c>
      <c r="E493" s="113"/>
    </row>
    <row r="494" spans="1:5" ht="15" customHeight="1" x14ac:dyDescent="0.2">
      <c r="A494" s="110" t="s">
        <v>1680</v>
      </c>
      <c r="B494" s="110" t="s">
        <v>1488</v>
      </c>
      <c r="C494" s="110" t="s">
        <v>1686</v>
      </c>
      <c r="D494" s="110" t="s">
        <v>1687</v>
      </c>
      <c r="E494" s="113"/>
    </row>
    <row r="495" spans="1:5" ht="15" customHeight="1" x14ac:dyDescent="0.2">
      <c r="A495" s="110" t="s">
        <v>1680</v>
      </c>
      <c r="B495" s="110" t="s">
        <v>1491</v>
      </c>
      <c r="C495" s="110" t="s">
        <v>1688</v>
      </c>
      <c r="D495" s="110" t="s">
        <v>1493</v>
      </c>
      <c r="E495" s="113"/>
    </row>
    <row r="496" spans="1:5" x14ac:dyDescent="0.15">
      <c r="A496" s="110" t="s">
        <v>1680</v>
      </c>
      <c r="B496" s="110" t="s">
        <v>1102</v>
      </c>
      <c r="C496" s="110" t="s">
        <v>1391</v>
      </c>
      <c r="D496" s="110" t="s">
        <v>1392</v>
      </c>
    </row>
    <row r="497" spans="1:4" x14ac:dyDescent="0.15">
      <c r="A497" s="110" t="s">
        <v>1680</v>
      </c>
      <c r="B497" s="110" t="s">
        <v>1108</v>
      </c>
      <c r="C497" s="110" t="s">
        <v>986</v>
      </c>
      <c r="D497" s="110" t="s">
        <v>987</v>
      </c>
    </row>
    <row r="498" spans="1:4" x14ac:dyDescent="0.15">
      <c r="A498" s="110" t="s">
        <v>1680</v>
      </c>
      <c r="B498" s="110" t="s">
        <v>1109</v>
      </c>
      <c r="C498" s="110" t="s">
        <v>988</v>
      </c>
      <c r="D498" s="110" t="s">
        <v>989</v>
      </c>
    </row>
    <row r="500" spans="1:4" x14ac:dyDescent="0.15">
      <c r="A500" s="110" t="s">
        <v>1689</v>
      </c>
      <c r="B500" s="110">
        <v>1</v>
      </c>
      <c r="C500" s="110" t="s">
        <v>1690</v>
      </c>
      <c r="D500" s="110" t="s">
        <v>1691</v>
      </c>
    </row>
    <row r="501" spans="1:4" x14ac:dyDescent="0.15">
      <c r="A501" s="110" t="s">
        <v>1689</v>
      </c>
      <c r="B501" s="110">
        <v>2</v>
      </c>
      <c r="C501" s="110" t="s">
        <v>1692</v>
      </c>
      <c r="D501" s="110" t="s">
        <v>1693</v>
      </c>
    </row>
    <row r="502" spans="1:4" x14ac:dyDescent="0.15">
      <c r="A502" s="110" t="s">
        <v>1689</v>
      </c>
      <c r="B502" s="110">
        <v>3</v>
      </c>
      <c r="C502" s="110" t="s">
        <v>1694</v>
      </c>
      <c r="D502" s="110" t="s">
        <v>1695</v>
      </c>
    </row>
    <row r="503" spans="1:4" x14ac:dyDescent="0.15">
      <c r="A503" s="110" t="s">
        <v>1689</v>
      </c>
      <c r="B503" s="110">
        <v>4</v>
      </c>
      <c r="C503" s="110" t="s">
        <v>1696</v>
      </c>
      <c r="D503" s="110" t="s">
        <v>987</v>
      </c>
    </row>
    <row r="504" spans="1:4" ht="15" customHeight="1" x14ac:dyDescent="0.2">
      <c r="A504" s="110" t="s">
        <v>1689</v>
      </c>
      <c r="B504" s="120">
        <v>5</v>
      </c>
      <c r="C504" s="110" t="s">
        <v>988</v>
      </c>
      <c r="D504" s="110" t="s">
        <v>989</v>
      </c>
    </row>
    <row r="506" spans="1:4" x14ac:dyDescent="0.15">
      <c r="A506" s="110" t="s">
        <v>1697</v>
      </c>
      <c r="B506" s="110">
        <v>1</v>
      </c>
      <c r="C506" s="110" t="s">
        <v>982</v>
      </c>
      <c r="D506" s="110" t="s">
        <v>993</v>
      </c>
    </row>
    <row r="507" spans="1:4" x14ac:dyDescent="0.15">
      <c r="A507" s="110" t="s">
        <v>1697</v>
      </c>
      <c r="B507" s="110">
        <v>2</v>
      </c>
      <c r="C507" s="110" t="s">
        <v>1698</v>
      </c>
      <c r="D507" s="110" t="s">
        <v>1699</v>
      </c>
    </row>
    <row r="508" spans="1:4" x14ac:dyDescent="0.15">
      <c r="A508" s="110" t="s">
        <v>1697</v>
      </c>
      <c r="B508" s="110">
        <v>3</v>
      </c>
      <c r="C508" s="110" t="s">
        <v>1700</v>
      </c>
      <c r="D508" s="110" t="s">
        <v>1701</v>
      </c>
    </row>
    <row r="509" spans="1:4" x14ac:dyDescent="0.15">
      <c r="A509" s="110" t="s">
        <v>1697</v>
      </c>
      <c r="B509" s="110">
        <v>4</v>
      </c>
      <c r="C509" s="110" t="s">
        <v>1702</v>
      </c>
      <c r="D509" s="110" t="s">
        <v>1703</v>
      </c>
    </row>
    <row r="510" spans="1:4" ht="15" customHeight="1" x14ac:dyDescent="0.2">
      <c r="A510" s="110" t="s">
        <v>1697</v>
      </c>
      <c r="B510" s="120">
        <v>5</v>
      </c>
      <c r="C510" s="110" t="s">
        <v>986</v>
      </c>
      <c r="D510" s="110" t="s">
        <v>987</v>
      </c>
    </row>
    <row r="511" spans="1:4" ht="15" customHeight="1" x14ac:dyDescent="0.2">
      <c r="A511" s="110" t="s">
        <v>1697</v>
      </c>
      <c r="B511" s="120">
        <v>6</v>
      </c>
      <c r="C511" s="110" t="s">
        <v>988</v>
      </c>
      <c r="D511" s="110" t="s">
        <v>989</v>
      </c>
    </row>
    <row r="513" spans="1:5" x14ac:dyDescent="0.15">
      <c r="A513" s="110" t="s">
        <v>778</v>
      </c>
      <c r="B513" s="110" t="s">
        <v>1704</v>
      </c>
      <c r="C513" s="110" t="s">
        <v>1705</v>
      </c>
      <c r="D513" s="110" t="s">
        <v>1706</v>
      </c>
    </row>
    <row r="514" spans="1:5" x14ac:dyDescent="0.15">
      <c r="A514" s="110" t="s">
        <v>778</v>
      </c>
      <c r="B514" s="110" t="s">
        <v>1707</v>
      </c>
      <c r="C514" s="110" t="s">
        <v>1708</v>
      </c>
      <c r="D514" s="110" t="s">
        <v>1709</v>
      </c>
    </row>
    <row r="515" spans="1:5" x14ac:dyDescent="0.15">
      <c r="A515" s="110" t="s">
        <v>778</v>
      </c>
      <c r="B515" s="110" t="s">
        <v>1710</v>
      </c>
      <c r="C515" s="110" t="s">
        <v>1711</v>
      </c>
      <c r="D515" s="110" t="s">
        <v>1712</v>
      </c>
    </row>
    <row r="516" spans="1:5" x14ac:dyDescent="0.15">
      <c r="A516" s="110" t="s">
        <v>778</v>
      </c>
      <c r="B516" s="110" t="s">
        <v>1713</v>
      </c>
      <c r="C516" s="110" t="s">
        <v>1714</v>
      </c>
      <c r="D516" s="110" t="s">
        <v>1715</v>
      </c>
    </row>
    <row r="517" spans="1:5" x14ac:dyDescent="0.15">
      <c r="A517" s="110" t="s">
        <v>778</v>
      </c>
      <c r="B517" s="110" t="s">
        <v>1716</v>
      </c>
      <c r="C517" s="110" t="s">
        <v>1717</v>
      </c>
      <c r="D517" s="110" t="s">
        <v>1718</v>
      </c>
    </row>
    <row r="518" spans="1:5" x14ac:dyDescent="0.15">
      <c r="A518" s="110" t="s">
        <v>778</v>
      </c>
      <c r="B518" s="110" t="s">
        <v>1719</v>
      </c>
      <c r="C518" s="110" t="s">
        <v>1598</v>
      </c>
      <c r="D518" s="110" t="s">
        <v>1599</v>
      </c>
    </row>
    <row r="519" spans="1:5" x14ac:dyDescent="0.15">
      <c r="A519" s="110" t="s">
        <v>778</v>
      </c>
      <c r="B519" s="110" t="s">
        <v>1720</v>
      </c>
      <c r="C519" s="110" t="s">
        <v>1721</v>
      </c>
      <c r="D519" s="110" t="s">
        <v>1722</v>
      </c>
    </row>
    <row r="520" spans="1:5" x14ac:dyDescent="0.15">
      <c r="A520" s="110" t="s">
        <v>778</v>
      </c>
      <c r="B520" s="110" t="s">
        <v>1723</v>
      </c>
      <c r="C520" s="110" t="s">
        <v>1724</v>
      </c>
      <c r="D520" s="110" t="s">
        <v>1725</v>
      </c>
    </row>
    <row r="521" spans="1:5" x14ac:dyDescent="0.15">
      <c r="A521" s="110" t="s">
        <v>778</v>
      </c>
      <c r="B521" s="110" t="s">
        <v>1726</v>
      </c>
      <c r="C521" s="110" t="s">
        <v>1727</v>
      </c>
      <c r="D521" s="110" t="s">
        <v>1728</v>
      </c>
    </row>
    <row r="522" spans="1:5" x14ac:dyDescent="0.15">
      <c r="A522" s="110" t="s">
        <v>778</v>
      </c>
      <c r="B522" s="110" t="s">
        <v>1729</v>
      </c>
      <c r="C522" s="110" t="s">
        <v>1730</v>
      </c>
      <c r="D522" s="110" t="s">
        <v>1731</v>
      </c>
    </row>
    <row r="523" spans="1:5" x14ac:dyDescent="0.15">
      <c r="A523" s="110" t="s">
        <v>778</v>
      </c>
      <c r="B523" s="110" t="s">
        <v>1732</v>
      </c>
      <c r="C523" s="110" t="s">
        <v>1733</v>
      </c>
      <c r="D523" s="110" t="s">
        <v>1734</v>
      </c>
    </row>
    <row r="524" spans="1:5" x14ac:dyDescent="0.15">
      <c r="A524" s="110" t="s">
        <v>778</v>
      </c>
      <c r="B524" s="110" t="s">
        <v>1735</v>
      </c>
      <c r="C524" s="110" t="s">
        <v>1736</v>
      </c>
      <c r="D524" s="110" t="s">
        <v>1737</v>
      </c>
    </row>
    <row r="526" spans="1:5" ht="15" customHeight="1" x14ac:dyDescent="0.2">
      <c r="A526" s="110" t="s">
        <v>1738</v>
      </c>
      <c r="B526" s="110" t="s">
        <v>1739</v>
      </c>
      <c r="C526" s="110" t="s">
        <v>1740</v>
      </c>
      <c r="D526" s="110" t="s">
        <v>1741</v>
      </c>
      <c r="E526" s="113"/>
    </row>
    <row r="527" spans="1:5" ht="15" customHeight="1" x14ac:dyDescent="0.2">
      <c r="A527" s="110" t="s">
        <v>1738</v>
      </c>
      <c r="B527" s="110" t="s">
        <v>1742</v>
      </c>
      <c r="C527" s="110" t="s">
        <v>1743</v>
      </c>
      <c r="D527" s="110" t="s">
        <v>1744</v>
      </c>
      <c r="E527" s="113"/>
    </row>
    <row r="528" spans="1:5" ht="15" customHeight="1" x14ac:dyDescent="0.2">
      <c r="A528" s="110" t="s">
        <v>1738</v>
      </c>
      <c r="B528" s="110" t="s">
        <v>1745</v>
      </c>
      <c r="C528" s="110" t="s">
        <v>1746</v>
      </c>
      <c r="D528" s="110" t="s">
        <v>1747</v>
      </c>
      <c r="E528" s="113"/>
    </row>
    <row r="529" spans="1:5" ht="15" customHeight="1" x14ac:dyDescent="0.2">
      <c r="A529" s="110" t="s">
        <v>1738</v>
      </c>
      <c r="B529" s="110" t="s">
        <v>1748</v>
      </c>
      <c r="C529" s="110" t="s">
        <v>1749</v>
      </c>
      <c r="D529" s="110" t="s">
        <v>1750</v>
      </c>
      <c r="E529" s="113"/>
    </row>
    <row r="530" spans="1:5" ht="15" customHeight="1" x14ac:dyDescent="0.2">
      <c r="A530" s="110" t="s">
        <v>1738</v>
      </c>
      <c r="B530" s="110" t="s">
        <v>1751</v>
      </c>
      <c r="C530" s="110" t="s">
        <v>1752</v>
      </c>
      <c r="D530" s="110" t="s">
        <v>1753</v>
      </c>
      <c r="E530" s="113"/>
    </row>
    <row r="531" spans="1:5" ht="15" customHeight="1" x14ac:dyDescent="0.2">
      <c r="A531" s="110" t="s">
        <v>1738</v>
      </c>
      <c r="B531" s="110" t="s">
        <v>1754</v>
      </c>
      <c r="C531" s="110" t="s">
        <v>1755</v>
      </c>
      <c r="D531" s="110" t="s">
        <v>1756</v>
      </c>
      <c r="E531" s="113"/>
    </row>
    <row r="532" spans="1:5" ht="15" customHeight="1" x14ac:dyDescent="0.2">
      <c r="A532" s="110" t="s">
        <v>1738</v>
      </c>
      <c r="B532" s="110" t="s">
        <v>587</v>
      </c>
      <c r="C532" s="110" t="s">
        <v>1757</v>
      </c>
      <c r="D532" s="110" t="s">
        <v>1758</v>
      </c>
      <c r="E532" s="113"/>
    </row>
    <row r="533" spans="1:5" ht="15" customHeight="1" x14ac:dyDescent="0.2">
      <c r="A533" s="110" t="s">
        <v>1738</v>
      </c>
      <c r="B533" s="110" t="s">
        <v>1759</v>
      </c>
      <c r="C533" s="110" t="s">
        <v>1760</v>
      </c>
      <c r="D533" s="110" t="s">
        <v>1761</v>
      </c>
      <c r="E533" s="113"/>
    </row>
    <row r="534" spans="1:5" ht="15" customHeight="1" x14ac:dyDescent="0.2">
      <c r="A534" s="110" t="s">
        <v>1738</v>
      </c>
      <c r="B534" s="110" t="s">
        <v>1762</v>
      </c>
      <c r="C534" s="110" t="s">
        <v>1763</v>
      </c>
      <c r="D534" s="110" t="s">
        <v>1764</v>
      </c>
      <c r="E534" s="113"/>
    </row>
    <row r="535" spans="1:5" ht="15" customHeight="1" x14ac:dyDescent="0.2">
      <c r="A535" s="110" t="s">
        <v>1738</v>
      </c>
      <c r="B535" s="110" t="s">
        <v>1765</v>
      </c>
      <c r="C535" s="110" t="s">
        <v>1766</v>
      </c>
      <c r="D535" s="110" t="s">
        <v>1767</v>
      </c>
      <c r="E535" s="113"/>
    </row>
    <row r="536" spans="1:5" ht="15" customHeight="1" x14ac:dyDescent="0.2">
      <c r="A536" s="110" t="s">
        <v>1738</v>
      </c>
      <c r="B536" s="110" t="s">
        <v>1768</v>
      </c>
      <c r="C536" s="110" t="s">
        <v>1769</v>
      </c>
      <c r="D536" s="110" t="s">
        <v>1770</v>
      </c>
      <c r="E536" s="113"/>
    </row>
    <row r="537" spans="1:5" ht="15" customHeight="1" x14ac:dyDescent="0.2">
      <c r="A537" s="110" t="s">
        <v>1738</v>
      </c>
      <c r="B537" s="110" t="s">
        <v>1771</v>
      </c>
      <c r="C537" s="110" t="s">
        <v>1772</v>
      </c>
      <c r="D537" s="110" t="s">
        <v>1773</v>
      </c>
      <c r="E537" s="113"/>
    </row>
    <row r="538" spans="1:5" ht="15" customHeight="1" x14ac:dyDescent="0.2">
      <c r="A538" s="110" t="s">
        <v>1738</v>
      </c>
      <c r="B538" s="110" t="s">
        <v>1774</v>
      </c>
      <c r="C538" s="110" t="s">
        <v>1775</v>
      </c>
      <c r="D538" s="110" t="s">
        <v>1776</v>
      </c>
      <c r="E538" s="113"/>
    </row>
    <row r="539" spans="1:5" ht="15" customHeight="1" x14ac:dyDescent="0.2">
      <c r="A539" s="110" t="s">
        <v>1738</v>
      </c>
      <c r="B539" s="110" t="s">
        <v>1777</v>
      </c>
      <c r="C539" s="110" t="s">
        <v>1778</v>
      </c>
      <c r="D539" s="110" t="s">
        <v>1779</v>
      </c>
      <c r="E539" s="113"/>
    </row>
    <row r="540" spans="1:5" ht="15" customHeight="1" x14ac:dyDescent="0.2">
      <c r="A540" s="110" t="s">
        <v>1738</v>
      </c>
      <c r="B540" s="110" t="s">
        <v>1780</v>
      </c>
      <c r="C540" s="110" t="s">
        <v>1781</v>
      </c>
      <c r="D540" s="110" t="s">
        <v>1782</v>
      </c>
      <c r="E540" s="113"/>
    </row>
    <row r="541" spans="1:5" ht="15" customHeight="1" x14ac:dyDescent="0.2">
      <c r="A541" s="110" t="s">
        <v>1738</v>
      </c>
      <c r="B541" s="110" t="s">
        <v>1783</v>
      </c>
      <c r="C541" s="110" t="s">
        <v>1784</v>
      </c>
      <c r="D541" s="110" t="s">
        <v>1785</v>
      </c>
      <c r="E541" s="113"/>
    </row>
    <row r="542" spans="1:5" x14ac:dyDescent="0.15">
      <c r="A542" s="110" t="s">
        <v>1738</v>
      </c>
      <c r="B542" s="110" t="s">
        <v>1102</v>
      </c>
      <c r="C542" s="110" t="s">
        <v>1328</v>
      </c>
      <c r="D542" s="110" t="s">
        <v>1329</v>
      </c>
    </row>
    <row r="543" spans="1:5" x14ac:dyDescent="0.15">
      <c r="A543" s="110" t="s">
        <v>1738</v>
      </c>
      <c r="B543" s="110" t="s">
        <v>1108</v>
      </c>
      <c r="C543" s="110" t="s">
        <v>986</v>
      </c>
      <c r="D543" s="110" t="s">
        <v>987</v>
      </c>
    </row>
    <row r="544" spans="1:5" x14ac:dyDescent="0.15">
      <c r="A544" s="110" t="s">
        <v>1738</v>
      </c>
      <c r="B544" s="110" t="s">
        <v>1109</v>
      </c>
      <c r="C544" s="110" t="s">
        <v>988</v>
      </c>
      <c r="D544" s="110" t="s">
        <v>989</v>
      </c>
    </row>
    <row r="546" spans="1:5" ht="15" customHeight="1" x14ac:dyDescent="0.2">
      <c r="A546" s="110" t="s">
        <v>1786</v>
      </c>
      <c r="B546" s="110" t="s">
        <v>1739</v>
      </c>
      <c r="C546" s="110" t="s">
        <v>1740</v>
      </c>
      <c r="D546" s="110" t="s">
        <v>1741</v>
      </c>
      <c r="E546" s="113"/>
    </row>
    <row r="547" spans="1:5" ht="15" customHeight="1" x14ac:dyDescent="0.2">
      <c r="A547" s="110" t="s">
        <v>1786</v>
      </c>
      <c r="B547" s="110" t="s">
        <v>1742</v>
      </c>
      <c r="C547" s="110" t="s">
        <v>1787</v>
      </c>
      <c r="D547" s="110" t="s">
        <v>1744</v>
      </c>
      <c r="E547" s="113"/>
    </row>
    <row r="548" spans="1:5" ht="15" customHeight="1" x14ac:dyDescent="0.2">
      <c r="A548" s="110" t="s">
        <v>1786</v>
      </c>
      <c r="B548" s="110" t="s">
        <v>1745</v>
      </c>
      <c r="C548" s="110" t="s">
        <v>1788</v>
      </c>
      <c r="D548" s="110" t="s">
        <v>1789</v>
      </c>
      <c r="E548" s="113"/>
    </row>
    <row r="549" spans="1:5" ht="15" customHeight="1" x14ac:dyDescent="0.2">
      <c r="A549" s="110" t="s">
        <v>1786</v>
      </c>
      <c r="B549" s="110" t="s">
        <v>1790</v>
      </c>
      <c r="C549" s="110" t="s">
        <v>1791</v>
      </c>
      <c r="D549" s="110" t="s">
        <v>1792</v>
      </c>
      <c r="E549" s="113"/>
    </row>
    <row r="550" spans="1:5" ht="15" customHeight="1" x14ac:dyDescent="0.2">
      <c r="A550" s="110" t="s">
        <v>1786</v>
      </c>
      <c r="B550" s="110" t="s">
        <v>1793</v>
      </c>
      <c r="C550" s="110" t="s">
        <v>1794</v>
      </c>
      <c r="D550" s="110" t="s">
        <v>1795</v>
      </c>
      <c r="E550" s="113"/>
    </row>
    <row r="551" spans="1:5" ht="15" customHeight="1" x14ac:dyDescent="0.2">
      <c r="A551" s="110" t="s">
        <v>1786</v>
      </c>
      <c r="B551" s="110" t="s">
        <v>1796</v>
      </c>
      <c r="C551" s="110" t="s">
        <v>1797</v>
      </c>
      <c r="D551" s="110" t="s">
        <v>1798</v>
      </c>
      <c r="E551" s="113"/>
    </row>
    <row r="552" spans="1:5" ht="15" customHeight="1" x14ac:dyDescent="0.2">
      <c r="A552" s="110" t="s">
        <v>1786</v>
      </c>
      <c r="B552" s="110" t="s">
        <v>1799</v>
      </c>
      <c r="C552" s="110" t="s">
        <v>1778</v>
      </c>
      <c r="D552" s="110" t="s">
        <v>1779</v>
      </c>
      <c r="E552" s="113"/>
    </row>
    <row r="553" spans="1:5" ht="15" customHeight="1" x14ac:dyDescent="0.2">
      <c r="A553" s="110" t="s">
        <v>1786</v>
      </c>
      <c r="B553" s="110" t="s">
        <v>1800</v>
      </c>
      <c r="C553" s="110" t="s">
        <v>1784</v>
      </c>
      <c r="D553" s="110" t="s">
        <v>1801</v>
      </c>
      <c r="E553" s="113"/>
    </row>
    <row r="554" spans="1:5" ht="15" customHeight="1" x14ac:dyDescent="0.2">
      <c r="A554" s="110" t="s">
        <v>1786</v>
      </c>
      <c r="B554" s="110" t="s">
        <v>1102</v>
      </c>
      <c r="C554" s="110" t="s">
        <v>1328</v>
      </c>
      <c r="D554" s="110" t="s">
        <v>1329</v>
      </c>
      <c r="E554" s="113"/>
    </row>
    <row r="555" spans="1:5" ht="15" customHeight="1" x14ac:dyDescent="0.2">
      <c r="A555" s="110" t="s">
        <v>1786</v>
      </c>
      <c r="B555" s="110" t="s">
        <v>1105</v>
      </c>
      <c r="C555" s="110" t="s">
        <v>1802</v>
      </c>
      <c r="D555" s="110" t="s">
        <v>1803</v>
      </c>
      <c r="E555" s="113"/>
    </row>
    <row r="556" spans="1:5" x14ac:dyDescent="0.15">
      <c r="A556" s="110" t="s">
        <v>1786</v>
      </c>
      <c r="B556" s="110" t="s">
        <v>1108</v>
      </c>
      <c r="C556" s="110" t="s">
        <v>1696</v>
      </c>
      <c r="D556" s="110" t="s">
        <v>987</v>
      </c>
    </row>
    <row r="557" spans="1:5" x14ac:dyDescent="0.15">
      <c r="A557" s="110" t="s">
        <v>1786</v>
      </c>
      <c r="B557" s="110" t="s">
        <v>1109</v>
      </c>
      <c r="C557" s="110" t="s">
        <v>988</v>
      </c>
      <c r="D557" s="110" t="s">
        <v>989</v>
      </c>
    </row>
    <row r="559" spans="1:5" ht="15" customHeight="1" x14ac:dyDescent="0.2">
      <c r="A559" s="110" t="s">
        <v>1804</v>
      </c>
      <c r="B559" s="110">
        <v>1</v>
      </c>
      <c r="C559" s="110" t="s">
        <v>982</v>
      </c>
      <c r="D559" s="110" t="s">
        <v>1805</v>
      </c>
      <c r="E559" s="113"/>
    </row>
    <row r="560" spans="1:5" ht="15" customHeight="1" x14ac:dyDescent="0.2">
      <c r="A560" s="110" t="s">
        <v>1804</v>
      </c>
      <c r="B560" s="110">
        <v>2</v>
      </c>
      <c r="C560" s="110" t="s">
        <v>1806</v>
      </c>
      <c r="D560" s="110" t="s">
        <v>1807</v>
      </c>
      <c r="E560" s="113"/>
    </row>
    <row r="561" spans="1:5" ht="15" customHeight="1" x14ac:dyDescent="0.2">
      <c r="A561" s="110" t="s">
        <v>1804</v>
      </c>
      <c r="B561" s="110">
        <v>3</v>
      </c>
      <c r="C561" s="110" t="s">
        <v>1808</v>
      </c>
      <c r="D561" s="110" t="s">
        <v>1809</v>
      </c>
      <c r="E561" s="113"/>
    </row>
    <row r="562" spans="1:5" ht="15" customHeight="1" x14ac:dyDescent="0.2">
      <c r="A562" s="110" t="s">
        <v>1804</v>
      </c>
      <c r="B562" s="110">
        <v>4</v>
      </c>
      <c r="C562" s="110" t="s">
        <v>1810</v>
      </c>
      <c r="D562" s="110" t="s">
        <v>1811</v>
      </c>
      <c r="E562" s="113"/>
    </row>
    <row r="563" spans="1:5" ht="15" customHeight="1" x14ac:dyDescent="0.2">
      <c r="A563" s="110" t="s">
        <v>1804</v>
      </c>
      <c r="B563" s="110">
        <v>5</v>
      </c>
      <c r="C563" s="110" t="s">
        <v>1812</v>
      </c>
      <c r="D563" s="110" t="s">
        <v>1813</v>
      </c>
      <c r="E563" s="113"/>
    </row>
    <row r="564" spans="1:5" ht="15" customHeight="1" x14ac:dyDescent="0.2">
      <c r="A564" s="110" t="s">
        <v>1804</v>
      </c>
      <c r="B564" s="110">
        <v>6</v>
      </c>
      <c r="C564" s="110" t="s">
        <v>1814</v>
      </c>
      <c r="D564" s="110" t="s">
        <v>1815</v>
      </c>
      <c r="E564" s="113"/>
    </row>
    <row r="565" spans="1:5" ht="15" customHeight="1" x14ac:dyDescent="0.2">
      <c r="A565" s="110" t="s">
        <v>1804</v>
      </c>
      <c r="B565" s="110">
        <v>7</v>
      </c>
      <c r="C565" s="110" t="s">
        <v>986</v>
      </c>
      <c r="D565" s="110" t="s">
        <v>987</v>
      </c>
      <c r="E565" s="113"/>
    </row>
    <row r="566" spans="1:5" ht="15" customHeight="1" x14ac:dyDescent="0.2">
      <c r="A566" s="110" t="s">
        <v>1804</v>
      </c>
      <c r="B566" s="110">
        <v>8</v>
      </c>
      <c r="C566" s="110" t="s">
        <v>988</v>
      </c>
      <c r="D566" s="110" t="s">
        <v>989</v>
      </c>
      <c r="E566" s="113"/>
    </row>
    <row r="567" spans="1:5" ht="15" customHeight="1" x14ac:dyDescent="0.2">
      <c r="E567" s="113"/>
    </row>
    <row r="568" spans="1:5" ht="15" customHeight="1" x14ac:dyDescent="0.2">
      <c r="A568" s="110" t="s">
        <v>1816</v>
      </c>
      <c r="B568" s="110" t="s">
        <v>1817</v>
      </c>
      <c r="C568" s="110" t="s">
        <v>1818</v>
      </c>
      <c r="D568" s="110" t="s">
        <v>1818</v>
      </c>
      <c r="E568" s="113"/>
    </row>
    <row r="569" spans="1:5" ht="15" customHeight="1" x14ac:dyDescent="0.2">
      <c r="A569" s="110" t="s">
        <v>1816</v>
      </c>
      <c r="B569" s="110" t="s">
        <v>1819</v>
      </c>
      <c r="C569" s="110" t="s">
        <v>1820</v>
      </c>
      <c r="D569" s="110" t="s">
        <v>1821</v>
      </c>
      <c r="E569" s="113"/>
    </row>
    <row r="570" spans="1:5" ht="15" customHeight="1" x14ac:dyDescent="0.2">
      <c r="A570" s="110" t="s">
        <v>1816</v>
      </c>
      <c r="B570" s="110" t="s">
        <v>1822</v>
      </c>
      <c r="C570" s="110" t="s">
        <v>1823</v>
      </c>
      <c r="D570" s="110" t="s">
        <v>1824</v>
      </c>
      <c r="E570" s="113"/>
    </row>
    <row r="571" spans="1:5" ht="15" customHeight="1" x14ac:dyDescent="0.2">
      <c r="A571" s="110" t="s">
        <v>1816</v>
      </c>
      <c r="B571" s="110" t="s">
        <v>1385</v>
      </c>
      <c r="C571" s="110" t="s">
        <v>1825</v>
      </c>
      <c r="D571" s="110" t="s">
        <v>1826</v>
      </c>
      <c r="E571" s="113"/>
    </row>
    <row r="572" spans="1:5" ht="15" customHeight="1" x14ac:dyDescent="0.2">
      <c r="A572" s="110" t="s">
        <v>1816</v>
      </c>
      <c r="B572" s="110" t="s">
        <v>1379</v>
      </c>
      <c r="C572" s="110" t="s">
        <v>1827</v>
      </c>
      <c r="D572" s="110" t="s">
        <v>1828</v>
      </c>
      <c r="E572" s="113"/>
    </row>
    <row r="573" spans="1:5" ht="15" customHeight="1" x14ac:dyDescent="0.2">
      <c r="A573" s="110" t="s">
        <v>1816</v>
      </c>
      <c r="B573" s="110" t="s">
        <v>1108</v>
      </c>
      <c r="C573" s="110" t="s">
        <v>986</v>
      </c>
      <c r="D573" s="110" t="s">
        <v>987</v>
      </c>
      <c r="E573" s="113"/>
    </row>
    <row r="574" spans="1:5" x14ac:dyDescent="0.15">
      <c r="A574" s="110" t="s">
        <v>1816</v>
      </c>
      <c r="B574" s="110" t="s">
        <v>1109</v>
      </c>
      <c r="C574" s="110" t="s">
        <v>988</v>
      </c>
      <c r="D574" s="110" t="s">
        <v>989</v>
      </c>
    </row>
    <row r="576" spans="1:5" x14ac:dyDescent="0.15">
      <c r="A576" s="110" t="s">
        <v>1829</v>
      </c>
      <c r="B576" s="110" t="s">
        <v>1830</v>
      </c>
      <c r="C576" s="110" t="s">
        <v>1831</v>
      </c>
      <c r="D576" s="110" t="s">
        <v>1832</v>
      </c>
    </row>
    <row r="577" spans="1:5" x14ac:dyDescent="0.15">
      <c r="A577" s="110" t="s">
        <v>1829</v>
      </c>
      <c r="B577" s="110" t="s">
        <v>1833</v>
      </c>
      <c r="C577" s="110" t="s">
        <v>1834</v>
      </c>
      <c r="D577" s="110" t="s">
        <v>1835</v>
      </c>
    </row>
    <row r="578" spans="1:5" x14ac:dyDescent="0.15">
      <c r="A578" s="110" t="s">
        <v>1829</v>
      </c>
      <c r="B578" s="110" t="s">
        <v>1836</v>
      </c>
      <c r="C578" s="110" t="s">
        <v>1837</v>
      </c>
      <c r="D578" s="110" t="s">
        <v>1838</v>
      </c>
    </row>
    <row r="579" spans="1:5" x14ac:dyDescent="0.15">
      <c r="A579" s="110" t="s">
        <v>1829</v>
      </c>
      <c r="B579" s="110" t="s">
        <v>1839</v>
      </c>
      <c r="C579" s="110" t="s">
        <v>1840</v>
      </c>
      <c r="D579" s="110" t="s">
        <v>1841</v>
      </c>
    </row>
    <row r="580" spans="1:5" x14ac:dyDescent="0.15">
      <c r="A580" s="110" t="s">
        <v>1829</v>
      </c>
      <c r="B580" s="110" t="s">
        <v>1842</v>
      </c>
      <c r="C580" s="110" t="s">
        <v>1843</v>
      </c>
      <c r="D580" s="110" t="s">
        <v>1844</v>
      </c>
    </row>
    <row r="581" spans="1:5" x14ac:dyDescent="0.15">
      <c r="A581" s="110" t="s">
        <v>1829</v>
      </c>
      <c r="B581" s="110" t="s">
        <v>1845</v>
      </c>
      <c r="C581" s="110" t="s">
        <v>1846</v>
      </c>
      <c r="D581" s="110" t="s">
        <v>1847</v>
      </c>
    </row>
    <row r="582" spans="1:5" x14ac:dyDescent="0.15">
      <c r="A582" s="110" t="s">
        <v>1829</v>
      </c>
      <c r="B582" s="110" t="s">
        <v>1848</v>
      </c>
      <c r="C582" s="110" t="s">
        <v>1849</v>
      </c>
      <c r="D582" s="110" t="s">
        <v>1850</v>
      </c>
    </row>
    <row r="584" spans="1:5" x14ac:dyDescent="0.15">
      <c r="A584" s="110" t="s">
        <v>924</v>
      </c>
      <c r="B584" s="110" t="s">
        <v>1851</v>
      </c>
      <c r="C584" s="110" t="s">
        <v>1852</v>
      </c>
      <c r="D584" s="110" t="s">
        <v>1853</v>
      </c>
    </row>
    <row r="585" spans="1:5" x14ac:dyDescent="0.15">
      <c r="A585" s="110" t="s">
        <v>924</v>
      </c>
      <c r="B585" s="110" t="s">
        <v>1854</v>
      </c>
      <c r="C585" s="110" t="s">
        <v>1855</v>
      </c>
      <c r="D585" s="110" t="s">
        <v>1856</v>
      </c>
    </row>
    <row r="586" spans="1:5" x14ac:dyDescent="0.15">
      <c r="A586" s="110" t="s">
        <v>924</v>
      </c>
      <c r="B586" s="110" t="s">
        <v>1857</v>
      </c>
      <c r="C586" s="110" t="s">
        <v>1858</v>
      </c>
      <c r="D586" s="110" t="s">
        <v>1859</v>
      </c>
    </row>
    <row r="588" spans="1:5" ht="15" customHeight="1" x14ac:dyDescent="0.2">
      <c r="A588" s="129" t="s">
        <v>1860</v>
      </c>
      <c r="B588" s="129">
        <v>1</v>
      </c>
      <c r="C588" s="129" t="s">
        <v>1861</v>
      </c>
      <c r="D588" s="129" t="s">
        <v>1862</v>
      </c>
    </row>
    <row r="589" spans="1:5" ht="15" customHeight="1" x14ac:dyDescent="0.2">
      <c r="A589" s="129" t="s">
        <v>1860</v>
      </c>
      <c r="B589" s="129">
        <v>2</v>
      </c>
      <c r="C589" s="129" t="s">
        <v>1863</v>
      </c>
      <c r="D589" s="129" t="s">
        <v>1864</v>
      </c>
      <c r="E589" s="123"/>
    </row>
    <row r="590" spans="1:5" ht="15" customHeight="1" x14ac:dyDescent="0.2">
      <c r="A590" s="129" t="s">
        <v>1860</v>
      </c>
      <c r="B590" s="129">
        <v>3</v>
      </c>
      <c r="C590" s="129" t="s">
        <v>1865</v>
      </c>
      <c r="D590" s="129" t="s">
        <v>1865</v>
      </c>
    </row>
    <row r="591" spans="1:5" ht="15" customHeight="1" x14ac:dyDescent="0.2">
      <c r="A591" s="129" t="s">
        <v>1860</v>
      </c>
      <c r="B591" s="129">
        <v>4</v>
      </c>
      <c r="C591" s="129" t="s">
        <v>1866</v>
      </c>
      <c r="D591" s="129" t="s">
        <v>1867</v>
      </c>
    </row>
    <row r="592" spans="1:5" ht="15" customHeight="1" x14ac:dyDescent="0.2">
      <c r="A592" s="129" t="s">
        <v>1860</v>
      </c>
      <c r="B592" s="129">
        <v>5</v>
      </c>
      <c r="C592" s="129" t="s">
        <v>1868</v>
      </c>
      <c r="D592" s="129" t="s">
        <v>1869</v>
      </c>
    </row>
    <row r="594" spans="1:5" ht="14" customHeight="1" x14ac:dyDescent="0.15">
      <c r="A594" s="301" t="s">
        <v>339</v>
      </c>
      <c r="B594" s="110">
        <v>1</v>
      </c>
      <c r="C594" s="110" t="s">
        <v>1870</v>
      </c>
      <c r="D594" s="110" t="s">
        <v>1871</v>
      </c>
    </row>
    <row r="595" spans="1:5" ht="14" customHeight="1" x14ac:dyDescent="0.15">
      <c r="A595" s="301" t="s">
        <v>339</v>
      </c>
      <c r="B595" s="110">
        <v>2</v>
      </c>
      <c r="C595" s="110" t="s">
        <v>1872</v>
      </c>
      <c r="D595" s="110" t="s">
        <v>1873</v>
      </c>
    </row>
    <row r="596" spans="1:5" ht="14" customHeight="1" x14ac:dyDescent="0.15">
      <c r="A596" s="301" t="s">
        <v>339</v>
      </c>
      <c r="B596" s="110">
        <v>3</v>
      </c>
      <c r="C596" s="110" t="s">
        <v>1874</v>
      </c>
      <c r="D596" s="110" t="s">
        <v>1875</v>
      </c>
    </row>
    <row r="597" spans="1:5" ht="14" customHeight="1" x14ac:dyDescent="0.15">
      <c r="A597" s="301" t="s">
        <v>339</v>
      </c>
      <c r="B597" s="110">
        <v>4</v>
      </c>
      <c r="C597" s="110" t="s">
        <v>1876</v>
      </c>
      <c r="D597" s="110" t="s">
        <v>1877</v>
      </c>
    </row>
    <row r="598" spans="1:5" ht="14" customHeight="1" x14ac:dyDescent="0.15">
      <c r="A598" s="301" t="s">
        <v>339</v>
      </c>
      <c r="B598" s="110">
        <v>5</v>
      </c>
      <c r="C598" s="110" t="s">
        <v>1878</v>
      </c>
      <c r="D598" s="110" t="s">
        <v>1879</v>
      </c>
    </row>
    <row r="599" spans="1:5" ht="14" customHeight="1" x14ac:dyDescent="0.15">
      <c r="A599" s="301" t="s">
        <v>339</v>
      </c>
      <c r="B599" s="110">
        <v>6</v>
      </c>
      <c r="C599" s="110" t="s">
        <v>1880</v>
      </c>
      <c r="D599" s="110" t="s">
        <v>1881</v>
      </c>
    </row>
    <row r="600" spans="1:5" ht="14" customHeight="1" x14ac:dyDescent="0.15">
      <c r="A600" s="301" t="s">
        <v>339</v>
      </c>
      <c r="B600" s="110">
        <v>7</v>
      </c>
      <c r="C600" s="110" t="s">
        <v>1882</v>
      </c>
      <c r="D600" s="110" t="s">
        <v>1883</v>
      </c>
    </row>
    <row r="601" spans="1:5" ht="14" customHeight="1" x14ac:dyDescent="0.15">
      <c r="A601" s="301" t="s">
        <v>339</v>
      </c>
      <c r="B601" s="110">
        <v>8</v>
      </c>
      <c r="C601" s="110" t="s">
        <v>1884</v>
      </c>
      <c r="D601" s="110" t="s">
        <v>1885</v>
      </c>
    </row>
    <row r="602" spans="1:5" ht="15" customHeight="1" x14ac:dyDescent="0.2">
      <c r="A602" s="129"/>
      <c r="B602" s="129"/>
      <c r="C602" s="129"/>
      <c r="D602" s="129"/>
      <c r="E602" s="129"/>
    </row>
    <row r="603" spans="1:5" x14ac:dyDescent="0.15">
      <c r="A603" s="110" t="s">
        <v>1886</v>
      </c>
      <c r="B603" s="110">
        <v>1</v>
      </c>
      <c r="C603" s="110" t="s">
        <v>1887</v>
      </c>
      <c r="D603" s="110" t="s">
        <v>1888</v>
      </c>
    </row>
    <row r="604" spans="1:5" ht="14" customHeight="1" x14ac:dyDescent="0.15">
      <c r="A604" s="110" t="s">
        <v>1886</v>
      </c>
      <c r="B604" s="110">
        <v>2</v>
      </c>
      <c r="C604" s="110" t="s">
        <v>1889</v>
      </c>
      <c r="D604" s="110" t="s">
        <v>1890</v>
      </c>
      <c r="E604" s="302"/>
    </row>
    <row r="605" spans="1:5" x14ac:dyDescent="0.15">
      <c r="A605" s="110" t="s">
        <v>1886</v>
      </c>
      <c r="B605" s="110">
        <v>3</v>
      </c>
      <c r="C605" s="110" t="s">
        <v>1891</v>
      </c>
      <c r="D605" s="110" t="s">
        <v>1892</v>
      </c>
    </row>
    <row r="606" spans="1:5" x14ac:dyDescent="0.15">
      <c r="A606" s="110" t="s">
        <v>1886</v>
      </c>
      <c r="B606" s="110">
        <v>4</v>
      </c>
      <c r="C606" s="110" t="s">
        <v>1893</v>
      </c>
      <c r="D606" s="110" t="s">
        <v>1894</v>
      </c>
    </row>
    <row r="607" spans="1:5" x14ac:dyDescent="0.15">
      <c r="A607" s="110" t="s">
        <v>1886</v>
      </c>
      <c r="B607" s="110">
        <v>5</v>
      </c>
      <c r="C607" s="110" t="s">
        <v>1895</v>
      </c>
      <c r="D607" s="110" t="s">
        <v>1896</v>
      </c>
    </row>
    <row r="608" spans="1:5" ht="14" customHeight="1" x14ac:dyDescent="0.15">
      <c r="A608" s="110" t="s">
        <v>1886</v>
      </c>
      <c r="B608" s="303">
        <v>6</v>
      </c>
      <c r="C608" s="110" t="s">
        <v>1897</v>
      </c>
      <c r="D608" s="110" t="s">
        <v>1898</v>
      </c>
    </row>
    <row r="609" spans="1:5" ht="14" customHeight="1" x14ac:dyDescent="0.15">
      <c r="A609" s="110" t="s">
        <v>1886</v>
      </c>
      <c r="B609" s="303">
        <v>7</v>
      </c>
      <c r="C609" s="110" t="s">
        <v>1899</v>
      </c>
      <c r="D609" s="110" t="s">
        <v>1900</v>
      </c>
    </row>
    <row r="610" spans="1:5" ht="14" customHeight="1" x14ac:dyDescent="0.15">
      <c r="A610" s="110" t="s">
        <v>1886</v>
      </c>
      <c r="B610" s="303">
        <v>8</v>
      </c>
      <c r="C610" s="110" t="s">
        <v>1458</v>
      </c>
      <c r="D610" s="110" t="s">
        <v>1901</v>
      </c>
    </row>
    <row r="612" spans="1:5" ht="14" customHeight="1" x14ac:dyDescent="0.15">
      <c r="A612" s="301" t="s">
        <v>399</v>
      </c>
      <c r="B612" s="282">
        <v>1</v>
      </c>
      <c r="C612" s="282" t="s">
        <v>1902</v>
      </c>
      <c r="D612" s="282" t="s">
        <v>1903</v>
      </c>
    </row>
    <row r="613" spans="1:5" ht="14" customHeight="1" x14ac:dyDescent="0.15">
      <c r="A613" s="301" t="s">
        <v>399</v>
      </c>
      <c r="B613" s="282">
        <v>2</v>
      </c>
      <c r="C613" s="282" t="s">
        <v>1904</v>
      </c>
      <c r="D613" s="282" t="s">
        <v>1905</v>
      </c>
    </row>
    <row r="614" spans="1:5" ht="14" customHeight="1" x14ac:dyDescent="0.15">
      <c r="A614" s="301" t="s">
        <v>399</v>
      </c>
      <c r="B614" s="282">
        <v>3</v>
      </c>
      <c r="C614" s="282" t="s">
        <v>1906</v>
      </c>
      <c r="D614" s="282" t="s">
        <v>1201</v>
      </c>
    </row>
    <row r="615" spans="1:5" ht="15" customHeight="1" x14ac:dyDescent="0.2">
      <c r="A615" s="129"/>
      <c r="B615" s="129"/>
      <c r="C615" s="129"/>
      <c r="D615" s="129"/>
      <c r="E615" s="129"/>
    </row>
    <row r="616" spans="1:5" ht="34" customHeight="1" x14ac:dyDescent="0.15">
      <c r="A616" s="277" t="s">
        <v>356</v>
      </c>
      <c r="B616" s="282">
        <v>1</v>
      </c>
      <c r="C616" s="282" t="s">
        <v>1907</v>
      </c>
      <c r="D616" s="304" t="s">
        <v>1908</v>
      </c>
    </row>
    <row r="617" spans="1:5" ht="68" customHeight="1" x14ac:dyDescent="0.15">
      <c r="A617" s="277" t="s">
        <v>356</v>
      </c>
      <c r="B617" s="282">
        <v>2</v>
      </c>
      <c r="C617" s="282" t="s">
        <v>1909</v>
      </c>
      <c r="D617" s="304" t="s">
        <v>1910</v>
      </c>
    </row>
    <row r="618" spans="1:5" ht="29" customHeight="1" x14ac:dyDescent="0.2">
      <c r="A618" s="277" t="s">
        <v>356</v>
      </c>
      <c r="B618" s="282">
        <v>3</v>
      </c>
      <c r="C618" s="282" t="s">
        <v>1911</v>
      </c>
      <c r="D618" s="305" t="s">
        <v>1912</v>
      </c>
    </row>
    <row r="619" spans="1:5" ht="28" customHeight="1" x14ac:dyDescent="0.15">
      <c r="A619" s="277" t="s">
        <v>356</v>
      </c>
      <c r="B619" s="282">
        <v>4</v>
      </c>
      <c r="C619" s="282" t="s">
        <v>1913</v>
      </c>
      <c r="D619" s="282" t="s">
        <v>1914</v>
      </c>
    </row>
    <row r="620" spans="1:5" ht="15" customHeight="1" x14ac:dyDescent="0.15">
      <c r="A620" s="277" t="s">
        <v>356</v>
      </c>
      <c r="B620" s="282">
        <v>5</v>
      </c>
      <c r="C620" s="282" t="s">
        <v>1915</v>
      </c>
      <c r="D620" s="282" t="s">
        <v>1916</v>
      </c>
    </row>
    <row r="621" spans="1:5" ht="15" customHeight="1" x14ac:dyDescent="0.15">
      <c r="A621" s="277" t="s">
        <v>356</v>
      </c>
      <c r="B621" s="282">
        <v>6</v>
      </c>
      <c r="C621" s="282" t="s">
        <v>1917</v>
      </c>
      <c r="D621" s="282" t="s">
        <v>1918</v>
      </c>
    </row>
    <row r="622" spans="1:5" ht="15" customHeight="1" x14ac:dyDescent="0.15">
      <c r="A622" s="277" t="s">
        <v>356</v>
      </c>
      <c r="B622" s="282">
        <v>7</v>
      </c>
      <c r="C622" s="282" t="s">
        <v>1919</v>
      </c>
      <c r="D622" s="282" t="s">
        <v>1920</v>
      </c>
    </row>
    <row r="623" spans="1:5" ht="15" customHeight="1" x14ac:dyDescent="0.15">
      <c r="A623" s="277" t="s">
        <v>356</v>
      </c>
      <c r="B623" s="282">
        <v>8</v>
      </c>
      <c r="C623" s="282" t="s">
        <v>1921</v>
      </c>
      <c r="D623" s="282" t="s">
        <v>1922</v>
      </c>
    </row>
    <row r="624" spans="1:5" ht="15" customHeight="1" x14ac:dyDescent="0.15">
      <c r="A624" s="277" t="s">
        <v>356</v>
      </c>
      <c r="B624" s="282">
        <v>9</v>
      </c>
      <c r="C624" s="282" t="s">
        <v>1923</v>
      </c>
      <c r="D624" s="282" t="s">
        <v>1924</v>
      </c>
    </row>
    <row r="625" spans="1:4" ht="15" customHeight="1" x14ac:dyDescent="0.15">
      <c r="A625" s="277" t="s">
        <v>356</v>
      </c>
      <c r="B625" s="282">
        <v>10</v>
      </c>
      <c r="C625" s="282" t="s">
        <v>1925</v>
      </c>
      <c r="D625" s="282" t="s">
        <v>1926</v>
      </c>
    </row>
    <row r="626" spans="1:4" ht="15" customHeight="1" x14ac:dyDescent="0.15">
      <c r="A626" s="277" t="s">
        <v>356</v>
      </c>
      <c r="B626" s="282">
        <v>11</v>
      </c>
      <c r="C626" s="282" t="s">
        <v>1927</v>
      </c>
      <c r="D626" s="282" t="s">
        <v>1928</v>
      </c>
    </row>
    <row r="627" spans="1:4" ht="15" customHeight="1" x14ac:dyDescent="0.15">
      <c r="A627" s="277" t="s">
        <v>356</v>
      </c>
      <c r="B627" s="282">
        <v>12</v>
      </c>
      <c r="C627" s="282" t="s">
        <v>1929</v>
      </c>
      <c r="D627" s="282" t="s">
        <v>1930</v>
      </c>
    </row>
    <row r="629" spans="1:4" x14ac:dyDescent="0.15">
      <c r="A629" s="110" t="s">
        <v>1931</v>
      </c>
      <c r="B629" s="110">
        <v>1</v>
      </c>
      <c r="C629" s="110" t="s">
        <v>1932</v>
      </c>
      <c r="D629" s="110" t="s">
        <v>1932</v>
      </c>
    </row>
    <row r="630" spans="1:4" x14ac:dyDescent="0.15">
      <c r="A630" s="110" t="s">
        <v>1931</v>
      </c>
      <c r="B630" s="110">
        <v>2</v>
      </c>
      <c r="C630" s="110" t="s">
        <v>1933</v>
      </c>
      <c r="D630" s="110" t="s">
        <v>1933</v>
      </c>
    </row>
    <row r="631" spans="1:4" x14ac:dyDescent="0.15">
      <c r="A631" s="110" t="s">
        <v>1931</v>
      </c>
      <c r="B631" s="110">
        <v>3</v>
      </c>
      <c r="C631" s="110" t="s">
        <v>1934</v>
      </c>
      <c r="D631" s="110" t="s">
        <v>1934</v>
      </c>
    </row>
    <row r="632" spans="1:4" x14ac:dyDescent="0.15">
      <c r="A632" s="110" t="s">
        <v>1931</v>
      </c>
      <c r="B632" s="110">
        <v>4</v>
      </c>
      <c r="C632" s="110" t="s">
        <v>1935</v>
      </c>
      <c r="D632" s="110" t="s">
        <v>1935</v>
      </c>
    </row>
    <row r="633" spans="1:4" x14ac:dyDescent="0.15">
      <c r="A633" s="110" t="s">
        <v>1931</v>
      </c>
      <c r="B633" s="110">
        <v>5</v>
      </c>
      <c r="C633" s="110" t="s">
        <v>1391</v>
      </c>
      <c r="D633" s="110" t="s">
        <v>1392</v>
      </c>
    </row>
    <row r="634" spans="1:4" x14ac:dyDescent="0.15">
      <c r="A634" s="110" t="s">
        <v>1931</v>
      </c>
      <c r="B634" s="110">
        <v>6</v>
      </c>
      <c r="C634" s="110" t="s">
        <v>1936</v>
      </c>
      <c r="D634" s="110" t="s">
        <v>1937</v>
      </c>
    </row>
    <row r="636" spans="1:4" x14ac:dyDescent="0.15">
      <c r="A636" s="110" t="s">
        <v>1938</v>
      </c>
      <c r="B636" s="110">
        <v>1</v>
      </c>
      <c r="C636" s="110" t="s">
        <v>1939</v>
      </c>
      <c r="D636" s="110" t="s">
        <v>1940</v>
      </c>
    </row>
    <row r="637" spans="1:4" x14ac:dyDescent="0.15">
      <c r="A637" s="110" t="s">
        <v>1938</v>
      </c>
      <c r="B637" s="110">
        <v>2</v>
      </c>
      <c r="C637" s="110" t="s">
        <v>1941</v>
      </c>
      <c r="D637" s="110" t="s">
        <v>1942</v>
      </c>
    </row>
    <row r="638" spans="1:4" x14ac:dyDescent="0.15">
      <c r="A638" s="110" t="s">
        <v>1938</v>
      </c>
      <c r="B638" s="110">
        <v>3</v>
      </c>
      <c r="C638" s="110" t="s">
        <v>1943</v>
      </c>
      <c r="D638" s="110" t="s">
        <v>1944</v>
      </c>
    </row>
    <row r="639" spans="1:4" x14ac:dyDescent="0.15">
      <c r="A639" s="110" t="s">
        <v>1938</v>
      </c>
      <c r="B639" s="110">
        <v>4</v>
      </c>
      <c r="C639" s="110" t="s">
        <v>1945</v>
      </c>
      <c r="D639" s="110" t="s">
        <v>1946</v>
      </c>
    </row>
    <row r="640" spans="1:4" x14ac:dyDescent="0.15">
      <c r="A640" s="110" t="s">
        <v>1938</v>
      </c>
      <c r="B640" s="110">
        <v>5</v>
      </c>
      <c r="C640" s="110" t="s">
        <v>1947</v>
      </c>
      <c r="D640" s="110" t="s">
        <v>1948</v>
      </c>
    </row>
    <row r="641" spans="1:6" x14ac:dyDescent="0.15">
      <c r="A641" s="110" t="s">
        <v>1938</v>
      </c>
      <c r="B641" s="110">
        <v>6</v>
      </c>
      <c r="C641" s="110" t="s">
        <v>1949</v>
      </c>
      <c r="D641" s="110" t="s">
        <v>1950</v>
      </c>
    </row>
    <row r="642" spans="1:6" x14ac:dyDescent="0.15">
      <c r="A642" s="110" t="s">
        <v>1938</v>
      </c>
      <c r="B642" s="110">
        <v>7</v>
      </c>
      <c r="C642" s="110" t="s">
        <v>1951</v>
      </c>
      <c r="D642" s="110" t="s">
        <v>1952</v>
      </c>
    </row>
    <row r="643" spans="1:6" x14ac:dyDescent="0.15">
      <c r="A643" s="110" t="s">
        <v>1938</v>
      </c>
      <c r="B643" s="110">
        <v>8</v>
      </c>
      <c r="C643" s="110" t="s">
        <v>1953</v>
      </c>
      <c r="D643" s="110" t="s">
        <v>1954</v>
      </c>
    </row>
    <row r="644" spans="1:6" x14ac:dyDescent="0.15">
      <c r="A644" s="110" t="s">
        <v>1938</v>
      </c>
      <c r="B644" s="110">
        <v>9</v>
      </c>
      <c r="C644" s="110" t="s">
        <v>1955</v>
      </c>
      <c r="D644" s="110" t="s">
        <v>1956</v>
      </c>
    </row>
    <row r="645" spans="1:6" x14ac:dyDescent="0.15">
      <c r="A645" s="110" t="s">
        <v>1938</v>
      </c>
      <c r="B645" s="110">
        <v>10</v>
      </c>
      <c r="C645" s="110" t="s">
        <v>1957</v>
      </c>
      <c r="D645" s="110" t="s">
        <v>1958</v>
      </c>
    </row>
    <row r="646" spans="1:6" x14ac:dyDescent="0.15">
      <c r="A646" s="110" t="s">
        <v>1938</v>
      </c>
      <c r="B646" s="110">
        <v>11</v>
      </c>
      <c r="C646" s="110" t="s">
        <v>1959</v>
      </c>
      <c r="D646" s="110" t="s">
        <v>1960</v>
      </c>
    </row>
    <row r="647" spans="1:6" x14ac:dyDescent="0.15">
      <c r="A647" s="110" t="s">
        <v>1938</v>
      </c>
      <c r="B647" s="110">
        <v>12</v>
      </c>
      <c r="C647" s="110" t="s">
        <v>1961</v>
      </c>
      <c r="D647" s="110" t="s">
        <v>1962</v>
      </c>
    </row>
    <row r="649" spans="1:6" x14ac:dyDescent="0.15">
      <c r="A649" s="110" t="s">
        <v>1963</v>
      </c>
      <c r="B649" s="110">
        <v>1</v>
      </c>
      <c r="C649" s="110" t="s">
        <v>982</v>
      </c>
      <c r="D649" s="110" t="s">
        <v>993</v>
      </c>
    </row>
    <row r="650" spans="1:6" x14ac:dyDescent="0.15">
      <c r="A650" s="110" t="s">
        <v>1963</v>
      </c>
      <c r="B650" s="110">
        <v>2</v>
      </c>
      <c r="C650" s="110" t="s">
        <v>984</v>
      </c>
      <c r="D650" s="110" t="s">
        <v>984</v>
      </c>
    </row>
    <row r="651" spans="1:6" x14ac:dyDescent="0.15">
      <c r="A651" s="110" t="s">
        <v>1963</v>
      </c>
      <c r="B651" s="110">
        <v>3</v>
      </c>
      <c r="C651" s="110" t="s">
        <v>1964</v>
      </c>
      <c r="D651" s="110" t="s">
        <v>1965</v>
      </c>
    </row>
    <row r="653" spans="1:6" s="301" customFormat="1" ht="14.5" customHeight="1" x14ac:dyDescent="0.15">
      <c r="A653" s="285" t="s">
        <v>58</v>
      </c>
      <c r="B653" s="285">
        <v>1</v>
      </c>
      <c r="C653" s="285" t="s">
        <v>1966</v>
      </c>
      <c r="D653" s="326" t="s">
        <v>1967</v>
      </c>
      <c r="E653" s="327"/>
      <c r="F653" s="328"/>
    </row>
    <row r="654" spans="1:6" s="301" customFormat="1" ht="14.5" customHeight="1" x14ac:dyDescent="0.15">
      <c r="A654" s="285" t="s">
        <v>58</v>
      </c>
      <c r="B654" s="285">
        <v>2</v>
      </c>
      <c r="C654" s="285" t="s">
        <v>1968</v>
      </c>
      <c r="D654" s="326" t="s">
        <v>1969</v>
      </c>
      <c r="E654" s="327"/>
      <c r="F654" s="328"/>
    </row>
    <row r="655" spans="1:6" s="301" customFormat="1" ht="14.5" customHeight="1" x14ac:dyDescent="0.15">
      <c r="A655" s="285" t="s">
        <v>58</v>
      </c>
      <c r="B655" s="285">
        <v>3</v>
      </c>
      <c r="C655" s="285" t="s">
        <v>1970</v>
      </c>
      <c r="D655" s="326" t="s">
        <v>1971</v>
      </c>
      <c r="E655" s="327"/>
      <c r="F655" s="328"/>
    </row>
    <row r="656" spans="1:6" s="301" customFormat="1" ht="14.5" customHeight="1" x14ac:dyDescent="0.15">
      <c r="A656" s="285" t="s">
        <v>58</v>
      </c>
      <c r="B656" s="285">
        <v>4</v>
      </c>
      <c r="C656" s="285" t="s">
        <v>1972</v>
      </c>
      <c r="D656" s="326" t="s">
        <v>1973</v>
      </c>
      <c r="E656" s="327"/>
      <c r="F656" s="328"/>
    </row>
    <row r="657" spans="1:6" s="301" customFormat="1" ht="14.5" customHeight="1" x14ac:dyDescent="0.15">
      <c r="A657" s="285" t="s">
        <v>58</v>
      </c>
      <c r="B657" s="285">
        <v>7</v>
      </c>
      <c r="C657" s="285" t="s">
        <v>1974</v>
      </c>
      <c r="D657" s="285" t="s">
        <v>1975</v>
      </c>
      <c r="E657" s="327"/>
      <c r="F657" s="328"/>
    </row>
    <row r="658" spans="1:6" s="301" customFormat="1" ht="14.5" customHeight="1" x14ac:dyDescent="0.15">
      <c r="A658" s="285"/>
      <c r="B658" s="285"/>
      <c r="C658" s="285"/>
      <c r="D658" s="285"/>
      <c r="E658" s="327"/>
      <c r="F658" s="328"/>
    </row>
    <row r="659" spans="1:6" x14ac:dyDescent="0.15">
      <c r="A659" t="s">
        <v>1976</v>
      </c>
      <c r="B659" t="s">
        <v>1977</v>
      </c>
      <c r="C659" t="s">
        <v>1978</v>
      </c>
      <c r="D659" t="s">
        <v>1979</v>
      </c>
    </row>
    <row r="660" spans="1:6" x14ac:dyDescent="0.15">
      <c r="A660" t="s">
        <v>1976</v>
      </c>
      <c r="B660" t="s">
        <v>1980</v>
      </c>
      <c r="C660" t="s">
        <v>1981</v>
      </c>
      <c r="D660" t="s">
        <v>1982</v>
      </c>
    </row>
    <row r="661" spans="1:6" x14ac:dyDescent="0.15">
      <c r="A661" t="s">
        <v>1976</v>
      </c>
      <c r="B661" t="s">
        <v>1983</v>
      </c>
      <c r="C661" t="s">
        <v>1984</v>
      </c>
      <c r="D661" t="s">
        <v>1985</v>
      </c>
    </row>
    <row r="662" spans="1:6" x14ac:dyDescent="0.15">
      <c r="A662" t="s">
        <v>1976</v>
      </c>
      <c r="B662" t="s">
        <v>1986</v>
      </c>
      <c r="C662" t="s">
        <v>1987</v>
      </c>
      <c r="D662" t="s">
        <v>1988</v>
      </c>
    </row>
    <row r="663" spans="1:6" x14ac:dyDescent="0.15">
      <c r="A663" t="s">
        <v>1976</v>
      </c>
      <c r="B663" t="s">
        <v>1989</v>
      </c>
      <c r="C663" t="s">
        <v>1990</v>
      </c>
      <c r="D663" t="s">
        <v>1991</v>
      </c>
    </row>
    <row r="664" spans="1:6" x14ac:dyDescent="0.15">
      <c r="A664" t="s">
        <v>1976</v>
      </c>
      <c r="B664" t="s">
        <v>1992</v>
      </c>
      <c r="C664" t="s">
        <v>1993</v>
      </c>
      <c r="D664" t="s">
        <v>1994</v>
      </c>
    </row>
    <row r="665" spans="1:6" x14ac:dyDescent="0.15">
      <c r="A665" t="s">
        <v>1976</v>
      </c>
      <c r="B665" t="s">
        <v>1995</v>
      </c>
      <c r="C665" t="s">
        <v>1996</v>
      </c>
      <c r="D665" t="s">
        <v>1997</v>
      </c>
    </row>
    <row r="666" spans="1:6" x14ac:dyDescent="0.15">
      <c r="A666" t="s">
        <v>1976</v>
      </c>
      <c r="B666" t="s">
        <v>1998</v>
      </c>
      <c r="C666" t="s">
        <v>1999</v>
      </c>
      <c r="D666" t="s">
        <v>2000</v>
      </c>
    </row>
    <row r="667" spans="1:6" x14ac:dyDescent="0.15">
      <c r="A667" t="s">
        <v>1976</v>
      </c>
      <c r="B667" t="s">
        <v>2001</v>
      </c>
      <c r="C667" t="s">
        <v>2002</v>
      </c>
      <c r="D667" t="s">
        <v>2003</v>
      </c>
    </row>
    <row r="668" spans="1:6" x14ac:dyDescent="0.15">
      <c r="A668" t="s">
        <v>1976</v>
      </c>
      <c r="B668" t="s">
        <v>2004</v>
      </c>
      <c r="C668" t="s">
        <v>1870</v>
      </c>
      <c r="D668" t="s">
        <v>1871</v>
      </c>
    </row>
    <row r="669" spans="1:6" x14ac:dyDescent="0.15">
      <c r="A669" t="s">
        <v>1976</v>
      </c>
      <c r="B669" t="s">
        <v>2005</v>
      </c>
      <c r="C669" t="s">
        <v>2006</v>
      </c>
      <c r="D669" t="s">
        <v>2007</v>
      </c>
    </row>
    <row r="670" spans="1:6" x14ac:dyDescent="0.15">
      <c r="A670" t="s">
        <v>1976</v>
      </c>
      <c r="B670" t="s">
        <v>2008</v>
      </c>
      <c r="C670" t="s">
        <v>2009</v>
      </c>
      <c r="D670" t="s">
        <v>2010</v>
      </c>
    </row>
    <row r="671" spans="1:6" x14ac:dyDescent="0.15">
      <c r="A671" t="s">
        <v>1976</v>
      </c>
      <c r="B671" t="s">
        <v>2011</v>
      </c>
      <c r="C671" t="s">
        <v>2012</v>
      </c>
      <c r="D671" t="s">
        <v>2013</v>
      </c>
    </row>
    <row r="672" spans="1:6" x14ac:dyDescent="0.15">
      <c r="A672" t="s">
        <v>1976</v>
      </c>
      <c r="B672" t="s">
        <v>2014</v>
      </c>
      <c r="C672" t="s">
        <v>2015</v>
      </c>
      <c r="D672" t="s">
        <v>2016</v>
      </c>
    </row>
    <row r="673" spans="1:4" x14ac:dyDescent="0.15">
      <c r="A673" t="s">
        <v>1976</v>
      </c>
      <c r="B673" t="s">
        <v>2017</v>
      </c>
      <c r="C673" t="s">
        <v>2018</v>
      </c>
      <c r="D673" t="s">
        <v>2019</v>
      </c>
    </row>
    <row r="674" spans="1:4" x14ac:dyDescent="0.15">
      <c r="A674" t="s">
        <v>1976</v>
      </c>
      <c r="B674" t="s">
        <v>2020</v>
      </c>
      <c r="C674" t="s">
        <v>2021</v>
      </c>
      <c r="D674" t="s">
        <v>2022</v>
      </c>
    </row>
    <row r="675" spans="1:4" x14ac:dyDescent="0.15">
      <c r="A675" t="s">
        <v>1976</v>
      </c>
      <c r="B675" t="s">
        <v>2023</v>
      </c>
      <c r="C675" t="s">
        <v>2024</v>
      </c>
      <c r="D675" t="s">
        <v>2025</v>
      </c>
    </row>
    <row r="676" spans="1:4" x14ac:dyDescent="0.15">
      <c r="A676" t="s">
        <v>1976</v>
      </c>
      <c r="B676" t="s">
        <v>2026</v>
      </c>
      <c r="C676" t="s">
        <v>2027</v>
      </c>
      <c r="D676" t="s">
        <v>2028</v>
      </c>
    </row>
    <row r="677" spans="1:4" x14ac:dyDescent="0.15">
      <c r="A677" t="s">
        <v>1976</v>
      </c>
      <c r="B677" t="s">
        <v>2029</v>
      </c>
      <c r="C677" t="s">
        <v>2030</v>
      </c>
      <c r="D677" t="s">
        <v>2031</v>
      </c>
    </row>
    <row r="678" spans="1:4" x14ac:dyDescent="0.15">
      <c r="A678" t="s">
        <v>1976</v>
      </c>
      <c r="B678" t="s">
        <v>2032</v>
      </c>
      <c r="C678" t="s">
        <v>2033</v>
      </c>
      <c r="D678" t="s">
        <v>2033</v>
      </c>
    </row>
    <row r="679" spans="1:4" x14ac:dyDescent="0.15">
      <c r="A679" t="s">
        <v>1976</v>
      </c>
      <c r="B679" t="s">
        <v>2034</v>
      </c>
      <c r="C679" t="s">
        <v>2035</v>
      </c>
      <c r="D679" t="s">
        <v>2036</v>
      </c>
    </row>
    <row r="680" spans="1:4" x14ac:dyDescent="0.15">
      <c r="A680" t="s">
        <v>1976</v>
      </c>
      <c r="B680" t="s">
        <v>2037</v>
      </c>
      <c r="C680" t="s">
        <v>2038</v>
      </c>
      <c r="D680" t="s">
        <v>2039</v>
      </c>
    </row>
    <row r="681" spans="1:4" x14ac:dyDescent="0.15">
      <c r="A681" t="s">
        <v>1976</v>
      </c>
      <c r="B681" t="s">
        <v>2040</v>
      </c>
      <c r="C681" t="s">
        <v>2041</v>
      </c>
      <c r="D681" t="s">
        <v>2042</v>
      </c>
    </row>
    <row r="682" spans="1:4" x14ac:dyDescent="0.15">
      <c r="A682" t="s">
        <v>1976</v>
      </c>
      <c r="B682" t="s">
        <v>2043</v>
      </c>
      <c r="C682" t="s">
        <v>2044</v>
      </c>
      <c r="D682" t="s">
        <v>2045</v>
      </c>
    </row>
    <row r="683" spans="1:4" x14ac:dyDescent="0.15">
      <c r="A683" t="s">
        <v>1976</v>
      </c>
      <c r="B683" t="s">
        <v>2046</v>
      </c>
      <c r="C683" t="s">
        <v>2047</v>
      </c>
      <c r="D683" t="s">
        <v>2048</v>
      </c>
    </row>
    <row r="684" spans="1:4" x14ac:dyDescent="0.15">
      <c r="A684" t="s">
        <v>1976</v>
      </c>
      <c r="B684" t="s">
        <v>2049</v>
      </c>
      <c r="C684" t="s">
        <v>2050</v>
      </c>
      <c r="D684" t="s">
        <v>2051</v>
      </c>
    </row>
    <row r="685" spans="1:4" x14ac:dyDescent="0.15">
      <c r="A685" t="s">
        <v>1976</v>
      </c>
      <c r="B685" t="s">
        <v>2052</v>
      </c>
      <c r="C685" t="s">
        <v>2053</v>
      </c>
      <c r="D685" t="s">
        <v>2051</v>
      </c>
    </row>
    <row r="686" spans="1:4" x14ac:dyDescent="0.15">
      <c r="A686" t="s">
        <v>1976</v>
      </c>
      <c r="B686" t="s">
        <v>2054</v>
      </c>
      <c r="C686" t="s">
        <v>2055</v>
      </c>
      <c r="D686" t="s">
        <v>2056</v>
      </c>
    </row>
    <row r="687" spans="1:4" x14ac:dyDescent="0.15">
      <c r="A687" t="s">
        <v>1976</v>
      </c>
      <c r="B687" t="s">
        <v>2057</v>
      </c>
      <c r="C687" t="s">
        <v>2058</v>
      </c>
      <c r="D687" t="s">
        <v>2059</v>
      </c>
    </row>
    <row r="688" spans="1:4" x14ac:dyDescent="0.15">
      <c r="A688" t="s">
        <v>1976</v>
      </c>
      <c r="B688" t="s">
        <v>2060</v>
      </c>
      <c r="C688" t="s">
        <v>2061</v>
      </c>
      <c r="D688" t="s">
        <v>2062</v>
      </c>
    </row>
    <row r="689" spans="1:4" x14ac:dyDescent="0.15">
      <c r="A689" t="s">
        <v>1976</v>
      </c>
      <c r="B689" t="s">
        <v>2063</v>
      </c>
      <c r="C689" t="s">
        <v>2064</v>
      </c>
      <c r="D689" t="s">
        <v>2065</v>
      </c>
    </row>
    <row r="690" spans="1:4" x14ac:dyDescent="0.15">
      <c r="A690" t="s">
        <v>1976</v>
      </c>
      <c r="B690" t="s">
        <v>2066</v>
      </c>
      <c r="C690" t="s">
        <v>2067</v>
      </c>
      <c r="D690" t="s">
        <v>2068</v>
      </c>
    </row>
    <row r="691" spans="1:4" x14ac:dyDescent="0.15">
      <c r="A691" t="s">
        <v>1976</v>
      </c>
      <c r="B691" t="s">
        <v>2069</v>
      </c>
      <c r="C691" t="s">
        <v>2070</v>
      </c>
      <c r="D691" t="s">
        <v>2070</v>
      </c>
    </row>
    <row r="692" spans="1:4" x14ac:dyDescent="0.15">
      <c r="A692" t="s">
        <v>1976</v>
      </c>
      <c r="B692" t="s">
        <v>2071</v>
      </c>
      <c r="C692" t="s">
        <v>2072</v>
      </c>
      <c r="D692" t="s">
        <v>2073</v>
      </c>
    </row>
    <row r="693" spans="1:4" x14ac:dyDescent="0.15">
      <c r="A693" t="s">
        <v>1976</v>
      </c>
      <c r="B693" t="s">
        <v>2074</v>
      </c>
      <c r="C693" t="s">
        <v>2075</v>
      </c>
      <c r="D693" t="s">
        <v>2076</v>
      </c>
    </row>
    <row r="694" spans="1:4" x14ac:dyDescent="0.15">
      <c r="A694" t="s">
        <v>1976</v>
      </c>
      <c r="B694" t="s">
        <v>2077</v>
      </c>
      <c r="C694" t="s">
        <v>2078</v>
      </c>
      <c r="D694" t="s">
        <v>2079</v>
      </c>
    </row>
    <row r="695" spans="1:4" x14ac:dyDescent="0.15">
      <c r="A695" t="s">
        <v>1976</v>
      </c>
      <c r="B695" t="s">
        <v>2080</v>
      </c>
      <c r="C695" t="s">
        <v>2081</v>
      </c>
      <c r="D695" t="s">
        <v>2082</v>
      </c>
    </row>
    <row r="696" spans="1:4" x14ac:dyDescent="0.15">
      <c r="A696" t="s">
        <v>1976</v>
      </c>
      <c r="B696" t="s">
        <v>2083</v>
      </c>
      <c r="C696" t="s">
        <v>2084</v>
      </c>
      <c r="D696" t="s">
        <v>2085</v>
      </c>
    </row>
    <row r="697" spans="1:4" x14ac:dyDescent="0.15">
      <c r="A697" t="s">
        <v>1976</v>
      </c>
      <c r="B697" t="s">
        <v>2086</v>
      </c>
      <c r="C697" t="s">
        <v>2087</v>
      </c>
      <c r="D697" t="s">
        <v>2088</v>
      </c>
    </row>
    <row r="698" spans="1:4" x14ac:dyDescent="0.15">
      <c r="A698" t="s">
        <v>1976</v>
      </c>
      <c r="B698" t="s">
        <v>2089</v>
      </c>
      <c r="C698" t="s">
        <v>2090</v>
      </c>
      <c r="D698" t="s">
        <v>2091</v>
      </c>
    </row>
    <row r="699" spans="1:4" x14ac:dyDescent="0.15">
      <c r="A699" t="s">
        <v>1976</v>
      </c>
      <c r="B699" t="s">
        <v>2092</v>
      </c>
      <c r="C699" t="s">
        <v>2093</v>
      </c>
      <c r="D699" t="s">
        <v>2094</v>
      </c>
    </row>
    <row r="700" spans="1:4" x14ac:dyDescent="0.15">
      <c r="A700" t="s">
        <v>1976</v>
      </c>
      <c r="B700" t="s">
        <v>2095</v>
      </c>
      <c r="C700" t="s">
        <v>2096</v>
      </c>
      <c r="D700" t="s">
        <v>2096</v>
      </c>
    </row>
    <row r="701" spans="1:4" x14ac:dyDescent="0.15">
      <c r="A701" t="s">
        <v>1976</v>
      </c>
      <c r="B701" t="s">
        <v>2097</v>
      </c>
      <c r="C701" t="s">
        <v>2098</v>
      </c>
      <c r="D701" t="s">
        <v>2099</v>
      </c>
    </row>
    <row r="702" spans="1:4" x14ac:dyDescent="0.15">
      <c r="A702" t="s">
        <v>1976</v>
      </c>
      <c r="B702" t="s">
        <v>2100</v>
      </c>
      <c r="C702" t="s">
        <v>2101</v>
      </c>
      <c r="D702" t="s">
        <v>2102</v>
      </c>
    </row>
    <row r="703" spans="1:4" x14ac:dyDescent="0.15">
      <c r="A703" t="s">
        <v>1976</v>
      </c>
      <c r="B703" t="s">
        <v>2103</v>
      </c>
      <c r="C703" t="s">
        <v>2104</v>
      </c>
      <c r="D703" t="s">
        <v>2105</v>
      </c>
    </row>
    <row r="704" spans="1:4" x14ac:dyDescent="0.15">
      <c r="A704" t="s">
        <v>1976</v>
      </c>
      <c r="B704" t="s">
        <v>2106</v>
      </c>
      <c r="C704" t="s">
        <v>2107</v>
      </c>
      <c r="D704" t="s">
        <v>2108</v>
      </c>
    </row>
    <row r="705" spans="1:4" x14ac:dyDescent="0.15">
      <c r="A705" t="s">
        <v>1976</v>
      </c>
      <c r="B705" t="s">
        <v>2109</v>
      </c>
      <c r="C705" t="s">
        <v>2110</v>
      </c>
      <c r="D705" t="s">
        <v>2111</v>
      </c>
    </row>
    <row r="706" spans="1:4" x14ac:dyDescent="0.15">
      <c r="A706" t="s">
        <v>1976</v>
      </c>
      <c r="B706" t="s">
        <v>2112</v>
      </c>
      <c r="C706" t="s">
        <v>2113</v>
      </c>
      <c r="D706" t="s">
        <v>2114</v>
      </c>
    </row>
    <row r="707" spans="1:4" x14ac:dyDescent="0.15">
      <c r="A707" t="s">
        <v>1976</v>
      </c>
      <c r="B707" t="s">
        <v>2115</v>
      </c>
      <c r="C707" t="s">
        <v>2116</v>
      </c>
      <c r="D707" t="s">
        <v>2117</v>
      </c>
    </row>
    <row r="708" spans="1:4" x14ac:dyDescent="0.15">
      <c r="A708" t="s">
        <v>1976</v>
      </c>
      <c r="B708" t="s">
        <v>2118</v>
      </c>
      <c r="C708" t="s">
        <v>2119</v>
      </c>
      <c r="D708" t="s">
        <v>2120</v>
      </c>
    </row>
    <row r="709" spans="1:4" x14ac:dyDescent="0.15">
      <c r="A709" t="s">
        <v>1976</v>
      </c>
      <c r="B709" t="s">
        <v>2121</v>
      </c>
      <c r="C709" t="s">
        <v>2122</v>
      </c>
      <c r="D709" t="s">
        <v>2123</v>
      </c>
    </row>
    <row r="710" spans="1:4" x14ac:dyDescent="0.15">
      <c r="A710" t="s">
        <v>1976</v>
      </c>
      <c r="B710" t="s">
        <v>2124</v>
      </c>
      <c r="C710" t="s">
        <v>2125</v>
      </c>
      <c r="D710" t="s">
        <v>2126</v>
      </c>
    </row>
    <row r="711" spans="1:4" x14ac:dyDescent="0.15">
      <c r="A711" t="s">
        <v>1976</v>
      </c>
      <c r="B711" t="s">
        <v>2127</v>
      </c>
      <c r="C711" t="s">
        <v>2128</v>
      </c>
      <c r="D711" t="s">
        <v>2129</v>
      </c>
    </row>
    <row r="712" spans="1:4" x14ac:dyDescent="0.15">
      <c r="A712" t="s">
        <v>1976</v>
      </c>
      <c r="B712" t="s">
        <v>2130</v>
      </c>
      <c r="C712" t="s">
        <v>2131</v>
      </c>
      <c r="D712" t="s">
        <v>2132</v>
      </c>
    </row>
    <row r="713" spans="1:4" x14ac:dyDescent="0.15">
      <c r="A713" t="s">
        <v>1976</v>
      </c>
      <c r="B713" t="s">
        <v>2133</v>
      </c>
      <c r="C713" t="s">
        <v>2134</v>
      </c>
      <c r="D713" t="s">
        <v>1340</v>
      </c>
    </row>
    <row r="714" spans="1:4" x14ac:dyDescent="0.15">
      <c r="A714" t="s">
        <v>1976</v>
      </c>
      <c r="B714" t="s">
        <v>2135</v>
      </c>
      <c r="C714" t="s">
        <v>2136</v>
      </c>
      <c r="D714" t="s">
        <v>2137</v>
      </c>
    </row>
    <row r="715" spans="1:4" x14ac:dyDescent="0.15">
      <c r="A715" t="s">
        <v>1976</v>
      </c>
      <c r="B715" t="s">
        <v>2138</v>
      </c>
      <c r="C715" t="s">
        <v>2139</v>
      </c>
      <c r="D715" t="s">
        <v>2140</v>
      </c>
    </row>
    <row r="716" spans="1:4" x14ac:dyDescent="0.15">
      <c r="A716" t="s">
        <v>1976</v>
      </c>
      <c r="B716" t="s">
        <v>2141</v>
      </c>
      <c r="C716" t="s">
        <v>2142</v>
      </c>
      <c r="D716" t="s">
        <v>2143</v>
      </c>
    </row>
    <row r="717" spans="1:4" x14ac:dyDescent="0.15">
      <c r="A717" t="s">
        <v>1976</v>
      </c>
      <c r="B717" t="s">
        <v>2144</v>
      </c>
      <c r="C717" t="s">
        <v>2145</v>
      </c>
      <c r="D717" t="s">
        <v>2146</v>
      </c>
    </row>
    <row r="718" spans="1:4" x14ac:dyDescent="0.15">
      <c r="A718" t="s">
        <v>1976</v>
      </c>
      <c r="B718" t="s">
        <v>2147</v>
      </c>
      <c r="C718" t="s">
        <v>2148</v>
      </c>
      <c r="D718" t="s">
        <v>2149</v>
      </c>
    </row>
    <row r="719" spans="1:4" x14ac:dyDescent="0.15">
      <c r="A719" t="s">
        <v>1976</v>
      </c>
      <c r="B719" t="s">
        <v>2150</v>
      </c>
      <c r="C719" t="s">
        <v>2151</v>
      </c>
      <c r="D719" t="s">
        <v>2152</v>
      </c>
    </row>
    <row r="720" spans="1:4" x14ac:dyDescent="0.15">
      <c r="A720" t="s">
        <v>1976</v>
      </c>
      <c r="B720" t="s">
        <v>2153</v>
      </c>
      <c r="C720" t="s">
        <v>2154</v>
      </c>
      <c r="D720" t="s">
        <v>2154</v>
      </c>
    </row>
    <row r="721" spans="1:4" x14ac:dyDescent="0.15">
      <c r="A721" t="s">
        <v>1976</v>
      </c>
      <c r="B721" t="s">
        <v>2155</v>
      </c>
      <c r="C721" t="s">
        <v>2156</v>
      </c>
      <c r="D721" t="s">
        <v>2156</v>
      </c>
    </row>
    <row r="722" spans="1:4" x14ac:dyDescent="0.15">
      <c r="A722" t="s">
        <v>1976</v>
      </c>
      <c r="B722" t="s">
        <v>2157</v>
      </c>
      <c r="C722" t="s">
        <v>2158</v>
      </c>
      <c r="D722" t="s">
        <v>2159</v>
      </c>
    </row>
    <row r="723" spans="1:4" x14ac:dyDescent="0.15">
      <c r="A723" t="s">
        <v>1976</v>
      </c>
      <c r="B723" t="s">
        <v>2160</v>
      </c>
      <c r="C723" t="s">
        <v>2161</v>
      </c>
      <c r="D723" t="s">
        <v>2162</v>
      </c>
    </row>
    <row r="724" spans="1:4" x14ac:dyDescent="0.15">
      <c r="A724" t="s">
        <v>1976</v>
      </c>
      <c r="B724" t="s">
        <v>2163</v>
      </c>
      <c r="C724" t="s">
        <v>2164</v>
      </c>
      <c r="D724" t="s">
        <v>2165</v>
      </c>
    </row>
    <row r="725" spans="1:4" x14ac:dyDescent="0.15">
      <c r="A725" t="s">
        <v>1976</v>
      </c>
      <c r="B725" t="s">
        <v>2166</v>
      </c>
      <c r="C725" t="s">
        <v>2167</v>
      </c>
      <c r="D725" t="s">
        <v>2168</v>
      </c>
    </row>
    <row r="726" spans="1:4" x14ac:dyDescent="0.15">
      <c r="A726" t="s">
        <v>1976</v>
      </c>
      <c r="B726" t="s">
        <v>2169</v>
      </c>
      <c r="C726" t="s">
        <v>2170</v>
      </c>
      <c r="D726" t="s">
        <v>2171</v>
      </c>
    </row>
    <row r="727" spans="1:4" x14ac:dyDescent="0.15">
      <c r="A727" t="s">
        <v>1976</v>
      </c>
      <c r="B727" t="s">
        <v>2172</v>
      </c>
      <c r="C727" t="s">
        <v>2173</v>
      </c>
      <c r="D727" t="s">
        <v>2174</v>
      </c>
    </row>
    <row r="728" spans="1:4" x14ac:dyDescent="0.15">
      <c r="A728" t="s">
        <v>1976</v>
      </c>
      <c r="B728" t="s">
        <v>2175</v>
      </c>
      <c r="C728" t="s">
        <v>2176</v>
      </c>
      <c r="D728" t="s">
        <v>2177</v>
      </c>
    </row>
    <row r="729" spans="1:4" x14ac:dyDescent="0.15">
      <c r="A729" t="s">
        <v>1976</v>
      </c>
      <c r="B729" t="s">
        <v>2178</v>
      </c>
      <c r="C729" t="s">
        <v>2179</v>
      </c>
      <c r="D729" t="s">
        <v>2180</v>
      </c>
    </row>
    <row r="730" spans="1:4" x14ac:dyDescent="0.15">
      <c r="A730" t="s">
        <v>1976</v>
      </c>
      <c r="B730" t="s">
        <v>2181</v>
      </c>
      <c r="C730" t="s">
        <v>2182</v>
      </c>
      <c r="D730" t="s">
        <v>2183</v>
      </c>
    </row>
    <row r="731" spans="1:4" x14ac:dyDescent="0.15">
      <c r="A731" t="s">
        <v>1976</v>
      </c>
      <c r="B731" t="s">
        <v>2184</v>
      </c>
      <c r="C731" t="s">
        <v>2185</v>
      </c>
      <c r="D731" t="s">
        <v>2186</v>
      </c>
    </row>
    <row r="732" spans="1:4" x14ac:dyDescent="0.15">
      <c r="A732" t="s">
        <v>1976</v>
      </c>
      <c r="B732" t="s">
        <v>2187</v>
      </c>
      <c r="C732" t="s">
        <v>2188</v>
      </c>
      <c r="D732" t="s">
        <v>2189</v>
      </c>
    </row>
    <row r="733" spans="1:4" x14ac:dyDescent="0.15">
      <c r="A733" t="s">
        <v>1976</v>
      </c>
      <c r="B733" t="s">
        <v>2190</v>
      </c>
      <c r="C733" t="s">
        <v>2191</v>
      </c>
      <c r="D733" t="s">
        <v>2192</v>
      </c>
    </row>
    <row r="734" spans="1:4" x14ac:dyDescent="0.15">
      <c r="A734" t="s">
        <v>1976</v>
      </c>
      <c r="B734" t="s">
        <v>2193</v>
      </c>
      <c r="C734" t="s">
        <v>2194</v>
      </c>
      <c r="D734" t="s">
        <v>2195</v>
      </c>
    </row>
    <row r="735" spans="1:4" x14ac:dyDescent="0.15">
      <c r="A735" t="s">
        <v>1976</v>
      </c>
      <c r="B735" t="s">
        <v>2196</v>
      </c>
      <c r="C735" t="s">
        <v>2197</v>
      </c>
      <c r="D735" t="s">
        <v>2198</v>
      </c>
    </row>
    <row r="736" spans="1:4" x14ac:dyDescent="0.15">
      <c r="A736" t="s">
        <v>1976</v>
      </c>
      <c r="B736" t="s">
        <v>2199</v>
      </c>
      <c r="C736" t="s">
        <v>2200</v>
      </c>
      <c r="D736" t="s">
        <v>2201</v>
      </c>
    </row>
    <row r="737" spans="1:4" x14ac:dyDescent="0.15">
      <c r="A737" t="s">
        <v>1976</v>
      </c>
      <c r="B737" t="s">
        <v>2202</v>
      </c>
      <c r="C737" t="s">
        <v>2203</v>
      </c>
      <c r="D737" t="s">
        <v>2204</v>
      </c>
    </row>
    <row r="738" spans="1:4" x14ac:dyDescent="0.15">
      <c r="A738" t="s">
        <v>1976</v>
      </c>
      <c r="B738" t="s">
        <v>2205</v>
      </c>
      <c r="C738" t="s">
        <v>2206</v>
      </c>
      <c r="D738" t="s">
        <v>2207</v>
      </c>
    </row>
    <row r="739" spans="1:4" x14ac:dyDescent="0.15">
      <c r="A739" t="s">
        <v>1976</v>
      </c>
      <c r="B739" t="s">
        <v>2208</v>
      </c>
      <c r="C739" t="s">
        <v>2209</v>
      </c>
      <c r="D739" t="s">
        <v>2210</v>
      </c>
    </row>
    <row r="740" spans="1:4" x14ac:dyDescent="0.15">
      <c r="A740" t="s">
        <v>1976</v>
      </c>
      <c r="B740" t="s">
        <v>2211</v>
      </c>
      <c r="C740" t="s">
        <v>2212</v>
      </c>
      <c r="D740" t="s">
        <v>2213</v>
      </c>
    </row>
    <row r="741" spans="1:4" x14ac:dyDescent="0.15">
      <c r="A741" t="s">
        <v>1976</v>
      </c>
      <c r="B741" t="s">
        <v>2214</v>
      </c>
      <c r="C741" t="s">
        <v>2215</v>
      </c>
      <c r="D741" t="s">
        <v>2216</v>
      </c>
    </row>
    <row r="742" spans="1:4" x14ac:dyDescent="0.15">
      <c r="A742" t="s">
        <v>1976</v>
      </c>
      <c r="B742" t="s">
        <v>2217</v>
      </c>
      <c r="C742" t="s">
        <v>2218</v>
      </c>
      <c r="D742" t="s">
        <v>2219</v>
      </c>
    </row>
    <row r="743" spans="1:4" x14ac:dyDescent="0.15">
      <c r="A743" t="s">
        <v>1976</v>
      </c>
      <c r="B743" t="s">
        <v>2220</v>
      </c>
      <c r="C743" t="s">
        <v>2221</v>
      </c>
      <c r="D743" t="s">
        <v>2222</v>
      </c>
    </row>
    <row r="744" spans="1:4" x14ac:dyDescent="0.15">
      <c r="A744" t="s">
        <v>1976</v>
      </c>
      <c r="B744" t="s">
        <v>2223</v>
      </c>
      <c r="C744" t="s">
        <v>2224</v>
      </c>
      <c r="D744" t="s">
        <v>2225</v>
      </c>
    </row>
    <row r="745" spans="1:4" x14ac:dyDescent="0.15">
      <c r="A745" t="s">
        <v>1976</v>
      </c>
      <c r="B745" t="s">
        <v>2226</v>
      </c>
      <c r="C745" t="s">
        <v>2227</v>
      </c>
      <c r="D745" t="s">
        <v>2228</v>
      </c>
    </row>
    <row r="746" spans="1:4" x14ac:dyDescent="0.15">
      <c r="A746" t="s">
        <v>1976</v>
      </c>
      <c r="B746" t="s">
        <v>2229</v>
      </c>
      <c r="C746" t="s">
        <v>2230</v>
      </c>
      <c r="D746" t="s">
        <v>2231</v>
      </c>
    </row>
    <row r="747" spans="1:4" x14ac:dyDescent="0.15">
      <c r="A747" t="s">
        <v>1976</v>
      </c>
      <c r="B747" t="s">
        <v>2232</v>
      </c>
      <c r="C747" t="s">
        <v>2233</v>
      </c>
      <c r="D747" t="s">
        <v>2233</v>
      </c>
    </row>
    <row r="748" spans="1:4" x14ac:dyDescent="0.15">
      <c r="A748" t="s">
        <v>1976</v>
      </c>
      <c r="B748" t="s">
        <v>2234</v>
      </c>
      <c r="C748" t="s">
        <v>2235</v>
      </c>
      <c r="D748" t="s">
        <v>2236</v>
      </c>
    </row>
    <row r="749" spans="1:4" x14ac:dyDescent="0.15">
      <c r="A749" t="s">
        <v>1976</v>
      </c>
      <c r="B749" t="s">
        <v>2237</v>
      </c>
      <c r="C749" t="s">
        <v>2238</v>
      </c>
      <c r="D749" t="s">
        <v>2239</v>
      </c>
    </row>
    <row r="750" spans="1:4" x14ac:dyDescent="0.15">
      <c r="A750" t="s">
        <v>1976</v>
      </c>
      <c r="B750" t="s">
        <v>2240</v>
      </c>
      <c r="C750" t="s">
        <v>2241</v>
      </c>
      <c r="D750" t="s">
        <v>2242</v>
      </c>
    </row>
    <row r="751" spans="1:4" x14ac:dyDescent="0.15">
      <c r="A751" t="s">
        <v>1976</v>
      </c>
      <c r="B751" t="s">
        <v>2243</v>
      </c>
      <c r="C751" t="s">
        <v>2244</v>
      </c>
      <c r="D751" t="s">
        <v>2245</v>
      </c>
    </row>
    <row r="753" spans="1:4" x14ac:dyDescent="0.15">
      <c r="A753" t="s">
        <v>2246</v>
      </c>
      <c r="B753" t="s">
        <v>1977</v>
      </c>
      <c r="C753" t="s">
        <v>1978</v>
      </c>
      <c r="D753" t="s">
        <v>1979</v>
      </c>
    </row>
    <row r="754" spans="1:4" x14ac:dyDescent="0.15">
      <c r="A754" t="s">
        <v>2246</v>
      </c>
      <c r="B754" t="s">
        <v>1980</v>
      </c>
      <c r="C754" t="s">
        <v>1981</v>
      </c>
      <c r="D754" t="s">
        <v>1982</v>
      </c>
    </row>
    <row r="755" spans="1:4" x14ac:dyDescent="0.15">
      <c r="A755" t="s">
        <v>2246</v>
      </c>
      <c r="B755" t="s">
        <v>1983</v>
      </c>
      <c r="C755" t="s">
        <v>1984</v>
      </c>
      <c r="D755" t="s">
        <v>1985</v>
      </c>
    </row>
    <row r="756" spans="1:4" x14ac:dyDescent="0.15">
      <c r="A756" t="s">
        <v>2246</v>
      </c>
      <c r="B756" t="s">
        <v>1986</v>
      </c>
      <c r="C756" t="s">
        <v>1987</v>
      </c>
      <c r="D756" t="s">
        <v>1988</v>
      </c>
    </row>
    <row r="757" spans="1:4" x14ac:dyDescent="0.15">
      <c r="A757" t="s">
        <v>2246</v>
      </c>
      <c r="B757" t="s">
        <v>1989</v>
      </c>
      <c r="C757" t="s">
        <v>1990</v>
      </c>
      <c r="D757" t="s">
        <v>1991</v>
      </c>
    </row>
    <row r="758" spans="1:4" x14ac:dyDescent="0.15">
      <c r="A758" t="s">
        <v>2246</v>
      </c>
      <c r="B758" t="s">
        <v>1992</v>
      </c>
      <c r="C758" t="s">
        <v>1993</v>
      </c>
      <c r="D758" t="s">
        <v>1994</v>
      </c>
    </row>
    <row r="759" spans="1:4" x14ac:dyDescent="0.15">
      <c r="A759" t="s">
        <v>2246</v>
      </c>
      <c r="B759" t="s">
        <v>1995</v>
      </c>
      <c r="C759" t="s">
        <v>1996</v>
      </c>
      <c r="D759" t="s">
        <v>1997</v>
      </c>
    </row>
    <row r="760" spans="1:4" x14ac:dyDescent="0.15">
      <c r="A760" t="s">
        <v>2246</v>
      </c>
      <c r="B760" t="s">
        <v>1998</v>
      </c>
      <c r="C760" t="s">
        <v>1999</v>
      </c>
      <c r="D760" t="s">
        <v>2000</v>
      </c>
    </row>
    <row r="761" spans="1:4" x14ac:dyDescent="0.15">
      <c r="A761" t="s">
        <v>2246</v>
      </c>
      <c r="B761" t="s">
        <v>2001</v>
      </c>
      <c r="C761" t="s">
        <v>2002</v>
      </c>
      <c r="D761" t="s">
        <v>2003</v>
      </c>
    </row>
    <row r="762" spans="1:4" x14ac:dyDescent="0.15">
      <c r="A762" t="s">
        <v>2246</v>
      </c>
      <c r="B762" t="s">
        <v>2004</v>
      </c>
      <c r="C762" t="s">
        <v>1870</v>
      </c>
      <c r="D762" t="s">
        <v>1871</v>
      </c>
    </row>
    <row r="763" spans="1:4" x14ac:dyDescent="0.15">
      <c r="A763" t="s">
        <v>2246</v>
      </c>
      <c r="B763" t="s">
        <v>2005</v>
      </c>
      <c r="C763" t="s">
        <v>2006</v>
      </c>
      <c r="D763" t="s">
        <v>2007</v>
      </c>
    </row>
    <row r="764" spans="1:4" x14ac:dyDescent="0.15">
      <c r="A764" t="s">
        <v>2246</v>
      </c>
      <c r="B764" t="s">
        <v>2008</v>
      </c>
      <c r="C764" t="s">
        <v>2009</v>
      </c>
      <c r="D764" t="s">
        <v>2010</v>
      </c>
    </row>
    <row r="765" spans="1:4" x14ac:dyDescent="0.15">
      <c r="A765" t="s">
        <v>2246</v>
      </c>
      <c r="B765" t="s">
        <v>2011</v>
      </c>
      <c r="C765" t="s">
        <v>2012</v>
      </c>
      <c r="D765" t="s">
        <v>2013</v>
      </c>
    </row>
    <row r="766" spans="1:4" x14ac:dyDescent="0.15">
      <c r="A766" t="s">
        <v>2246</v>
      </c>
      <c r="B766" t="s">
        <v>2014</v>
      </c>
      <c r="C766" t="s">
        <v>2015</v>
      </c>
      <c r="D766" t="s">
        <v>2016</v>
      </c>
    </row>
    <row r="767" spans="1:4" x14ac:dyDescent="0.15">
      <c r="A767" t="s">
        <v>2246</v>
      </c>
      <c r="B767" t="s">
        <v>2017</v>
      </c>
      <c r="C767" t="s">
        <v>2018</v>
      </c>
      <c r="D767" t="s">
        <v>2019</v>
      </c>
    </row>
    <row r="768" spans="1:4" x14ac:dyDescent="0.15">
      <c r="A768" t="s">
        <v>2246</v>
      </c>
      <c r="B768" t="s">
        <v>2020</v>
      </c>
      <c r="C768" t="s">
        <v>2021</v>
      </c>
      <c r="D768" t="s">
        <v>2022</v>
      </c>
    </row>
    <row r="769" spans="1:4" x14ac:dyDescent="0.15">
      <c r="A769" t="s">
        <v>2246</v>
      </c>
      <c r="B769" t="s">
        <v>2023</v>
      </c>
      <c r="C769" t="s">
        <v>2024</v>
      </c>
      <c r="D769" t="s">
        <v>2025</v>
      </c>
    </row>
    <row r="770" spans="1:4" x14ac:dyDescent="0.15">
      <c r="A770" t="s">
        <v>2246</v>
      </c>
      <c r="B770" t="s">
        <v>2026</v>
      </c>
      <c r="C770" t="s">
        <v>2027</v>
      </c>
      <c r="D770" t="s">
        <v>2028</v>
      </c>
    </row>
    <row r="771" spans="1:4" x14ac:dyDescent="0.15">
      <c r="A771" t="s">
        <v>2246</v>
      </c>
      <c r="B771" t="s">
        <v>2029</v>
      </c>
      <c r="C771" t="s">
        <v>2030</v>
      </c>
      <c r="D771" t="s">
        <v>2031</v>
      </c>
    </row>
    <row r="772" spans="1:4" x14ac:dyDescent="0.15">
      <c r="A772" t="s">
        <v>2246</v>
      </c>
      <c r="B772" t="s">
        <v>2032</v>
      </c>
      <c r="C772" t="s">
        <v>2033</v>
      </c>
      <c r="D772" t="s">
        <v>2033</v>
      </c>
    </row>
    <row r="773" spans="1:4" x14ac:dyDescent="0.15">
      <c r="A773" t="s">
        <v>2246</v>
      </c>
      <c r="B773" t="s">
        <v>2034</v>
      </c>
      <c r="C773" t="s">
        <v>2035</v>
      </c>
      <c r="D773" t="s">
        <v>2036</v>
      </c>
    </row>
    <row r="774" spans="1:4" x14ac:dyDescent="0.15">
      <c r="A774" t="s">
        <v>2246</v>
      </c>
      <c r="B774" t="s">
        <v>2037</v>
      </c>
      <c r="C774" t="s">
        <v>2038</v>
      </c>
      <c r="D774" t="s">
        <v>2039</v>
      </c>
    </row>
    <row r="775" spans="1:4" x14ac:dyDescent="0.15">
      <c r="A775" t="s">
        <v>2246</v>
      </c>
      <c r="B775" t="s">
        <v>2040</v>
      </c>
      <c r="C775" t="s">
        <v>2041</v>
      </c>
      <c r="D775" t="s">
        <v>2042</v>
      </c>
    </row>
    <row r="776" spans="1:4" x14ac:dyDescent="0.15">
      <c r="A776" t="s">
        <v>2246</v>
      </c>
      <c r="B776" t="s">
        <v>2043</v>
      </c>
      <c r="C776" t="s">
        <v>2044</v>
      </c>
      <c r="D776" t="s">
        <v>2045</v>
      </c>
    </row>
    <row r="777" spans="1:4" x14ac:dyDescent="0.15">
      <c r="A777" t="s">
        <v>2246</v>
      </c>
      <c r="B777" t="s">
        <v>2046</v>
      </c>
      <c r="C777" t="s">
        <v>2047</v>
      </c>
      <c r="D777" t="s">
        <v>2048</v>
      </c>
    </row>
    <row r="778" spans="1:4" x14ac:dyDescent="0.15">
      <c r="A778" t="s">
        <v>2246</v>
      </c>
      <c r="B778" t="s">
        <v>2049</v>
      </c>
      <c r="C778" t="s">
        <v>2050</v>
      </c>
      <c r="D778" t="s">
        <v>2051</v>
      </c>
    </row>
    <row r="779" spans="1:4" x14ac:dyDescent="0.15">
      <c r="A779" t="s">
        <v>2246</v>
      </c>
      <c r="B779" t="s">
        <v>2052</v>
      </c>
      <c r="C779" t="s">
        <v>2053</v>
      </c>
      <c r="D779" t="s">
        <v>2051</v>
      </c>
    </row>
    <row r="780" spans="1:4" x14ac:dyDescent="0.15">
      <c r="A780" t="s">
        <v>2246</v>
      </c>
      <c r="B780" t="s">
        <v>2054</v>
      </c>
      <c r="C780" t="s">
        <v>2055</v>
      </c>
      <c r="D780" t="s">
        <v>2056</v>
      </c>
    </row>
    <row r="781" spans="1:4" x14ac:dyDescent="0.15">
      <c r="A781" t="s">
        <v>2246</v>
      </c>
      <c r="B781" t="s">
        <v>2057</v>
      </c>
      <c r="C781" t="s">
        <v>2058</v>
      </c>
      <c r="D781" t="s">
        <v>2059</v>
      </c>
    </row>
    <row r="782" spans="1:4" x14ac:dyDescent="0.15">
      <c r="A782" t="s">
        <v>2246</v>
      </c>
      <c r="B782" t="s">
        <v>2060</v>
      </c>
      <c r="C782" t="s">
        <v>2061</v>
      </c>
      <c r="D782" t="s">
        <v>2062</v>
      </c>
    </row>
    <row r="783" spans="1:4" x14ac:dyDescent="0.15">
      <c r="A783" t="s">
        <v>2246</v>
      </c>
      <c r="B783" t="s">
        <v>2063</v>
      </c>
      <c r="C783" t="s">
        <v>2064</v>
      </c>
      <c r="D783" t="s">
        <v>2065</v>
      </c>
    </row>
    <row r="784" spans="1:4" x14ac:dyDescent="0.15">
      <c r="A784" t="s">
        <v>2246</v>
      </c>
      <c r="B784" t="s">
        <v>2066</v>
      </c>
      <c r="C784" t="s">
        <v>2067</v>
      </c>
      <c r="D784" t="s">
        <v>2068</v>
      </c>
    </row>
    <row r="785" spans="1:4" x14ac:dyDescent="0.15">
      <c r="A785" t="s">
        <v>2246</v>
      </c>
      <c r="B785" t="s">
        <v>2069</v>
      </c>
      <c r="C785" t="s">
        <v>2070</v>
      </c>
      <c r="D785" t="s">
        <v>2070</v>
      </c>
    </row>
    <row r="786" spans="1:4" x14ac:dyDescent="0.15">
      <c r="A786" t="s">
        <v>2246</v>
      </c>
      <c r="B786" t="s">
        <v>2071</v>
      </c>
      <c r="C786" t="s">
        <v>2072</v>
      </c>
      <c r="D786" t="s">
        <v>2073</v>
      </c>
    </row>
    <row r="787" spans="1:4" x14ac:dyDescent="0.15">
      <c r="A787" t="s">
        <v>2246</v>
      </c>
      <c r="B787" t="s">
        <v>2074</v>
      </c>
      <c r="C787" t="s">
        <v>2075</v>
      </c>
      <c r="D787" t="s">
        <v>2076</v>
      </c>
    </row>
    <row r="788" spans="1:4" x14ac:dyDescent="0.15">
      <c r="A788" t="s">
        <v>2246</v>
      </c>
      <c r="B788" t="s">
        <v>2077</v>
      </c>
      <c r="C788" t="s">
        <v>2078</v>
      </c>
      <c r="D788" t="s">
        <v>2079</v>
      </c>
    </row>
    <row r="789" spans="1:4" x14ac:dyDescent="0.15">
      <c r="A789" t="s">
        <v>2246</v>
      </c>
      <c r="B789" t="s">
        <v>2080</v>
      </c>
      <c r="C789" t="s">
        <v>2081</v>
      </c>
      <c r="D789" t="s">
        <v>2082</v>
      </c>
    </row>
    <row r="790" spans="1:4" x14ac:dyDescent="0.15">
      <c r="A790" t="s">
        <v>2246</v>
      </c>
      <c r="B790" t="s">
        <v>2083</v>
      </c>
      <c r="C790" t="s">
        <v>2084</v>
      </c>
      <c r="D790" t="s">
        <v>2085</v>
      </c>
    </row>
    <row r="791" spans="1:4" x14ac:dyDescent="0.15">
      <c r="A791" t="s">
        <v>2246</v>
      </c>
      <c r="B791" t="s">
        <v>2086</v>
      </c>
      <c r="C791" t="s">
        <v>2087</v>
      </c>
      <c r="D791" t="s">
        <v>2088</v>
      </c>
    </row>
    <row r="792" spans="1:4" x14ac:dyDescent="0.15">
      <c r="A792" t="s">
        <v>2246</v>
      </c>
      <c r="B792" t="s">
        <v>2089</v>
      </c>
      <c r="C792" t="s">
        <v>2090</v>
      </c>
      <c r="D792" t="s">
        <v>2091</v>
      </c>
    </row>
    <row r="793" spans="1:4" x14ac:dyDescent="0.15">
      <c r="A793" t="s">
        <v>2246</v>
      </c>
      <c r="B793" t="s">
        <v>2092</v>
      </c>
      <c r="C793" t="s">
        <v>2093</v>
      </c>
      <c r="D793" t="s">
        <v>2094</v>
      </c>
    </row>
    <row r="794" spans="1:4" x14ac:dyDescent="0.15">
      <c r="A794" t="s">
        <v>2246</v>
      </c>
      <c r="B794" t="s">
        <v>2095</v>
      </c>
      <c r="C794" t="s">
        <v>2096</v>
      </c>
      <c r="D794" t="s">
        <v>2096</v>
      </c>
    </row>
    <row r="795" spans="1:4" x14ac:dyDescent="0.15">
      <c r="A795" t="s">
        <v>2246</v>
      </c>
      <c r="B795" t="s">
        <v>2097</v>
      </c>
      <c r="C795" t="s">
        <v>2098</v>
      </c>
      <c r="D795" t="s">
        <v>2099</v>
      </c>
    </row>
    <row r="796" spans="1:4" x14ac:dyDescent="0.15">
      <c r="A796" t="s">
        <v>2246</v>
      </c>
      <c r="B796" t="s">
        <v>2100</v>
      </c>
      <c r="C796" t="s">
        <v>2101</v>
      </c>
      <c r="D796" t="s">
        <v>2102</v>
      </c>
    </row>
    <row r="797" spans="1:4" x14ac:dyDescent="0.15">
      <c r="A797" t="s">
        <v>2246</v>
      </c>
      <c r="B797" t="s">
        <v>2103</v>
      </c>
      <c r="C797" t="s">
        <v>2104</v>
      </c>
      <c r="D797" t="s">
        <v>2105</v>
      </c>
    </row>
    <row r="798" spans="1:4" x14ac:dyDescent="0.15">
      <c r="A798" t="s">
        <v>2246</v>
      </c>
      <c r="B798" t="s">
        <v>2106</v>
      </c>
      <c r="C798" t="s">
        <v>2107</v>
      </c>
      <c r="D798" t="s">
        <v>2108</v>
      </c>
    </row>
    <row r="799" spans="1:4" x14ac:dyDescent="0.15">
      <c r="A799" t="s">
        <v>2246</v>
      </c>
      <c r="B799" t="s">
        <v>2109</v>
      </c>
      <c r="C799" t="s">
        <v>2110</v>
      </c>
      <c r="D799" t="s">
        <v>2111</v>
      </c>
    </row>
    <row r="800" spans="1:4" x14ac:dyDescent="0.15">
      <c r="A800" t="s">
        <v>2246</v>
      </c>
      <c r="B800" t="s">
        <v>2112</v>
      </c>
      <c r="C800" t="s">
        <v>2113</v>
      </c>
      <c r="D800" t="s">
        <v>2114</v>
      </c>
    </row>
    <row r="801" spans="1:4" x14ac:dyDescent="0.15">
      <c r="A801" t="s">
        <v>2246</v>
      </c>
      <c r="B801" t="s">
        <v>2115</v>
      </c>
      <c r="C801" t="s">
        <v>2116</v>
      </c>
      <c r="D801" t="s">
        <v>2117</v>
      </c>
    </row>
    <row r="802" spans="1:4" x14ac:dyDescent="0.15">
      <c r="A802" t="s">
        <v>2246</v>
      </c>
      <c r="B802" t="s">
        <v>2118</v>
      </c>
      <c r="C802" t="s">
        <v>2119</v>
      </c>
      <c r="D802" t="s">
        <v>2120</v>
      </c>
    </row>
    <row r="803" spans="1:4" x14ac:dyDescent="0.15">
      <c r="A803" t="s">
        <v>2246</v>
      </c>
      <c r="B803" t="s">
        <v>2121</v>
      </c>
      <c r="C803" t="s">
        <v>2122</v>
      </c>
      <c r="D803" t="s">
        <v>2123</v>
      </c>
    </row>
    <row r="804" spans="1:4" x14ac:dyDescent="0.15">
      <c r="A804" t="s">
        <v>2246</v>
      </c>
      <c r="B804" t="s">
        <v>2124</v>
      </c>
      <c r="C804" t="s">
        <v>2125</v>
      </c>
      <c r="D804" t="s">
        <v>2126</v>
      </c>
    </row>
    <row r="805" spans="1:4" x14ac:dyDescent="0.15">
      <c r="A805" t="s">
        <v>2246</v>
      </c>
      <c r="B805" t="s">
        <v>2127</v>
      </c>
      <c r="C805" t="s">
        <v>2128</v>
      </c>
      <c r="D805" t="s">
        <v>2129</v>
      </c>
    </row>
    <row r="806" spans="1:4" x14ac:dyDescent="0.15">
      <c r="A806" t="s">
        <v>2246</v>
      </c>
      <c r="B806" t="s">
        <v>2130</v>
      </c>
      <c r="C806" t="s">
        <v>2131</v>
      </c>
      <c r="D806" t="s">
        <v>2132</v>
      </c>
    </row>
    <row r="807" spans="1:4" x14ac:dyDescent="0.15">
      <c r="A807" t="s">
        <v>2246</v>
      </c>
      <c r="B807" t="s">
        <v>2133</v>
      </c>
      <c r="C807" t="s">
        <v>2134</v>
      </c>
      <c r="D807" t="s">
        <v>1340</v>
      </c>
    </row>
    <row r="808" spans="1:4" x14ac:dyDescent="0.15">
      <c r="A808" t="s">
        <v>2246</v>
      </c>
      <c r="B808" t="s">
        <v>2135</v>
      </c>
      <c r="C808" t="s">
        <v>2136</v>
      </c>
      <c r="D808" t="s">
        <v>2137</v>
      </c>
    </row>
    <row r="809" spans="1:4" x14ac:dyDescent="0.15">
      <c r="A809" t="s">
        <v>2246</v>
      </c>
      <c r="B809" t="s">
        <v>2138</v>
      </c>
      <c r="C809" t="s">
        <v>2139</v>
      </c>
      <c r="D809" t="s">
        <v>2140</v>
      </c>
    </row>
    <row r="810" spans="1:4" x14ac:dyDescent="0.15">
      <c r="A810" t="s">
        <v>2246</v>
      </c>
      <c r="B810" t="s">
        <v>2141</v>
      </c>
      <c r="C810" t="s">
        <v>2142</v>
      </c>
      <c r="D810" t="s">
        <v>2143</v>
      </c>
    </row>
    <row r="811" spans="1:4" x14ac:dyDescent="0.15">
      <c r="A811" t="s">
        <v>2246</v>
      </c>
      <c r="B811" t="s">
        <v>2144</v>
      </c>
      <c r="C811" t="s">
        <v>2145</v>
      </c>
      <c r="D811" t="s">
        <v>2146</v>
      </c>
    </row>
    <row r="812" spans="1:4" x14ac:dyDescent="0.15">
      <c r="A812" t="s">
        <v>2246</v>
      </c>
      <c r="B812" t="s">
        <v>2147</v>
      </c>
      <c r="C812" t="s">
        <v>2148</v>
      </c>
      <c r="D812" t="s">
        <v>2149</v>
      </c>
    </row>
    <row r="813" spans="1:4" x14ac:dyDescent="0.15">
      <c r="A813" t="s">
        <v>2246</v>
      </c>
      <c r="B813" t="s">
        <v>2150</v>
      </c>
      <c r="C813" t="s">
        <v>2151</v>
      </c>
      <c r="D813" t="s">
        <v>2152</v>
      </c>
    </row>
    <row r="814" spans="1:4" x14ac:dyDescent="0.15">
      <c r="A814" t="s">
        <v>2246</v>
      </c>
      <c r="B814" t="s">
        <v>2153</v>
      </c>
      <c r="C814" t="s">
        <v>2154</v>
      </c>
      <c r="D814" t="s">
        <v>2154</v>
      </c>
    </row>
    <row r="815" spans="1:4" x14ac:dyDescent="0.15">
      <c r="A815" t="s">
        <v>2246</v>
      </c>
      <c r="B815" t="s">
        <v>2155</v>
      </c>
      <c r="C815" t="s">
        <v>2156</v>
      </c>
      <c r="D815" t="s">
        <v>2156</v>
      </c>
    </row>
    <row r="816" spans="1:4" x14ac:dyDescent="0.15">
      <c r="A816" t="s">
        <v>2246</v>
      </c>
      <c r="B816" t="s">
        <v>2157</v>
      </c>
      <c r="C816" t="s">
        <v>2158</v>
      </c>
      <c r="D816" t="s">
        <v>2159</v>
      </c>
    </row>
    <row r="817" spans="1:4" x14ac:dyDescent="0.15">
      <c r="A817" t="s">
        <v>2246</v>
      </c>
      <c r="B817" t="s">
        <v>2160</v>
      </c>
      <c r="C817" t="s">
        <v>2161</v>
      </c>
      <c r="D817" t="s">
        <v>2162</v>
      </c>
    </row>
    <row r="818" spans="1:4" x14ac:dyDescent="0.15">
      <c r="A818" t="s">
        <v>2246</v>
      </c>
      <c r="B818" t="s">
        <v>2163</v>
      </c>
      <c r="C818" t="s">
        <v>2164</v>
      </c>
      <c r="D818" t="s">
        <v>2165</v>
      </c>
    </row>
    <row r="819" spans="1:4" x14ac:dyDescent="0.15">
      <c r="A819" t="s">
        <v>2246</v>
      </c>
      <c r="B819" t="s">
        <v>2166</v>
      </c>
      <c r="C819" t="s">
        <v>2167</v>
      </c>
      <c r="D819" t="s">
        <v>2168</v>
      </c>
    </row>
    <row r="820" spans="1:4" x14ac:dyDescent="0.15">
      <c r="A820" t="s">
        <v>2246</v>
      </c>
      <c r="B820" t="s">
        <v>2169</v>
      </c>
      <c r="C820" t="s">
        <v>2170</v>
      </c>
      <c r="D820" t="s">
        <v>2171</v>
      </c>
    </row>
    <row r="821" spans="1:4" x14ac:dyDescent="0.15">
      <c r="A821" t="s">
        <v>2246</v>
      </c>
      <c r="B821" t="s">
        <v>2172</v>
      </c>
      <c r="C821" t="s">
        <v>2173</v>
      </c>
      <c r="D821" t="s">
        <v>2174</v>
      </c>
    </row>
    <row r="822" spans="1:4" x14ac:dyDescent="0.15">
      <c r="A822" t="s">
        <v>2246</v>
      </c>
      <c r="B822" t="s">
        <v>2175</v>
      </c>
      <c r="C822" t="s">
        <v>2176</v>
      </c>
      <c r="D822" t="s">
        <v>2177</v>
      </c>
    </row>
    <row r="823" spans="1:4" x14ac:dyDescent="0.15">
      <c r="A823" t="s">
        <v>2246</v>
      </c>
      <c r="B823" t="s">
        <v>2178</v>
      </c>
      <c r="C823" t="s">
        <v>2179</v>
      </c>
      <c r="D823" t="s">
        <v>2180</v>
      </c>
    </row>
    <row r="824" spans="1:4" x14ac:dyDescent="0.15">
      <c r="A824" t="s">
        <v>2246</v>
      </c>
      <c r="B824" t="s">
        <v>2181</v>
      </c>
      <c r="C824" t="s">
        <v>2182</v>
      </c>
      <c r="D824" t="s">
        <v>2183</v>
      </c>
    </row>
    <row r="825" spans="1:4" x14ac:dyDescent="0.15">
      <c r="A825" t="s">
        <v>2246</v>
      </c>
      <c r="B825" t="s">
        <v>2184</v>
      </c>
      <c r="C825" t="s">
        <v>2185</v>
      </c>
      <c r="D825" t="s">
        <v>2186</v>
      </c>
    </row>
    <row r="826" spans="1:4" x14ac:dyDescent="0.15">
      <c r="A826" t="s">
        <v>2246</v>
      </c>
      <c r="B826" t="s">
        <v>2187</v>
      </c>
      <c r="C826" t="s">
        <v>2188</v>
      </c>
      <c r="D826" t="s">
        <v>2189</v>
      </c>
    </row>
    <row r="827" spans="1:4" x14ac:dyDescent="0.15">
      <c r="A827" t="s">
        <v>2246</v>
      </c>
      <c r="B827" t="s">
        <v>2190</v>
      </c>
      <c r="C827" t="s">
        <v>2191</v>
      </c>
      <c r="D827" t="s">
        <v>2192</v>
      </c>
    </row>
    <row r="828" spans="1:4" x14ac:dyDescent="0.15">
      <c r="A828" t="s">
        <v>2246</v>
      </c>
      <c r="B828" t="s">
        <v>2193</v>
      </c>
      <c r="C828" t="s">
        <v>2194</v>
      </c>
      <c r="D828" t="s">
        <v>2195</v>
      </c>
    </row>
    <row r="829" spans="1:4" x14ac:dyDescent="0.15">
      <c r="A829" t="s">
        <v>2246</v>
      </c>
      <c r="B829" t="s">
        <v>2196</v>
      </c>
      <c r="C829" t="s">
        <v>2197</v>
      </c>
      <c r="D829" t="s">
        <v>2198</v>
      </c>
    </row>
    <row r="830" spans="1:4" x14ac:dyDescent="0.15">
      <c r="A830" t="s">
        <v>2246</v>
      </c>
      <c r="B830" t="s">
        <v>2199</v>
      </c>
      <c r="C830" t="s">
        <v>2200</v>
      </c>
      <c r="D830" t="s">
        <v>2201</v>
      </c>
    </row>
    <row r="831" spans="1:4" x14ac:dyDescent="0.15">
      <c r="A831" t="s">
        <v>2246</v>
      </c>
      <c r="B831" t="s">
        <v>2202</v>
      </c>
      <c r="C831" t="s">
        <v>2203</v>
      </c>
      <c r="D831" t="s">
        <v>2204</v>
      </c>
    </row>
    <row r="832" spans="1:4" x14ac:dyDescent="0.15">
      <c r="A832" t="s">
        <v>2246</v>
      </c>
      <c r="B832" t="s">
        <v>2205</v>
      </c>
      <c r="C832" t="s">
        <v>2206</v>
      </c>
      <c r="D832" t="s">
        <v>2207</v>
      </c>
    </row>
    <row r="833" spans="1:4" x14ac:dyDescent="0.15">
      <c r="A833" t="s">
        <v>2246</v>
      </c>
      <c r="B833" t="s">
        <v>2208</v>
      </c>
      <c r="C833" t="s">
        <v>2209</v>
      </c>
      <c r="D833" t="s">
        <v>2210</v>
      </c>
    </row>
    <row r="834" spans="1:4" x14ac:dyDescent="0.15">
      <c r="A834" t="s">
        <v>2246</v>
      </c>
      <c r="B834" t="s">
        <v>2211</v>
      </c>
      <c r="C834" t="s">
        <v>2212</v>
      </c>
      <c r="D834" t="s">
        <v>2213</v>
      </c>
    </row>
    <row r="835" spans="1:4" x14ac:dyDescent="0.15">
      <c r="A835" t="s">
        <v>2246</v>
      </c>
      <c r="B835" t="s">
        <v>2214</v>
      </c>
      <c r="C835" t="s">
        <v>2215</v>
      </c>
      <c r="D835" t="s">
        <v>2216</v>
      </c>
    </row>
    <row r="836" spans="1:4" x14ac:dyDescent="0.15">
      <c r="A836" t="s">
        <v>2246</v>
      </c>
      <c r="B836" t="s">
        <v>2217</v>
      </c>
      <c r="C836" t="s">
        <v>2218</v>
      </c>
      <c r="D836" t="s">
        <v>2219</v>
      </c>
    </row>
    <row r="837" spans="1:4" x14ac:dyDescent="0.15">
      <c r="A837" t="s">
        <v>2246</v>
      </c>
      <c r="B837" t="s">
        <v>2220</v>
      </c>
      <c r="C837" t="s">
        <v>2221</v>
      </c>
      <c r="D837" t="s">
        <v>2222</v>
      </c>
    </row>
    <row r="838" spans="1:4" x14ac:dyDescent="0.15">
      <c r="A838" t="s">
        <v>2246</v>
      </c>
      <c r="B838" t="s">
        <v>2223</v>
      </c>
      <c r="C838" t="s">
        <v>2224</v>
      </c>
      <c r="D838" t="s">
        <v>2225</v>
      </c>
    </row>
    <row r="839" spans="1:4" x14ac:dyDescent="0.15">
      <c r="A839" t="s">
        <v>2246</v>
      </c>
      <c r="B839" t="s">
        <v>2226</v>
      </c>
      <c r="C839" t="s">
        <v>2227</v>
      </c>
      <c r="D839" t="s">
        <v>2228</v>
      </c>
    </row>
    <row r="840" spans="1:4" x14ac:dyDescent="0.15">
      <c r="A840" t="s">
        <v>2246</v>
      </c>
      <c r="B840" t="s">
        <v>2229</v>
      </c>
      <c r="C840" t="s">
        <v>2230</v>
      </c>
      <c r="D840" t="s">
        <v>2231</v>
      </c>
    </row>
    <row r="841" spans="1:4" x14ac:dyDescent="0.15">
      <c r="A841" t="s">
        <v>2246</v>
      </c>
      <c r="B841" t="s">
        <v>2232</v>
      </c>
      <c r="C841" t="s">
        <v>2233</v>
      </c>
      <c r="D841" t="s">
        <v>2233</v>
      </c>
    </row>
    <row r="842" spans="1:4" x14ac:dyDescent="0.15">
      <c r="A842" t="s">
        <v>2246</v>
      </c>
      <c r="B842" t="s">
        <v>2234</v>
      </c>
      <c r="C842" t="s">
        <v>2235</v>
      </c>
      <c r="D842" t="s">
        <v>2236</v>
      </c>
    </row>
    <row r="843" spans="1:4" x14ac:dyDescent="0.15">
      <c r="A843" t="s">
        <v>2246</v>
      </c>
      <c r="B843" t="s">
        <v>2247</v>
      </c>
      <c r="C843" t="s">
        <v>2248</v>
      </c>
      <c r="D843" t="s">
        <v>2249</v>
      </c>
    </row>
    <row r="844" spans="1:4" x14ac:dyDescent="0.15">
      <c r="A844" t="s">
        <v>2246</v>
      </c>
      <c r="B844" t="s">
        <v>2240</v>
      </c>
      <c r="C844" t="s">
        <v>2241</v>
      </c>
      <c r="D844" t="s">
        <v>2242</v>
      </c>
    </row>
    <row r="845" spans="1:4" x14ac:dyDescent="0.15">
      <c r="A845" t="s">
        <v>2246</v>
      </c>
      <c r="B845" t="s">
        <v>2243</v>
      </c>
      <c r="C845" t="s">
        <v>2244</v>
      </c>
      <c r="D845" t="s">
        <v>2245</v>
      </c>
    </row>
    <row r="847" spans="1:4" x14ac:dyDescent="0.15">
      <c r="A847" t="s">
        <v>2250</v>
      </c>
      <c r="B847" t="s">
        <v>1977</v>
      </c>
      <c r="C847" t="s">
        <v>1978</v>
      </c>
      <c r="D847" t="s">
        <v>1979</v>
      </c>
    </row>
    <row r="848" spans="1:4" x14ac:dyDescent="0.15">
      <c r="A848" t="s">
        <v>2250</v>
      </c>
      <c r="B848" t="s">
        <v>1980</v>
      </c>
      <c r="C848" t="s">
        <v>1981</v>
      </c>
      <c r="D848" t="s">
        <v>1982</v>
      </c>
    </row>
    <row r="849" spans="1:4" x14ac:dyDescent="0.15">
      <c r="A849" t="s">
        <v>2250</v>
      </c>
      <c r="B849" t="s">
        <v>1983</v>
      </c>
      <c r="C849" t="s">
        <v>1984</v>
      </c>
      <c r="D849" t="s">
        <v>1985</v>
      </c>
    </row>
    <row r="850" spans="1:4" x14ac:dyDescent="0.15">
      <c r="A850" t="s">
        <v>2250</v>
      </c>
      <c r="B850" t="s">
        <v>1986</v>
      </c>
      <c r="C850" t="s">
        <v>1987</v>
      </c>
      <c r="D850" t="s">
        <v>1988</v>
      </c>
    </row>
    <row r="851" spans="1:4" x14ac:dyDescent="0.15">
      <c r="A851" t="s">
        <v>2250</v>
      </c>
      <c r="B851" t="s">
        <v>1989</v>
      </c>
      <c r="C851" t="s">
        <v>1990</v>
      </c>
      <c r="D851" t="s">
        <v>1991</v>
      </c>
    </row>
    <row r="852" spans="1:4" x14ac:dyDescent="0.15">
      <c r="A852" t="s">
        <v>2250</v>
      </c>
      <c r="B852" t="s">
        <v>1992</v>
      </c>
      <c r="C852" t="s">
        <v>1993</v>
      </c>
      <c r="D852" t="s">
        <v>1994</v>
      </c>
    </row>
    <row r="853" spans="1:4" x14ac:dyDescent="0.15">
      <c r="A853" t="s">
        <v>2250</v>
      </c>
      <c r="B853" t="s">
        <v>1995</v>
      </c>
      <c r="C853" t="s">
        <v>1996</v>
      </c>
      <c r="D853" t="s">
        <v>1997</v>
      </c>
    </row>
    <row r="854" spans="1:4" x14ac:dyDescent="0.15">
      <c r="A854" t="s">
        <v>2250</v>
      </c>
      <c r="B854" t="s">
        <v>1998</v>
      </c>
      <c r="C854" t="s">
        <v>1999</v>
      </c>
      <c r="D854" t="s">
        <v>2000</v>
      </c>
    </row>
    <row r="855" spans="1:4" x14ac:dyDescent="0.15">
      <c r="A855" t="s">
        <v>2250</v>
      </c>
      <c r="B855" t="s">
        <v>2001</v>
      </c>
      <c r="C855" t="s">
        <v>2002</v>
      </c>
      <c r="D855" t="s">
        <v>2003</v>
      </c>
    </row>
    <row r="856" spans="1:4" x14ac:dyDescent="0.15">
      <c r="A856" t="s">
        <v>2250</v>
      </c>
      <c r="B856" t="s">
        <v>2004</v>
      </c>
      <c r="C856" t="s">
        <v>1870</v>
      </c>
      <c r="D856" t="s">
        <v>1871</v>
      </c>
    </row>
    <row r="857" spans="1:4" x14ac:dyDescent="0.15">
      <c r="A857" t="s">
        <v>2250</v>
      </c>
      <c r="B857" t="s">
        <v>2005</v>
      </c>
      <c r="C857" t="s">
        <v>2006</v>
      </c>
      <c r="D857" t="s">
        <v>2007</v>
      </c>
    </row>
    <row r="858" spans="1:4" x14ac:dyDescent="0.15">
      <c r="A858" t="s">
        <v>2250</v>
      </c>
      <c r="B858" t="s">
        <v>2008</v>
      </c>
      <c r="C858" t="s">
        <v>2009</v>
      </c>
      <c r="D858" t="s">
        <v>2010</v>
      </c>
    </row>
    <row r="859" spans="1:4" x14ac:dyDescent="0.15">
      <c r="A859" t="s">
        <v>2250</v>
      </c>
      <c r="B859" t="s">
        <v>2011</v>
      </c>
      <c r="C859" t="s">
        <v>2012</v>
      </c>
      <c r="D859" t="s">
        <v>2013</v>
      </c>
    </row>
    <row r="860" spans="1:4" x14ac:dyDescent="0.15">
      <c r="A860" t="s">
        <v>2250</v>
      </c>
      <c r="B860" t="s">
        <v>2014</v>
      </c>
      <c r="C860" t="s">
        <v>2015</v>
      </c>
      <c r="D860" t="s">
        <v>2016</v>
      </c>
    </row>
    <row r="861" spans="1:4" x14ac:dyDescent="0.15">
      <c r="A861" t="s">
        <v>2250</v>
      </c>
      <c r="B861" t="s">
        <v>2017</v>
      </c>
      <c r="C861" t="s">
        <v>2018</v>
      </c>
      <c r="D861" t="s">
        <v>2019</v>
      </c>
    </row>
    <row r="862" spans="1:4" x14ac:dyDescent="0.15">
      <c r="A862" t="s">
        <v>2250</v>
      </c>
      <c r="B862" t="s">
        <v>2020</v>
      </c>
      <c r="C862" t="s">
        <v>2021</v>
      </c>
      <c r="D862" t="s">
        <v>2022</v>
      </c>
    </row>
    <row r="863" spans="1:4" x14ac:dyDescent="0.15">
      <c r="A863" t="s">
        <v>2250</v>
      </c>
      <c r="B863" t="s">
        <v>2023</v>
      </c>
      <c r="C863" t="s">
        <v>2024</v>
      </c>
      <c r="D863" t="s">
        <v>2025</v>
      </c>
    </row>
    <row r="864" spans="1:4" x14ac:dyDescent="0.15">
      <c r="A864" t="s">
        <v>2250</v>
      </c>
      <c r="B864" t="s">
        <v>2026</v>
      </c>
      <c r="C864" t="s">
        <v>2027</v>
      </c>
      <c r="D864" t="s">
        <v>2028</v>
      </c>
    </row>
    <row r="865" spans="1:4" x14ac:dyDescent="0.15">
      <c r="A865" t="s">
        <v>2250</v>
      </c>
      <c r="B865" t="s">
        <v>2029</v>
      </c>
      <c r="C865" t="s">
        <v>2030</v>
      </c>
      <c r="D865" t="s">
        <v>2031</v>
      </c>
    </row>
    <row r="866" spans="1:4" x14ac:dyDescent="0.15">
      <c r="A866" t="s">
        <v>2250</v>
      </c>
      <c r="B866" t="s">
        <v>2032</v>
      </c>
      <c r="C866" t="s">
        <v>2033</v>
      </c>
      <c r="D866" t="s">
        <v>2033</v>
      </c>
    </row>
    <row r="867" spans="1:4" x14ac:dyDescent="0.15">
      <c r="A867" t="s">
        <v>2250</v>
      </c>
      <c r="B867" t="s">
        <v>2034</v>
      </c>
      <c r="C867" t="s">
        <v>2035</v>
      </c>
      <c r="D867" t="s">
        <v>2036</v>
      </c>
    </row>
    <row r="868" spans="1:4" x14ac:dyDescent="0.15">
      <c r="A868" t="s">
        <v>2250</v>
      </c>
      <c r="B868" t="s">
        <v>2037</v>
      </c>
      <c r="C868" t="s">
        <v>2038</v>
      </c>
      <c r="D868" t="s">
        <v>2039</v>
      </c>
    </row>
    <row r="869" spans="1:4" x14ac:dyDescent="0.15">
      <c r="A869" t="s">
        <v>2250</v>
      </c>
      <c r="B869" t="s">
        <v>2040</v>
      </c>
      <c r="C869" t="s">
        <v>2041</v>
      </c>
      <c r="D869" t="s">
        <v>2042</v>
      </c>
    </row>
    <row r="870" spans="1:4" x14ac:dyDescent="0.15">
      <c r="A870" t="s">
        <v>2250</v>
      </c>
      <c r="B870" t="s">
        <v>2043</v>
      </c>
      <c r="C870" t="s">
        <v>2044</v>
      </c>
      <c r="D870" t="s">
        <v>2045</v>
      </c>
    </row>
    <row r="871" spans="1:4" x14ac:dyDescent="0.15">
      <c r="A871" t="s">
        <v>2250</v>
      </c>
      <c r="B871" t="s">
        <v>2046</v>
      </c>
      <c r="C871" t="s">
        <v>2047</v>
      </c>
      <c r="D871" t="s">
        <v>2048</v>
      </c>
    </row>
    <row r="872" spans="1:4" x14ac:dyDescent="0.15">
      <c r="A872" t="s">
        <v>2250</v>
      </c>
      <c r="B872" t="s">
        <v>2049</v>
      </c>
      <c r="C872" t="s">
        <v>2050</v>
      </c>
      <c r="D872" t="s">
        <v>2051</v>
      </c>
    </row>
    <row r="873" spans="1:4" x14ac:dyDescent="0.15">
      <c r="A873" t="s">
        <v>2250</v>
      </c>
      <c r="B873" t="s">
        <v>2052</v>
      </c>
      <c r="C873" t="s">
        <v>2053</v>
      </c>
      <c r="D873" t="s">
        <v>2051</v>
      </c>
    </row>
    <row r="874" spans="1:4" x14ac:dyDescent="0.15">
      <c r="A874" t="s">
        <v>2250</v>
      </c>
      <c r="B874" t="s">
        <v>2054</v>
      </c>
      <c r="C874" t="s">
        <v>2055</v>
      </c>
      <c r="D874" t="s">
        <v>2056</v>
      </c>
    </row>
    <row r="875" spans="1:4" x14ac:dyDescent="0.15">
      <c r="A875" t="s">
        <v>2250</v>
      </c>
      <c r="B875" t="s">
        <v>2057</v>
      </c>
      <c r="C875" t="s">
        <v>2058</v>
      </c>
      <c r="D875" t="s">
        <v>2059</v>
      </c>
    </row>
    <row r="876" spans="1:4" x14ac:dyDescent="0.15">
      <c r="A876" t="s">
        <v>2250</v>
      </c>
      <c r="B876" t="s">
        <v>2060</v>
      </c>
      <c r="C876" t="s">
        <v>2061</v>
      </c>
      <c r="D876" t="s">
        <v>2062</v>
      </c>
    </row>
    <row r="877" spans="1:4" x14ac:dyDescent="0.15">
      <c r="A877" t="s">
        <v>2250</v>
      </c>
      <c r="B877" t="s">
        <v>2063</v>
      </c>
      <c r="C877" t="s">
        <v>2064</v>
      </c>
      <c r="D877" t="s">
        <v>2065</v>
      </c>
    </row>
    <row r="878" spans="1:4" x14ac:dyDescent="0.15">
      <c r="A878" t="s">
        <v>2250</v>
      </c>
      <c r="B878" t="s">
        <v>2066</v>
      </c>
      <c r="C878" t="s">
        <v>2067</v>
      </c>
      <c r="D878" t="s">
        <v>2068</v>
      </c>
    </row>
    <row r="879" spans="1:4" x14ac:dyDescent="0.15">
      <c r="A879" t="s">
        <v>2250</v>
      </c>
      <c r="B879" t="s">
        <v>2069</v>
      </c>
      <c r="C879" t="s">
        <v>2070</v>
      </c>
      <c r="D879" t="s">
        <v>2070</v>
      </c>
    </row>
    <row r="880" spans="1:4" x14ac:dyDescent="0.15">
      <c r="A880" t="s">
        <v>2250</v>
      </c>
      <c r="B880" t="s">
        <v>2071</v>
      </c>
      <c r="C880" t="s">
        <v>2072</v>
      </c>
      <c r="D880" t="s">
        <v>2073</v>
      </c>
    </row>
    <row r="881" spans="1:4" x14ac:dyDescent="0.15">
      <c r="A881" t="s">
        <v>2250</v>
      </c>
      <c r="B881" t="s">
        <v>2074</v>
      </c>
      <c r="C881" t="s">
        <v>2075</v>
      </c>
      <c r="D881" t="s">
        <v>2076</v>
      </c>
    </row>
    <row r="882" spans="1:4" x14ac:dyDescent="0.15">
      <c r="A882" t="s">
        <v>2250</v>
      </c>
      <c r="B882" t="s">
        <v>2077</v>
      </c>
      <c r="C882" t="s">
        <v>2078</v>
      </c>
      <c r="D882" t="s">
        <v>2079</v>
      </c>
    </row>
    <row r="883" spans="1:4" x14ac:dyDescent="0.15">
      <c r="A883" t="s">
        <v>2250</v>
      </c>
      <c r="B883" t="s">
        <v>2080</v>
      </c>
      <c r="C883" t="s">
        <v>2081</v>
      </c>
      <c r="D883" t="s">
        <v>2082</v>
      </c>
    </row>
    <row r="884" spans="1:4" x14ac:dyDescent="0.15">
      <c r="A884" t="s">
        <v>2250</v>
      </c>
      <c r="B884" t="s">
        <v>2083</v>
      </c>
      <c r="C884" t="s">
        <v>2084</v>
      </c>
      <c r="D884" t="s">
        <v>2085</v>
      </c>
    </row>
    <row r="885" spans="1:4" x14ac:dyDescent="0.15">
      <c r="A885" t="s">
        <v>2250</v>
      </c>
      <c r="B885" t="s">
        <v>2086</v>
      </c>
      <c r="C885" t="s">
        <v>2087</v>
      </c>
      <c r="D885" t="s">
        <v>2088</v>
      </c>
    </row>
    <row r="886" spans="1:4" x14ac:dyDescent="0.15">
      <c r="A886" t="s">
        <v>2250</v>
      </c>
      <c r="B886" t="s">
        <v>2089</v>
      </c>
      <c r="C886" t="s">
        <v>2090</v>
      </c>
      <c r="D886" t="s">
        <v>2091</v>
      </c>
    </row>
    <row r="887" spans="1:4" x14ac:dyDescent="0.15">
      <c r="A887" t="s">
        <v>2250</v>
      </c>
      <c r="B887" t="s">
        <v>2092</v>
      </c>
      <c r="C887" t="s">
        <v>2093</v>
      </c>
      <c r="D887" t="s">
        <v>2094</v>
      </c>
    </row>
    <row r="888" spans="1:4" x14ac:dyDescent="0.15">
      <c r="A888" t="s">
        <v>2250</v>
      </c>
      <c r="B888" t="s">
        <v>2095</v>
      </c>
      <c r="C888" t="s">
        <v>2096</v>
      </c>
      <c r="D888" t="s">
        <v>2096</v>
      </c>
    </row>
    <row r="889" spans="1:4" x14ac:dyDescent="0.15">
      <c r="A889" t="s">
        <v>2250</v>
      </c>
      <c r="B889" t="s">
        <v>2097</v>
      </c>
      <c r="C889" t="s">
        <v>2098</v>
      </c>
      <c r="D889" t="s">
        <v>2099</v>
      </c>
    </row>
    <row r="890" spans="1:4" x14ac:dyDescent="0.15">
      <c r="A890" t="s">
        <v>2250</v>
      </c>
      <c r="B890" t="s">
        <v>2100</v>
      </c>
      <c r="C890" t="s">
        <v>2101</v>
      </c>
      <c r="D890" t="s">
        <v>2102</v>
      </c>
    </row>
    <row r="891" spans="1:4" x14ac:dyDescent="0.15">
      <c r="A891" t="s">
        <v>2250</v>
      </c>
      <c r="B891" t="s">
        <v>2103</v>
      </c>
      <c r="C891" t="s">
        <v>2104</v>
      </c>
      <c r="D891" t="s">
        <v>2105</v>
      </c>
    </row>
    <row r="892" spans="1:4" x14ac:dyDescent="0.15">
      <c r="A892" t="s">
        <v>2250</v>
      </c>
      <c r="B892" t="s">
        <v>2106</v>
      </c>
      <c r="C892" t="s">
        <v>2107</v>
      </c>
      <c r="D892" t="s">
        <v>2108</v>
      </c>
    </row>
    <row r="893" spans="1:4" x14ac:dyDescent="0.15">
      <c r="A893" t="s">
        <v>2250</v>
      </c>
      <c r="B893" t="s">
        <v>2109</v>
      </c>
      <c r="C893" t="s">
        <v>2110</v>
      </c>
      <c r="D893" t="s">
        <v>2111</v>
      </c>
    </row>
    <row r="894" spans="1:4" x14ac:dyDescent="0.15">
      <c r="A894" t="s">
        <v>2250</v>
      </c>
      <c r="B894" t="s">
        <v>2112</v>
      </c>
      <c r="C894" t="s">
        <v>2113</v>
      </c>
      <c r="D894" t="s">
        <v>2114</v>
      </c>
    </row>
    <row r="895" spans="1:4" x14ac:dyDescent="0.15">
      <c r="A895" t="s">
        <v>2250</v>
      </c>
      <c r="B895" t="s">
        <v>2115</v>
      </c>
      <c r="C895" t="s">
        <v>2116</v>
      </c>
      <c r="D895" t="s">
        <v>2117</v>
      </c>
    </row>
    <row r="896" spans="1:4" x14ac:dyDescent="0.15">
      <c r="A896" t="s">
        <v>2250</v>
      </c>
      <c r="B896" t="s">
        <v>2118</v>
      </c>
      <c r="C896" t="s">
        <v>2119</v>
      </c>
      <c r="D896" t="s">
        <v>2120</v>
      </c>
    </row>
    <row r="897" spans="1:4" x14ac:dyDescent="0.15">
      <c r="A897" t="s">
        <v>2250</v>
      </c>
      <c r="B897" t="s">
        <v>2121</v>
      </c>
      <c r="C897" t="s">
        <v>2122</v>
      </c>
      <c r="D897" t="s">
        <v>2123</v>
      </c>
    </row>
    <row r="898" spans="1:4" x14ac:dyDescent="0.15">
      <c r="A898" t="s">
        <v>2250</v>
      </c>
      <c r="B898" t="s">
        <v>2124</v>
      </c>
      <c r="C898" t="s">
        <v>2125</v>
      </c>
      <c r="D898" t="s">
        <v>2126</v>
      </c>
    </row>
    <row r="899" spans="1:4" x14ac:dyDescent="0.15">
      <c r="A899" t="s">
        <v>2250</v>
      </c>
      <c r="B899" t="s">
        <v>2127</v>
      </c>
      <c r="C899" t="s">
        <v>2128</v>
      </c>
      <c r="D899" t="s">
        <v>2129</v>
      </c>
    </row>
    <row r="900" spans="1:4" x14ac:dyDescent="0.15">
      <c r="A900" t="s">
        <v>2250</v>
      </c>
      <c r="B900" t="s">
        <v>2130</v>
      </c>
      <c r="C900" t="s">
        <v>2131</v>
      </c>
      <c r="D900" t="s">
        <v>2132</v>
      </c>
    </row>
    <row r="901" spans="1:4" x14ac:dyDescent="0.15">
      <c r="A901" t="s">
        <v>2250</v>
      </c>
      <c r="B901" t="s">
        <v>2133</v>
      </c>
      <c r="C901" t="s">
        <v>2134</v>
      </c>
      <c r="D901" t="s">
        <v>1340</v>
      </c>
    </row>
    <row r="902" spans="1:4" x14ac:dyDescent="0.15">
      <c r="A902" t="s">
        <v>2250</v>
      </c>
      <c r="B902" t="s">
        <v>2135</v>
      </c>
      <c r="C902" t="s">
        <v>2136</v>
      </c>
      <c r="D902" t="s">
        <v>2137</v>
      </c>
    </row>
    <row r="903" spans="1:4" x14ac:dyDescent="0.15">
      <c r="A903" t="s">
        <v>2250</v>
      </c>
      <c r="B903" t="s">
        <v>2138</v>
      </c>
      <c r="C903" t="s">
        <v>2139</v>
      </c>
      <c r="D903" t="s">
        <v>2140</v>
      </c>
    </row>
    <row r="904" spans="1:4" x14ac:dyDescent="0.15">
      <c r="A904" t="s">
        <v>2250</v>
      </c>
      <c r="B904" t="s">
        <v>2141</v>
      </c>
      <c r="C904" t="s">
        <v>2142</v>
      </c>
      <c r="D904" t="s">
        <v>2143</v>
      </c>
    </row>
    <row r="905" spans="1:4" x14ac:dyDescent="0.15">
      <c r="A905" t="s">
        <v>2250</v>
      </c>
      <c r="B905" t="s">
        <v>2144</v>
      </c>
      <c r="C905" t="s">
        <v>2145</v>
      </c>
      <c r="D905" t="s">
        <v>2146</v>
      </c>
    </row>
    <row r="906" spans="1:4" x14ac:dyDescent="0.15">
      <c r="A906" t="s">
        <v>2250</v>
      </c>
      <c r="B906" t="s">
        <v>2147</v>
      </c>
      <c r="C906" t="s">
        <v>2148</v>
      </c>
      <c r="D906" t="s">
        <v>2149</v>
      </c>
    </row>
    <row r="907" spans="1:4" x14ac:dyDescent="0.15">
      <c r="A907" t="s">
        <v>2250</v>
      </c>
      <c r="B907" t="s">
        <v>2150</v>
      </c>
      <c r="C907" t="s">
        <v>2151</v>
      </c>
      <c r="D907" t="s">
        <v>2152</v>
      </c>
    </row>
    <row r="908" spans="1:4" x14ac:dyDescent="0.15">
      <c r="A908" t="s">
        <v>2250</v>
      </c>
      <c r="B908" t="s">
        <v>2153</v>
      </c>
      <c r="C908" t="s">
        <v>2154</v>
      </c>
      <c r="D908" t="s">
        <v>2154</v>
      </c>
    </row>
    <row r="909" spans="1:4" x14ac:dyDescent="0.15">
      <c r="A909" t="s">
        <v>2250</v>
      </c>
      <c r="B909" t="s">
        <v>2155</v>
      </c>
      <c r="C909" t="s">
        <v>2156</v>
      </c>
      <c r="D909" t="s">
        <v>2156</v>
      </c>
    </row>
    <row r="910" spans="1:4" x14ac:dyDescent="0.15">
      <c r="A910" t="s">
        <v>2250</v>
      </c>
      <c r="B910" t="s">
        <v>2157</v>
      </c>
      <c r="C910" t="s">
        <v>2158</v>
      </c>
      <c r="D910" t="s">
        <v>2159</v>
      </c>
    </row>
    <row r="911" spans="1:4" x14ac:dyDescent="0.15">
      <c r="A911" t="s">
        <v>2250</v>
      </c>
      <c r="B911" t="s">
        <v>2160</v>
      </c>
      <c r="C911" t="s">
        <v>2161</v>
      </c>
      <c r="D911" t="s">
        <v>2162</v>
      </c>
    </row>
    <row r="912" spans="1:4" x14ac:dyDescent="0.15">
      <c r="A912" t="s">
        <v>2250</v>
      </c>
      <c r="B912" t="s">
        <v>2163</v>
      </c>
      <c r="C912" t="s">
        <v>2164</v>
      </c>
      <c r="D912" t="s">
        <v>2165</v>
      </c>
    </row>
    <row r="913" spans="1:4" x14ac:dyDescent="0.15">
      <c r="A913" t="s">
        <v>2250</v>
      </c>
      <c r="B913" t="s">
        <v>2166</v>
      </c>
      <c r="C913" t="s">
        <v>2167</v>
      </c>
      <c r="D913" t="s">
        <v>2168</v>
      </c>
    </row>
    <row r="914" spans="1:4" x14ac:dyDescent="0.15">
      <c r="A914" t="s">
        <v>2250</v>
      </c>
      <c r="B914" t="s">
        <v>2169</v>
      </c>
      <c r="C914" t="s">
        <v>2170</v>
      </c>
      <c r="D914" t="s">
        <v>2171</v>
      </c>
    </row>
    <row r="915" spans="1:4" x14ac:dyDescent="0.15">
      <c r="A915" t="s">
        <v>2250</v>
      </c>
      <c r="B915" t="s">
        <v>2172</v>
      </c>
      <c r="C915" t="s">
        <v>2173</v>
      </c>
      <c r="D915" t="s">
        <v>2174</v>
      </c>
    </row>
    <row r="916" spans="1:4" x14ac:dyDescent="0.15">
      <c r="A916" t="s">
        <v>2250</v>
      </c>
      <c r="B916" t="s">
        <v>2175</v>
      </c>
      <c r="C916" t="s">
        <v>2176</v>
      </c>
      <c r="D916" t="s">
        <v>2177</v>
      </c>
    </row>
    <row r="917" spans="1:4" x14ac:dyDescent="0.15">
      <c r="A917" t="s">
        <v>2250</v>
      </c>
      <c r="B917" t="s">
        <v>2178</v>
      </c>
      <c r="C917" t="s">
        <v>2179</v>
      </c>
      <c r="D917" t="s">
        <v>2180</v>
      </c>
    </row>
    <row r="918" spans="1:4" x14ac:dyDescent="0.15">
      <c r="A918" t="s">
        <v>2250</v>
      </c>
      <c r="B918" t="s">
        <v>2181</v>
      </c>
      <c r="C918" t="s">
        <v>2182</v>
      </c>
      <c r="D918" t="s">
        <v>2183</v>
      </c>
    </row>
    <row r="919" spans="1:4" x14ac:dyDescent="0.15">
      <c r="A919" t="s">
        <v>2250</v>
      </c>
      <c r="B919" t="s">
        <v>2184</v>
      </c>
      <c r="C919" t="s">
        <v>2185</v>
      </c>
      <c r="D919" t="s">
        <v>2186</v>
      </c>
    </row>
    <row r="920" spans="1:4" x14ac:dyDescent="0.15">
      <c r="A920" t="s">
        <v>2250</v>
      </c>
      <c r="B920" t="s">
        <v>2187</v>
      </c>
      <c r="C920" t="s">
        <v>2188</v>
      </c>
      <c r="D920" t="s">
        <v>2189</v>
      </c>
    </row>
    <row r="921" spans="1:4" x14ac:dyDescent="0.15">
      <c r="A921" t="s">
        <v>2250</v>
      </c>
      <c r="B921" t="s">
        <v>2190</v>
      </c>
      <c r="C921" t="s">
        <v>2191</v>
      </c>
      <c r="D921" t="s">
        <v>2192</v>
      </c>
    </row>
    <row r="922" spans="1:4" x14ac:dyDescent="0.15">
      <c r="A922" t="s">
        <v>2250</v>
      </c>
      <c r="B922" t="s">
        <v>2193</v>
      </c>
      <c r="C922" t="s">
        <v>2194</v>
      </c>
      <c r="D922" t="s">
        <v>2195</v>
      </c>
    </row>
    <row r="923" spans="1:4" x14ac:dyDescent="0.15">
      <c r="A923" t="s">
        <v>2250</v>
      </c>
      <c r="B923" t="s">
        <v>2196</v>
      </c>
      <c r="C923" t="s">
        <v>2197</v>
      </c>
      <c r="D923" t="s">
        <v>2198</v>
      </c>
    </row>
    <row r="924" spans="1:4" x14ac:dyDescent="0.15">
      <c r="A924" t="s">
        <v>2250</v>
      </c>
      <c r="B924" t="s">
        <v>2199</v>
      </c>
      <c r="C924" t="s">
        <v>2200</v>
      </c>
      <c r="D924" t="s">
        <v>2201</v>
      </c>
    </row>
    <row r="925" spans="1:4" x14ac:dyDescent="0.15">
      <c r="A925" t="s">
        <v>2250</v>
      </c>
      <c r="B925" t="s">
        <v>2202</v>
      </c>
      <c r="C925" t="s">
        <v>2203</v>
      </c>
      <c r="D925" t="s">
        <v>2204</v>
      </c>
    </row>
    <row r="926" spans="1:4" x14ac:dyDescent="0.15">
      <c r="A926" t="s">
        <v>2250</v>
      </c>
      <c r="B926" t="s">
        <v>2205</v>
      </c>
      <c r="C926" t="s">
        <v>2206</v>
      </c>
      <c r="D926" t="s">
        <v>2207</v>
      </c>
    </row>
    <row r="927" spans="1:4" x14ac:dyDescent="0.15">
      <c r="A927" t="s">
        <v>2250</v>
      </c>
      <c r="B927" t="s">
        <v>2208</v>
      </c>
      <c r="C927" t="s">
        <v>2209</v>
      </c>
      <c r="D927" t="s">
        <v>2210</v>
      </c>
    </row>
    <row r="928" spans="1:4" x14ac:dyDescent="0.15">
      <c r="A928" t="s">
        <v>2250</v>
      </c>
      <c r="B928" t="s">
        <v>2211</v>
      </c>
      <c r="C928" t="s">
        <v>2212</v>
      </c>
      <c r="D928" t="s">
        <v>2213</v>
      </c>
    </row>
    <row r="929" spans="1:4" x14ac:dyDescent="0.15">
      <c r="A929" t="s">
        <v>2250</v>
      </c>
      <c r="B929" t="s">
        <v>2214</v>
      </c>
      <c r="C929" t="s">
        <v>2215</v>
      </c>
      <c r="D929" t="s">
        <v>2216</v>
      </c>
    </row>
    <row r="930" spans="1:4" x14ac:dyDescent="0.15">
      <c r="A930" t="s">
        <v>2250</v>
      </c>
      <c r="B930" t="s">
        <v>2217</v>
      </c>
      <c r="C930" t="s">
        <v>2218</v>
      </c>
      <c r="D930" t="s">
        <v>2219</v>
      </c>
    </row>
    <row r="931" spans="1:4" x14ac:dyDescent="0.15">
      <c r="A931" t="s">
        <v>2250</v>
      </c>
      <c r="B931" t="s">
        <v>2220</v>
      </c>
      <c r="C931" t="s">
        <v>2221</v>
      </c>
      <c r="D931" t="s">
        <v>2222</v>
      </c>
    </row>
    <row r="932" spans="1:4" x14ac:dyDescent="0.15">
      <c r="A932" t="s">
        <v>2250</v>
      </c>
      <c r="B932" t="s">
        <v>2223</v>
      </c>
      <c r="C932" t="s">
        <v>2224</v>
      </c>
      <c r="D932" t="s">
        <v>2225</v>
      </c>
    </row>
    <row r="933" spans="1:4" x14ac:dyDescent="0.15">
      <c r="A933" t="s">
        <v>2250</v>
      </c>
      <c r="B933" t="s">
        <v>2226</v>
      </c>
      <c r="C933" t="s">
        <v>2227</v>
      </c>
      <c r="D933" t="s">
        <v>2228</v>
      </c>
    </row>
    <row r="934" spans="1:4" x14ac:dyDescent="0.15">
      <c r="A934" t="s">
        <v>2250</v>
      </c>
      <c r="B934" t="s">
        <v>2229</v>
      </c>
      <c r="C934" t="s">
        <v>2230</v>
      </c>
      <c r="D934" t="s">
        <v>2231</v>
      </c>
    </row>
    <row r="935" spans="1:4" x14ac:dyDescent="0.15">
      <c r="A935" t="s">
        <v>2250</v>
      </c>
      <c r="B935" t="s">
        <v>2232</v>
      </c>
      <c r="C935" t="s">
        <v>2233</v>
      </c>
      <c r="D935" t="s">
        <v>2233</v>
      </c>
    </row>
    <row r="936" spans="1:4" x14ac:dyDescent="0.15">
      <c r="A936" t="s">
        <v>2250</v>
      </c>
      <c r="B936" t="s">
        <v>2234</v>
      </c>
      <c r="C936" t="s">
        <v>2235</v>
      </c>
      <c r="D936" t="s">
        <v>2236</v>
      </c>
    </row>
    <row r="937" spans="1:4" x14ac:dyDescent="0.15">
      <c r="A937" t="s">
        <v>2250</v>
      </c>
      <c r="B937" t="s">
        <v>2240</v>
      </c>
      <c r="C937" t="s">
        <v>2241</v>
      </c>
      <c r="D937" t="s">
        <v>2242</v>
      </c>
    </row>
    <row r="938" spans="1:4" x14ac:dyDescent="0.15">
      <c r="A938" t="s">
        <v>2250</v>
      </c>
      <c r="B938" t="s">
        <v>2243</v>
      </c>
      <c r="C938" t="s">
        <v>2244</v>
      </c>
      <c r="D938" t="s">
        <v>2245</v>
      </c>
    </row>
    <row r="940" spans="1:4" x14ac:dyDescent="0.15">
      <c r="A940" t="s">
        <v>2251</v>
      </c>
      <c r="B940" t="s">
        <v>2252</v>
      </c>
      <c r="C940" t="s">
        <v>2253</v>
      </c>
      <c r="D940" s="110" t="s">
        <v>2253</v>
      </c>
    </row>
    <row r="941" spans="1:4" x14ac:dyDescent="0.15">
      <c r="A941" t="s">
        <v>2251</v>
      </c>
      <c r="B941" t="s">
        <v>2254</v>
      </c>
      <c r="C941" t="s">
        <v>2255</v>
      </c>
      <c r="D941" s="110" t="s">
        <v>2255</v>
      </c>
    </row>
    <row r="942" spans="1:4" x14ac:dyDescent="0.15">
      <c r="A942" t="s">
        <v>2251</v>
      </c>
      <c r="B942" t="s">
        <v>2256</v>
      </c>
      <c r="C942" t="s">
        <v>2257</v>
      </c>
      <c r="D942" s="110" t="s">
        <v>2257</v>
      </c>
    </row>
    <row r="943" spans="1:4" x14ac:dyDescent="0.15">
      <c r="A943" t="s">
        <v>2251</v>
      </c>
      <c r="B943" t="s">
        <v>2258</v>
      </c>
      <c r="C943" t="s">
        <v>2259</v>
      </c>
      <c r="D943" s="110" t="s">
        <v>2259</v>
      </c>
    </row>
    <row r="944" spans="1:4" x14ac:dyDescent="0.15">
      <c r="A944" t="s">
        <v>2251</v>
      </c>
      <c r="B944" t="s">
        <v>2260</v>
      </c>
      <c r="C944" t="s">
        <v>2261</v>
      </c>
      <c r="D944" s="110" t="s">
        <v>2261</v>
      </c>
    </row>
    <row r="945" spans="1:4" x14ac:dyDescent="0.15">
      <c r="A945" t="s">
        <v>2251</v>
      </c>
      <c r="B945" t="s">
        <v>2262</v>
      </c>
      <c r="C945" t="s">
        <v>2263</v>
      </c>
      <c r="D945" s="110" t="s">
        <v>2263</v>
      </c>
    </row>
    <row r="946" spans="1:4" x14ac:dyDescent="0.15">
      <c r="A946" t="s">
        <v>2251</v>
      </c>
      <c r="B946" t="s">
        <v>2264</v>
      </c>
      <c r="C946" t="s">
        <v>2265</v>
      </c>
      <c r="D946" s="110" t="s">
        <v>2265</v>
      </c>
    </row>
    <row r="947" spans="1:4" x14ac:dyDescent="0.15">
      <c r="A947" t="s">
        <v>2251</v>
      </c>
      <c r="B947" t="s">
        <v>2266</v>
      </c>
      <c r="C947" t="s">
        <v>2267</v>
      </c>
      <c r="D947" s="110" t="s">
        <v>2267</v>
      </c>
    </row>
    <row r="948" spans="1:4" x14ac:dyDescent="0.15">
      <c r="A948" t="s">
        <v>2251</v>
      </c>
      <c r="B948" t="s">
        <v>2268</v>
      </c>
      <c r="C948" t="s">
        <v>2269</v>
      </c>
      <c r="D948" s="110" t="s">
        <v>2269</v>
      </c>
    </row>
    <row r="949" spans="1:4" x14ac:dyDescent="0.15">
      <c r="A949" t="s">
        <v>2251</v>
      </c>
      <c r="B949" t="s">
        <v>2270</v>
      </c>
      <c r="C949" t="s">
        <v>2271</v>
      </c>
      <c r="D949" s="110" t="s">
        <v>2271</v>
      </c>
    </row>
    <row r="950" spans="1:4" x14ac:dyDescent="0.15">
      <c r="A950" t="s">
        <v>2251</v>
      </c>
      <c r="B950" t="s">
        <v>2272</v>
      </c>
      <c r="C950" t="s">
        <v>2273</v>
      </c>
      <c r="D950" s="110" t="s">
        <v>2273</v>
      </c>
    </row>
    <row r="951" spans="1:4" x14ac:dyDescent="0.15">
      <c r="A951" t="s">
        <v>2251</v>
      </c>
      <c r="B951" t="s">
        <v>2274</v>
      </c>
      <c r="C951" t="s">
        <v>2275</v>
      </c>
      <c r="D951" s="110" t="s">
        <v>2275</v>
      </c>
    </row>
    <row r="952" spans="1:4" x14ac:dyDescent="0.15">
      <c r="A952" t="s">
        <v>2251</v>
      </c>
      <c r="B952" t="s">
        <v>2276</v>
      </c>
      <c r="C952" t="s">
        <v>2277</v>
      </c>
      <c r="D952" s="110" t="s">
        <v>2277</v>
      </c>
    </row>
    <row r="953" spans="1:4" x14ac:dyDescent="0.15">
      <c r="A953" t="s">
        <v>2251</v>
      </c>
      <c r="B953" t="s">
        <v>2278</v>
      </c>
      <c r="C953" t="s">
        <v>2279</v>
      </c>
      <c r="D953" s="110" t="s">
        <v>2279</v>
      </c>
    </row>
    <row r="954" spans="1:4" x14ac:dyDescent="0.15">
      <c r="A954" t="s">
        <v>2251</v>
      </c>
      <c r="B954" t="s">
        <v>2280</v>
      </c>
      <c r="C954" t="s">
        <v>2281</v>
      </c>
      <c r="D954" s="110" t="s">
        <v>2281</v>
      </c>
    </row>
    <row r="955" spans="1:4" x14ac:dyDescent="0.15">
      <c r="A955" t="s">
        <v>2251</v>
      </c>
      <c r="B955" t="s">
        <v>2282</v>
      </c>
      <c r="C955" t="s">
        <v>2283</v>
      </c>
      <c r="D955" s="110" t="s">
        <v>2283</v>
      </c>
    </row>
    <row r="956" spans="1:4" x14ac:dyDescent="0.15">
      <c r="A956" t="s">
        <v>2251</v>
      </c>
      <c r="B956" t="s">
        <v>2284</v>
      </c>
      <c r="C956" t="s">
        <v>2285</v>
      </c>
      <c r="D956" s="110" t="s">
        <v>2285</v>
      </c>
    </row>
    <row r="957" spans="1:4" x14ac:dyDescent="0.15">
      <c r="A957" t="s">
        <v>2251</v>
      </c>
      <c r="B957" t="s">
        <v>2286</v>
      </c>
      <c r="C957" t="s">
        <v>2287</v>
      </c>
      <c r="D957" s="110" t="s">
        <v>2287</v>
      </c>
    </row>
    <row r="958" spans="1:4" x14ac:dyDescent="0.15">
      <c r="A958" t="s">
        <v>2251</v>
      </c>
      <c r="B958" t="s">
        <v>2288</v>
      </c>
      <c r="C958" t="s">
        <v>2289</v>
      </c>
      <c r="D958" s="110" t="s">
        <v>2289</v>
      </c>
    </row>
    <row r="959" spans="1:4" x14ac:dyDescent="0.15">
      <c r="A959" t="s">
        <v>2251</v>
      </c>
      <c r="B959" t="s">
        <v>2290</v>
      </c>
      <c r="C959" t="s">
        <v>2291</v>
      </c>
      <c r="D959" s="110" t="s">
        <v>2291</v>
      </c>
    </row>
    <row r="960" spans="1:4" x14ac:dyDescent="0.15">
      <c r="A960" t="s">
        <v>2251</v>
      </c>
      <c r="B960" t="s">
        <v>2292</v>
      </c>
      <c r="C960" t="s">
        <v>2293</v>
      </c>
      <c r="D960" s="110" t="s">
        <v>2293</v>
      </c>
    </row>
    <row r="961" spans="1:5" x14ac:dyDescent="0.15">
      <c r="A961" t="s">
        <v>2251</v>
      </c>
      <c r="B961" t="s">
        <v>2294</v>
      </c>
      <c r="C961" t="s">
        <v>2295</v>
      </c>
      <c r="D961" s="110" t="s">
        <v>2295</v>
      </c>
    </row>
    <row r="963" spans="1:5" x14ac:dyDescent="0.15">
      <c r="A963" t="s">
        <v>2296</v>
      </c>
      <c r="B963" t="s">
        <v>2297</v>
      </c>
      <c r="C963" t="s">
        <v>2298</v>
      </c>
      <c r="D963" s="110" t="s">
        <v>2298</v>
      </c>
      <c r="E963" s="110" t="s">
        <v>2252</v>
      </c>
    </row>
    <row r="964" spans="1:5" x14ac:dyDescent="0.15">
      <c r="A964" t="s">
        <v>2296</v>
      </c>
      <c r="B964" t="s">
        <v>2299</v>
      </c>
      <c r="C964" t="s">
        <v>2300</v>
      </c>
      <c r="D964" s="110" t="s">
        <v>2300</v>
      </c>
      <c r="E964" s="110" t="s">
        <v>2252</v>
      </c>
    </row>
    <row r="965" spans="1:5" x14ac:dyDescent="0.15">
      <c r="A965" t="s">
        <v>2296</v>
      </c>
      <c r="B965" t="s">
        <v>2301</v>
      </c>
      <c r="C965" t="s">
        <v>2302</v>
      </c>
      <c r="D965" s="110" t="s">
        <v>2302</v>
      </c>
      <c r="E965" s="110" t="s">
        <v>2252</v>
      </c>
    </row>
    <row r="966" spans="1:5" x14ac:dyDescent="0.15">
      <c r="A966" t="s">
        <v>2296</v>
      </c>
      <c r="B966" t="s">
        <v>2303</v>
      </c>
      <c r="C966" t="s">
        <v>2304</v>
      </c>
      <c r="D966" s="110" t="s">
        <v>2304</v>
      </c>
      <c r="E966" s="110" t="s">
        <v>2252</v>
      </c>
    </row>
    <row r="967" spans="1:5" x14ac:dyDescent="0.15">
      <c r="A967" t="s">
        <v>2296</v>
      </c>
      <c r="B967" t="s">
        <v>2305</v>
      </c>
      <c r="C967" t="s">
        <v>2306</v>
      </c>
      <c r="D967" s="110" t="s">
        <v>2306</v>
      </c>
      <c r="E967" s="110" t="s">
        <v>2252</v>
      </c>
    </row>
    <row r="968" spans="1:5" x14ac:dyDescent="0.15">
      <c r="A968" t="s">
        <v>2296</v>
      </c>
      <c r="B968" t="s">
        <v>2307</v>
      </c>
      <c r="C968" t="s">
        <v>2308</v>
      </c>
      <c r="D968" s="110" t="s">
        <v>2308</v>
      </c>
      <c r="E968" s="110" t="s">
        <v>2252</v>
      </c>
    </row>
    <row r="969" spans="1:5" x14ac:dyDescent="0.15">
      <c r="A969" t="s">
        <v>2296</v>
      </c>
      <c r="B969" t="s">
        <v>2309</v>
      </c>
      <c r="C969" t="s">
        <v>2310</v>
      </c>
      <c r="D969" s="110" t="s">
        <v>2310</v>
      </c>
      <c r="E969" s="110" t="s">
        <v>2252</v>
      </c>
    </row>
    <row r="970" spans="1:5" x14ac:dyDescent="0.15">
      <c r="A970" t="s">
        <v>2296</v>
      </c>
      <c r="B970" t="s">
        <v>2311</v>
      </c>
      <c r="C970" t="s">
        <v>2312</v>
      </c>
      <c r="D970" s="110" t="s">
        <v>2312</v>
      </c>
      <c r="E970" s="110" t="s">
        <v>2252</v>
      </c>
    </row>
    <row r="971" spans="1:5" x14ac:dyDescent="0.15">
      <c r="A971" t="s">
        <v>2296</v>
      </c>
      <c r="B971" t="s">
        <v>2313</v>
      </c>
      <c r="C971" t="s">
        <v>2314</v>
      </c>
      <c r="D971" s="110" t="s">
        <v>2314</v>
      </c>
      <c r="E971" s="110" t="s">
        <v>2252</v>
      </c>
    </row>
    <row r="972" spans="1:5" x14ac:dyDescent="0.15">
      <c r="A972" t="s">
        <v>2296</v>
      </c>
      <c r="B972" t="s">
        <v>2315</v>
      </c>
      <c r="C972" t="s">
        <v>2316</v>
      </c>
      <c r="D972" s="110" t="s">
        <v>2316</v>
      </c>
      <c r="E972" s="110" t="s">
        <v>2252</v>
      </c>
    </row>
    <row r="973" spans="1:5" x14ac:dyDescent="0.15">
      <c r="A973" t="s">
        <v>2296</v>
      </c>
      <c r="B973" t="s">
        <v>2317</v>
      </c>
      <c r="C973" t="s">
        <v>2318</v>
      </c>
      <c r="D973" s="110" t="s">
        <v>2318</v>
      </c>
      <c r="E973" s="110" t="s">
        <v>2252</v>
      </c>
    </row>
    <row r="974" spans="1:5" x14ac:dyDescent="0.15">
      <c r="A974" t="s">
        <v>2296</v>
      </c>
      <c r="B974" t="s">
        <v>2319</v>
      </c>
      <c r="C974" t="s">
        <v>2320</v>
      </c>
      <c r="D974" s="110" t="s">
        <v>2320</v>
      </c>
      <c r="E974" s="110" t="s">
        <v>2252</v>
      </c>
    </row>
    <row r="975" spans="1:5" x14ac:dyDescent="0.15">
      <c r="A975" t="s">
        <v>2296</v>
      </c>
      <c r="B975" t="s">
        <v>2321</v>
      </c>
      <c r="C975" t="s">
        <v>2322</v>
      </c>
      <c r="D975" s="110" t="s">
        <v>2322</v>
      </c>
      <c r="E975" s="110" t="s">
        <v>2252</v>
      </c>
    </row>
    <row r="976" spans="1:5" x14ac:dyDescent="0.15">
      <c r="A976" t="s">
        <v>2296</v>
      </c>
      <c r="B976" t="s">
        <v>2323</v>
      </c>
      <c r="C976" t="s">
        <v>2324</v>
      </c>
      <c r="D976" s="110" t="s">
        <v>2324</v>
      </c>
      <c r="E976" s="110" t="s">
        <v>2252</v>
      </c>
    </row>
    <row r="977" spans="1:5" x14ac:dyDescent="0.15">
      <c r="A977" t="s">
        <v>2296</v>
      </c>
      <c r="B977" t="s">
        <v>2325</v>
      </c>
      <c r="C977" t="s">
        <v>2326</v>
      </c>
      <c r="D977" s="110" t="s">
        <v>2326</v>
      </c>
      <c r="E977" s="110" t="s">
        <v>2252</v>
      </c>
    </row>
    <row r="978" spans="1:5" x14ac:dyDescent="0.15">
      <c r="A978" t="s">
        <v>2296</v>
      </c>
      <c r="B978" t="s">
        <v>2327</v>
      </c>
      <c r="C978" t="s">
        <v>2328</v>
      </c>
      <c r="D978" s="110" t="s">
        <v>2328</v>
      </c>
      <c r="E978" s="110" t="s">
        <v>2252</v>
      </c>
    </row>
    <row r="979" spans="1:5" x14ac:dyDescent="0.15">
      <c r="A979" t="s">
        <v>2296</v>
      </c>
      <c r="B979" t="s">
        <v>2329</v>
      </c>
      <c r="C979" t="s">
        <v>2330</v>
      </c>
      <c r="D979" s="110" t="s">
        <v>2330</v>
      </c>
      <c r="E979" s="110" t="s">
        <v>2252</v>
      </c>
    </row>
    <row r="980" spans="1:5" x14ac:dyDescent="0.15">
      <c r="A980" t="s">
        <v>2296</v>
      </c>
      <c r="B980" t="s">
        <v>2331</v>
      </c>
      <c r="C980" t="s">
        <v>2332</v>
      </c>
      <c r="D980" s="110" t="s">
        <v>2332</v>
      </c>
      <c r="E980" s="110" t="s">
        <v>2252</v>
      </c>
    </row>
    <row r="981" spans="1:5" x14ac:dyDescent="0.15">
      <c r="A981" t="s">
        <v>2296</v>
      </c>
      <c r="B981" t="s">
        <v>2333</v>
      </c>
      <c r="C981" t="s">
        <v>2334</v>
      </c>
      <c r="D981" s="110" t="s">
        <v>2334</v>
      </c>
      <c r="E981" s="110" t="s">
        <v>2254</v>
      </c>
    </row>
    <row r="982" spans="1:5" x14ac:dyDescent="0.15">
      <c r="A982" t="s">
        <v>2296</v>
      </c>
      <c r="B982" t="s">
        <v>2335</v>
      </c>
      <c r="C982" t="s">
        <v>2336</v>
      </c>
      <c r="D982" s="110" t="s">
        <v>2336</v>
      </c>
      <c r="E982" s="110" t="s">
        <v>2254</v>
      </c>
    </row>
    <row r="983" spans="1:5" x14ac:dyDescent="0.15">
      <c r="A983" t="s">
        <v>2296</v>
      </c>
      <c r="B983" t="s">
        <v>2337</v>
      </c>
      <c r="C983" t="s">
        <v>2338</v>
      </c>
      <c r="D983" s="110" t="s">
        <v>2338</v>
      </c>
      <c r="E983" s="110" t="s">
        <v>2254</v>
      </c>
    </row>
    <row r="984" spans="1:5" x14ac:dyDescent="0.15">
      <c r="A984" t="s">
        <v>2296</v>
      </c>
      <c r="B984" t="s">
        <v>2339</v>
      </c>
      <c r="C984" t="s">
        <v>2340</v>
      </c>
      <c r="D984" s="110" t="s">
        <v>2340</v>
      </c>
      <c r="E984" s="110" t="s">
        <v>2254</v>
      </c>
    </row>
    <row r="985" spans="1:5" x14ac:dyDescent="0.15">
      <c r="A985" t="s">
        <v>2296</v>
      </c>
      <c r="B985" t="s">
        <v>2341</v>
      </c>
      <c r="C985" t="s">
        <v>2342</v>
      </c>
      <c r="D985" s="110" t="s">
        <v>2342</v>
      </c>
      <c r="E985" s="110" t="s">
        <v>2254</v>
      </c>
    </row>
    <row r="986" spans="1:5" x14ac:dyDescent="0.15">
      <c r="A986" t="s">
        <v>2296</v>
      </c>
      <c r="B986" t="s">
        <v>2343</v>
      </c>
      <c r="C986" t="s">
        <v>2344</v>
      </c>
      <c r="D986" s="110" t="s">
        <v>2344</v>
      </c>
      <c r="E986" s="110" t="s">
        <v>2254</v>
      </c>
    </row>
    <row r="987" spans="1:5" x14ac:dyDescent="0.15">
      <c r="A987" t="s">
        <v>2296</v>
      </c>
      <c r="B987" t="s">
        <v>2345</v>
      </c>
      <c r="C987" t="s">
        <v>2346</v>
      </c>
      <c r="D987" s="110" t="s">
        <v>2346</v>
      </c>
      <c r="E987" s="110" t="s">
        <v>2254</v>
      </c>
    </row>
    <row r="988" spans="1:5" x14ac:dyDescent="0.15">
      <c r="A988" t="s">
        <v>2296</v>
      </c>
      <c r="B988" t="s">
        <v>2347</v>
      </c>
      <c r="C988" t="s">
        <v>2348</v>
      </c>
      <c r="D988" s="110" t="s">
        <v>2348</v>
      </c>
      <c r="E988" s="110" t="s">
        <v>2254</v>
      </c>
    </row>
    <row r="989" spans="1:5" x14ac:dyDescent="0.15">
      <c r="A989" t="s">
        <v>2296</v>
      </c>
      <c r="B989" t="s">
        <v>2349</v>
      </c>
      <c r="C989" t="s">
        <v>2350</v>
      </c>
      <c r="D989" s="110" t="s">
        <v>2350</v>
      </c>
      <c r="E989" s="110" t="s">
        <v>2256</v>
      </c>
    </row>
    <row r="990" spans="1:5" x14ac:dyDescent="0.15">
      <c r="A990" t="s">
        <v>2296</v>
      </c>
      <c r="B990" t="s">
        <v>2351</v>
      </c>
      <c r="C990" t="s">
        <v>2352</v>
      </c>
      <c r="D990" s="110" t="s">
        <v>2352</v>
      </c>
      <c r="E990" s="110" t="s">
        <v>2256</v>
      </c>
    </row>
    <row r="991" spans="1:5" x14ac:dyDescent="0.15">
      <c r="A991" t="s">
        <v>2296</v>
      </c>
      <c r="B991" t="s">
        <v>2353</v>
      </c>
      <c r="C991" t="s">
        <v>2354</v>
      </c>
      <c r="D991" s="110" t="s">
        <v>2354</v>
      </c>
      <c r="E991" s="110" t="s">
        <v>2256</v>
      </c>
    </row>
    <row r="992" spans="1:5" x14ac:dyDescent="0.15">
      <c r="A992" t="s">
        <v>2296</v>
      </c>
      <c r="B992" t="s">
        <v>2355</v>
      </c>
      <c r="C992" t="s">
        <v>2356</v>
      </c>
      <c r="D992" s="110" t="s">
        <v>2356</v>
      </c>
      <c r="E992" s="110" t="s">
        <v>2256</v>
      </c>
    </row>
    <row r="993" spans="1:5" x14ac:dyDescent="0.15">
      <c r="A993" t="s">
        <v>2296</v>
      </c>
      <c r="B993" t="s">
        <v>2357</v>
      </c>
      <c r="C993" t="s">
        <v>2358</v>
      </c>
      <c r="D993" s="110" t="s">
        <v>2358</v>
      </c>
      <c r="E993" s="110" t="s">
        <v>2256</v>
      </c>
    </row>
    <row r="994" spans="1:5" x14ac:dyDescent="0.15">
      <c r="A994" t="s">
        <v>2296</v>
      </c>
      <c r="B994" t="s">
        <v>2359</v>
      </c>
      <c r="C994" t="s">
        <v>2360</v>
      </c>
      <c r="D994" s="110" t="s">
        <v>2360</v>
      </c>
      <c r="E994" s="110" t="s">
        <v>2256</v>
      </c>
    </row>
    <row r="995" spans="1:5" x14ac:dyDescent="0.15">
      <c r="A995" t="s">
        <v>2296</v>
      </c>
      <c r="B995" t="s">
        <v>2361</v>
      </c>
      <c r="C995" t="s">
        <v>2362</v>
      </c>
      <c r="D995" s="110" t="s">
        <v>2362</v>
      </c>
      <c r="E995" s="110" t="s">
        <v>2256</v>
      </c>
    </row>
    <row r="996" spans="1:5" x14ac:dyDescent="0.15">
      <c r="A996" t="s">
        <v>2296</v>
      </c>
      <c r="B996" t="s">
        <v>2363</v>
      </c>
      <c r="C996" t="s">
        <v>2364</v>
      </c>
      <c r="D996" s="110" t="s">
        <v>2364</v>
      </c>
      <c r="E996" s="110" t="s">
        <v>2256</v>
      </c>
    </row>
    <row r="997" spans="1:5" x14ac:dyDescent="0.15">
      <c r="A997" t="s">
        <v>2296</v>
      </c>
      <c r="B997" t="s">
        <v>2365</v>
      </c>
      <c r="C997" t="s">
        <v>2366</v>
      </c>
      <c r="D997" s="110" t="s">
        <v>2366</v>
      </c>
      <c r="E997" s="110" t="s">
        <v>2256</v>
      </c>
    </row>
    <row r="998" spans="1:5" x14ac:dyDescent="0.15">
      <c r="A998" t="s">
        <v>2296</v>
      </c>
      <c r="B998" t="s">
        <v>2367</v>
      </c>
      <c r="C998" t="s">
        <v>2368</v>
      </c>
      <c r="D998" s="110" t="s">
        <v>2368</v>
      </c>
      <c r="E998" s="110" t="s">
        <v>2256</v>
      </c>
    </row>
    <row r="999" spans="1:5" x14ac:dyDescent="0.15">
      <c r="A999" t="s">
        <v>2296</v>
      </c>
      <c r="B999" t="s">
        <v>2369</v>
      </c>
      <c r="C999" t="s">
        <v>2370</v>
      </c>
      <c r="D999" s="110" t="s">
        <v>2370</v>
      </c>
      <c r="E999" s="110" t="s">
        <v>2256</v>
      </c>
    </row>
    <row r="1000" spans="1:5" x14ac:dyDescent="0.15">
      <c r="A1000" t="s">
        <v>2296</v>
      </c>
      <c r="B1000" t="s">
        <v>2371</v>
      </c>
      <c r="C1000" t="s">
        <v>2372</v>
      </c>
      <c r="D1000" s="110" t="s">
        <v>2372</v>
      </c>
      <c r="E1000" s="110" t="s">
        <v>2256</v>
      </c>
    </row>
    <row r="1001" spans="1:5" x14ac:dyDescent="0.15">
      <c r="A1001" t="s">
        <v>2296</v>
      </c>
      <c r="B1001" t="s">
        <v>2373</v>
      </c>
      <c r="C1001" t="s">
        <v>2374</v>
      </c>
      <c r="D1001" s="110" t="s">
        <v>2374</v>
      </c>
      <c r="E1001" s="110" t="s">
        <v>2256</v>
      </c>
    </row>
    <row r="1002" spans="1:5" x14ac:dyDescent="0.15">
      <c r="A1002" t="s">
        <v>2296</v>
      </c>
      <c r="B1002" t="s">
        <v>2375</v>
      </c>
      <c r="C1002" t="s">
        <v>2376</v>
      </c>
      <c r="D1002" s="110" t="s">
        <v>2376</v>
      </c>
      <c r="E1002" s="110" t="s">
        <v>2256</v>
      </c>
    </row>
    <row r="1003" spans="1:5" x14ac:dyDescent="0.15">
      <c r="A1003" t="s">
        <v>2296</v>
      </c>
      <c r="B1003" t="s">
        <v>2377</v>
      </c>
      <c r="C1003" t="s">
        <v>2378</v>
      </c>
      <c r="D1003" s="110" t="s">
        <v>2378</v>
      </c>
      <c r="E1003" s="110" t="s">
        <v>2256</v>
      </c>
    </row>
    <row r="1004" spans="1:5" x14ac:dyDescent="0.15">
      <c r="A1004" t="s">
        <v>2296</v>
      </c>
      <c r="B1004" t="s">
        <v>2379</v>
      </c>
      <c r="C1004" t="s">
        <v>2380</v>
      </c>
      <c r="D1004" s="110" t="s">
        <v>2380</v>
      </c>
      <c r="E1004" s="110" t="s">
        <v>2256</v>
      </c>
    </row>
    <row r="1005" spans="1:5" x14ac:dyDescent="0.15">
      <c r="A1005" t="s">
        <v>2296</v>
      </c>
      <c r="B1005" t="s">
        <v>2381</v>
      </c>
      <c r="C1005" t="s">
        <v>2259</v>
      </c>
      <c r="D1005" s="110" t="s">
        <v>2259</v>
      </c>
      <c r="E1005" s="110" t="s">
        <v>2258</v>
      </c>
    </row>
    <row r="1006" spans="1:5" x14ac:dyDescent="0.15">
      <c r="A1006" t="s">
        <v>2296</v>
      </c>
      <c r="B1006" t="s">
        <v>2382</v>
      </c>
      <c r="C1006" t="s">
        <v>2383</v>
      </c>
      <c r="D1006" s="110" t="s">
        <v>2383</v>
      </c>
      <c r="E1006" s="110" t="s">
        <v>2258</v>
      </c>
    </row>
    <row r="1007" spans="1:5" x14ac:dyDescent="0.15">
      <c r="A1007" t="s">
        <v>2296</v>
      </c>
      <c r="B1007" t="s">
        <v>2384</v>
      </c>
      <c r="C1007" t="s">
        <v>2385</v>
      </c>
      <c r="D1007" s="110" t="s">
        <v>2385</v>
      </c>
      <c r="E1007" s="110" t="s">
        <v>2258</v>
      </c>
    </row>
    <row r="1008" spans="1:5" x14ac:dyDescent="0.15">
      <c r="A1008" t="s">
        <v>2296</v>
      </c>
      <c r="B1008" t="s">
        <v>2386</v>
      </c>
      <c r="C1008" t="s">
        <v>2387</v>
      </c>
      <c r="D1008" s="110" t="s">
        <v>2387</v>
      </c>
      <c r="E1008" s="110" t="s">
        <v>2258</v>
      </c>
    </row>
    <row r="1009" spans="1:5" x14ac:dyDescent="0.15">
      <c r="A1009" t="s">
        <v>2296</v>
      </c>
      <c r="B1009" t="s">
        <v>2388</v>
      </c>
      <c r="C1009" t="s">
        <v>2389</v>
      </c>
      <c r="D1009" s="110" t="s">
        <v>2389</v>
      </c>
      <c r="E1009" s="110" t="s">
        <v>2258</v>
      </c>
    </row>
    <row r="1010" spans="1:5" x14ac:dyDescent="0.15">
      <c r="A1010" t="s">
        <v>2296</v>
      </c>
      <c r="B1010" t="s">
        <v>2390</v>
      </c>
      <c r="C1010" t="s">
        <v>2391</v>
      </c>
      <c r="D1010" s="110" t="s">
        <v>2391</v>
      </c>
      <c r="E1010" s="110" t="s">
        <v>2258</v>
      </c>
    </row>
    <row r="1011" spans="1:5" x14ac:dyDescent="0.15">
      <c r="A1011" t="s">
        <v>2296</v>
      </c>
      <c r="B1011" t="s">
        <v>2392</v>
      </c>
      <c r="C1011" t="s">
        <v>2393</v>
      </c>
      <c r="D1011" s="110" t="s">
        <v>2393</v>
      </c>
      <c r="E1011" s="110" t="s">
        <v>2258</v>
      </c>
    </row>
    <row r="1012" spans="1:5" x14ac:dyDescent="0.15">
      <c r="A1012" t="s">
        <v>2296</v>
      </c>
      <c r="B1012" t="s">
        <v>2394</v>
      </c>
      <c r="C1012" t="s">
        <v>2395</v>
      </c>
      <c r="D1012" s="110" t="s">
        <v>2395</v>
      </c>
      <c r="E1012" s="110" t="s">
        <v>2258</v>
      </c>
    </row>
    <row r="1013" spans="1:5" x14ac:dyDescent="0.15">
      <c r="A1013" t="s">
        <v>2296</v>
      </c>
      <c r="B1013" t="s">
        <v>2396</v>
      </c>
      <c r="C1013" t="s">
        <v>2397</v>
      </c>
      <c r="D1013" s="110" t="s">
        <v>2397</v>
      </c>
      <c r="E1013" s="110" t="s">
        <v>2258</v>
      </c>
    </row>
    <row r="1014" spans="1:5" x14ac:dyDescent="0.15">
      <c r="A1014" t="s">
        <v>2296</v>
      </c>
      <c r="B1014" t="s">
        <v>2398</v>
      </c>
      <c r="C1014" t="s">
        <v>2399</v>
      </c>
      <c r="D1014" s="110" t="s">
        <v>2399</v>
      </c>
      <c r="E1014" s="110" t="s">
        <v>2258</v>
      </c>
    </row>
    <row r="1015" spans="1:5" x14ac:dyDescent="0.15">
      <c r="A1015" t="s">
        <v>2296</v>
      </c>
      <c r="B1015" t="s">
        <v>2400</v>
      </c>
      <c r="C1015" t="s">
        <v>2401</v>
      </c>
      <c r="D1015" s="110" t="s">
        <v>2401</v>
      </c>
      <c r="E1015" s="110" t="s">
        <v>2258</v>
      </c>
    </row>
    <row r="1016" spans="1:5" x14ac:dyDescent="0.15">
      <c r="A1016" t="s">
        <v>2296</v>
      </c>
      <c r="B1016" t="s">
        <v>2402</v>
      </c>
      <c r="C1016" t="s">
        <v>2403</v>
      </c>
      <c r="D1016" s="110" t="s">
        <v>2403</v>
      </c>
      <c r="E1016" s="110" t="s">
        <v>2258</v>
      </c>
    </row>
    <row r="1017" spans="1:5" x14ac:dyDescent="0.15">
      <c r="A1017" t="s">
        <v>2296</v>
      </c>
      <c r="B1017" t="s">
        <v>2404</v>
      </c>
      <c r="C1017" t="s">
        <v>2405</v>
      </c>
      <c r="D1017" s="110" t="s">
        <v>2405</v>
      </c>
      <c r="E1017" s="110" t="s">
        <v>2258</v>
      </c>
    </row>
    <row r="1018" spans="1:5" x14ac:dyDescent="0.15">
      <c r="A1018" t="s">
        <v>2296</v>
      </c>
      <c r="B1018" t="s">
        <v>2406</v>
      </c>
      <c r="C1018" t="s">
        <v>2407</v>
      </c>
      <c r="D1018" s="110" t="s">
        <v>2407</v>
      </c>
      <c r="E1018" s="110" t="s">
        <v>2258</v>
      </c>
    </row>
    <row r="1019" spans="1:5" x14ac:dyDescent="0.15">
      <c r="A1019" t="s">
        <v>2296</v>
      </c>
      <c r="B1019" t="s">
        <v>2408</v>
      </c>
      <c r="C1019" t="s">
        <v>2409</v>
      </c>
      <c r="D1019" s="110" t="s">
        <v>2409</v>
      </c>
      <c r="E1019" s="110" t="s">
        <v>2258</v>
      </c>
    </row>
    <row r="1020" spans="1:5" x14ac:dyDescent="0.15">
      <c r="A1020" t="s">
        <v>2296</v>
      </c>
      <c r="B1020" t="s">
        <v>2410</v>
      </c>
      <c r="C1020" t="s">
        <v>2411</v>
      </c>
      <c r="D1020" s="110" t="s">
        <v>2411</v>
      </c>
      <c r="E1020" s="110" t="s">
        <v>2258</v>
      </c>
    </row>
    <row r="1021" spans="1:5" x14ac:dyDescent="0.15">
      <c r="A1021" t="s">
        <v>2296</v>
      </c>
      <c r="B1021" t="s">
        <v>2412</v>
      </c>
      <c r="C1021" t="s">
        <v>2261</v>
      </c>
      <c r="D1021" s="110" t="s">
        <v>2261</v>
      </c>
      <c r="E1021" s="110" t="s">
        <v>2260</v>
      </c>
    </row>
    <row r="1022" spans="1:5" x14ac:dyDescent="0.15">
      <c r="A1022" t="s">
        <v>2296</v>
      </c>
      <c r="B1022" t="s">
        <v>2413</v>
      </c>
      <c r="C1022" t="s">
        <v>2414</v>
      </c>
      <c r="D1022" s="110" t="s">
        <v>2414</v>
      </c>
      <c r="E1022" s="110" t="s">
        <v>2260</v>
      </c>
    </row>
    <row r="1023" spans="1:5" x14ac:dyDescent="0.15">
      <c r="A1023" t="s">
        <v>2296</v>
      </c>
      <c r="B1023" t="s">
        <v>2415</v>
      </c>
      <c r="C1023" t="s">
        <v>2416</v>
      </c>
      <c r="D1023" s="110" t="s">
        <v>2416</v>
      </c>
      <c r="E1023" s="110" t="s">
        <v>2260</v>
      </c>
    </row>
    <row r="1024" spans="1:5" x14ac:dyDescent="0.15">
      <c r="A1024" t="s">
        <v>2296</v>
      </c>
      <c r="B1024" t="s">
        <v>2417</v>
      </c>
      <c r="C1024" t="s">
        <v>2418</v>
      </c>
      <c r="D1024" s="110" t="s">
        <v>2418</v>
      </c>
      <c r="E1024" s="110" t="s">
        <v>2260</v>
      </c>
    </row>
    <row r="1025" spans="1:5" x14ac:dyDescent="0.15">
      <c r="A1025" t="s">
        <v>2296</v>
      </c>
      <c r="B1025" t="s">
        <v>2419</v>
      </c>
      <c r="C1025" t="s">
        <v>2420</v>
      </c>
      <c r="D1025" s="110" t="s">
        <v>2420</v>
      </c>
      <c r="E1025" s="110" t="s">
        <v>2260</v>
      </c>
    </row>
    <row r="1026" spans="1:5" x14ac:dyDescent="0.15">
      <c r="A1026" t="s">
        <v>2296</v>
      </c>
      <c r="B1026" t="s">
        <v>2421</v>
      </c>
      <c r="C1026" t="s">
        <v>2422</v>
      </c>
      <c r="D1026" s="110" t="s">
        <v>2422</v>
      </c>
      <c r="E1026" s="110" t="s">
        <v>2260</v>
      </c>
    </row>
    <row r="1027" spans="1:5" x14ac:dyDescent="0.15">
      <c r="A1027" t="s">
        <v>2296</v>
      </c>
      <c r="B1027" t="s">
        <v>2423</v>
      </c>
      <c r="C1027" t="s">
        <v>2424</v>
      </c>
      <c r="D1027" s="110" t="s">
        <v>2424</v>
      </c>
      <c r="E1027" s="110" t="s">
        <v>2260</v>
      </c>
    </row>
    <row r="1028" spans="1:5" x14ac:dyDescent="0.15">
      <c r="A1028" t="s">
        <v>2296</v>
      </c>
      <c r="B1028" t="s">
        <v>2425</v>
      </c>
      <c r="C1028" t="s">
        <v>2426</v>
      </c>
      <c r="D1028" s="110" t="s">
        <v>2426</v>
      </c>
      <c r="E1028" s="110" t="s">
        <v>2260</v>
      </c>
    </row>
    <row r="1029" spans="1:5" x14ac:dyDescent="0.15">
      <c r="A1029" t="s">
        <v>2296</v>
      </c>
      <c r="B1029" t="s">
        <v>2427</v>
      </c>
      <c r="C1029" t="s">
        <v>2428</v>
      </c>
      <c r="D1029" s="110" t="s">
        <v>2428</v>
      </c>
      <c r="E1029" s="110" t="s">
        <v>2260</v>
      </c>
    </row>
    <row r="1030" spans="1:5" x14ac:dyDescent="0.15">
      <c r="A1030" t="s">
        <v>2296</v>
      </c>
      <c r="B1030" t="s">
        <v>2429</v>
      </c>
      <c r="C1030" t="s">
        <v>2430</v>
      </c>
      <c r="D1030" s="110" t="s">
        <v>2430</v>
      </c>
      <c r="E1030" s="110" t="s">
        <v>2260</v>
      </c>
    </row>
    <row r="1031" spans="1:5" x14ac:dyDescent="0.15">
      <c r="A1031" t="s">
        <v>2296</v>
      </c>
      <c r="B1031" t="s">
        <v>2431</v>
      </c>
      <c r="C1031" t="s">
        <v>2432</v>
      </c>
      <c r="D1031" s="110" t="s">
        <v>2432</v>
      </c>
      <c r="E1031" s="110" t="s">
        <v>2260</v>
      </c>
    </row>
    <row r="1032" spans="1:5" x14ac:dyDescent="0.15">
      <c r="A1032" t="s">
        <v>2296</v>
      </c>
      <c r="B1032" t="s">
        <v>2433</v>
      </c>
      <c r="C1032" t="s">
        <v>2434</v>
      </c>
      <c r="D1032" s="110" t="s">
        <v>2434</v>
      </c>
      <c r="E1032" s="110" t="s">
        <v>2260</v>
      </c>
    </row>
    <row r="1033" spans="1:5" x14ac:dyDescent="0.15">
      <c r="A1033" t="s">
        <v>2296</v>
      </c>
      <c r="B1033" t="s">
        <v>2435</v>
      </c>
      <c r="C1033" t="s">
        <v>2436</v>
      </c>
      <c r="D1033" s="110" t="s">
        <v>2436</v>
      </c>
      <c r="E1033" s="110" t="s">
        <v>2260</v>
      </c>
    </row>
    <row r="1034" spans="1:5" x14ac:dyDescent="0.15">
      <c r="A1034" t="s">
        <v>2296</v>
      </c>
      <c r="B1034" t="s">
        <v>2437</v>
      </c>
      <c r="C1034" t="s">
        <v>2438</v>
      </c>
      <c r="D1034" s="110" t="s">
        <v>2438</v>
      </c>
      <c r="E1034" s="110" t="s">
        <v>2260</v>
      </c>
    </row>
    <row r="1035" spans="1:5" x14ac:dyDescent="0.15">
      <c r="A1035" t="s">
        <v>2296</v>
      </c>
      <c r="B1035" t="s">
        <v>2439</v>
      </c>
      <c r="C1035" t="s">
        <v>2440</v>
      </c>
      <c r="D1035" s="110" t="s">
        <v>2440</v>
      </c>
      <c r="E1035" s="110" t="s">
        <v>2262</v>
      </c>
    </row>
    <row r="1036" spans="1:5" x14ac:dyDescent="0.15">
      <c r="A1036" t="s">
        <v>2296</v>
      </c>
      <c r="B1036" t="s">
        <v>2441</v>
      </c>
      <c r="C1036" t="s">
        <v>2442</v>
      </c>
      <c r="D1036" s="110" t="s">
        <v>2442</v>
      </c>
      <c r="E1036" s="110" t="s">
        <v>2262</v>
      </c>
    </row>
    <row r="1037" spans="1:5" x14ac:dyDescent="0.15">
      <c r="A1037" t="s">
        <v>2296</v>
      </c>
      <c r="B1037" t="s">
        <v>2443</v>
      </c>
      <c r="C1037" t="s">
        <v>2444</v>
      </c>
      <c r="D1037" s="110" t="s">
        <v>2444</v>
      </c>
      <c r="E1037" s="110" t="s">
        <v>2262</v>
      </c>
    </row>
    <row r="1038" spans="1:5" x14ac:dyDescent="0.15">
      <c r="A1038" t="s">
        <v>2296</v>
      </c>
      <c r="B1038" t="s">
        <v>2445</v>
      </c>
      <c r="C1038" t="s">
        <v>2446</v>
      </c>
      <c r="D1038" s="110" t="s">
        <v>2446</v>
      </c>
      <c r="E1038" s="110" t="s">
        <v>2262</v>
      </c>
    </row>
    <row r="1039" spans="1:5" x14ac:dyDescent="0.15">
      <c r="A1039" t="s">
        <v>2296</v>
      </c>
      <c r="B1039" t="s">
        <v>2447</v>
      </c>
      <c r="C1039" t="s">
        <v>2448</v>
      </c>
      <c r="D1039" s="110" t="s">
        <v>2448</v>
      </c>
      <c r="E1039" s="110" t="s">
        <v>2262</v>
      </c>
    </row>
    <row r="1040" spans="1:5" x14ac:dyDescent="0.15">
      <c r="A1040" t="s">
        <v>2296</v>
      </c>
      <c r="B1040" t="s">
        <v>2449</v>
      </c>
      <c r="C1040" t="s">
        <v>2450</v>
      </c>
      <c r="D1040" s="110" t="s">
        <v>2450</v>
      </c>
      <c r="E1040" s="110" t="s">
        <v>2262</v>
      </c>
    </row>
    <row r="1041" spans="1:5" x14ac:dyDescent="0.15">
      <c r="A1041" t="s">
        <v>2296</v>
      </c>
      <c r="B1041" t="s">
        <v>2451</v>
      </c>
      <c r="C1041" t="s">
        <v>2452</v>
      </c>
      <c r="D1041" s="110" t="s">
        <v>2452</v>
      </c>
      <c r="E1041" s="110" t="s">
        <v>2262</v>
      </c>
    </row>
    <row r="1042" spans="1:5" x14ac:dyDescent="0.15">
      <c r="A1042" t="s">
        <v>2296</v>
      </c>
      <c r="B1042" t="s">
        <v>2453</v>
      </c>
      <c r="C1042" t="s">
        <v>2454</v>
      </c>
      <c r="D1042" s="110" t="s">
        <v>2454</v>
      </c>
      <c r="E1042" s="110" t="s">
        <v>2262</v>
      </c>
    </row>
    <row r="1043" spans="1:5" x14ac:dyDescent="0.15">
      <c r="A1043" t="s">
        <v>2296</v>
      </c>
      <c r="B1043" t="s">
        <v>2455</v>
      </c>
      <c r="C1043" t="s">
        <v>2456</v>
      </c>
      <c r="D1043" s="110" t="s">
        <v>2456</v>
      </c>
      <c r="E1043" s="110" t="s">
        <v>2262</v>
      </c>
    </row>
    <row r="1044" spans="1:5" x14ac:dyDescent="0.15">
      <c r="A1044" t="s">
        <v>2296</v>
      </c>
      <c r="B1044" t="s">
        <v>2457</v>
      </c>
      <c r="C1044" t="s">
        <v>2458</v>
      </c>
      <c r="D1044" s="110" t="s">
        <v>2458</v>
      </c>
      <c r="E1044" s="110" t="s">
        <v>2262</v>
      </c>
    </row>
    <row r="1045" spans="1:5" x14ac:dyDescent="0.15">
      <c r="A1045" t="s">
        <v>2296</v>
      </c>
      <c r="B1045" t="s">
        <v>2459</v>
      </c>
      <c r="C1045" t="s">
        <v>2460</v>
      </c>
      <c r="D1045" s="110" t="s">
        <v>2460</v>
      </c>
      <c r="E1045" s="110" t="s">
        <v>2262</v>
      </c>
    </row>
    <row r="1046" spans="1:5" x14ac:dyDescent="0.15">
      <c r="A1046" t="s">
        <v>2296</v>
      </c>
      <c r="B1046" t="s">
        <v>2461</v>
      </c>
      <c r="C1046" t="s">
        <v>2462</v>
      </c>
      <c r="D1046" s="110" t="s">
        <v>2462</v>
      </c>
      <c r="E1046" s="110" t="s">
        <v>2262</v>
      </c>
    </row>
    <row r="1047" spans="1:5" x14ac:dyDescent="0.15">
      <c r="A1047" t="s">
        <v>2296</v>
      </c>
      <c r="B1047" t="s">
        <v>2463</v>
      </c>
      <c r="C1047" t="s">
        <v>2464</v>
      </c>
      <c r="D1047" s="110" t="s">
        <v>2464</v>
      </c>
      <c r="E1047" s="110" t="s">
        <v>2262</v>
      </c>
    </row>
    <row r="1048" spans="1:5" x14ac:dyDescent="0.15">
      <c r="A1048" t="s">
        <v>2296</v>
      </c>
      <c r="B1048" t="s">
        <v>2465</v>
      </c>
      <c r="C1048" t="s">
        <v>2466</v>
      </c>
      <c r="D1048" s="110" t="s">
        <v>2466</v>
      </c>
      <c r="E1048" s="110" t="s">
        <v>2262</v>
      </c>
    </row>
    <row r="1049" spans="1:5" x14ac:dyDescent="0.15">
      <c r="A1049" t="s">
        <v>2296</v>
      </c>
      <c r="B1049" t="s">
        <v>2467</v>
      </c>
      <c r="C1049" t="s">
        <v>2468</v>
      </c>
      <c r="D1049" s="110" t="s">
        <v>2468</v>
      </c>
      <c r="E1049" s="110" t="s">
        <v>2264</v>
      </c>
    </row>
    <row r="1050" spans="1:5" x14ac:dyDescent="0.15">
      <c r="A1050" t="s">
        <v>2296</v>
      </c>
      <c r="B1050" t="s">
        <v>2469</v>
      </c>
      <c r="C1050" t="s">
        <v>2265</v>
      </c>
      <c r="D1050" s="110" t="s">
        <v>2265</v>
      </c>
      <c r="E1050" s="110" t="s">
        <v>2264</v>
      </c>
    </row>
    <row r="1051" spans="1:5" x14ac:dyDescent="0.15">
      <c r="A1051" t="s">
        <v>2296</v>
      </c>
      <c r="B1051" t="s">
        <v>2470</v>
      </c>
      <c r="C1051" t="s">
        <v>2471</v>
      </c>
      <c r="D1051" s="110" t="s">
        <v>2471</v>
      </c>
      <c r="E1051" s="110" t="s">
        <v>2264</v>
      </c>
    </row>
    <row r="1052" spans="1:5" x14ac:dyDescent="0.15">
      <c r="A1052" t="s">
        <v>2296</v>
      </c>
      <c r="B1052" t="s">
        <v>2472</v>
      </c>
      <c r="C1052" t="s">
        <v>2473</v>
      </c>
      <c r="D1052" s="110" t="s">
        <v>2473</v>
      </c>
      <c r="E1052" s="110" t="s">
        <v>2264</v>
      </c>
    </row>
    <row r="1053" spans="1:5" x14ac:dyDescent="0.15">
      <c r="A1053" t="s">
        <v>2296</v>
      </c>
      <c r="B1053" t="s">
        <v>2474</v>
      </c>
      <c r="C1053" t="s">
        <v>2475</v>
      </c>
      <c r="D1053" s="110" t="s">
        <v>2475</v>
      </c>
      <c r="E1053" s="110" t="s">
        <v>2264</v>
      </c>
    </row>
    <row r="1054" spans="1:5" x14ac:dyDescent="0.15">
      <c r="A1054" t="s">
        <v>2296</v>
      </c>
      <c r="B1054" t="s">
        <v>2476</v>
      </c>
      <c r="C1054" t="s">
        <v>2477</v>
      </c>
      <c r="D1054" s="110" t="s">
        <v>2477</v>
      </c>
      <c r="E1054" s="110" t="s">
        <v>2264</v>
      </c>
    </row>
    <row r="1055" spans="1:5" x14ac:dyDescent="0.15">
      <c r="A1055" t="s">
        <v>2296</v>
      </c>
      <c r="B1055" t="s">
        <v>2478</v>
      </c>
      <c r="C1055" t="s">
        <v>2479</v>
      </c>
      <c r="D1055" s="110" t="s">
        <v>2479</v>
      </c>
      <c r="E1055" s="110" t="s">
        <v>2264</v>
      </c>
    </row>
    <row r="1056" spans="1:5" x14ac:dyDescent="0.15">
      <c r="A1056" t="s">
        <v>2296</v>
      </c>
      <c r="B1056" t="s">
        <v>2480</v>
      </c>
      <c r="C1056" t="s">
        <v>2481</v>
      </c>
      <c r="D1056" s="110" t="s">
        <v>2481</v>
      </c>
      <c r="E1056" s="110" t="s">
        <v>2264</v>
      </c>
    </row>
    <row r="1057" spans="1:5" x14ac:dyDescent="0.15">
      <c r="A1057" t="s">
        <v>2296</v>
      </c>
      <c r="B1057" t="s">
        <v>2482</v>
      </c>
      <c r="C1057" t="s">
        <v>2483</v>
      </c>
      <c r="D1057" s="110" t="s">
        <v>2483</v>
      </c>
      <c r="E1057" s="110" t="s">
        <v>2264</v>
      </c>
    </row>
    <row r="1058" spans="1:5" x14ac:dyDescent="0.15">
      <c r="A1058" t="s">
        <v>2296</v>
      </c>
      <c r="B1058" t="s">
        <v>2484</v>
      </c>
      <c r="C1058" t="s">
        <v>2485</v>
      </c>
      <c r="D1058" s="110" t="s">
        <v>2485</v>
      </c>
      <c r="E1058" s="110" t="s">
        <v>2264</v>
      </c>
    </row>
    <row r="1059" spans="1:5" x14ac:dyDescent="0.15">
      <c r="A1059" t="s">
        <v>2296</v>
      </c>
      <c r="B1059" t="s">
        <v>2486</v>
      </c>
      <c r="C1059" t="s">
        <v>2487</v>
      </c>
      <c r="D1059" s="110" t="s">
        <v>2487</v>
      </c>
      <c r="E1059" s="110" t="s">
        <v>2264</v>
      </c>
    </row>
    <row r="1060" spans="1:5" x14ac:dyDescent="0.15">
      <c r="A1060" t="s">
        <v>2296</v>
      </c>
      <c r="B1060" t="s">
        <v>2488</v>
      </c>
      <c r="C1060" t="s">
        <v>2489</v>
      </c>
      <c r="D1060" s="110" t="s">
        <v>2489</v>
      </c>
      <c r="E1060" s="110" t="s">
        <v>2264</v>
      </c>
    </row>
    <row r="1061" spans="1:5" x14ac:dyDescent="0.15">
      <c r="A1061" t="s">
        <v>2296</v>
      </c>
      <c r="B1061" t="s">
        <v>2490</v>
      </c>
      <c r="C1061" t="s">
        <v>2491</v>
      </c>
      <c r="D1061" s="110" t="s">
        <v>2491</v>
      </c>
      <c r="E1061" s="110" t="s">
        <v>2264</v>
      </c>
    </row>
    <row r="1062" spans="1:5" x14ac:dyDescent="0.15">
      <c r="A1062" t="s">
        <v>2296</v>
      </c>
      <c r="B1062" t="s">
        <v>2492</v>
      </c>
      <c r="C1062" t="s">
        <v>2493</v>
      </c>
      <c r="D1062" s="110" t="s">
        <v>2493</v>
      </c>
      <c r="E1062" s="110" t="s">
        <v>2264</v>
      </c>
    </row>
    <row r="1063" spans="1:5" x14ac:dyDescent="0.15">
      <c r="A1063" t="s">
        <v>2296</v>
      </c>
      <c r="B1063" t="s">
        <v>2494</v>
      </c>
      <c r="C1063" t="s">
        <v>2495</v>
      </c>
      <c r="D1063" s="110" t="s">
        <v>2495</v>
      </c>
      <c r="E1063" s="110" t="s">
        <v>2264</v>
      </c>
    </row>
    <row r="1064" spans="1:5" x14ac:dyDescent="0.15">
      <c r="A1064" t="s">
        <v>2296</v>
      </c>
      <c r="B1064" t="s">
        <v>2496</v>
      </c>
      <c r="C1064" t="s">
        <v>2497</v>
      </c>
      <c r="D1064" s="110" t="s">
        <v>2497</v>
      </c>
      <c r="E1064" s="110" t="s">
        <v>2264</v>
      </c>
    </row>
    <row r="1065" spans="1:5" x14ac:dyDescent="0.15">
      <c r="A1065" t="s">
        <v>2296</v>
      </c>
      <c r="B1065" t="s">
        <v>2498</v>
      </c>
      <c r="C1065" t="s">
        <v>2499</v>
      </c>
      <c r="D1065" s="110" t="s">
        <v>2499</v>
      </c>
      <c r="E1065" s="110" t="s">
        <v>2264</v>
      </c>
    </row>
    <row r="1066" spans="1:5" x14ac:dyDescent="0.15">
      <c r="A1066" t="s">
        <v>2296</v>
      </c>
      <c r="B1066" t="s">
        <v>2500</v>
      </c>
      <c r="C1066" t="s">
        <v>2501</v>
      </c>
      <c r="D1066" s="110" t="s">
        <v>2501</v>
      </c>
      <c r="E1066" s="110" t="s">
        <v>2264</v>
      </c>
    </row>
    <row r="1067" spans="1:5" x14ac:dyDescent="0.15">
      <c r="A1067" t="s">
        <v>2296</v>
      </c>
      <c r="B1067" t="s">
        <v>2502</v>
      </c>
      <c r="C1067" t="s">
        <v>2503</v>
      </c>
      <c r="D1067" s="110" t="s">
        <v>2503</v>
      </c>
      <c r="E1067" s="110" t="s">
        <v>2264</v>
      </c>
    </row>
    <row r="1068" spans="1:5" x14ac:dyDescent="0.15">
      <c r="A1068" t="s">
        <v>2296</v>
      </c>
      <c r="B1068" t="s">
        <v>2504</v>
      </c>
      <c r="C1068" t="s">
        <v>2505</v>
      </c>
      <c r="D1068" s="110" t="s">
        <v>2505</v>
      </c>
      <c r="E1068" s="110" t="s">
        <v>2264</v>
      </c>
    </row>
    <row r="1069" spans="1:5" x14ac:dyDescent="0.15">
      <c r="A1069" t="s">
        <v>2296</v>
      </c>
      <c r="B1069" t="s">
        <v>2506</v>
      </c>
      <c r="C1069" t="s">
        <v>2267</v>
      </c>
      <c r="D1069" s="110" t="s">
        <v>2267</v>
      </c>
      <c r="E1069" s="110" t="s">
        <v>2266</v>
      </c>
    </row>
    <row r="1070" spans="1:5" x14ac:dyDescent="0.15">
      <c r="A1070" t="s">
        <v>2296</v>
      </c>
      <c r="B1070" t="s">
        <v>2507</v>
      </c>
      <c r="C1070" t="s">
        <v>2508</v>
      </c>
      <c r="D1070" s="110" t="s">
        <v>2508</v>
      </c>
      <c r="E1070" s="110" t="s">
        <v>2266</v>
      </c>
    </row>
    <row r="1071" spans="1:5" x14ac:dyDescent="0.15">
      <c r="A1071" t="s">
        <v>2296</v>
      </c>
      <c r="B1071" t="s">
        <v>2509</v>
      </c>
      <c r="C1071" t="s">
        <v>2510</v>
      </c>
      <c r="D1071" s="110" t="s">
        <v>2510</v>
      </c>
      <c r="E1071" s="110" t="s">
        <v>2266</v>
      </c>
    </row>
    <row r="1072" spans="1:5" x14ac:dyDescent="0.15">
      <c r="A1072" t="s">
        <v>2296</v>
      </c>
      <c r="B1072" t="s">
        <v>2511</v>
      </c>
      <c r="C1072" t="s">
        <v>2512</v>
      </c>
      <c r="D1072" s="110" t="s">
        <v>2512</v>
      </c>
      <c r="E1072" s="110" t="s">
        <v>2266</v>
      </c>
    </row>
    <row r="1073" spans="1:5" x14ac:dyDescent="0.15">
      <c r="A1073" t="s">
        <v>2296</v>
      </c>
      <c r="B1073" t="s">
        <v>2513</v>
      </c>
      <c r="C1073" t="s">
        <v>2514</v>
      </c>
      <c r="D1073" s="110" t="s">
        <v>2514</v>
      </c>
      <c r="E1073" s="110" t="s">
        <v>2266</v>
      </c>
    </row>
    <row r="1074" spans="1:5" x14ac:dyDescent="0.15">
      <c r="A1074" t="s">
        <v>2296</v>
      </c>
      <c r="B1074" t="s">
        <v>2515</v>
      </c>
      <c r="C1074" t="s">
        <v>2516</v>
      </c>
      <c r="D1074" s="110" t="s">
        <v>2516</v>
      </c>
      <c r="E1074" s="110" t="s">
        <v>2266</v>
      </c>
    </row>
    <row r="1075" spans="1:5" x14ac:dyDescent="0.15">
      <c r="A1075" t="s">
        <v>2296</v>
      </c>
      <c r="B1075" t="s">
        <v>2517</v>
      </c>
      <c r="C1075" t="s">
        <v>2518</v>
      </c>
      <c r="D1075" s="110" t="s">
        <v>2518</v>
      </c>
      <c r="E1075" s="110" t="s">
        <v>2266</v>
      </c>
    </row>
    <row r="1076" spans="1:5" x14ac:dyDescent="0.15">
      <c r="A1076" t="s">
        <v>2296</v>
      </c>
      <c r="B1076" t="s">
        <v>2519</v>
      </c>
      <c r="C1076" t="s">
        <v>2520</v>
      </c>
      <c r="D1076" s="110" t="s">
        <v>2520</v>
      </c>
      <c r="E1076" s="110" t="s">
        <v>2266</v>
      </c>
    </row>
    <row r="1077" spans="1:5" x14ac:dyDescent="0.15">
      <c r="A1077" t="s">
        <v>2296</v>
      </c>
      <c r="B1077" t="s">
        <v>2521</v>
      </c>
      <c r="C1077" t="s">
        <v>2269</v>
      </c>
      <c r="D1077" s="110" t="s">
        <v>2269</v>
      </c>
      <c r="E1077" s="110" t="s">
        <v>2268</v>
      </c>
    </row>
    <row r="1078" spans="1:5" x14ac:dyDescent="0.15">
      <c r="A1078" t="s">
        <v>2296</v>
      </c>
      <c r="B1078" t="s">
        <v>2522</v>
      </c>
      <c r="C1078" t="s">
        <v>2523</v>
      </c>
      <c r="D1078" s="110" t="s">
        <v>2523</v>
      </c>
      <c r="E1078" s="110" t="s">
        <v>2268</v>
      </c>
    </row>
    <row r="1079" spans="1:5" x14ac:dyDescent="0.15">
      <c r="A1079" t="s">
        <v>2296</v>
      </c>
      <c r="B1079" t="s">
        <v>2524</v>
      </c>
      <c r="C1079" t="s">
        <v>2525</v>
      </c>
      <c r="D1079" s="110" t="s">
        <v>2525</v>
      </c>
      <c r="E1079" s="110" t="s">
        <v>2268</v>
      </c>
    </row>
    <row r="1080" spans="1:5" x14ac:dyDescent="0.15">
      <c r="A1080" t="s">
        <v>2296</v>
      </c>
      <c r="B1080" t="s">
        <v>2526</v>
      </c>
      <c r="C1080" t="s">
        <v>2527</v>
      </c>
      <c r="D1080" s="110" t="s">
        <v>2527</v>
      </c>
      <c r="E1080" s="110" t="s">
        <v>2268</v>
      </c>
    </row>
    <row r="1081" spans="1:5" x14ac:dyDescent="0.15">
      <c r="A1081" t="s">
        <v>2296</v>
      </c>
      <c r="B1081" t="s">
        <v>2528</v>
      </c>
      <c r="C1081" t="s">
        <v>2529</v>
      </c>
      <c r="D1081" s="110" t="s">
        <v>2529</v>
      </c>
      <c r="E1081" s="110" t="s">
        <v>2268</v>
      </c>
    </row>
    <row r="1082" spans="1:5" x14ac:dyDescent="0.15">
      <c r="A1082" t="s">
        <v>2296</v>
      </c>
      <c r="B1082" t="s">
        <v>2530</v>
      </c>
      <c r="C1082" t="s">
        <v>2531</v>
      </c>
      <c r="D1082" s="110" t="s">
        <v>2531</v>
      </c>
      <c r="E1082" s="110" t="s">
        <v>2268</v>
      </c>
    </row>
    <row r="1083" spans="1:5" x14ac:dyDescent="0.15">
      <c r="A1083" t="s">
        <v>2296</v>
      </c>
      <c r="B1083" t="s">
        <v>2532</v>
      </c>
      <c r="C1083" t="s">
        <v>2533</v>
      </c>
      <c r="D1083" s="110" t="s">
        <v>2533</v>
      </c>
      <c r="E1083" s="110" t="s">
        <v>2268</v>
      </c>
    </row>
    <row r="1084" spans="1:5" x14ac:dyDescent="0.15">
      <c r="A1084" t="s">
        <v>2296</v>
      </c>
      <c r="B1084" t="s">
        <v>2534</v>
      </c>
      <c r="C1084" t="s">
        <v>2535</v>
      </c>
      <c r="D1084" s="110" t="s">
        <v>2535</v>
      </c>
      <c r="E1084" s="110" t="s">
        <v>2268</v>
      </c>
    </row>
    <row r="1085" spans="1:5" x14ac:dyDescent="0.15">
      <c r="A1085" t="s">
        <v>2296</v>
      </c>
      <c r="B1085" t="s">
        <v>2536</v>
      </c>
      <c r="C1085" t="s">
        <v>2537</v>
      </c>
      <c r="D1085" s="110" t="s">
        <v>2537</v>
      </c>
      <c r="E1085" s="110" t="s">
        <v>2268</v>
      </c>
    </row>
    <row r="1086" spans="1:5" x14ac:dyDescent="0.15">
      <c r="A1086" t="s">
        <v>2296</v>
      </c>
      <c r="B1086" t="s">
        <v>2538</v>
      </c>
      <c r="C1086" t="s">
        <v>2539</v>
      </c>
      <c r="D1086" s="110" t="s">
        <v>2539</v>
      </c>
      <c r="E1086" s="110" t="s">
        <v>2268</v>
      </c>
    </row>
    <row r="1087" spans="1:5" x14ac:dyDescent="0.15">
      <c r="A1087" t="s">
        <v>2296</v>
      </c>
      <c r="B1087" t="s">
        <v>2540</v>
      </c>
      <c r="C1087" t="s">
        <v>2541</v>
      </c>
      <c r="D1087" s="110" t="s">
        <v>2541</v>
      </c>
      <c r="E1087" s="110" t="s">
        <v>2268</v>
      </c>
    </row>
    <row r="1088" spans="1:5" x14ac:dyDescent="0.15">
      <c r="A1088" t="s">
        <v>2296</v>
      </c>
      <c r="B1088" t="s">
        <v>2542</v>
      </c>
      <c r="C1088" t="s">
        <v>2543</v>
      </c>
      <c r="D1088" s="110" t="s">
        <v>2543</v>
      </c>
      <c r="E1088" s="110" t="s">
        <v>2268</v>
      </c>
    </row>
    <row r="1089" spans="1:5" x14ac:dyDescent="0.15">
      <c r="A1089" t="s">
        <v>2296</v>
      </c>
      <c r="B1089" t="s">
        <v>2544</v>
      </c>
      <c r="C1089" t="s">
        <v>2545</v>
      </c>
      <c r="D1089" s="110" t="s">
        <v>2545</v>
      </c>
      <c r="E1089" s="110" t="s">
        <v>2268</v>
      </c>
    </row>
    <row r="1090" spans="1:5" x14ac:dyDescent="0.15">
      <c r="A1090" t="s">
        <v>2296</v>
      </c>
      <c r="B1090" t="s">
        <v>2546</v>
      </c>
      <c r="C1090" t="s">
        <v>2547</v>
      </c>
      <c r="D1090" s="110" t="s">
        <v>2547</v>
      </c>
      <c r="E1090" s="110" t="s">
        <v>2268</v>
      </c>
    </row>
    <row r="1091" spans="1:5" x14ac:dyDescent="0.15">
      <c r="A1091" t="s">
        <v>2296</v>
      </c>
      <c r="B1091" t="s">
        <v>2548</v>
      </c>
      <c r="C1091" t="s">
        <v>2549</v>
      </c>
      <c r="D1091" s="110" t="s">
        <v>2549</v>
      </c>
      <c r="E1091" s="110" t="s">
        <v>2268</v>
      </c>
    </row>
    <row r="1092" spans="1:5" x14ac:dyDescent="0.15">
      <c r="A1092" t="s">
        <v>2296</v>
      </c>
      <c r="B1092" t="s">
        <v>2550</v>
      </c>
      <c r="C1092" t="s">
        <v>2551</v>
      </c>
      <c r="D1092" s="110" t="s">
        <v>2551</v>
      </c>
      <c r="E1092" s="110" t="s">
        <v>2268</v>
      </c>
    </row>
    <row r="1093" spans="1:5" x14ac:dyDescent="0.15">
      <c r="A1093" t="s">
        <v>2296</v>
      </c>
      <c r="B1093" t="s">
        <v>2552</v>
      </c>
      <c r="C1093" t="s">
        <v>2553</v>
      </c>
      <c r="D1093" s="110" t="s">
        <v>2553</v>
      </c>
      <c r="E1093" s="110" t="s">
        <v>2268</v>
      </c>
    </row>
    <row r="1094" spans="1:5" x14ac:dyDescent="0.15">
      <c r="A1094" t="s">
        <v>2296</v>
      </c>
      <c r="B1094" t="s">
        <v>2554</v>
      </c>
      <c r="C1094" t="s">
        <v>2555</v>
      </c>
      <c r="D1094" s="110" t="s">
        <v>2555</v>
      </c>
      <c r="E1094" s="110" t="s">
        <v>2268</v>
      </c>
    </row>
    <row r="1095" spans="1:5" x14ac:dyDescent="0.15">
      <c r="A1095" t="s">
        <v>2296</v>
      </c>
      <c r="B1095" t="s">
        <v>2556</v>
      </c>
      <c r="C1095" t="s">
        <v>2557</v>
      </c>
      <c r="D1095" s="110" t="s">
        <v>2557</v>
      </c>
      <c r="E1095" s="110" t="s">
        <v>2268</v>
      </c>
    </row>
    <row r="1096" spans="1:5" x14ac:dyDescent="0.15">
      <c r="A1096" t="s">
        <v>2296</v>
      </c>
      <c r="B1096" t="s">
        <v>2558</v>
      </c>
      <c r="C1096" t="s">
        <v>2559</v>
      </c>
      <c r="D1096" s="110" t="s">
        <v>2559</v>
      </c>
      <c r="E1096" s="110" t="s">
        <v>2268</v>
      </c>
    </row>
    <row r="1097" spans="1:5" x14ac:dyDescent="0.15">
      <c r="A1097" t="s">
        <v>2296</v>
      </c>
      <c r="B1097" t="s">
        <v>2560</v>
      </c>
      <c r="C1097" t="s">
        <v>2561</v>
      </c>
      <c r="D1097" s="110" t="s">
        <v>2561</v>
      </c>
      <c r="E1097" s="110" t="s">
        <v>2268</v>
      </c>
    </row>
    <row r="1098" spans="1:5" x14ac:dyDescent="0.15">
      <c r="A1098" t="s">
        <v>2296</v>
      </c>
      <c r="B1098" t="s">
        <v>2562</v>
      </c>
      <c r="C1098" t="s">
        <v>2563</v>
      </c>
      <c r="D1098" s="110" t="s">
        <v>2563</v>
      </c>
      <c r="E1098" s="110" t="s">
        <v>2268</v>
      </c>
    </row>
    <row r="1099" spans="1:5" x14ac:dyDescent="0.15">
      <c r="A1099" t="s">
        <v>2296</v>
      </c>
      <c r="B1099" t="s">
        <v>2564</v>
      </c>
      <c r="C1099" t="s">
        <v>2565</v>
      </c>
      <c r="D1099" s="110" t="s">
        <v>2565</v>
      </c>
      <c r="E1099" s="110" t="s">
        <v>2268</v>
      </c>
    </row>
    <row r="1100" spans="1:5" x14ac:dyDescent="0.15">
      <c r="A1100" t="s">
        <v>2296</v>
      </c>
      <c r="B1100" t="s">
        <v>2566</v>
      </c>
      <c r="C1100" t="s">
        <v>2567</v>
      </c>
      <c r="D1100" s="110" t="s">
        <v>2567</v>
      </c>
      <c r="E1100" s="110" t="s">
        <v>2268</v>
      </c>
    </row>
    <row r="1101" spans="1:5" x14ac:dyDescent="0.15">
      <c r="A1101" t="s">
        <v>2296</v>
      </c>
      <c r="B1101" t="s">
        <v>2568</v>
      </c>
      <c r="C1101" t="s">
        <v>2569</v>
      </c>
      <c r="D1101" s="110" t="s">
        <v>2569</v>
      </c>
      <c r="E1101" s="110" t="s">
        <v>2270</v>
      </c>
    </row>
    <row r="1102" spans="1:5" x14ac:dyDescent="0.15">
      <c r="A1102" t="s">
        <v>2296</v>
      </c>
      <c r="B1102" t="s">
        <v>2570</v>
      </c>
      <c r="C1102" t="s">
        <v>2571</v>
      </c>
      <c r="D1102" s="110" t="s">
        <v>2571</v>
      </c>
      <c r="E1102" s="110" t="s">
        <v>2270</v>
      </c>
    </row>
    <row r="1103" spans="1:5" x14ac:dyDescent="0.15">
      <c r="A1103" t="s">
        <v>2296</v>
      </c>
      <c r="B1103" t="s">
        <v>2572</v>
      </c>
      <c r="C1103" t="s">
        <v>2573</v>
      </c>
      <c r="D1103" s="110" t="s">
        <v>2573</v>
      </c>
      <c r="E1103" s="110" t="s">
        <v>2270</v>
      </c>
    </row>
    <row r="1104" spans="1:5" x14ac:dyDescent="0.15">
      <c r="A1104" t="s">
        <v>2296</v>
      </c>
      <c r="B1104" t="s">
        <v>2574</v>
      </c>
      <c r="C1104" t="s">
        <v>2575</v>
      </c>
      <c r="D1104" s="110" t="s">
        <v>2575</v>
      </c>
      <c r="E1104" s="110" t="s">
        <v>2270</v>
      </c>
    </row>
    <row r="1105" spans="1:5" x14ac:dyDescent="0.15">
      <c r="A1105" t="s">
        <v>2296</v>
      </c>
      <c r="B1105" t="s">
        <v>2576</v>
      </c>
      <c r="C1105" t="s">
        <v>2577</v>
      </c>
      <c r="D1105" s="110" t="s">
        <v>2577</v>
      </c>
      <c r="E1105" s="110" t="s">
        <v>2270</v>
      </c>
    </row>
    <row r="1106" spans="1:5" x14ac:dyDescent="0.15">
      <c r="A1106" t="s">
        <v>2296</v>
      </c>
      <c r="B1106" t="s">
        <v>2578</v>
      </c>
      <c r="C1106" t="s">
        <v>2579</v>
      </c>
      <c r="D1106" s="110" t="s">
        <v>2579</v>
      </c>
      <c r="E1106" s="110" t="s">
        <v>2270</v>
      </c>
    </row>
    <row r="1107" spans="1:5" x14ac:dyDescent="0.15">
      <c r="A1107" t="s">
        <v>2296</v>
      </c>
      <c r="B1107" t="s">
        <v>2580</v>
      </c>
      <c r="C1107" t="s">
        <v>2581</v>
      </c>
      <c r="D1107" s="110" t="s">
        <v>2581</v>
      </c>
      <c r="E1107" s="110" t="s">
        <v>2270</v>
      </c>
    </row>
    <row r="1108" spans="1:5" x14ac:dyDescent="0.15">
      <c r="A1108" t="s">
        <v>2296</v>
      </c>
      <c r="B1108" t="s">
        <v>2582</v>
      </c>
      <c r="C1108" t="s">
        <v>2583</v>
      </c>
      <c r="D1108" s="110" t="s">
        <v>2583</v>
      </c>
      <c r="E1108" s="110" t="s">
        <v>2270</v>
      </c>
    </row>
    <row r="1109" spans="1:5" x14ac:dyDescent="0.15">
      <c r="A1109" t="s">
        <v>2296</v>
      </c>
      <c r="B1109" t="s">
        <v>2584</v>
      </c>
      <c r="C1109" t="s">
        <v>2585</v>
      </c>
      <c r="D1109" s="110" t="s">
        <v>2585</v>
      </c>
      <c r="E1109" s="110" t="s">
        <v>2270</v>
      </c>
    </row>
    <row r="1110" spans="1:5" x14ac:dyDescent="0.15">
      <c r="A1110" t="s">
        <v>2296</v>
      </c>
      <c r="B1110" t="s">
        <v>2586</v>
      </c>
      <c r="C1110" t="s">
        <v>2587</v>
      </c>
      <c r="D1110" s="110" t="s">
        <v>2587</v>
      </c>
      <c r="E1110" s="110" t="s">
        <v>2270</v>
      </c>
    </row>
    <row r="1111" spans="1:5" x14ac:dyDescent="0.15">
      <c r="A1111" t="s">
        <v>2296</v>
      </c>
      <c r="B1111" t="s">
        <v>2588</v>
      </c>
      <c r="C1111" t="s">
        <v>2589</v>
      </c>
      <c r="D1111" s="110" t="s">
        <v>2589</v>
      </c>
      <c r="E1111" s="110" t="s">
        <v>2270</v>
      </c>
    </row>
    <row r="1112" spans="1:5" x14ac:dyDescent="0.15">
      <c r="A1112" t="s">
        <v>2296</v>
      </c>
      <c r="B1112" t="s">
        <v>2590</v>
      </c>
      <c r="C1112" t="s">
        <v>2591</v>
      </c>
      <c r="D1112" s="110" t="s">
        <v>2591</v>
      </c>
      <c r="E1112" s="110" t="s">
        <v>2270</v>
      </c>
    </row>
    <row r="1113" spans="1:5" x14ac:dyDescent="0.15">
      <c r="A1113" t="s">
        <v>2296</v>
      </c>
      <c r="B1113" t="s">
        <v>2592</v>
      </c>
      <c r="C1113" t="s">
        <v>2593</v>
      </c>
      <c r="D1113" s="110" t="s">
        <v>2593</v>
      </c>
      <c r="E1113" s="110" t="s">
        <v>2270</v>
      </c>
    </row>
    <row r="1114" spans="1:5" x14ac:dyDescent="0.15">
      <c r="A1114" t="s">
        <v>2296</v>
      </c>
      <c r="B1114" t="s">
        <v>2594</v>
      </c>
      <c r="C1114" t="s">
        <v>2595</v>
      </c>
      <c r="D1114" s="110" t="s">
        <v>2595</v>
      </c>
      <c r="E1114" s="110" t="s">
        <v>2270</v>
      </c>
    </row>
    <row r="1115" spans="1:5" x14ac:dyDescent="0.15">
      <c r="A1115" t="s">
        <v>2296</v>
      </c>
      <c r="B1115" t="s">
        <v>2596</v>
      </c>
      <c r="C1115" t="s">
        <v>2597</v>
      </c>
      <c r="D1115" s="110" t="s">
        <v>2597</v>
      </c>
      <c r="E1115" s="110" t="s">
        <v>2270</v>
      </c>
    </row>
    <row r="1116" spans="1:5" x14ac:dyDescent="0.15">
      <c r="A1116" t="s">
        <v>2296</v>
      </c>
      <c r="B1116" t="s">
        <v>2598</v>
      </c>
      <c r="C1116" t="s">
        <v>2599</v>
      </c>
      <c r="D1116" s="110" t="s">
        <v>2599</v>
      </c>
      <c r="E1116" s="110" t="s">
        <v>2270</v>
      </c>
    </row>
    <row r="1117" spans="1:5" x14ac:dyDescent="0.15">
      <c r="A1117" t="s">
        <v>2296</v>
      </c>
      <c r="B1117" t="s">
        <v>2600</v>
      </c>
      <c r="C1117" t="s">
        <v>2601</v>
      </c>
      <c r="D1117" s="110" t="s">
        <v>2601</v>
      </c>
      <c r="E1117" s="110" t="s">
        <v>2270</v>
      </c>
    </row>
    <row r="1118" spans="1:5" x14ac:dyDescent="0.15">
      <c r="A1118" t="s">
        <v>2296</v>
      </c>
      <c r="B1118" t="s">
        <v>2602</v>
      </c>
      <c r="C1118" t="s">
        <v>2603</v>
      </c>
      <c r="D1118" s="110" t="s">
        <v>2603</v>
      </c>
      <c r="E1118" s="110" t="s">
        <v>2270</v>
      </c>
    </row>
    <row r="1119" spans="1:5" x14ac:dyDescent="0.15">
      <c r="A1119" t="s">
        <v>2296</v>
      </c>
      <c r="B1119" t="s">
        <v>2604</v>
      </c>
      <c r="C1119" t="s">
        <v>2605</v>
      </c>
      <c r="D1119" s="110" t="s">
        <v>2605</v>
      </c>
      <c r="E1119" s="110" t="s">
        <v>2270</v>
      </c>
    </row>
    <row r="1120" spans="1:5" x14ac:dyDescent="0.15">
      <c r="A1120" t="s">
        <v>2296</v>
      </c>
      <c r="B1120" t="s">
        <v>2606</v>
      </c>
      <c r="C1120" t="s">
        <v>2607</v>
      </c>
      <c r="D1120" s="110" t="s">
        <v>2607</v>
      </c>
      <c r="E1120" s="110" t="s">
        <v>2270</v>
      </c>
    </row>
    <row r="1121" spans="1:5" x14ac:dyDescent="0.15">
      <c r="A1121" t="s">
        <v>2296</v>
      </c>
      <c r="B1121" t="s">
        <v>2608</v>
      </c>
      <c r="C1121" t="s">
        <v>2609</v>
      </c>
      <c r="D1121" s="110" t="s">
        <v>2609</v>
      </c>
      <c r="E1121" s="110" t="s">
        <v>2270</v>
      </c>
    </row>
    <row r="1122" spans="1:5" x14ac:dyDescent="0.15">
      <c r="A1122" t="s">
        <v>2296</v>
      </c>
      <c r="B1122" t="s">
        <v>2610</v>
      </c>
      <c r="C1122" t="s">
        <v>2273</v>
      </c>
      <c r="D1122" s="110" t="s">
        <v>2273</v>
      </c>
      <c r="E1122" s="110" t="s">
        <v>2272</v>
      </c>
    </row>
    <row r="1123" spans="1:5" x14ac:dyDescent="0.15">
      <c r="A1123" t="s">
        <v>2296</v>
      </c>
      <c r="B1123" t="s">
        <v>2611</v>
      </c>
      <c r="C1123" t="s">
        <v>2612</v>
      </c>
      <c r="D1123" s="110" t="s">
        <v>2612</v>
      </c>
      <c r="E1123" s="110" t="s">
        <v>2272</v>
      </c>
    </row>
    <row r="1124" spans="1:5" x14ac:dyDescent="0.15">
      <c r="A1124" t="s">
        <v>2296</v>
      </c>
      <c r="B1124" t="s">
        <v>2613</v>
      </c>
      <c r="C1124" t="s">
        <v>2614</v>
      </c>
      <c r="D1124" s="110" t="s">
        <v>2614</v>
      </c>
      <c r="E1124" s="110" t="s">
        <v>2272</v>
      </c>
    </row>
    <row r="1125" spans="1:5" x14ac:dyDescent="0.15">
      <c r="A1125" t="s">
        <v>2296</v>
      </c>
      <c r="B1125" t="s">
        <v>2615</v>
      </c>
      <c r="C1125" t="s">
        <v>2616</v>
      </c>
      <c r="D1125" s="110" t="s">
        <v>2616</v>
      </c>
      <c r="E1125" s="110" t="s">
        <v>2272</v>
      </c>
    </row>
    <row r="1126" spans="1:5" x14ac:dyDescent="0.15">
      <c r="A1126" t="s">
        <v>2296</v>
      </c>
      <c r="B1126" t="s">
        <v>2617</v>
      </c>
      <c r="C1126" t="s">
        <v>2618</v>
      </c>
      <c r="D1126" s="110" t="s">
        <v>2618</v>
      </c>
      <c r="E1126" s="110" t="s">
        <v>2272</v>
      </c>
    </row>
    <row r="1127" spans="1:5" x14ac:dyDescent="0.15">
      <c r="A1127" t="s">
        <v>2296</v>
      </c>
      <c r="B1127" t="s">
        <v>2619</v>
      </c>
      <c r="C1127" t="s">
        <v>2620</v>
      </c>
      <c r="D1127" s="110" t="s">
        <v>2620</v>
      </c>
      <c r="E1127" s="110" t="s">
        <v>2272</v>
      </c>
    </row>
    <row r="1128" spans="1:5" x14ac:dyDescent="0.15">
      <c r="A1128" t="s">
        <v>2296</v>
      </c>
      <c r="B1128" t="s">
        <v>2621</v>
      </c>
      <c r="C1128" t="s">
        <v>2622</v>
      </c>
      <c r="D1128" s="110" t="s">
        <v>2622</v>
      </c>
      <c r="E1128" s="110" t="s">
        <v>2272</v>
      </c>
    </row>
    <row r="1129" spans="1:5" x14ac:dyDescent="0.15">
      <c r="A1129" t="s">
        <v>2296</v>
      </c>
      <c r="B1129" t="s">
        <v>2623</v>
      </c>
      <c r="C1129" t="s">
        <v>2624</v>
      </c>
      <c r="D1129" s="110" t="s">
        <v>2624</v>
      </c>
      <c r="E1129" s="110" t="s">
        <v>2272</v>
      </c>
    </row>
    <row r="1130" spans="1:5" x14ac:dyDescent="0.15">
      <c r="A1130" t="s">
        <v>2296</v>
      </c>
      <c r="B1130" t="s">
        <v>2625</v>
      </c>
      <c r="C1130" t="s">
        <v>2626</v>
      </c>
      <c r="D1130" s="110" t="s">
        <v>2626</v>
      </c>
      <c r="E1130" s="110" t="s">
        <v>2272</v>
      </c>
    </row>
    <row r="1131" spans="1:5" x14ac:dyDescent="0.15">
      <c r="A1131" t="s">
        <v>2296</v>
      </c>
      <c r="B1131" t="s">
        <v>2627</v>
      </c>
      <c r="C1131" t="s">
        <v>2275</v>
      </c>
      <c r="D1131" s="110" t="s">
        <v>2275</v>
      </c>
      <c r="E1131" s="110" t="s">
        <v>2274</v>
      </c>
    </row>
    <row r="1132" spans="1:5" x14ac:dyDescent="0.15">
      <c r="A1132" t="s">
        <v>2296</v>
      </c>
      <c r="B1132" t="s">
        <v>2628</v>
      </c>
      <c r="C1132" t="s">
        <v>2316</v>
      </c>
      <c r="D1132" s="110" t="s">
        <v>2316</v>
      </c>
      <c r="E1132" s="110" t="s">
        <v>2274</v>
      </c>
    </row>
    <row r="1133" spans="1:5" x14ac:dyDescent="0.15">
      <c r="A1133" t="s">
        <v>2296</v>
      </c>
      <c r="B1133" t="s">
        <v>2629</v>
      </c>
      <c r="C1133" t="s">
        <v>2630</v>
      </c>
      <c r="D1133" s="110" t="s">
        <v>2630</v>
      </c>
      <c r="E1133" s="110" t="s">
        <v>2274</v>
      </c>
    </row>
    <row r="1134" spans="1:5" x14ac:dyDescent="0.15">
      <c r="A1134" t="s">
        <v>2296</v>
      </c>
      <c r="B1134" t="s">
        <v>2631</v>
      </c>
      <c r="C1134" t="s">
        <v>2632</v>
      </c>
      <c r="D1134" s="110" t="s">
        <v>2632</v>
      </c>
      <c r="E1134" s="110" t="s">
        <v>2274</v>
      </c>
    </row>
    <row r="1135" spans="1:5" x14ac:dyDescent="0.15">
      <c r="A1135" t="s">
        <v>2296</v>
      </c>
      <c r="B1135" t="s">
        <v>2633</v>
      </c>
      <c r="C1135" t="s">
        <v>2634</v>
      </c>
      <c r="D1135" s="110" t="s">
        <v>2634</v>
      </c>
      <c r="E1135" s="110" t="s">
        <v>2274</v>
      </c>
    </row>
    <row r="1136" spans="1:5" x14ac:dyDescent="0.15">
      <c r="A1136" t="s">
        <v>2296</v>
      </c>
      <c r="B1136" t="s">
        <v>2635</v>
      </c>
      <c r="C1136" t="s">
        <v>2636</v>
      </c>
      <c r="D1136" s="110" t="s">
        <v>2636</v>
      </c>
      <c r="E1136" s="110" t="s">
        <v>2274</v>
      </c>
    </row>
    <row r="1137" spans="1:5" x14ac:dyDescent="0.15">
      <c r="A1137" t="s">
        <v>2296</v>
      </c>
      <c r="B1137" t="s">
        <v>2637</v>
      </c>
      <c r="C1137" t="s">
        <v>2638</v>
      </c>
      <c r="D1137" s="110" t="s">
        <v>2638</v>
      </c>
      <c r="E1137" s="110" t="s">
        <v>2274</v>
      </c>
    </row>
    <row r="1138" spans="1:5" x14ac:dyDescent="0.15">
      <c r="A1138" t="s">
        <v>2296</v>
      </c>
      <c r="B1138" t="s">
        <v>2639</v>
      </c>
      <c r="C1138" t="s">
        <v>2640</v>
      </c>
      <c r="D1138" s="110" t="s">
        <v>2640</v>
      </c>
      <c r="E1138" s="110" t="s">
        <v>2274</v>
      </c>
    </row>
    <row r="1139" spans="1:5" x14ac:dyDescent="0.15">
      <c r="A1139" t="s">
        <v>2296</v>
      </c>
      <c r="B1139" t="s">
        <v>2641</v>
      </c>
      <c r="C1139" t="s">
        <v>2642</v>
      </c>
      <c r="D1139" s="110" t="s">
        <v>2642</v>
      </c>
      <c r="E1139" s="110" t="s">
        <v>2274</v>
      </c>
    </row>
    <row r="1140" spans="1:5" x14ac:dyDescent="0.15">
      <c r="A1140" t="s">
        <v>2296</v>
      </c>
      <c r="B1140" t="s">
        <v>2643</v>
      </c>
      <c r="C1140" t="s">
        <v>2644</v>
      </c>
      <c r="D1140" s="110" t="s">
        <v>2644</v>
      </c>
      <c r="E1140" s="110" t="s">
        <v>2274</v>
      </c>
    </row>
    <row r="1141" spans="1:5" x14ac:dyDescent="0.15">
      <c r="A1141" t="s">
        <v>2296</v>
      </c>
      <c r="B1141" t="s">
        <v>2645</v>
      </c>
      <c r="C1141" t="s">
        <v>2646</v>
      </c>
      <c r="D1141" s="110" t="s">
        <v>2646</v>
      </c>
      <c r="E1141" s="110" t="s">
        <v>2274</v>
      </c>
    </row>
    <row r="1142" spans="1:5" x14ac:dyDescent="0.15">
      <c r="A1142" t="s">
        <v>2296</v>
      </c>
      <c r="B1142" t="s">
        <v>2647</v>
      </c>
      <c r="C1142" t="s">
        <v>2648</v>
      </c>
      <c r="D1142" s="110" t="s">
        <v>2648</v>
      </c>
      <c r="E1142" s="110" t="s">
        <v>2274</v>
      </c>
    </row>
    <row r="1143" spans="1:5" x14ac:dyDescent="0.15">
      <c r="A1143" t="s">
        <v>2296</v>
      </c>
      <c r="B1143" t="s">
        <v>2649</v>
      </c>
      <c r="C1143" t="s">
        <v>2650</v>
      </c>
      <c r="D1143" s="110" t="s">
        <v>2650</v>
      </c>
      <c r="E1143" s="110" t="s">
        <v>2274</v>
      </c>
    </row>
    <row r="1144" spans="1:5" x14ac:dyDescent="0.15">
      <c r="A1144" t="s">
        <v>2296</v>
      </c>
      <c r="B1144" t="s">
        <v>2651</v>
      </c>
      <c r="C1144" t="s">
        <v>2652</v>
      </c>
      <c r="D1144" s="110" t="s">
        <v>2652</v>
      </c>
      <c r="E1144" s="110" t="s">
        <v>2274</v>
      </c>
    </row>
    <row r="1145" spans="1:5" x14ac:dyDescent="0.15">
      <c r="A1145" t="s">
        <v>2296</v>
      </c>
      <c r="B1145" t="s">
        <v>2653</v>
      </c>
      <c r="C1145" t="s">
        <v>2654</v>
      </c>
      <c r="D1145" s="110" t="s">
        <v>2654</v>
      </c>
      <c r="E1145" s="110" t="s">
        <v>2274</v>
      </c>
    </row>
    <row r="1146" spans="1:5" x14ac:dyDescent="0.15">
      <c r="A1146" t="s">
        <v>2296</v>
      </c>
      <c r="B1146" t="s">
        <v>2655</v>
      </c>
      <c r="C1146" t="s">
        <v>2656</v>
      </c>
      <c r="D1146" s="110" t="s">
        <v>2656</v>
      </c>
      <c r="E1146" s="110" t="s">
        <v>2274</v>
      </c>
    </row>
    <row r="1147" spans="1:5" x14ac:dyDescent="0.15">
      <c r="A1147" t="s">
        <v>2296</v>
      </c>
      <c r="B1147" t="s">
        <v>2657</v>
      </c>
      <c r="C1147" t="s">
        <v>2658</v>
      </c>
      <c r="D1147" s="110" t="s">
        <v>2658</v>
      </c>
      <c r="E1147" s="110" t="s">
        <v>2274</v>
      </c>
    </row>
    <row r="1148" spans="1:5" x14ac:dyDescent="0.15">
      <c r="A1148" t="s">
        <v>2296</v>
      </c>
      <c r="B1148" t="s">
        <v>2659</v>
      </c>
      <c r="C1148" t="s">
        <v>2660</v>
      </c>
      <c r="D1148" s="110" t="s">
        <v>2660</v>
      </c>
      <c r="E1148" s="110" t="s">
        <v>2274</v>
      </c>
    </row>
    <row r="1149" spans="1:5" x14ac:dyDescent="0.15">
      <c r="A1149" t="s">
        <v>2296</v>
      </c>
      <c r="B1149" t="s">
        <v>2661</v>
      </c>
      <c r="C1149" t="s">
        <v>2662</v>
      </c>
      <c r="D1149" s="110" t="s">
        <v>2662</v>
      </c>
      <c r="E1149" s="110" t="s">
        <v>2274</v>
      </c>
    </row>
    <row r="1150" spans="1:5" x14ac:dyDescent="0.15">
      <c r="A1150" t="s">
        <v>2296</v>
      </c>
      <c r="B1150" t="s">
        <v>2663</v>
      </c>
      <c r="C1150" t="s">
        <v>2664</v>
      </c>
      <c r="D1150" s="110" t="s">
        <v>2664</v>
      </c>
      <c r="E1150" s="110" t="s">
        <v>2274</v>
      </c>
    </row>
    <row r="1151" spans="1:5" x14ac:dyDescent="0.15">
      <c r="A1151" t="s">
        <v>2296</v>
      </c>
      <c r="B1151" t="s">
        <v>2665</v>
      </c>
      <c r="C1151" t="s">
        <v>2666</v>
      </c>
      <c r="D1151" s="110" t="s">
        <v>2666</v>
      </c>
      <c r="E1151" s="110" t="s">
        <v>2274</v>
      </c>
    </row>
    <row r="1152" spans="1:5" x14ac:dyDescent="0.15">
      <c r="A1152" t="s">
        <v>2296</v>
      </c>
      <c r="B1152" t="s">
        <v>2667</v>
      </c>
      <c r="C1152" t="s">
        <v>2668</v>
      </c>
      <c r="D1152" s="110" t="s">
        <v>2668</v>
      </c>
      <c r="E1152" s="110" t="s">
        <v>2274</v>
      </c>
    </row>
    <row r="1153" spans="1:5" x14ac:dyDescent="0.15">
      <c r="A1153" t="s">
        <v>2296</v>
      </c>
      <c r="B1153" t="s">
        <v>2669</v>
      </c>
      <c r="C1153" t="s">
        <v>2670</v>
      </c>
      <c r="D1153" s="110" t="s">
        <v>2670</v>
      </c>
      <c r="E1153" s="110" t="s">
        <v>2274</v>
      </c>
    </row>
    <row r="1154" spans="1:5" x14ac:dyDescent="0.15">
      <c r="A1154" t="s">
        <v>2296</v>
      </c>
      <c r="B1154" t="s">
        <v>2671</v>
      </c>
      <c r="C1154" t="s">
        <v>2672</v>
      </c>
      <c r="D1154" s="110" t="s">
        <v>2672</v>
      </c>
      <c r="E1154" s="110" t="s">
        <v>2274</v>
      </c>
    </row>
    <row r="1155" spans="1:5" x14ac:dyDescent="0.15">
      <c r="A1155" t="s">
        <v>2296</v>
      </c>
      <c r="B1155" t="s">
        <v>2673</v>
      </c>
      <c r="C1155" t="s">
        <v>2674</v>
      </c>
      <c r="D1155" s="110" t="s">
        <v>2674</v>
      </c>
      <c r="E1155" s="110" t="s">
        <v>2274</v>
      </c>
    </row>
    <row r="1156" spans="1:5" x14ac:dyDescent="0.15">
      <c r="A1156" t="s">
        <v>2296</v>
      </c>
      <c r="B1156" t="s">
        <v>2675</v>
      </c>
      <c r="C1156" t="s">
        <v>2676</v>
      </c>
      <c r="D1156" s="110" t="s">
        <v>2676</v>
      </c>
      <c r="E1156" s="110" t="s">
        <v>2274</v>
      </c>
    </row>
    <row r="1157" spans="1:5" x14ac:dyDescent="0.15">
      <c r="A1157" t="s">
        <v>2296</v>
      </c>
      <c r="B1157" t="s">
        <v>2677</v>
      </c>
      <c r="C1157" t="s">
        <v>2678</v>
      </c>
      <c r="D1157" s="110" t="s">
        <v>2678</v>
      </c>
      <c r="E1157" s="110" t="s">
        <v>2274</v>
      </c>
    </row>
    <row r="1158" spans="1:5" x14ac:dyDescent="0.15">
      <c r="A1158" t="s">
        <v>2296</v>
      </c>
      <c r="B1158" t="s">
        <v>2679</v>
      </c>
      <c r="C1158" t="s">
        <v>2680</v>
      </c>
      <c r="D1158" s="110" t="s">
        <v>2680</v>
      </c>
      <c r="E1158" s="110" t="s">
        <v>2274</v>
      </c>
    </row>
    <row r="1159" spans="1:5" x14ac:dyDescent="0.15">
      <c r="A1159" t="s">
        <v>2296</v>
      </c>
      <c r="B1159" t="s">
        <v>2681</v>
      </c>
      <c r="C1159" t="s">
        <v>2581</v>
      </c>
      <c r="D1159" s="110" t="s">
        <v>2581</v>
      </c>
      <c r="E1159" s="110" t="s">
        <v>2274</v>
      </c>
    </row>
    <row r="1160" spans="1:5" x14ac:dyDescent="0.15">
      <c r="A1160" t="s">
        <v>2296</v>
      </c>
      <c r="B1160" t="s">
        <v>2682</v>
      </c>
      <c r="C1160" t="s">
        <v>2683</v>
      </c>
      <c r="D1160" s="110" t="s">
        <v>2683</v>
      </c>
      <c r="E1160" s="110" t="s">
        <v>2274</v>
      </c>
    </row>
    <row r="1161" spans="1:5" x14ac:dyDescent="0.15">
      <c r="A1161" t="s">
        <v>2296</v>
      </c>
      <c r="B1161" t="s">
        <v>2684</v>
      </c>
      <c r="C1161" t="s">
        <v>2277</v>
      </c>
      <c r="D1161" s="110" t="s">
        <v>2277</v>
      </c>
      <c r="E1161" s="110" t="s">
        <v>2276</v>
      </c>
    </row>
    <row r="1162" spans="1:5" x14ac:dyDescent="0.15">
      <c r="A1162" t="s">
        <v>2296</v>
      </c>
      <c r="B1162" t="s">
        <v>2685</v>
      </c>
      <c r="C1162" t="s">
        <v>2686</v>
      </c>
      <c r="D1162" s="110" t="s">
        <v>2686</v>
      </c>
      <c r="E1162" s="110" t="s">
        <v>2276</v>
      </c>
    </row>
    <row r="1163" spans="1:5" x14ac:dyDescent="0.15">
      <c r="A1163" t="s">
        <v>2296</v>
      </c>
      <c r="B1163" t="s">
        <v>2687</v>
      </c>
      <c r="C1163" t="s">
        <v>2688</v>
      </c>
      <c r="D1163" s="110" t="s">
        <v>2688</v>
      </c>
      <c r="E1163" s="110" t="s">
        <v>2276</v>
      </c>
    </row>
    <row r="1164" spans="1:5" x14ac:dyDescent="0.15">
      <c r="A1164" t="s">
        <v>2296</v>
      </c>
      <c r="B1164" t="s">
        <v>2689</v>
      </c>
      <c r="C1164" t="s">
        <v>2690</v>
      </c>
      <c r="D1164" s="110" t="s">
        <v>2690</v>
      </c>
      <c r="E1164" s="110" t="s">
        <v>2276</v>
      </c>
    </row>
    <row r="1165" spans="1:5" x14ac:dyDescent="0.15">
      <c r="A1165" t="s">
        <v>2296</v>
      </c>
      <c r="B1165" t="s">
        <v>2691</v>
      </c>
      <c r="C1165" t="s">
        <v>2692</v>
      </c>
      <c r="D1165" s="110" t="s">
        <v>2692</v>
      </c>
      <c r="E1165" s="110" t="s">
        <v>2276</v>
      </c>
    </row>
    <row r="1166" spans="1:5" x14ac:dyDescent="0.15">
      <c r="A1166" t="s">
        <v>2296</v>
      </c>
      <c r="B1166" t="s">
        <v>2693</v>
      </c>
      <c r="C1166" t="s">
        <v>2694</v>
      </c>
      <c r="D1166" s="110" t="s">
        <v>2694</v>
      </c>
      <c r="E1166" s="110" t="s">
        <v>2276</v>
      </c>
    </row>
    <row r="1167" spans="1:5" x14ac:dyDescent="0.15">
      <c r="A1167" t="s">
        <v>2296</v>
      </c>
      <c r="B1167" t="s">
        <v>2695</v>
      </c>
      <c r="C1167" t="s">
        <v>2696</v>
      </c>
      <c r="D1167" s="110" t="s">
        <v>2696</v>
      </c>
      <c r="E1167" s="110" t="s">
        <v>2276</v>
      </c>
    </row>
    <row r="1168" spans="1:5" x14ac:dyDescent="0.15">
      <c r="A1168" t="s">
        <v>2296</v>
      </c>
      <c r="B1168" t="s">
        <v>2697</v>
      </c>
      <c r="C1168" t="s">
        <v>2698</v>
      </c>
      <c r="D1168" s="110" t="s">
        <v>2698</v>
      </c>
      <c r="E1168" s="110" t="s">
        <v>2276</v>
      </c>
    </row>
    <row r="1169" spans="1:5" x14ac:dyDescent="0.15">
      <c r="A1169" t="s">
        <v>2296</v>
      </c>
      <c r="B1169" t="s">
        <v>2699</v>
      </c>
      <c r="C1169" t="s">
        <v>2700</v>
      </c>
      <c r="D1169" s="110" t="s">
        <v>2700</v>
      </c>
      <c r="E1169" s="110" t="s">
        <v>2276</v>
      </c>
    </row>
    <row r="1170" spans="1:5" x14ac:dyDescent="0.15">
      <c r="A1170" t="s">
        <v>2296</v>
      </c>
      <c r="B1170" t="s">
        <v>2701</v>
      </c>
      <c r="C1170" t="s">
        <v>2597</v>
      </c>
      <c r="D1170" s="110" t="s">
        <v>2597</v>
      </c>
      <c r="E1170" s="110" t="s">
        <v>2276</v>
      </c>
    </row>
    <row r="1171" spans="1:5" x14ac:dyDescent="0.15">
      <c r="A1171" t="s">
        <v>2296</v>
      </c>
      <c r="B1171" t="s">
        <v>2702</v>
      </c>
      <c r="C1171" t="s">
        <v>2703</v>
      </c>
      <c r="D1171" s="110" t="s">
        <v>2703</v>
      </c>
      <c r="E1171" s="110" t="s">
        <v>2276</v>
      </c>
    </row>
    <row r="1172" spans="1:5" x14ac:dyDescent="0.15">
      <c r="A1172" t="s">
        <v>2296</v>
      </c>
      <c r="B1172" t="s">
        <v>2704</v>
      </c>
      <c r="C1172" t="s">
        <v>2416</v>
      </c>
      <c r="D1172" s="110" t="s">
        <v>2416</v>
      </c>
      <c r="E1172" s="110" t="s">
        <v>2276</v>
      </c>
    </row>
    <row r="1173" spans="1:5" x14ac:dyDescent="0.15">
      <c r="A1173" t="s">
        <v>2296</v>
      </c>
      <c r="B1173" t="s">
        <v>2705</v>
      </c>
      <c r="C1173" t="s">
        <v>2706</v>
      </c>
      <c r="D1173" s="110" t="s">
        <v>2706</v>
      </c>
      <c r="E1173" s="110" t="s">
        <v>2276</v>
      </c>
    </row>
    <row r="1174" spans="1:5" x14ac:dyDescent="0.15">
      <c r="A1174" t="s">
        <v>2296</v>
      </c>
      <c r="B1174" t="s">
        <v>2707</v>
      </c>
      <c r="C1174" t="s">
        <v>2708</v>
      </c>
      <c r="D1174" s="110" t="s">
        <v>2708</v>
      </c>
      <c r="E1174" s="110" t="s">
        <v>2276</v>
      </c>
    </row>
    <row r="1175" spans="1:5" x14ac:dyDescent="0.15">
      <c r="A1175" t="s">
        <v>2296</v>
      </c>
      <c r="B1175" t="s">
        <v>2709</v>
      </c>
      <c r="C1175" t="s">
        <v>2710</v>
      </c>
      <c r="D1175" s="110" t="s">
        <v>2710</v>
      </c>
      <c r="E1175" s="110" t="s">
        <v>2276</v>
      </c>
    </row>
    <row r="1176" spans="1:5" x14ac:dyDescent="0.15">
      <c r="A1176" t="s">
        <v>2296</v>
      </c>
      <c r="B1176" t="s">
        <v>2711</v>
      </c>
      <c r="C1176" t="s">
        <v>2712</v>
      </c>
      <c r="D1176" s="110" t="s">
        <v>2712</v>
      </c>
      <c r="E1176" s="110" t="s">
        <v>2276</v>
      </c>
    </row>
    <row r="1177" spans="1:5" x14ac:dyDescent="0.15">
      <c r="A1177" t="s">
        <v>2296</v>
      </c>
      <c r="B1177" t="s">
        <v>2713</v>
      </c>
      <c r="C1177" t="s">
        <v>2714</v>
      </c>
      <c r="D1177" s="110" t="s">
        <v>2714</v>
      </c>
      <c r="E1177" s="110" t="s">
        <v>2276</v>
      </c>
    </row>
    <row r="1178" spans="1:5" x14ac:dyDescent="0.15">
      <c r="A1178" t="s">
        <v>2296</v>
      </c>
      <c r="B1178" t="s">
        <v>2715</v>
      </c>
      <c r="C1178" t="s">
        <v>2716</v>
      </c>
      <c r="D1178" s="110" t="s">
        <v>2716</v>
      </c>
      <c r="E1178" s="110" t="s">
        <v>2276</v>
      </c>
    </row>
    <row r="1179" spans="1:5" x14ac:dyDescent="0.15">
      <c r="A1179" t="s">
        <v>2296</v>
      </c>
      <c r="B1179" t="s">
        <v>2717</v>
      </c>
      <c r="C1179" t="s">
        <v>2718</v>
      </c>
      <c r="D1179" s="110" t="s">
        <v>2718</v>
      </c>
      <c r="E1179" s="110" t="s">
        <v>2276</v>
      </c>
    </row>
    <row r="1180" spans="1:5" x14ac:dyDescent="0.15">
      <c r="A1180" t="s">
        <v>2296</v>
      </c>
      <c r="B1180" t="s">
        <v>2719</v>
      </c>
      <c r="C1180" t="s">
        <v>2720</v>
      </c>
      <c r="D1180" s="110" t="s">
        <v>2720</v>
      </c>
      <c r="E1180" s="110" t="s">
        <v>2276</v>
      </c>
    </row>
    <row r="1181" spans="1:5" x14ac:dyDescent="0.15">
      <c r="A1181" t="s">
        <v>2296</v>
      </c>
      <c r="B1181" t="s">
        <v>2721</v>
      </c>
      <c r="C1181" t="s">
        <v>2722</v>
      </c>
      <c r="D1181" s="110" t="s">
        <v>2722</v>
      </c>
      <c r="E1181" s="110" t="s">
        <v>2276</v>
      </c>
    </row>
    <row r="1182" spans="1:5" x14ac:dyDescent="0.15">
      <c r="A1182" t="s">
        <v>2296</v>
      </c>
      <c r="B1182" t="s">
        <v>2723</v>
      </c>
      <c r="C1182" t="s">
        <v>2724</v>
      </c>
      <c r="D1182" s="110" t="s">
        <v>2724</v>
      </c>
      <c r="E1182" s="110" t="s">
        <v>2276</v>
      </c>
    </row>
    <row r="1183" spans="1:5" x14ac:dyDescent="0.15">
      <c r="A1183" t="s">
        <v>2296</v>
      </c>
      <c r="B1183" t="s">
        <v>2725</v>
      </c>
      <c r="C1183" t="s">
        <v>2726</v>
      </c>
      <c r="D1183" s="110" t="s">
        <v>2726</v>
      </c>
      <c r="E1183" s="110" t="s">
        <v>2276</v>
      </c>
    </row>
    <row r="1184" spans="1:5" x14ac:dyDescent="0.15">
      <c r="A1184" t="s">
        <v>2296</v>
      </c>
      <c r="B1184" t="s">
        <v>2727</v>
      </c>
      <c r="C1184" t="s">
        <v>2728</v>
      </c>
      <c r="D1184" s="110" t="s">
        <v>2728</v>
      </c>
      <c r="E1184" s="110" t="s">
        <v>2276</v>
      </c>
    </row>
    <row r="1185" spans="1:5" x14ac:dyDescent="0.15">
      <c r="A1185" t="s">
        <v>2296</v>
      </c>
      <c r="B1185" t="s">
        <v>2729</v>
      </c>
      <c r="C1185" t="s">
        <v>2730</v>
      </c>
      <c r="D1185" s="110" t="s">
        <v>2730</v>
      </c>
      <c r="E1185" s="110" t="s">
        <v>2276</v>
      </c>
    </row>
    <row r="1186" spans="1:5" x14ac:dyDescent="0.15">
      <c r="A1186" t="s">
        <v>2296</v>
      </c>
      <c r="B1186" t="s">
        <v>2731</v>
      </c>
      <c r="C1186" t="s">
        <v>2732</v>
      </c>
      <c r="D1186" s="110" t="s">
        <v>2732</v>
      </c>
      <c r="E1186" s="110" t="s">
        <v>2276</v>
      </c>
    </row>
    <row r="1187" spans="1:5" x14ac:dyDescent="0.15">
      <c r="A1187" t="s">
        <v>2296</v>
      </c>
      <c r="B1187" t="s">
        <v>2733</v>
      </c>
      <c r="C1187" t="s">
        <v>2734</v>
      </c>
      <c r="D1187" s="110" t="s">
        <v>2734</v>
      </c>
      <c r="E1187" s="110" t="s">
        <v>2276</v>
      </c>
    </row>
    <row r="1188" spans="1:5" x14ac:dyDescent="0.15">
      <c r="A1188" t="s">
        <v>2296</v>
      </c>
      <c r="B1188" t="s">
        <v>2735</v>
      </c>
      <c r="C1188" t="s">
        <v>2736</v>
      </c>
      <c r="D1188" s="110" t="s">
        <v>2736</v>
      </c>
      <c r="E1188" s="110" t="s">
        <v>2276</v>
      </c>
    </row>
    <row r="1189" spans="1:5" x14ac:dyDescent="0.15">
      <c r="A1189" t="s">
        <v>2296</v>
      </c>
      <c r="B1189" t="s">
        <v>2737</v>
      </c>
      <c r="C1189" t="s">
        <v>2738</v>
      </c>
      <c r="D1189" s="110" t="s">
        <v>2738</v>
      </c>
      <c r="E1189" s="110" t="s">
        <v>2276</v>
      </c>
    </row>
    <row r="1190" spans="1:5" x14ac:dyDescent="0.15">
      <c r="A1190" t="s">
        <v>2296</v>
      </c>
      <c r="B1190" t="s">
        <v>2739</v>
      </c>
      <c r="C1190" t="s">
        <v>2740</v>
      </c>
      <c r="D1190" s="110" t="s">
        <v>2740</v>
      </c>
      <c r="E1190" s="110" t="s">
        <v>2276</v>
      </c>
    </row>
    <row r="1191" spans="1:5" x14ac:dyDescent="0.15">
      <c r="A1191" t="s">
        <v>2296</v>
      </c>
      <c r="B1191" t="s">
        <v>2741</v>
      </c>
      <c r="C1191" t="s">
        <v>2742</v>
      </c>
      <c r="D1191" s="110" t="s">
        <v>2742</v>
      </c>
      <c r="E1191" s="110" t="s">
        <v>2276</v>
      </c>
    </row>
    <row r="1192" spans="1:5" x14ac:dyDescent="0.15">
      <c r="A1192" t="s">
        <v>2296</v>
      </c>
      <c r="B1192" t="s">
        <v>2743</v>
      </c>
      <c r="C1192" t="s">
        <v>2744</v>
      </c>
      <c r="D1192" s="110" t="s">
        <v>2744</v>
      </c>
      <c r="E1192" s="110" t="s">
        <v>2276</v>
      </c>
    </row>
    <row r="1193" spans="1:5" x14ac:dyDescent="0.15">
      <c r="A1193" t="s">
        <v>2296</v>
      </c>
      <c r="B1193" t="s">
        <v>2745</v>
      </c>
      <c r="C1193" t="s">
        <v>2746</v>
      </c>
      <c r="D1193" s="110" t="s">
        <v>2746</v>
      </c>
      <c r="E1193" s="110" t="s">
        <v>2276</v>
      </c>
    </row>
    <row r="1194" spans="1:5" x14ac:dyDescent="0.15">
      <c r="A1194" t="s">
        <v>2296</v>
      </c>
      <c r="B1194" t="s">
        <v>2747</v>
      </c>
      <c r="C1194" t="s">
        <v>2748</v>
      </c>
      <c r="D1194" s="110" t="s">
        <v>2748</v>
      </c>
      <c r="E1194" s="110" t="s">
        <v>2278</v>
      </c>
    </row>
    <row r="1195" spans="1:5" x14ac:dyDescent="0.15">
      <c r="A1195" t="s">
        <v>2296</v>
      </c>
      <c r="B1195" t="s">
        <v>2749</v>
      </c>
      <c r="C1195" t="s">
        <v>2750</v>
      </c>
      <c r="D1195" s="110" t="s">
        <v>2750</v>
      </c>
      <c r="E1195" s="110" t="s">
        <v>2278</v>
      </c>
    </row>
    <row r="1196" spans="1:5" x14ac:dyDescent="0.15">
      <c r="A1196" t="s">
        <v>2296</v>
      </c>
      <c r="B1196" t="s">
        <v>2751</v>
      </c>
      <c r="C1196" t="s">
        <v>2752</v>
      </c>
      <c r="D1196" s="110" t="s">
        <v>2752</v>
      </c>
      <c r="E1196" s="110" t="s">
        <v>2278</v>
      </c>
    </row>
    <row r="1197" spans="1:5" x14ac:dyDescent="0.15">
      <c r="A1197" t="s">
        <v>2296</v>
      </c>
      <c r="B1197" t="s">
        <v>2753</v>
      </c>
      <c r="C1197" t="s">
        <v>2754</v>
      </c>
      <c r="D1197" s="110" t="s">
        <v>2754</v>
      </c>
      <c r="E1197" s="110" t="s">
        <v>2278</v>
      </c>
    </row>
    <row r="1198" spans="1:5" x14ac:dyDescent="0.15">
      <c r="A1198" t="s">
        <v>2296</v>
      </c>
      <c r="B1198" t="s">
        <v>2755</v>
      </c>
      <c r="C1198" t="s">
        <v>2756</v>
      </c>
      <c r="D1198" s="110" t="s">
        <v>2756</v>
      </c>
      <c r="E1198" s="110" t="s">
        <v>2278</v>
      </c>
    </row>
    <row r="1199" spans="1:5" x14ac:dyDescent="0.15">
      <c r="A1199" t="s">
        <v>2296</v>
      </c>
      <c r="B1199" t="s">
        <v>2757</v>
      </c>
      <c r="C1199" t="s">
        <v>2758</v>
      </c>
      <c r="D1199" s="110" t="s">
        <v>2758</v>
      </c>
      <c r="E1199" s="110" t="s">
        <v>2278</v>
      </c>
    </row>
    <row r="1200" spans="1:5" x14ac:dyDescent="0.15">
      <c r="A1200" t="s">
        <v>2296</v>
      </c>
      <c r="B1200" t="s">
        <v>2759</v>
      </c>
      <c r="C1200" t="s">
        <v>2760</v>
      </c>
      <c r="D1200" s="110" t="s">
        <v>2760</v>
      </c>
      <c r="E1200" s="110" t="s">
        <v>2278</v>
      </c>
    </row>
    <row r="1201" spans="1:5" x14ac:dyDescent="0.15">
      <c r="A1201" t="s">
        <v>2296</v>
      </c>
      <c r="B1201" t="s">
        <v>2761</v>
      </c>
      <c r="C1201" t="s">
        <v>2762</v>
      </c>
      <c r="D1201" s="110" t="s">
        <v>2762</v>
      </c>
      <c r="E1201" s="110" t="s">
        <v>2278</v>
      </c>
    </row>
    <row r="1202" spans="1:5" x14ac:dyDescent="0.15">
      <c r="A1202" t="s">
        <v>2296</v>
      </c>
      <c r="B1202" t="s">
        <v>2763</v>
      </c>
      <c r="C1202" t="s">
        <v>2764</v>
      </c>
      <c r="D1202" s="110" t="s">
        <v>2764</v>
      </c>
      <c r="E1202" s="110" t="s">
        <v>2278</v>
      </c>
    </row>
    <row r="1203" spans="1:5" x14ac:dyDescent="0.15">
      <c r="A1203" t="s">
        <v>2296</v>
      </c>
      <c r="B1203" t="s">
        <v>2765</v>
      </c>
      <c r="C1203" t="s">
        <v>2766</v>
      </c>
      <c r="D1203" s="110" t="s">
        <v>2766</v>
      </c>
      <c r="E1203" s="110" t="s">
        <v>2278</v>
      </c>
    </row>
    <row r="1204" spans="1:5" x14ac:dyDescent="0.15">
      <c r="A1204" t="s">
        <v>2296</v>
      </c>
      <c r="B1204" t="s">
        <v>2767</v>
      </c>
      <c r="C1204" t="s">
        <v>2768</v>
      </c>
      <c r="D1204" s="110" t="s">
        <v>2768</v>
      </c>
      <c r="E1204" s="110" t="s">
        <v>2278</v>
      </c>
    </row>
    <row r="1205" spans="1:5" x14ac:dyDescent="0.15">
      <c r="A1205" t="s">
        <v>2296</v>
      </c>
      <c r="B1205" t="s">
        <v>2769</v>
      </c>
      <c r="C1205" t="s">
        <v>2770</v>
      </c>
      <c r="D1205" s="110" t="s">
        <v>2770</v>
      </c>
      <c r="E1205" s="110" t="s">
        <v>2278</v>
      </c>
    </row>
    <row r="1206" spans="1:5" x14ac:dyDescent="0.15">
      <c r="A1206" t="s">
        <v>2296</v>
      </c>
      <c r="B1206" t="s">
        <v>2771</v>
      </c>
      <c r="C1206" t="s">
        <v>2772</v>
      </c>
      <c r="D1206" s="110" t="s">
        <v>2772</v>
      </c>
      <c r="E1206" s="110" t="s">
        <v>2278</v>
      </c>
    </row>
    <row r="1207" spans="1:5" x14ac:dyDescent="0.15">
      <c r="A1207" t="s">
        <v>2296</v>
      </c>
      <c r="B1207" t="s">
        <v>2773</v>
      </c>
      <c r="C1207" t="s">
        <v>2774</v>
      </c>
      <c r="D1207" s="110" t="s">
        <v>2774</v>
      </c>
      <c r="E1207" s="110" t="s">
        <v>2278</v>
      </c>
    </row>
    <row r="1208" spans="1:5" x14ac:dyDescent="0.15">
      <c r="A1208" t="s">
        <v>2296</v>
      </c>
      <c r="B1208" t="s">
        <v>2775</v>
      </c>
      <c r="C1208" t="s">
        <v>2776</v>
      </c>
      <c r="D1208" s="110" t="s">
        <v>2776</v>
      </c>
      <c r="E1208" s="110" t="s">
        <v>2278</v>
      </c>
    </row>
    <row r="1209" spans="1:5" x14ac:dyDescent="0.15">
      <c r="A1209" t="s">
        <v>2296</v>
      </c>
      <c r="B1209" t="s">
        <v>2777</v>
      </c>
      <c r="C1209" t="s">
        <v>2778</v>
      </c>
      <c r="D1209" s="110" t="s">
        <v>2778</v>
      </c>
      <c r="E1209" s="110" t="s">
        <v>2278</v>
      </c>
    </row>
    <row r="1210" spans="1:5" x14ac:dyDescent="0.15">
      <c r="A1210" t="s">
        <v>2296</v>
      </c>
      <c r="B1210" t="s">
        <v>2779</v>
      </c>
      <c r="C1210" t="s">
        <v>2780</v>
      </c>
      <c r="D1210" s="110" t="s">
        <v>2780</v>
      </c>
      <c r="E1210" s="110" t="s">
        <v>2278</v>
      </c>
    </row>
    <row r="1211" spans="1:5" x14ac:dyDescent="0.15">
      <c r="A1211" t="s">
        <v>2296</v>
      </c>
      <c r="B1211" t="s">
        <v>2781</v>
      </c>
      <c r="C1211" t="s">
        <v>2782</v>
      </c>
      <c r="D1211" s="110" t="s">
        <v>2782</v>
      </c>
      <c r="E1211" s="110" t="s">
        <v>2278</v>
      </c>
    </row>
    <row r="1212" spans="1:5" x14ac:dyDescent="0.15">
      <c r="A1212" t="s">
        <v>2296</v>
      </c>
      <c r="B1212" t="s">
        <v>2783</v>
      </c>
      <c r="C1212" t="s">
        <v>2784</v>
      </c>
      <c r="D1212" s="110" t="s">
        <v>2784</v>
      </c>
      <c r="E1212" s="110" t="s">
        <v>2278</v>
      </c>
    </row>
    <row r="1213" spans="1:5" x14ac:dyDescent="0.15">
      <c r="A1213" t="s">
        <v>2296</v>
      </c>
      <c r="B1213" t="s">
        <v>2785</v>
      </c>
      <c r="C1213" t="s">
        <v>2786</v>
      </c>
      <c r="D1213" s="110" t="s">
        <v>2786</v>
      </c>
      <c r="E1213" s="110" t="s">
        <v>2278</v>
      </c>
    </row>
    <row r="1214" spans="1:5" x14ac:dyDescent="0.15">
      <c r="A1214" t="s">
        <v>2296</v>
      </c>
      <c r="B1214" t="s">
        <v>2787</v>
      </c>
      <c r="C1214" t="s">
        <v>2788</v>
      </c>
      <c r="D1214" s="110" t="s">
        <v>2788</v>
      </c>
      <c r="E1214" s="110" t="s">
        <v>2278</v>
      </c>
    </row>
    <row r="1215" spans="1:5" x14ac:dyDescent="0.15">
      <c r="A1215" t="s">
        <v>2296</v>
      </c>
      <c r="B1215" t="s">
        <v>2789</v>
      </c>
      <c r="C1215" t="s">
        <v>2790</v>
      </c>
      <c r="D1215" s="110" t="s">
        <v>2790</v>
      </c>
      <c r="E1215" s="110" t="s">
        <v>2280</v>
      </c>
    </row>
    <row r="1216" spans="1:5" x14ac:dyDescent="0.15">
      <c r="A1216" t="s">
        <v>2296</v>
      </c>
      <c r="B1216" t="s">
        <v>2791</v>
      </c>
      <c r="C1216" t="s">
        <v>2792</v>
      </c>
      <c r="D1216" s="110" t="s">
        <v>2792</v>
      </c>
      <c r="E1216" s="110" t="s">
        <v>2280</v>
      </c>
    </row>
    <row r="1217" spans="1:5" x14ac:dyDescent="0.15">
      <c r="A1217" t="s">
        <v>2296</v>
      </c>
      <c r="B1217" t="s">
        <v>2793</v>
      </c>
      <c r="C1217" t="s">
        <v>2794</v>
      </c>
      <c r="D1217" s="110" t="s">
        <v>2794</v>
      </c>
      <c r="E1217" s="110" t="s">
        <v>2280</v>
      </c>
    </row>
    <row r="1218" spans="1:5" x14ac:dyDescent="0.15">
      <c r="A1218" t="s">
        <v>2296</v>
      </c>
      <c r="B1218" t="s">
        <v>2795</v>
      </c>
      <c r="C1218" t="s">
        <v>2796</v>
      </c>
      <c r="D1218" s="110" t="s">
        <v>2796</v>
      </c>
      <c r="E1218" s="110" t="s">
        <v>2280</v>
      </c>
    </row>
    <row r="1219" spans="1:5" x14ac:dyDescent="0.15">
      <c r="A1219" t="s">
        <v>2296</v>
      </c>
      <c r="B1219" t="s">
        <v>2797</v>
      </c>
      <c r="C1219" t="s">
        <v>2798</v>
      </c>
      <c r="D1219" s="110" t="s">
        <v>2798</v>
      </c>
      <c r="E1219" s="110" t="s">
        <v>2280</v>
      </c>
    </row>
    <row r="1220" spans="1:5" x14ac:dyDescent="0.15">
      <c r="A1220" t="s">
        <v>2296</v>
      </c>
      <c r="B1220" t="s">
        <v>2799</v>
      </c>
      <c r="C1220" t="s">
        <v>2800</v>
      </c>
      <c r="D1220" s="110" t="s">
        <v>2800</v>
      </c>
      <c r="E1220" s="110" t="s">
        <v>2280</v>
      </c>
    </row>
    <row r="1221" spans="1:5" x14ac:dyDescent="0.15">
      <c r="A1221" t="s">
        <v>2296</v>
      </c>
      <c r="B1221" t="s">
        <v>2801</v>
      </c>
      <c r="C1221" t="s">
        <v>2802</v>
      </c>
      <c r="D1221" s="110" t="s">
        <v>2802</v>
      </c>
      <c r="E1221" s="110" t="s">
        <v>2280</v>
      </c>
    </row>
    <row r="1222" spans="1:5" x14ac:dyDescent="0.15">
      <c r="A1222" t="s">
        <v>2296</v>
      </c>
      <c r="B1222" t="s">
        <v>2803</v>
      </c>
      <c r="C1222" t="s">
        <v>2804</v>
      </c>
      <c r="D1222" s="110" t="s">
        <v>2804</v>
      </c>
      <c r="E1222" s="110" t="s">
        <v>2280</v>
      </c>
    </row>
    <row r="1223" spans="1:5" x14ac:dyDescent="0.15">
      <c r="A1223" t="s">
        <v>2296</v>
      </c>
      <c r="B1223" t="s">
        <v>2805</v>
      </c>
      <c r="C1223" t="s">
        <v>2806</v>
      </c>
      <c r="D1223" s="110" t="s">
        <v>2806</v>
      </c>
      <c r="E1223" s="110" t="s">
        <v>2282</v>
      </c>
    </row>
    <row r="1224" spans="1:5" x14ac:dyDescent="0.15">
      <c r="A1224" t="s">
        <v>2296</v>
      </c>
      <c r="B1224" t="s">
        <v>2807</v>
      </c>
      <c r="C1224" t="s">
        <v>2808</v>
      </c>
      <c r="D1224" s="110" t="s">
        <v>2808</v>
      </c>
      <c r="E1224" s="110" t="s">
        <v>2282</v>
      </c>
    </row>
    <row r="1225" spans="1:5" x14ac:dyDescent="0.15">
      <c r="A1225" t="s">
        <v>2296</v>
      </c>
      <c r="B1225" t="s">
        <v>2809</v>
      </c>
      <c r="C1225" t="s">
        <v>2810</v>
      </c>
      <c r="D1225" s="110" t="s">
        <v>2810</v>
      </c>
      <c r="E1225" s="110" t="s">
        <v>2282</v>
      </c>
    </row>
    <row r="1226" spans="1:5" x14ac:dyDescent="0.15">
      <c r="A1226" t="s">
        <v>2296</v>
      </c>
      <c r="B1226" t="s">
        <v>2811</v>
      </c>
      <c r="C1226" t="s">
        <v>2812</v>
      </c>
      <c r="D1226" s="110" t="s">
        <v>2812</v>
      </c>
      <c r="E1226" s="110" t="s">
        <v>2282</v>
      </c>
    </row>
    <row r="1227" spans="1:5" x14ac:dyDescent="0.15">
      <c r="A1227" t="s">
        <v>2296</v>
      </c>
      <c r="B1227" t="s">
        <v>2813</v>
      </c>
      <c r="C1227" t="s">
        <v>2814</v>
      </c>
      <c r="D1227" s="110" t="s">
        <v>2814</v>
      </c>
      <c r="E1227" s="110" t="s">
        <v>2282</v>
      </c>
    </row>
    <row r="1228" spans="1:5" x14ac:dyDescent="0.15">
      <c r="A1228" t="s">
        <v>2296</v>
      </c>
      <c r="B1228" t="s">
        <v>2815</v>
      </c>
      <c r="C1228" t="s">
        <v>2816</v>
      </c>
      <c r="D1228" s="110" t="s">
        <v>2816</v>
      </c>
      <c r="E1228" s="110" t="s">
        <v>2282</v>
      </c>
    </row>
    <row r="1229" spans="1:5" x14ac:dyDescent="0.15">
      <c r="A1229" t="s">
        <v>2296</v>
      </c>
      <c r="B1229" t="s">
        <v>2817</v>
      </c>
      <c r="C1229" t="s">
        <v>2818</v>
      </c>
      <c r="D1229" s="110" t="s">
        <v>2818</v>
      </c>
      <c r="E1229" s="110" t="s">
        <v>2282</v>
      </c>
    </row>
    <row r="1230" spans="1:5" x14ac:dyDescent="0.15">
      <c r="A1230" t="s">
        <v>2296</v>
      </c>
      <c r="B1230" t="s">
        <v>2819</v>
      </c>
      <c r="C1230" t="s">
        <v>2820</v>
      </c>
      <c r="D1230" s="110" t="s">
        <v>2820</v>
      </c>
      <c r="E1230" s="110" t="s">
        <v>2282</v>
      </c>
    </row>
    <row r="1231" spans="1:5" x14ac:dyDescent="0.15">
      <c r="A1231" t="s">
        <v>2296</v>
      </c>
      <c r="B1231" t="s">
        <v>2821</v>
      </c>
      <c r="C1231" t="s">
        <v>2822</v>
      </c>
      <c r="D1231" s="110" t="s">
        <v>2822</v>
      </c>
      <c r="E1231" s="110" t="s">
        <v>2282</v>
      </c>
    </row>
    <row r="1232" spans="1:5" x14ac:dyDescent="0.15">
      <c r="A1232" t="s">
        <v>2296</v>
      </c>
      <c r="B1232" t="s">
        <v>2823</v>
      </c>
      <c r="C1232" t="s">
        <v>2824</v>
      </c>
      <c r="D1232" s="110" t="s">
        <v>2824</v>
      </c>
      <c r="E1232" s="110" t="s">
        <v>2282</v>
      </c>
    </row>
    <row r="1233" spans="1:5" x14ac:dyDescent="0.15">
      <c r="A1233" t="s">
        <v>2296</v>
      </c>
      <c r="B1233" t="s">
        <v>2825</v>
      </c>
      <c r="C1233" t="s">
        <v>2826</v>
      </c>
      <c r="D1233" s="110" t="s">
        <v>2826</v>
      </c>
      <c r="E1233" s="110" t="s">
        <v>2282</v>
      </c>
    </row>
    <row r="1234" spans="1:5" x14ac:dyDescent="0.15">
      <c r="A1234" t="s">
        <v>2296</v>
      </c>
      <c r="B1234" t="s">
        <v>2827</v>
      </c>
      <c r="C1234" t="s">
        <v>2828</v>
      </c>
      <c r="D1234" s="110" t="s">
        <v>2828</v>
      </c>
      <c r="E1234" s="110" t="s">
        <v>2282</v>
      </c>
    </row>
    <row r="1235" spans="1:5" x14ac:dyDescent="0.15">
      <c r="A1235" t="s">
        <v>2296</v>
      </c>
      <c r="B1235" t="s">
        <v>2829</v>
      </c>
      <c r="C1235" t="s">
        <v>2830</v>
      </c>
      <c r="D1235" s="110" t="s">
        <v>2830</v>
      </c>
      <c r="E1235" s="110" t="s">
        <v>2282</v>
      </c>
    </row>
    <row r="1236" spans="1:5" x14ac:dyDescent="0.15">
      <c r="A1236" t="s">
        <v>2296</v>
      </c>
      <c r="B1236" t="s">
        <v>2831</v>
      </c>
      <c r="C1236" t="s">
        <v>2832</v>
      </c>
      <c r="D1236" s="110" t="s">
        <v>2832</v>
      </c>
      <c r="E1236" s="110" t="s">
        <v>2282</v>
      </c>
    </row>
    <row r="1237" spans="1:5" x14ac:dyDescent="0.15">
      <c r="A1237" t="s">
        <v>2296</v>
      </c>
      <c r="B1237" t="s">
        <v>2833</v>
      </c>
      <c r="C1237" t="s">
        <v>2834</v>
      </c>
      <c r="D1237" s="110" t="s">
        <v>2834</v>
      </c>
      <c r="E1237" s="110" t="s">
        <v>2282</v>
      </c>
    </row>
    <row r="1238" spans="1:5" x14ac:dyDescent="0.15">
      <c r="A1238" t="s">
        <v>2296</v>
      </c>
      <c r="B1238" t="s">
        <v>2835</v>
      </c>
      <c r="C1238" t="s">
        <v>2836</v>
      </c>
      <c r="D1238" s="110" t="s">
        <v>2836</v>
      </c>
      <c r="E1238" s="110" t="s">
        <v>2282</v>
      </c>
    </row>
    <row r="1239" spans="1:5" x14ac:dyDescent="0.15">
      <c r="A1239" t="s">
        <v>2296</v>
      </c>
      <c r="B1239" t="s">
        <v>2837</v>
      </c>
      <c r="C1239" t="s">
        <v>2838</v>
      </c>
      <c r="D1239" s="110" t="s">
        <v>2838</v>
      </c>
      <c r="E1239" s="110" t="s">
        <v>2282</v>
      </c>
    </row>
    <row r="1240" spans="1:5" x14ac:dyDescent="0.15">
      <c r="A1240" t="s">
        <v>2296</v>
      </c>
      <c r="B1240" t="s">
        <v>2839</v>
      </c>
      <c r="C1240" t="s">
        <v>2840</v>
      </c>
      <c r="D1240" s="110" t="s">
        <v>2840</v>
      </c>
      <c r="E1240" s="110" t="s">
        <v>2284</v>
      </c>
    </row>
    <row r="1241" spans="1:5" x14ac:dyDescent="0.15">
      <c r="A1241" t="s">
        <v>2296</v>
      </c>
      <c r="B1241" t="s">
        <v>2841</v>
      </c>
      <c r="C1241" t="s">
        <v>2428</v>
      </c>
      <c r="D1241" s="110" t="s">
        <v>2428</v>
      </c>
      <c r="E1241" s="110" t="s">
        <v>2284</v>
      </c>
    </row>
    <row r="1242" spans="1:5" x14ac:dyDescent="0.15">
      <c r="A1242" t="s">
        <v>2296</v>
      </c>
      <c r="B1242" t="s">
        <v>2842</v>
      </c>
      <c r="C1242" t="s">
        <v>2843</v>
      </c>
      <c r="D1242" s="110" t="s">
        <v>2843</v>
      </c>
      <c r="E1242" s="110" t="s">
        <v>2284</v>
      </c>
    </row>
    <row r="1243" spans="1:5" x14ac:dyDescent="0.15">
      <c r="A1243" t="s">
        <v>2296</v>
      </c>
      <c r="B1243" t="s">
        <v>2844</v>
      </c>
      <c r="C1243" t="s">
        <v>2845</v>
      </c>
      <c r="D1243" s="110" t="s">
        <v>2845</v>
      </c>
      <c r="E1243" s="110" t="s">
        <v>2284</v>
      </c>
    </row>
    <row r="1244" spans="1:5" x14ac:dyDescent="0.15">
      <c r="A1244" t="s">
        <v>2296</v>
      </c>
      <c r="B1244" t="s">
        <v>2846</v>
      </c>
      <c r="C1244" t="s">
        <v>2703</v>
      </c>
      <c r="D1244" s="110" t="s">
        <v>2703</v>
      </c>
      <c r="E1244" s="110" t="s">
        <v>2284</v>
      </c>
    </row>
    <row r="1245" spans="1:5" x14ac:dyDescent="0.15">
      <c r="A1245" t="s">
        <v>2296</v>
      </c>
      <c r="B1245" t="s">
        <v>2847</v>
      </c>
      <c r="C1245" t="s">
        <v>2848</v>
      </c>
      <c r="D1245" s="110" t="s">
        <v>2848</v>
      </c>
      <c r="E1245" s="110" t="s">
        <v>2284</v>
      </c>
    </row>
    <row r="1246" spans="1:5" x14ac:dyDescent="0.15">
      <c r="A1246" t="s">
        <v>2296</v>
      </c>
      <c r="B1246" t="s">
        <v>2849</v>
      </c>
      <c r="C1246" t="s">
        <v>2850</v>
      </c>
      <c r="D1246" s="110" t="s">
        <v>2850</v>
      </c>
      <c r="E1246" s="110" t="s">
        <v>2284</v>
      </c>
    </row>
    <row r="1247" spans="1:5" x14ac:dyDescent="0.15">
      <c r="A1247" t="s">
        <v>2296</v>
      </c>
      <c r="B1247" t="s">
        <v>2851</v>
      </c>
      <c r="C1247" t="s">
        <v>2852</v>
      </c>
      <c r="D1247" s="110" t="s">
        <v>2852</v>
      </c>
      <c r="E1247" s="110" t="s">
        <v>2284</v>
      </c>
    </row>
    <row r="1248" spans="1:5" x14ac:dyDescent="0.15">
      <c r="A1248" t="s">
        <v>2296</v>
      </c>
      <c r="B1248" t="s">
        <v>2853</v>
      </c>
      <c r="C1248" t="s">
        <v>2854</v>
      </c>
      <c r="D1248" s="110" t="s">
        <v>2854</v>
      </c>
      <c r="E1248" s="110" t="s">
        <v>2284</v>
      </c>
    </row>
    <row r="1249" spans="1:5" x14ac:dyDescent="0.15">
      <c r="A1249" t="s">
        <v>2296</v>
      </c>
      <c r="B1249" t="s">
        <v>2855</v>
      </c>
      <c r="C1249" t="s">
        <v>2856</v>
      </c>
      <c r="D1249" s="110" t="s">
        <v>2856</v>
      </c>
      <c r="E1249" s="110" t="s">
        <v>2284</v>
      </c>
    </row>
    <row r="1250" spans="1:5" x14ac:dyDescent="0.15">
      <c r="A1250" t="s">
        <v>2296</v>
      </c>
      <c r="B1250" t="s">
        <v>2857</v>
      </c>
      <c r="C1250" t="s">
        <v>2858</v>
      </c>
      <c r="D1250" s="110" t="s">
        <v>2858</v>
      </c>
      <c r="E1250" s="110" t="s">
        <v>2284</v>
      </c>
    </row>
    <row r="1251" spans="1:5" x14ac:dyDescent="0.15">
      <c r="A1251" t="s">
        <v>2296</v>
      </c>
      <c r="B1251" t="s">
        <v>2859</v>
      </c>
      <c r="C1251" t="s">
        <v>2860</v>
      </c>
      <c r="D1251" s="110" t="s">
        <v>2860</v>
      </c>
      <c r="E1251" s="110" t="s">
        <v>2284</v>
      </c>
    </row>
    <row r="1252" spans="1:5" x14ac:dyDescent="0.15">
      <c r="A1252" t="s">
        <v>2296</v>
      </c>
      <c r="B1252" t="s">
        <v>2861</v>
      </c>
      <c r="C1252" t="s">
        <v>2862</v>
      </c>
      <c r="D1252" s="110" t="s">
        <v>2862</v>
      </c>
      <c r="E1252" s="110" t="s">
        <v>2284</v>
      </c>
    </row>
    <row r="1253" spans="1:5" x14ac:dyDescent="0.15">
      <c r="A1253" t="s">
        <v>2296</v>
      </c>
      <c r="B1253" t="s">
        <v>2863</v>
      </c>
      <c r="C1253" t="s">
        <v>2864</v>
      </c>
      <c r="D1253" s="110" t="s">
        <v>2864</v>
      </c>
      <c r="E1253" s="110" t="s">
        <v>2284</v>
      </c>
    </row>
    <row r="1254" spans="1:5" x14ac:dyDescent="0.15">
      <c r="A1254" t="s">
        <v>2296</v>
      </c>
      <c r="B1254" t="s">
        <v>2865</v>
      </c>
      <c r="C1254" t="s">
        <v>2866</v>
      </c>
      <c r="D1254" s="110" t="s">
        <v>2866</v>
      </c>
      <c r="E1254" s="110" t="s">
        <v>2286</v>
      </c>
    </row>
    <row r="1255" spans="1:5" x14ac:dyDescent="0.15">
      <c r="A1255" t="s">
        <v>2296</v>
      </c>
      <c r="B1255" t="s">
        <v>2867</v>
      </c>
      <c r="C1255" t="s">
        <v>2868</v>
      </c>
      <c r="D1255" s="110" t="s">
        <v>2868</v>
      </c>
      <c r="E1255" s="110" t="s">
        <v>2286</v>
      </c>
    </row>
    <row r="1256" spans="1:5" x14ac:dyDescent="0.15">
      <c r="A1256" t="s">
        <v>2296</v>
      </c>
      <c r="B1256" t="s">
        <v>2869</v>
      </c>
      <c r="C1256" t="s">
        <v>2870</v>
      </c>
      <c r="D1256" s="110" t="s">
        <v>2870</v>
      </c>
      <c r="E1256" s="110" t="s">
        <v>2286</v>
      </c>
    </row>
    <row r="1257" spans="1:5" x14ac:dyDescent="0.15">
      <c r="A1257" t="s">
        <v>2296</v>
      </c>
      <c r="B1257" t="s">
        <v>2871</v>
      </c>
      <c r="C1257" t="s">
        <v>2872</v>
      </c>
      <c r="D1257" s="110" t="s">
        <v>2872</v>
      </c>
      <c r="E1257" s="110" t="s">
        <v>2286</v>
      </c>
    </row>
    <row r="1258" spans="1:5" x14ac:dyDescent="0.15">
      <c r="A1258" t="s">
        <v>2296</v>
      </c>
      <c r="B1258" t="s">
        <v>2873</v>
      </c>
      <c r="C1258" t="s">
        <v>2874</v>
      </c>
      <c r="D1258" s="110" t="s">
        <v>2874</v>
      </c>
      <c r="E1258" s="110" t="s">
        <v>2286</v>
      </c>
    </row>
    <row r="1259" spans="1:5" x14ac:dyDescent="0.15">
      <c r="A1259" t="s">
        <v>2296</v>
      </c>
      <c r="B1259" t="s">
        <v>2875</v>
      </c>
      <c r="C1259" t="s">
        <v>2289</v>
      </c>
      <c r="D1259" s="110" t="s">
        <v>2289</v>
      </c>
      <c r="E1259" s="110" t="s">
        <v>2288</v>
      </c>
    </row>
    <row r="1260" spans="1:5" x14ac:dyDescent="0.15">
      <c r="A1260" t="s">
        <v>2296</v>
      </c>
      <c r="B1260" t="s">
        <v>2876</v>
      </c>
      <c r="C1260" t="s">
        <v>2877</v>
      </c>
      <c r="D1260" s="110" t="s">
        <v>2877</v>
      </c>
      <c r="E1260" s="110" t="s">
        <v>2288</v>
      </c>
    </row>
    <row r="1261" spans="1:5" x14ac:dyDescent="0.15">
      <c r="A1261" t="s">
        <v>2296</v>
      </c>
      <c r="B1261" t="s">
        <v>2878</v>
      </c>
      <c r="C1261" t="s">
        <v>2879</v>
      </c>
      <c r="D1261" s="110" t="s">
        <v>2879</v>
      </c>
      <c r="E1261" s="110" t="s">
        <v>2288</v>
      </c>
    </row>
    <row r="1262" spans="1:5" x14ac:dyDescent="0.15">
      <c r="A1262" t="s">
        <v>2296</v>
      </c>
      <c r="B1262" t="s">
        <v>2880</v>
      </c>
      <c r="C1262" t="s">
        <v>2881</v>
      </c>
      <c r="D1262" s="110" t="s">
        <v>2881</v>
      </c>
      <c r="E1262" s="110" t="s">
        <v>2288</v>
      </c>
    </row>
    <row r="1263" spans="1:5" x14ac:dyDescent="0.15">
      <c r="A1263" t="s">
        <v>2296</v>
      </c>
      <c r="B1263" t="s">
        <v>2882</v>
      </c>
      <c r="C1263" t="s">
        <v>2883</v>
      </c>
      <c r="D1263" s="110" t="s">
        <v>2883</v>
      </c>
      <c r="E1263" s="110" t="s">
        <v>2288</v>
      </c>
    </row>
    <row r="1264" spans="1:5" x14ac:dyDescent="0.15">
      <c r="A1264" t="s">
        <v>2296</v>
      </c>
      <c r="B1264" t="s">
        <v>2884</v>
      </c>
      <c r="C1264" t="s">
        <v>2885</v>
      </c>
      <c r="D1264" s="110" t="s">
        <v>2885</v>
      </c>
      <c r="E1264" s="110" t="s">
        <v>2288</v>
      </c>
    </row>
    <row r="1265" spans="1:5" x14ac:dyDescent="0.15">
      <c r="A1265" t="s">
        <v>2296</v>
      </c>
      <c r="B1265" t="s">
        <v>2886</v>
      </c>
      <c r="C1265" t="s">
        <v>2887</v>
      </c>
      <c r="D1265" s="110" t="s">
        <v>2887</v>
      </c>
      <c r="E1265" s="110" t="s">
        <v>2288</v>
      </c>
    </row>
    <row r="1266" spans="1:5" x14ac:dyDescent="0.15">
      <c r="A1266" t="s">
        <v>2296</v>
      </c>
      <c r="B1266" t="s">
        <v>2888</v>
      </c>
      <c r="C1266" t="s">
        <v>2889</v>
      </c>
      <c r="D1266" s="110" t="s">
        <v>2889</v>
      </c>
      <c r="E1266" s="110" t="s">
        <v>2288</v>
      </c>
    </row>
    <row r="1267" spans="1:5" x14ac:dyDescent="0.15">
      <c r="A1267" t="s">
        <v>2296</v>
      </c>
      <c r="B1267" t="s">
        <v>2890</v>
      </c>
      <c r="C1267" t="s">
        <v>2891</v>
      </c>
      <c r="D1267" s="110" t="s">
        <v>2891</v>
      </c>
      <c r="E1267" s="110" t="s">
        <v>2288</v>
      </c>
    </row>
    <row r="1268" spans="1:5" x14ac:dyDescent="0.15">
      <c r="A1268" t="s">
        <v>2296</v>
      </c>
      <c r="B1268" t="s">
        <v>2892</v>
      </c>
      <c r="C1268" t="s">
        <v>2893</v>
      </c>
      <c r="D1268" s="110" t="s">
        <v>2893</v>
      </c>
      <c r="E1268" s="110" t="s">
        <v>2288</v>
      </c>
    </row>
    <row r="1269" spans="1:5" x14ac:dyDescent="0.15">
      <c r="A1269" t="s">
        <v>2296</v>
      </c>
      <c r="B1269" t="s">
        <v>2894</v>
      </c>
      <c r="C1269" t="s">
        <v>2895</v>
      </c>
      <c r="D1269" s="110" t="s">
        <v>2895</v>
      </c>
      <c r="E1269" s="110" t="s">
        <v>2288</v>
      </c>
    </row>
    <row r="1270" spans="1:5" x14ac:dyDescent="0.15">
      <c r="A1270" t="s">
        <v>2296</v>
      </c>
      <c r="B1270" t="s">
        <v>2896</v>
      </c>
      <c r="C1270" t="s">
        <v>2291</v>
      </c>
      <c r="D1270" s="110" t="s">
        <v>2291</v>
      </c>
      <c r="E1270" s="110" t="s">
        <v>2290</v>
      </c>
    </row>
    <row r="1271" spans="1:5" x14ac:dyDescent="0.15">
      <c r="A1271" t="s">
        <v>2296</v>
      </c>
      <c r="B1271" t="s">
        <v>2897</v>
      </c>
      <c r="C1271" t="s">
        <v>2898</v>
      </c>
      <c r="D1271" s="110" t="s">
        <v>2898</v>
      </c>
      <c r="E1271" s="110" t="s">
        <v>2290</v>
      </c>
    </row>
    <row r="1272" spans="1:5" x14ac:dyDescent="0.15">
      <c r="A1272" t="s">
        <v>2296</v>
      </c>
      <c r="B1272" t="s">
        <v>2899</v>
      </c>
      <c r="C1272" t="s">
        <v>2900</v>
      </c>
      <c r="D1272" s="110" t="s">
        <v>2900</v>
      </c>
      <c r="E1272" s="110" t="s">
        <v>2290</v>
      </c>
    </row>
    <row r="1273" spans="1:5" x14ac:dyDescent="0.15">
      <c r="A1273" t="s">
        <v>2296</v>
      </c>
      <c r="B1273" t="s">
        <v>2901</v>
      </c>
      <c r="C1273" t="s">
        <v>2902</v>
      </c>
      <c r="D1273" s="110" t="s">
        <v>2902</v>
      </c>
      <c r="E1273" s="110" t="s">
        <v>2290</v>
      </c>
    </row>
    <row r="1274" spans="1:5" x14ac:dyDescent="0.15">
      <c r="A1274" t="s">
        <v>2296</v>
      </c>
      <c r="B1274" t="s">
        <v>2903</v>
      </c>
      <c r="C1274" t="s">
        <v>2904</v>
      </c>
      <c r="D1274" s="110" t="s">
        <v>2904</v>
      </c>
      <c r="E1274" s="110" t="s">
        <v>2290</v>
      </c>
    </row>
    <row r="1275" spans="1:5" x14ac:dyDescent="0.15">
      <c r="A1275" t="s">
        <v>2296</v>
      </c>
      <c r="B1275" t="s">
        <v>2905</v>
      </c>
      <c r="C1275" t="s">
        <v>2906</v>
      </c>
      <c r="D1275" s="110" t="s">
        <v>2906</v>
      </c>
      <c r="E1275" s="110" t="s">
        <v>2290</v>
      </c>
    </row>
    <row r="1276" spans="1:5" x14ac:dyDescent="0.15">
      <c r="A1276" t="s">
        <v>2296</v>
      </c>
      <c r="B1276" t="s">
        <v>2907</v>
      </c>
      <c r="C1276" t="s">
        <v>2908</v>
      </c>
      <c r="D1276" s="110" t="s">
        <v>2908</v>
      </c>
      <c r="E1276" s="110" t="s">
        <v>2290</v>
      </c>
    </row>
    <row r="1277" spans="1:5" x14ac:dyDescent="0.15">
      <c r="A1277" t="s">
        <v>2296</v>
      </c>
      <c r="B1277" t="s">
        <v>2909</v>
      </c>
      <c r="C1277" t="s">
        <v>2910</v>
      </c>
      <c r="D1277" s="110" t="s">
        <v>2910</v>
      </c>
      <c r="E1277" s="110" t="s">
        <v>2290</v>
      </c>
    </row>
    <row r="1278" spans="1:5" x14ac:dyDescent="0.15">
      <c r="A1278" t="s">
        <v>2296</v>
      </c>
      <c r="B1278" t="s">
        <v>2911</v>
      </c>
      <c r="C1278" t="s">
        <v>2912</v>
      </c>
      <c r="D1278" s="110" t="s">
        <v>2912</v>
      </c>
      <c r="E1278" s="110" t="s">
        <v>2290</v>
      </c>
    </row>
    <row r="1279" spans="1:5" x14ac:dyDescent="0.15">
      <c r="A1279" t="s">
        <v>2296</v>
      </c>
      <c r="B1279" t="s">
        <v>2913</v>
      </c>
      <c r="C1279" t="s">
        <v>2914</v>
      </c>
      <c r="D1279" s="110" t="s">
        <v>2914</v>
      </c>
      <c r="E1279" s="110" t="s">
        <v>2290</v>
      </c>
    </row>
    <row r="1280" spans="1:5" x14ac:dyDescent="0.15">
      <c r="A1280" t="s">
        <v>2296</v>
      </c>
      <c r="B1280" t="s">
        <v>2915</v>
      </c>
      <c r="C1280" t="s">
        <v>2916</v>
      </c>
      <c r="D1280" s="110" t="s">
        <v>2916</v>
      </c>
      <c r="E1280" s="110" t="s">
        <v>2290</v>
      </c>
    </row>
    <row r="1281" spans="1:5" x14ac:dyDescent="0.15">
      <c r="A1281" t="s">
        <v>2296</v>
      </c>
      <c r="B1281" t="s">
        <v>2917</v>
      </c>
      <c r="C1281" t="s">
        <v>2293</v>
      </c>
      <c r="D1281" s="110" t="s">
        <v>2293</v>
      </c>
      <c r="E1281" s="110" t="s">
        <v>2292</v>
      </c>
    </row>
    <row r="1282" spans="1:5" x14ac:dyDescent="0.15">
      <c r="A1282" t="s">
        <v>2296</v>
      </c>
      <c r="B1282" t="s">
        <v>2918</v>
      </c>
      <c r="C1282" t="s">
        <v>2919</v>
      </c>
      <c r="D1282" s="110" t="s">
        <v>2919</v>
      </c>
      <c r="E1282" s="110" t="s">
        <v>2292</v>
      </c>
    </row>
    <row r="1283" spans="1:5" x14ac:dyDescent="0.15">
      <c r="A1283" t="s">
        <v>2296</v>
      </c>
      <c r="B1283" t="s">
        <v>2920</v>
      </c>
      <c r="C1283" t="s">
        <v>2921</v>
      </c>
      <c r="D1283" s="110" t="s">
        <v>2921</v>
      </c>
      <c r="E1283" s="110" t="s">
        <v>2292</v>
      </c>
    </row>
    <row r="1284" spans="1:5" x14ac:dyDescent="0.15">
      <c r="A1284" t="s">
        <v>2296</v>
      </c>
      <c r="B1284" t="s">
        <v>2922</v>
      </c>
      <c r="C1284" t="s">
        <v>2923</v>
      </c>
      <c r="D1284" s="110" t="s">
        <v>2923</v>
      </c>
      <c r="E1284" s="110" t="s">
        <v>2292</v>
      </c>
    </row>
    <row r="1285" spans="1:5" x14ac:dyDescent="0.15">
      <c r="A1285" t="s">
        <v>2296</v>
      </c>
      <c r="B1285" t="s">
        <v>2924</v>
      </c>
      <c r="C1285" t="s">
        <v>2925</v>
      </c>
      <c r="D1285" s="110" t="s">
        <v>2925</v>
      </c>
      <c r="E1285" s="110" t="s">
        <v>2292</v>
      </c>
    </row>
    <row r="1286" spans="1:5" x14ac:dyDescent="0.15">
      <c r="A1286" t="s">
        <v>2296</v>
      </c>
      <c r="B1286" t="s">
        <v>2926</v>
      </c>
      <c r="C1286" t="s">
        <v>2927</v>
      </c>
      <c r="D1286" s="110" t="s">
        <v>2927</v>
      </c>
      <c r="E1286" s="110" t="s">
        <v>2292</v>
      </c>
    </row>
    <row r="1287" spans="1:5" x14ac:dyDescent="0.15">
      <c r="A1287" t="s">
        <v>2296</v>
      </c>
      <c r="B1287" t="s">
        <v>2928</v>
      </c>
      <c r="C1287" t="s">
        <v>2929</v>
      </c>
      <c r="D1287" s="110" t="s">
        <v>2929</v>
      </c>
      <c r="E1287" s="110" t="s">
        <v>2292</v>
      </c>
    </row>
    <row r="1288" spans="1:5" x14ac:dyDescent="0.15">
      <c r="A1288" t="s">
        <v>2296</v>
      </c>
      <c r="B1288" t="s">
        <v>2930</v>
      </c>
      <c r="C1288" t="s">
        <v>2295</v>
      </c>
      <c r="D1288" s="110" t="s">
        <v>2295</v>
      </c>
      <c r="E1288" s="110" t="s">
        <v>2294</v>
      </c>
    </row>
    <row r="1289" spans="1:5" x14ac:dyDescent="0.15">
      <c r="A1289" t="s">
        <v>2296</v>
      </c>
      <c r="B1289" t="s">
        <v>2931</v>
      </c>
      <c r="C1289" t="s">
        <v>2255</v>
      </c>
      <c r="D1289" s="110" t="s">
        <v>2255</v>
      </c>
      <c r="E1289" s="110" t="s">
        <v>2294</v>
      </c>
    </row>
    <row r="1290" spans="1:5" x14ac:dyDescent="0.15">
      <c r="A1290" t="s">
        <v>2296</v>
      </c>
      <c r="B1290" t="s">
        <v>2932</v>
      </c>
      <c r="C1290" t="s">
        <v>2933</v>
      </c>
      <c r="D1290" s="110" t="s">
        <v>2933</v>
      </c>
      <c r="E1290" s="110" t="s">
        <v>2294</v>
      </c>
    </row>
    <row r="1291" spans="1:5" x14ac:dyDescent="0.15">
      <c r="A1291" t="s">
        <v>2296</v>
      </c>
      <c r="B1291" t="s">
        <v>2934</v>
      </c>
      <c r="C1291" t="s">
        <v>2935</v>
      </c>
      <c r="D1291" s="110" t="s">
        <v>2935</v>
      </c>
      <c r="E1291" s="110" t="s">
        <v>2294</v>
      </c>
    </row>
    <row r="1292" spans="1:5" x14ac:dyDescent="0.15">
      <c r="A1292" t="s">
        <v>2296</v>
      </c>
      <c r="B1292" t="s">
        <v>2936</v>
      </c>
      <c r="C1292" t="s">
        <v>2937</v>
      </c>
      <c r="D1292" s="110" t="s">
        <v>2937</v>
      </c>
      <c r="E1292" s="110" t="s">
        <v>2294</v>
      </c>
    </row>
    <row r="1293" spans="1:5" x14ac:dyDescent="0.15">
      <c r="A1293" t="s">
        <v>2296</v>
      </c>
      <c r="B1293" t="s">
        <v>2938</v>
      </c>
      <c r="C1293" t="s">
        <v>2939</v>
      </c>
      <c r="D1293" s="110" t="s">
        <v>2939</v>
      </c>
      <c r="E1293" s="110" t="s">
        <v>2294</v>
      </c>
    </row>
    <row r="1294" spans="1:5" x14ac:dyDescent="0.15">
      <c r="A1294" t="s">
        <v>2296</v>
      </c>
      <c r="B1294" t="s">
        <v>2940</v>
      </c>
      <c r="C1294" t="s">
        <v>2941</v>
      </c>
      <c r="D1294" s="110" t="s">
        <v>2941</v>
      </c>
      <c r="E1294" s="110" t="s">
        <v>2294</v>
      </c>
    </row>
    <row r="1295" spans="1:5" x14ac:dyDescent="0.15">
      <c r="A1295" t="s">
        <v>2296</v>
      </c>
      <c r="B1295" t="s">
        <v>2942</v>
      </c>
      <c r="C1295" t="s">
        <v>2943</v>
      </c>
      <c r="D1295" s="110" t="s">
        <v>2943</v>
      </c>
      <c r="E1295" s="110" t="s">
        <v>2294</v>
      </c>
    </row>
    <row r="1296" spans="1:5" x14ac:dyDescent="0.15">
      <c r="A1296" t="s">
        <v>2296</v>
      </c>
      <c r="B1296" t="s">
        <v>2944</v>
      </c>
      <c r="C1296" t="s">
        <v>2945</v>
      </c>
      <c r="D1296" s="110" t="s">
        <v>2945</v>
      </c>
      <c r="E1296" s="110" t="s">
        <v>2294</v>
      </c>
    </row>
    <row r="1297" spans="1:5" x14ac:dyDescent="0.15">
      <c r="A1297" t="s">
        <v>2296</v>
      </c>
      <c r="B1297" t="s">
        <v>2946</v>
      </c>
      <c r="C1297" t="s">
        <v>2947</v>
      </c>
      <c r="D1297" s="110" t="s">
        <v>2947</v>
      </c>
      <c r="E1297" s="110" t="s">
        <v>2294</v>
      </c>
    </row>
    <row r="1298" spans="1:5" x14ac:dyDescent="0.15">
      <c r="A1298" t="s">
        <v>2296</v>
      </c>
      <c r="B1298" t="s">
        <v>2948</v>
      </c>
      <c r="C1298" t="s">
        <v>2949</v>
      </c>
      <c r="D1298" s="110" t="s">
        <v>2949</v>
      </c>
      <c r="E1298" s="110" t="s">
        <v>2294</v>
      </c>
    </row>
    <row r="1299" spans="1:5" x14ac:dyDescent="0.15">
      <c r="A1299" t="s">
        <v>2296</v>
      </c>
      <c r="B1299" t="s">
        <v>2950</v>
      </c>
      <c r="C1299" t="s">
        <v>2951</v>
      </c>
      <c r="D1299" s="110" t="s">
        <v>2951</v>
      </c>
      <c r="E1299" s="110" t="s">
        <v>2294</v>
      </c>
    </row>
    <row r="1300" spans="1:5" x14ac:dyDescent="0.15">
      <c r="A1300" t="s">
        <v>2296</v>
      </c>
      <c r="B1300" t="s">
        <v>2952</v>
      </c>
      <c r="C1300" t="s">
        <v>2953</v>
      </c>
      <c r="D1300" s="110" t="s">
        <v>2953</v>
      </c>
      <c r="E1300" s="110" t="s">
        <v>2294</v>
      </c>
    </row>
    <row r="1301" spans="1:5" x14ac:dyDescent="0.15">
      <c r="A1301" t="s">
        <v>2296</v>
      </c>
      <c r="B1301" t="s">
        <v>2954</v>
      </c>
      <c r="C1301" t="s">
        <v>2955</v>
      </c>
      <c r="D1301" s="110" t="s">
        <v>2955</v>
      </c>
      <c r="E1301" s="110" t="s">
        <v>2294</v>
      </c>
    </row>
    <row r="1302" spans="1:5" x14ac:dyDescent="0.15">
      <c r="A1302" t="s">
        <v>2296</v>
      </c>
      <c r="B1302" t="s">
        <v>2956</v>
      </c>
      <c r="C1302" t="s">
        <v>2957</v>
      </c>
      <c r="D1302" s="110" t="s">
        <v>2957</v>
      </c>
      <c r="E1302" s="110" t="s">
        <v>2294</v>
      </c>
    </row>
    <row r="1303" spans="1:5" x14ac:dyDescent="0.15">
      <c r="A1303" t="s">
        <v>2296</v>
      </c>
      <c r="B1303" t="s">
        <v>2958</v>
      </c>
      <c r="C1303" t="s">
        <v>2959</v>
      </c>
      <c r="D1303" s="110" t="s">
        <v>2959</v>
      </c>
      <c r="E1303" s="110" t="s">
        <v>2294</v>
      </c>
    </row>
    <row r="1304" spans="1:5" x14ac:dyDescent="0.15">
      <c r="A1304" t="s">
        <v>2296</v>
      </c>
      <c r="B1304" t="s">
        <v>2960</v>
      </c>
      <c r="C1304" t="s">
        <v>2961</v>
      </c>
      <c r="D1304" s="110" t="s">
        <v>2961</v>
      </c>
      <c r="E1304" s="110" t="s">
        <v>2294</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120" zoomScaleNormal="120" workbookViewId="0"/>
  </sheetViews>
  <sheetFormatPr baseColWidth="10" defaultColWidth="8.83203125" defaultRowHeight="13" x14ac:dyDescent="0.15"/>
  <cols>
    <col min="1" max="4" width="28.1640625" style="110" customWidth="1"/>
  </cols>
  <sheetData>
    <row r="1" spans="1:4" ht="15" customHeight="1" x14ac:dyDescent="0.2">
      <c r="A1" s="112" t="s">
        <v>2962</v>
      </c>
      <c r="B1" s="112" t="s">
        <v>2963</v>
      </c>
      <c r="C1" s="112" t="s">
        <v>2964</v>
      </c>
      <c r="D1" s="112" t="s">
        <v>2965</v>
      </c>
    </row>
    <row r="2" spans="1:4" x14ac:dyDescent="0.15">
      <c r="A2" s="110" t="s">
        <v>2966</v>
      </c>
      <c r="B2" s="118" t="s">
        <v>2967</v>
      </c>
      <c r="C2" s="110" t="s">
        <v>40</v>
      </c>
      <c r="D2" s="110" t="s">
        <v>2968</v>
      </c>
    </row>
  </sheetData>
  <sheetProtection algorithmName="SHA-512" hashValue="4zGZOFKtj0cm/SvWCXrhB5fiMv/u61q4GXGviRoahpIDhbiiqxvUjZeb4U5kpGOzrouF90KMwiGUsH1RzOm5qQ==" saltValue="mZgYSjWvoYG9Hsk+mjH7Vg==" spinCount="100000" sheet="1" formatCells="0"/>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94"/>
  <sheetViews>
    <sheetView zoomScale="120" zoomScaleNormal="120" workbookViewId="0"/>
  </sheetViews>
  <sheetFormatPr baseColWidth="10" defaultColWidth="10.83203125" defaultRowHeight="15" x14ac:dyDescent="0.15"/>
  <cols>
    <col min="1" max="2" width="10.83203125" style="130" customWidth="1"/>
    <col min="3" max="3" width="15.1640625" style="131" customWidth="1"/>
    <col min="4" max="4" width="10.83203125" style="132" customWidth="1"/>
    <col min="5" max="5" width="28.6640625" style="133" customWidth="1"/>
    <col min="6" max="6" width="38.83203125" style="133" customWidth="1"/>
  </cols>
  <sheetData>
    <row r="2" spans="2:6" x14ac:dyDescent="0.15">
      <c r="C2" s="134"/>
      <c r="D2" s="135"/>
      <c r="E2" s="136"/>
      <c r="F2" s="136"/>
    </row>
    <row r="3" spans="2:6" ht="32" customHeight="1" x14ac:dyDescent="0.15">
      <c r="B3" s="137"/>
      <c r="C3" s="138" t="s">
        <v>2969</v>
      </c>
      <c r="D3" s="139" t="s">
        <v>2970</v>
      </c>
      <c r="E3" s="140" t="s">
        <v>2971</v>
      </c>
      <c r="F3" s="140" t="s">
        <v>2972</v>
      </c>
    </row>
    <row r="4" spans="2:6" ht="16" customHeight="1" x14ac:dyDescent="0.2">
      <c r="B4" s="137"/>
      <c r="C4" s="141"/>
      <c r="D4" s="142" t="s">
        <v>2005</v>
      </c>
      <c r="E4" s="143" t="s">
        <v>2006</v>
      </c>
      <c r="F4" s="143" t="s">
        <v>2007</v>
      </c>
    </row>
    <row r="5" spans="2:6" ht="16" customHeight="1" x14ac:dyDescent="0.2">
      <c r="B5" s="137"/>
      <c r="C5" s="141"/>
      <c r="D5" s="142" t="s">
        <v>2008</v>
      </c>
      <c r="E5" s="143" t="s">
        <v>2009</v>
      </c>
      <c r="F5" s="143" t="s">
        <v>2010</v>
      </c>
    </row>
    <row r="6" spans="2:6" ht="16" customHeight="1" x14ac:dyDescent="0.2">
      <c r="B6" s="137"/>
      <c r="C6" s="141"/>
      <c r="D6" s="142" t="s">
        <v>2011</v>
      </c>
      <c r="E6" s="143" t="s">
        <v>2012</v>
      </c>
      <c r="F6" s="143" t="s">
        <v>2013</v>
      </c>
    </row>
    <row r="7" spans="2:6" ht="16" customHeight="1" x14ac:dyDescent="0.2">
      <c r="B7" s="137"/>
      <c r="C7" s="141" t="s">
        <v>2973</v>
      </c>
      <c r="D7" s="142" t="s">
        <v>1977</v>
      </c>
      <c r="E7" s="143" t="s">
        <v>1978</v>
      </c>
      <c r="F7" s="143" t="s">
        <v>1979</v>
      </c>
    </row>
    <row r="8" spans="2:6" ht="16" customHeight="1" x14ac:dyDescent="0.2">
      <c r="B8" s="137"/>
      <c r="C8" s="141" t="s">
        <v>2973</v>
      </c>
      <c r="D8" s="142" t="s">
        <v>1980</v>
      </c>
      <c r="E8" s="143" t="s">
        <v>1981</v>
      </c>
      <c r="F8" s="143" t="s">
        <v>1982</v>
      </c>
    </row>
    <row r="9" spans="2:6" ht="16" customHeight="1" x14ac:dyDescent="0.2">
      <c r="B9" s="137"/>
      <c r="C9" s="141"/>
      <c r="D9" s="142" t="s">
        <v>2014</v>
      </c>
      <c r="E9" s="143" t="s">
        <v>2015</v>
      </c>
      <c r="F9" s="143" t="s">
        <v>2016</v>
      </c>
    </row>
    <row r="10" spans="2:6" ht="16" customHeight="1" x14ac:dyDescent="0.2">
      <c r="B10" s="137"/>
      <c r="C10" s="144"/>
      <c r="D10" s="142" t="s">
        <v>2017</v>
      </c>
      <c r="E10" s="145" t="s">
        <v>2018</v>
      </c>
      <c r="F10" s="145" t="s">
        <v>2019</v>
      </c>
    </row>
    <row r="11" spans="2:6" ht="16" customHeight="1" x14ac:dyDescent="0.2">
      <c r="B11" s="137"/>
      <c r="C11" s="141"/>
      <c r="D11" s="142" t="s">
        <v>2020</v>
      </c>
      <c r="E11" s="143" t="s">
        <v>2021</v>
      </c>
      <c r="F11" s="143" t="s">
        <v>2022</v>
      </c>
    </row>
    <row r="12" spans="2:6" ht="16" customHeight="1" x14ac:dyDescent="0.2">
      <c r="B12" s="137"/>
      <c r="C12" s="141" t="s">
        <v>2973</v>
      </c>
      <c r="D12" s="142" t="s">
        <v>1983</v>
      </c>
      <c r="E12" s="143" t="s">
        <v>1984</v>
      </c>
      <c r="F12" s="143" t="s">
        <v>1985</v>
      </c>
    </row>
    <row r="13" spans="2:6" ht="16" customHeight="1" x14ac:dyDescent="0.2">
      <c r="B13" s="137"/>
      <c r="C13" s="141"/>
      <c r="D13" s="142" t="s">
        <v>2023</v>
      </c>
      <c r="E13" s="143" t="s">
        <v>2024</v>
      </c>
      <c r="F13" s="143" t="s">
        <v>2025</v>
      </c>
    </row>
    <row r="14" spans="2:6" ht="16" customHeight="1" x14ac:dyDescent="0.2">
      <c r="B14" s="137"/>
      <c r="C14" s="141"/>
      <c r="D14" s="142" t="s">
        <v>2026</v>
      </c>
      <c r="E14" s="143" t="s">
        <v>2027</v>
      </c>
      <c r="F14" s="143" t="s">
        <v>2028</v>
      </c>
    </row>
    <row r="15" spans="2:6" ht="16" customHeight="1" x14ac:dyDescent="0.2">
      <c r="B15" s="137"/>
      <c r="C15" s="141"/>
      <c r="D15" s="142" t="s">
        <v>2029</v>
      </c>
      <c r="E15" s="143" t="s">
        <v>2030</v>
      </c>
      <c r="F15" s="143" t="s">
        <v>2031</v>
      </c>
    </row>
    <row r="16" spans="2:6" ht="16" customHeight="1" x14ac:dyDescent="0.2">
      <c r="B16" s="137"/>
      <c r="C16" s="141"/>
      <c r="D16" s="142" t="s">
        <v>2032</v>
      </c>
      <c r="E16" s="143" t="s">
        <v>2033</v>
      </c>
      <c r="F16" s="143" t="s">
        <v>2033</v>
      </c>
    </row>
    <row r="17" spans="2:6" ht="16" customHeight="1" x14ac:dyDescent="0.2">
      <c r="B17" s="137"/>
      <c r="C17" s="144"/>
      <c r="D17" s="142" t="s">
        <v>2034</v>
      </c>
      <c r="E17" s="145" t="s">
        <v>2035</v>
      </c>
      <c r="F17" s="145" t="s">
        <v>2036</v>
      </c>
    </row>
    <row r="18" spans="2:6" ht="16" customHeight="1" x14ac:dyDescent="0.2">
      <c r="B18" s="137"/>
      <c r="C18" s="141" t="s">
        <v>2973</v>
      </c>
      <c r="D18" s="142" t="s">
        <v>1986</v>
      </c>
      <c r="E18" s="143" t="s">
        <v>1987</v>
      </c>
      <c r="F18" s="143" t="s">
        <v>1988</v>
      </c>
    </row>
    <row r="19" spans="2:6" ht="16" customHeight="1" x14ac:dyDescent="0.2">
      <c r="B19" s="137"/>
      <c r="C19" s="141"/>
      <c r="D19" s="142" t="s">
        <v>2037</v>
      </c>
      <c r="E19" s="143" t="s">
        <v>2038</v>
      </c>
      <c r="F19" s="143" t="s">
        <v>2039</v>
      </c>
    </row>
    <row r="20" spans="2:6" ht="16" customHeight="1" x14ac:dyDescent="0.2">
      <c r="B20" s="137"/>
      <c r="C20" s="141"/>
      <c r="D20" s="142" t="s">
        <v>2040</v>
      </c>
      <c r="E20" s="143" t="s">
        <v>2041</v>
      </c>
      <c r="F20" s="143" t="s">
        <v>2042</v>
      </c>
    </row>
    <row r="21" spans="2:6" ht="16" customHeight="1" x14ac:dyDescent="0.2">
      <c r="B21" s="137"/>
      <c r="C21" s="141"/>
      <c r="D21" s="142" t="s">
        <v>2043</v>
      </c>
      <c r="E21" s="143" t="s">
        <v>2044</v>
      </c>
      <c r="F21" s="143" t="s">
        <v>2045</v>
      </c>
    </row>
    <row r="22" spans="2:6" ht="16" customHeight="1" x14ac:dyDescent="0.2">
      <c r="B22" s="137"/>
      <c r="C22" s="141"/>
      <c r="D22" s="142" t="s">
        <v>2046</v>
      </c>
      <c r="E22" s="143" t="s">
        <v>2047</v>
      </c>
      <c r="F22" s="143" t="s">
        <v>2048</v>
      </c>
    </row>
    <row r="23" spans="2:6" ht="16" customHeight="1" x14ac:dyDescent="0.2">
      <c r="B23" s="137"/>
      <c r="C23" s="141"/>
      <c r="D23" s="142" t="s">
        <v>2049</v>
      </c>
      <c r="E23" s="143" t="s">
        <v>2050</v>
      </c>
      <c r="F23" s="143" t="s">
        <v>2051</v>
      </c>
    </row>
    <row r="24" spans="2:6" ht="16" customHeight="1" x14ac:dyDescent="0.2">
      <c r="B24" s="137"/>
      <c r="C24" s="141"/>
      <c r="D24" s="142" t="s">
        <v>2052</v>
      </c>
      <c r="E24" s="143" t="s">
        <v>2053</v>
      </c>
      <c r="F24" s="143" t="s">
        <v>2051</v>
      </c>
    </row>
    <row r="25" spans="2:6" ht="16" customHeight="1" x14ac:dyDescent="0.2">
      <c r="B25" s="137"/>
      <c r="C25" s="144"/>
      <c r="D25" s="142" t="s">
        <v>2054</v>
      </c>
      <c r="E25" s="145" t="s">
        <v>2055</v>
      </c>
      <c r="F25" s="145" t="s">
        <v>2056</v>
      </c>
    </row>
    <row r="26" spans="2:6" ht="16" customHeight="1" x14ac:dyDescent="0.2">
      <c r="B26" s="137"/>
      <c r="C26" s="141"/>
      <c r="D26" s="142" t="s">
        <v>2057</v>
      </c>
      <c r="E26" s="143" t="s">
        <v>2058</v>
      </c>
      <c r="F26" s="143" t="s">
        <v>2059</v>
      </c>
    </row>
    <row r="27" spans="2:6" ht="16" customHeight="1" x14ac:dyDescent="0.2">
      <c r="B27" s="137"/>
      <c r="C27" s="141" t="s">
        <v>2973</v>
      </c>
      <c r="D27" s="142" t="s">
        <v>1989</v>
      </c>
      <c r="E27" s="143" t="s">
        <v>1990</v>
      </c>
      <c r="F27" s="143" t="s">
        <v>1991</v>
      </c>
    </row>
    <row r="28" spans="2:6" ht="16" customHeight="1" x14ac:dyDescent="0.2">
      <c r="B28" s="137"/>
      <c r="C28" s="141" t="s">
        <v>2973</v>
      </c>
      <c r="D28" s="142" t="s">
        <v>1992</v>
      </c>
      <c r="E28" s="143" t="s">
        <v>1993</v>
      </c>
      <c r="F28" s="143" t="s">
        <v>1994</v>
      </c>
    </row>
    <row r="29" spans="2:6" ht="16" customHeight="1" x14ac:dyDescent="0.2">
      <c r="B29" s="137"/>
      <c r="C29" s="141"/>
      <c r="D29" s="142" t="s">
        <v>2063</v>
      </c>
      <c r="E29" s="143" t="s">
        <v>2064</v>
      </c>
      <c r="F29" s="143" t="s">
        <v>2065</v>
      </c>
    </row>
    <row r="30" spans="2:6" ht="16" customHeight="1" x14ac:dyDescent="0.2">
      <c r="B30" s="137"/>
      <c r="C30" s="141"/>
      <c r="D30" s="142" t="s">
        <v>2066</v>
      </c>
      <c r="E30" s="143" t="s">
        <v>2067</v>
      </c>
      <c r="F30" s="143" t="s">
        <v>2068</v>
      </c>
    </row>
    <row r="31" spans="2:6" ht="16" customHeight="1" x14ac:dyDescent="0.2">
      <c r="B31" s="137"/>
      <c r="C31" s="141"/>
      <c r="D31" s="142" t="s">
        <v>2069</v>
      </c>
      <c r="E31" s="143" t="s">
        <v>2070</v>
      </c>
      <c r="F31" s="143" t="s">
        <v>2070</v>
      </c>
    </row>
    <row r="32" spans="2:6" ht="16" customHeight="1" x14ac:dyDescent="0.2">
      <c r="B32" s="137"/>
      <c r="C32" s="141"/>
      <c r="D32" s="142" t="s">
        <v>2071</v>
      </c>
      <c r="E32" s="143" t="s">
        <v>2072</v>
      </c>
      <c r="F32" s="143" t="s">
        <v>2073</v>
      </c>
    </row>
    <row r="33" spans="2:6" ht="32" customHeight="1" x14ac:dyDescent="0.2">
      <c r="B33" s="137"/>
      <c r="C33" s="141" t="s">
        <v>2973</v>
      </c>
      <c r="D33" s="142" t="s">
        <v>1995</v>
      </c>
      <c r="E33" s="143" t="s">
        <v>1996</v>
      </c>
      <c r="F33" s="143" t="s">
        <v>1997</v>
      </c>
    </row>
    <row r="34" spans="2:6" ht="16" customHeight="1" x14ac:dyDescent="0.2">
      <c r="B34" s="137"/>
      <c r="C34" s="141"/>
      <c r="D34" s="142" t="s">
        <v>2060</v>
      </c>
      <c r="E34" s="143" t="s">
        <v>2061</v>
      </c>
      <c r="F34" s="143" t="s">
        <v>2062</v>
      </c>
    </row>
    <row r="35" spans="2:6" ht="16" customHeight="1" x14ac:dyDescent="0.2">
      <c r="B35" s="137"/>
      <c r="C35" s="144"/>
      <c r="D35" s="142" t="s">
        <v>2074</v>
      </c>
      <c r="E35" s="145" t="s">
        <v>2075</v>
      </c>
      <c r="F35" s="145" t="s">
        <v>2076</v>
      </c>
    </row>
    <row r="36" spans="2:6" ht="16" customHeight="1" x14ac:dyDescent="0.2">
      <c r="B36" s="137"/>
      <c r="C36" s="141" t="s">
        <v>2973</v>
      </c>
      <c r="D36" s="142" t="s">
        <v>1998</v>
      </c>
      <c r="E36" s="143" t="s">
        <v>1999</v>
      </c>
      <c r="F36" s="143" t="s">
        <v>2000</v>
      </c>
    </row>
    <row r="37" spans="2:6" ht="16" customHeight="1" x14ac:dyDescent="0.2">
      <c r="B37" s="137"/>
      <c r="C37" s="141"/>
      <c r="D37" s="142" t="s">
        <v>2083</v>
      </c>
      <c r="E37" s="143" t="s">
        <v>2084</v>
      </c>
      <c r="F37" s="143" t="s">
        <v>2085</v>
      </c>
    </row>
    <row r="38" spans="2:6" ht="16" customHeight="1" x14ac:dyDescent="0.2">
      <c r="B38" s="137"/>
      <c r="C38" s="141"/>
      <c r="D38" s="142" t="s">
        <v>2086</v>
      </c>
      <c r="E38" s="143" t="s">
        <v>2087</v>
      </c>
      <c r="F38" s="143" t="s">
        <v>2088</v>
      </c>
    </row>
    <row r="39" spans="2:6" ht="16" customHeight="1" x14ac:dyDescent="0.2">
      <c r="B39" s="137"/>
      <c r="C39" s="141"/>
      <c r="D39" s="142" t="s">
        <v>2089</v>
      </c>
      <c r="E39" s="143" t="s">
        <v>2090</v>
      </c>
      <c r="F39" s="143" t="s">
        <v>2091</v>
      </c>
    </row>
    <row r="40" spans="2:6" ht="16" customHeight="1" x14ac:dyDescent="0.2">
      <c r="B40" s="137"/>
      <c r="C40" s="141"/>
      <c r="D40" s="142" t="s">
        <v>2092</v>
      </c>
      <c r="E40" s="143" t="s">
        <v>2093</v>
      </c>
      <c r="F40" s="143" t="s">
        <v>2094</v>
      </c>
    </row>
    <row r="41" spans="2:6" ht="16" customHeight="1" x14ac:dyDescent="0.2">
      <c r="B41" s="137"/>
      <c r="C41" s="141"/>
      <c r="D41" s="142" t="s">
        <v>2095</v>
      </c>
      <c r="E41" s="143" t="s">
        <v>2096</v>
      </c>
      <c r="F41" s="143" t="s">
        <v>2096</v>
      </c>
    </row>
    <row r="42" spans="2:6" ht="16" customHeight="1" x14ac:dyDescent="0.2">
      <c r="B42" s="137"/>
      <c r="C42" s="141"/>
      <c r="D42" s="142" t="s">
        <v>2097</v>
      </c>
      <c r="E42" s="143" t="s">
        <v>2098</v>
      </c>
      <c r="F42" s="143" t="s">
        <v>2099</v>
      </c>
    </row>
    <row r="43" spans="2:6" ht="16" customHeight="1" x14ac:dyDescent="0.2">
      <c r="B43" s="137"/>
      <c r="C43" s="141" t="s">
        <v>2973</v>
      </c>
      <c r="D43" s="142" t="s">
        <v>2001</v>
      </c>
      <c r="E43" s="143" t="s">
        <v>2002</v>
      </c>
      <c r="F43" s="143" t="s">
        <v>2003</v>
      </c>
    </row>
    <row r="44" spans="2:6" ht="16" customHeight="1" x14ac:dyDescent="0.2">
      <c r="B44" s="137"/>
      <c r="C44" s="141"/>
      <c r="D44" s="142" t="s">
        <v>2100</v>
      </c>
      <c r="E44" s="143" t="s">
        <v>2101</v>
      </c>
      <c r="F44" s="143" t="s">
        <v>2102</v>
      </c>
    </row>
    <row r="45" spans="2:6" ht="16" customHeight="1" x14ac:dyDescent="0.2">
      <c r="B45" s="137"/>
      <c r="C45" s="141"/>
      <c r="D45" s="142" t="s">
        <v>2077</v>
      </c>
      <c r="E45" s="143" t="s">
        <v>2078</v>
      </c>
      <c r="F45" s="143" t="s">
        <v>2079</v>
      </c>
    </row>
    <row r="46" spans="2:6" ht="16" customHeight="1" x14ac:dyDescent="0.2">
      <c r="B46" s="137"/>
      <c r="C46" s="141"/>
      <c r="D46" s="142" t="s">
        <v>2080</v>
      </c>
      <c r="E46" s="143" t="s">
        <v>2081</v>
      </c>
      <c r="F46" s="143" t="s">
        <v>2082</v>
      </c>
    </row>
    <row r="47" spans="2:6" ht="16" customHeight="1" x14ac:dyDescent="0.2">
      <c r="B47" s="137"/>
      <c r="C47" s="144"/>
      <c r="D47" s="142" t="s">
        <v>2103</v>
      </c>
      <c r="E47" s="145" t="s">
        <v>2104</v>
      </c>
      <c r="F47" s="145" t="s">
        <v>2105</v>
      </c>
    </row>
    <row r="48" spans="2:6" ht="16" customHeight="1" x14ac:dyDescent="0.2">
      <c r="B48" s="137"/>
      <c r="C48" s="141"/>
      <c r="D48" s="142" t="s">
        <v>2106</v>
      </c>
      <c r="E48" s="143" t="s">
        <v>2107</v>
      </c>
      <c r="F48" s="143" t="s">
        <v>2108</v>
      </c>
    </row>
    <row r="49" spans="2:6" ht="16" customHeight="1" x14ac:dyDescent="0.2">
      <c r="B49" s="137"/>
      <c r="C49" s="141"/>
      <c r="D49" s="142" t="s">
        <v>2109</v>
      </c>
      <c r="E49" s="143" t="s">
        <v>2110</v>
      </c>
      <c r="F49" s="143" t="s">
        <v>2111</v>
      </c>
    </row>
    <row r="50" spans="2:6" ht="16" customHeight="1" x14ac:dyDescent="0.2">
      <c r="B50" s="137"/>
      <c r="C50" s="141"/>
      <c r="D50" s="142" t="s">
        <v>2112</v>
      </c>
      <c r="E50" s="143" t="s">
        <v>2113</v>
      </c>
      <c r="F50" s="143" t="s">
        <v>2114</v>
      </c>
    </row>
    <row r="51" spans="2:6" ht="16" customHeight="1" x14ac:dyDescent="0.2">
      <c r="B51" s="137"/>
      <c r="C51" s="141"/>
      <c r="D51" s="142" t="s">
        <v>2115</v>
      </c>
      <c r="E51" s="143" t="s">
        <v>2116</v>
      </c>
      <c r="F51" s="143" t="s">
        <v>2117</v>
      </c>
    </row>
    <row r="52" spans="2:6" ht="16" customHeight="1" x14ac:dyDescent="0.2">
      <c r="B52" s="137"/>
      <c r="C52" s="144"/>
      <c r="D52" s="142" t="s">
        <v>2118</v>
      </c>
      <c r="E52" s="145" t="s">
        <v>2119</v>
      </c>
      <c r="F52" s="145" t="s">
        <v>2120</v>
      </c>
    </row>
    <row r="53" spans="2:6" ht="16" customHeight="1" x14ac:dyDescent="0.2">
      <c r="B53" s="137"/>
      <c r="C53" s="141"/>
      <c r="D53" s="142" t="s">
        <v>2121</v>
      </c>
      <c r="E53" s="143" t="s">
        <v>2122</v>
      </c>
      <c r="F53" s="143" t="s">
        <v>2123</v>
      </c>
    </row>
    <row r="54" spans="2:6" ht="16" customHeight="1" x14ac:dyDescent="0.2">
      <c r="B54" s="137"/>
      <c r="C54" s="141"/>
      <c r="D54" s="142" t="s">
        <v>2150</v>
      </c>
      <c r="E54" s="143" t="s">
        <v>2151</v>
      </c>
      <c r="F54" s="143" t="s">
        <v>2152</v>
      </c>
    </row>
    <row r="55" spans="2:6" ht="16" customHeight="1" x14ac:dyDescent="0.2">
      <c r="B55" s="137"/>
      <c r="C55" s="141"/>
      <c r="D55" s="142" t="s">
        <v>2153</v>
      </c>
      <c r="E55" s="143" t="s">
        <v>2154</v>
      </c>
      <c r="F55" s="143" t="s">
        <v>2154</v>
      </c>
    </row>
    <row r="56" spans="2:6" ht="16" customHeight="1" x14ac:dyDescent="0.2">
      <c r="B56" s="137"/>
      <c r="C56" s="141"/>
      <c r="D56" s="142" t="s">
        <v>2155</v>
      </c>
      <c r="E56" s="143" t="s">
        <v>2156</v>
      </c>
      <c r="F56" s="143" t="s">
        <v>2156</v>
      </c>
    </row>
    <row r="57" spans="2:6" ht="16" customHeight="1" x14ac:dyDescent="0.2">
      <c r="B57" s="137"/>
      <c r="C57" s="141"/>
      <c r="D57" s="142" t="s">
        <v>2157</v>
      </c>
      <c r="E57" s="143" t="s">
        <v>2158</v>
      </c>
      <c r="F57" s="143" t="s">
        <v>2159</v>
      </c>
    </row>
    <row r="58" spans="2:6" ht="16" customHeight="1" x14ac:dyDescent="0.2">
      <c r="B58" s="137"/>
      <c r="C58" s="141"/>
      <c r="D58" s="142" t="s">
        <v>2160</v>
      </c>
      <c r="E58" s="143" t="s">
        <v>2161</v>
      </c>
      <c r="F58" s="143" t="s">
        <v>2162</v>
      </c>
    </row>
    <row r="59" spans="2:6" ht="16" customHeight="1" x14ac:dyDescent="0.2">
      <c r="B59" s="137"/>
      <c r="C59" s="141"/>
      <c r="D59" s="142" t="s">
        <v>2163</v>
      </c>
      <c r="E59" s="143" t="s">
        <v>2164</v>
      </c>
      <c r="F59" s="143" t="s">
        <v>2165</v>
      </c>
    </row>
    <row r="60" spans="2:6" ht="16" customHeight="1" x14ac:dyDescent="0.2">
      <c r="B60" s="137"/>
      <c r="C60" s="141"/>
      <c r="D60" s="142" t="s">
        <v>2166</v>
      </c>
      <c r="E60" s="143" t="s">
        <v>2167</v>
      </c>
      <c r="F60" s="143" t="s">
        <v>2168</v>
      </c>
    </row>
    <row r="61" spans="2:6" ht="16" customHeight="1" x14ac:dyDescent="0.2">
      <c r="B61" s="137"/>
      <c r="C61" s="141"/>
      <c r="D61" s="142" t="s">
        <v>2169</v>
      </c>
      <c r="E61" s="143" t="s">
        <v>2170</v>
      </c>
      <c r="F61" s="143" t="s">
        <v>2171</v>
      </c>
    </row>
    <row r="62" spans="2:6" ht="16" customHeight="1" x14ac:dyDescent="0.2">
      <c r="B62" s="137"/>
      <c r="C62" s="141"/>
      <c r="D62" s="142" t="s">
        <v>2124</v>
      </c>
      <c r="E62" s="143" t="s">
        <v>2125</v>
      </c>
      <c r="F62" s="143" t="s">
        <v>2126</v>
      </c>
    </row>
    <row r="63" spans="2:6" ht="16" customHeight="1" x14ac:dyDescent="0.2">
      <c r="B63" s="137"/>
      <c r="C63" s="141"/>
      <c r="D63" s="142" t="s">
        <v>2127</v>
      </c>
      <c r="E63" s="143" t="s">
        <v>2128</v>
      </c>
      <c r="F63" s="143" t="s">
        <v>2129</v>
      </c>
    </row>
    <row r="64" spans="2:6" ht="16" customHeight="1" x14ac:dyDescent="0.2">
      <c r="B64" s="137"/>
      <c r="C64" s="141"/>
      <c r="D64" s="142" t="s">
        <v>2130</v>
      </c>
      <c r="E64" s="143" t="s">
        <v>2131</v>
      </c>
      <c r="F64" s="143" t="s">
        <v>2132</v>
      </c>
    </row>
    <row r="65" spans="2:6" ht="16" customHeight="1" x14ac:dyDescent="0.2">
      <c r="B65" s="137"/>
      <c r="C65" s="141"/>
      <c r="D65" s="142" t="s">
        <v>2133</v>
      </c>
      <c r="E65" s="143" t="s">
        <v>2134</v>
      </c>
      <c r="F65" s="143" t="s">
        <v>1340</v>
      </c>
    </row>
    <row r="66" spans="2:6" ht="16" customHeight="1" x14ac:dyDescent="0.2">
      <c r="B66" s="137"/>
      <c r="C66" s="141"/>
      <c r="D66" s="142" t="s">
        <v>2135</v>
      </c>
      <c r="E66" s="143" t="s">
        <v>2136</v>
      </c>
      <c r="F66" s="143" t="s">
        <v>2137</v>
      </c>
    </row>
    <row r="67" spans="2:6" ht="16" customHeight="1" x14ac:dyDescent="0.2">
      <c r="B67" s="137"/>
      <c r="C67" s="141"/>
      <c r="D67" s="142" t="s">
        <v>2138</v>
      </c>
      <c r="E67" s="143" t="s">
        <v>2139</v>
      </c>
      <c r="F67" s="143" t="s">
        <v>2140</v>
      </c>
    </row>
    <row r="68" spans="2:6" ht="16" customHeight="1" x14ac:dyDescent="0.2">
      <c r="B68" s="137"/>
      <c r="C68" s="141"/>
      <c r="D68" s="142" t="s">
        <v>2141</v>
      </c>
      <c r="E68" s="143" t="s">
        <v>2142</v>
      </c>
      <c r="F68" s="143" t="s">
        <v>2143</v>
      </c>
    </row>
    <row r="69" spans="2:6" ht="16" customHeight="1" x14ac:dyDescent="0.2">
      <c r="B69" s="137"/>
      <c r="C69" s="141"/>
      <c r="D69" s="142" t="s">
        <v>2144</v>
      </c>
      <c r="E69" s="143" t="s">
        <v>2145</v>
      </c>
      <c r="F69" s="143" t="s">
        <v>2146</v>
      </c>
    </row>
    <row r="70" spans="2:6" ht="16" customHeight="1" x14ac:dyDescent="0.2">
      <c r="B70" s="137"/>
      <c r="C70" s="141"/>
      <c r="D70" s="142" t="s">
        <v>2147</v>
      </c>
      <c r="E70" s="143" t="s">
        <v>2148</v>
      </c>
      <c r="F70" s="143" t="s">
        <v>2149</v>
      </c>
    </row>
    <row r="71" spans="2:6" ht="16" customHeight="1" x14ac:dyDescent="0.2">
      <c r="B71" s="137"/>
      <c r="C71" s="144"/>
      <c r="D71" s="142" t="s">
        <v>2172</v>
      </c>
      <c r="E71" s="145" t="s">
        <v>2173</v>
      </c>
      <c r="F71" s="145" t="s">
        <v>2174</v>
      </c>
    </row>
    <row r="72" spans="2:6" ht="16" customHeight="1" x14ac:dyDescent="0.2">
      <c r="B72" s="137"/>
      <c r="C72" s="141"/>
      <c r="D72" s="142" t="s">
        <v>2175</v>
      </c>
      <c r="E72" s="143" t="s">
        <v>2176</v>
      </c>
      <c r="F72" s="143" t="s">
        <v>2177</v>
      </c>
    </row>
    <row r="73" spans="2:6" ht="16" customHeight="1" x14ac:dyDescent="0.2">
      <c r="B73" s="137"/>
      <c r="C73" s="141"/>
      <c r="D73" s="142" t="s">
        <v>2178</v>
      </c>
      <c r="E73" s="143" t="s">
        <v>2179</v>
      </c>
      <c r="F73" s="143" t="s">
        <v>2180</v>
      </c>
    </row>
    <row r="74" spans="2:6" ht="16" customHeight="1" x14ac:dyDescent="0.2">
      <c r="B74" s="137"/>
      <c r="C74" s="141"/>
      <c r="D74" s="142" t="s">
        <v>2181</v>
      </c>
      <c r="E74" s="143" t="s">
        <v>2182</v>
      </c>
      <c r="F74" s="143" t="s">
        <v>2183</v>
      </c>
    </row>
    <row r="75" spans="2:6" ht="16" customHeight="1" x14ac:dyDescent="0.2">
      <c r="B75" s="137"/>
      <c r="C75" s="141"/>
      <c r="D75" s="142" t="s">
        <v>2184</v>
      </c>
      <c r="E75" s="143" t="s">
        <v>2185</v>
      </c>
      <c r="F75" s="143" t="s">
        <v>2186</v>
      </c>
    </row>
    <row r="76" spans="2:6" ht="16" customHeight="1" x14ac:dyDescent="0.2">
      <c r="B76" s="137"/>
      <c r="C76" s="141"/>
      <c r="D76" s="142" t="s">
        <v>2187</v>
      </c>
      <c r="E76" s="143" t="s">
        <v>2188</v>
      </c>
      <c r="F76" s="143" t="s">
        <v>2189</v>
      </c>
    </row>
    <row r="77" spans="2:6" ht="16" customHeight="1" x14ac:dyDescent="0.2">
      <c r="B77" s="137"/>
      <c r="C77" s="141"/>
      <c r="D77" s="142" t="s">
        <v>2190</v>
      </c>
      <c r="E77" s="143" t="s">
        <v>2191</v>
      </c>
      <c r="F77" s="143" t="s">
        <v>2192</v>
      </c>
    </row>
    <row r="78" spans="2:6" ht="16" customHeight="1" x14ac:dyDescent="0.2">
      <c r="B78" s="137"/>
      <c r="C78" s="141"/>
      <c r="D78" s="142" t="s">
        <v>2193</v>
      </c>
      <c r="E78" s="143" t="s">
        <v>2194</v>
      </c>
      <c r="F78" s="143" t="s">
        <v>2195</v>
      </c>
    </row>
    <row r="79" spans="2:6" ht="16" customHeight="1" x14ac:dyDescent="0.2">
      <c r="B79" s="137"/>
      <c r="C79" s="141"/>
      <c r="D79" s="142" t="s">
        <v>2196</v>
      </c>
      <c r="E79" s="143" t="s">
        <v>2197</v>
      </c>
      <c r="F79" s="143" t="s">
        <v>2198</v>
      </c>
    </row>
    <row r="80" spans="2:6" ht="16" customHeight="1" x14ac:dyDescent="0.2">
      <c r="B80" s="137"/>
      <c r="C80" s="144"/>
      <c r="D80" s="142" t="s">
        <v>2199</v>
      </c>
      <c r="E80" s="145" t="s">
        <v>2200</v>
      </c>
      <c r="F80" s="145" t="s">
        <v>2201</v>
      </c>
    </row>
    <row r="81" spans="1:6" ht="16" customHeight="1" x14ac:dyDescent="0.2">
      <c r="B81" s="137"/>
      <c r="C81" s="141"/>
      <c r="D81" s="142" t="s">
        <v>2202</v>
      </c>
      <c r="E81" s="143" t="s">
        <v>2203</v>
      </c>
      <c r="F81" s="143" t="s">
        <v>2204</v>
      </c>
    </row>
    <row r="82" spans="1:6" ht="16" customHeight="1" x14ac:dyDescent="0.2">
      <c r="B82" s="137"/>
      <c r="C82" s="141" t="s">
        <v>2973</v>
      </c>
      <c r="D82" s="142" t="s">
        <v>2004</v>
      </c>
      <c r="E82" s="143" t="s">
        <v>1870</v>
      </c>
      <c r="F82" s="143" t="s">
        <v>1871</v>
      </c>
    </row>
    <row r="83" spans="1:6" ht="16" customHeight="1" x14ac:dyDescent="0.2">
      <c r="B83" s="137"/>
      <c r="C83" s="141"/>
      <c r="D83" s="142" t="s">
        <v>2205</v>
      </c>
      <c r="E83" s="143" t="s">
        <v>2206</v>
      </c>
      <c r="F83" s="143" t="s">
        <v>2207</v>
      </c>
    </row>
    <row r="84" spans="1:6" ht="16" customHeight="1" x14ac:dyDescent="0.2">
      <c r="B84" s="137"/>
      <c r="C84" s="141"/>
      <c r="D84" s="142" t="s">
        <v>2208</v>
      </c>
      <c r="E84" s="143" t="s">
        <v>2209</v>
      </c>
      <c r="F84" s="143" t="s">
        <v>2210</v>
      </c>
    </row>
    <row r="85" spans="1:6" ht="16" customHeight="1" x14ac:dyDescent="0.2">
      <c r="B85" s="137"/>
      <c r="C85" s="141"/>
      <c r="D85" s="142" t="s">
        <v>2211</v>
      </c>
      <c r="E85" s="143" t="s">
        <v>2212</v>
      </c>
      <c r="F85" s="143" t="s">
        <v>2213</v>
      </c>
    </row>
    <row r="86" spans="1:6" ht="16" customHeight="1" x14ac:dyDescent="0.2">
      <c r="B86" s="137"/>
      <c r="C86" s="144"/>
      <c r="D86" s="142" t="s">
        <v>2214</v>
      </c>
      <c r="E86" s="145" t="s">
        <v>2215</v>
      </c>
      <c r="F86" s="145" t="s">
        <v>2216</v>
      </c>
    </row>
    <row r="87" spans="1:6" ht="16" customHeight="1" x14ac:dyDescent="0.2">
      <c r="B87" s="137"/>
      <c r="C87" s="141"/>
      <c r="D87" s="142" t="s">
        <v>2217</v>
      </c>
      <c r="E87" s="143" t="s">
        <v>2218</v>
      </c>
      <c r="F87" s="143" t="s">
        <v>2219</v>
      </c>
    </row>
    <row r="88" spans="1:6" ht="16" customHeight="1" x14ac:dyDescent="0.2">
      <c r="B88" s="137"/>
      <c r="C88" s="141"/>
      <c r="D88" s="142" t="s">
        <v>2220</v>
      </c>
      <c r="E88" s="143" t="s">
        <v>2221</v>
      </c>
      <c r="F88" s="143" t="s">
        <v>2222</v>
      </c>
    </row>
    <row r="89" spans="1:6" ht="16" customHeight="1" x14ac:dyDescent="0.2">
      <c r="B89" s="137"/>
      <c r="C89" s="141"/>
      <c r="D89" s="142" t="s">
        <v>2223</v>
      </c>
      <c r="E89" s="143" t="s">
        <v>2224</v>
      </c>
      <c r="F89" s="143" t="s">
        <v>2225</v>
      </c>
    </row>
    <row r="90" spans="1:6" ht="16" customHeight="1" x14ac:dyDescent="0.2">
      <c r="B90" s="137"/>
      <c r="C90" s="141"/>
      <c r="D90" s="142" t="s">
        <v>2226</v>
      </c>
      <c r="E90" s="143" t="s">
        <v>2227</v>
      </c>
      <c r="F90" s="143" t="s">
        <v>2228</v>
      </c>
    </row>
    <row r="91" spans="1:6" ht="16" customHeight="1" x14ac:dyDescent="0.2">
      <c r="B91" s="137"/>
      <c r="C91" s="141"/>
      <c r="D91" s="142" t="s">
        <v>2229</v>
      </c>
      <c r="E91" s="143" t="s">
        <v>2230</v>
      </c>
      <c r="F91" s="143" t="s">
        <v>2231</v>
      </c>
    </row>
    <row r="92" spans="1:6" ht="16" customHeight="1" x14ac:dyDescent="0.2">
      <c r="B92" s="137"/>
      <c r="C92" s="141"/>
      <c r="D92" s="142" t="s">
        <v>2232</v>
      </c>
      <c r="E92" s="143" t="s">
        <v>2233</v>
      </c>
      <c r="F92" s="143" t="s">
        <v>2233</v>
      </c>
    </row>
    <row r="93" spans="1:6" ht="16" customHeight="1" x14ac:dyDescent="0.2">
      <c r="A93" s="133"/>
      <c r="B93" s="146"/>
      <c r="C93" s="147"/>
      <c r="D93" s="148" t="s">
        <v>2234</v>
      </c>
      <c r="E93" s="145" t="s">
        <v>2235</v>
      </c>
      <c r="F93" s="145" t="s">
        <v>2236</v>
      </c>
    </row>
    <row r="94" spans="1:6" x14ac:dyDescent="0.15">
      <c r="C94" s="149"/>
      <c r="D94" s="150"/>
      <c r="E94" s="151"/>
      <c r="F94" s="151"/>
    </row>
  </sheetData>
  <sheetProtection algorithmName="SHA-512" hashValue="4x9QBwmmpf14RH0wMmt486Zh17eApxgzQvdyAdM6ZbOp8lWkhkx1Fu3fkBuqh8/YYI/5TBKj1KlB+8vpFJO9Kg==" saltValue="/61zWf5pyzpbPCyumjZE6Q==" spinCount="100000" sheet="1" selectLockedCells="1"/>
  <dataValidations count="1">
    <dataValidation type="list" showInputMessage="1" showErrorMessage="1" sqref="C4:C9 C11:C16 C18:C24 C26:C34 C36:C46 C48:C51 C53:C70 C72:C79 C81:C85 C87:C92" xr:uid="{00000000-0002-0000-0300-000000000000}">
      <formula1>"x"</formula1>
      <formula2>0</formula2>
    </dataValidation>
  </dataValidations>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abSelected="1" zoomScale="120" zoomScaleNormal="120" workbookViewId="0">
      <selection activeCell="F5" sqref="F5"/>
    </sheetView>
  </sheetViews>
  <sheetFormatPr baseColWidth="10" defaultColWidth="10.83203125" defaultRowHeight="16" x14ac:dyDescent="0.2"/>
  <cols>
    <col min="1" max="1" width="10.83203125" style="152" customWidth="1"/>
    <col min="2" max="2" width="8.83203125" style="152" customWidth="1"/>
    <col min="3" max="3" width="27.6640625" style="152" customWidth="1"/>
    <col min="4" max="5" width="20.83203125" style="152" customWidth="1"/>
    <col min="6" max="7" width="46.5" style="153" customWidth="1"/>
    <col min="8" max="8" width="20.83203125" style="154" customWidth="1"/>
    <col min="9" max="9" width="20.83203125" style="152" customWidth="1"/>
    <col min="10" max="11" width="10.83203125" style="152" customWidth="1"/>
  </cols>
  <sheetData>
    <row r="1" spans="1:11" x14ac:dyDescent="0.2">
      <c r="C1" s="155"/>
      <c r="D1" s="155"/>
      <c r="E1" s="155"/>
      <c r="F1" s="156"/>
      <c r="G1" s="156"/>
      <c r="H1" s="157"/>
      <c r="I1" s="155"/>
    </row>
    <row r="2" spans="1:11" x14ac:dyDescent="0.15">
      <c r="A2" s="158"/>
      <c r="B2" s="159"/>
      <c r="C2" s="160" t="s">
        <v>2974</v>
      </c>
      <c r="D2" s="161" t="s">
        <v>2975</v>
      </c>
      <c r="E2" s="161" t="s">
        <v>2976</v>
      </c>
      <c r="F2" s="162" t="s">
        <v>2977</v>
      </c>
      <c r="G2" s="161" t="s">
        <v>2978</v>
      </c>
      <c r="H2" s="163" t="s">
        <v>2979</v>
      </c>
      <c r="I2" s="164" t="s">
        <v>2980</v>
      </c>
      <c r="J2" s="165"/>
      <c r="K2" s="153"/>
    </row>
    <row r="3" spans="1:11" ht="62.25" customHeight="1" x14ac:dyDescent="0.2">
      <c r="A3" s="166"/>
      <c r="B3" s="330" t="s">
        <v>2981</v>
      </c>
      <c r="C3" s="167" t="s">
        <v>2982</v>
      </c>
      <c r="D3" s="168" t="s">
        <v>2983</v>
      </c>
      <c r="E3" s="169" t="str">
        <f>IF(D3="","",D3)</f>
        <v>502********</v>
      </c>
      <c r="F3" s="170" t="s">
        <v>2984</v>
      </c>
      <c r="G3" s="170" t="s">
        <v>2985</v>
      </c>
      <c r="H3" s="171" t="s">
        <v>2986</v>
      </c>
      <c r="I3" s="172" t="s">
        <v>2986</v>
      </c>
      <c r="J3" s="173"/>
    </row>
    <row r="4" spans="1:11" ht="31.5" customHeight="1" x14ac:dyDescent="0.2">
      <c r="A4" s="166"/>
      <c r="B4" s="331"/>
      <c r="C4" s="174" t="s">
        <v>2987</v>
      </c>
      <c r="D4" s="175">
        <v>18</v>
      </c>
      <c r="E4" s="176">
        <f>IF(D4="","",D4)</f>
        <v>18</v>
      </c>
      <c r="F4" s="177" t="s">
        <v>2988</v>
      </c>
      <c r="G4" s="178" t="s">
        <v>2989</v>
      </c>
      <c r="H4" s="179">
        <v>18</v>
      </c>
      <c r="I4" s="180">
        <v>18</v>
      </c>
      <c r="J4" s="173"/>
    </row>
    <row r="5" spans="1:11" ht="66" customHeight="1" x14ac:dyDescent="0.2">
      <c r="A5" s="166"/>
      <c r="B5" s="331"/>
      <c r="C5" s="181" t="s">
        <v>2990</v>
      </c>
      <c r="D5" s="182" t="s">
        <v>2991</v>
      </c>
      <c r="E5" s="183" t="str">
        <f>IF(D5="","",D5)</f>
        <v>Departamento</v>
      </c>
      <c r="F5" s="184" t="s">
        <v>2992</v>
      </c>
      <c r="G5" s="178" t="s">
        <v>2993</v>
      </c>
      <c r="H5" s="185" t="s">
        <v>2994</v>
      </c>
      <c r="I5" s="186" t="s">
        <v>2995</v>
      </c>
      <c r="J5" s="173"/>
    </row>
    <row r="6" spans="1:11" ht="48" customHeight="1" x14ac:dyDescent="0.2">
      <c r="A6" s="166"/>
      <c r="B6" s="331"/>
      <c r="C6" s="187" t="s">
        <v>2996</v>
      </c>
      <c r="D6" s="182" t="s">
        <v>2997</v>
      </c>
      <c r="E6" s="183" t="str">
        <f>IF(D6="","",D6)</f>
        <v>Municipio</v>
      </c>
      <c r="F6" s="184" t="s">
        <v>2998</v>
      </c>
      <c r="G6" s="177" t="s">
        <v>2999</v>
      </c>
      <c r="H6" s="188" t="s">
        <v>3000</v>
      </c>
      <c r="I6" s="189" t="s">
        <v>3001</v>
      </c>
      <c r="J6" s="173"/>
    </row>
    <row r="7" spans="1:11" ht="100.5" customHeight="1" x14ac:dyDescent="0.2">
      <c r="A7" s="190"/>
      <c r="B7" s="331"/>
      <c r="C7" s="191" t="s">
        <v>3002</v>
      </c>
      <c r="D7" s="183" t="s">
        <v>3003</v>
      </c>
      <c r="E7" s="192" t="str">
        <f>IF(D7="el año pasado","last year",IF(D7="un año normal","a normal year",""))</f>
        <v>last year</v>
      </c>
      <c r="F7" s="184" t="s">
        <v>3004</v>
      </c>
      <c r="G7" s="193" t="s">
        <v>3005</v>
      </c>
      <c r="H7" s="188" t="s">
        <v>3006</v>
      </c>
      <c r="I7" s="194" t="s">
        <v>3007</v>
      </c>
      <c r="J7" s="195"/>
      <c r="K7" s="196"/>
    </row>
    <row r="8" spans="1:11" ht="120.75" customHeight="1" x14ac:dyDescent="0.2">
      <c r="A8" s="166"/>
      <c r="B8" s="331"/>
      <c r="C8" s="187" t="s">
        <v>3008</v>
      </c>
      <c r="D8" s="182" t="s">
        <v>3009</v>
      </c>
      <c r="E8" s="182" t="s">
        <v>3009</v>
      </c>
      <c r="F8" s="197" t="s">
        <v>3010</v>
      </c>
      <c r="G8" s="198" t="s">
        <v>3011</v>
      </c>
      <c r="H8" s="199" t="s">
        <v>3012</v>
      </c>
      <c r="I8" s="200" t="s">
        <v>3013</v>
      </c>
      <c r="J8" s="173"/>
    </row>
    <row r="9" spans="1:11" ht="96" customHeight="1" x14ac:dyDescent="0.2">
      <c r="A9" s="166"/>
      <c r="B9" s="331"/>
      <c r="C9" s="187" t="s">
        <v>3014</v>
      </c>
      <c r="D9" s="201" t="s">
        <v>3015</v>
      </c>
      <c r="E9" s="202" t="str">
        <f>IF(D9="todavía no está en temporada","Not yet in season",IF(D9="preparación de tierra","land preparation",IF(D9="plantación","Planting",IF(D9="crecimiento temprano","Early growing",IF(D9="crecimiento","Growing",IF(D9="maduración","Maturing",IF(D9="cosecha","Harvesting",IF(D9="terminado recientemente","Recently Finished",""))))))))</f>
        <v>Recently Finished</v>
      </c>
      <c r="F9" s="197" t="s">
        <v>3016</v>
      </c>
      <c r="G9" s="198" t="s">
        <v>3017</v>
      </c>
      <c r="H9" s="199" t="s">
        <v>3018</v>
      </c>
      <c r="I9" s="189" t="s">
        <v>3019</v>
      </c>
      <c r="J9" s="173"/>
    </row>
    <row r="10" spans="1:11" ht="84.75" customHeight="1" x14ac:dyDescent="0.2">
      <c r="A10" s="190"/>
      <c r="B10" s="331"/>
      <c r="C10" s="203" t="s">
        <v>3020</v>
      </c>
      <c r="D10" s="204" t="s">
        <v>1340</v>
      </c>
      <c r="E10" s="204" t="s">
        <v>1340</v>
      </c>
      <c r="F10" s="205" t="s">
        <v>3021</v>
      </c>
      <c r="G10" s="198" t="s">
        <v>3022</v>
      </c>
      <c r="H10" s="199" t="s">
        <v>1340</v>
      </c>
      <c r="I10" s="206" t="s">
        <v>1340</v>
      </c>
      <c r="J10" s="195"/>
      <c r="K10" s="196"/>
    </row>
    <row r="11" spans="1:11" ht="50.25" customHeight="1" x14ac:dyDescent="0.2">
      <c r="A11" s="190"/>
      <c r="B11" s="332"/>
      <c r="C11" s="207" t="s">
        <v>3023</v>
      </c>
      <c r="D11" s="208">
        <v>1.43</v>
      </c>
      <c r="E11" s="209">
        <f>IF(D11&lt;&gt;"",D11,"")</f>
        <v>1.43</v>
      </c>
      <c r="F11" s="210" t="s">
        <v>3024</v>
      </c>
      <c r="G11" s="211" t="s">
        <v>3025</v>
      </c>
      <c r="H11" s="212">
        <v>1.43</v>
      </c>
      <c r="I11" s="213">
        <v>1.43</v>
      </c>
      <c r="J11" s="195"/>
      <c r="K11" s="196"/>
    </row>
    <row r="12" spans="1:11" ht="57" customHeight="1" x14ac:dyDescent="0.2">
      <c r="A12" s="166"/>
      <c r="B12" s="333" t="s">
        <v>3026</v>
      </c>
      <c r="C12" s="214" t="s">
        <v>3027</v>
      </c>
      <c r="D12" s="215" t="s">
        <v>3028</v>
      </c>
      <c r="E12" s="176" t="str">
        <f>IF(D12="","",D12)</f>
        <v>Quetzal</v>
      </c>
      <c r="F12" s="216" t="s">
        <v>3029</v>
      </c>
      <c r="G12" s="217" t="s">
        <v>3030</v>
      </c>
      <c r="H12" s="185" t="s">
        <v>3031</v>
      </c>
      <c r="I12" s="218" t="s">
        <v>3031</v>
      </c>
      <c r="J12" s="173"/>
    </row>
    <row r="13" spans="1:11" ht="145.5" customHeight="1" x14ac:dyDescent="0.2">
      <c r="A13" s="166"/>
      <c r="B13" s="331"/>
      <c r="C13" s="219" t="s">
        <v>3032</v>
      </c>
      <c r="D13" s="220">
        <v>1</v>
      </c>
      <c r="E13" s="176">
        <f>IF(D13="","",D13)</f>
        <v>1</v>
      </c>
      <c r="F13" s="197" t="s">
        <v>3033</v>
      </c>
      <c r="G13" s="221" t="s">
        <v>3034</v>
      </c>
      <c r="H13" s="199">
        <v>5</v>
      </c>
      <c r="I13" s="222">
        <v>5</v>
      </c>
      <c r="J13" s="223"/>
      <c r="K13" s="224"/>
    </row>
    <row r="14" spans="1:11" ht="198" customHeight="1" x14ac:dyDescent="0.2">
      <c r="A14" s="166"/>
      <c r="B14" s="331"/>
      <c r="C14" s="219" t="s">
        <v>3035</v>
      </c>
      <c r="D14" s="220">
        <v>80000</v>
      </c>
      <c r="E14" s="176">
        <f>IF(D14="","",D14)</f>
        <v>80000</v>
      </c>
      <c r="F14" s="225" t="s">
        <v>3036</v>
      </c>
      <c r="G14" s="198" t="s">
        <v>3037</v>
      </c>
      <c r="H14" s="199">
        <v>1200000</v>
      </c>
      <c r="I14" s="222">
        <v>1200000</v>
      </c>
      <c r="J14" s="173"/>
    </row>
    <row r="15" spans="1:11" ht="48" customHeight="1" x14ac:dyDescent="0.2">
      <c r="A15" s="166"/>
      <c r="B15" s="331"/>
      <c r="C15" s="226" t="s">
        <v>3038</v>
      </c>
      <c r="D15" s="182" t="s">
        <v>3039</v>
      </c>
      <c r="E15" s="182" t="s">
        <v>3039</v>
      </c>
      <c r="F15" s="205" t="s">
        <v>3040</v>
      </c>
      <c r="G15" s="198" t="s">
        <v>3041</v>
      </c>
      <c r="H15" s="199" t="s">
        <v>3042</v>
      </c>
      <c r="I15" s="200" t="s">
        <v>3043</v>
      </c>
      <c r="J15" s="173"/>
    </row>
    <row r="16" spans="1:11" ht="48" customHeight="1" x14ac:dyDescent="0.2">
      <c r="A16" s="166"/>
      <c r="B16" s="332"/>
      <c r="C16" s="227" t="s">
        <v>3044</v>
      </c>
      <c r="D16" s="228" t="s">
        <v>3045</v>
      </c>
      <c r="E16" s="228" t="s">
        <v>3045</v>
      </c>
      <c r="F16" s="229" t="s">
        <v>3046</v>
      </c>
      <c r="G16" s="230" t="s">
        <v>3047</v>
      </c>
      <c r="H16" s="231" t="s">
        <v>3048</v>
      </c>
      <c r="I16" s="232" t="s">
        <v>3049</v>
      </c>
      <c r="J16" s="173"/>
    </row>
    <row r="17" spans="1:11" ht="5.25" customHeight="1" x14ac:dyDescent="0.2">
      <c r="A17" s="233"/>
      <c r="B17" s="234"/>
      <c r="C17" s="235"/>
      <c r="D17" s="236"/>
      <c r="E17" s="237"/>
      <c r="F17" s="238"/>
      <c r="G17" s="239"/>
      <c r="H17" s="240"/>
      <c r="I17" s="241"/>
      <c r="J17" s="224"/>
      <c r="K17" s="238"/>
    </row>
    <row r="18" spans="1:11" ht="176" customHeight="1" x14ac:dyDescent="0.2">
      <c r="A18" s="166"/>
      <c r="B18" s="334" t="s">
        <v>3050</v>
      </c>
      <c r="C18" s="242" t="s">
        <v>3051</v>
      </c>
      <c r="D18" s="243">
        <v>0.6</v>
      </c>
      <c r="E18" s="244">
        <f>IF(D18="","",D18)</f>
        <v>0.6</v>
      </c>
      <c r="F18" s="245" t="s">
        <v>3052</v>
      </c>
      <c r="G18" s="246" t="s">
        <v>3053</v>
      </c>
      <c r="H18" s="247">
        <v>0.91</v>
      </c>
      <c r="I18" s="248">
        <v>0.91</v>
      </c>
      <c r="J18" s="173"/>
    </row>
    <row r="19" spans="1:11" ht="176" customHeight="1" x14ac:dyDescent="0.2">
      <c r="A19" s="166"/>
      <c r="B19" s="331"/>
      <c r="C19" s="249" t="s">
        <v>3054</v>
      </c>
      <c r="D19" s="250">
        <v>0.2</v>
      </c>
      <c r="E19" s="251">
        <f>IF(D19="","",D19)</f>
        <v>0.2</v>
      </c>
      <c r="F19" s="252" t="s">
        <v>3055</v>
      </c>
      <c r="G19" s="253" t="s">
        <v>3056</v>
      </c>
      <c r="H19" s="254">
        <v>0.91</v>
      </c>
      <c r="I19" s="255">
        <v>0.91</v>
      </c>
      <c r="J19" s="173"/>
    </row>
    <row r="20" spans="1:11" ht="141" customHeight="1" x14ac:dyDescent="0.2">
      <c r="A20" s="166"/>
      <c r="B20" s="332"/>
      <c r="C20" s="256" t="s">
        <v>3057</v>
      </c>
      <c r="D20" s="257">
        <v>0.05</v>
      </c>
      <c r="E20" s="258">
        <f>IF(D20="","",D20)</f>
        <v>0.05</v>
      </c>
      <c r="F20" s="259" t="s">
        <v>3058</v>
      </c>
      <c r="G20" s="260" t="s">
        <v>3059</v>
      </c>
      <c r="H20" s="261">
        <v>0.05</v>
      </c>
      <c r="I20" s="262">
        <v>0.05</v>
      </c>
      <c r="J20" s="173"/>
    </row>
    <row r="21" spans="1:11" x14ac:dyDescent="0.2">
      <c r="B21" s="263"/>
      <c r="C21" s="263"/>
      <c r="D21" s="263"/>
      <c r="E21" s="263"/>
      <c r="F21" s="264"/>
      <c r="G21" s="264"/>
      <c r="H21" s="265"/>
      <c r="I21" s="263"/>
    </row>
  </sheetData>
  <sheetProtection algorithmName="SHA-512" hashValue="FEaE7F5kSOgVOhFPvWODTdjWguDnlCJRbELbWw9fHWm1j95Hw74oY4eaDr6m7GbluLBvZN1H05l4ZTqLdan0eA==" saltValue="4lOUVH9VpjgYtA/kONe1NA==" spinCount="100000" sheet="1" objects="1" scenarios="1"/>
  <mergeCells count="3">
    <mergeCell ref="B3:B11"/>
    <mergeCell ref="B12:B16"/>
    <mergeCell ref="B18:B20"/>
  </mergeCells>
  <dataValidations count="2">
    <dataValidation type="list" showInputMessage="1" showErrorMessage="1" sqref="D7" xr:uid="{00000000-0002-0000-0400-000000000000}">
      <formula1>"el año pasado,un año normal"</formula1>
      <formula2>0</formula2>
    </dataValidation>
    <dataValidation type="list" showInputMessage="1" showErrorMessage="1" sqref="D9" xr:uid="{00000000-0002-0000-0400-000001000000}">
      <formula1>"todavía no está en temporada,preparación de tierra,plantación,crecimiento temprano,crecimiento,maduración,cosecha,terminado recientemente"</formula1>
      <formula2>0</formula2>
    </dataValidation>
  </dataValidations>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Ali Ahmad</cp:lastModifiedBy>
  <cp:revision>2</cp:revision>
  <dcterms:created xsi:type="dcterms:W3CDTF">2023-11-14T12:25:28Z</dcterms:created>
  <dcterms:modified xsi:type="dcterms:W3CDTF">2023-12-05T12:02:00Z</dcterms:modified>
  <dc:language>es-GT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2023-12-05T12:00:40Z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e2d5a1aa-9f63-4e63-ae9a-147ceb6b54c1</vt:lpwstr>
  </property>
  <property fmtid="{D5CDD505-2E9C-101B-9397-08002B2CF9AE}" pid="8" name="MSIP_Label_46ec50b2-b191-4ad7-ba82-7deb0436e358_ContentBits">
    <vt:lpwstr>0</vt:lpwstr>
  </property>
</Properties>
</file>